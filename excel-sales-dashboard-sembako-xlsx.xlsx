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53E6A62E-9354-4129-82DD-CDE1D30D28B4}" xr6:coauthVersionLast="47" xr6:coauthVersionMax="47" xr10:uidLastSave="{00000000-0000-0000-0000-000000000000}"/>
  <bookViews>
    <workbookView xWindow="-120" yWindow="-120" windowWidth="20730" windowHeight="11040" activeTab="5" xr2:uid="{00000000-000D-0000-FFFF-FFFF00000000}"/>
  </bookViews>
  <sheets>
    <sheet name="Data" sheetId="1" r:id="rId1"/>
    <sheet name="Status" sheetId="2" r:id="rId2"/>
    <sheet name="Tugas" sheetId="3" r:id="rId3"/>
    <sheet name="Jawab" sheetId="4" r:id="rId4"/>
    <sheet name="Master Data" sheetId="6" r:id="rId5"/>
    <sheet name="Dashboard Disa" sheetId="7" r:id="rId6"/>
    <sheet name="Pivot" sheetId="8" r:id="rId7"/>
  </sheets>
  <definedNames>
    <definedName name="_xlnm._FilterDatabase" localSheetId="0" hidden="1">Data!$A$1:$W$2001</definedName>
    <definedName name="_xlnm._FilterDatabase" localSheetId="3" hidden="1">Jawab!$B$33:$J$33</definedName>
    <definedName name="Slicer_Month">#N/A</definedName>
    <definedName name="Slicer_Platform">#N/A</definedName>
    <definedName name="Slicer_Year">#N/A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8" l="1"/>
  <c r="N5" i="8"/>
  <c r="J5" i="8"/>
  <c r="J6" i="8"/>
  <c r="J7" i="8"/>
  <c r="J8" i="8"/>
  <c r="J9" i="8"/>
  <c r="J10" i="8"/>
  <c r="J11" i="8"/>
  <c r="J12" i="8"/>
  <c r="J13" i="8"/>
  <c r="J14" i="8"/>
  <c r="J15" i="8"/>
  <c r="J16" i="8"/>
  <c r="I6" i="8"/>
  <c r="I7" i="8"/>
  <c r="I8" i="8"/>
  <c r="I9" i="8"/>
  <c r="I10" i="8"/>
  <c r="I11" i="8"/>
  <c r="I12" i="8"/>
  <c r="I13" i="8"/>
  <c r="I14" i="8"/>
  <c r="I15" i="8"/>
  <c r="I16" i="8"/>
  <c r="I5" i="8"/>
  <c r="AF19" i="8"/>
  <c r="AE19" i="8"/>
  <c r="AF18" i="8"/>
  <c r="AE18" i="8"/>
  <c r="AF17" i="8"/>
  <c r="AE17" i="8"/>
  <c r="AF16" i="8"/>
  <c r="AE16" i="8"/>
  <c r="AF15" i="8"/>
  <c r="AE15" i="8"/>
  <c r="AF14" i="8"/>
  <c r="AE14" i="8"/>
  <c r="AF13" i="8"/>
  <c r="AE13" i="8"/>
  <c r="AF12" i="8"/>
  <c r="AE12" i="8"/>
  <c r="AF11" i="8"/>
  <c r="AE11" i="8"/>
  <c r="AF10" i="8"/>
  <c r="AE10" i="8"/>
  <c r="AF9" i="8"/>
  <c r="AE9" i="8"/>
  <c r="AL8" i="8"/>
  <c r="AJ8" i="8"/>
  <c r="AF8" i="8"/>
  <c r="AE8" i="8"/>
  <c r="AL7" i="8"/>
  <c r="AJ7" i="8"/>
  <c r="AF7" i="8"/>
  <c r="AE7" i="8"/>
  <c r="AL6" i="8"/>
  <c r="AJ6" i="8"/>
  <c r="AF6" i="8"/>
  <c r="AE6" i="8"/>
  <c r="AL5" i="8"/>
  <c r="AJ5" i="8"/>
  <c r="AF5" i="8"/>
  <c r="AE5" i="8"/>
  <c r="S5" i="8"/>
  <c r="Z4" i="8"/>
  <c r="J429" i="4"/>
  <c r="I429" i="4"/>
  <c r="H429" i="4"/>
  <c r="E429" i="4"/>
  <c r="D429" i="4"/>
  <c r="C429" i="4"/>
  <c r="J428" i="4"/>
  <c r="I428" i="4"/>
  <c r="H428" i="4"/>
  <c r="E428" i="4"/>
  <c r="D428" i="4"/>
  <c r="C428" i="4"/>
  <c r="J427" i="4"/>
  <c r="I427" i="4"/>
  <c r="H427" i="4"/>
  <c r="E427" i="4"/>
  <c r="D427" i="4"/>
  <c r="C427" i="4"/>
  <c r="J426" i="4"/>
  <c r="I426" i="4"/>
  <c r="H426" i="4"/>
  <c r="E426" i="4"/>
  <c r="D426" i="4"/>
  <c r="C426" i="4"/>
  <c r="J425" i="4"/>
  <c r="I425" i="4"/>
  <c r="H425" i="4"/>
  <c r="E425" i="4"/>
  <c r="D425" i="4"/>
  <c r="C425" i="4"/>
  <c r="J424" i="4"/>
  <c r="I424" i="4"/>
  <c r="H424" i="4"/>
  <c r="E424" i="4"/>
  <c r="D424" i="4"/>
  <c r="C424" i="4"/>
  <c r="J423" i="4"/>
  <c r="I423" i="4"/>
  <c r="H423" i="4"/>
  <c r="E423" i="4"/>
  <c r="D423" i="4"/>
  <c r="C423" i="4"/>
  <c r="J422" i="4"/>
  <c r="I422" i="4"/>
  <c r="H422" i="4"/>
  <c r="E422" i="4"/>
  <c r="D422" i="4"/>
  <c r="C422" i="4"/>
  <c r="J421" i="4"/>
  <c r="I421" i="4"/>
  <c r="H421" i="4"/>
  <c r="E421" i="4"/>
  <c r="D421" i="4"/>
  <c r="C421" i="4"/>
  <c r="J420" i="4"/>
  <c r="I420" i="4"/>
  <c r="H420" i="4"/>
  <c r="E420" i="4"/>
  <c r="D420" i="4"/>
  <c r="C420" i="4"/>
  <c r="J419" i="4"/>
  <c r="I419" i="4"/>
  <c r="H419" i="4"/>
  <c r="E419" i="4"/>
  <c r="D419" i="4"/>
  <c r="C419" i="4"/>
  <c r="J418" i="4"/>
  <c r="I418" i="4"/>
  <c r="H418" i="4"/>
  <c r="E418" i="4"/>
  <c r="D418" i="4"/>
  <c r="C418" i="4"/>
  <c r="J417" i="4"/>
  <c r="I417" i="4"/>
  <c r="H417" i="4"/>
  <c r="E417" i="4"/>
  <c r="D417" i="4"/>
  <c r="C417" i="4"/>
  <c r="J416" i="4"/>
  <c r="I416" i="4"/>
  <c r="H416" i="4"/>
  <c r="E416" i="4"/>
  <c r="D416" i="4"/>
  <c r="C416" i="4"/>
  <c r="J415" i="4"/>
  <c r="I415" i="4"/>
  <c r="H415" i="4"/>
  <c r="E415" i="4"/>
  <c r="D415" i="4"/>
  <c r="C415" i="4"/>
  <c r="J414" i="4"/>
  <c r="I414" i="4"/>
  <c r="H414" i="4"/>
  <c r="E414" i="4"/>
  <c r="D414" i="4"/>
  <c r="C414" i="4"/>
  <c r="J413" i="4"/>
  <c r="I413" i="4"/>
  <c r="H413" i="4"/>
  <c r="E413" i="4"/>
  <c r="D413" i="4"/>
  <c r="C413" i="4"/>
  <c r="J412" i="4"/>
  <c r="I412" i="4"/>
  <c r="H412" i="4"/>
  <c r="E412" i="4"/>
  <c r="D412" i="4"/>
  <c r="C412" i="4"/>
  <c r="J411" i="4"/>
  <c r="I411" i="4"/>
  <c r="H411" i="4"/>
  <c r="E411" i="4"/>
  <c r="D411" i="4"/>
  <c r="C411" i="4"/>
  <c r="J410" i="4"/>
  <c r="I410" i="4"/>
  <c r="H410" i="4"/>
  <c r="E410" i="4"/>
  <c r="D410" i="4"/>
  <c r="C410" i="4"/>
  <c r="J409" i="4"/>
  <c r="I409" i="4"/>
  <c r="H409" i="4"/>
  <c r="E409" i="4"/>
  <c r="D409" i="4"/>
  <c r="C409" i="4"/>
  <c r="J408" i="4"/>
  <c r="I408" i="4"/>
  <c r="H408" i="4"/>
  <c r="E408" i="4"/>
  <c r="D408" i="4"/>
  <c r="C408" i="4"/>
  <c r="J407" i="4"/>
  <c r="I407" i="4"/>
  <c r="H407" i="4"/>
  <c r="E407" i="4"/>
  <c r="D407" i="4"/>
  <c r="C407" i="4"/>
  <c r="J406" i="4"/>
  <c r="I406" i="4"/>
  <c r="H406" i="4"/>
  <c r="E406" i="4"/>
  <c r="D406" i="4"/>
  <c r="C406" i="4"/>
  <c r="J405" i="4"/>
  <c r="I405" i="4"/>
  <c r="H405" i="4"/>
  <c r="E405" i="4"/>
  <c r="D405" i="4"/>
  <c r="C405" i="4"/>
  <c r="J404" i="4"/>
  <c r="I404" i="4"/>
  <c r="H404" i="4"/>
  <c r="E404" i="4"/>
  <c r="D404" i="4"/>
  <c r="C404" i="4"/>
  <c r="J403" i="4"/>
  <c r="I403" i="4"/>
  <c r="H403" i="4"/>
  <c r="E403" i="4"/>
  <c r="D403" i="4"/>
  <c r="C403" i="4"/>
  <c r="J402" i="4"/>
  <c r="I402" i="4"/>
  <c r="H402" i="4"/>
  <c r="E402" i="4"/>
  <c r="D402" i="4"/>
  <c r="C402" i="4"/>
  <c r="J401" i="4"/>
  <c r="I401" i="4"/>
  <c r="H401" i="4"/>
  <c r="E401" i="4"/>
  <c r="D401" i="4"/>
  <c r="C401" i="4"/>
  <c r="J400" i="4"/>
  <c r="I400" i="4"/>
  <c r="H400" i="4"/>
  <c r="E400" i="4"/>
  <c r="D400" i="4"/>
  <c r="C400" i="4"/>
  <c r="J399" i="4"/>
  <c r="I399" i="4"/>
  <c r="H399" i="4"/>
  <c r="E399" i="4"/>
  <c r="D399" i="4"/>
  <c r="C399" i="4"/>
  <c r="J398" i="4"/>
  <c r="I398" i="4"/>
  <c r="H398" i="4"/>
  <c r="E398" i="4"/>
  <c r="D398" i="4"/>
  <c r="C398" i="4"/>
  <c r="J397" i="4"/>
  <c r="I397" i="4"/>
  <c r="H397" i="4"/>
  <c r="E397" i="4"/>
  <c r="D397" i="4"/>
  <c r="C397" i="4"/>
  <c r="J396" i="4"/>
  <c r="I396" i="4"/>
  <c r="H396" i="4"/>
  <c r="E396" i="4"/>
  <c r="D396" i="4"/>
  <c r="C396" i="4"/>
  <c r="J395" i="4"/>
  <c r="I395" i="4"/>
  <c r="H395" i="4"/>
  <c r="E395" i="4"/>
  <c r="D395" i="4"/>
  <c r="C395" i="4"/>
  <c r="J394" i="4"/>
  <c r="I394" i="4"/>
  <c r="H394" i="4"/>
  <c r="E394" i="4"/>
  <c r="D394" i="4"/>
  <c r="C394" i="4"/>
  <c r="J393" i="4"/>
  <c r="I393" i="4"/>
  <c r="H393" i="4"/>
  <c r="E393" i="4"/>
  <c r="D393" i="4"/>
  <c r="C393" i="4"/>
  <c r="J392" i="4"/>
  <c r="I392" i="4"/>
  <c r="H392" i="4"/>
  <c r="E392" i="4"/>
  <c r="D392" i="4"/>
  <c r="C392" i="4"/>
  <c r="J391" i="4"/>
  <c r="I391" i="4"/>
  <c r="H391" i="4"/>
  <c r="E391" i="4"/>
  <c r="D391" i="4"/>
  <c r="C391" i="4"/>
  <c r="J390" i="4"/>
  <c r="I390" i="4"/>
  <c r="H390" i="4"/>
  <c r="E390" i="4"/>
  <c r="D390" i="4"/>
  <c r="C390" i="4"/>
  <c r="J389" i="4"/>
  <c r="I389" i="4"/>
  <c r="H389" i="4"/>
  <c r="E389" i="4"/>
  <c r="D389" i="4"/>
  <c r="C389" i="4"/>
  <c r="J388" i="4"/>
  <c r="I388" i="4"/>
  <c r="H388" i="4"/>
  <c r="E388" i="4"/>
  <c r="D388" i="4"/>
  <c r="C388" i="4"/>
  <c r="J387" i="4"/>
  <c r="I387" i="4"/>
  <c r="H387" i="4"/>
  <c r="E387" i="4"/>
  <c r="D387" i="4"/>
  <c r="C387" i="4"/>
  <c r="J386" i="4"/>
  <c r="I386" i="4"/>
  <c r="H386" i="4"/>
  <c r="E386" i="4"/>
  <c r="D386" i="4"/>
  <c r="C386" i="4"/>
  <c r="J385" i="4"/>
  <c r="I385" i="4"/>
  <c r="H385" i="4"/>
  <c r="E385" i="4"/>
  <c r="D385" i="4"/>
  <c r="C385" i="4"/>
  <c r="J384" i="4"/>
  <c r="I384" i="4"/>
  <c r="H384" i="4"/>
  <c r="E384" i="4"/>
  <c r="D384" i="4"/>
  <c r="C384" i="4"/>
  <c r="J383" i="4"/>
  <c r="I383" i="4"/>
  <c r="H383" i="4"/>
  <c r="E383" i="4"/>
  <c r="D383" i="4"/>
  <c r="C383" i="4"/>
  <c r="J382" i="4"/>
  <c r="I382" i="4"/>
  <c r="H382" i="4"/>
  <c r="E382" i="4"/>
  <c r="D382" i="4"/>
  <c r="C382" i="4"/>
  <c r="J381" i="4"/>
  <c r="I381" i="4"/>
  <c r="H381" i="4"/>
  <c r="E381" i="4"/>
  <c r="D381" i="4"/>
  <c r="C381" i="4"/>
  <c r="J380" i="4"/>
  <c r="I380" i="4"/>
  <c r="H380" i="4"/>
  <c r="E380" i="4"/>
  <c r="D380" i="4"/>
  <c r="C380" i="4"/>
  <c r="J379" i="4"/>
  <c r="I379" i="4"/>
  <c r="H379" i="4"/>
  <c r="E379" i="4"/>
  <c r="D379" i="4"/>
  <c r="C379" i="4"/>
  <c r="J378" i="4"/>
  <c r="I378" i="4"/>
  <c r="H378" i="4"/>
  <c r="E378" i="4"/>
  <c r="D378" i="4"/>
  <c r="C378" i="4"/>
  <c r="J377" i="4"/>
  <c r="I377" i="4"/>
  <c r="H377" i="4"/>
  <c r="E377" i="4"/>
  <c r="D377" i="4"/>
  <c r="C377" i="4"/>
  <c r="J376" i="4"/>
  <c r="I376" i="4"/>
  <c r="H376" i="4"/>
  <c r="E376" i="4"/>
  <c r="D376" i="4"/>
  <c r="C376" i="4"/>
  <c r="J375" i="4"/>
  <c r="I375" i="4"/>
  <c r="H375" i="4"/>
  <c r="E375" i="4"/>
  <c r="D375" i="4"/>
  <c r="C375" i="4"/>
  <c r="J374" i="4"/>
  <c r="I374" i="4"/>
  <c r="H374" i="4"/>
  <c r="E374" i="4"/>
  <c r="D374" i="4"/>
  <c r="C374" i="4"/>
  <c r="J373" i="4"/>
  <c r="I373" i="4"/>
  <c r="H373" i="4"/>
  <c r="E373" i="4"/>
  <c r="D373" i="4"/>
  <c r="C373" i="4"/>
  <c r="J372" i="4"/>
  <c r="I372" i="4"/>
  <c r="H372" i="4"/>
  <c r="E372" i="4"/>
  <c r="D372" i="4"/>
  <c r="C372" i="4"/>
  <c r="J371" i="4"/>
  <c r="I371" i="4"/>
  <c r="H371" i="4"/>
  <c r="E371" i="4"/>
  <c r="D371" i="4"/>
  <c r="C371" i="4"/>
  <c r="J370" i="4"/>
  <c r="I370" i="4"/>
  <c r="H370" i="4"/>
  <c r="E370" i="4"/>
  <c r="D370" i="4"/>
  <c r="C370" i="4"/>
  <c r="J369" i="4"/>
  <c r="I369" i="4"/>
  <c r="H369" i="4"/>
  <c r="E369" i="4"/>
  <c r="D369" i="4"/>
  <c r="C369" i="4"/>
  <c r="J368" i="4"/>
  <c r="I368" i="4"/>
  <c r="H368" i="4"/>
  <c r="E368" i="4"/>
  <c r="D368" i="4"/>
  <c r="C368" i="4"/>
  <c r="J367" i="4"/>
  <c r="I367" i="4"/>
  <c r="H367" i="4"/>
  <c r="E367" i="4"/>
  <c r="D367" i="4"/>
  <c r="C367" i="4"/>
  <c r="J366" i="4"/>
  <c r="I366" i="4"/>
  <c r="H366" i="4"/>
  <c r="E366" i="4"/>
  <c r="D366" i="4"/>
  <c r="C366" i="4"/>
  <c r="J365" i="4"/>
  <c r="I365" i="4"/>
  <c r="H365" i="4"/>
  <c r="E365" i="4"/>
  <c r="D365" i="4"/>
  <c r="C365" i="4"/>
  <c r="J364" i="4"/>
  <c r="I364" i="4"/>
  <c r="H364" i="4"/>
  <c r="E364" i="4"/>
  <c r="D364" i="4"/>
  <c r="C364" i="4"/>
  <c r="J363" i="4"/>
  <c r="I363" i="4"/>
  <c r="H363" i="4"/>
  <c r="E363" i="4"/>
  <c r="D363" i="4"/>
  <c r="C363" i="4"/>
  <c r="J362" i="4"/>
  <c r="I362" i="4"/>
  <c r="H362" i="4"/>
  <c r="E362" i="4"/>
  <c r="D362" i="4"/>
  <c r="C362" i="4"/>
  <c r="J361" i="4"/>
  <c r="I361" i="4"/>
  <c r="H361" i="4"/>
  <c r="E361" i="4"/>
  <c r="D361" i="4"/>
  <c r="C361" i="4"/>
  <c r="J360" i="4"/>
  <c r="I360" i="4"/>
  <c r="H360" i="4"/>
  <c r="E360" i="4"/>
  <c r="D360" i="4"/>
  <c r="C360" i="4"/>
  <c r="J359" i="4"/>
  <c r="I359" i="4"/>
  <c r="H359" i="4"/>
  <c r="E359" i="4"/>
  <c r="D359" i="4"/>
  <c r="C359" i="4"/>
  <c r="J358" i="4"/>
  <c r="I358" i="4"/>
  <c r="H358" i="4"/>
  <c r="E358" i="4"/>
  <c r="D358" i="4"/>
  <c r="C358" i="4"/>
  <c r="J357" i="4"/>
  <c r="I357" i="4"/>
  <c r="H357" i="4"/>
  <c r="E357" i="4"/>
  <c r="D357" i="4"/>
  <c r="C357" i="4"/>
  <c r="J356" i="4"/>
  <c r="I356" i="4"/>
  <c r="H356" i="4"/>
  <c r="E356" i="4"/>
  <c r="D356" i="4"/>
  <c r="C356" i="4"/>
  <c r="J355" i="4"/>
  <c r="I355" i="4"/>
  <c r="H355" i="4"/>
  <c r="E355" i="4"/>
  <c r="D355" i="4"/>
  <c r="C355" i="4"/>
  <c r="J354" i="4"/>
  <c r="I354" i="4"/>
  <c r="H354" i="4"/>
  <c r="E354" i="4"/>
  <c r="D354" i="4"/>
  <c r="C354" i="4"/>
  <c r="J353" i="4"/>
  <c r="I353" i="4"/>
  <c r="H353" i="4"/>
  <c r="E353" i="4"/>
  <c r="D353" i="4"/>
  <c r="C353" i="4"/>
  <c r="J352" i="4"/>
  <c r="I352" i="4"/>
  <c r="H352" i="4"/>
  <c r="E352" i="4"/>
  <c r="D352" i="4"/>
  <c r="C352" i="4"/>
  <c r="J351" i="4"/>
  <c r="I351" i="4"/>
  <c r="H351" i="4"/>
  <c r="E351" i="4"/>
  <c r="D351" i="4"/>
  <c r="C351" i="4"/>
  <c r="J350" i="4"/>
  <c r="I350" i="4"/>
  <c r="H350" i="4"/>
  <c r="E350" i="4"/>
  <c r="D350" i="4"/>
  <c r="C350" i="4"/>
  <c r="J349" i="4"/>
  <c r="I349" i="4"/>
  <c r="H349" i="4"/>
  <c r="E349" i="4"/>
  <c r="D349" i="4"/>
  <c r="C349" i="4"/>
  <c r="J348" i="4"/>
  <c r="I348" i="4"/>
  <c r="H348" i="4"/>
  <c r="E348" i="4"/>
  <c r="D348" i="4"/>
  <c r="C348" i="4"/>
  <c r="J347" i="4"/>
  <c r="I347" i="4"/>
  <c r="H347" i="4"/>
  <c r="E347" i="4"/>
  <c r="D347" i="4"/>
  <c r="C347" i="4"/>
  <c r="J346" i="4"/>
  <c r="I346" i="4"/>
  <c r="H346" i="4"/>
  <c r="E346" i="4"/>
  <c r="D346" i="4"/>
  <c r="C346" i="4"/>
  <c r="J345" i="4"/>
  <c r="I345" i="4"/>
  <c r="H345" i="4"/>
  <c r="E345" i="4"/>
  <c r="D345" i="4"/>
  <c r="C345" i="4"/>
  <c r="J344" i="4"/>
  <c r="I344" i="4"/>
  <c r="H344" i="4"/>
  <c r="E344" i="4"/>
  <c r="D344" i="4"/>
  <c r="C344" i="4"/>
  <c r="J343" i="4"/>
  <c r="I343" i="4"/>
  <c r="H343" i="4"/>
  <c r="E343" i="4"/>
  <c r="D343" i="4"/>
  <c r="C343" i="4"/>
  <c r="J342" i="4"/>
  <c r="I342" i="4"/>
  <c r="H342" i="4"/>
  <c r="E342" i="4"/>
  <c r="D342" i="4"/>
  <c r="C342" i="4"/>
  <c r="J341" i="4"/>
  <c r="I341" i="4"/>
  <c r="H341" i="4"/>
  <c r="E341" i="4"/>
  <c r="D341" i="4"/>
  <c r="C341" i="4"/>
  <c r="J340" i="4"/>
  <c r="I340" i="4"/>
  <c r="H340" i="4"/>
  <c r="E340" i="4"/>
  <c r="D340" i="4"/>
  <c r="C340" i="4"/>
  <c r="J339" i="4"/>
  <c r="I339" i="4"/>
  <c r="H339" i="4"/>
  <c r="E339" i="4"/>
  <c r="D339" i="4"/>
  <c r="C339" i="4"/>
  <c r="J338" i="4"/>
  <c r="I338" i="4"/>
  <c r="H338" i="4"/>
  <c r="E338" i="4"/>
  <c r="D338" i="4"/>
  <c r="C338" i="4"/>
  <c r="J337" i="4"/>
  <c r="I337" i="4"/>
  <c r="H337" i="4"/>
  <c r="E337" i="4"/>
  <c r="D337" i="4"/>
  <c r="C337" i="4"/>
  <c r="J336" i="4"/>
  <c r="I336" i="4"/>
  <c r="H336" i="4"/>
  <c r="E336" i="4"/>
  <c r="D336" i="4"/>
  <c r="C336" i="4"/>
  <c r="J335" i="4"/>
  <c r="I335" i="4"/>
  <c r="H335" i="4"/>
  <c r="E335" i="4"/>
  <c r="D335" i="4"/>
  <c r="C335" i="4"/>
  <c r="J334" i="4"/>
  <c r="I334" i="4"/>
  <c r="H334" i="4"/>
  <c r="E334" i="4"/>
  <c r="D334" i="4"/>
  <c r="C334" i="4"/>
  <c r="J333" i="4"/>
  <c r="I333" i="4"/>
  <c r="H333" i="4"/>
  <c r="E333" i="4"/>
  <c r="D333" i="4"/>
  <c r="C333" i="4"/>
  <c r="J332" i="4"/>
  <c r="I332" i="4"/>
  <c r="H332" i="4"/>
  <c r="E332" i="4"/>
  <c r="D332" i="4"/>
  <c r="C332" i="4"/>
  <c r="J331" i="4"/>
  <c r="I331" i="4"/>
  <c r="H331" i="4"/>
  <c r="E331" i="4"/>
  <c r="D331" i="4"/>
  <c r="C331" i="4"/>
  <c r="J330" i="4"/>
  <c r="I330" i="4"/>
  <c r="H330" i="4"/>
  <c r="E330" i="4"/>
  <c r="D330" i="4"/>
  <c r="C330" i="4"/>
  <c r="J329" i="4"/>
  <c r="I329" i="4"/>
  <c r="H329" i="4"/>
  <c r="E329" i="4"/>
  <c r="D329" i="4"/>
  <c r="C329" i="4"/>
  <c r="J328" i="4"/>
  <c r="I328" i="4"/>
  <c r="H328" i="4"/>
  <c r="E328" i="4"/>
  <c r="D328" i="4"/>
  <c r="C328" i="4"/>
  <c r="J327" i="4"/>
  <c r="I327" i="4"/>
  <c r="H327" i="4"/>
  <c r="E327" i="4"/>
  <c r="D327" i="4"/>
  <c r="C327" i="4"/>
  <c r="J326" i="4"/>
  <c r="I326" i="4"/>
  <c r="H326" i="4"/>
  <c r="E326" i="4"/>
  <c r="D326" i="4"/>
  <c r="C326" i="4"/>
  <c r="J325" i="4"/>
  <c r="I325" i="4"/>
  <c r="H325" i="4"/>
  <c r="E325" i="4"/>
  <c r="D325" i="4"/>
  <c r="C325" i="4"/>
  <c r="J324" i="4"/>
  <c r="I324" i="4"/>
  <c r="H324" i="4"/>
  <c r="E324" i="4"/>
  <c r="D324" i="4"/>
  <c r="C324" i="4"/>
  <c r="J323" i="4"/>
  <c r="I323" i="4"/>
  <c r="H323" i="4"/>
  <c r="E323" i="4"/>
  <c r="D323" i="4"/>
  <c r="C323" i="4"/>
  <c r="J322" i="4"/>
  <c r="I322" i="4"/>
  <c r="H322" i="4"/>
  <c r="E322" i="4"/>
  <c r="D322" i="4"/>
  <c r="C322" i="4"/>
  <c r="J321" i="4"/>
  <c r="I321" i="4"/>
  <c r="H321" i="4"/>
  <c r="E321" i="4"/>
  <c r="D321" i="4"/>
  <c r="C321" i="4"/>
  <c r="J320" i="4"/>
  <c r="I320" i="4"/>
  <c r="H320" i="4"/>
  <c r="E320" i="4"/>
  <c r="D320" i="4"/>
  <c r="C320" i="4"/>
  <c r="J319" i="4"/>
  <c r="I319" i="4"/>
  <c r="H319" i="4"/>
  <c r="E319" i="4"/>
  <c r="D319" i="4"/>
  <c r="C319" i="4"/>
  <c r="J318" i="4"/>
  <c r="I318" i="4"/>
  <c r="H318" i="4"/>
  <c r="E318" i="4"/>
  <c r="D318" i="4"/>
  <c r="C318" i="4"/>
  <c r="J317" i="4"/>
  <c r="I317" i="4"/>
  <c r="H317" i="4"/>
  <c r="E317" i="4"/>
  <c r="D317" i="4"/>
  <c r="C317" i="4"/>
  <c r="J316" i="4"/>
  <c r="I316" i="4"/>
  <c r="H316" i="4"/>
  <c r="E316" i="4"/>
  <c r="D316" i="4"/>
  <c r="C316" i="4"/>
  <c r="J315" i="4"/>
  <c r="I315" i="4"/>
  <c r="H315" i="4"/>
  <c r="E315" i="4"/>
  <c r="D315" i="4"/>
  <c r="C315" i="4"/>
  <c r="J314" i="4"/>
  <c r="I314" i="4"/>
  <c r="H314" i="4"/>
  <c r="E314" i="4"/>
  <c r="D314" i="4"/>
  <c r="C314" i="4"/>
  <c r="J313" i="4"/>
  <c r="I313" i="4"/>
  <c r="H313" i="4"/>
  <c r="E313" i="4"/>
  <c r="D313" i="4"/>
  <c r="C313" i="4"/>
  <c r="J312" i="4"/>
  <c r="I312" i="4"/>
  <c r="H312" i="4"/>
  <c r="E312" i="4"/>
  <c r="D312" i="4"/>
  <c r="C312" i="4"/>
  <c r="J311" i="4"/>
  <c r="I311" i="4"/>
  <c r="H311" i="4"/>
  <c r="E311" i="4"/>
  <c r="D311" i="4"/>
  <c r="C311" i="4"/>
  <c r="J310" i="4"/>
  <c r="I310" i="4"/>
  <c r="H310" i="4"/>
  <c r="E310" i="4"/>
  <c r="D310" i="4"/>
  <c r="C310" i="4"/>
  <c r="J309" i="4"/>
  <c r="I309" i="4"/>
  <c r="H309" i="4"/>
  <c r="E309" i="4"/>
  <c r="D309" i="4"/>
  <c r="C309" i="4"/>
  <c r="J308" i="4"/>
  <c r="I308" i="4"/>
  <c r="H308" i="4"/>
  <c r="E308" i="4"/>
  <c r="D308" i="4"/>
  <c r="C308" i="4"/>
  <c r="J307" i="4"/>
  <c r="I307" i="4"/>
  <c r="H307" i="4"/>
  <c r="E307" i="4"/>
  <c r="D307" i="4"/>
  <c r="C307" i="4"/>
  <c r="J306" i="4"/>
  <c r="I306" i="4"/>
  <c r="H306" i="4"/>
  <c r="E306" i="4"/>
  <c r="D306" i="4"/>
  <c r="C306" i="4"/>
  <c r="J305" i="4"/>
  <c r="I305" i="4"/>
  <c r="H305" i="4"/>
  <c r="E305" i="4"/>
  <c r="D305" i="4"/>
  <c r="C305" i="4"/>
  <c r="J304" i="4"/>
  <c r="I304" i="4"/>
  <c r="H304" i="4"/>
  <c r="E304" i="4"/>
  <c r="D304" i="4"/>
  <c r="C304" i="4"/>
  <c r="J303" i="4"/>
  <c r="I303" i="4"/>
  <c r="H303" i="4"/>
  <c r="E303" i="4"/>
  <c r="D303" i="4"/>
  <c r="C303" i="4"/>
  <c r="J302" i="4"/>
  <c r="I302" i="4"/>
  <c r="H302" i="4"/>
  <c r="E302" i="4"/>
  <c r="D302" i="4"/>
  <c r="C302" i="4"/>
  <c r="J301" i="4"/>
  <c r="I301" i="4"/>
  <c r="H301" i="4"/>
  <c r="E301" i="4"/>
  <c r="D301" i="4"/>
  <c r="C301" i="4"/>
  <c r="J300" i="4"/>
  <c r="I300" i="4"/>
  <c r="H300" i="4"/>
  <c r="E300" i="4"/>
  <c r="D300" i="4"/>
  <c r="C300" i="4"/>
  <c r="J299" i="4"/>
  <c r="I299" i="4"/>
  <c r="H299" i="4"/>
  <c r="E299" i="4"/>
  <c r="D299" i="4"/>
  <c r="C299" i="4"/>
  <c r="J298" i="4"/>
  <c r="I298" i="4"/>
  <c r="H298" i="4"/>
  <c r="E298" i="4"/>
  <c r="D298" i="4"/>
  <c r="C298" i="4"/>
  <c r="J297" i="4"/>
  <c r="I297" i="4"/>
  <c r="H297" i="4"/>
  <c r="E297" i="4"/>
  <c r="D297" i="4"/>
  <c r="C297" i="4"/>
  <c r="J296" i="4"/>
  <c r="I296" i="4"/>
  <c r="H296" i="4"/>
  <c r="E296" i="4"/>
  <c r="D296" i="4"/>
  <c r="C296" i="4"/>
  <c r="J295" i="4"/>
  <c r="I295" i="4"/>
  <c r="H295" i="4"/>
  <c r="E295" i="4"/>
  <c r="D295" i="4"/>
  <c r="C295" i="4"/>
  <c r="J294" i="4"/>
  <c r="I294" i="4"/>
  <c r="H294" i="4"/>
  <c r="E294" i="4"/>
  <c r="D294" i="4"/>
  <c r="C294" i="4"/>
  <c r="J293" i="4"/>
  <c r="I293" i="4"/>
  <c r="H293" i="4"/>
  <c r="E293" i="4"/>
  <c r="D293" i="4"/>
  <c r="C293" i="4"/>
  <c r="J292" i="4"/>
  <c r="I292" i="4"/>
  <c r="H292" i="4"/>
  <c r="E292" i="4"/>
  <c r="D292" i="4"/>
  <c r="C292" i="4"/>
  <c r="J291" i="4"/>
  <c r="I291" i="4"/>
  <c r="H291" i="4"/>
  <c r="E291" i="4"/>
  <c r="D291" i="4"/>
  <c r="C291" i="4"/>
  <c r="J290" i="4"/>
  <c r="I290" i="4"/>
  <c r="H290" i="4"/>
  <c r="E290" i="4"/>
  <c r="D290" i="4"/>
  <c r="C290" i="4"/>
  <c r="J289" i="4"/>
  <c r="I289" i="4"/>
  <c r="H289" i="4"/>
  <c r="E289" i="4"/>
  <c r="D289" i="4"/>
  <c r="C289" i="4"/>
  <c r="J288" i="4"/>
  <c r="I288" i="4"/>
  <c r="H288" i="4"/>
  <c r="E288" i="4"/>
  <c r="D288" i="4"/>
  <c r="C288" i="4"/>
  <c r="J287" i="4"/>
  <c r="I287" i="4"/>
  <c r="H287" i="4"/>
  <c r="E287" i="4"/>
  <c r="D287" i="4"/>
  <c r="C287" i="4"/>
  <c r="J286" i="4"/>
  <c r="I286" i="4"/>
  <c r="H286" i="4"/>
  <c r="E286" i="4"/>
  <c r="D286" i="4"/>
  <c r="C286" i="4"/>
  <c r="J285" i="4"/>
  <c r="I285" i="4"/>
  <c r="H285" i="4"/>
  <c r="E285" i="4"/>
  <c r="D285" i="4"/>
  <c r="C285" i="4"/>
  <c r="J284" i="4"/>
  <c r="I284" i="4"/>
  <c r="H284" i="4"/>
  <c r="E284" i="4"/>
  <c r="D284" i="4"/>
  <c r="C284" i="4"/>
  <c r="J283" i="4"/>
  <c r="I283" i="4"/>
  <c r="H283" i="4"/>
  <c r="E283" i="4"/>
  <c r="D283" i="4"/>
  <c r="C283" i="4"/>
  <c r="J282" i="4"/>
  <c r="I282" i="4"/>
  <c r="H282" i="4"/>
  <c r="E282" i="4"/>
  <c r="D282" i="4"/>
  <c r="C282" i="4"/>
  <c r="J281" i="4"/>
  <c r="I281" i="4"/>
  <c r="H281" i="4"/>
  <c r="E281" i="4"/>
  <c r="D281" i="4"/>
  <c r="C281" i="4"/>
  <c r="J280" i="4"/>
  <c r="I280" i="4"/>
  <c r="H280" i="4"/>
  <c r="E280" i="4"/>
  <c r="D280" i="4"/>
  <c r="C280" i="4"/>
  <c r="J279" i="4"/>
  <c r="I279" i="4"/>
  <c r="H279" i="4"/>
  <c r="E279" i="4"/>
  <c r="D279" i="4"/>
  <c r="C279" i="4"/>
  <c r="J278" i="4"/>
  <c r="I278" i="4"/>
  <c r="H278" i="4"/>
  <c r="E278" i="4"/>
  <c r="D278" i="4"/>
  <c r="C278" i="4"/>
  <c r="J277" i="4"/>
  <c r="I277" i="4"/>
  <c r="H277" i="4"/>
  <c r="E277" i="4"/>
  <c r="D277" i="4"/>
  <c r="C277" i="4"/>
  <c r="J276" i="4"/>
  <c r="I276" i="4"/>
  <c r="H276" i="4"/>
  <c r="E276" i="4"/>
  <c r="D276" i="4"/>
  <c r="C276" i="4"/>
  <c r="J275" i="4"/>
  <c r="I275" i="4"/>
  <c r="H275" i="4"/>
  <c r="E275" i="4"/>
  <c r="D275" i="4"/>
  <c r="C275" i="4"/>
  <c r="J274" i="4"/>
  <c r="I274" i="4"/>
  <c r="H274" i="4"/>
  <c r="E274" i="4"/>
  <c r="D274" i="4"/>
  <c r="C274" i="4"/>
  <c r="J273" i="4"/>
  <c r="I273" i="4"/>
  <c r="H273" i="4"/>
  <c r="E273" i="4"/>
  <c r="D273" i="4"/>
  <c r="C273" i="4"/>
  <c r="J272" i="4"/>
  <c r="I272" i="4"/>
  <c r="H272" i="4"/>
  <c r="E272" i="4"/>
  <c r="D272" i="4"/>
  <c r="C272" i="4"/>
  <c r="J271" i="4"/>
  <c r="I271" i="4"/>
  <c r="H271" i="4"/>
  <c r="E271" i="4"/>
  <c r="D271" i="4"/>
  <c r="C271" i="4"/>
  <c r="J270" i="4"/>
  <c r="I270" i="4"/>
  <c r="H270" i="4"/>
  <c r="E270" i="4"/>
  <c r="D270" i="4"/>
  <c r="C270" i="4"/>
  <c r="J269" i="4"/>
  <c r="I269" i="4"/>
  <c r="H269" i="4"/>
  <c r="E269" i="4"/>
  <c r="D269" i="4"/>
  <c r="C269" i="4"/>
  <c r="J268" i="4"/>
  <c r="I268" i="4"/>
  <c r="H268" i="4"/>
  <c r="E268" i="4"/>
  <c r="D268" i="4"/>
  <c r="C268" i="4"/>
  <c r="J267" i="4"/>
  <c r="I267" i="4"/>
  <c r="H267" i="4"/>
  <c r="E267" i="4"/>
  <c r="D267" i="4"/>
  <c r="C267" i="4"/>
  <c r="J266" i="4"/>
  <c r="I266" i="4"/>
  <c r="H266" i="4"/>
  <c r="E266" i="4"/>
  <c r="D266" i="4"/>
  <c r="C266" i="4"/>
  <c r="J265" i="4"/>
  <c r="I265" i="4"/>
  <c r="H265" i="4"/>
  <c r="E265" i="4"/>
  <c r="D265" i="4"/>
  <c r="C265" i="4"/>
  <c r="J264" i="4"/>
  <c r="I264" i="4"/>
  <c r="H264" i="4"/>
  <c r="E264" i="4"/>
  <c r="D264" i="4"/>
  <c r="C264" i="4"/>
  <c r="J263" i="4"/>
  <c r="I263" i="4"/>
  <c r="H263" i="4"/>
  <c r="E263" i="4"/>
  <c r="D263" i="4"/>
  <c r="C263" i="4"/>
  <c r="J262" i="4"/>
  <c r="I262" i="4"/>
  <c r="H262" i="4"/>
  <c r="E262" i="4"/>
  <c r="D262" i="4"/>
  <c r="C262" i="4"/>
  <c r="J261" i="4"/>
  <c r="I261" i="4"/>
  <c r="H261" i="4"/>
  <c r="E261" i="4"/>
  <c r="D261" i="4"/>
  <c r="C261" i="4"/>
  <c r="J260" i="4"/>
  <c r="I260" i="4"/>
  <c r="H260" i="4"/>
  <c r="E260" i="4"/>
  <c r="D260" i="4"/>
  <c r="C260" i="4"/>
  <c r="J259" i="4"/>
  <c r="I259" i="4"/>
  <c r="H259" i="4"/>
  <c r="E259" i="4"/>
  <c r="D259" i="4"/>
  <c r="C259" i="4"/>
  <c r="J258" i="4"/>
  <c r="I258" i="4"/>
  <c r="H258" i="4"/>
  <c r="E258" i="4"/>
  <c r="D258" i="4"/>
  <c r="C258" i="4"/>
  <c r="J257" i="4"/>
  <c r="I257" i="4"/>
  <c r="H257" i="4"/>
  <c r="E257" i="4"/>
  <c r="D257" i="4"/>
  <c r="C257" i="4"/>
  <c r="J256" i="4"/>
  <c r="I256" i="4"/>
  <c r="H256" i="4"/>
  <c r="E256" i="4"/>
  <c r="D256" i="4"/>
  <c r="C256" i="4"/>
  <c r="J255" i="4"/>
  <c r="I255" i="4"/>
  <c r="H255" i="4"/>
  <c r="E255" i="4"/>
  <c r="D255" i="4"/>
  <c r="C255" i="4"/>
  <c r="J254" i="4"/>
  <c r="I254" i="4"/>
  <c r="H254" i="4"/>
  <c r="E254" i="4"/>
  <c r="D254" i="4"/>
  <c r="C254" i="4"/>
  <c r="J253" i="4"/>
  <c r="I253" i="4"/>
  <c r="H253" i="4"/>
  <c r="E253" i="4"/>
  <c r="D253" i="4"/>
  <c r="C253" i="4"/>
  <c r="J252" i="4"/>
  <c r="I252" i="4"/>
  <c r="H252" i="4"/>
  <c r="E252" i="4"/>
  <c r="D252" i="4"/>
  <c r="C252" i="4"/>
  <c r="J251" i="4"/>
  <c r="I251" i="4"/>
  <c r="H251" i="4"/>
  <c r="E251" i="4"/>
  <c r="D251" i="4"/>
  <c r="C251" i="4"/>
  <c r="J250" i="4"/>
  <c r="I250" i="4"/>
  <c r="H250" i="4"/>
  <c r="E250" i="4"/>
  <c r="D250" i="4"/>
  <c r="C250" i="4"/>
  <c r="J249" i="4"/>
  <c r="I249" i="4"/>
  <c r="H249" i="4"/>
  <c r="E249" i="4"/>
  <c r="D249" i="4"/>
  <c r="C249" i="4"/>
  <c r="J248" i="4"/>
  <c r="I248" i="4"/>
  <c r="H248" i="4"/>
  <c r="E248" i="4"/>
  <c r="D248" i="4"/>
  <c r="C248" i="4"/>
  <c r="J247" i="4"/>
  <c r="I247" i="4"/>
  <c r="H247" i="4"/>
  <c r="E247" i="4"/>
  <c r="D247" i="4"/>
  <c r="C247" i="4"/>
  <c r="J246" i="4"/>
  <c r="I246" i="4"/>
  <c r="H246" i="4"/>
  <c r="E246" i="4"/>
  <c r="D246" i="4"/>
  <c r="C246" i="4"/>
  <c r="J245" i="4"/>
  <c r="I245" i="4"/>
  <c r="H245" i="4"/>
  <c r="E245" i="4"/>
  <c r="D245" i="4"/>
  <c r="C245" i="4"/>
  <c r="J244" i="4"/>
  <c r="I244" i="4"/>
  <c r="H244" i="4"/>
  <c r="E244" i="4"/>
  <c r="D244" i="4"/>
  <c r="C244" i="4"/>
  <c r="J243" i="4"/>
  <c r="I243" i="4"/>
  <c r="H243" i="4"/>
  <c r="E243" i="4"/>
  <c r="D243" i="4"/>
  <c r="C243" i="4"/>
  <c r="J242" i="4"/>
  <c r="I242" i="4"/>
  <c r="H242" i="4"/>
  <c r="E242" i="4"/>
  <c r="D242" i="4"/>
  <c r="C242" i="4"/>
  <c r="J241" i="4"/>
  <c r="I241" i="4"/>
  <c r="H241" i="4"/>
  <c r="E241" i="4"/>
  <c r="D241" i="4"/>
  <c r="C241" i="4"/>
  <c r="J240" i="4"/>
  <c r="I240" i="4"/>
  <c r="H240" i="4"/>
  <c r="E240" i="4"/>
  <c r="D240" i="4"/>
  <c r="C240" i="4"/>
  <c r="J239" i="4"/>
  <c r="I239" i="4"/>
  <c r="H239" i="4"/>
  <c r="E239" i="4"/>
  <c r="D239" i="4"/>
  <c r="C239" i="4"/>
  <c r="J238" i="4"/>
  <c r="I238" i="4"/>
  <c r="H238" i="4"/>
  <c r="E238" i="4"/>
  <c r="D238" i="4"/>
  <c r="C238" i="4"/>
  <c r="J237" i="4"/>
  <c r="I237" i="4"/>
  <c r="H237" i="4"/>
  <c r="E237" i="4"/>
  <c r="D237" i="4"/>
  <c r="C237" i="4"/>
  <c r="J236" i="4"/>
  <c r="I236" i="4"/>
  <c r="H236" i="4"/>
  <c r="E236" i="4"/>
  <c r="D236" i="4"/>
  <c r="C236" i="4"/>
  <c r="J235" i="4"/>
  <c r="I235" i="4"/>
  <c r="H235" i="4"/>
  <c r="E235" i="4"/>
  <c r="D235" i="4"/>
  <c r="C235" i="4"/>
  <c r="J234" i="4"/>
  <c r="I234" i="4"/>
  <c r="H234" i="4"/>
  <c r="E234" i="4"/>
  <c r="D234" i="4"/>
  <c r="C234" i="4"/>
  <c r="J233" i="4"/>
  <c r="I233" i="4"/>
  <c r="H233" i="4"/>
  <c r="E233" i="4"/>
  <c r="D233" i="4"/>
  <c r="C233" i="4"/>
  <c r="J232" i="4"/>
  <c r="I232" i="4"/>
  <c r="H232" i="4"/>
  <c r="E232" i="4"/>
  <c r="D232" i="4"/>
  <c r="C232" i="4"/>
  <c r="J231" i="4"/>
  <c r="I231" i="4"/>
  <c r="H231" i="4"/>
  <c r="E231" i="4"/>
  <c r="D231" i="4"/>
  <c r="C231" i="4"/>
  <c r="J230" i="4"/>
  <c r="I230" i="4"/>
  <c r="H230" i="4"/>
  <c r="E230" i="4"/>
  <c r="D230" i="4"/>
  <c r="C230" i="4"/>
  <c r="J229" i="4"/>
  <c r="I229" i="4"/>
  <c r="H229" i="4"/>
  <c r="E229" i="4"/>
  <c r="D229" i="4"/>
  <c r="C229" i="4"/>
  <c r="J228" i="4"/>
  <c r="I228" i="4"/>
  <c r="H228" i="4"/>
  <c r="E228" i="4"/>
  <c r="D228" i="4"/>
  <c r="C228" i="4"/>
  <c r="J227" i="4"/>
  <c r="I227" i="4"/>
  <c r="H227" i="4"/>
  <c r="E227" i="4"/>
  <c r="D227" i="4"/>
  <c r="C227" i="4"/>
  <c r="J226" i="4"/>
  <c r="I226" i="4"/>
  <c r="H226" i="4"/>
  <c r="E226" i="4"/>
  <c r="D226" i="4"/>
  <c r="C226" i="4"/>
  <c r="J225" i="4"/>
  <c r="I225" i="4"/>
  <c r="H225" i="4"/>
  <c r="E225" i="4"/>
  <c r="D225" i="4"/>
  <c r="C225" i="4"/>
  <c r="J224" i="4"/>
  <c r="I224" i="4"/>
  <c r="H224" i="4"/>
  <c r="E224" i="4"/>
  <c r="D224" i="4"/>
  <c r="C224" i="4"/>
  <c r="J223" i="4"/>
  <c r="I223" i="4"/>
  <c r="H223" i="4"/>
  <c r="E223" i="4"/>
  <c r="D223" i="4"/>
  <c r="C223" i="4"/>
  <c r="J222" i="4"/>
  <c r="I222" i="4"/>
  <c r="H222" i="4"/>
  <c r="E222" i="4"/>
  <c r="D222" i="4"/>
  <c r="C222" i="4"/>
  <c r="J221" i="4"/>
  <c r="I221" i="4"/>
  <c r="H221" i="4"/>
  <c r="E221" i="4"/>
  <c r="D221" i="4"/>
  <c r="C221" i="4"/>
  <c r="J220" i="4"/>
  <c r="I220" i="4"/>
  <c r="H220" i="4"/>
  <c r="E220" i="4"/>
  <c r="D220" i="4"/>
  <c r="C220" i="4"/>
  <c r="J219" i="4"/>
  <c r="I219" i="4"/>
  <c r="H219" i="4"/>
  <c r="E219" i="4"/>
  <c r="D219" i="4"/>
  <c r="C219" i="4"/>
  <c r="J218" i="4"/>
  <c r="I218" i="4"/>
  <c r="H218" i="4"/>
  <c r="E218" i="4"/>
  <c r="D218" i="4"/>
  <c r="C218" i="4"/>
  <c r="J217" i="4"/>
  <c r="I217" i="4"/>
  <c r="H217" i="4"/>
  <c r="E217" i="4"/>
  <c r="D217" i="4"/>
  <c r="C217" i="4"/>
  <c r="J216" i="4"/>
  <c r="I216" i="4"/>
  <c r="H216" i="4"/>
  <c r="E216" i="4"/>
  <c r="D216" i="4"/>
  <c r="C216" i="4"/>
  <c r="J215" i="4"/>
  <c r="I215" i="4"/>
  <c r="H215" i="4"/>
  <c r="E215" i="4"/>
  <c r="D215" i="4"/>
  <c r="C215" i="4"/>
  <c r="J214" i="4"/>
  <c r="I214" i="4"/>
  <c r="H214" i="4"/>
  <c r="E214" i="4"/>
  <c r="D214" i="4"/>
  <c r="C214" i="4"/>
  <c r="J213" i="4"/>
  <c r="I213" i="4"/>
  <c r="H213" i="4"/>
  <c r="E213" i="4"/>
  <c r="D213" i="4"/>
  <c r="C213" i="4"/>
  <c r="J212" i="4"/>
  <c r="I212" i="4"/>
  <c r="H212" i="4"/>
  <c r="E212" i="4"/>
  <c r="D212" i="4"/>
  <c r="C212" i="4"/>
  <c r="J211" i="4"/>
  <c r="I211" i="4"/>
  <c r="H211" i="4"/>
  <c r="E211" i="4"/>
  <c r="D211" i="4"/>
  <c r="C211" i="4"/>
  <c r="J210" i="4"/>
  <c r="I210" i="4"/>
  <c r="H210" i="4"/>
  <c r="E210" i="4"/>
  <c r="D210" i="4"/>
  <c r="C210" i="4"/>
  <c r="J209" i="4"/>
  <c r="I209" i="4"/>
  <c r="H209" i="4"/>
  <c r="E209" i="4"/>
  <c r="D209" i="4"/>
  <c r="C209" i="4"/>
  <c r="J208" i="4"/>
  <c r="I208" i="4"/>
  <c r="H208" i="4"/>
  <c r="E208" i="4"/>
  <c r="D208" i="4"/>
  <c r="C208" i="4"/>
  <c r="J207" i="4"/>
  <c r="I207" i="4"/>
  <c r="H207" i="4"/>
  <c r="E207" i="4"/>
  <c r="D207" i="4"/>
  <c r="C207" i="4"/>
  <c r="J206" i="4"/>
  <c r="I206" i="4"/>
  <c r="H206" i="4"/>
  <c r="E206" i="4"/>
  <c r="D206" i="4"/>
  <c r="C206" i="4"/>
  <c r="J205" i="4"/>
  <c r="I205" i="4"/>
  <c r="H205" i="4"/>
  <c r="E205" i="4"/>
  <c r="D205" i="4"/>
  <c r="C205" i="4"/>
  <c r="J204" i="4"/>
  <c r="I204" i="4"/>
  <c r="H204" i="4"/>
  <c r="E204" i="4"/>
  <c r="D204" i="4"/>
  <c r="C204" i="4"/>
  <c r="J203" i="4"/>
  <c r="I203" i="4"/>
  <c r="H203" i="4"/>
  <c r="E203" i="4"/>
  <c r="D203" i="4"/>
  <c r="C203" i="4"/>
  <c r="J202" i="4"/>
  <c r="I202" i="4"/>
  <c r="H202" i="4"/>
  <c r="E202" i="4"/>
  <c r="D202" i="4"/>
  <c r="C202" i="4"/>
  <c r="J201" i="4"/>
  <c r="I201" i="4"/>
  <c r="H201" i="4"/>
  <c r="E201" i="4"/>
  <c r="D201" i="4"/>
  <c r="C201" i="4"/>
  <c r="J200" i="4"/>
  <c r="I200" i="4"/>
  <c r="H200" i="4"/>
  <c r="E200" i="4"/>
  <c r="D200" i="4"/>
  <c r="C200" i="4"/>
  <c r="J199" i="4"/>
  <c r="I199" i="4"/>
  <c r="H199" i="4"/>
  <c r="E199" i="4"/>
  <c r="D199" i="4"/>
  <c r="C199" i="4"/>
  <c r="J198" i="4"/>
  <c r="I198" i="4"/>
  <c r="H198" i="4"/>
  <c r="E198" i="4"/>
  <c r="D198" i="4"/>
  <c r="C198" i="4"/>
  <c r="J197" i="4"/>
  <c r="I197" i="4"/>
  <c r="H197" i="4"/>
  <c r="E197" i="4"/>
  <c r="D197" i="4"/>
  <c r="C197" i="4"/>
  <c r="J196" i="4"/>
  <c r="I196" i="4"/>
  <c r="H196" i="4"/>
  <c r="E196" i="4"/>
  <c r="D196" i="4"/>
  <c r="C196" i="4"/>
  <c r="J195" i="4"/>
  <c r="I195" i="4"/>
  <c r="H195" i="4"/>
  <c r="E195" i="4"/>
  <c r="D195" i="4"/>
  <c r="C195" i="4"/>
  <c r="J194" i="4"/>
  <c r="I194" i="4"/>
  <c r="H194" i="4"/>
  <c r="E194" i="4"/>
  <c r="D194" i="4"/>
  <c r="C194" i="4"/>
  <c r="J193" i="4"/>
  <c r="I193" i="4"/>
  <c r="H193" i="4"/>
  <c r="E193" i="4"/>
  <c r="D193" i="4"/>
  <c r="C193" i="4"/>
  <c r="J192" i="4"/>
  <c r="I192" i="4"/>
  <c r="H192" i="4"/>
  <c r="E192" i="4"/>
  <c r="D192" i="4"/>
  <c r="C192" i="4"/>
  <c r="J191" i="4"/>
  <c r="I191" i="4"/>
  <c r="H191" i="4"/>
  <c r="E191" i="4"/>
  <c r="D191" i="4"/>
  <c r="C191" i="4"/>
  <c r="J190" i="4"/>
  <c r="I190" i="4"/>
  <c r="H190" i="4"/>
  <c r="E190" i="4"/>
  <c r="D190" i="4"/>
  <c r="C190" i="4"/>
  <c r="J189" i="4"/>
  <c r="I189" i="4"/>
  <c r="H189" i="4"/>
  <c r="E189" i="4"/>
  <c r="D189" i="4"/>
  <c r="C189" i="4"/>
  <c r="J188" i="4"/>
  <c r="I188" i="4"/>
  <c r="H188" i="4"/>
  <c r="E188" i="4"/>
  <c r="D188" i="4"/>
  <c r="C188" i="4"/>
  <c r="J187" i="4"/>
  <c r="I187" i="4"/>
  <c r="H187" i="4"/>
  <c r="E187" i="4"/>
  <c r="D187" i="4"/>
  <c r="C187" i="4"/>
  <c r="J186" i="4"/>
  <c r="I186" i="4"/>
  <c r="H186" i="4"/>
  <c r="E186" i="4"/>
  <c r="D186" i="4"/>
  <c r="C186" i="4"/>
  <c r="J185" i="4"/>
  <c r="I185" i="4"/>
  <c r="H185" i="4"/>
  <c r="E185" i="4"/>
  <c r="D185" i="4"/>
  <c r="C185" i="4"/>
  <c r="J184" i="4"/>
  <c r="I184" i="4"/>
  <c r="H184" i="4"/>
  <c r="E184" i="4"/>
  <c r="D184" i="4"/>
  <c r="C184" i="4"/>
  <c r="J183" i="4"/>
  <c r="I183" i="4"/>
  <c r="H183" i="4"/>
  <c r="E183" i="4"/>
  <c r="D183" i="4"/>
  <c r="C183" i="4"/>
  <c r="J182" i="4"/>
  <c r="I182" i="4"/>
  <c r="H182" i="4"/>
  <c r="E182" i="4"/>
  <c r="D182" i="4"/>
  <c r="C182" i="4"/>
  <c r="J181" i="4"/>
  <c r="I181" i="4"/>
  <c r="H181" i="4"/>
  <c r="E181" i="4"/>
  <c r="D181" i="4"/>
  <c r="C181" i="4"/>
  <c r="J180" i="4"/>
  <c r="I180" i="4"/>
  <c r="H180" i="4"/>
  <c r="E180" i="4"/>
  <c r="D180" i="4"/>
  <c r="C180" i="4"/>
  <c r="J179" i="4"/>
  <c r="I179" i="4"/>
  <c r="H179" i="4"/>
  <c r="E179" i="4"/>
  <c r="D179" i="4"/>
  <c r="C179" i="4"/>
  <c r="J178" i="4"/>
  <c r="I178" i="4"/>
  <c r="H178" i="4"/>
  <c r="E178" i="4"/>
  <c r="D178" i="4"/>
  <c r="C178" i="4"/>
  <c r="J177" i="4"/>
  <c r="I177" i="4"/>
  <c r="H177" i="4"/>
  <c r="E177" i="4"/>
  <c r="D177" i="4"/>
  <c r="C177" i="4"/>
  <c r="J176" i="4"/>
  <c r="I176" i="4"/>
  <c r="H176" i="4"/>
  <c r="E176" i="4"/>
  <c r="D176" i="4"/>
  <c r="C176" i="4"/>
  <c r="J175" i="4"/>
  <c r="I175" i="4"/>
  <c r="H175" i="4"/>
  <c r="E175" i="4"/>
  <c r="D175" i="4"/>
  <c r="C175" i="4"/>
  <c r="J174" i="4"/>
  <c r="I174" i="4"/>
  <c r="H174" i="4"/>
  <c r="E174" i="4"/>
  <c r="D174" i="4"/>
  <c r="C174" i="4"/>
  <c r="J173" i="4"/>
  <c r="I173" i="4"/>
  <c r="H173" i="4"/>
  <c r="E173" i="4"/>
  <c r="D173" i="4"/>
  <c r="C173" i="4"/>
  <c r="J172" i="4"/>
  <c r="I172" i="4"/>
  <c r="H172" i="4"/>
  <c r="E172" i="4"/>
  <c r="D172" i="4"/>
  <c r="C172" i="4"/>
  <c r="J171" i="4"/>
  <c r="I171" i="4"/>
  <c r="H171" i="4"/>
  <c r="E171" i="4"/>
  <c r="D171" i="4"/>
  <c r="C171" i="4"/>
  <c r="J170" i="4"/>
  <c r="I170" i="4"/>
  <c r="H170" i="4"/>
  <c r="E170" i="4"/>
  <c r="D170" i="4"/>
  <c r="C170" i="4"/>
  <c r="J169" i="4"/>
  <c r="I169" i="4"/>
  <c r="H169" i="4"/>
  <c r="E169" i="4"/>
  <c r="D169" i="4"/>
  <c r="C169" i="4"/>
  <c r="J168" i="4"/>
  <c r="I168" i="4"/>
  <c r="H168" i="4"/>
  <c r="E168" i="4"/>
  <c r="D168" i="4"/>
  <c r="C168" i="4"/>
  <c r="J167" i="4"/>
  <c r="I167" i="4"/>
  <c r="H167" i="4"/>
  <c r="E167" i="4"/>
  <c r="D167" i="4"/>
  <c r="C167" i="4"/>
  <c r="J166" i="4"/>
  <c r="I166" i="4"/>
  <c r="H166" i="4"/>
  <c r="E166" i="4"/>
  <c r="D166" i="4"/>
  <c r="C166" i="4"/>
  <c r="J165" i="4"/>
  <c r="I165" i="4"/>
  <c r="H165" i="4"/>
  <c r="E165" i="4"/>
  <c r="D165" i="4"/>
  <c r="C165" i="4"/>
  <c r="J164" i="4"/>
  <c r="I164" i="4"/>
  <c r="H164" i="4"/>
  <c r="E164" i="4"/>
  <c r="D164" i="4"/>
  <c r="C164" i="4"/>
  <c r="J163" i="4"/>
  <c r="I163" i="4"/>
  <c r="H163" i="4"/>
  <c r="E163" i="4"/>
  <c r="D163" i="4"/>
  <c r="C163" i="4"/>
  <c r="J162" i="4"/>
  <c r="I162" i="4"/>
  <c r="H162" i="4"/>
  <c r="E162" i="4"/>
  <c r="D162" i="4"/>
  <c r="C162" i="4"/>
  <c r="J161" i="4"/>
  <c r="I161" i="4"/>
  <c r="H161" i="4"/>
  <c r="E161" i="4"/>
  <c r="D161" i="4"/>
  <c r="C161" i="4"/>
  <c r="J160" i="4"/>
  <c r="I160" i="4"/>
  <c r="H160" i="4"/>
  <c r="E160" i="4"/>
  <c r="D160" i="4"/>
  <c r="C160" i="4"/>
  <c r="J159" i="4"/>
  <c r="I159" i="4"/>
  <c r="H159" i="4"/>
  <c r="E159" i="4"/>
  <c r="D159" i="4"/>
  <c r="C159" i="4"/>
  <c r="J158" i="4"/>
  <c r="I158" i="4"/>
  <c r="H158" i="4"/>
  <c r="E158" i="4"/>
  <c r="D158" i="4"/>
  <c r="C158" i="4"/>
  <c r="J157" i="4"/>
  <c r="I157" i="4"/>
  <c r="H157" i="4"/>
  <c r="E157" i="4"/>
  <c r="D157" i="4"/>
  <c r="C157" i="4"/>
  <c r="J156" i="4"/>
  <c r="I156" i="4"/>
  <c r="H156" i="4"/>
  <c r="E156" i="4"/>
  <c r="D156" i="4"/>
  <c r="C156" i="4"/>
  <c r="J155" i="4"/>
  <c r="I155" i="4"/>
  <c r="H155" i="4"/>
  <c r="E155" i="4"/>
  <c r="D155" i="4"/>
  <c r="C155" i="4"/>
  <c r="J154" i="4"/>
  <c r="I154" i="4"/>
  <c r="H154" i="4"/>
  <c r="E154" i="4"/>
  <c r="D154" i="4"/>
  <c r="C154" i="4"/>
  <c r="J153" i="4"/>
  <c r="I153" i="4"/>
  <c r="H153" i="4"/>
  <c r="E153" i="4"/>
  <c r="D153" i="4"/>
  <c r="C153" i="4"/>
  <c r="J152" i="4"/>
  <c r="I152" i="4"/>
  <c r="H152" i="4"/>
  <c r="E152" i="4"/>
  <c r="D152" i="4"/>
  <c r="C152" i="4"/>
  <c r="J151" i="4"/>
  <c r="I151" i="4"/>
  <c r="H151" i="4"/>
  <c r="E151" i="4"/>
  <c r="D151" i="4"/>
  <c r="C151" i="4"/>
  <c r="J150" i="4"/>
  <c r="I150" i="4"/>
  <c r="H150" i="4"/>
  <c r="E150" i="4"/>
  <c r="D150" i="4"/>
  <c r="C150" i="4"/>
  <c r="J149" i="4"/>
  <c r="I149" i="4"/>
  <c r="H149" i="4"/>
  <c r="E149" i="4"/>
  <c r="D149" i="4"/>
  <c r="C149" i="4"/>
  <c r="J148" i="4"/>
  <c r="I148" i="4"/>
  <c r="H148" i="4"/>
  <c r="E148" i="4"/>
  <c r="D148" i="4"/>
  <c r="C148" i="4"/>
  <c r="J147" i="4"/>
  <c r="I147" i="4"/>
  <c r="H147" i="4"/>
  <c r="E147" i="4"/>
  <c r="D147" i="4"/>
  <c r="C147" i="4"/>
  <c r="J146" i="4"/>
  <c r="I146" i="4"/>
  <c r="H146" i="4"/>
  <c r="E146" i="4"/>
  <c r="D146" i="4"/>
  <c r="C146" i="4"/>
  <c r="J145" i="4"/>
  <c r="I145" i="4"/>
  <c r="H145" i="4"/>
  <c r="E145" i="4"/>
  <c r="D145" i="4"/>
  <c r="C145" i="4"/>
  <c r="J144" i="4"/>
  <c r="I144" i="4"/>
  <c r="H144" i="4"/>
  <c r="E144" i="4"/>
  <c r="D144" i="4"/>
  <c r="C144" i="4"/>
  <c r="J143" i="4"/>
  <c r="I143" i="4"/>
  <c r="H143" i="4"/>
  <c r="E143" i="4"/>
  <c r="D143" i="4"/>
  <c r="C143" i="4"/>
  <c r="J142" i="4"/>
  <c r="I142" i="4"/>
  <c r="H142" i="4"/>
  <c r="E142" i="4"/>
  <c r="D142" i="4"/>
  <c r="C142" i="4"/>
  <c r="J141" i="4"/>
  <c r="I141" i="4"/>
  <c r="H141" i="4"/>
  <c r="E141" i="4"/>
  <c r="D141" i="4"/>
  <c r="C141" i="4"/>
  <c r="J140" i="4"/>
  <c r="I140" i="4"/>
  <c r="H140" i="4"/>
  <c r="E140" i="4"/>
  <c r="D140" i="4"/>
  <c r="C140" i="4"/>
  <c r="J139" i="4"/>
  <c r="I139" i="4"/>
  <c r="H139" i="4"/>
  <c r="E139" i="4"/>
  <c r="D139" i="4"/>
  <c r="C139" i="4"/>
  <c r="J138" i="4"/>
  <c r="I138" i="4"/>
  <c r="H138" i="4"/>
  <c r="E138" i="4"/>
  <c r="D138" i="4"/>
  <c r="C138" i="4"/>
  <c r="J137" i="4"/>
  <c r="I137" i="4"/>
  <c r="H137" i="4"/>
  <c r="E137" i="4"/>
  <c r="D137" i="4"/>
  <c r="C137" i="4"/>
  <c r="J136" i="4"/>
  <c r="I136" i="4"/>
  <c r="H136" i="4"/>
  <c r="E136" i="4"/>
  <c r="D136" i="4"/>
  <c r="C136" i="4"/>
  <c r="J135" i="4"/>
  <c r="I135" i="4"/>
  <c r="H135" i="4"/>
  <c r="E135" i="4"/>
  <c r="D135" i="4"/>
  <c r="C135" i="4"/>
  <c r="J134" i="4"/>
  <c r="I134" i="4"/>
  <c r="H134" i="4"/>
  <c r="E134" i="4"/>
  <c r="D134" i="4"/>
  <c r="C134" i="4"/>
  <c r="J133" i="4"/>
  <c r="I133" i="4"/>
  <c r="H133" i="4"/>
  <c r="E133" i="4"/>
  <c r="D133" i="4"/>
  <c r="C133" i="4"/>
  <c r="J132" i="4"/>
  <c r="I132" i="4"/>
  <c r="H132" i="4"/>
  <c r="E132" i="4"/>
  <c r="D132" i="4"/>
  <c r="C132" i="4"/>
  <c r="J131" i="4"/>
  <c r="I131" i="4"/>
  <c r="H131" i="4"/>
  <c r="E131" i="4"/>
  <c r="D131" i="4"/>
  <c r="C131" i="4"/>
  <c r="J130" i="4"/>
  <c r="I130" i="4"/>
  <c r="H130" i="4"/>
  <c r="E130" i="4"/>
  <c r="D130" i="4"/>
  <c r="C130" i="4"/>
  <c r="J129" i="4"/>
  <c r="I129" i="4"/>
  <c r="H129" i="4"/>
  <c r="E129" i="4"/>
  <c r="D129" i="4"/>
  <c r="C129" i="4"/>
  <c r="J128" i="4"/>
  <c r="I128" i="4"/>
  <c r="H128" i="4"/>
  <c r="E128" i="4"/>
  <c r="D128" i="4"/>
  <c r="C128" i="4"/>
  <c r="J127" i="4"/>
  <c r="I127" i="4"/>
  <c r="H127" i="4"/>
  <c r="E127" i="4"/>
  <c r="D127" i="4"/>
  <c r="C127" i="4"/>
  <c r="J126" i="4"/>
  <c r="I126" i="4"/>
  <c r="H126" i="4"/>
  <c r="E126" i="4"/>
  <c r="D126" i="4"/>
  <c r="C126" i="4"/>
  <c r="J125" i="4"/>
  <c r="I125" i="4"/>
  <c r="H125" i="4"/>
  <c r="E125" i="4"/>
  <c r="D125" i="4"/>
  <c r="C125" i="4"/>
  <c r="J124" i="4"/>
  <c r="I124" i="4"/>
  <c r="H124" i="4"/>
  <c r="E124" i="4"/>
  <c r="D124" i="4"/>
  <c r="C124" i="4"/>
  <c r="J123" i="4"/>
  <c r="I123" i="4"/>
  <c r="H123" i="4"/>
  <c r="E123" i="4"/>
  <c r="D123" i="4"/>
  <c r="C123" i="4"/>
  <c r="J122" i="4"/>
  <c r="I122" i="4"/>
  <c r="H122" i="4"/>
  <c r="E122" i="4"/>
  <c r="D122" i="4"/>
  <c r="C122" i="4"/>
  <c r="J121" i="4"/>
  <c r="I121" i="4"/>
  <c r="H121" i="4"/>
  <c r="E121" i="4"/>
  <c r="D121" i="4"/>
  <c r="C121" i="4"/>
  <c r="J120" i="4"/>
  <c r="I120" i="4"/>
  <c r="H120" i="4"/>
  <c r="E120" i="4"/>
  <c r="D120" i="4"/>
  <c r="C120" i="4"/>
  <c r="J119" i="4"/>
  <c r="I119" i="4"/>
  <c r="H119" i="4"/>
  <c r="E119" i="4"/>
  <c r="D119" i="4"/>
  <c r="C119" i="4"/>
  <c r="J118" i="4"/>
  <c r="I118" i="4"/>
  <c r="H118" i="4"/>
  <c r="E118" i="4"/>
  <c r="D118" i="4"/>
  <c r="C118" i="4"/>
  <c r="J117" i="4"/>
  <c r="I117" i="4"/>
  <c r="H117" i="4"/>
  <c r="E117" i="4"/>
  <c r="D117" i="4"/>
  <c r="C117" i="4"/>
  <c r="J116" i="4"/>
  <c r="I116" i="4"/>
  <c r="H116" i="4"/>
  <c r="E116" i="4"/>
  <c r="D116" i="4"/>
  <c r="C116" i="4"/>
  <c r="J115" i="4"/>
  <c r="I115" i="4"/>
  <c r="H115" i="4"/>
  <c r="E115" i="4"/>
  <c r="D115" i="4"/>
  <c r="C115" i="4"/>
  <c r="J114" i="4"/>
  <c r="I114" i="4"/>
  <c r="H114" i="4"/>
  <c r="E114" i="4"/>
  <c r="D114" i="4"/>
  <c r="C114" i="4"/>
  <c r="J113" i="4"/>
  <c r="I113" i="4"/>
  <c r="H113" i="4"/>
  <c r="E113" i="4"/>
  <c r="D113" i="4"/>
  <c r="C113" i="4"/>
  <c r="J112" i="4"/>
  <c r="I112" i="4"/>
  <c r="H112" i="4"/>
  <c r="E112" i="4"/>
  <c r="D112" i="4"/>
  <c r="C112" i="4"/>
  <c r="J111" i="4"/>
  <c r="I111" i="4"/>
  <c r="H111" i="4"/>
  <c r="E111" i="4"/>
  <c r="D111" i="4"/>
  <c r="C111" i="4"/>
  <c r="J110" i="4"/>
  <c r="I110" i="4"/>
  <c r="H110" i="4"/>
  <c r="E110" i="4"/>
  <c r="D110" i="4"/>
  <c r="C110" i="4"/>
  <c r="J109" i="4"/>
  <c r="I109" i="4"/>
  <c r="H109" i="4"/>
  <c r="E109" i="4"/>
  <c r="D109" i="4"/>
  <c r="C109" i="4"/>
  <c r="J108" i="4"/>
  <c r="I108" i="4"/>
  <c r="H108" i="4"/>
  <c r="E108" i="4"/>
  <c r="D108" i="4"/>
  <c r="C108" i="4"/>
  <c r="J107" i="4"/>
  <c r="I107" i="4"/>
  <c r="H107" i="4"/>
  <c r="E107" i="4"/>
  <c r="D107" i="4"/>
  <c r="C107" i="4"/>
  <c r="J106" i="4"/>
  <c r="I106" i="4"/>
  <c r="H106" i="4"/>
  <c r="E106" i="4"/>
  <c r="D106" i="4"/>
  <c r="C106" i="4"/>
  <c r="J105" i="4"/>
  <c r="I105" i="4"/>
  <c r="H105" i="4"/>
  <c r="E105" i="4"/>
  <c r="D105" i="4"/>
  <c r="C105" i="4"/>
  <c r="J104" i="4"/>
  <c r="I104" i="4"/>
  <c r="H104" i="4"/>
  <c r="E104" i="4"/>
  <c r="D104" i="4"/>
  <c r="C104" i="4"/>
  <c r="J103" i="4"/>
  <c r="I103" i="4"/>
  <c r="H103" i="4"/>
  <c r="E103" i="4"/>
  <c r="D103" i="4"/>
  <c r="C103" i="4"/>
  <c r="J102" i="4"/>
  <c r="I102" i="4"/>
  <c r="H102" i="4"/>
  <c r="E102" i="4"/>
  <c r="D102" i="4"/>
  <c r="C102" i="4"/>
  <c r="J101" i="4"/>
  <c r="I101" i="4"/>
  <c r="H101" i="4"/>
  <c r="E101" i="4"/>
  <c r="D101" i="4"/>
  <c r="C101" i="4"/>
  <c r="J100" i="4"/>
  <c r="I100" i="4"/>
  <c r="H100" i="4"/>
  <c r="E100" i="4"/>
  <c r="D100" i="4"/>
  <c r="C100" i="4"/>
  <c r="J99" i="4"/>
  <c r="I99" i="4"/>
  <c r="H99" i="4"/>
  <c r="E99" i="4"/>
  <c r="D99" i="4"/>
  <c r="C99" i="4"/>
  <c r="J98" i="4"/>
  <c r="I98" i="4"/>
  <c r="H98" i="4"/>
  <c r="E98" i="4"/>
  <c r="D98" i="4"/>
  <c r="C98" i="4"/>
  <c r="J97" i="4"/>
  <c r="I97" i="4"/>
  <c r="H97" i="4"/>
  <c r="E97" i="4"/>
  <c r="D97" i="4"/>
  <c r="C97" i="4"/>
  <c r="J96" i="4"/>
  <c r="I96" i="4"/>
  <c r="H96" i="4"/>
  <c r="E96" i="4"/>
  <c r="D96" i="4"/>
  <c r="C96" i="4"/>
  <c r="J95" i="4"/>
  <c r="I95" i="4"/>
  <c r="H95" i="4"/>
  <c r="E95" i="4"/>
  <c r="D95" i="4"/>
  <c r="C95" i="4"/>
  <c r="J94" i="4"/>
  <c r="I94" i="4"/>
  <c r="H94" i="4"/>
  <c r="E94" i="4"/>
  <c r="D94" i="4"/>
  <c r="C94" i="4"/>
  <c r="J93" i="4"/>
  <c r="I93" i="4"/>
  <c r="H93" i="4"/>
  <c r="E93" i="4"/>
  <c r="D93" i="4"/>
  <c r="C93" i="4"/>
  <c r="J92" i="4"/>
  <c r="I92" i="4"/>
  <c r="H92" i="4"/>
  <c r="E92" i="4"/>
  <c r="D92" i="4"/>
  <c r="C92" i="4"/>
  <c r="J91" i="4"/>
  <c r="I91" i="4"/>
  <c r="H91" i="4"/>
  <c r="E91" i="4"/>
  <c r="D91" i="4"/>
  <c r="C91" i="4"/>
  <c r="J90" i="4"/>
  <c r="I90" i="4"/>
  <c r="H90" i="4"/>
  <c r="E90" i="4"/>
  <c r="D90" i="4"/>
  <c r="C90" i="4"/>
  <c r="J89" i="4"/>
  <c r="I89" i="4"/>
  <c r="H89" i="4"/>
  <c r="E89" i="4"/>
  <c r="D89" i="4"/>
  <c r="C89" i="4"/>
  <c r="J88" i="4"/>
  <c r="I88" i="4"/>
  <c r="H88" i="4"/>
  <c r="E88" i="4"/>
  <c r="D88" i="4"/>
  <c r="C88" i="4"/>
  <c r="J87" i="4"/>
  <c r="I87" i="4"/>
  <c r="H87" i="4"/>
  <c r="E87" i="4"/>
  <c r="D87" i="4"/>
  <c r="C87" i="4"/>
  <c r="J86" i="4"/>
  <c r="I86" i="4"/>
  <c r="H86" i="4"/>
  <c r="E86" i="4"/>
  <c r="D86" i="4"/>
  <c r="C86" i="4"/>
  <c r="J85" i="4"/>
  <c r="I85" i="4"/>
  <c r="H85" i="4"/>
  <c r="E85" i="4"/>
  <c r="D85" i="4"/>
  <c r="C85" i="4"/>
  <c r="J84" i="4"/>
  <c r="I84" i="4"/>
  <c r="H84" i="4"/>
  <c r="E84" i="4"/>
  <c r="D84" i="4"/>
  <c r="C84" i="4"/>
  <c r="J83" i="4"/>
  <c r="I83" i="4"/>
  <c r="H83" i="4"/>
  <c r="E83" i="4"/>
  <c r="D83" i="4"/>
  <c r="C83" i="4"/>
  <c r="J82" i="4"/>
  <c r="I82" i="4"/>
  <c r="H82" i="4"/>
  <c r="E82" i="4"/>
  <c r="D82" i="4"/>
  <c r="C82" i="4"/>
  <c r="J81" i="4"/>
  <c r="I81" i="4"/>
  <c r="H81" i="4"/>
  <c r="E81" i="4"/>
  <c r="D81" i="4"/>
  <c r="C81" i="4"/>
  <c r="J80" i="4"/>
  <c r="I80" i="4"/>
  <c r="H80" i="4"/>
  <c r="E80" i="4"/>
  <c r="D80" i="4"/>
  <c r="C80" i="4"/>
  <c r="J79" i="4"/>
  <c r="I79" i="4"/>
  <c r="H79" i="4"/>
  <c r="E79" i="4"/>
  <c r="D79" i="4"/>
  <c r="C79" i="4"/>
  <c r="J78" i="4"/>
  <c r="I78" i="4"/>
  <c r="H78" i="4"/>
  <c r="E78" i="4"/>
  <c r="D78" i="4"/>
  <c r="C78" i="4"/>
  <c r="J77" i="4"/>
  <c r="I77" i="4"/>
  <c r="H77" i="4"/>
  <c r="E77" i="4"/>
  <c r="D77" i="4"/>
  <c r="C77" i="4"/>
  <c r="J76" i="4"/>
  <c r="I76" i="4"/>
  <c r="H76" i="4"/>
  <c r="E76" i="4"/>
  <c r="D76" i="4"/>
  <c r="C76" i="4"/>
  <c r="J75" i="4"/>
  <c r="I75" i="4"/>
  <c r="H75" i="4"/>
  <c r="E75" i="4"/>
  <c r="D75" i="4"/>
  <c r="C75" i="4"/>
  <c r="J74" i="4"/>
  <c r="I74" i="4"/>
  <c r="H74" i="4"/>
  <c r="E74" i="4"/>
  <c r="D74" i="4"/>
  <c r="C74" i="4"/>
  <c r="J73" i="4"/>
  <c r="I73" i="4"/>
  <c r="H73" i="4"/>
  <c r="E73" i="4"/>
  <c r="D73" i="4"/>
  <c r="C73" i="4"/>
  <c r="J72" i="4"/>
  <c r="I72" i="4"/>
  <c r="H72" i="4"/>
  <c r="E72" i="4"/>
  <c r="D72" i="4"/>
  <c r="C72" i="4"/>
  <c r="J71" i="4"/>
  <c r="I71" i="4"/>
  <c r="H71" i="4"/>
  <c r="E71" i="4"/>
  <c r="D71" i="4"/>
  <c r="C71" i="4"/>
  <c r="J70" i="4"/>
  <c r="I70" i="4"/>
  <c r="H70" i="4"/>
  <c r="E70" i="4"/>
  <c r="D70" i="4"/>
  <c r="C70" i="4"/>
  <c r="J69" i="4"/>
  <c r="I69" i="4"/>
  <c r="H69" i="4"/>
  <c r="E69" i="4"/>
  <c r="D69" i="4"/>
  <c r="C69" i="4"/>
  <c r="J68" i="4"/>
  <c r="I68" i="4"/>
  <c r="H68" i="4"/>
  <c r="E68" i="4"/>
  <c r="D68" i="4"/>
  <c r="C68" i="4"/>
  <c r="J67" i="4"/>
  <c r="I67" i="4"/>
  <c r="H67" i="4"/>
  <c r="E67" i="4"/>
  <c r="D67" i="4"/>
  <c r="C67" i="4"/>
  <c r="J66" i="4"/>
  <c r="I66" i="4"/>
  <c r="H66" i="4"/>
  <c r="E66" i="4"/>
  <c r="D66" i="4"/>
  <c r="C66" i="4"/>
  <c r="J65" i="4"/>
  <c r="I65" i="4"/>
  <c r="H65" i="4"/>
  <c r="E65" i="4"/>
  <c r="D65" i="4"/>
  <c r="C65" i="4"/>
  <c r="J64" i="4"/>
  <c r="I64" i="4"/>
  <c r="H64" i="4"/>
  <c r="E64" i="4"/>
  <c r="D64" i="4"/>
  <c r="C64" i="4"/>
  <c r="J63" i="4"/>
  <c r="I63" i="4"/>
  <c r="H63" i="4"/>
  <c r="E63" i="4"/>
  <c r="D63" i="4"/>
  <c r="C63" i="4"/>
  <c r="J62" i="4"/>
  <c r="I62" i="4"/>
  <c r="H62" i="4"/>
  <c r="E62" i="4"/>
  <c r="D62" i="4"/>
  <c r="C62" i="4"/>
  <c r="J61" i="4"/>
  <c r="I61" i="4"/>
  <c r="H61" i="4"/>
  <c r="E61" i="4"/>
  <c r="D61" i="4"/>
  <c r="C61" i="4"/>
  <c r="J60" i="4"/>
  <c r="I60" i="4"/>
  <c r="H60" i="4"/>
  <c r="E60" i="4"/>
  <c r="D60" i="4"/>
  <c r="C60" i="4"/>
  <c r="J59" i="4"/>
  <c r="I59" i="4"/>
  <c r="H59" i="4"/>
  <c r="E59" i="4"/>
  <c r="D59" i="4"/>
  <c r="C59" i="4"/>
  <c r="J58" i="4"/>
  <c r="I58" i="4"/>
  <c r="H58" i="4"/>
  <c r="E58" i="4"/>
  <c r="D58" i="4"/>
  <c r="C58" i="4"/>
  <c r="J57" i="4"/>
  <c r="I57" i="4"/>
  <c r="H57" i="4"/>
  <c r="E57" i="4"/>
  <c r="D57" i="4"/>
  <c r="C57" i="4"/>
  <c r="J56" i="4"/>
  <c r="I56" i="4"/>
  <c r="H56" i="4"/>
  <c r="E56" i="4"/>
  <c r="D56" i="4"/>
  <c r="C56" i="4"/>
  <c r="J55" i="4"/>
  <c r="I55" i="4"/>
  <c r="H55" i="4"/>
  <c r="E55" i="4"/>
  <c r="D55" i="4"/>
  <c r="C55" i="4"/>
  <c r="J54" i="4"/>
  <c r="I54" i="4"/>
  <c r="H54" i="4"/>
  <c r="E54" i="4"/>
  <c r="D54" i="4"/>
  <c r="C54" i="4"/>
  <c r="J53" i="4"/>
  <c r="I53" i="4"/>
  <c r="H53" i="4"/>
  <c r="E53" i="4"/>
  <c r="D53" i="4"/>
  <c r="C53" i="4"/>
  <c r="J52" i="4"/>
  <c r="I52" i="4"/>
  <c r="H52" i="4"/>
  <c r="E52" i="4"/>
  <c r="D52" i="4"/>
  <c r="C52" i="4"/>
  <c r="J51" i="4"/>
  <c r="I51" i="4"/>
  <c r="H51" i="4"/>
  <c r="E51" i="4"/>
  <c r="D51" i="4"/>
  <c r="C51" i="4"/>
  <c r="J50" i="4"/>
  <c r="I50" i="4"/>
  <c r="H50" i="4"/>
  <c r="E50" i="4"/>
  <c r="D50" i="4"/>
  <c r="C50" i="4"/>
  <c r="J49" i="4"/>
  <c r="I49" i="4"/>
  <c r="H49" i="4"/>
  <c r="E49" i="4"/>
  <c r="D49" i="4"/>
  <c r="C49" i="4"/>
  <c r="J48" i="4"/>
  <c r="I48" i="4"/>
  <c r="H48" i="4"/>
  <c r="E48" i="4"/>
  <c r="D48" i="4"/>
  <c r="C48" i="4"/>
  <c r="J47" i="4"/>
  <c r="I47" i="4"/>
  <c r="H47" i="4"/>
  <c r="E47" i="4"/>
  <c r="D47" i="4"/>
  <c r="C47" i="4"/>
  <c r="J46" i="4"/>
  <c r="I46" i="4"/>
  <c r="H46" i="4"/>
  <c r="E46" i="4"/>
  <c r="D46" i="4"/>
  <c r="C46" i="4"/>
  <c r="J45" i="4"/>
  <c r="I45" i="4"/>
  <c r="H45" i="4"/>
  <c r="E45" i="4"/>
  <c r="D45" i="4"/>
  <c r="C45" i="4"/>
  <c r="J44" i="4"/>
  <c r="I44" i="4"/>
  <c r="H44" i="4"/>
  <c r="E44" i="4"/>
  <c r="D44" i="4"/>
  <c r="C44" i="4"/>
  <c r="J43" i="4"/>
  <c r="I43" i="4"/>
  <c r="H43" i="4"/>
  <c r="E43" i="4"/>
  <c r="D43" i="4"/>
  <c r="C43" i="4"/>
  <c r="J42" i="4"/>
  <c r="I42" i="4"/>
  <c r="H42" i="4"/>
  <c r="E42" i="4"/>
  <c r="D42" i="4"/>
  <c r="C42" i="4"/>
  <c r="J41" i="4"/>
  <c r="I41" i="4"/>
  <c r="H41" i="4"/>
  <c r="E41" i="4"/>
  <c r="D41" i="4"/>
  <c r="C41" i="4"/>
  <c r="J40" i="4"/>
  <c r="I40" i="4"/>
  <c r="H40" i="4"/>
  <c r="E40" i="4"/>
  <c r="D40" i="4"/>
  <c r="C40" i="4"/>
  <c r="J39" i="4"/>
  <c r="I39" i="4"/>
  <c r="H39" i="4"/>
  <c r="E39" i="4"/>
  <c r="D39" i="4"/>
  <c r="C39" i="4"/>
  <c r="J38" i="4"/>
  <c r="I38" i="4"/>
  <c r="H38" i="4"/>
  <c r="E38" i="4"/>
  <c r="D38" i="4"/>
  <c r="C38" i="4"/>
  <c r="J37" i="4"/>
  <c r="I37" i="4"/>
  <c r="H37" i="4"/>
  <c r="E37" i="4"/>
  <c r="D37" i="4"/>
  <c r="C37" i="4"/>
  <c r="J36" i="4"/>
  <c r="I36" i="4"/>
  <c r="H36" i="4"/>
  <c r="E36" i="4"/>
  <c r="D36" i="4"/>
  <c r="C36" i="4"/>
  <c r="J35" i="4"/>
  <c r="I35" i="4"/>
  <c r="H35" i="4"/>
  <c r="E35" i="4"/>
  <c r="D35" i="4"/>
  <c r="C35" i="4"/>
  <c r="J34" i="4"/>
  <c r="I34" i="4"/>
  <c r="H34" i="4"/>
  <c r="E34" i="4"/>
  <c r="D34" i="4"/>
  <c r="C34" i="4"/>
  <c r="D28" i="4"/>
  <c r="C28" i="4"/>
  <c r="D27" i="4"/>
  <c r="C27" i="4"/>
  <c r="D26" i="4"/>
  <c r="C26" i="4"/>
  <c r="D25" i="4"/>
  <c r="C25" i="4"/>
  <c r="D24" i="4"/>
  <c r="C24" i="4"/>
  <c r="D23" i="4"/>
  <c r="C23" i="4"/>
  <c r="D22" i="4"/>
  <c r="C22" i="4"/>
  <c r="D21" i="4"/>
  <c r="C21" i="4"/>
  <c r="D20" i="4"/>
  <c r="C20" i="4"/>
  <c r="D19" i="4"/>
  <c r="C19" i="4"/>
  <c r="D18" i="4"/>
  <c r="C18" i="4"/>
  <c r="D17" i="4"/>
  <c r="C17" i="4"/>
  <c r="B17" i="4"/>
  <c r="B17" i="4" a="1"/>
  <c r="E11" i="4"/>
  <c r="D11" i="4"/>
  <c r="C11" i="4"/>
  <c r="E10" i="4"/>
  <c r="D10" i="4"/>
  <c r="C10" i="4"/>
  <c r="E9" i="4"/>
  <c r="D9" i="4"/>
  <c r="C9" i="4"/>
  <c r="E8" i="4"/>
  <c r="D8" i="4"/>
  <c r="C8" i="4"/>
  <c r="E7" i="4"/>
  <c r="D7" i="4"/>
  <c r="C7" i="4"/>
  <c r="Z6" i="4"/>
  <c r="X6" i="4"/>
  <c r="E6" i="4"/>
  <c r="D6" i="4"/>
  <c r="C6" i="4"/>
  <c r="E5" i="4"/>
  <c r="D5" i="4"/>
  <c r="C5" i="4"/>
  <c r="E4" i="4"/>
  <c r="D4" i="4"/>
  <c r="C4" i="4"/>
  <c r="E3" i="4"/>
  <c r="D3" i="4"/>
  <c r="C3" i="4"/>
  <c r="B3" i="4"/>
  <c r="B3" i="4" a="1"/>
  <c r="W2001" i="1"/>
  <c r="W2001" i="1" a="1"/>
  <c r="V2001" i="1"/>
  <c r="U2001" i="1"/>
  <c r="Q2001" i="1"/>
  <c r="O2001" i="1"/>
  <c r="M2001" i="1"/>
  <c r="L2001" i="1"/>
  <c r="K2001" i="1"/>
  <c r="F2001" i="1"/>
  <c r="F2001" i="1" a="1"/>
  <c r="W2000" i="1"/>
  <c r="W2000" i="1" a="1"/>
  <c r="V2000" i="1"/>
  <c r="U2000" i="1"/>
  <c r="Q2000" i="1"/>
  <c r="O2000" i="1"/>
  <c r="M2000" i="1"/>
  <c r="L2000" i="1"/>
  <c r="K2000" i="1"/>
  <c r="F2000" i="1"/>
  <c r="F2000" i="1" a="1"/>
  <c r="W1999" i="1"/>
  <c r="W1999" i="1" a="1"/>
  <c r="V1999" i="1"/>
  <c r="U1999" i="1"/>
  <c r="Q1999" i="1"/>
  <c r="O1999" i="1"/>
  <c r="M1999" i="1"/>
  <c r="L1999" i="1"/>
  <c r="K1999" i="1"/>
  <c r="F1999" i="1"/>
  <c r="F1999" i="1" a="1"/>
  <c r="W1998" i="1"/>
  <c r="W1998" i="1" a="1"/>
  <c r="V1998" i="1"/>
  <c r="U1998" i="1"/>
  <c r="Q1998" i="1"/>
  <c r="O1998" i="1"/>
  <c r="M1998" i="1"/>
  <c r="L1998" i="1"/>
  <c r="K1998" i="1"/>
  <c r="F1998" i="1"/>
  <c r="F1998" i="1" a="1"/>
  <c r="W1997" i="1"/>
  <c r="W1997" i="1" a="1"/>
  <c r="V1997" i="1"/>
  <c r="U1997" i="1"/>
  <c r="Q1997" i="1"/>
  <c r="O1997" i="1"/>
  <c r="M1997" i="1"/>
  <c r="L1997" i="1"/>
  <c r="K1997" i="1"/>
  <c r="F1997" i="1"/>
  <c r="F1997" i="1" a="1"/>
  <c r="W1996" i="1"/>
  <c r="W1996" i="1" a="1"/>
  <c r="V1996" i="1"/>
  <c r="U1996" i="1"/>
  <c r="Q1996" i="1"/>
  <c r="O1996" i="1"/>
  <c r="M1996" i="1"/>
  <c r="L1996" i="1"/>
  <c r="K1996" i="1"/>
  <c r="F1996" i="1"/>
  <c r="F1996" i="1" a="1"/>
  <c r="W1995" i="1"/>
  <c r="W1995" i="1" a="1"/>
  <c r="V1995" i="1"/>
  <c r="U1995" i="1"/>
  <c r="Q1995" i="1"/>
  <c r="O1995" i="1"/>
  <c r="M1995" i="1"/>
  <c r="L1995" i="1"/>
  <c r="K1995" i="1"/>
  <c r="F1995" i="1"/>
  <c r="F1995" i="1" a="1"/>
  <c r="W1994" i="1"/>
  <c r="W1994" i="1" a="1"/>
  <c r="V1994" i="1"/>
  <c r="U1994" i="1"/>
  <c r="Q1994" i="1"/>
  <c r="O1994" i="1"/>
  <c r="M1994" i="1"/>
  <c r="L1994" i="1"/>
  <c r="K1994" i="1"/>
  <c r="F1994" i="1"/>
  <c r="F1994" i="1" a="1"/>
  <c r="W1993" i="1"/>
  <c r="W1993" i="1" a="1"/>
  <c r="V1993" i="1"/>
  <c r="U1993" i="1"/>
  <c r="Q1993" i="1"/>
  <c r="O1993" i="1"/>
  <c r="M1993" i="1"/>
  <c r="L1993" i="1"/>
  <c r="K1993" i="1"/>
  <c r="F1993" i="1"/>
  <c r="F1993" i="1" a="1"/>
  <c r="W1992" i="1"/>
  <c r="W1992" i="1" a="1"/>
  <c r="V1992" i="1"/>
  <c r="U1992" i="1"/>
  <c r="Q1992" i="1"/>
  <c r="O1992" i="1"/>
  <c r="M1992" i="1"/>
  <c r="L1992" i="1"/>
  <c r="K1992" i="1"/>
  <c r="F1992" i="1"/>
  <c r="F1992" i="1" a="1"/>
  <c r="W1991" i="1"/>
  <c r="W1991" i="1" a="1"/>
  <c r="V1991" i="1"/>
  <c r="U1991" i="1"/>
  <c r="Q1991" i="1"/>
  <c r="O1991" i="1"/>
  <c r="M1991" i="1"/>
  <c r="L1991" i="1"/>
  <c r="K1991" i="1"/>
  <c r="F1991" i="1"/>
  <c r="F1991" i="1" a="1"/>
  <c r="W1990" i="1"/>
  <c r="W1990" i="1" a="1"/>
  <c r="V1990" i="1"/>
  <c r="U1990" i="1"/>
  <c r="Q1990" i="1"/>
  <c r="O1990" i="1"/>
  <c r="M1990" i="1"/>
  <c r="L1990" i="1"/>
  <c r="K1990" i="1"/>
  <c r="F1990" i="1"/>
  <c r="F1990" i="1" a="1"/>
  <c r="W1989" i="1"/>
  <c r="W1989" i="1" a="1"/>
  <c r="V1989" i="1"/>
  <c r="U1989" i="1"/>
  <c r="Q1989" i="1"/>
  <c r="O1989" i="1"/>
  <c r="M1989" i="1"/>
  <c r="L1989" i="1"/>
  <c r="K1989" i="1"/>
  <c r="F1989" i="1"/>
  <c r="F1989" i="1" a="1"/>
  <c r="W1988" i="1"/>
  <c r="W1988" i="1" a="1"/>
  <c r="V1988" i="1"/>
  <c r="U1988" i="1"/>
  <c r="Q1988" i="1"/>
  <c r="O1988" i="1"/>
  <c r="M1988" i="1"/>
  <c r="L1988" i="1"/>
  <c r="K1988" i="1"/>
  <c r="F1988" i="1"/>
  <c r="F1988" i="1" a="1"/>
  <c r="W1987" i="1"/>
  <c r="W1987" i="1" a="1"/>
  <c r="V1987" i="1"/>
  <c r="U1987" i="1"/>
  <c r="Q1987" i="1"/>
  <c r="O1987" i="1"/>
  <c r="M1987" i="1"/>
  <c r="L1987" i="1"/>
  <c r="K1987" i="1"/>
  <c r="F1987" i="1"/>
  <c r="F1987" i="1" a="1"/>
  <c r="W1986" i="1"/>
  <c r="W1986" i="1" a="1"/>
  <c r="V1986" i="1"/>
  <c r="U1986" i="1"/>
  <c r="Q1986" i="1"/>
  <c r="O1986" i="1"/>
  <c r="M1986" i="1"/>
  <c r="L1986" i="1"/>
  <c r="K1986" i="1"/>
  <c r="F1986" i="1"/>
  <c r="F1986" i="1" a="1"/>
  <c r="W1985" i="1"/>
  <c r="W1985" i="1" a="1"/>
  <c r="V1985" i="1"/>
  <c r="U1985" i="1"/>
  <c r="Q1985" i="1"/>
  <c r="O1985" i="1"/>
  <c r="M1985" i="1"/>
  <c r="L1985" i="1"/>
  <c r="K1985" i="1"/>
  <c r="F1985" i="1"/>
  <c r="F1985" i="1" a="1"/>
  <c r="W1984" i="1"/>
  <c r="W1984" i="1" a="1"/>
  <c r="V1984" i="1"/>
  <c r="U1984" i="1"/>
  <c r="Q1984" i="1"/>
  <c r="O1984" i="1"/>
  <c r="M1984" i="1"/>
  <c r="L1984" i="1"/>
  <c r="K1984" i="1"/>
  <c r="F1984" i="1"/>
  <c r="F1984" i="1" a="1"/>
  <c r="W1983" i="1"/>
  <c r="W1983" i="1" a="1"/>
  <c r="V1983" i="1"/>
  <c r="U1983" i="1"/>
  <c r="Q1983" i="1"/>
  <c r="O1983" i="1"/>
  <c r="M1983" i="1"/>
  <c r="L1983" i="1"/>
  <c r="K1983" i="1"/>
  <c r="F1983" i="1"/>
  <c r="F1983" i="1" a="1"/>
  <c r="W1982" i="1"/>
  <c r="W1982" i="1" a="1"/>
  <c r="V1982" i="1"/>
  <c r="U1982" i="1"/>
  <c r="Q1982" i="1"/>
  <c r="O1982" i="1"/>
  <c r="M1982" i="1"/>
  <c r="L1982" i="1"/>
  <c r="K1982" i="1"/>
  <c r="F1982" i="1"/>
  <c r="F1982" i="1" a="1"/>
  <c r="W1981" i="1"/>
  <c r="W1981" i="1" a="1"/>
  <c r="V1981" i="1"/>
  <c r="U1981" i="1"/>
  <c r="Q1981" i="1"/>
  <c r="O1981" i="1"/>
  <c r="M1981" i="1"/>
  <c r="L1981" i="1"/>
  <c r="K1981" i="1"/>
  <c r="F1981" i="1"/>
  <c r="F1981" i="1" a="1"/>
  <c r="W1980" i="1"/>
  <c r="W1980" i="1" a="1"/>
  <c r="V1980" i="1"/>
  <c r="U1980" i="1"/>
  <c r="Q1980" i="1"/>
  <c r="O1980" i="1"/>
  <c r="M1980" i="1"/>
  <c r="L1980" i="1"/>
  <c r="K1980" i="1"/>
  <c r="F1980" i="1"/>
  <c r="F1980" i="1" a="1"/>
  <c r="W1979" i="1"/>
  <c r="W1979" i="1" a="1"/>
  <c r="V1979" i="1"/>
  <c r="U1979" i="1"/>
  <c r="Q1979" i="1"/>
  <c r="O1979" i="1"/>
  <c r="M1979" i="1"/>
  <c r="L1979" i="1"/>
  <c r="K1979" i="1"/>
  <c r="F1979" i="1"/>
  <c r="F1979" i="1" a="1"/>
  <c r="W1978" i="1"/>
  <c r="W1978" i="1" a="1"/>
  <c r="V1978" i="1"/>
  <c r="U1978" i="1"/>
  <c r="Q1978" i="1"/>
  <c r="O1978" i="1"/>
  <c r="M1978" i="1"/>
  <c r="L1978" i="1"/>
  <c r="K1978" i="1"/>
  <c r="F1978" i="1"/>
  <c r="F1978" i="1" a="1"/>
  <c r="W1977" i="1"/>
  <c r="W1977" i="1" a="1"/>
  <c r="V1977" i="1"/>
  <c r="U1977" i="1"/>
  <c r="Q1977" i="1"/>
  <c r="O1977" i="1"/>
  <c r="M1977" i="1"/>
  <c r="L1977" i="1"/>
  <c r="K1977" i="1"/>
  <c r="F1977" i="1"/>
  <c r="F1977" i="1" a="1"/>
  <c r="W1976" i="1"/>
  <c r="W1976" i="1" a="1"/>
  <c r="V1976" i="1"/>
  <c r="U1976" i="1"/>
  <c r="Q1976" i="1"/>
  <c r="O1976" i="1"/>
  <c r="M1976" i="1"/>
  <c r="L1976" i="1"/>
  <c r="K1976" i="1"/>
  <c r="F1976" i="1"/>
  <c r="F1976" i="1" a="1"/>
  <c r="W1975" i="1"/>
  <c r="W1975" i="1" a="1"/>
  <c r="V1975" i="1"/>
  <c r="U1975" i="1"/>
  <c r="Q1975" i="1"/>
  <c r="O1975" i="1"/>
  <c r="M1975" i="1"/>
  <c r="L1975" i="1"/>
  <c r="K1975" i="1"/>
  <c r="F1975" i="1"/>
  <c r="F1975" i="1" a="1"/>
  <c r="W1974" i="1"/>
  <c r="W1974" i="1" a="1"/>
  <c r="V1974" i="1"/>
  <c r="U1974" i="1"/>
  <c r="Q1974" i="1"/>
  <c r="O1974" i="1"/>
  <c r="M1974" i="1"/>
  <c r="L1974" i="1"/>
  <c r="K1974" i="1"/>
  <c r="F1974" i="1"/>
  <c r="F1974" i="1" a="1"/>
  <c r="W1973" i="1"/>
  <c r="W1973" i="1" a="1"/>
  <c r="V1973" i="1"/>
  <c r="U1973" i="1"/>
  <c r="Q1973" i="1"/>
  <c r="O1973" i="1"/>
  <c r="M1973" i="1"/>
  <c r="L1973" i="1"/>
  <c r="K1973" i="1"/>
  <c r="F1973" i="1"/>
  <c r="F1973" i="1" a="1"/>
  <c r="W1972" i="1"/>
  <c r="W1972" i="1" a="1"/>
  <c r="V1972" i="1"/>
  <c r="U1972" i="1"/>
  <c r="Q1972" i="1"/>
  <c r="O1972" i="1"/>
  <c r="M1972" i="1"/>
  <c r="L1972" i="1"/>
  <c r="K1972" i="1"/>
  <c r="F1972" i="1"/>
  <c r="F1972" i="1" a="1"/>
  <c r="W1971" i="1"/>
  <c r="W1971" i="1" a="1"/>
  <c r="V1971" i="1"/>
  <c r="U1971" i="1"/>
  <c r="Q1971" i="1"/>
  <c r="O1971" i="1"/>
  <c r="M1971" i="1"/>
  <c r="L1971" i="1"/>
  <c r="K1971" i="1"/>
  <c r="F1971" i="1"/>
  <c r="F1971" i="1" a="1"/>
  <c r="W1970" i="1"/>
  <c r="W1970" i="1" a="1"/>
  <c r="V1970" i="1"/>
  <c r="U1970" i="1"/>
  <c r="Q1970" i="1"/>
  <c r="O1970" i="1"/>
  <c r="M1970" i="1"/>
  <c r="L1970" i="1"/>
  <c r="K1970" i="1"/>
  <c r="F1970" i="1"/>
  <c r="F1970" i="1" a="1"/>
  <c r="W1969" i="1"/>
  <c r="W1969" i="1" a="1"/>
  <c r="V1969" i="1"/>
  <c r="U1969" i="1"/>
  <c r="Q1969" i="1"/>
  <c r="O1969" i="1"/>
  <c r="M1969" i="1"/>
  <c r="L1969" i="1"/>
  <c r="K1969" i="1"/>
  <c r="F1969" i="1"/>
  <c r="F1969" i="1" a="1"/>
  <c r="W1968" i="1"/>
  <c r="W1968" i="1" a="1"/>
  <c r="V1968" i="1"/>
  <c r="U1968" i="1"/>
  <c r="Q1968" i="1"/>
  <c r="O1968" i="1"/>
  <c r="M1968" i="1"/>
  <c r="L1968" i="1"/>
  <c r="K1968" i="1"/>
  <c r="F1968" i="1"/>
  <c r="F1968" i="1" a="1"/>
  <c r="W1967" i="1"/>
  <c r="W1967" i="1" a="1"/>
  <c r="V1967" i="1"/>
  <c r="U1967" i="1"/>
  <c r="Q1967" i="1"/>
  <c r="O1967" i="1"/>
  <c r="M1967" i="1"/>
  <c r="L1967" i="1"/>
  <c r="K1967" i="1"/>
  <c r="F1967" i="1"/>
  <c r="F1967" i="1" a="1"/>
  <c r="W1966" i="1"/>
  <c r="W1966" i="1" a="1"/>
  <c r="V1966" i="1"/>
  <c r="U1966" i="1"/>
  <c r="Q1966" i="1"/>
  <c r="O1966" i="1"/>
  <c r="M1966" i="1"/>
  <c r="L1966" i="1"/>
  <c r="K1966" i="1"/>
  <c r="F1966" i="1"/>
  <c r="F1966" i="1" a="1"/>
  <c r="W1965" i="1"/>
  <c r="W1965" i="1" a="1"/>
  <c r="V1965" i="1"/>
  <c r="U1965" i="1"/>
  <c r="Q1965" i="1"/>
  <c r="O1965" i="1"/>
  <c r="M1965" i="1"/>
  <c r="L1965" i="1"/>
  <c r="K1965" i="1"/>
  <c r="F1965" i="1"/>
  <c r="F1965" i="1" a="1"/>
  <c r="W1964" i="1"/>
  <c r="W1964" i="1" a="1"/>
  <c r="V1964" i="1"/>
  <c r="U1964" i="1"/>
  <c r="Q1964" i="1"/>
  <c r="O1964" i="1"/>
  <c r="M1964" i="1"/>
  <c r="L1964" i="1"/>
  <c r="K1964" i="1"/>
  <c r="F1964" i="1"/>
  <c r="F1964" i="1" a="1"/>
  <c r="W1963" i="1"/>
  <c r="W1963" i="1" a="1"/>
  <c r="V1963" i="1"/>
  <c r="U1963" i="1"/>
  <c r="Q1963" i="1"/>
  <c r="O1963" i="1"/>
  <c r="M1963" i="1"/>
  <c r="L1963" i="1"/>
  <c r="K1963" i="1"/>
  <c r="F1963" i="1"/>
  <c r="F1963" i="1" a="1"/>
  <c r="W1962" i="1"/>
  <c r="W1962" i="1" a="1"/>
  <c r="V1962" i="1"/>
  <c r="U1962" i="1"/>
  <c r="Q1962" i="1"/>
  <c r="O1962" i="1"/>
  <c r="M1962" i="1"/>
  <c r="L1962" i="1"/>
  <c r="K1962" i="1"/>
  <c r="F1962" i="1"/>
  <c r="F1962" i="1" a="1"/>
  <c r="W1961" i="1"/>
  <c r="W1961" i="1" a="1"/>
  <c r="V1961" i="1"/>
  <c r="U1961" i="1"/>
  <c r="Q1961" i="1"/>
  <c r="O1961" i="1"/>
  <c r="M1961" i="1"/>
  <c r="L1961" i="1"/>
  <c r="K1961" i="1"/>
  <c r="F1961" i="1"/>
  <c r="F1961" i="1" a="1"/>
  <c r="W1960" i="1"/>
  <c r="W1960" i="1" a="1"/>
  <c r="V1960" i="1"/>
  <c r="U1960" i="1"/>
  <c r="Q1960" i="1"/>
  <c r="O1960" i="1"/>
  <c r="M1960" i="1"/>
  <c r="L1960" i="1"/>
  <c r="K1960" i="1"/>
  <c r="F1960" i="1"/>
  <c r="F1960" i="1" a="1"/>
  <c r="W1959" i="1"/>
  <c r="W1959" i="1" a="1"/>
  <c r="V1959" i="1"/>
  <c r="U1959" i="1"/>
  <c r="Q1959" i="1"/>
  <c r="O1959" i="1"/>
  <c r="M1959" i="1"/>
  <c r="L1959" i="1"/>
  <c r="K1959" i="1"/>
  <c r="F1959" i="1"/>
  <c r="F1959" i="1" a="1"/>
  <c r="W1958" i="1"/>
  <c r="W1958" i="1" a="1"/>
  <c r="V1958" i="1"/>
  <c r="U1958" i="1"/>
  <c r="Q1958" i="1"/>
  <c r="O1958" i="1"/>
  <c r="M1958" i="1"/>
  <c r="L1958" i="1"/>
  <c r="K1958" i="1"/>
  <c r="F1958" i="1"/>
  <c r="F1958" i="1" a="1"/>
  <c r="W1957" i="1"/>
  <c r="W1957" i="1" a="1"/>
  <c r="V1957" i="1"/>
  <c r="U1957" i="1"/>
  <c r="Q1957" i="1"/>
  <c r="O1957" i="1"/>
  <c r="M1957" i="1"/>
  <c r="L1957" i="1"/>
  <c r="K1957" i="1"/>
  <c r="F1957" i="1"/>
  <c r="F1957" i="1" a="1"/>
  <c r="W1956" i="1"/>
  <c r="W1956" i="1" a="1"/>
  <c r="V1956" i="1"/>
  <c r="U1956" i="1"/>
  <c r="Q1956" i="1"/>
  <c r="O1956" i="1"/>
  <c r="M1956" i="1"/>
  <c r="L1956" i="1"/>
  <c r="K1956" i="1"/>
  <c r="F1956" i="1"/>
  <c r="F1956" i="1" a="1"/>
  <c r="W1955" i="1"/>
  <c r="W1955" i="1" a="1"/>
  <c r="V1955" i="1"/>
  <c r="U1955" i="1"/>
  <c r="Q1955" i="1"/>
  <c r="O1955" i="1"/>
  <c r="M1955" i="1"/>
  <c r="L1955" i="1"/>
  <c r="K1955" i="1"/>
  <c r="F1955" i="1"/>
  <c r="F1955" i="1" a="1"/>
  <c r="W1954" i="1"/>
  <c r="W1954" i="1" a="1"/>
  <c r="V1954" i="1"/>
  <c r="U1954" i="1"/>
  <c r="Q1954" i="1"/>
  <c r="O1954" i="1"/>
  <c r="M1954" i="1"/>
  <c r="L1954" i="1"/>
  <c r="K1954" i="1"/>
  <c r="F1954" i="1"/>
  <c r="F1954" i="1" a="1"/>
  <c r="W1953" i="1"/>
  <c r="W1953" i="1" a="1"/>
  <c r="V1953" i="1"/>
  <c r="U1953" i="1"/>
  <c r="Q1953" i="1"/>
  <c r="O1953" i="1"/>
  <c r="M1953" i="1"/>
  <c r="L1953" i="1"/>
  <c r="K1953" i="1"/>
  <c r="F1953" i="1"/>
  <c r="F1953" i="1" a="1"/>
  <c r="W1952" i="1"/>
  <c r="W1952" i="1" a="1"/>
  <c r="V1952" i="1"/>
  <c r="U1952" i="1"/>
  <c r="Q1952" i="1"/>
  <c r="O1952" i="1"/>
  <c r="M1952" i="1"/>
  <c r="L1952" i="1"/>
  <c r="K1952" i="1"/>
  <c r="F1952" i="1"/>
  <c r="F1952" i="1" a="1"/>
  <c r="W1951" i="1"/>
  <c r="W1951" i="1" a="1"/>
  <c r="V1951" i="1"/>
  <c r="U1951" i="1"/>
  <c r="Q1951" i="1"/>
  <c r="O1951" i="1"/>
  <c r="M1951" i="1"/>
  <c r="L1951" i="1"/>
  <c r="K1951" i="1"/>
  <c r="F1951" i="1"/>
  <c r="F1951" i="1" a="1"/>
  <c r="W1950" i="1"/>
  <c r="W1950" i="1" a="1"/>
  <c r="V1950" i="1"/>
  <c r="U1950" i="1"/>
  <c r="Q1950" i="1"/>
  <c r="O1950" i="1"/>
  <c r="M1950" i="1"/>
  <c r="L1950" i="1"/>
  <c r="K1950" i="1"/>
  <c r="F1950" i="1"/>
  <c r="F1950" i="1" a="1"/>
  <c r="W1949" i="1"/>
  <c r="W1949" i="1" a="1"/>
  <c r="V1949" i="1"/>
  <c r="U1949" i="1"/>
  <c r="Q1949" i="1"/>
  <c r="O1949" i="1"/>
  <c r="M1949" i="1"/>
  <c r="L1949" i="1"/>
  <c r="K1949" i="1"/>
  <c r="F1949" i="1"/>
  <c r="F1949" i="1" a="1"/>
  <c r="W1948" i="1"/>
  <c r="W1948" i="1" a="1"/>
  <c r="V1948" i="1"/>
  <c r="U1948" i="1"/>
  <c r="Q1948" i="1"/>
  <c r="O1948" i="1"/>
  <c r="M1948" i="1"/>
  <c r="L1948" i="1"/>
  <c r="K1948" i="1"/>
  <c r="F1948" i="1"/>
  <c r="F1948" i="1" a="1"/>
  <c r="W1947" i="1"/>
  <c r="W1947" i="1" a="1"/>
  <c r="V1947" i="1"/>
  <c r="U1947" i="1"/>
  <c r="Q1947" i="1"/>
  <c r="O1947" i="1"/>
  <c r="M1947" i="1"/>
  <c r="L1947" i="1"/>
  <c r="K1947" i="1"/>
  <c r="F1947" i="1"/>
  <c r="F1947" i="1" a="1"/>
  <c r="W1946" i="1"/>
  <c r="W1946" i="1" a="1"/>
  <c r="V1946" i="1"/>
  <c r="U1946" i="1"/>
  <c r="Q1946" i="1"/>
  <c r="O1946" i="1"/>
  <c r="M1946" i="1"/>
  <c r="L1946" i="1"/>
  <c r="K1946" i="1"/>
  <c r="F1946" i="1"/>
  <c r="F1946" i="1" a="1"/>
  <c r="W1945" i="1"/>
  <c r="W1945" i="1" a="1"/>
  <c r="V1945" i="1"/>
  <c r="U1945" i="1"/>
  <c r="Q1945" i="1"/>
  <c r="O1945" i="1"/>
  <c r="M1945" i="1"/>
  <c r="L1945" i="1"/>
  <c r="K1945" i="1"/>
  <c r="F1945" i="1"/>
  <c r="F1945" i="1" a="1"/>
  <c r="W1944" i="1"/>
  <c r="W1944" i="1" a="1"/>
  <c r="V1944" i="1"/>
  <c r="U1944" i="1"/>
  <c r="Q1944" i="1"/>
  <c r="O1944" i="1"/>
  <c r="M1944" i="1"/>
  <c r="L1944" i="1"/>
  <c r="K1944" i="1"/>
  <c r="F1944" i="1"/>
  <c r="F1944" i="1" a="1"/>
  <c r="W1943" i="1"/>
  <c r="W1943" i="1" a="1"/>
  <c r="V1943" i="1"/>
  <c r="U1943" i="1"/>
  <c r="Q1943" i="1"/>
  <c r="O1943" i="1"/>
  <c r="M1943" i="1"/>
  <c r="L1943" i="1"/>
  <c r="K1943" i="1"/>
  <c r="F1943" i="1"/>
  <c r="F1943" i="1" a="1"/>
  <c r="W1942" i="1"/>
  <c r="W1942" i="1" a="1"/>
  <c r="V1942" i="1"/>
  <c r="U1942" i="1"/>
  <c r="Q1942" i="1"/>
  <c r="O1942" i="1"/>
  <c r="M1942" i="1"/>
  <c r="L1942" i="1"/>
  <c r="K1942" i="1"/>
  <c r="F1942" i="1"/>
  <c r="F1942" i="1" a="1"/>
  <c r="W1941" i="1"/>
  <c r="W1941" i="1" a="1"/>
  <c r="V1941" i="1"/>
  <c r="U1941" i="1"/>
  <c r="Q1941" i="1"/>
  <c r="O1941" i="1"/>
  <c r="M1941" i="1"/>
  <c r="L1941" i="1"/>
  <c r="K1941" i="1"/>
  <c r="F1941" i="1"/>
  <c r="F1941" i="1" a="1"/>
  <c r="W1940" i="1"/>
  <c r="W1940" i="1" a="1"/>
  <c r="V1940" i="1"/>
  <c r="U1940" i="1"/>
  <c r="Q1940" i="1"/>
  <c r="O1940" i="1"/>
  <c r="M1940" i="1"/>
  <c r="L1940" i="1"/>
  <c r="K1940" i="1"/>
  <c r="F1940" i="1"/>
  <c r="F1940" i="1" a="1"/>
  <c r="W1939" i="1"/>
  <c r="W1939" i="1" a="1"/>
  <c r="V1939" i="1"/>
  <c r="U1939" i="1"/>
  <c r="Q1939" i="1"/>
  <c r="O1939" i="1"/>
  <c r="M1939" i="1"/>
  <c r="L1939" i="1"/>
  <c r="K1939" i="1"/>
  <c r="F1939" i="1"/>
  <c r="F1939" i="1" a="1"/>
  <c r="W1938" i="1"/>
  <c r="W1938" i="1" a="1"/>
  <c r="V1938" i="1"/>
  <c r="U1938" i="1"/>
  <c r="Q1938" i="1"/>
  <c r="O1938" i="1"/>
  <c r="M1938" i="1"/>
  <c r="L1938" i="1"/>
  <c r="K1938" i="1"/>
  <c r="F1938" i="1"/>
  <c r="F1938" i="1" a="1"/>
  <c r="W1937" i="1"/>
  <c r="W1937" i="1" a="1"/>
  <c r="V1937" i="1"/>
  <c r="U1937" i="1"/>
  <c r="Q1937" i="1"/>
  <c r="O1937" i="1"/>
  <c r="M1937" i="1"/>
  <c r="L1937" i="1"/>
  <c r="K1937" i="1"/>
  <c r="F1937" i="1"/>
  <c r="F1937" i="1" a="1"/>
  <c r="W1936" i="1"/>
  <c r="W1936" i="1" a="1"/>
  <c r="V1936" i="1"/>
  <c r="U1936" i="1"/>
  <c r="Q1936" i="1"/>
  <c r="O1936" i="1"/>
  <c r="M1936" i="1"/>
  <c r="L1936" i="1"/>
  <c r="K1936" i="1"/>
  <c r="F1936" i="1"/>
  <c r="F1936" i="1" a="1"/>
  <c r="W1935" i="1"/>
  <c r="W1935" i="1" a="1"/>
  <c r="V1935" i="1"/>
  <c r="U1935" i="1"/>
  <c r="Q1935" i="1"/>
  <c r="O1935" i="1"/>
  <c r="M1935" i="1"/>
  <c r="L1935" i="1"/>
  <c r="K1935" i="1"/>
  <c r="F1935" i="1"/>
  <c r="F1935" i="1" a="1"/>
  <c r="W1934" i="1"/>
  <c r="W1934" i="1" a="1"/>
  <c r="V1934" i="1"/>
  <c r="U1934" i="1"/>
  <c r="Q1934" i="1"/>
  <c r="O1934" i="1"/>
  <c r="M1934" i="1"/>
  <c r="L1934" i="1"/>
  <c r="K1934" i="1"/>
  <c r="F1934" i="1"/>
  <c r="F1934" i="1" a="1"/>
  <c r="W1933" i="1"/>
  <c r="W1933" i="1" a="1"/>
  <c r="V1933" i="1"/>
  <c r="U1933" i="1"/>
  <c r="Q1933" i="1"/>
  <c r="O1933" i="1"/>
  <c r="M1933" i="1"/>
  <c r="L1933" i="1"/>
  <c r="K1933" i="1"/>
  <c r="F1933" i="1"/>
  <c r="F1933" i="1" a="1"/>
  <c r="W1932" i="1"/>
  <c r="W1932" i="1" a="1"/>
  <c r="V1932" i="1"/>
  <c r="U1932" i="1"/>
  <c r="Q1932" i="1"/>
  <c r="O1932" i="1"/>
  <c r="M1932" i="1"/>
  <c r="L1932" i="1"/>
  <c r="K1932" i="1"/>
  <c r="F1932" i="1"/>
  <c r="F1932" i="1" a="1"/>
  <c r="W1931" i="1"/>
  <c r="W1931" i="1" a="1"/>
  <c r="V1931" i="1"/>
  <c r="U1931" i="1"/>
  <c r="Q1931" i="1"/>
  <c r="O1931" i="1"/>
  <c r="M1931" i="1"/>
  <c r="L1931" i="1"/>
  <c r="K1931" i="1"/>
  <c r="F1931" i="1"/>
  <c r="F1931" i="1" a="1"/>
  <c r="W1930" i="1"/>
  <c r="W1930" i="1" a="1"/>
  <c r="V1930" i="1"/>
  <c r="U1930" i="1"/>
  <c r="Q1930" i="1"/>
  <c r="O1930" i="1"/>
  <c r="M1930" i="1"/>
  <c r="L1930" i="1"/>
  <c r="K1930" i="1"/>
  <c r="F1930" i="1"/>
  <c r="F1930" i="1" a="1"/>
  <c r="W1929" i="1"/>
  <c r="W1929" i="1" a="1"/>
  <c r="V1929" i="1"/>
  <c r="U1929" i="1"/>
  <c r="Q1929" i="1"/>
  <c r="O1929" i="1"/>
  <c r="M1929" i="1"/>
  <c r="L1929" i="1"/>
  <c r="K1929" i="1"/>
  <c r="F1929" i="1"/>
  <c r="F1929" i="1" a="1"/>
  <c r="W1928" i="1"/>
  <c r="W1928" i="1" a="1"/>
  <c r="V1928" i="1"/>
  <c r="U1928" i="1"/>
  <c r="Q1928" i="1"/>
  <c r="O1928" i="1"/>
  <c r="M1928" i="1"/>
  <c r="L1928" i="1"/>
  <c r="K1928" i="1"/>
  <c r="F1928" i="1"/>
  <c r="F1928" i="1" a="1"/>
  <c r="W1927" i="1"/>
  <c r="W1927" i="1" a="1"/>
  <c r="V1927" i="1"/>
  <c r="U1927" i="1"/>
  <c r="Q1927" i="1"/>
  <c r="O1927" i="1"/>
  <c r="M1927" i="1"/>
  <c r="L1927" i="1"/>
  <c r="K1927" i="1"/>
  <c r="F1927" i="1"/>
  <c r="F1927" i="1" a="1"/>
  <c r="W1926" i="1"/>
  <c r="W1926" i="1" a="1"/>
  <c r="V1926" i="1"/>
  <c r="U1926" i="1"/>
  <c r="Q1926" i="1"/>
  <c r="O1926" i="1"/>
  <c r="M1926" i="1"/>
  <c r="L1926" i="1"/>
  <c r="K1926" i="1"/>
  <c r="F1926" i="1"/>
  <c r="F1926" i="1" a="1"/>
  <c r="W1925" i="1"/>
  <c r="W1925" i="1" a="1"/>
  <c r="V1925" i="1"/>
  <c r="U1925" i="1"/>
  <c r="Q1925" i="1"/>
  <c r="O1925" i="1"/>
  <c r="M1925" i="1"/>
  <c r="L1925" i="1"/>
  <c r="K1925" i="1"/>
  <c r="F1925" i="1"/>
  <c r="F1925" i="1" a="1"/>
  <c r="W1924" i="1"/>
  <c r="W1924" i="1" a="1"/>
  <c r="V1924" i="1"/>
  <c r="U1924" i="1"/>
  <c r="Q1924" i="1"/>
  <c r="O1924" i="1"/>
  <c r="M1924" i="1"/>
  <c r="L1924" i="1"/>
  <c r="K1924" i="1"/>
  <c r="F1924" i="1"/>
  <c r="F1924" i="1" a="1"/>
  <c r="W1923" i="1"/>
  <c r="W1923" i="1" a="1"/>
  <c r="V1923" i="1"/>
  <c r="U1923" i="1"/>
  <c r="Q1923" i="1"/>
  <c r="O1923" i="1"/>
  <c r="M1923" i="1"/>
  <c r="L1923" i="1"/>
  <c r="K1923" i="1"/>
  <c r="F1923" i="1"/>
  <c r="F1923" i="1" a="1"/>
  <c r="W1922" i="1"/>
  <c r="W1922" i="1" a="1"/>
  <c r="V1922" i="1"/>
  <c r="U1922" i="1"/>
  <c r="Q1922" i="1"/>
  <c r="O1922" i="1"/>
  <c r="M1922" i="1"/>
  <c r="L1922" i="1"/>
  <c r="K1922" i="1"/>
  <c r="F1922" i="1"/>
  <c r="F1922" i="1" a="1"/>
  <c r="W1921" i="1"/>
  <c r="W1921" i="1" a="1"/>
  <c r="V1921" i="1"/>
  <c r="U1921" i="1"/>
  <c r="Q1921" i="1"/>
  <c r="O1921" i="1"/>
  <c r="M1921" i="1"/>
  <c r="L1921" i="1"/>
  <c r="K1921" i="1"/>
  <c r="F1921" i="1"/>
  <c r="F1921" i="1" a="1"/>
  <c r="W1920" i="1"/>
  <c r="W1920" i="1" a="1"/>
  <c r="V1920" i="1"/>
  <c r="U1920" i="1"/>
  <c r="Q1920" i="1"/>
  <c r="O1920" i="1"/>
  <c r="M1920" i="1"/>
  <c r="L1920" i="1"/>
  <c r="K1920" i="1"/>
  <c r="F1920" i="1"/>
  <c r="F1920" i="1" a="1"/>
  <c r="W1919" i="1"/>
  <c r="W1919" i="1" a="1"/>
  <c r="V1919" i="1"/>
  <c r="U1919" i="1"/>
  <c r="Q1919" i="1"/>
  <c r="O1919" i="1"/>
  <c r="M1919" i="1"/>
  <c r="L1919" i="1"/>
  <c r="K1919" i="1"/>
  <c r="F1919" i="1"/>
  <c r="F1919" i="1" a="1"/>
  <c r="W1918" i="1"/>
  <c r="W1918" i="1" a="1"/>
  <c r="V1918" i="1"/>
  <c r="U1918" i="1"/>
  <c r="Q1918" i="1"/>
  <c r="O1918" i="1"/>
  <c r="M1918" i="1"/>
  <c r="L1918" i="1"/>
  <c r="K1918" i="1"/>
  <c r="F1918" i="1"/>
  <c r="F1918" i="1" a="1"/>
  <c r="W1917" i="1"/>
  <c r="W1917" i="1" a="1"/>
  <c r="V1917" i="1"/>
  <c r="U1917" i="1"/>
  <c r="Q1917" i="1"/>
  <c r="O1917" i="1"/>
  <c r="M1917" i="1"/>
  <c r="L1917" i="1"/>
  <c r="K1917" i="1"/>
  <c r="F1917" i="1"/>
  <c r="F1917" i="1" a="1"/>
  <c r="W1916" i="1"/>
  <c r="W1916" i="1" a="1"/>
  <c r="V1916" i="1"/>
  <c r="U1916" i="1"/>
  <c r="Q1916" i="1"/>
  <c r="O1916" i="1"/>
  <c r="M1916" i="1"/>
  <c r="L1916" i="1"/>
  <c r="K1916" i="1"/>
  <c r="F1916" i="1"/>
  <c r="F1916" i="1" a="1"/>
  <c r="W1915" i="1"/>
  <c r="W1915" i="1" a="1"/>
  <c r="V1915" i="1"/>
  <c r="U1915" i="1"/>
  <c r="Q1915" i="1"/>
  <c r="O1915" i="1"/>
  <c r="M1915" i="1"/>
  <c r="L1915" i="1"/>
  <c r="K1915" i="1"/>
  <c r="F1915" i="1"/>
  <c r="F1915" i="1" a="1"/>
  <c r="W1914" i="1"/>
  <c r="W1914" i="1" a="1"/>
  <c r="V1914" i="1"/>
  <c r="U1914" i="1"/>
  <c r="Q1914" i="1"/>
  <c r="O1914" i="1"/>
  <c r="M1914" i="1"/>
  <c r="L1914" i="1"/>
  <c r="K1914" i="1"/>
  <c r="F1914" i="1"/>
  <c r="F1914" i="1" a="1"/>
  <c r="W1913" i="1"/>
  <c r="W1913" i="1" a="1"/>
  <c r="V1913" i="1"/>
  <c r="U1913" i="1"/>
  <c r="Q1913" i="1"/>
  <c r="O1913" i="1"/>
  <c r="M1913" i="1"/>
  <c r="L1913" i="1"/>
  <c r="K1913" i="1"/>
  <c r="F1913" i="1"/>
  <c r="F1913" i="1" a="1"/>
  <c r="W1912" i="1"/>
  <c r="W1912" i="1" a="1"/>
  <c r="V1912" i="1"/>
  <c r="U1912" i="1"/>
  <c r="Q1912" i="1"/>
  <c r="O1912" i="1"/>
  <c r="M1912" i="1"/>
  <c r="L1912" i="1"/>
  <c r="K1912" i="1"/>
  <c r="F1912" i="1"/>
  <c r="F1912" i="1" a="1"/>
  <c r="W1911" i="1"/>
  <c r="W1911" i="1" a="1"/>
  <c r="V1911" i="1"/>
  <c r="U1911" i="1"/>
  <c r="Q1911" i="1"/>
  <c r="O1911" i="1"/>
  <c r="M1911" i="1"/>
  <c r="L1911" i="1"/>
  <c r="K1911" i="1"/>
  <c r="F1911" i="1"/>
  <c r="F1911" i="1" a="1"/>
  <c r="W1910" i="1"/>
  <c r="W1910" i="1" a="1"/>
  <c r="V1910" i="1"/>
  <c r="U1910" i="1"/>
  <c r="Q1910" i="1"/>
  <c r="O1910" i="1"/>
  <c r="M1910" i="1"/>
  <c r="L1910" i="1"/>
  <c r="K1910" i="1"/>
  <c r="F1910" i="1"/>
  <c r="F1910" i="1" a="1"/>
  <c r="W1909" i="1"/>
  <c r="W1909" i="1" a="1"/>
  <c r="V1909" i="1"/>
  <c r="U1909" i="1"/>
  <c r="Q1909" i="1"/>
  <c r="O1909" i="1"/>
  <c r="M1909" i="1"/>
  <c r="L1909" i="1"/>
  <c r="K1909" i="1"/>
  <c r="F1909" i="1"/>
  <c r="F1909" i="1" a="1"/>
  <c r="W1908" i="1"/>
  <c r="W1908" i="1" a="1"/>
  <c r="V1908" i="1"/>
  <c r="U1908" i="1"/>
  <c r="Q1908" i="1"/>
  <c r="O1908" i="1"/>
  <c r="M1908" i="1"/>
  <c r="L1908" i="1"/>
  <c r="K1908" i="1"/>
  <c r="F1908" i="1"/>
  <c r="F1908" i="1" a="1"/>
  <c r="W1907" i="1"/>
  <c r="W1907" i="1" a="1"/>
  <c r="V1907" i="1"/>
  <c r="U1907" i="1"/>
  <c r="Q1907" i="1"/>
  <c r="O1907" i="1"/>
  <c r="M1907" i="1"/>
  <c r="L1907" i="1"/>
  <c r="K1907" i="1"/>
  <c r="F1907" i="1"/>
  <c r="F1907" i="1" a="1"/>
  <c r="W1906" i="1"/>
  <c r="W1906" i="1" a="1"/>
  <c r="V1906" i="1"/>
  <c r="U1906" i="1"/>
  <c r="Q1906" i="1"/>
  <c r="O1906" i="1"/>
  <c r="M1906" i="1"/>
  <c r="L1906" i="1"/>
  <c r="K1906" i="1"/>
  <c r="F1906" i="1"/>
  <c r="F1906" i="1" a="1"/>
  <c r="W1905" i="1"/>
  <c r="W1905" i="1" a="1"/>
  <c r="V1905" i="1"/>
  <c r="U1905" i="1"/>
  <c r="Q1905" i="1"/>
  <c r="O1905" i="1"/>
  <c r="M1905" i="1"/>
  <c r="L1905" i="1"/>
  <c r="K1905" i="1"/>
  <c r="F1905" i="1"/>
  <c r="F1905" i="1" a="1"/>
  <c r="W1904" i="1"/>
  <c r="W1904" i="1" a="1"/>
  <c r="V1904" i="1"/>
  <c r="U1904" i="1"/>
  <c r="Q1904" i="1"/>
  <c r="O1904" i="1"/>
  <c r="M1904" i="1"/>
  <c r="L1904" i="1"/>
  <c r="K1904" i="1"/>
  <c r="F1904" i="1"/>
  <c r="F1904" i="1" a="1"/>
  <c r="W1903" i="1"/>
  <c r="W1903" i="1" a="1"/>
  <c r="V1903" i="1"/>
  <c r="U1903" i="1"/>
  <c r="Q1903" i="1"/>
  <c r="O1903" i="1"/>
  <c r="M1903" i="1"/>
  <c r="L1903" i="1"/>
  <c r="K1903" i="1"/>
  <c r="F1903" i="1"/>
  <c r="F1903" i="1" a="1"/>
  <c r="W1902" i="1"/>
  <c r="W1902" i="1" a="1"/>
  <c r="V1902" i="1"/>
  <c r="U1902" i="1"/>
  <c r="Q1902" i="1"/>
  <c r="O1902" i="1"/>
  <c r="M1902" i="1"/>
  <c r="L1902" i="1"/>
  <c r="K1902" i="1"/>
  <c r="F1902" i="1"/>
  <c r="F1902" i="1" a="1"/>
  <c r="W1901" i="1"/>
  <c r="W1901" i="1" a="1"/>
  <c r="V1901" i="1"/>
  <c r="U1901" i="1"/>
  <c r="Q1901" i="1"/>
  <c r="O1901" i="1"/>
  <c r="M1901" i="1"/>
  <c r="L1901" i="1"/>
  <c r="K1901" i="1"/>
  <c r="F1901" i="1"/>
  <c r="F1901" i="1" a="1"/>
  <c r="W1900" i="1"/>
  <c r="W1900" i="1" a="1"/>
  <c r="V1900" i="1"/>
  <c r="U1900" i="1"/>
  <c r="Q1900" i="1"/>
  <c r="O1900" i="1"/>
  <c r="M1900" i="1"/>
  <c r="L1900" i="1"/>
  <c r="K1900" i="1"/>
  <c r="F1900" i="1"/>
  <c r="F1900" i="1" a="1"/>
  <c r="W1899" i="1"/>
  <c r="W1899" i="1" a="1"/>
  <c r="V1899" i="1"/>
  <c r="U1899" i="1"/>
  <c r="Q1899" i="1"/>
  <c r="O1899" i="1"/>
  <c r="M1899" i="1"/>
  <c r="L1899" i="1"/>
  <c r="K1899" i="1"/>
  <c r="F1899" i="1"/>
  <c r="F1899" i="1" a="1"/>
  <c r="W1898" i="1"/>
  <c r="W1898" i="1" a="1"/>
  <c r="V1898" i="1"/>
  <c r="U1898" i="1"/>
  <c r="Q1898" i="1"/>
  <c r="O1898" i="1"/>
  <c r="M1898" i="1"/>
  <c r="L1898" i="1"/>
  <c r="K1898" i="1"/>
  <c r="F1898" i="1"/>
  <c r="F1898" i="1" a="1"/>
  <c r="W1897" i="1"/>
  <c r="W1897" i="1" a="1"/>
  <c r="V1897" i="1"/>
  <c r="U1897" i="1"/>
  <c r="Q1897" i="1"/>
  <c r="O1897" i="1"/>
  <c r="M1897" i="1"/>
  <c r="L1897" i="1"/>
  <c r="K1897" i="1"/>
  <c r="F1897" i="1"/>
  <c r="F1897" i="1" a="1"/>
  <c r="W1896" i="1"/>
  <c r="W1896" i="1" a="1"/>
  <c r="V1896" i="1"/>
  <c r="U1896" i="1"/>
  <c r="Q1896" i="1"/>
  <c r="O1896" i="1"/>
  <c r="M1896" i="1"/>
  <c r="L1896" i="1"/>
  <c r="K1896" i="1"/>
  <c r="F1896" i="1"/>
  <c r="F1896" i="1" a="1"/>
  <c r="W1895" i="1"/>
  <c r="W1895" i="1" a="1"/>
  <c r="V1895" i="1"/>
  <c r="U1895" i="1"/>
  <c r="Q1895" i="1"/>
  <c r="O1895" i="1"/>
  <c r="M1895" i="1"/>
  <c r="L1895" i="1"/>
  <c r="K1895" i="1"/>
  <c r="F1895" i="1"/>
  <c r="F1895" i="1" a="1"/>
  <c r="W1894" i="1"/>
  <c r="W1894" i="1" a="1"/>
  <c r="V1894" i="1"/>
  <c r="U1894" i="1"/>
  <c r="Q1894" i="1"/>
  <c r="O1894" i="1"/>
  <c r="M1894" i="1"/>
  <c r="L1894" i="1"/>
  <c r="K1894" i="1"/>
  <c r="F1894" i="1"/>
  <c r="F1894" i="1" a="1"/>
  <c r="W1893" i="1"/>
  <c r="W1893" i="1" a="1"/>
  <c r="V1893" i="1"/>
  <c r="U1893" i="1"/>
  <c r="Q1893" i="1"/>
  <c r="O1893" i="1"/>
  <c r="M1893" i="1"/>
  <c r="L1893" i="1"/>
  <c r="K1893" i="1"/>
  <c r="F1893" i="1"/>
  <c r="F1893" i="1" a="1"/>
  <c r="W1892" i="1"/>
  <c r="W1892" i="1" a="1"/>
  <c r="V1892" i="1"/>
  <c r="U1892" i="1"/>
  <c r="Q1892" i="1"/>
  <c r="O1892" i="1"/>
  <c r="M1892" i="1"/>
  <c r="L1892" i="1"/>
  <c r="K1892" i="1"/>
  <c r="F1892" i="1"/>
  <c r="F1892" i="1" a="1"/>
  <c r="W1891" i="1"/>
  <c r="W1891" i="1" a="1"/>
  <c r="V1891" i="1"/>
  <c r="U1891" i="1"/>
  <c r="Q1891" i="1"/>
  <c r="O1891" i="1"/>
  <c r="M1891" i="1"/>
  <c r="L1891" i="1"/>
  <c r="K1891" i="1"/>
  <c r="F1891" i="1"/>
  <c r="F1891" i="1" a="1"/>
  <c r="W1890" i="1"/>
  <c r="W1890" i="1" a="1"/>
  <c r="V1890" i="1"/>
  <c r="U1890" i="1"/>
  <c r="Q1890" i="1"/>
  <c r="O1890" i="1"/>
  <c r="M1890" i="1"/>
  <c r="L1890" i="1"/>
  <c r="K1890" i="1"/>
  <c r="F1890" i="1"/>
  <c r="F1890" i="1" a="1"/>
  <c r="W1889" i="1"/>
  <c r="W1889" i="1" a="1"/>
  <c r="V1889" i="1"/>
  <c r="U1889" i="1"/>
  <c r="Q1889" i="1"/>
  <c r="O1889" i="1"/>
  <c r="M1889" i="1"/>
  <c r="L1889" i="1"/>
  <c r="K1889" i="1"/>
  <c r="F1889" i="1"/>
  <c r="F1889" i="1" a="1"/>
  <c r="W1888" i="1"/>
  <c r="W1888" i="1" a="1"/>
  <c r="V1888" i="1"/>
  <c r="U1888" i="1"/>
  <c r="Q1888" i="1"/>
  <c r="O1888" i="1"/>
  <c r="M1888" i="1"/>
  <c r="L1888" i="1"/>
  <c r="K1888" i="1"/>
  <c r="F1888" i="1"/>
  <c r="F1888" i="1" a="1"/>
  <c r="W1887" i="1"/>
  <c r="W1887" i="1" a="1"/>
  <c r="V1887" i="1"/>
  <c r="U1887" i="1"/>
  <c r="Q1887" i="1"/>
  <c r="O1887" i="1"/>
  <c r="M1887" i="1"/>
  <c r="L1887" i="1"/>
  <c r="K1887" i="1"/>
  <c r="F1887" i="1"/>
  <c r="F1887" i="1" a="1"/>
  <c r="W1886" i="1"/>
  <c r="W1886" i="1" a="1"/>
  <c r="V1886" i="1"/>
  <c r="U1886" i="1"/>
  <c r="Q1886" i="1"/>
  <c r="O1886" i="1"/>
  <c r="M1886" i="1"/>
  <c r="L1886" i="1"/>
  <c r="K1886" i="1"/>
  <c r="F1886" i="1"/>
  <c r="F1886" i="1" a="1"/>
  <c r="W1885" i="1"/>
  <c r="W1885" i="1" a="1"/>
  <c r="V1885" i="1"/>
  <c r="U1885" i="1"/>
  <c r="Q1885" i="1"/>
  <c r="O1885" i="1"/>
  <c r="M1885" i="1"/>
  <c r="L1885" i="1"/>
  <c r="K1885" i="1"/>
  <c r="F1885" i="1"/>
  <c r="F1885" i="1" a="1"/>
  <c r="W1884" i="1"/>
  <c r="W1884" i="1" a="1"/>
  <c r="V1884" i="1"/>
  <c r="U1884" i="1"/>
  <c r="Q1884" i="1"/>
  <c r="O1884" i="1"/>
  <c r="M1884" i="1"/>
  <c r="L1884" i="1"/>
  <c r="K1884" i="1"/>
  <c r="F1884" i="1"/>
  <c r="F1884" i="1" a="1"/>
  <c r="W1883" i="1"/>
  <c r="W1883" i="1" a="1"/>
  <c r="V1883" i="1"/>
  <c r="U1883" i="1"/>
  <c r="Q1883" i="1"/>
  <c r="O1883" i="1"/>
  <c r="M1883" i="1"/>
  <c r="L1883" i="1"/>
  <c r="K1883" i="1"/>
  <c r="F1883" i="1"/>
  <c r="F1883" i="1" a="1"/>
  <c r="W1882" i="1"/>
  <c r="W1882" i="1" a="1"/>
  <c r="V1882" i="1"/>
  <c r="U1882" i="1"/>
  <c r="Q1882" i="1"/>
  <c r="O1882" i="1"/>
  <c r="M1882" i="1"/>
  <c r="L1882" i="1"/>
  <c r="K1882" i="1"/>
  <c r="F1882" i="1"/>
  <c r="F1882" i="1" a="1"/>
  <c r="W1881" i="1"/>
  <c r="W1881" i="1" a="1"/>
  <c r="V1881" i="1"/>
  <c r="U1881" i="1"/>
  <c r="Q1881" i="1"/>
  <c r="O1881" i="1"/>
  <c r="M1881" i="1"/>
  <c r="L1881" i="1"/>
  <c r="K1881" i="1"/>
  <c r="F1881" i="1"/>
  <c r="F1881" i="1" a="1"/>
  <c r="W1880" i="1"/>
  <c r="W1880" i="1" a="1"/>
  <c r="V1880" i="1"/>
  <c r="U1880" i="1"/>
  <c r="Q1880" i="1"/>
  <c r="O1880" i="1"/>
  <c r="M1880" i="1"/>
  <c r="L1880" i="1"/>
  <c r="K1880" i="1"/>
  <c r="F1880" i="1"/>
  <c r="F1880" i="1" a="1"/>
  <c r="W1879" i="1"/>
  <c r="W1879" i="1" a="1"/>
  <c r="V1879" i="1"/>
  <c r="U1879" i="1"/>
  <c r="Q1879" i="1"/>
  <c r="O1879" i="1"/>
  <c r="M1879" i="1"/>
  <c r="L1879" i="1"/>
  <c r="K1879" i="1"/>
  <c r="F1879" i="1"/>
  <c r="F1879" i="1" a="1"/>
  <c r="W1878" i="1"/>
  <c r="W1878" i="1" a="1"/>
  <c r="V1878" i="1"/>
  <c r="U1878" i="1"/>
  <c r="Q1878" i="1"/>
  <c r="O1878" i="1"/>
  <c r="M1878" i="1"/>
  <c r="L1878" i="1"/>
  <c r="K1878" i="1"/>
  <c r="F1878" i="1"/>
  <c r="F1878" i="1" a="1"/>
  <c r="W1877" i="1"/>
  <c r="W1877" i="1" a="1"/>
  <c r="V1877" i="1"/>
  <c r="U1877" i="1"/>
  <c r="Q1877" i="1"/>
  <c r="O1877" i="1"/>
  <c r="M1877" i="1"/>
  <c r="L1877" i="1"/>
  <c r="K1877" i="1"/>
  <c r="F1877" i="1"/>
  <c r="F1877" i="1" a="1"/>
  <c r="W1876" i="1"/>
  <c r="W1876" i="1" a="1"/>
  <c r="V1876" i="1"/>
  <c r="U1876" i="1"/>
  <c r="Q1876" i="1"/>
  <c r="O1876" i="1"/>
  <c r="M1876" i="1"/>
  <c r="L1876" i="1"/>
  <c r="K1876" i="1"/>
  <c r="F1876" i="1"/>
  <c r="F1876" i="1" a="1"/>
  <c r="W1875" i="1"/>
  <c r="W1875" i="1" a="1"/>
  <c r="V1875" i="1"/>
  <c r="U1875" i="1"/>
  <c r="Q1875" i="1"/>
  <c r="O1875" i="1"/>
  <c r="M1875" i="1"/>
  <c r="L1875" i="1"/>
  <c r="K1875" i="1"/>
  <c r="F1875" i="1"/>
  <c r="F1875" i="1" a="1"/>
  <c r="W1874" i="1"/>
  <c r="W1874" i="1" a="1"/>
  <c r="V1874" i="1"/>
  <c r="U1874" i="1"/>
  <c r="Q1874" i="1"/>
  <c r="O1874" i="1"/>
  <c r="M1874" i="1"/>
  <c r="L1874" i="1"/>
  <c r="K1874" i="1"/>
  <c r="F1874" i="1"/>
  <c r="F1874" i="1" a="1"/>
  <c r="W1873" i="1"/>
  <c r="W1873" i="1" a="1"/>
  <c r="V1873" i="1"/>
  <c r="U1873" i="1"/>
  <c r="Q1873" i="1"/>
  <c r="O1873" i="1"/>
  <c r="M1873" i="1"/>
  <c r="L1873" i="1"/>
  <c r="K1873" i="1"/>
  <c r="F1873" i="1"/>
  <c r="F1873" i="1" a="1"/>
  <c r="W1872" i="1"/>
  <c r="W1872" i="1" a="1"/>
  <c r="V1872" i="1"/>
  <c r="U1872" i="1"/>
  <c r="Q1872" i="1"/>
  <c r="O1872" i="1"/>
  <c r="M1872" i="1"/>
  <c r="L1872" i="1"/>
  <c r="K1872" i="1"/>
  <c r="F1872" i="1"/>
  <c r="F1872" i="1" a="1"/>
  <c r="W1871" i="1"/>
  <c r="W1871" i="1" a="1"/>
  <c r="V1871" i="1"/>
  <c r="U1871" i="1"/>
  <c r="Q1871" i="1"/>
  <c r="O1871" i="1"/>
  <c r="M1871" i="1"/>
  <c r="L1871" i="1"/>
  <c r="K1871" i="1"/>
  <c r="F1871" i="1"/>
  <c r="F1871" i="1" a="1"/>
  <c r="W1870" i="1"/>
  <c r="W1870" i="1" a="1"/>
  <c r="V1870" i="1"/>
  <c r="U1870" i="1"/>
  <c r="Q1870" i="1"/>
  <c r="O1870" i="1"/>
  <c r="M1870" i="1"/>
  <c r="L1870" i="1"/>
  <c r="K1870" i="1"/>
  <c r="F1870" i="1"/>
  <c r="F1870" i="1" a="1"/>
  <c r="W1869" i="1"/>
  <c r="W1869" i="1" a="1"/>
  <c r="V1869" i="1"/>
  <c r="U1869" i="1"/>
  <c r="Q1869" i="1"/>
  <c r="O1869" i="1"/>
  <c r="M1869" i="1"/>
  <c r="L1869" i="1"/>
  <c r="K1869" i="1"/>
  <c r="F1869" i="1"/>
  <c r="F1869" i="1" a="1"/>
  <c r="W1868" i="1"/>
  <c r="W1868" i="1" a="1"/>
  <c r="V1868" i="1"/>
  <c r="U1868" i="1"/>
  <c r="Q1868" i="1"/>
  <c r="O1868" i="1"/>
  <c r="M1868" i="1"/>
  <c r="L1868" i="1"/>
  <c r="K1868" i="1"/>
  <c r="F1868" i="1"/>
  <c r="F1868" i="1" a="1"/>
  <c r="W1867" i="1"/>
  <c r="W1867" i="1" a="1"/>
  <c r="V1867" i="1"/>
  <c r="U1867" i="1"/>
  <c r="Q1867" i="1"/>
  <c r="O1867" i="1"/>
  <c r="M1867" i="1"/>
  <c r="L1867" i="1"/>
  <c r="K1867" i="1"/>
  <c r="F1867" i="1"/>
  <c r="F1867" i="1" a="1"/>
  <c r="W1866" i="1"/>
  <c r="W1866" i="1" a="1"/>
  <c r="V1866" i="1"/>
  <c r="U1866" i="1"/>
  <c r="Q1866" i="1"/>
  <c r="O1866" i="1"/>
  <c r="M1866" i="1"/>
  <c r="L1866" i="1"/>
  <c r="K1866" i="1"/>
  <c r="F1866" i="1"/>
  <c r="F1866" i="1" a="1"/>
  <c r="W1865" i="1"/>
  <c r="W1865" i="1" a="1"/>
  <c r="V1865" i="1"/>
  <c r="U1865" i="1"/>
  <c r="Q1865" i="1"/>
  <c r="O1865" i="1"/>
  <c r="M1865" i="1"/>
  <c r="L1865" i="1"/>
  <c r="K1865" i="1"/>
  <c r="F1865" i="1"/>
  <c r="F1865" i="1" a="1"/>
  <c r="W1864" i="1"/>
  <c r="W1864" i="1" a="1"/>
  <c r="V1864" i="1"/>
  <c r="U1864" i="1"/>
  <c r="Q1864" i="1"/>
  <c r="O1864" i="1"/>
  <c r="M1864" i="1"/>
  <c r="L1864" i="1"/>
  <c r="K1864" i="1"/>
  <c r="F1864" i="1"/>
  <c r="F1864" i="1" a="1"/>
  <c r="W1863" i="1"/>
  <c r="W1863" i="1" a="1"/>
  <c r="V1863" i="1"/>
  <c r="U1863" i="1"/>
  <c r="Q1863" i="1"/>
  <c r="O1863" i="1"/>
  <c r="M1863" i="1"/>
  <c r="L1863" i="1"/>
  <c r="K1863" i="1"/>
  <c r="F1863" i="1"/>
  <c r="F1863" i="1" a="1"/>
  <c r="W1862" i="1"/>
  <c r="W1862" i="1" a="1"/>
  <c r="V1862" i="1"/>
  <c r="U1862" i="1"/>
  <c r="Q1862" i="1"/>
  <c r="O1862" i="1"/>
  <c r="M1862" i="1"/>
  <c r="L1862" i="1"/>
  <c r="K1862" i="1"/>
  <c r="F1862" i="1"/>
  <c r="F1862" i="1" a="1"/>
  <c r="W1861" i="1"/>
  <c r="W1861" i="1" a="1"/>
  <c r="V1861" i="1"/>
  <c r="U1861" i="1"/>
  <c r="Q1861" i="1"/>
  <c r="O1861" i="1"/>
  <c r="M1861" i="1"/>
  <c r="L1861" i="1"/>
  <c r="K1861" i="1"/>
  <c r="F1861" i="1"/>
  <c r="F1861" i="1" a="1"/>
  <c r="W1860" i="1"/>
  <c r="W1860" i="1" a="1"/>
  <c r="V1860" i="1"/>
  <c r="U1860" i="1"/>
  <c r="Q1860" i="1"/>
  <c r="O1860" i="1"/>
  <c r="M1860" i="1"/>
  <c r="L1860" i="1"/>
  <c r="K1860" i="1"/>
  <c r="F1860" i="1"/>
  <c r="F1860" i="1" a="1"/>
  <c r="W1859" i="1"/>
  <c r="W1859" i="1" a="1"/>
  <c r="V1859" i="1"/>
  <c r="U1859" i="1"/>
  <c r="Q1859" i="1"/>
  <c r="O1859" i="1"/>
  <c r="M1859" i="1"/>
  <c r="L1859" i="1"/>
  <c r="K1859" i="1"/>
  <c r="F1859" i="1"/>
  <c r="F1859" i="1" a="1"/>
  <c r="W1858" i="1"/>
  <c r="W1858" i="1" a="1"/>
  <c r="V1858" i="1"/>
  <c r="U1858" i="1"/>
  <c r="Q1858" i="1"/>
  <c r="O1858" i="1"/>
  <c r="M1858" i="1"/>
  <c r="L1858" i="1"/>
  <c r="K1858" i="1"/>
  <c r="F1858" i="1"/>
  <c r="F1858" i="1" a="1"/>
  <c r="W1857" i="1"/>
  <c r="W1857" i="1" a="1"/>
  <c r="V1857" i="1"/>
  <c r="U1857" i="1"/>
  <c r="Q1857" i="1"/>
  <c r="O1857" i="1"/>
  <c r="M1857" i="1"/>
  <c r="L1857" i="1"/>
  <c r="K1857" i="1"/>
  <c r="F1857" i="1"/>
  <c r="F1857" i="1" a="1"/>
  <c r="W1856" i="1"/>
  <c r="W1856" i="1" a="1"/>
  <c r="V1856" i="1"/>
  <c r="U1856" i="1"/>
  <c r="Q1856" i="1"/>
  <c r="O1856" i="1"/>
  <c r="M1856" i="1"/>
  <c r="L1856" i="1"/>
  <c r="K1856" i="1"/>
  <c r="F1856" i="1"/>
  <c r="F1856" i="1" a="1"/>
  <c r="W1855" i="1"/>
  <c r="W1855" i="1" a="1"/>
  <c r="V1855" i="1"/>
  <c r="U1855" i="1"/>
  <c r="Q1855" i="1"/>
  <c r="O1855" i="1"/>
  <c r="M1855" i="1"/>
  <c r="L1855" i="1"/>
  <c r="K1855" i="1"/>
  <c r="F1855" i="1"/>
  <c r="F1855" i="1" a="1"/>
  <c r="W1854" i="1"/>
  <c r="W1854" i="1" a="1"/>
  <c r="V1854" i="1"/>
  <c r="U1854" i="1"/>
  <c r="Q1854" i="1"/>
  <c r="O1854" i="1"/>
  <c r="M1854" i="1"/>
  <c r="L1854" i="1"/>
  <c r="K1854" i="1"/>
  <c r="F1854" i="1"/>
  <c r="F1854" i="1" a="1"/>
  <c r="W1853" i="1"/>
  <c r="W1853" i="1" a="1"/>
  <c r="V1853" i="1"/>
  <c r="U1853" i="1"/>
  <c r="Q1853" i="1"/>
  <c r="O1853" i="1"/>
  <c r="M1853" i="1"/>
  <c r="L1853" i="1"/>
  <c r="K1853" i="1"/>
  <c r="F1853" i="1"/>
  <c r="F1853" i="1" a="1"/>
  <c r="W1852" i="1"/>
  <c r="W1852" i="1" a="1"/>
  <c r="V1852" i="1"/>
  <c r="U1852" i="1"/>
  <c r="Q1852" i="1"/>
  <c r="O1852" i="1"/>
  <c r="M1852" i="1"/>
  <c r="L1852" i="1"/>
  <c r="K1852" i="1"/>
  <c r="F1852" i="1"/>
  <c r="F1852" i="1" a="1"/>
  <c r="W1851" i="1"/>
  <c r="W1851" i="1" a="1"/>
  <c r="V1851" i="1"/>
  <c r="U1851" i="1"/>
  <c r="Q1851" i="1"/>
  <c r="O1851" i="1"/>
  <c r="M1851" i="1"/>
  <c r="L1851" i="1"/>
  <c r="K1851" i="1"/>
  <c r="F1851" i="1"/>
  <c r="F1851" i="1" a="1"/>
  <c r="W1850" i="1"/>
  <c r="W1850" i="1" a="1"/>
  <c r="V1850" i="1"/>
  <c r="U1850" i="1"/>
  <c r="Q1850" i="1"/>
  <c r="O1850" i="1"/>
  <c r="M1850" i="1"/>
  <c r="L1850" i="1"/>
  <c r="K1850" i="1"/>
  <c r="F1850" i="1"/>
  <c r="F1850" i="1" a="1"/>
  <c r="W1849" i="1"/>
  <c r="W1849" i="1" a="1"/>
  <c r="V1849" i="1"/>
  <c r="U1849" i="1"/>
  <c r="Q1849" i="1"/>
  <c r="O1849" i="1"/>
  <c r="M1849" i="1"/>
  <c r="L1849" i="1"/>
  <c r="K1849" i="1"/>
  <c r="F1849" i="1"/>
  <c r="F1849" i="1" a="1"/>
  <c r="W1848" i="1"/>
  <c r="W1848" i="1" a="1"/>
  <c r="V1848" i="1"/>
  <c r="U1848" i="1"/>
  <c r="Q1848" i="1"/>
  <c r="O1848" i="1"/>
  <c r="M1848" i="1"/>
  <c r="L1848" i="1"/>
  <c r="K1848" i="1"/>
  <c r="F1848" i="1"/>
  <c r="F1848" i="1" a="1"/>
  <c r="W1847" i="1"/>
  <c r="W1847" i="1" a="1"/>
  <c r="V1847" i="1"/>
  <c r="U1847" i="1"/>
  <c r="Q1847" i="1"/>
  <c r="O1847" i="1"/>
  <c r="M1847" i="1"/>
  <c r="L1847" i="1"/>
  <c r="K1847" i="1"/>
  <c r="F1847" i="1"/>
  <c r="F1847" i="1" a="1"/>
  <c r="W1846" i="1"/>
  <c r="W1846" i="1" a="1"/>
  <c r="V1846" i="1"/>
  <c r="U1846" i="1"/>
  <c r="Q1846" i="1"/>
  <c r="O1846" i="1"/>
  <c r="M1846" i="1"/>
  <c r="L1846" i="1"/>
  <c r="K1846" i="1"/>
  <c r="F1846" i="1"/>
  <c r="F1846" i="1" a="1"/>
  <c r="W1845" i="1"/>
  <c r="W1845" i="1" a="1"/>
  <c r="V1845" i="1"/>
  <c r="U1845" i="1"/>
  <c r="Q1845" i="1"/>
  <c r="O1845" i="1"/>
  <c r="M1845" i="1"/>
  <c r="L1845" i="1"/>
  <c r="K1845" i="1"/>
  <c r="F1845" i="1"/>
  <c r="F1845" i="1" a="1"/>
  <c r="W1844" i="1"/>
  <c r="W1844" i="1" a="1"/>
  <c r="V1844" i="1"/>
  <c r="U1844" i="1"/>
  <c r="Q1844" i="1"/>
  <c r="O1844" i="1"/>
  <c r="M1844" i="1"/>
  <c r="L1844" i="1"/>
  <c r="K1844" i="1"/>
  <c r="F1844" i="1"/>
  <c r="F1844" i="1" a="1"/>
  <c r="W1843" i="1"/>
  <c r="W1843" i="1" a="1"/>
  <c r="V1843" i="1"/>
  <c r="U1843" i="1"/>
  <c r="Q1843" i="1"/>
  <c r="O1843" i="1"/>
  <c r="M1843" i="1"/>
  <c r="L1843" i="1"/>
  <c r="K1843" i="1"/>
  <c r="F1843" i="1"/>
  <c r="F1843" i="1" a="1"/>
  <c r="W1842" i="1"/>
  <c r="W1842" i="1" a="1"/>
  <c r="V1842" i="1"/>
  <c r="U1842" i="1"/>
  <c r="Q1842" i="1"/>
  <c r="O1842" i="1"/>
  <c r="M1842" i="1"/>
  <c r="L1842" i="1"/>
  <c r="K1842" i="1"/>
  <c r="F1842" i="1"/>
  <c r="F1842" i="1" a="1"/>
  <c r="W1841" i="1"/>
  <c r="W1841" i="1" a="1"/>
  <c r="V1841" i="1"/>
  <c r="U1841" i="1"/>
  <c r="Q1841" i="1"/>
  <c r="O1841" i="1"/>
  <c r="M1841" i="1"/>
  <c r="L1841" i="1"/>
  <c r="K1841" i="1"/>
  <c r="F1841" i="1"/>
  <c r="F1841" i="1" a="1"/>
  <c r="W1840" i="1"/>
  <c r="W1840" i="1" a="1"/>
  <c r="V1840" i="1"/>
  <c r="U1840" i="1"/>
  <c r="Q1840" i="1"/>
  <c r="O1840" i="1"/>
  <c r="M1840" i="1"/>
  <c r="L1840" i="1"/>
  <c r="K1840" i="1"/>
  <c r="F1840" i="1"/>
  <c r="F1840" i="1" a="1"/>
  <c r="W1839" i="1"/>
  <c r="W1839" i="1" a="1"/>
  <c r="V1839" i="1"/>
  <c r="U1839" i="1"/>
  <c r="Q1839" i="1"/>
  <c r="O1839" i="1"/>
  <c r="M1839" i="1"/>
  <c r="L1839" i="1"/>
  <c r="K1839" i="1"/>
  <c r="F1839" i="1"/>
  <c r="F1839" i="1" a="1"/>
  <c r="W1838" i="1"/>
  <c r="W1838" i="1" a="1"/>
  <c r="V1838" i="1"/>
  <c r="U1838" i="1"/>
  <c r="Q1838" i="1"/>
  <c r="O1838" i="1"/>
  <c r="M1838" i="1"/>
  <c r="L1838" i="1"/>
  <c r="K1838" i="1"/>
  <c r="F1838" i="1"/>
  <c r="F1838" i="1" a="1"/>
  <c r="W1837" i="1"/>
  <c r="W1837" i="1" a="1"/>
  <c r="V1837" i="1"/>
  <c r="U1837" i="1"/>
  <c r="Q1837" i="1"/>
  <c r="O1837" i="1"/>
  <c r="M1837" i="1"/>
  <c r="L1837" i="1"/>
  <c r="K1837" i="1"/>
  <c r="F1837" i="1"/>
  <c r="F1837" i="1" a="1"/>
  <c r="W1836" i="1"/>
  <c r="W1836" i="1" a="1"/>
  <c r="V1836" i="1"/>
  <c r="U1836" i="1"/>
  <c r="Q1836" i="1"/>
  <c r="O1836" i="1"/>
  <c r="M1836" i="1"/>
  <c r="L1836" i="1"/>
  <c r="K1836" i="1"/>
  <c r="F1836" i="1"/>
  <c r="F1836" i="1" a="1"/>
  <c r="W1835" i="1"/>
  <c r="W1835" i="1" a="1"/>
  <c r="V1835" i="1"/>
  <c r="U1835" i="1"/>
  <c r="Q1835" i="1"/>
  <c r="O1835" i="1"/>
  <c r="M1835" i="1"/>
  <c r="L1835" i="1"/>
  <c r="K1835" i="1"/>
  <c r="F1835" i="1"/>
  <c r="F1835" i="1" a="1"/>
  <c r="W1834" i="1"/>
  <c r="W1834" i="1" a="1"/>
  <c r="V1834" i="1"/>
  <c r="U1834" i="1"/>
  <c r="Q1834" i="1"/>
  <c r="O1834" i="1"/>
  <c r="M1834" i="1"/>
  <c r="L1834" i="1"/>
  <c r="K1834" i="1"/>
  <c r="F1834" i="1"/>
  <c r="F1834" i="1" a="1"/>
  <c r="W1833" i="1"/>
  <c r="W1833" i="1" a="1"/>
  <c r="V1833" i="1"/>
  <c r="U1833" i="1"/>
  <c r="Q1833" i="1"/>
  <c r="O1833" i="1"/>
  <c r="M1833" i="1"/>
  <c r="L1833" i="1"/>
  <c r="K1833" i="1"/>
  <c r="F1833" i="1"/>
  <c r="F1833" i="1" a="1"/>
  <c r="W1832" i="1"/>
  <c r="W1832" i="1" a="1"/>
  <c r="V1832" i="1"/>
  <c r="U1832" i="1"/>
  <c r="Q1832" i="1"/>
  <c r="O1832" i="1"/>
  <c r="M1832" i="1"/>
  <c r="L1832" i="1"/>
  <c r="K1832" i="1"/>
  <c r="F1832" i="1"/>
  <c r="F1832" i="1" a="1"/>
  <c r="W1831" i="1"/>
  <c r="W1831" i="1" a="1"/>
  <c r="V1831" i="1"/>
  <c r="U1831" i="1"/>
  <c r="Q1831" i="1"/>
  <c r="O1831" i="1"/>
  <c r="M1831" i="1"/>
  <c r="L1831" i="1"/>
  <c r="K1831" i="1"/>
  <c r="F1831" i="1"/>
  <c r="F1831" i="1" a="1"/>
  <c r="W1830" i="1"/>
  <c r="W1830" i="1" a="1"/>
  <c r="V1830" i="1"/>
  <c r="U1830" i="1"/>
  <c r="Q1830" i="1"/>
  <c r="O1830" i="1"/>
  <c r="M1830" i="1"/>
  <c r="L1830" i="1"/>
  <c r="K1830" i="1"/>
  <c r="F1830" i="1"/>
  <c r="F1830" i="1" a="1"/>
  <c r="W1829" i="1"/>
  <c r="W1829" i="1" a="1"/>
  <c r="V1829" i="1"/>
  <c r="U1829" i="1"/>
  <c r="Q1829" i="1"/>
  <c r="O1829" i="1"/>
  <c r="M1829" i="1"/>
  <c r="L1829" i="1"/>
  <c r="K1829" i="1"/>
  <c r="F1829" i="1"/>
  <c r="F1829" i="1" a="1"/>
  <c r="W1828" i="1"/>
  <c r="W1828" i="1" a="1"/>
  <c r="V1828" i="1"/>
  <c r="U1828" i="1"/>
  <c r="Q1828" i="1"/>
  <c r="O1828" i="1"/>
  <c r="M1828" i="1"/>
  <c r="L1828" i="1"/>
  <c r="K1828" i="1"/>
  <c r="F1828" i="1"/>
  <c r="F1828" i="1" a="1"/>
  <c r="W1827" i="1"/>
  <c r="W1827" i="1" a="1"/>
  <c r="V1827" i="1"/>
  <c r="U1827" i="1"/>
  <c r="Q1827" i="1"/>
  <c r="O1827" i="1"/>
  <c r="M1827" i="1"/>
  <c r="L1827" i="1"/>
  <c r="K1827" i="1"/>
  <c r="F1827" i="1"/>
  <c r="F1827" i="1" a="1"/>
  <c r="W1826" i="1"/>
  <c r="W1826" i="1" a="1"/>
  <c r="V1826" i="1"/>
  <c r="U1826" i="1"/>
  <c r="Q1826" i="1"/>
  <c r="O1826" i="1"/>
  <c r="M1826" i="1"/>
  <c r="L1826" i="1"/>
  <c r="K1826" i="1"/>
  <c r="F1826" i="1"/>
  <c r="F1826" i="1" a="1"/>
  <c r="W1825" i="1"/>
  <c r="W1825" i="1" a="1"/>
  <c r="V1825" i="1"/>
  <c r="U1825" i="1"/>
  <c r="Q1825" i="1"/>
  <c r="O1825" i="1"/>
  <c r="M1825" i="1"/>
  <c r="L1825" i="1"/>
  <c r="K1825" i="1"/>
  <c r="F1825" i="1"/>
  <c r="F1825" i="1" a="1"/>
  <c r="W1824" i="1"/>
  <c r="W1824" i="1" a="1"/>
  <c r="V1824" i="1"/>
  <c r="U1824" i="1"/>
  <c r="Q1824" i="1"/>
  <c r="O1824" i="1"/>
  <c r="M1824" i="1"/>
  <c r="L1824" i="1"/>
  <c r="K1824" i="1"/>
  <c r="F1824" i="1"/>
  <c r="F1824" i="1" a="1"/>
  <c r="W1823" i="1"/>
  <c r="W1823" i="1" a="1"/>
  <c r="V1823" i="1"/>
  <c r="U1823" i="1"/>
  <c r="Q1823" i="1"/>
  <c r="O1823" i="1"/>
  <c r="M1823" i="1"/>
  <c r="L1823" i="1"/>
  <c r="K1823" i="1"/>
  <c r="F1823" i="1"/>
  <c r="F1823" i="1" a="1"/>
  <c r="W1822" i="1"/>
  <c r="W1822" i="1" a="1"/>
  <c r="V1822" i="1"/>
  <c r="U1822" i="1"/>
  <c r="Q1822" i="1"/>
  <c r="O1822" i="1"/>
  <c r="M1822" i="1"/>
  <c r="L1822" i="1"/>
  <c r="K1822" i="1"/>
  <c r="F1822" i="1"/>
  <c r="F1822" i="1" a="1"/>
  <c r="W1821" i="1"/>
  <c r="W1821" i="1" a="1"/>
  <c r="V1821" i="1"/>
  <c r="U1821" i="1"/>
  <c r="Q1821" i="1"/>
  <c r="O1821" i="1"/>
  <c r="M1821" i="1"/>
  <c r="L1821" i="1"/>
  <c r="K1821" i="1"/>
  <c r="F1821" i="1"/>
  <c r="F1821" i="1" a="1"/>
  <c r="W1820" i="1"/>
  <c r="W1820" i="1" a="1"/>
  <c r="V1820" i="1"/>
  <c r="U1820" i="1"/>
  <c r="Q1820" i="1"/>
  <c r="O1820" i="1"/>
  <c r="M1820" i="1"/>
  <c r="L1820" i="1"/>
  <c r="K1820" i="1"/>
  <c r="F1820" i="1"/>
  <c r="F1820" i="1" a="1"/>
  <c r="W1819" i="1"/>
  <c r="W1819" i="1" a="1"/>
  <c r="V1819" i="1"/>
  <c r="U1819" i="1"/>
  <c r="Q1819" i="1"/>
  <c r="O1819" i="1"/>
  <c r="M1819" i="1"/>
  <c r="L1819" i="1"/>
  <c r="K1819" i="1"/>
  <c r="F1819" i="1"/>
  <c r="F1819" i="1" a="1"/>
  <c r="W1818" i="1"/>
  <c r="W1818" i="1" a="1"/>
  <c r="V1818" i="1"/>
  <c r="U1818" i="1"/>
  <c r="Q1818" i="1"/>
  <c r="O1818" i="1"/>
  <c r="M1818" i="1"/>
  <c r="L1818" i="1"/>
  <c r="K1818" i="1"/>
  <c r="F1818" i="1"/>
  <c r="F1818" i="1" a="1"/>
  <c r="W1817" i="1"/>
  <c r="W1817" i="1" a="1"/>
  <c r="V1817" i="1"/>
  <c r="U1817" i="1"/>
  <c r="Q1817" i="1"/>
  <c r="O1817" i="1"/>
  <c r="M1817" i="1"/>
  <c r="L1817" i="1"/>
  <c r="K1817" i="1"/>
  <c r="F1817" i="1"/>
  <c r="F1817" i="1" a="1"/>
  <c r="W1816" i="1"/>
  <c r="W1816" i="1" a="1"/>
  <c r="V1816" i="1"/>
  <c r="U1816" i="1"/>
  <c r="Q1816" i="1"/>
  <c r="O1816" i="1"/>
  <c r="M1816" i="1"/>
  <c r="L1816" i="1"/>
  <c r="K1816" i="1"/>
  <c r="F1816" i="1"/>
  <c r="F1816" i="1" a="1"/>
  <c r="W1815" i="1"/>
  <c r="W1815" i="1" a="1"/>
  <c r="V1815" i="1"/>
  <c r="U1815" i="1"/>
  <c r="Q1815" i="1"/>
  <c r="O1815" i="1"/>
  <c r="M1815" i="1"/>
  <c r="L1815" i="1"/>
  <c r="K1815" i="1"/>
  <c r="F1815" i="1"/>
  <c r="F1815" i="1" a="1"/>
  <c r="W1814" i="1"/>
  <c r="W1814" i="1" a="1"/>
  <c r="V1814" i="1"/>
  <c r="U1814" i="1"/>
  <c r="Q1814" i="1"/>
  <c r="O1814" i="1"/>
  <c r="M1814" i="1"/>
  <c r="L1814" i="1"/>
  <c r="K1814" i="1"/>
  <c r="F1814" i="1"/>
  <c r="F1814" i="1" a="1"/>
  <c r="W1813" i="1"/>
  <c r="W1813" i="1" a="1"/>
  <c r="V1813" i="1"/>
  <c r="U1813" i="1"/>
  <c r="Q1813" i="1"/>
  <c r="O1813" i="1"/>
  <c r="M1813" i="1"/>
  <c r="L1813" i="1"/>
  <c r="K1813" i="1"/>
  <c r="F1813" i="1"/>
  <c r="F1813" i="1" a="1"/>
  <c r="W1812" i="1"/>
  <c r="W1812" i="1" a="1"/>
  <c r="V1812" i="1"/>
  <c r="U1812" i="1"/>
  <c r="Q1812" i="1"/>
  <c r="O1812" i="1"/>
  <c r="M1812" i="1"/>
  <c r="L1812" i="1"/>
  <c r="K1812" i="1"/>
  <c r="F1812" i="1"/>
  <c r="F1812" i="1" a="1"/>
  <c r="W1811" i="1"/>
  <c r="W1811" i="1" a="1"/>
  <c r="V1811" i="1"/>
  <c r="U1811" i="1"/>
  <c r="Q1811" i="1"/>
  <c r="O1811" i="1"/>
  <c r="M1811" i="1"/>
  <c r="L1811" i="1"/>
  <c r="K1811" i="1"/>
  <c r="F1811" i="1"/>
  <c r="F1811" i="1" a="1"/>
  <c r="W1810" i="1"/>
  <c r="W1810" i="1" a="1"/>
  <c r="V1810" i="1"/>
  <c r="U1810" i="1"/>
  <c r="Q1810" i="1"/>
  <c r="O1810" i="1"/>
  <c r="M1810" i="1"/>
  <c r="L1810" i="1"/>
  <c r="K1810" i="1"/>
  <c r="F1810" i="1"/>
  <c r="F1810" i="1" a="1"/>
  <c r="W1809" i="1"/>
  <c r="W1809" i="1" a="1"/>
  <c r="V1809" i="1"/>
  <c r="U1809" i="1"/>
  <c r="Q1809" i="1"/>
  <c r="O1809" i="1"/>
  <c r="M1809" i="1"/>
  <c r="L1809" i="1"/>
  <c r="K1809" i="1"/>
  <c r="F1809" i="1"/>
  <c r="F1809" i="1" a="1"/>
  <c r="W1808" i="1"/>
  <c r="W1808" i="1" a="1"/>
  <c r="V1808" i="1"/>
  <c r="U1808" i="1"/>
  <c r="Q1808" i="1"/>
  <c r="O1808" i="1"/>
  <c r="M1808" i="1"/>
  <c r="L1808" i="1"/>
  <c r="K1808" i="1"/>
  <c r="F1808" i="1"/>
  <c r="F1808" i="1" a="1"/>
  <c r="W1807" i="1"/>
  <c r="W1807" i="1" a="1"/>
  <c r="V1807" i="1"/>
  <c r="U1807" i="1"/>
  <c r="Q1807" i="1"/>
  <c r="O1807" i="1"/>
  <c r="M1807" i="1"/>
  <c r="L1807" i="1"/>
  <c r="K1807" i="1"/>
  <c r="F1807" i="1"/>
  <c r="F1807" i="1" a="1"/>
  <c r="W1806" i="1"/>
  <c r="W1806" i="1" a="1"/>
  <c r="V1806" i="1"/>
  <c r="U1806" i="1"/>
  <c r="Q1806" i="1"/>
  <c r="O1806" i="1"/>
  <c r="M1806" i="1"/>
  <c r="L1806" i="1"/>
  <c r="K1806" i="1"/>
  <c r="F1806" i="1"/>
  <c r="F1806" i="1" a="1"/>
  <c r="W1805" i="1"/>
  <c r="W1805" i="1" a="1"/>
  <c r="V1805" i="1"/>
  <c r="U1805" i="1"/>
  <c r="Q1805" i="1"/>
  <c r="O1805" i="1"/>
  <c r="M1805" i="1"/>
  <c r="L1805" i="1"/>
  <c r="K1805" i="1"/>
  <c r="F1805" i="1"/>
  <c r="F1805" i="1" a="1"/>
  <c r="W1804" i="1"/>
  <c r="W1804" i="1" a="1"/>
  <c r="V1804" i="1"/>
  <c r="U1804" i="1"/>
  <c r="Q1804" i="1"/>
  <c r="O1804" i="1"/>
  <c r="M1804" i="1"/>
  <c r="L1804" i="1"/>
  <c r="K1804" i="1"/>
  <c r="F1804" i="1"/>
  <c r="F1804" i="1" a="1"/>
  <c r="W1803" i="1"/>
  <c r="W1803" i="1" a="1"/>
  <c r="V1803" i="1"/>
  <c r="U1803" i="1"/>
  <c r="Q1803" i="1"/>
  <c r="O1803" i="1"/>
  <c r="M1803" i="1"/>
  <c r="L1803" i="1"/>
  <c r="K1803" i="1"/>
  <c r="F1803" i="1"/>
  <c r="F1803" i="1" a="1"/>
  <c r="W1802" i="1"/>
  <c r="W1802" i="1" a="1"/>
  <c r="V1802" i="1"/>
  <c r="U1802" i="1"/>
  <c r="Q1802" i="1"/>
  <c r="O1802" i="1"/>
  <c r="M1802" i="1"/>
  <c r="L1802" i="1"/>
  <c r="K1802" i="1"/>
  <c r="F1802" i="1"/>
  <c r="F1802" i="1" a="1"/>
  <c r="W1801" i="1"/>
  <c r="W1801" i="1" a="1"/>
  <c r="V1801" i="1"/>
  <c r="U1801" i="1"/>
  <c r="Q1801" i="1"/>
  <c r="O1801" i="1"/>
  <c r="M1801" i="1"/>
  <c r="L1801" i="1"/>
  <c r="K1801" i="1"/>
  <c r="F1801" i="1"/>
  <c r="F1801" i="1" a="1"/>
  <c r="W1800" i="1"/>
  <c r="W1800" i="1" a="1"/>
  <c r="V1800" i="1"/>
  <c r="U1800" i="1"/>
  <c r="Q1800" i="1"/>
  <c r="O1800" i="1"/>
  <c r="M1800" i="1"/>
  <c r="L1800" i="1"/>
  <c r="K1800" i="1"/>
  <c r="F1800" i="1"/>
  <c r="F1800" i="1" a="1"/>
  <c r="W1799" i="1"/>
  <c r="W1799" i="1" a="1"/>
  <c r="V1799" i="1"/>
  <c r="U1799" i="1"/>
  <c r="Q1799" i="1"/>
  <c r="O1799" i="1"/>
  <c r="M1799" i="1"/>
  <c r="L1799" i="1"/>
  <c r="K1799" i="1"/>
  <c r="F1799" i="1"/>
  <c r="F1799" i="1" a="1"/>
  <c r="W1798" i="1"/>
  <c r="W1798" i="1" a="1"/>
  <c r="V1798" i="1"/>
  <c r="U1798" i="1"/>
  <c r="Q1798" i="1"/>
  <c r="O1798" i="1"/>
  <c r="M1798" i="1"/>
  <c r="L1798" i="1"/>
  <c r="K1798" i="1"/>
  <c r="F1798" i="1"/>
  <c r="F1798" i="1" a="1"/>
  <c r="W1797" i="1"/>
  <c r="W1797" i="1" a="1"/>
  <c r="V1797" i="1"/>
  <c r="U1797" i="1"/>
  <c r="Q1797" i="1"/>
  <c r="O1797" i="1"/>
  <c r="M1797" i="1"/>
  <c r="L1797" i="1"/>
  <c r="K1797" i="1"/>
  <c r="F1797" i="1"/>
  <c r="F1797" i="1" a="1"/>
  <c r="W1796" i="1"/>
  <c r="W1796" i="1" a="1"/>
  <c r="V1796" i="1"/>
  <c r="U1796" i="1"/>
  <c r="Q1796" i="1"/>
  <c r="O1796" i="1"/>
  <c r="M1796" i="1"/>
  <c r="L1796" i="1"/>
  <c r="K1796" i="1"/>
  <c r="F1796" i="1"/>
  <c r="F1796" i="1" a="1"/>
  <c r="W1795" i="1"/>
  <c r="W1795" i="1" a="1"/>
  <c r="V1795" i="1"/>
  <c r="U1795" i="1"/>
  <c r="Q1795" i="1"/>
  <c r="O1795" i="1"/>
  <c r="M1795" i="1"/>
  <c r="L1795" i="1"/>
  <c r="K1795" i="1"/>
  <c r="F1795" i="1"/>
  <c r="F1795" i="1" a="1"/>
  <c r="W1794" i="1"/>
  <c r="W1794" i="1" a="1"/>
  <c r="V1794" i="1"/>
  <c r="U1794" i="1"/>
  <c r="Q1794" i="1"/>
  <c r="O1794" i="1"/>
  <c r="M1794" i="1"/>
  <c r="L1794" i="1"/>
  <c r="K1794" i="1"/>
  <c r="F1794" i="1"/>
  <c r="F1794" i="1" a="1"/>
  <c r="W1793" i="1"/>
  <c r="W1793" i="1" a="1"/>
  <c r="V1793" i="1"/>
  <c r="U1793" i="1"/>
  <c r="Q1793" i="1"/>
  <c r="O1793" i="1"/>
  <c r="M1793" i="1"/>
  <c r="L1793" i="1"/>
  <c r="K1793" i="1"/>
  <c r="F1793" i="1"/>
  <c r="F1793" i="1" a="1"/>
  <c r="W1792" i="1"/>
  <c r="W1792" i="1" a="1"/>
  <c r="V1792" i="1"/>
  <c r="U1792" i="1"/>
  <c r="Q1792" i="1"/>
  <c r="O1792" i="1"/>
  <c r="M1792" i="1"/>
  <c r="L1792" i="1"/>
  <c r="K1792" i="1"/>
  <c r="F1792" i="1"/>
  <c r="F1792" i="1" a="1"/>
  <c r="W1791" i="1"/>
  <c r="W1791" i="1" a="1"/>
  <c r="V1791" i="1"/>
  <c r="U1791" i="1"/>
  <c r="Q1791" i="1"/>
  <c r="O1791" i="1"/>
  <c r="M1791" i="1"/>
  <c r="L1791" i="1"/>
  <c r="K1791" i="1"/>
  <c r="F1791" i="1"/>
  <c r="F1791" i="1" a="1"/>
  <c r="W1790" i="1"/>
  <c r="W1790" i="1" a="1"/>
  <c r="V1790" i="1"/>
  <c r="U1790" i="1"/>
  <c r="Q1790" i="1"/>
  <c r="O1790" i="1"/>
  <c r="M1790" i="1"/>
  <c r="L1790" i="1"/>
  <c r="K1790" i="1"/>
  <c r="F1790" i="1"/>
  <c r="F1790" i="1" a="1"/>
  <c r="W1789" i="1"/>
  <c r="W1789" i="1" a="1"/>
  <c r="V1789" i="1"/>
  <c r="U1789" i="1"/>
  <c r="Q1789" i="1"/>
  <c r="O1789" i="1"/>
  <c r="M1789" i="1"/>
  <c r="L1789" i="1"/>
  <c r="K1789" i="1"/>
  <c r="F1789" i="1"/>
  <c r="F1789" i="1" a="1"/>
  <c r="W1788" i="1"/>
  <c r="W1788" i="1" a="1"/>
  <c r="V1788" i="1"/>
  <c r="U1788" i="1"/>
  <c r="Q1788" i="1"/>
  <c r="O1788" i="1"/>
  <c r="M1788" i="1"/>
  <c r="L1788" i="1"/>
  <c r="K1788" i="1"/>
  <c r="F1788" i="1"/>
  <c r="F1788" i="1" a="1"/>
  <c r="W1787" i="1"/>
  <c r="W1787" i="1" a="1"/>
  <c r="V1787" i="1"/>
  <c r="U1787" i="1"/>
  <c r="Q1787" i="1"/>
  <c r="O1787" i="1"/>
  <c r="M1787" i="1"/>
  <c r="L1787" i="1"/>
  <c r="K1787" i="1"/>
  <c r="F1787" i="1"/>
  <c r="F1787" i="1" a="1"/>
  <c r="W1786" i="1"/>
  <c r="W1786" i="1" a="1"/>
  <c r="V1786" i="1"/>
  <c r="U1786" i="1"/>
  <c r="Q1786" i="1"/>
  <c r="O1786" i="1"/>
  <c r="M1786" i="1"/>
  <c r="L1786" i="1"/>
  <c r="K1786" i="1"/>
  <c r="F1786" i="1"/>
  <c r="F1786" i="1" a="1"/>
  <c r="W1785" i="1"/>
  <c r="W1785" i="1" a="1"/>
  <c r="V1785" i="1"/>
  <c r="U1785" i="1"/>
  <c r="Q1785" i="1"/>
  <c r="O1785" i="1"/>
  <c r="M1785" i="1"/>
  <c r="L1785" i="1"/>
  <c r="K1785" i="1"/>
  <c r="F1785" i="1"/>
  <c r="F1785" i="1" a="1"/>
  <c r="W1784" i="1"/>
  <c r="W1784" i="1" a="1"/>
  <c r="V1784" i="1"/>
  <c r="U1784" i="1"/>
  <c r="Q1784" i="1"/>
  <c r="O1784" i="1"/>
  <c r="M1784" i="1"/>
  <c r="L1784" i="1"/>
  <c r="K1784" i="1"/>
  <c r="F1784" i="1"/>
  <c r="F1784" i="1" a="1"/>
  <c r="W1783" i="1"/>
  <c r="W1783" i="1" a="1"/>
  <c r="V1783" i="1"/>
  <c r="U1783" i="1"/>
  <c r="Q1783" i="1"/>
  <c r="O1783" i="1"/>
  <c r="M1783" i="1"/>
  <c r="L1783" i="1"/>
  <c r="K1783" i="1"/>
  <c r="F1783" i="1"/>
  <c r="F1783" i="1" a="1"/>
  <c r="W1782" i="1"/>
  <c r="W1782" i="1" a="1"/>
  <c r="V1782" i="1"/>
  <c r="U1782" i="1"/>
  <c r="Q1782" i="1"/>
  <c r="O1782" i="1"/>
  <c r="M1782" i="1"/>
  <c r="L1782" i="1"/>
  <c r="K1782" i="1"/>
  <c r="F1782" i="1"/>
  <c r="F1782" i="1" a="1"/>
  <c r="W1781" i="1"/>
  <c r="W1781" i="1" a="1"/>
  <c r="V1781" i="1"/>
  <c r="U1781" i="1"/>
  <c r="Q1781" i="1"/>
  <c r="O1781" i="1"/>
  <c r="M1781" i="1"/>
  <c r="L1781" i="1"/>
  <c r="K1781" i="1"/>
  <c r="F1781" i="1"/>
  <c r="F1781" i="1" a="1"/>
  <c r="W1780" i="1"/>
  <c r="W1780" i="1" a="1"/>
  <c r="V1780" i="1"/>
  <c r="U1780" i="1"/>
  <c r="Q1780" i="1"/>
  <c r="O1780" i="1"/>
  <c r="M1780" i="1"/>
  <c r="L1780" i="1"/>
  <c r="K1780" i="1"/>
  <c r="F1780" i="1"/>
  <c r="F1780" i="1" a="1"/>
  <c r="W1779" i="1"/>
  <c r="W1779" i="1" a="1"/>
  <c r="V1779" i="1"/>
  <c r="U1779" i="1"/>
  <c r="Q1779" i="1"/>
  <c r="O1779" i="1"/>
  <c r="M1779" i="1"/>
  <c r="L1779" i="1"/>
  <c r="K1779" i="1"/>
  <c r="F1779" i="1"/>
  <c r="F1779" i="1" a="1"/>
  <c r="W1778" i="1"/>
  <c r="W1778" i="1" a="1"/>
  <c r="V1778" i="1"/>
  <c r="U1778" i="1"/>
  <c r="Q1778" i="1"/>
  <c r="O1778" i="1"/>
  <c r="M1778" i="1"/>
  <c r="L1778" i="1"/>
  <c r="K1778" i="1"/>
  <c r="F1778" i="1"/>
  <c r="F1778" i="1" a="1"/>
  <c r="W1777" i="1"/>
  <c r="W1777" i="1" a="1"/>
  <c r="V1777" i="1"/>
  <c r="U1777" i="1"/>
  <c r="Q1777" i="1"/>
  <c r="O1777" i="1"/>
  <c r="M1777" i="1"/>
  <c r="L1777" i="1"/>
  <c r="K1777" i="1"/>
  <c r="F1777" i="1"/>
  <c r="F1777" i="1" a="1"/>
  <c r="W1776" i="1"/>
  <c r="W1776" i="1" a="1"/>
  <c r="V1776" i="1"/>
  <c r="U1776" i="1"/>
  <c r="Q1776" i="1"/>
  <c r="O1776" i="1"/>
  <c r="M1776" i="1"/>
  <c r="L1776" i="1"/>
  <c r="K1776" i="1"/>
  <c r="F1776" i="1"/>
  <c r="F1776" i="1" a="1"/>
  <c r="W1775" i="1"/>
  <c r="W1775" i="1" a="1"/>
  <c r="V1775" i="1"/>
  <c r="U1775" i="1"/>
  <c r="Q1775" i="1"/>
  <c r="O1775" i="1"/>
  <c r="M1775" i="1"/>
  <c r="L1775" i="1"/>
  <c r="K1775" i="1"/>
  <c r="F1775" i="1"/>
  <c r="F1775" i="1" a="1"/>
  <c r="W1774" i="1"/>
  <c r="W1774" i="1" a="1"/>
  <c r="V1774" i="1"/>
  <c r="U1774" i="1"/>
  <c r="Q1774" i="1"/>
  <c r="O1774" i="1"/>
  <c r="M1774" i="1"/>
  <c r="L1774" i="1"/>
  <c r="K1774" i="1"/>
  <c r="F1774" i="1"/>
  <c r="F1774" i="1" a="1"/>
  <c r="W1773" i="1"/>
  <c r="W1773" i="1" a="1"/>
  <c r="V1773" i="1"/>
  <c r="U1773" i="1"/>
  <c r="Q1773" i="1"/>
  <c r="O1773" i="1"/>
  <c r="M1773" i="1"/>
  <c r="L1773" i="1"/>
  <c r="K1773" i="1"/>
  <c r="F1773" i="1"/>
  <c r="F1773" i="1" a="1"/>
  <c r="W1772" i="1"/>
  <c r="W1772" i="1" a="1"/>
  <c r="V1772" i="1"/>
  <c r="U1772" i="1"/>
  <c r="Q1772" i="1"/>
  <c r="O1772" i="1"/>
  <c r="M1772" i="1"/>
  <c r="L1772" i="1"/>
  <c r="K1772" i="1"/>
  <c r="F1772" i="1"/>
  <c r="F1772" i="1" a="1"/>
  <c r="W1771" i="1"/>
  <c r="W1771" i="1" a="1"/>
  <c r="V1771" i="1"/>
  <c r="U1771" i="1"/>
  <c r="Q1771" i="1"/>
  <c r="O1771" i="1"/>
  <c r="M1771" i="1"/>
  <c r="L1771" i="1"/>
  <c r="K1771" i="1"/>
  <c r="F1771" i="1"/>
  <c r="F1771" i="1" a="1"/>
  <c r="W1770" i="1"/>
  <c r="W1770" i="1" a="1"/>
  <c r="V1770" i="1"/>
  <c r="U1770" i="1"/>
  <c r="Q1770" i="1"/>
  <c r="O1770" i="1"/>
  <c r="M1770" i="1"/>
  <c r="L1770" i="1"/>
  <c r="K1770" i="1"/>
  <c r="F1770" i="1"/>
  <c r="F1770" i="1" a="1"/>
  <c r="W1769" i="1"/>
  <c r="W1769" i="1" a="1"/>
  <c r="V1769" i="1"/>
  <c r="U1769" i="1"/>
  <c r="Q1769" i="1"/>
  <c r="O1769" i="1"/>
  <c r="M1769" i="1"/>
  <c r="L1769" i="1"/>
  <c r="K1769" i="1"/>
  <c r="F1769" i="1"/>
  <c r="F1769" i="1" a="1"/>
  <c r="W1768" i="1"/>
  <c r="W1768" i="1" a="1"/>
  <c r="V1768" i="1"/>
  <c r="U1768" i="1"/>
  <c r="Q1768" i="1"/>
  <c r="O1768" i="1"/>
  <c r="M1768" i="1"/>
  <c r="L1768" i="1"/>
  <c r="K1768" i="1"/>
  <c r="F1768" i="1"/>
  <c r="F1768" i="1" a="1"/>
  <c r="W1767" i="1"/>
  <c r="W1767" i="1" a="1"/>
  <c r="V1767" i="1"/>
  <c r="U1767" i="1"/>
  <c r="Q1767" i="1"/>
  <c r="O1767" i="1"/>
  <c r="M1767" i="1"/>
  <c r="L1767" i="1"/>
  <c r="K1767" i="1"/>
  <c r="F1767" i="1"/>
  <c r="F1767" i="1" a="1"/>
  <c r="W1766" i="1"/>
  <c r="W1766" i="1" a="1"/>
  <c r="V1766" i="1"/>
  <c r="U1766" i="1"/>
  <c r="Q1766" i="1"/>
  <c r="O1766" i="1"/>
  <c r="M1766" i="1"/>
  <c r="L1766" i="1"/>
  <c r="K1766" i="1"/>
  <c r="F1766" i="1"/>
  <c r="F1766" i="1" a="1"/>
  <c r="W1765" i="1"/>
  <c r="W1765" i="1" a="1"/>
  <c r="V1765" i="1"/>
  <c r="U1765" i="1"/>
  <c r="Q1765" i="1"/>
  <c r="O1765" i="1"/>
  <c r="M1765" i="1"/>
  <c r="L1765" i="1"/>
  <c r="K1765" i="1"/>
  <c r="F1765" i="1"/>
  <c r="F1765" i="1" a="1"/>
  <c r="W1764" i="1"/>
  <c r="W1764" i="1" a="1"/>
  <c r="V1764" i="1"/>
  <c r="U1764" i="1"/>
  <c r="Q1764" i="1"/>
  <c r="O1764" i="1"/>
  <c r="M1764" i="1"/>
  <c r="L1764" i="1"/>
  <c r="K1764" i="1"/>
  <c r="F1764" i="1"/>
  <c r="F1764" i="1" a="1"/>
  <c r="W1763" i="1"/>
  <c r="W1763" i="1" a="1"/>
  <c r="V1763" i="1"/>
  <c r="U1763" i="1"/>
  <c r="Q1763" i="1"/>
  <c r="O1763" i="1"/>
  <c r="M1763" i="1"/>
  <c r="L1763" i="1"/>
  <c r="K1763" i="1"/>
  <c r="F1763" i="1"/>
  <c r="F1763" i="1" a="1"/>
  <c r="W1762" i="1"/>
  <c r="W1762" i="1" a="1"/>
  <c r="V1762" i="1"/>
  <c r="U1762" i="1"/>
  <c r="Q1762" i="1"/>
  <c r="O1762" i="1"/>
  <c r="M1762" i="1"/>
  <c r="L1762" i="1"/>
  <c r="K1762" i="1"/>
  <c r="F1762" i="1"/>
  <c r="F1762" i="1" a="1"/>
  <c r="W1761" i="1"/>
  <c r="W1761" i="1" a="1"/>
  <c r="V1761" i="1"/>
  <c r="U1761" i="1"/>
  <c r="Q1761" i="1"/>
  <c r="O1761" i="1"/>
  <c r="M1761" i="1"/>
  <c r="L1761" i="1"/>
  <c r="K1761" i="1"/>
  <c r="F1761" i="1"/>
  <c r="F1761" i="1" a="1"/>
  <c r="W1760" i="1"/>
  <c r="W1760" i="1" a="1"/>
  <c r="V1760" i="1"/>
  <c r="U1760" i="1"/>
  <c r="Q1760" i="1"/>
  <c r="O1760" i="1"/>
  <c r="M1760" i="1"/>
  <c r="L1760" i="1"/>
  <c r="K1760" i="1"/>
  <c r="F1760" i="1"/>
  <c r="F1760" i="1" a="1"/>
  <c r="W1759" i="1"/>
  <c r="W1759" i="1" a="1"/>
  <c r="V1759" i="1"/>
  <c r="U1759" i="1"/>
  <c r="Q1759" i="1"/>
  <c r="O1759" i="1"/>
  <c r="M1759" i="1"/>
  <c r="L1759" i="1"/>
  <c r="K1759" i="1"/>
  <c r="F1759" i="1"/>
  <c r="F1759" i="1" a="1"/>
  <c r="W1758" i="1"/>
  <c r="W1758" i="1" a="1"/>
  <c r="V1758" i="1"/>
  <c r="U1758" i="1"/>
  <c r="Q1758" i="1"/>
  <c r="O1758" i="1"/>
  <c r="M1758" i="1"/>
  <c r="L1758" i="1"/>
  <c r="K1758" i="1"/>
  <c r="F1758" i="1"/>
  <c r="F1758" i="1" a="1"/>
  <c r="W1757" i="1"/>
  <c r="W1757" i="1" a="1"/>
  <c r="V1757" i="1"/>
  <c r="U1757" i="1"/>
  <c r="Q1757" i="1"/>
  <c r="O1757" i="1"/>
  <c r="M1757" i="1"/>
  <c r="L1757" i="1"/>
  <c r="K1757" i="1"/>
  <c r="F1757" i="1"/>
  <c r="F1757" i="1" a="1"/>
  <c r="W1756" i="1"/>
  <c r="W1756" i="1" a="1"/>
  <c r="V1756" i="1"/>
  <c r="U1756" i="1"/>
  <c r="Q1756" i="1"/>
  <c r="O1756" i="1"/>
  <c r="M1756" i="1"/>
  <c r="L1756" i="1"/>
  <c r="K1756" i="1"/>
  <c r="F1756" i="1"/>
  <c r="F1756" i="1" a="1"/>
  <c r="W1755" i="1"/>
  <c r="W1755" i="1" a="1"/>
  <c r="V1755" i="1"/>
  <c r="U1755" i="1"/>
  <c r="Q1755" i="1"/>
  <c r="O1755" i="1"/>
  <c r="M1755" i="1"/>
  <c r="L1755" i="1"/>
  <c r="K1755" i="1"/>
  <c r="F1755" i="1"/>
  <c r="F1755" i="1" a="1"/>
  <c r="W1754" i="1"/>
  <c r="W1754" i="1" a="1"/>
  <c r="V1754" i="1"/>
  <c r="U1754" i="1"/>
  <c r="Q1754" i="1"/>
  <c r="O1754" i="1"/>
  <c r="M1754" i="1"/>
  <c r="L1754" i="1"/>
  <c r="K1754" i="1"/>
  <c r="F1754" i="1"/>
  <c r="F1754" i="1" a="1"/>
  <c r="W1753" i="1"/>
  <c r="W1753" i="1" a="1"/>
  <c r="V1753" i="1"/>
  <c r="U1753" i="1"/>
  <c r="Q1753" i="1"/>
  <c r="O1753" i="1"/>
  <c r="M1753" i="1"/>
  <c r="L1753" i="1"/>
  <c r="K1753" i="1"/>
  <c r="F1753" i="1"/>
  <c r="F1753" i="1" a="1"/>
  <c r="W1752" i="1"/>
  <c r="W1752" i="1" a="1"/>
  <c r="V1752" i="1"/>
  <c r="U1752" i="1"/>
  <c r="Q1752" i="1"/>
  <c r="O1752" i="1"/>
  <c r="M1752" i="1"/>
  <c r="L1752" i="1"/>
  <c r="K1752" i="1"/>
  <c r="F1752" i="1"/>
  <c r="F1752" i="1" a="1"/>
  <c r="W1751" i="1"/>
  <c r="W1751" i="1" a="1"/>
  <c r="V1751" i="1"/>
  <c r="U1751" i="1"/>
  <c r="Q1751" i="1"/>
  <c r="O1751" i="1"/>
  <c r="M1751" i="1"/>
  <c r="L1751" i="1"/>
  <c r="K1751" i="1"/>
  <c r="F1751" i="1"/>
  <c r="F1751" i="1" a="1"/>
  <c r="W1750" i="1"/>
  <c r="W1750" i="1" a="1"/>
  <c r="V1750" i="1"/>
  <c r="U1750" i="1"/>
  <c r="Q1750" i="1"/>
  <c r="O1750" i="1"/>
  <c r="M1750" i="1"/>
  <c r="L1750" i="1"/>
  <c r="K1750" i="1"/>
  <c r="F1750" i="1"/>
  <c r="F1750" i="1" a="1"/>
  <c r="W1749" i="1"/>
  <c r="W1749" i="1" a="1"/>
  <c r="V1749" i="1"/>
  <c r="U1749" i="1"/>
  <c r="Q1749" i="1"/>
  <c r="O1749" i="1"/>
  <c r="M1749" i="1"/>
  <c r="L1749" i="1"/>
  <c r="K1749" i="1"/>
  <c r="F1749" i="1"/>
  <c r="F1749" i="1" a="1"/>
  <c r="W1748" i="1"/>
  <c r="W1748" i="1" a="1"/>
  <c r="V1748" i="1"/>
  <c r="U1748" i="1"/>
  <c r="Q1748" i="1"/>
  <c r="O1748" i="1"/>
  <c r="M1748" i="1"/>
  <c r="L1748" i="1"/>
  <c r="K1748" i="1"/>
  <c r="F1748" i="1"/>
  <c r="F1748" i="1" a="1"/>
  <c r="W1747" i="1"/>
  <c r="W1747" i="1" a="1"/>
  <c r="V1747" i="1"/>
  <c r="U1747" i="1"/>
  <c r="Q1747" i="1"/>
  <c r="O1747" i="1"/>
  <c r="M1747" i="1"/>
  <c r="L1747" i="1"/>
  <c r="K1747" i="1"/>
  <c r="F1747" i="1"/>
  <c r="F1747" i="1" a="1"/>
  <c r="W1746" i="1"/>
  <c r="W1746" i="1" a="1"/>
  <c r="V1746" i="1"/>
  <c r="U1746" i="1"/>
  <c r="Q1746" i="1"/>
  <c r="O1746" i="1"/>
  <c r="M1746" i="1"/>
  <c r="L1746" i="1"/>
  <c r="K1746" i="1"/>
  <c r="F1746" i="1"/>
  <c r="F1746" i="1" a="1"/>
  <c r="W1745" i="1"/>
  <c r="W1745" i="1" a="1"/>
  <c r="V1745" i="1"/>
  <c r="U1745" i="1"/>
  <c r="Q1745" i="1"/>
  <c r="O1745" i="1"/>
  <c r="M1745" i="1"/>
  <c r="L1745" i="1"/>
  <c r="K1745" i="1"/>
  <c r="F1745" i="1"/>
  <c r="F1745" i="1" a="1"/>
  <c r="W1744" i="1"/>
  <c r="W1744" i="1" a="1"/>
  <c r="V1744" i="1"/>
  <c r="U1744" i="1"/>
  <c r="Q1744" i="1"/>
  <c r="O1744" i="1"/>
  <c r="M1744" i="1"/>
  <c r="L1744" i="1"/>
  <c r="K1744" i="1"/>
  <c r="F1744" i="1"/>
  <c r="F1744" i="1" a="1"/>
  <c r="W1743" i="1"/>
  <c r="W1743" i="1" a="1"/>
  <c r="V1743" i="1"/>
  <c r="U1743" i="1"/>
  <c r="Q1743" i="1"/>
  <c r="O1743" i="1"/>
  <c r="M1743" i="1"/>
  <c r="L1743" i="1"/>
  <c r="K1743" i="1"/>
  <c r="F1743" i="1"/>
  <c r="F1743" i="1" a="1"/>
  <c r="W1742" i="1"/>
  <c r="W1742" i="1" a="1"/>
  <c r="V1742" i="1"/>
  <c r="U1742" i="1"/>
  <c r="Q1742" i="1"/>
  <c r="O1742" i="1"/>
  <c r="M1742" i="1"/>
  <c r="L1742" i="1"/>
  <c r="K1742" i="1"/>
  <c r="F1742" i="1"/>
  <c r="F1742" i="1" a="1"/>
  <c r="W1741" i="1"/>
  <c r="W1741" i="1" a="1"/>
  <c r="V1741" i="1"/>
  <c r="U1741" i="1"/>
  <c r="Q1741" i="1"/>
  <c r="O1741" i="1"/>
  <c r="M1741" i="1"/>
  <c r="L1741" i="1"/>
  <c r="K1741" i="1"/>
  <c r="F1741" i="1"/>
  <c r="F1741" i="1" a="1"/>
  <c r="W1740" i="1"/>
  <c r="W1740" i="1" a="1"/>
  <c r="V1740" i="1"/>
  <c r="U1740" i="1"/>
  <c r="Q1740" i="1"/>
  <c r="O1740" i="1"/>
  <c r="M1740" i="1"/>
  <c r="L1740" i="1"/>
  <c r="K1740" i="1"/>
  <c r="F1740" i="1"/>
  <c r="F1740" i="1" a="1"/>
  <c r="W1739" i="1"/>
  <c r="W1739" i="1" a="1"/>
  <c r="V1739" i="1"/>
  <c r="U1739" i="1"/>
  <c r="Q1739" i="1"/>
  <c r="O1739" i="1"/>
  <c r="M1739" i="1"/>
  <c r="L1739" i="1"/>
  <c r="K1739" i="1"/>
  <c r="F1739" i="1"/>
  <c r="F1739" i="1" a="1"/>
  <c r="W1738" i="1"/>
  <c r="W1738" i="1" a="1"/>
  <c r="V1738" i="1"/>
  <c r="U1738" i="1"/>
  <c r="Q1738" i="1"/>
  <c r="O1738" i="1"/>
  <c r="M1738" i="1"/>
  <c r="L1738" i="1"/>
  <c r="K1738" i="1"/>
  <c r="F1738" i="1"/>
  <c r="F1738" i="1" a="1"/>
  <c r="W1737" i="1"/>
  <c r="W1737" i="1" a="1"/>
  <c r="V1737" i="1"/>
  <c r="U1737" i="1"/>
  <c r="Q1737" i="1"/>
  <c r="O1737" i="1"/>
  <c r="M1737" i="1"/>
  <c r="L1737" i="1"/>
  <c r="K1737" i="1"/>
  <c r="F1737" i="1"/>
  <c r="F1737" i="1" a="1"/>
  <c r="W1736" i="1"/>
  <c r="W1736" i="1" a="1"/>
  <c r="V1736" i="1"/>
  <c r="U1736" i="1"/>
  <c r="Q1736" i="1"/>
  <c r="O1736" i="1"/>
  <c r="M1736" i="1"/>
  <c r="L1736" i="1"/>
  <c r="K1736" i="1"/>
  <c r="F1736" i="1"/>
  <c r="F1736" i="1" a="1"/>
  <c r="W1735" i="1"/>
  <c r="W1735" i="1" a="1"/>
  <c r="V1735" i="1"/>
  <c r="U1735" i="1"/>
  <c r="Q1735" i="1"/>
  <c r="O1735" i="1"/>
  <c r="M1735" i="1"/>
  <c r="L1735" i="1"/>
  <c r="K1735" i="1"/>
  <c r="F1735" i="1"/>
  <c r="F1735" i="1" a="1"/>
  <c r="W1734" i="1"/>
  <c r="W1734" i="1" a="1"/>
  <c r="V1734" i="1"/>
  <c r="U1734" i="1"/>
  <c r="Q1734" i="1"/>
  <c r="O1734" i="1"/>
  <c r="M1734" i="1"/>
  <c r="L1734" i="1"/>
  <c r="K1734" i="1"/>
  <c r="F1734" i="1"/>
  <c r="F1734" i="1" a="1"/>
  <c r="W1733" i="1"/>
  <c r="W1733" i="1" a="1"/>
  <c r="V1733" i="1"/>
  <c r="U1733" i="1"/>
  <c r="Q1733" i="1"/>
  <c r="O1733" i="1"/>
  <c r="M1733" i="1"/>
  <c r="L1733" i="1"/>
  <c r="K1733" i="1"/>
  <c r="F1733" i="1"/>
  <c r="F1733" i="1" a="1"/>
  <c r="W1732" i="1"/>
  <c r="W1732" i="1" a="1"/>
  <c r="V1732" i="1"/>
  <c r="U1732" i="1"/>
  <c r="Q1732" i="1"/>
  <c r="O1732" i="1"/>
  <c r="M1732" i="1"/>
  <c r="L1732" i="1"/>
  <c r="K1732" i="1"/>
  <c r="F1732" i="1"/>
  <c r="F1732" i="1" a="1"/>
  <c r="W1731" i="1"/>
  <c r="W1731" i="1" a="1"/>
  <c r="V1731" i="1"/>
  <c r="U1731" i="1"/>
  <c r="Q1731" i="1"/>
  <c r="O1731" i="1"/>
  <c r="M1731" i="1"/>
  <c r="L1731" i="1"/>
  <c r="K1731" i="1"/>
  <c r="F1731" i="1"/>
  <c r="F1731" i="1" a="1"/>
  <c r="W1730" i="1"/>
  <c r="W1730" i="1" a="1"/>
  <c r="V1730" i="1"/>
  <c r="U1730" i="1"/>
  <c r="Q1730" i="1"/>
  <c r="O1730" i="1"/>
  <c r="M1730" i="1"/>
  <c r="L1730" i="1"/>
  <c r="K1730" i="1"/>
  <c r="F1730" i="1"/>
  <c r="F1730" i="1" a="1"/>
  <c r="W1729" i="1"/>
  <c r="W1729" i="1" a="1"/>
  <c r="V1729" i="1"/>
  <c r="U1729" i="1"/>
  <c r="Q1729" i="1"/>
  <c r="O1729" i="1"/>
  <c r="M1729" i="1"/>
  <c r="L1729" i="1"/>
  <c r="K1729" i="1"/>
  <c r="F1729" i="1"/>
  <c r="F1729" i="1" a="1"/>
  <c r="W1728" i="1"/>
  <c r="W1728" i="1" a="1"/>
  <c r="V1728" i="1"/>
  <c r="U1728" i="1"/>
  <c r="Q1728" i="1"/>
  <c r="O1728" i="1"/>
  <c r="M1728" i="1"/>
  <c r="L1728" i="1"/>
  <c r="K1728" i="1"/>
  <c r="F1728" i="1"/>
  <c r="F1728" i="1" a="1"/>
  <c r="W1727" i="1"/>
  <c r="W1727" i="1" a="1"/>
  <c r="V1727" i="1"/>
  <c r="U1727" i="1"/>
  <c r="Q1727" i="1"/>
  <c r="O1727" i="1"/>
  <c r="M1727" i="1"/>
  <c r="L1727" i="1"/>
  <c r="K1727" i="1"/>
  <c r="F1727" i="1"/>
  <c r="F1727" i="1" a="1"/>
  <c r="W1726" i="1"/>
  <c r="W1726" i="1" a="1"/>
  <c r="V1726" i="1"/>
  <c r="U1726" i="1"/>
  <c r="Q1726" i="1"/>
  <c r="O1726" i="1"/>
  <c r="M1726" i="1"/>
  <c r="L1726" i="1"/>
  <c r="K1726" i="1"/>
  <c r="F1726" i="1"/>
  <c r="F1726" i="1" a="1"/>
  <c r="W1725" i="1"/>
  <c r="W1725" i="1" a="1"/>
  <c r="V1725" i="1"/>
  <c r="U1725" i="1"/>
  <c r="Q1725" i="1"/>
  <c r="O1725" i="1"/>
  <c r="M1725" i="1"/>
  <c r="L1725" i="1"/>
  <c r="K1725" i="1"/>
  <c r="F1725" i="1"/>
  <c r="F1725" i="1" a="1"/>
  <c r="W1724" i="1"/>
  <c r="W1724" i="1" a="1"/>
  <c r="V1724" i="1"/>
  <c r="U1724" i="1"/>
  <c r="Q1724" i="1"/>
  <c r="O1724" i="1"/>
  <c r="M1724" i="1"/>
  <c r="L1724" i="1"/>
  <c r="K1724" i="1"/>
  <c r="F1724" i="1"/>
  <c r="F1724" i="1" a="1"/>
  <c r="W1723" i="1"/>
  <c r="W1723" i="1" a="1"/>
  <c r="V1723" i="1"/>
  <c r="U1723" i="1"/>
  <c r="Q1723" i="1"/>
  <c r="O1723" i="1"/>
  <c r="M1723" i="1"/>
  <c r="L1723" i="1"/>
  <c r="K1723" i="1"/>
  <c r="F1723" i="1"/>
  <c r="F1723" i="1" a="1"/>
  <c r="W1722" i="1"/>
  <c r="W1722" i="1" a="1"/>
  <c r="V1722" i="1"/>
  <c r="U1722" i="1"/>
  <c r="Q1722" i="1"/>
  <c r="O1722" i="1"/>
  <c r="M1722" i="1"/>
  <c r="L1722" i="1"/>
  <c r="K1722" i="1"/>
  <c r="F1722" i="1"/>
  <c r="F1722" i="1" a="1"/>
  <c r="W1721" i="1"/>
  <c r="W1721" i="1" a="1"/>
  <c r="V1721" i="1"/>
  <c r="U1721" i="1"/>
  <c r="Q1721" i="1"/>
  <c r="O1721" i="1"/>
  <c r="M1721" i="1"/>
  <c r="L1721" i="1"/>
  <c r="K1721" i="1"/>
  <c r="F1721" i="1"/>
  <c r="F1721" i="1" a="1"/>
  <c r="W1720" i="1"/>
  <c r="W1720" i="1" a="1"/>
  <c r="V1720" i="1"/>
  <c r="U1720" i="1"/>
  <c r="Q1720" i="1"/>
  <c r="O1720" i="1"/>
  <c r="M1720" i="1"/>
  <c r="L1720" i="1"/>
  <c r="K1720" i="1"/>
  <c r="F1720" i="1"/>
  <c r="F1720" i="1" a="1"/>
  <c r="W1719" i="1"/>
  <c r="W1719" i="1" a="1"/>
  <c r="V1719" i="1"/>
  <c r="U1719" i="1"/>
  <c r="Q1719" i="1"/>
  <c r="O1719" i="1"/>
  <c r="M1719" i="1"/>
  <c r="L1719" i="1"/>
  <c r="K1719" i="1"/>
  <c r="F1719" i="1"/>
  <c r="F1719" i="1" a="1"/>
  <c r="W1718" i="1"/>
  <c r="W1718" i="1" a="1"/>
  <c r="V1718" i="1"/>
  <c r="U1718" i="1"/>
  <c r="Q1718" i="1"/>
  <c r="O1718" i="1"/>
  <c r="M1718" i="1"/>
  <c r="L1718" i="1"/>
  <c r="K1718" i="1"/>
  <c r="F1718" i="1"/>
  <c r="F1718" i="1" a="1"/>
  <c r="W1717" i="1"/>
  <c r="W1717" i="1" a="1"/>
  <c r="V1717" i="1"/>
  <c r="U1717" i="1"/>
  <c r="Q1717" i="1"/>
  <c r="O1717" i="1"/>
  <c r="M1717" i="1"/>
  <c r="L1717" i="1"/>
  <c r="K1717" i="1"/>
  <c r="F1717" i="1"/>
  <c r="F1717" i="1" a="1"/>
  <c r="W1716" i="1"/>
  <c r="W1716" i="1" a="1"/>
  <c r="V1716" i="1"/>
  <c r="U1716" i="1"/>
  <c r="Q1716" i="1"/>
  <c r="O1716" i="1"/>
  <c r="M1716" i="1"/>
  <c r="L1716" i="1"/>
  <c r="K1716" i="1"/>
  <c r="F1716" i="1"/>
  <c r="F1716" i="1" a="1"/>
  <c r="W1715" i="1"/>
  <c r="W1715" i="1" a="1"/>
  <c r="V1715" i="1"/>
  <c r="U1715" i="1"/>
  <c r="Q1715" i="1"/>
  <c r="O1715" i="1"/>
  <c r="M1715" i="1"/>
  <c r="L1715" i="1"/>
  <c r="K1715" i="1"/>
  <c r="F1715" i="1"/>
  <c r="F1715" i="1" a="1"/>
  <c r="W1714" i="1"/>
  <c r="W1714" i="1" a="1"/>
  <c r="V1714" i="1"/>
  <c r="U1714" i="1"/>
  <c r="Q1714" i="1"/>
  <c r="O1714" i="1"/>
  <c r="M1714" i="1"/>
  <c r="L1714" i="1"/>
  <c r="K1714" i="1"/>
  <c r="F1714" i="1"/>
  <c r="F1714" i="1" a="1"/>
  <c r="W1713" i="1"/>
  <c r="W1713" i="1" a="1"/>
  <c r="V1713" i="1"/>
  <c r="U1713" i="1"/>
  <c r="Q1713" i="1"/>
  <c r="O1713" i="1"/>
  <c r="M1713" i="1"/>
  <c r="L1713" i="1"/>
  <c r="K1713" i="1"/>
  <c r="F1713" i="1"/>
  <c r="F1713" i="1" a="1"/>
  <c r="W1712" i="1"/>
  <c r="W1712" i="1" a="1"/>
  <c r="V1712" i="1"/>
  <c r="U1712" i="1"/>
  <c r="Q1712" i="1"/>
  <c r="O1712" i="1"/>
  <c r="M1712" i="1"/>
  <c r="L1712" i="1"/>
  <c r="K1712" i="1"/>
  <c r="F1712" i="1"/>
  <c r="F1712" i="1" a="1"/>
  <c r="W1711" i="1"/>
  <c r="W1711" i="1" a="1"/>
  <c r="V1711" i="1"/>
  <c r="U1711" i="1"/>
  <c r="Q1711" i="1"/>
  <c r="O1711" i="1"/>
  <c r="M1711" i="1"/>
  <c r="L1711" i="1"/>
  <c r="K1711" i="1"/>
  <c r="F1711" i="1"/>
  <c r="F1711" i="1" a="1"/>
  <c r="W1710" i="1"/>
  <c r="W1710" i="1" a="1"/>
  <c r="V1710" i="1"/>
  <c r="U1710" i="1"/>
  <c r="Q1710" i="1"/>
  <c r="O1710" i="1"/>
  <c r="M1710" i="1"/>
  <c r="L1710" i="1"/>
  <c r="K1710" i="1"/>
  <c r="F1710" i="1"/>
  <c r="F1710" i="1" a="1"/>
  <c r="W1709" i="1"/>
  <c r="W1709" i="1" a="1"/>
  <c r="V1709" i="1"/>
  <c r="U1709" i="1"/>
  <c r="Q1709" i="1"/>
  <c r="O1709" i="1"/>
  <c r="M1709" i="1"/>
  <c r="L1709" i="1"/>
  <c r="K1709" i="1"/>
  <c r="F1709" i="1"/>
  <c r="F1709" i="1" a="1"/>
  <c r="W1708" i="1"/>
  <c r="W1708" i="1" a="1"/>
  <c r="V1708" i="1"/>
  <c r="U1708" i="1"/>
  <c r="Q1708" i="1"/>
  <c r="O1708" i="1"/>
  <c r="M1708" i="1"/>
  <c r="L1708" i="1"/>
  <c r="K1708" i="1"/>
  <c r="F1708" i="1"/>
  <c r="F1708" i="1" a="1"/>
  <c r="W1707" i="1"/>
  <c r="W1707" i="1" a="1"/>
  <c r="V1707" i="1"/>
  <c r="U1707" i="1"/>
  <c r="Q1707" i="1"/>
  <c r="O1707" i="1"/>
  <c r="M1707" i="1"/>
  <c r="L1707" i="1"/>
  <c r="K1707" i="1"/>
  <c r="F1707" i="1"/>
  <c r="F1707" i="1" a="1"/>
  <c r="W1706" i="1"/>
  <c r="W1706" i="1" a="1"/>
  <c r="V1706" i="1"/>
  <c r="U1706" i="1"/>
  <c r="Q1706" i="1"/>
  <c r="O1706" i="1"/>
  <c r="M1706" i="1"/>
  <c r="L1706" i="1"/>
  <c r="K1706" i="1"/>
  <c r="F1706" i="1"/>
  <c r="F1706" i="1" a="1"/>
  <c r="W1705" i="1"/>
  <c r="W1705" i="1" a="1"/>
  <c r="V1705" i="1"/>
  <c r="U1705" i="1"/>
  <c r="Q1705" i="1"/>
  <c r="O1705" i="1"/>
  <c r="M1705" i="1"/>
  <c r="L1705" i="1"/>
  <c r="K1705" i="1"/>
  <c r="F1705" i="1"/>
  <c r="F1705" i="1" a="1"/>
  <c r="W1704" i="1"/>
  <c r="W1704" i="1" a="1"/>
  <c r="V1704" i="1"/>
  <c r="U1704" i="1"/>
  <c r="Q1704" i="1"/>
  <c r="O1704" i="1"/>
  <c r="M1704" i="1"/>
  <c r="L1704" i="1"/>
  <c r="K1704" i="1"/>
  <c r="F1704" i="1"/>
  <c r="F1704" i="1" a="1"/>
  <c r="W1703" i="1"/>
  <c r="W1703" i="1" a="1"/>
  <c r="V1703" i="1"/>
  <c r="U1703" i="1"/>
  <c r="Q1703" i="1"/>
  <c r="O1703" i="1"/>
  <c r="M1703" i="1"/>
  <c r="L1703" i="1"/>
  <c r="K1703" i="1"/>
  <c r="F1703" i="1"/>
  <c r="F1703" i="1" a="1"/>
  <c r="W1702" i="1"/>
  <c r="W1702" i="1" a="1"/>
  <c r="V1702" i="1"/>
  <c r="U1702" i="1"/>
  <c r="Q1702" i="1"/>
  <c r="O1702" i="1"/>
  <c r="M1702" i="1"/>
  <c r="L1702" i="1"/>
  <c r="K1702" i="1"/>
  <c r="F1702" i="1"/>
  <c r="F1702" i="1" a="1"/>
  <c r="W1701" i="1"/>
  <c r="W1701" i="1" a="1"/>
  <c r="V1701" i="1"/>
  <c r="U1701" i="1"/>
  <c r="Q1701" i="1"/>
  <c r="O1701" i="1"/>
  <c r="M1701" i="1"/>
  <c r="L1701" i="1"/>
  <c r="K1701" i="1"/>
  <c r="F1701" i="1"/>
  <c r="F1701" i="1" a="1"/>
  <c r="W1700" i="1"/>
  <c r="W1700" i="1" a="1"/>
  <c r="V1700" i="1"/>
  <c r="U1700" i="1"/>
  <c r="Q1700" i="1"/>
  <c r="O1700" i="1"/>
  <c r="M1700" i="1"/>
  <c r="L1700" i="1"/>
  <c r="K1700" i="1"/>
  <c r="F1700" i="1"/>
  <c r="F1700" i="1" a="1"/>
  <c r="W1699" i="1"/>
  <c r="W1699" i="1" a="1"/>
  <c r="V1699" i="1"/>
  <c r="U1699" i="1"/>
  <c r="Q1699" i="1"/>
  <c r="O1699" i="1"/>
  <c r="M1699" i="1"/>
  <c r="L1699" i="1"/>
  <c r="K1699" i="1"/>
  <c r="F1699" i="1"/>
  <c r="F1699" i="1" a="1"/>
  <c r="W1698" i="1"/>
  <c r="W1698" i="1" a="1"/>
  <c r="V1698" i="1"/>
  <c r="U1698" i="1"/>
  <c r="Q1698" i="1"/>
  <c r="O1698" i="1"/>
  <c r="M1698" i="1"/>
  <c r="L1698" i="1"/>
  <c r="K1698" i="1"/>
  <c r="F1698" i="1"/>
  <c r="F1698" i="1" a="1"/>
  <c r="W1697" i="1"/>
  <c r="W1697" i="1" a="1"/>
  <c r="V1697" i="1"/>
  <c r="U1697" i="1"/>
  <c r="Q1697" i="1"/>
  <c r="O1697" i="1"/>
  <c r="M1697" i="1"/>
  <c r="L1697" i="1"/>
  <c r="K1697" i="1"/>
  <c r="F1697" i="1"/>
  <c r="F1697" i="1" a="1"/>
  <c r="W1696" i="1"/>
  <c r="W1696" i="1" a="1"/>
  <c r="V1696" i="1"/>
  <c r="U1696" i="1"/>
  <c r="Q1696" i="1"/>
  <c r="O1696" i="1"/>
  <c r="M1696" i="1"/>
  <c r="L1696" i="1"/>
  <c r="K1696" i="1"/>
  <c r="F1696" i="1"/>
  <c r="F1696" i="1" a="1"/>
  <c r="W1695" i="1"/>
  <c r="W1695" i="1" a="1"/>
  <c r="V1695" i="1"/>
  <c r="U1695" i="1"/>
  <c r="Q1695" i="1"/>
  <c r="O1695" i="1"/>
  <c r="M1695" i="1"/>
  <c r="L1695" i="1"/>
  <c r="K1695" i="1"/>
  <c r="F1695" i="1"/>
  <c r="F1695" i="1" a="1"/>
  <c r="W1694" i="1"/>
  <c r="W1694" i="1" a="1"/>
  <c r="V1694" i="1"/>
  <c r="U1694" i="1"/>
  <c r="Q1694" i="1"/>
  <c r="O1694" i="1"/>
  <c r="M1694" i="1"/>
  <c r="L1694" i="1"/>
  <c r="K1694" i="1"/>
  <c r="F1694" i="1"/>
  <c r="F1694" i="1" a="1"/>
  <c r="W1693" i="1"/>
  <c r="W1693" i="1" a="1"/>
  <c r="V1693" i="1"/>
  <c r="U1693" i="1"/>
  <c r="Q1693" i="1"/>
  <c r="O1693" i="1"/>
  <c r="M1693" i="1"/>
  <c r="L1693" i="1"/>
  <c r="K1693" i="1"/>
  <c r="F1693" i="1"/>
  <c r="F1693" i="1" a="1"/>
  <c r="W1692" i="1"/>
  <c r="W1692" i="1" a="1"/>
  <c r="V1692" i="1"/>
  <c r="U1692" i="1"/>
  <c r="Q1692" i="1"/>
  <c r="O1692" i="1"/>
  <c r="M1692" i="1"/>
  <c r="L1692" i="1"/>
  <c r="K1692" i="1"/>
  <c r="F1692" i="1"/>
  <c r="F1692" i="1" a="1"/>
  <c r="W1691" i="1"/>
  <c r="W1691" i="1" a="1"/>
  <c r="V1691" i="1"/>
  <c r="U1691" i="1"/>
  <c r="Q1691" i="1"/>
  <c r="O1691" i="1"/>
  <c r="M1691" i="1"/>
  <c r="L1691" i="1"/>
  <c r="K1691" i="1"/>
  <c r="F1691" i="1"/>
  <c r="F1691" i="1" a="1"/>
  <c r="W1690" i="1"/>
  <c r="W1690" i="1" a="1"/>
  <c r="V1690" i="1"/>
  <c r="U1690" i="1"/>
  <c r="Q1690" i="1"/>
  <c r="O1690" i="1"/>
  <c r="M1690" i="1"/>
  <c r="L1690" i="1"/>
  <c r="K1690" i="1"/>
  <c r="F1690" i="1"/>
  <c r="F1690" i="1" a="1"/>
  <c r="W1689" i="1"/>
  <c r="W1689" i="1" a="1"/>
  <c r="V1689" i="1"/>
  <c r="U1689" i="1"/>
  <c r="Q1689" i="1"/>
  <c r="O1689" i="1"/>
  <c r="M1689" i="1"/>
  <c r="L1689" i="1"/>
  <c r="K1689" i="1"/>
  <c r="F1689" i="1"/>
  <c r="F1689" i="1" a="1"/>
  <c r="W1688" i="1"/>
  <c r="W1688" i="1" a="1"/>
  <c r="V1688" i="1"/>
  <c r="U1688" i="1"/>
  <c r="Q1688" i="1"/>
  <c r="O1688" i="1"/>
  <c r="M1688" i="1"/>
  <c r="L1688" i="1"/>
  <c r="K1688" i="1"/>
  <c r="F1688" i="1"/>
  <c r="F1688" i="1" a="1"/>
  <c r="W1687" i="1"/>
  <c r="W1687" i="1" a="1"/>
  <c r="V1687" i="1"/>
  <c r="U1687" i="1"/>
  <c r="Q1687" i="1"/>
  <c r="O1687" i="1"/>
  <c r="M1687" i="1"/>
  <c r="L1687" i="1"/>
  <c r="K1687" i="1"/>
  <c r="F1687" i="1"/>
  <c r="F1687" i="1" a="1"/>
  <c r="W1686" i="1"/>
  <c r="W1686" i="1" a="1"/>
  <c r="V1686" i="1"/>
  <c r="U1686" i="1"/>
  <c r="Q1686" i="1"/>
  <c r="O1686" i="1"/>
  <c r="M1686" i="1"/>
  <c r="L1686" i="1"/>
  <c r="K1686" i="1"/>
  <c r="F1686" i="1"/>
  <c r="F1686" i="1" a="1"/>
  <c r="W1685" i="1"/>
  <c r="W1685" i="1" a="1"/>
  <c r="V1685" i="1"/>
  <c r="U1685" i="1"/>
  <c r="Q1685" i="1"/>
  <c r="O1685" i="1"/>
  <c r="M1685" i="1"/>
  <c r="L1685" i="1"/>
  <c r="K1685" i="1"/>
  <c r="F1685" i="1"/>
  <c r="F1685" i="1" a="1"/>
  <c r="W1684" i="1"/>
  <c r="W1684" i="1" a="1"/>
  <c r="V1684" i="1"/>
  <c r="U1684" i="1"/>
  <c r="Q1684" i="1"/>
  <c r="O1684" i="1"/>
  <c r="M1684" i="1"/>
  <c r="L1684" i="1"/>
  <c r="K1684" i="1"/>
  <c r="F1684" i="1"/>
  <c r="F1684" i="1" a="1"/>
  <c r="W1683" i="1"/>
  <c r="W1683" i="1" a="1"/>
  <c r="V1683" i="1"/>
  <c r="U1683" i="1"/>
  <c r="Q1683" i="1"/>
  <c r="O1683" i="1"/>
  <c r="M1683" i="1"/>
  <c r="L1683" i="1"/>
  <c r="K1683" i="1"/>
  <c r="F1683" i="1"/>
  <c r="F1683" i="1" a="1"/>
  <c r="W1682" i="1"/>
  <c r="W1682" i="1" a="1"/>
  <c r="V1682" i="1"/>
  <c r="U1682" i="1"/>
  <c r="Q1682" i="1"/>
  <c r="O1682" i="1"/>
  <c r="M1682" i="1"/>
  <c r="L1682" i="1"/>
  <c r="K1682" i="1"/>
  <c r="F1682" i="1"/>
  <c r="F1682" i="1" a="1"/>
  <c r="W1681" i="1"/>
  <c r="W1681" i="1" a="1"/>
  <c r="V1681" i="1"/>
  <c r="U1681" i="1"/>
  <c r="Q1681" i="1"/>
  <c r="O1681" i="1"/>
  <c r="M1681" i="1"/>
  <c r="L1681" i="1"/>
  <c r="K1681" i="1"/>
  <c r="F1681" i="1"/>
  <c r="F1681" i="1" a="1"/>
  <c r="W1680" i="1"/>
  <c r="W1680" i="1" a="1"/>
  <c r="V1680" i="1"/>
  <c r="U1680" i="1"/>
  <c r="Q1680" i="1"/>
  <c r="O1680" i="1"/>
  <c r="M1680" i="1"/>
  <c r="L1680" i="1"/>
  <c r="K1680" i="1"/>
  <c r="F1680" i="1"/>
  <c r="F1680" i="1" a="1"/>
  <c r="W1679" i="1"/>
  <c r="W1679" i="1" a="1"/>
  <c r="V1679" i="1"/>
  <c r="U1679" i="1"/>
  <c r="Q1679" i="1"/>
  <c r="O1679" i="1"/>
  <c r="M1679" i="1"/>
  <c r="L1679" i="1"/>
  <c r="K1679" i="1"/>
  <c r="F1679" i="1"/>
  <c r="F1679" i="1" a="1"/>
  <c r="W1678" i="1"/>
  <c r="W1678" i="1" a="1"/>
  <c r="V1678" i="1"/>
  <c r="U1678" i="1"/>
  <c r="Q1678" i="1"/>
  <c r="O1678" i="1"/>
  <c r="M1678" i="1"/>
  <c r="L1678" i="1"/>
  <c r="K1678" i="1"/>
  <c r="F1678" i="1"/>
  <c r="F1678" i="1" a="1"/>
  <c r="W1677" i="1"/>
  <c r="W1677" i="1" a="1"/>
  <c r="V1677" i="1"/>
  <c r="U1677" i="1"/>
  <c r="Q1677" i="1"/>
  <c r="O1677" i="1"/>
  <c r="M1677" i="1"/>
  <c r="L1677" i="1"/>
  <c r="K1677" i="1"/>
  <c r="F1677" i="1"/>
  <c r="F1677" i="1" a="1"/>
  <c r="W1676" i="1"/>
  <c r="W1676" i="1" a="1"/>
  <c r="V1676" i="1"/>
  <c r="U1676" i="1"/>
  <c r="Q1676" i="1"/>
  <c r="O1676" i="1"/>
  <c r="M1676" i="1"/>
  <c r="L1676" i="1"/>
  <c r="K1676" i="1"/>
  <c r="F1676" i="1"/>
  <c r="F1676" i="1" a="1"/>
  <c r="W1675" i="1"/>
  <c r="W1675" i="1" a="1"/>
  <c r="V1675" i="1"/>
  <c r="U1675" i="1"/>
  <c r="Q1675" i="1"/>
  <c r="O1675" i="1"/>
  <c r="M1675" i="1"/>
  <c r="L1675" i="1"/>
  <c r="K1675" i="1"/>
  <c r="F1675" i="1"/>
  <c r="F1675" i="1" a="1"/>
  <c r="W1674" i="1"/>
  <c r="W1674" i="1" a="1"/>
  <c r="V1674" i="1"/>
  <c r="U1674" i="1"/>
  <c r="Q1674" i="1"/>
  <c r="O1674" i="1"/>
  <c r="M1674" i="1"/>
  <c r="L1674" i="1"/>
  <c r="K1674" i="1"/>
  <c r="F1674" i="1"/>
  <c r="F1674" i="1" a="1"/>
  <c r="W1673" i="1"/>
  <c r="W1673" i="1" a="1"/>
  <c r="V1673" i="1"/>
  <c r="U1673" i="1"/>
  <c r="Q1673" i="1"/>
  <c r="O1673" i="1"/>
  <c r="M1673" i="1"/>
  <c r="L1673" i="1"/>
  <c r="K1673" i="1"/>
  <c r="F1673" i="1"/>
  <c r="F1673" i="1" a="1"/>
  <c r="W1672" i="1"/>
  <c r="W1672" i="1" a="1"/>
  <c r="V1672" i="1"/>
  <c r="U1672" i="1"/>
  <c r="Q1672" i="1"/>
  <c r="O1672" i="1"/>
  <c r="M1672" i="1"/>
  <c r="L1672" i="1"/>
  <c r="K1672" i="1"/>
  <c r="F1672" i="1"/>
  <c r="F1672" i="1" a="1"/>
  <c r="W1671" i="1"/>
  <c r="W1671" i="1" a="1"/>
  <c r="V1671" i="1"/>
  <c r="U1671" i="1"/>
  <c r="Q1671" i="1"/>
  <c r="O1671" i="1"/>
  <c r="M1671" i="1"/>
  <c r="L1671" i="1"/>
  <c r="K1671" i="1"/>
  <c r="F1671" i="1"/>
  <c r="F1671" i="1" a="1"/>
  <c r="W1670" i="1"/>
  <c r="W1670" i="1" a="1"/>
  <c r="V1670" i="1"/>
  <c r="U1670" i="1"/>
  <c r="Q1670" i="1"/>
  <c r="O1670" i="1"/>
  <c r="M1670" i="1"/>
  <c r="L1670" i="1"/>
  <c r="K1670" i="1"/>
  <c r="F1670" i="1"/>
  <c r="F1670" i="1" a="1"/>
  <c r="W1669" i="1"/>
  <c r="W1669" i="1" a="1"/>
  <c r="V1669" i="1"/>
  <c r="U1669" i="1"/>
  <c r="Q1669" i="1"/>
  <c r="O1669" i="1"/>
  <c r="M1669" i="1"/>
  <c r="L1669" i="1"/>
  <c r="K1669" i="1"/>
  <c r="F1669" i="1"/>
  <c r="F1669" i="1" a="1"/>
  <c r="W1668" i="1"/>
  <c r="W1668" i="1" a="1"/>
  <c r="V1668" i="1"/>
  <c r="U1668" i="1"/>
  <c r="Q1668" i="1"/>
  <c r="O1668" i="1"/>
  <c r="M1668" i="1"/>
  <c r="L1668" i="1"/>
  <c r="K1668" i="1"/>
  <c r="F1668" i="1"/>
  <c r="F1668" i="1" a="1"/>
  <c r="W1667" i="1"/>
  <c r="W1667" i="1" a="1"/>
  <c r="V1667" i="1"/>
  <c r="U1667" i="1"/>
  <c r="Q1667" i="1"/>
  <c r="O1667" i="1"/>
  <c r="M1667" i="1"/>
  <c r="L1667" i="1"/>
  <c r="K1667" i="1"/>
  <c r="F1667" i="1"/>
  <c r="F1667" i="1" a="1"/>
  <c r="W1666" i="1"/>
  <c r="W1666" i="1" a="1"/>
  <c r="V1666" i="1"/>
  <c r="U1666" i="1"/>
  <c r="Q1666" i="1"/>
  <c r="O1666" i="1"/>
  <c r="M1666" i="1"/>
  <c r="L1666" i="1"/>
  <c r="K1666" i="1"/>
  <c r="F1666" i="1"/>
  <c r="F1666" i="1" a="1"/>
  <c r="W1665" i="1"/>
  <c r="W1665" i="1" a="1"/>
  <c r="V1665" i="1"/>
  <c r="U1665" i="1"/>
  <c r="Q1665" i="1"/>
  <c r="O1665" i="1"/>
  <c r="M1665" i="1"/>
  <c r="L1665" i="1"/>
  <c r="K1665" i="1"/>
  <c r="F1665" i="1"/>
  <c r="F1665" i="1" a="1"/>
  <c r="W1664" i="1"/>
  <c r="W1664" i="1" a="1"/>
  <c r="V1664" i="1"/>
  <c r="U1664" i="1"/>
  <c r="Q1664" i="1"/>
  <c r="O1664" i="1"/>
  <c r="M1664" i="1"/>
  <c r="L1664" i="1"/>
  <c r="K1664" i="1"/>
  <c r="F1664" i="1"/>
  <c r="F1664" i="1" a="1"/>
  <c r="W1663" i="1"/>
  <c r="W1663" i="1" a="1"/>
  <c r="V1663" i="1"/>
  <c r="U1663" i="1"/>
  <c r="Q1663" i="1"/>
  <c r="O1663" i="1"/>
  <c r="M1663" i="1"/>
  <c r="L1663" i="1"/>
  <c r="K1663" i="1"/>
  <c r="F1663" i="1"/>
  <c r="F1663" i="1" a="1"/>
  <c r="W1662" i="1"/>
  <c r="W1662" i="1" a="1"/>
  <c r="V1662" i="1"/>
  <c r="U1662" i="1"/>
  <c r="Q1662" i="1"/>
  <c r="O1662" i="1"/>
  <c r="M1662" i="1"/>
  <c r="L1662" i="1"/>
  <c r="K1662" i="1"/>
  <c r="F1662" i="1"/>
  <c r="F1662" i="1" a="1"/>
  <c r="W1661" i="1"/>
  <c r="W1661" i="1" a="1"/>
  <c r="V1661" i="1"/>
  <c r="U1661" i="1"/>
  <c r="Q1661" i="1"/>
  <c r="O1661" i="1"/>
  <c r="M1661" i="1"/>
  <c r="L1661" i="1"/>
  <c r="K1661" i="1"/>
  <c r="F1661" i="1"/>
  <c r="F1661" i="1" a="1"/>
  <c r="W1660" i="1"/>
  <c r="W1660" i="1" a="1"/>
  <c r="V1660" i="1"/>
  <c r="U1660" i="1"/>
  <c r="Q1660" i="1"/>
  <c r="O1660" i="1"/>
  <c r="M1660" i="1"/>
  <c r="L1660" i="1"/>
  <c r="K1660" i="1"/>
  <c r="F1660" i="1"/>
  <c r="F1660" i="1" a="1"/>
  <c r="W1659" i="1"/>
  <c r="W1659" i="1" a="1"/>
  <c r="V1659" i="1"/>
  <c r="U1659" i="1"/>
  <c r="Q1659" i="1"/>
  <c r="O1659" i="1"/>
  <c r="M1659" i="1"/>
  <c r="L1659" i="1"/>
  <c r="K1659" i="1"/>
  <c r="F1659" i="1"/>
  <c r="F1659" i="1" a="1"/>
  <c r="W1658" i="1"/>
  <c r="W1658" i="1" a="1"/>
  <c r="V1658" i="1"/>
  <c r="U1658" i="1"/>
  <c r="Q1658" i="1"/>
  <c r="O1658" i="1"/>
  <c r="M1658" i="1"/>
  <c r="L1658" i="1"/>
  <c r="K1658" i="1"/>
  <c r="F1658" i="1"/>
  <c r="F1658" i="1" a="1"/>
  <c r="W1657" i="1"/>
  <c r="W1657" i="1" a="1"/>
  <c r="V1657" i="1"/>
  <c r="U1657" i="1"/>
  <c r="Q1657" i="1"/>
  <c r="O1657" i="1"/>
  <c r="M1657" i="1"/>
  <c r="L1657" i="1"/>
  <c r="K1657" i="1"/>
  <c r="F1657" i="1"/>
  <c r="F1657" i="1" a="1"/>
  <c r="W1656" i="1"/>
  <c r="W1656" i="1" a="1"/>
  <c r="V1656" i="1"/>
  <c r="U1656" i="1"/>
  <c r="Q1656" i="1"/>
  <c r="O1656" i="1"/>
  <c r="M1656" i="1"/>
  <c r="L1656" i="1"/>
  <c r="K1656" i="1"/>
  <c r="F1656" i="1"/>
  <c r="F1656" i="1" a="1"/>
  <c r="W1655" i="1"/>
  <c r="W1655" i="1" a="1"/>
  <c r="V1655" i="1"/>
  <c r="U1655" i="1"/>
  <c r="Q1655" i="1"/>
  <c r="O1655" i="1"/>
  <c r="M1655" i="1"/>
  <c r="L1655" i="1"/>
  <c r="K1655" i="1"/>
  <c r="F1655" i="1"/>
  <c r="F1655" i="1" a="1"/>
  <c r="W1654" i="1"/>
  <c r="W1654" i="1" a="1"/>
  <c r="V1654" i="1"/>
  <c r="U1654" i="1"/>
  <c r="Q1654" i="1"/>
  <c r="O1654" i="1"/>
  <c r="M1654" i="1"/>
  <c r="L1654" i="1"/>
  <c r="K1654" i="1"/>
  <c r="F1654" i="1"/>
  <c r="F1654" i="1" a="1"/>
  <c r="W1653" i="1"/>
  <c r="W1653" i="1" a="1"/>
  <c r="V1653" i="1"/>
  <c r="U1653" i="1"/>
  <c r="Q1653" i="1"/>
  <c r="O1653" i="1"/>
  <c r="M1653" i="1"/>
  <c r="L1653" i="1"/>
  <c r="K1653" i="1"/>
  <c r="F1653" i="1"/>
  <c r="F1653" i="1" a="1"/>
  <c r="W1652" i="1"/>
  <c r="W1652" i="1" a="1"/>
  <c r="V1652" i="1"/>
  <c r="U1652" i="1"/>
  <c r="Q1652" i="1"/>
  <c r="O1652" i="1"/>
  <c r="M1652" i="1"/>
  <c r="L1652" i="1"/>
  <c r="K1652" i="1"/>
  <c r="F1652" i="1"/>
  <c r="F1652" i="1" a="1"/>
  <c r="W1651" i="1"/>
  <c r="W1651" i="1" a="1"/>
  <c r="V1651" i="1"/>
  <c r="U1651" i="1"/>
  <c r="Q1651" i="1"/>
  <c r="O1651" i="1"/>
  <c r="M1651" i="1"/>
  <c r="L1651" i="1"/>
  <c r="K1651" i="1"/>
  <c r="F1651" i="1"/>
  <c r="F1651" i="1" a="1"/>
  <c r="W1650" i="1"/>
  <c r="W1650" i="1" a="1"/>
  <c r="V1650" i="1"/>
  <c r="U1650" i="1"/>
  <c r="Q1650" i="1"/>
  <c r="O1650" i="1"/>
  <c r="M1650" i="1"/>
  <c r="L1650" i="1"/>
  <c r="K1650" i="1"/>
  <c r="F1650" i="1"/>
  <c r="F1650" i="1" a="1"/>
  <c r="W1649" i="1"/>
  <c r="W1649" i="1" a="1"/>
  <c r="V1649" i="1"/>
  <c r="U1649" i="1"/>
  <c r="Q1649" i="1"/>
  <c r="O1649" i="1"/>
  <c r="M1649" i="1"/>
  <c r="L1649" i="1"/>
  <c r="K1649" i="1"/>
  <c r="F1649" i="1"/>
  <c r="F1649" i="1" a="1"/>
  <c r="W1648" i="1"/>
  <c r="W1648" i="1" a="1"/>
  <c r="V1648" i="1"/>
  <c r="U1648" i="1"/>
  <c r="Q1648" i="1"/>
  <c r="O1648" i="1"/>
  <c r="M1648" i="1"/>
  <c r="L1648" i="1"/>
  <c r="K1648" i="1"/>
  <c r="F1648" i="1"/>
  <c r="F1648" i="1" a="1"/>
  <c r="W1647" i="1"/>
  <c r="W1647" i="1" a="1"/>
  <c r="V1647" i="1"/>
  <c r="U1647" i="1"/>
  <c r="Q1647" i="1"/>
  <c r="O1647" i="1"/>
  <c r="M1647" i="1"/>
  <c r="L1647" i="1"/>
  <c r="K1647" i="1"/>
  <c r="F1647" i="1"/>
  <c r="F1647" i="1" a="1"/>
  <c r="W1646" i="1"/>
  <c r="W1646" i="1" a="1"/>
  <c r="V1646" i="1"/>
  <c r="U1646" i="1"/>
  <c r="Q1646" i="1"/>
  <c r="O1646" i="1"/>
  <c r="M1646" i="1"/>
  <c r="L1646" i="1"/>
  <c r="K1646" i="1"/>
  <c r="F1646" i="1"/>
  <c r="F1646" i="1" a="1"/>
  <c r="W1645" i="1"/>
  <c r="W1645" i="1" a="1"/>
  <c r="V1645" i="1"/>
  <c r="U1645" i="1"/>
  <c r="Q1645" i="1"/>
  <c r="O1645" i="1"/>
  <c r="M1645" i="1"/>
  <c r="L1645" i="1"/>
  <c r="K1645" i="1"/>
  <c r="F1645" i="1"/>
  <c r="F1645" i="1" a="1"/>
  <c r="W1644" i="1"/>
  <c r="W1644" i="1" a="1"/>
  <c r="V1644" i="1"/>
  <c r="U1644" i="1"/>
  <c r="Q1644" i="1"/>
  <c r="O1644" i="1"/>
  <c r="M1644" i="1"/>
  <c r="L1644" i="1"/>
  <c r="K1644" i="1"/>
  <c r="F1644" i="1"/>
  <c r="F1644" i="1" a="1"/>
  <c r="W1643" i="1"/>
  <c r="W1643" i="1" a="1"/>
  <c r="V1643" i="1"/>
  <c r="U1643" i="1"/>
  <c r="Q1643" i="1"/>
  <c r="O1643" i="1"/>
  <c r="M1643" i="1"/>
  <c r="L1643" i="1"/>
  <c r="K1643" i="1"/>
  <c r="F1643" i="1"/>
  <c r="F1643" i="1" a="1"/>
  <c r="W1642" i="1"/>
  <c r="W1642" i="1" a="1"/>
  <c r="V1642" i="1"/>
  <c r="U1642" i="1"/>
  <c r="Q1642" i="1"/>
  <c r="O1642" i="1"/>
  <c r="M1642" i="1"/>
  <c r="L1642" i="1"/>
  <c r="K1642" i="1"/>
  <c r="F1642" i="1"/>
  <c r="F1642" i="1" a="1"/>
  <c r="W1641" i="1"/>
  <c r="W1641" i="1" a="1"/>
  <c r="V1641" i="1"/>
  <c r="U1641" i="1"/>
  <c r="Q1641" i="1"/>
  <c r="O1641" i="1"/>
  <c r="M1641" i="1"/>
  <c r="L1641" i="1"/>
  <c r="K1641" i="1"/>
  <c r="F1641" i="1"/>
  <c r="F1641" i="1" a="1"/>
  <c r="W1640" i="1"/>
  <c r="W1640" i="1" a="1"/>
  <c r="V1640" i="1"/>
  <c r="U1640" i="1"/>
  <c r="Q1640" i="1"/>
  <c r="O1640" i="1"/>
  <c r="M1640" i="1"/>
  <c r="L1640" i="1"/>
  <c r="K1640" i="1"/>
  <c r="F1640" i="1"/>
  <c r="F1640" i="1" a="1"/>
  <c r="W1639" i="1"/>
  <c r="W1639" i="1" a="1"/>
  <c r="V1639" i="1"/>
  <c r="U1639" i="1"/>
  <c r="Q1639" i="1"/>
  <c r="O1639" i="1"/>
  <c r="M1639" i="1"/>
  <c r="L1639" i="1"/>
  <c r="K1639" i="1"/>
  <c r="F1639" i="1"/>
  <c r="F1639" i="1" a="1"/>
  <c r="W1638" i="1"/>
  <c r="W1638" i="1" a="1"/>
  <c r="V1638" i="1"/>
  <c r="U1638" i="1"/>
  <c r="Q1638" i="1"/>
  <c r="O1638" i="1"/>
  <c r="M1638" i="1"/>
  <c r="L1638" i="1"/>
  <c r="K1638" i="1"/>
  <c r="F1638" i="1"/>
  <c r="F1638" i="1" a="1"/>
  <c r="W1637" i="1"/>
  <c r="W1637" i="1" a="1"/>
  <c r="V1637" i="1"/>
  <c r="U1637" i="1"/>
  <c r="Q1637" i="1"/>
  <c r="O1637" i="1"/>
  <c r="M1637" i="1"/>
  <c r="L1637" i="1"/>
  <c r="K1637" i="1"/>
  <c r="F1637" i="1"/>
  <c r="F1637" i="1" a="1"/>
  <c r="W1636" i="1"/>
  <c r="W1636" i="1" a="1"/>
  <c r="V1636" i="1"/>
  <c r="U1636" i="1"/>
  <c r="Q1636" i="1"/>
  <c r="O1636" i="1"/>
  <c r="M1636" i="1"/>
  <c r="L1636" i="1"/>
  <c r="K1636" i="1"/>
  <c r="F1636" i="1"/>
  <c r="F1636" i="1" a="1"/>
  <c r="W1635" i="1"/>
  <c r="W1635" i="1" a="1"/>
  <c r="V1635" i="1"/>
  <c r="U1635" i="1"/>
  <c r="Q1635" i="1"/>
  <c r="O1635" i="1"/>
  <c r="M1635" i="1"/>
  <c r="L1635" i="1"/>
  <c r="K1635" i="1"/>
  <c r="F1635" i="1"/>
  <c r="F1635" i="1" a="1"/>
  <c r="W1634" i="1"/>
  <c r="W1634" i="1" a="1"/>
  <c r="V1634" i="1"/>
  <c r="U1634" i="1"/>
  <c r="Q1634" i="1"/>
  <c r="O1634" i="1"/>
  <c r="M1634" i="1"/>
  <c r="L1634" i="1"/>
  <c r="K1634" i="1"/>
  <c r="F1634" i="1"/>
  <c r="F1634" i="1" a="1"/>
  <c r="W1633" i="1"/>
  <c r="W1633" i="1" a="1"/>
  <c r="V1633" i="1"/>
  <c r="U1633" i="1"/>
  <c r="Q1633" i="1"/>
  <c r="O1633" i="1"/>
  <c r="M1633" i="1"/>
  <c r="L1633" i="1"/>
  <c r="K1633" i="1"/>
  <c r="F1633" i="1"/>
  <c r="F1633" i="1" a="1"/>
  <c r="W1632" i="1"/>
  <c r="W1632" i="1" a="1"/>
  <c r="V1632" i="1"/>
  <c r="U1632" i="1"/>
  <c r="Q1632" i="1"/>
  <c r="O1632" i="1"/>
  <c r="M1632" i="1"/>
  <c r="L1632" i="1"/>
  <c r="K1632" i="1"/>
  <c r="F1632" i="1"/>
  <c r="F1632" i="1" a="1"/>
  <c r="W1631" i="1"/>
  <c r="W1631" i="1" a="1"/>
  <c r="V1631" i="1"/>
  <c r="U1631" i="1"/>
  <c r="Q1631" i="1"/>
  <c r="O1631" i="1"/>
  <c r="M1631" i="1"/>
  <c r="L1631" i="1"/>
  <c r="K1631" i="1"/>
  <c r="F1631" i="1"/>
  <c r="F1631" i="1" a="1"/>
  <c r="W1630" i="1"/>
  <c r="W1630" i="1" a="1"/>
  <c r="V1630" i="1"/>
  <c r="U1630" i="1"/>
  <c r="Q1630" i="1"/>
  <c r="O1630" i="1"/>
  <c r="M1630" i="1"/>
  <c r="L1630" i="1"/>
  <c r="K1630" i="1"/>
  <c r="F1630" i="1"/>
  <c r="F1630" i="1" a="1"/>
  <c r="W1629" i="1"/>
  <c r="W1629" i="1" a="1"/>
  <c r="V1629" i="1"/>
  <c r="U1629" i="1"/>
  <c r="Q1629" i="1"/>
  <c r="O1629" i="1"/>
  <c r="M1629" i="1"/>
  <c r="L1629" i="1"/>
  <c r="K1629" i="1"/>
  <c r="F1629" i="1"/>
  <c r="F1629" i="1" a="1"/>
  <c r="W1628" i="1"/>
  <c r="W1628" i="1" a="1"/>
  <c r="V1628" i="1"/>
  <c r="U1628" i="1"/>
  <c r="Q1628" i="1"/>
  <c r="O1628" i="1"/>
  <c r="M1628" i="1"/>
  <c r="L1628" i="1"/>
  <c r="K1628" i="1"/>
  <c r="F1628" i="1"/>
  <c r="F1628" i="1" a="1"/>
  <c r="W1627" i="1"/>
  <c r="W1627" i="1" a="1"/>
  <c r="V1627" i="1"/>
  <c r="U1627" i="1"/>
  <c r="Q1627" i="1"/>
  <c r="O1627" i="1"/>
  <c r="M1627" i="1"/>
  <c r="L1627" i="1"/>
  <c r="K1627" i="1"/>
  <c r="F1627" i="1"/>
  <c r="F1627" i="1" a="1"/>
  <c r="W1626" i="1"/>
  <c r="W1626" i="1" a="1"/>
  <c r="V1626" i="1"/>
  <c r="U1626" i="1"/>
  <c r="Q1626" i="1"/>
  <c r="O1626" i="1"/>
  <c r="M1626" i="1"/>
  <c r="L1626" i="1"/>
  <c r="K1626" i="1"/>
  <c r="F1626" i="1"/>
  <c r="F1626" i="1" a="1"/>
  <c r="W1625" i="1"/>
  <c r="W1625" i="1" a="1"/>
  <c r="V1625" i="1"/>
  <c r="U1625" i="1"/>
  <c r="Q1625" i="1"/>
  <c r="O1625" i="1"/>
  <c r="M1625" i="1"/>
  <c r="L1625" i="1"/>
  <c r="K1625" i="1"/>
  <c r="F1625" i="1"/>
  <c r="F1625" i="1" a="1"/>
  <c r="W1624" i="1"/>
  <c r="W1624" i="1" a="1"/>
  <c r="V1624" i="1"/>
  <c r="U1624" i="1"/>
  <c r="Q1624" i="1"/>
  <c r="O1624" i="1"/>
  <c r="M1624" i="1"/>
  <c r="L1624" i="1"/>
  <c r="K1624" i="1"/>
  <c r="F1624" i="1"/>
  <c r="F1624" i="1" a="1"/>
  <c r="W1623" i="1"/>
  <c r="W1623" i="1" a="1"/>
  <c r="V1623" i="1"/>
  <c r="U1623" i="1"/>
  <c r="Q1623" i="1"/>
  <c r="O1623" i="1"/>
  <c r="M1623" i="1"/>
  <c r="L1623" i="1"/>
  <c r="K1623" i="1"/>
  <c r="F1623" i="1"/>
  <c r="F1623" i="1" a="1"/>
  <c r="W1622" i="1"/>
  <c r="W1622" i="1" a="1"/>
  <c r="V1622" i="1"/>
  <c r="U1622" i="1"/>
  <c r="Q1622" i="1"/>
  <c r="O1622" i="1"/>
  <c r="M1622" i="1"/>
  <c r="L1622" i="1"/>
  <c r="K1622" i="1"/>
  <c r="F1622" i="1"/>
  <c r="F1622" i="1" a="1"/>
  <c r="W1621" i="1"/>
  <c r="W1621" i="1" a="1"/>
  <c r="V1621" i="1"/>
  <c r="U1621" i="1"/>
  <c r="Q1621" i="1"/>
  <c r="O1621" i="1"/>
  <c r="M1621" i="1"/>
  <c r="L1621" i="1"/>
  <c r="K1621" i="1"/>
  <c r="F1621" i="1"/>
  <c r="F1621" i="1" a="1"/>
  <c r="W1620" i="1"/>
  <c r="W1620" i="1" a="1"/>
  <c r="V1620" i="1"/>
  <c r="U1620" i="1"/>
  <c r="Q1620" i="1"/>
  <c r="O1620" i="1"/>
  <c r="M1620" i="1"/>
  <c r="L1620" i="1"/>
  <c r="K1620" i="1"/>
  <c r="F1620" i="1"/>
  <c r="F1620" i="1" a="1"/>
  <c r="W1619" i="1"/>
  <c r="W1619" i="1" a="1"/>
  <c r="V1619" i="1"/>
  <c r="U1619" i="1"/>
  <c r="Q1619" i="1"/>
  <c r="O1619" i="1"/>
  <c r="M1619" i="1"/>
  <c r="L1619" i="1"/>
  <c r="K1619" i="1"/>
  <c r="F1619" i="1"/>
  <c r="F1619" i="1" a="1"/>
  <c r="W1618" i="1"/>
  <c r="W1618" i="1" a="1"/>
  <c r="V1618" i="1"/>
  <c r="U1618" i="1"/>
  <c r="Q1618" i="1"/>
  <c r="O1618" i="1"/>
  <c r="M1618" i="1"/>
  <c r="L1618" i="1"/>
  <c r="K1618" i="1"/>
  <c r="F1618" i="1"/>
  <c r="F1618" i="1" a="1"/>
  <c r="W1617" i="1"/>
  <c r="W1617" i="1" a="1"/>
  <c r="V1617" i="1"/>
  <c r="U1617" i="1"/>
  <c r="Q1617" i="1"/>
  <c r="O1617" i="1"/>
  <c r="M1617" i="1"/>
  <c r="L1617" i="1"/>
  <c r="K1617" i="1"/>
  <c r="F1617" i="1"/>
  <c r="F1617" i="1" a="1"/>
  <c r="W1616" i="1"/>
  <c r="W1616" i="1" a="1"/>
  <c r="V1616" i="1"/>
  <c r="U1616" i="1"/>
  <c r="Q1616" i="1"/>
  <c r="O1616" i="1"/>
  <c r="M1616" i="1"/>
  <c r="L1616" i="1"/>
  <c r="K1616" i="1"/>
  <c r="F1616" i="1"/>
  <c r="F1616" i="1" a="1"/>
  <c r="W1615" i="1"/>
  <c r="W1615" i="1" a="1"/>
  <c r="V1615" i="1"/>
  <c r="U1615" i="1"/>
  <c r="Q1615" i="1"/>
  <c r="O1615" i="1"/>
  <c r="M1615" i="1"/>
  <c r="L1615" i="1"/>
  <c r="K1615" i="1"/>
  <c r="F1615" i="1"/>
  <c r="F1615" i="1" a="1"/>
  <c r="W1614" i="1"/>
  <c r="W1614" i="1" a="1"/>
  <c r="V1614" i="1"/>
  <c r="U1614" i="1"/>
  <c r="Q1614" i="1"/>
  <c r="O1614" i="1"/>
  <c r="M1614" i="1"/>
  <c r="L1614" i="1"/>
  <c r="K1614" i="1"/>
  <c r="F1614" i="1"/>
  <c r="F1614" i="1" a="1"/>
  <c r="W1613" i="1"/>
  <c r="W1613" i="1" a="1"/>
  <c r="V1613" i="1"/>
  <c r="U1613" i="1"/>
  <c r="Q1613" i="1"/>
  <c r="O1613" i="1"/>
  <c r="M1613" i="1"/>
  <c r="L1613" i="1"/>
  <c r="K1613" i="1"/>
  <c r="F1613" i="1"/>
  <c r="F1613" i="1" a="1"/>
  <c r="W1612" i="1"/>
  <c r="W1612" i="1" a="1"/>
  <c r="V1612" i="1"/>
  <c r="U1612" i="1"/>
  <c r="Q1612" i="1"/>
  <c r="O1612" i="1"/>
  <c r="M1612" i="1"/>
  <c r="L1612" i="1"/>
  <c r="K1612" i="1"/>
  <c r="F1612" i="1"/>
  <c r="F1612" i="1" a="1"/>
  <c r="W1611" i="1"/>
  <c r="W1611" i="1" a="1"/>
  <c r="V1611" i="1"/>
  <c r="U1611" i="1"/>
  <c r="Q1611" i="1"/>
  <c r="O1611" i="1"/>
  <c r="M1611" i="1"/>
  <c r="L1611" i="1"/>
  <c r="K1611" i="1"/>
  <c r="F1611" i="1"/>
  <c r="F1611" i="1" a="1"/>
  <c r="W1610" i="1"/>
  <c r="W1610" i="1" a="1"/>
  <c r="V1610" i="1"/>
  <c r="U1610" i="1"/>
  <c r="Q1610" i="1"/>
  <c r="O1610" i="1"/>
  <c r="M1610" i="1"/>
  <c r="L1610" i="1"/>
  <c r="K1610" i="1"/>
  <c r="F1610" i="1"/>
  <c r="F1610" i="1" a="1"/>
  <c r="W1609" i="1"/>
  <c r="W1609" i="1" a="1"/>
  <c r="V1609" i="1"/>
  <c r="U1609" i="1"/>
  <c r="Q1609" i="1"/>
  <c r="O1609" i="1"/>
  <c r="M1609" i="1"/>
  <c r="L1609" i="1"/>
  <c r="K1609" i="1"/>
  <c r="F1609" i="1"/>
  <c r="F1609" i="1" a="1"/>
  <c r="W1608" i="1"/>
  <c r="W1608" i="1" a="1"/>
  <c r="V1608" i="1"/>
  <c r="U1608" i="1"/>
  <c r="Q1608" i="1"/>
  <c r="O1608" i="1"/>
  <c r="M1608" i="1"/>
  <c r="L1608" i="1"/>
  <c r="K1608" i="1"/>
  <c r="F1608" i="1"/>
  <c r="F1608" i="1" a="1"/>
  <c r="W1607" i="1"/>
  <c r="W1607" i="1" a="1"/>
  <c r="V1607" i="1"/>
  <c r="U1607" i="1"/>
  <c r="Q1607" i="1"/>
  <c r="O1607" i="1"/>
  <c r="M1607" i="1"/>
  <c r="L1607" i="1"/>
  <c r="K1607" i="1"/>
  <c r="F1607" i="1"/>
  <c r="F1607" i="1" a="1"/>
  <c r="W1606" i="1"/>
  <c r="W1606" i="1" a="1"/>
  <c r="V1606" i="1"/>
  <c r="U1606" i="1"/>
  <c r="Q1606" i="1"/>
  <c r="O1606" i="1"/>
  <c r="M1606" i="1"/>
  <c r="L1606" i="1"/>
  <c r="K1606" i="1"/>
  <c r="F1606" i="1"/>
  <c r="F1606" i="1" a="1"/>
  <c r="W1605" i="1"/>
  <c r="W1605" i="1" a="1"/>
  <c r="V1605" i="1"/>
  <c r="U1605" i="1"/>
  <c r="Q1605" i="1"/>
  <c r="O1605" i="1"/>
  <c r="M1605" i="1"/>
  <c r="L1605" i="1"/>
  <c r="K1605" i="1"/>
  <c r="F1605" i="1"/>
  <c r="F1605" i="1" a="1"/>
  <c r="W1604" i="1"/>
  <c r="W1604" i="1" a="1"/>
  <c r="V1604" i="1"/>
  <c r="U1604" i="1"/>
  <c r="Q1604" i="1"/>
  <c r="O1604" i="1"/>
  <c r="M1604" i="1"/>
  <c r="L1604" i="1"/>
  <c r="K1604" i="1"/>
  <c r="F1604" i="1"/>
  <c r="F1604" i="1" a="1"/>
  <c r="W1603" i="1"/>
  <c r="W1603" i="1" a="1"/>
  <c r="V1603" i="1"/>
  <c r="U1603" i="1"/>
  <c r="Q1603" i="1"/>
  <c r="O1603" i="1"/>
  <c r="M1603" i="1"/>
  <c r="L1603" i="1"/>
  <c r="K1603" i="1"/>
  <c r="F1603" i="1"/>
  <c r="F1603" i="1" a="1"/>
  <c r="W1602" i="1"/>
  <c r="W1602" i="1" a="1"/>
  <c r="V1602" i="1"/>
  <c r="U1602" i="1"/>
  <c r="Q1602" i="1"/>
  <c r="O1602" i="1"/>
  <c r="M1602" i="1"/>
  <c r="L1602" i="1"/>
  <c r="K1602" i="1"/>
  <c r="F1602" i="1"/>
  <c r="F1602" i="1" a="1"/>
  <c r="W1601" i="1"/>
  <c r="W1601" i="1" a="1"/>
  <c r="V1601" i="1"/>
  <c r="U1601" i="1"/>
  <c r="Q1601" i="1"/>
  <c r="O1601" i="1"/>
  <c r="M1601" i="1"/>
  <c r="L1601" i="1"/>
  <c r="K1601" i="1"/>
  <c r="F1601" i="1"/>
  <c r="F1601" i="1" a="1"/>
  <c r="W1600" i="1"/>
  <c r="W1600" i="1" a="1"/>
  <c r="V1600" i="1"/>
  <c r="U1600" i="1"/>
  <c r="Q1600" i="1"/>
  <c r="O1600" i="1"/>
  <c r="M1600" i="1"/>
  <c r="L1600" i="1"/>
  <c r="K1600" i="1"/>
  <c r="F1600" i="1"/>
  <c r="F1600" i="1" a="1"/>
  <c r="W1599" i="1"/>
  <c r="W1599" i="1" a="1"/>
  <c r="V1599" i="1"/>
  <c r="U1599" i="1"/>
  <c r="Q1599" i="1"/>
  <c r="O1599" i="1"/>
  <c r="M1599" i="1"/>
  <c r="L1599" i="1"/>
  <c r="K1599" i="1"/>
  <c r="F1599" i="1"/>
  <c r="F1599" i="1" a="1"/>
  <c r="W1598" i="1"/>
  <c r="W1598" i="1" a="1"/>
  <c r="V1598" i="1"/>
  <c r="U1598" i="1"/>
  <c r="Q1598" i="1"/>
  <c r="O1598" i="1"/>
  <c r="M1598" i="1"/>
  <c r="L1598" i="1"/>
  <c r="K1598" i="1"/>
  <c r="F1598" i="1"/>
  <c r="F1598" i="1" a="1"/>
  <c r="W1597" i="1"/>
  <c r="W1597" i="1" a="1"/>
  <c r="V1597" i="1"/>
  <c r="U1597" i="1"/>
  <c r="Q1597" i="1"/>
  <c r="O1597" i="1"/>
  <c r="M1597" i="1"/>
  <c r="L1597" i="1"/>
  <c r="K1597" i="1"/>
  <c r="F1597" i="1"/>
  <c r="F1597" i="1" a="1"/>
  <c r="W1596" i="1"/>
  <c r="W1596" i="1" a="1"/>
  <c r="V1596" i="1"/>
  <c r="U1596" i="1"/>
  <c r="Q1596" i="1"/>
  <c r="O1596" i="1"/>
  <c r="M1596" i="1"/>
  <c r="L1596" i="1"/>
  <c r="K1596" i="1"/>
  <c r="F1596" i="1"/>
  <c r="F1596" i="1" a="1"/>
  <c r="W1595" i="1"/>
  <c r="W1595" i="1" a="1"/>
  <c r="V1595" i="1"/>
  <c r="U1595" i="1"/>
  <c r="Q1595" i="1"/>
  <c r="O1595" i="1"/>
  <c r="M1595" i="1"/>
  <c r="L1595" i="1"/>
  <c r="K1595" i="1"/>
  <c r="F1595" i="1"/>
  <c r="F1595" i="1" a="1"/>
  <c r="W1594" i="1"/>
  <c r="W1594" i="1" a="1"/>
  <c r="V1594" i="1"/>
  <c r="U1594" i="1"/>
  <c r="Q1594" i="1"/>
  <c r="O1594" i="1"/>
  <c r="M1594" i="1"/>
  <c r="L1594" i="1"/>
  <c r="K1594" i="1"/>
  <c r="F1594" i="1"/>
  <c r="F1594" i="1" a="1"/>
  <c r="W1593" i="1"/>
  <c r="W1593" i="1" a="1"/>
  <c r="V1593" i="1"/>
  <c r="U1593" i="1"/>
  <c r="Q1593" i="1"/>
  <c r="O1593" i="1"/>
  <c r="M1593" i="1"/>
  <c r="L1593" i="1"/>
  <c r="K1593" i="1"/>
  <c r="F1593" i="1"/>
  <c r="F1593" i="1" a="1"/>
  <c r="W1592" i="1"/>
  <c r="W1592" i="1" a="1"/>
  <c r="V1592" i="1"/>
  <c r="U1592" i="1"/>
  <c r="Q1592" i="1"/>
  <c r="O1592" i="1"/>
  <c r="M1592" i="1"/>
  <c r="L1592" i="1"/>
  <c r="K1592" i="1"/>
  <c r="F1592" i="1"/>
  <c r="F1592" i="1" a="1"/>
  <c r="W1591" i="1"/>
  <c r="W1591" i="1" a="1"/>
  <c r="V1591" i="1"/>
  <c r="U1591" i="1"/>
  <c r="Q1591" i="1"/>
  <c r="O1591" i="1"/>
  <c r="M1591" i="1"/>
  <c r="L1591" i="1"/>
  <c r="K1591" i="1"/>
  <c r="F1591" i="1"/>
  <c r="F1591" i="1" a="1"/>
  <c r="W1590" i="1"/>
  <c r="W1590" i="1" a="1"/>
  <c r="V1590" i="1"/>
  <c r="U1590" i="1"/>
  <c r="Q1590" i="1"/>
  <c r="O1590" i="1"/>
  <c r="M1590" i="1"/>
  <c r="L1590" i="1"/>
  <c r="K1590" i="1"/>
  <c r="F1590" i="1"/>
  <c r="F1590" i="1" a="1"/>
  <c r="W1589" i="1"/>
  <c r="W1589" i="1" a="1"/>
  <c r="V1589" i="1"/>
  <c r="U1589" i="1"/>
  <c r="Q1589" i="1"/>
  <c r="O1589" i="1"/>
  <c r="M1589" i="1"/>
  <c r="L1589" i="1"/>
  <c r="K1589" i="1"/>
  <c r="F1589" i="1"/>
  <c r="F1589" i="1" a="1"/>
  <c r="W1588" i="1"/>
  <c r="W1588" i="1" a="1"/>
  <c r="V1588" i="1"/>
  <c r="U1588" i="1"/>
  <c r="Q1588" i="1"/>
  <c r="O1588" i="1"/>
  <c r="M1588" i="1"/>
  <c r="L1588" i="1"/>
  <c r="K1588" i="1"/>
  <c r="F1588" i="1"/>
  <c r="F1588" i="1" a="1"/>
  <c r="W1587" i="1"/>
  <c r="W1587" i="1" a="1"/>
  <c r="V1587" i="1"/>
  <c r="U1587" i="1"/>
  <c r="Q1587" i="1"/>
  <c r="O1587" i="1"/>
  <c r="M1587" i="1"/>
  <c r="L1587" i="1"/>
  <c r="K1587" i="1"/>
  <c r="F1587" i="1"/>
  <c r="F1587" i="1" a="1"/>
  <c r="W1586" i="1"/>
  <c r="W1586" i="1" a="1"/>
  <c r="V1586" i="1"/>
  <c r="U1586" i="1"/>
  <c r="Q1586" i="1"/>
  <c r="O1586" i="1"/>
  <c r="M1586" i="1"/>
  <c r="L1586" i="1"/>
  <c r="K1586" i="1"/>
  <c r="F1586" i="1"/>
  <c r="F1586" i="1" a="1"/>
  <c r="W1585" i="1"/>
  <c r="W1585" i="1" a="1"/>
  <c r="V1585" i="1"/>
  <c r="U1585" i="1"/>
  <c r="Q1585" i="1"/>
  <c r="O1585" i="1"/>
  <c r="M1585" i="1"/>
  <c r="L1585" i="1"/>
  <c r="K1585" i="1"/>
  <c r="F1585" i="1"/>
  <c r="F1585" i="1" a="1"/>
  <c r="W1584" i="1"/>
  <c r="W1584" i="1" a="1"/>
  <c r="V1584" i="1"/>
  <c r="U1584" i="1"/>
  <c r="Q1584" i="1"/>
  <c r="O1584" i="1"/>
  <c r="M1584" i="1"/>
  <c r="L1584" i="1"/>
  <c r="K1584" i="1"/>
  <c r="F1584" i="1"/>
  <c r="F1584" i="1" a="1"/>
  <c r="W1583" i="1"/>
  <c r="W1583" i="1" a="1"/>
  <c r="V1583" i="1"/>
  <c r="U1583" i="1"/>
  <c r="Q1583" i="1"/>
  <c r="O1583" i="1"/>
  <c r="M1583" i="1"/>
  <c r="L1583" i="1"/>
  <c r="K1583" i="1"/>
  <c r="F1583" i="1"/>
  <c r="F1583" i="1" a="1"/>
  <c r="W1582" i="1"/>
  <c r="W1582" i="1" a="1"/>
  <c r="V1582" i="1"/>
  <c r="U1582" i="1"/>
  <c r="Q1582" i="1"/>
  <c r="O1582" i="1"/>
  <c r="M1582" i="1"/>
  <c r="L1582" i="1"/>
  <c r="K1582" i="1"/>
  <c r="F1582" i="1"/>
  <c r="F1582" i="1" a="1"/>
  <c r="W1581" i="1"/>
  <c r="W1581" i="1" a="1"/>
  <c r="V1581" i="1"/>
  <c r="U1581" i="1"/>
  <c r="Q1581" i="1"/>
  <c r="O1581" i="1"/>
  <c r="M1581" i="1"/>
  <c r="L1581" i="1"/>
  <c r="K1581" i="1"/>
  <c r="F1581" i="1"/>
  <c r="F1581" i="1" a="1"/>
  <c r="W1580" i="1"/>
  <c r="W1580" i="1" a="1"/>
  <c r="V1580" i="1"/>
  <c r="U1580" i="1"/>
  <c r="Q1580" i="1"/>
  <c r="O1580" i="1"/>
  <c r="M1580" i="1"/>
  <c r="L1580" i="1"/>
  <c r="K1580" i="1"/>
  <c r="F1580" i="1"/>
  <c r="F1580" i="1" a="1"/>
  <c r="W1579" i="1"/>
  <c r="W1579" i="1" a="1"/>
  <c r="V1579" i="1"/>
  <c r="U1579" i="1"/>
  <c r="Q1579" i="1"/>
  <c r="O1579" i="1"/>
  <c r="M1579" i="1"/>
  <c r="L1579" i="1"/>
  <c r="K1579" i="1"/>
  <c r="F1579" i="1"/>
  <c r="F1579" i="1" a="1"/>
  <c r="W1578" i="1"/>
  <c r="W1578" i="1" a="1"/>
  <c r="V1578" i="1"/>
  <c r="U1578" i="1"/>
  <c r="Q1578" i="1"/>
  <c r="O1578" i="1"/>
  <c r="M1578" i="1"/>
  <c r="L1578" i="1"/>
  <c r="K1578" i="1"/>
  <c r="F1578" i="1"/>
  <c r="F1578" i="1" a="1"/>
  <c r="W1577" i="1"/>
  <c r="W1577" i="1" a="1"/>
  <c r="V1577" i="1"/>
  <c r="U1577" i="1"/>
  <c r="Q1577" i="1"/>
  <c r="O1577" i="1"/>
  <c r="M1577" i="1"/>
  <c r="L1577" i="1"/>
  <c r="K1577" i="1"/>
  <c r="F1577" i="1"/>
  <c r="F1577" i="1" a="1"/>
  <c r="W1576" i="1"/>
  <c r="W1576" i="1" a="1"/>
  <c r="V1576" i="1"/>
  <c r="U1576" i="1"/>
  <c r="Q1576" i="1"/>
  <c r="O1576" i="1"/>
  <c r="M1576" i="1"/>
  <c r="L1576" i="1"/>
  <c r="K1576" i="1"/>
  <c r="F1576" i="1"/>
  <c r="F1576" i="1" a="1"/>
  <c r="W1575" i="1"/>
  <c r="W1575" i="1" a="1"/>
  <c r="V1575" i="1"/>
  <c r="U1575" i="1"/>
  <c r="Q1575" i="1"/>
  <c r="O1575" i="1"/>
  <c r="M1575" i="1"/>
  <c r="L1575" i="1"/>
  <c r="K1575" i="1"/>
  <c r="F1575" i="1"/>
  <c r="F1575" i="1" a="1"/>
  <c r="W1574" i="1"/>
  <c r="W1574" i="1" a="1"/>
  <c r="V1574" i="1"/>
  <c r="U1574" i="1"/>
  <c r="Q1574" i="1"/>
  <c r="O1574" i="1"/>
  <c r="M1574" i="1"/>
  <c r="L1574" i="1"/>
  <c r="K1574" i="1"/>
  <c r="F1574" i="1"/>
  <c r="F1574" i="1" a="1"/>
  <c r="W1573" i="1"/>
  <c r="W1573" i="1" a="1"/>
  <c r="V1573" i="1"/>
  <c r="U1573" i="1"/>
  <c r="Q1573" i="1"/>
  <c r="O1573" i="1"/>
  <c r="M1573" i="1"/>
  <c r="L1573" i="1"/>
  <c r="K1573" i="1"/>
  <c r="F1573" i="1"/>
  <c r="F1573" i="1" a="1"/>
  <c r="W1572" i="1"/>
  <c r="W1572" i="1" a="1"/>
  <c r="V1572" i="1"/>
  <c r="U1572" i="1"/>
  <c r="Q1572" i="1"/>
  <c r="O1572" i="1"/>
  <c r="M1572" i="1"/>
  <c r="L1572" i="1"/>
  <c r="K1572" i="1"/>
  <c r="F1572" i="1"/>
  <c r="F1572" i="1" a="1"/>
  <c r="W1571" i="1"/>
  <c r="W1571" i="1" a="1"/>
  <c r="V1571" i="1"/>
  <c r="U1571" i="1"/>
  <c r="Q1571" i="1"/>
  <c r="O1571" i="1"/>
  <c r="M1571" i="1"/>
  <c r="L1571" i="1"/>
  <c r="K1571" i="1"/>
  <c r="F1571" i="1"/>
  <c r="F1571" i="1" a="1"/>
  <c r="W1570" i="1"/>
  <c r="W1570" i="1" a="1"/>
  <c r="V1570" i="1"/>
  <c r="U1570" i="1"/>
  <c r="Q1570" i="1"/>
  <c r="O1570" i="1"/>
  <c r="M1570" i="1"/>
  <c r="L1570" i="1"/>
  <c r="K1570" i="1"/>
  <c r="F1570" i="1"/>
  <c r="F1570" i="1" a="1"/>
  <c r="W1569" i="1"/>
  <c r="W1569" i="1" a="1"/>
  <c r="V1569" i="1"/>
  <c r="U1569" i="1"/>
  <c r="Q1569" i="1"/>
  <c r="O1569" i="1"/>
  <c r="M1569" i="1"/>
  <c r="L1569" i="1"/>
  <c r="K1569" i="1"/>
  <c r="F1569" i="1"/>
  <c r="F1569" i="1" a="1"/>
  <c r="W1568" i="1"/>
  <c r="W1568" i="1" a="1"/>
  <c r="V1568" i="1"/>
  <c r="U1568" i="1"/>
  <c r="Q1568" i="1"/>
  <c r="O1568" i="1"/>
  <c r="M1568" i="1"/>
  <c r="L1568" i="1"/>
  <c r="K1568" i="1"/>
  <c r="F1568" i="1"/>
  <c r="F1568" i="1" a="1"/>
  <c r="W1567" i="1"/>
  <c r="W1567" i="1" a="1"/>
  <c r="V1567" i="1"/>
  <c r="U1567" i="1"/>
  <c r="Q1567" i="1"/>
  <c r="O1567" i="1"/>
  <c r="M1567" i="1"/>
  <c r="L1567" i="1"/>
  <c r="K1567" i="1"/>
  <c r="F1567" i="1"/>
  <c r="F1567" i="1" a="1"/>
  <c r="W1566" i="1"/>
  <c r="W1566" i="1" a="1"/>
  <c r="V1566" i="1"/>
  <c r="U1566" i="1"/>
  <c r="Q1566" i="1"/>
  <c r="O1566" i="1"/>
  <c r="M1566" i="1"/>
  <c r="L1566" i="1"/>
  <c r="K1566" i="1"/>
  <c r="F1566" i="1"/>
  <c r="F1566" i="1" a="1"/>
  <c r="W1565" i="1"/>
  <c r="W1565" i="1" a="1"/>
  <c r="V1565" i="1"/>
  <c r="U1565" i="1"/>
  <c r="Q1565" i="1"/>
  <c r="O1565" i="1"/>
  <c r="M1565" i="1"/>
  <c r="L1565" i="1"/>
  <c r="K1565" i="1"/>
  <c r="F1565" i="1"/>
  <c r="F1565" i="1" a="1"/>
  <c r="W1564" i="1"/>
  <c r="W1564" i="1" a="1"/>
  <c r="V1564" i="1"/>
  <c r="U1564" i="1"/>
  <c r="Q1564" i="1"/>
  <c r="O1564" i="1"/>
  <c r="M1564" i="1"/>
  <c r="L1564" i="1"/>
  <c r="K1564" i="1"/>
  <c r="F1564" i="1"/>
  <c r="F1564" i="1" a="1"/>
  <c r="W1563" i="1"/>
  <c r="W1563" i="1" a="1"/>
  <c r="V1563" i="1"/>
  <c r="U1563" i="1"/>
  <c r="Q1563" i="1"/>
  <c r="O1563" i="1"/>
  <c r="M1563" i="1"/>
  <c r="L1563" i="1"/>
  <c r="K1563" i="1"/>
  <c r="F1563" i="1"/>
  <c r="F1563" i="1" a="1"/>
  <c r="W1562" i="1"/>
  <c r="W1562" i="1" a="1"/>
  <c r="V1562" i="1"/>
  <c r="U1562" i="1"/>
  <c r="Q1562" i="1"/>
  <c r="O1562" i="1"/>
  <c r="M1562" i="1"/>
  <c r="L1562" i="1"/>
  <c r="K1562" i="1"/>
  <c r="F1562" i="1"/>
  <c r="F1562" i="1" a="1"/>
  <c r="W1561" i="1"/>
  <c r="W1561" i="1" a="1"/>
  <c r="V1561" i="1"/>
  <c r="U1561" i="1"/>
  <c r="Q1561" i="1"/>
  <c r="O1561" i="1"/>
  <c r="M1561" i="1"/>
  <c r="L1561" i="1"/>
  <c r="K1561" i="1"/>
  <c r="F1561" i="1"/>
  <c r="F1561" i="1" a="1"/>
  <c r="W1560" i="1"/>
  <c r="W1560" i="1" a="1"/>
  <c r="V1560" i="1"/>
  <c r="U1560" i="1"/>
  <c r="Q1560" i="1"/>
  <c r="O1560" i="1"/>
  <c r="M1560" i="1"/>
  <c r="L1560" i="1"/>
  <c r="K1560" i="1"/>
  <c r="F1560" i="1"/>
  <c r="F1560" i="1" a="1"/>
  <c r="W1559" i="1"/>
  <c r="W1559" i="1" a="1"/>
  <c r="V1559" i="1"/>
  <c r="U1559" i="1"/>
  <c r="Q1559" i="1"/>
  <c r="O1559" i="1"/>
  <c r="M1559" i="1"/>
  <c r="L1559" i="1"/>
  <c r="K1559" i="1"/>
  <c r="F1559" i="1"/>
  <c r="F1559" i="1" a="1"/>
  <c r="W1558" i="1"/>
  <c r="W1558" i="1" a="1"/>
  <c r="V1558" i="1"/>
  <c r="U1558" i="1"/>
  <c r="Q1558" i="1"/>
  <c r="O1558" i="1"/>
  <c r="M1558" i="1"/>
  <c r="L1558" i="1"/>
  <c r="K1558" i="1"/>
  <c r="F1558" i="1"/>
  <c r="F1558" i="1" a="1"/>
  <c r="W1557" i="1"/>
  <c r="W1557" i="1" a="1"/>
  <c r="V1557" i="1"/>
  <c r="U1557" i="1"/>
  <c r="Q1557" i="1"/>
  <c r="O1557" i="1"/>
  <c r="M1557" i="1"/>
  <c r="L1557" i="1"/>
  <c r="K1557" i="1"/>
  <c r="F1557" i="1"/>
  <c r="F1557" i="1" a="1"/>
  <c r="W1556" i="1"/>
  <c r="W1556" i="1" a="1"/>
  <c r="V1556" i="1"/>
  <c r="U1556" i="1"/>
  <c r="Q1556" i="1"/>
  <c r="O1556" i="1"/>
  <c r="M1556" i="1"/>
  <c r="L1556" i="1"/>
  <c r="K1556" i="1"/>
  <c r="F1556" i="1"/>
  <c r="F1556" i="1" a="1"/>
  <c r="W1555" i="1"/>
  <c r="W1555" i="1" a="1"/>
  <c r="V1555" i="1"/>
  <c r="U1555" i="1"/>
  <c r="Q1555" i="1"/>
  <c r="O1555" i="1"/>
  <c r="M1555" i="1"/>
  <c r="L1555" i="1"/>
  <c r="K1555" i="1"/>
  <c r="F1555" i="1"/>
  <c r="F1555" i="1" a="1"/>
  <c r="W1554" i="1"/>
  <c r="W1554" i="1" a="1"/>
  <c r="V1554" i="1"/>
  <c r="U1554" i="1"/>
  <c r="Q1554" i="1"/>
  <c r="O1554" i="1"/>
  <c r="M1554" i="1"/>
  <c r="L1554" i="1"/>
  <c r="K1554" i="1"/>
  <c r="F1554" i="1"/>
  <c r="F1554" i="1" a="1"/>
  <c r="W1553" i="1"/>
  <c r="W1553" i="1" a="1"/>
  <c r="V1553" i="1"/>
  <c r="U1553" i="1"/>
  <c r="Q1553" i="1"/>
  <c r="O1553" i="1"/>
  <c r="M1553" i="1"/>
  <c r="L1553" i="1"/>
  <c r="K1553" i="1"/>
  <c r="F1553" i="1"/>
  <c r="F1553" i="1" a="1"/>
  <c r="W1552" i="1"/>
  <c r="W1552" i="1" a="1"/>
  <c r="V1552" i="1"/>
  <c r="U1552" i="1"/>
  <c r="Q1552" i="1"/>
  <c r="O1552" i="1"/>
  <c r="M1552" i="1"/>
  <c r="L1552" i="1"/>
  <c r="K1552" i="1"/>
  <c r="F1552" i="1"/>
  <c r="F1552" i="1" a="1"/>
  <c r="W1551" i="1"/>
  <c r="W1551" i="1" a="1"/>
  <c r="V1551" i="1"/>
  <c r="U1551" i="1"/>
  <c r="Q1551" i="1"/>
  <c r="O1551" i="1"/>
  <c r="M1551" i="1"/>
  <c r="L1551" i="1"/>
  <c r="K1551" i="1"/>
  <c r="F1551" i="1"/>
  <c r="F1551" i="1" a="1"/>
  <c r="W1550" i="1"/>
  <c r="W1550" i="1" a="1"/>
  <c r="V1550" i="1"/>
  <c r="U1550" i="1"/>
  <c r="Q1550" i="1"/>
  <c r="O1550" i="1"/>
  <c r="M1550" i="1"/>
  <c r="L1550" i="1"/>
  <c r="K1550" i="1"/>
  <c r="F1550" i="1"/>
  <c r="F1550" i="1" a="1"/>
  <c r="W1549" i="1"/>
  <c r="W1549" i="1" a="1"/>
  <c r="V1549" i="1"/>
  <c r="U1549" i="1"/>
  <c r="Q1549" i="1"/>
  <c r="O1549" i="1"/>
  <c r="M1549" i="1"/>
  <c r="L1549" i="1"/>
  <c r="K1549" i="1"/>
  <c r="F1549" i="1"/>
  <c r="F1549" i="1" a="1"/>
  <c r="W1548" i="1"/>
  <c r="W1548" i="1" a="1"/>
  <c r="V1548" i="1"/>
  <c r="U1548" i="1"/>
  <c r="Q1548" i="1"/>
  <c r="O1548" i="1"/>
  <c r="M1548" i="1"/>
  <c r="L1548" i="1"/>
  <c r="K1548" i="1"/>
  <c r="F1548" i="1"/>
  <c r="F1548" i="1" a="1"/>
  <c r="W1547" i="1"/>
  <c r="W1547" i="1" a="1"/>
  <c r="V1547" i="1"/>
  <c r="U1547" i="1"/>
  <c r="Q1547" i="1"/>
  <c r="O1547" i="1"/>
  <c r="M1547" i="1"/>
  <c r="L1547" i="1"/>
  <c r="K1547" i="1"/>
  <c r="F1547" i="1"/>
  <c r="F1547" i="1" a="1"/>
  <c r="W1546" i="1"/>
  <c r="W1546" i="1" a="1"/>
  <c r="V1546" i="1"/>
  <c r="U1546" i="1"/>
  <c r="Q1546" i="1"/>
  <c r="O1546" i="1"/>
  <c r="M1546" i="1"/>
  <c r="L1546" i="1"/>
  <c r="K1546" i="1"/>
  <c r="F1546" i="1"/>
  <c r="F1546" i="1" a="1"/>
  <c r="W1545" i="1"/>
  <c r="W1545" i="1" a="1"/>
  <c r="V1545" i="1"/>
  <c r="U1545" i="1"/>
  <c r="Q1545" i="1"/>
  <c r="O1545" i="1"/>
  <c r="M1545" i="1"/>
  <c r="L1545" i="1"/>
  <c r="K1545" i="1"/>
  <c r="F1545" i="1"/>
  <c r="F1545" i="1" a="1"/>
  <c r="W1544" i="1"/>
  <c r="W1544" i="1" a="1"/>
  <c r="V1544" i="1"/>
  <c r="U1544" i="1"/>
  <c r="Q1544" i="1"/>
  <c r="O1544" i="1"/>
  <c r="M1544" i="1"/>
  <c r="L1544" i="1"/>
  <c r="K1544" i="1"/>
  <c r="F1544" i="1"/>
  <c r="F1544" i="1" a="1"/>
  <c r="W1543" i="1"/>
  <c r="W1543" i="1" a="1"/>
  <c r="V1543" i="1"/>
  <c r="U1543" i="1"/>
  <c r="Q1543" i="1"/>
  <c r="O1543" i="1"/>
  <c r="M1543" i="1"/>
  <c r="L1543" i="1"/>
  <c r="K1543" i="1"/>
  <c r="F1543" i="1"/>
  <c r="F1543" i="1" a="1"/>
  <c r="W1542" i="1"/>
  <c r="W1542" i="1" a="1"/>
  <c r="V1542" i="1"/>
  <c r="U1542" i="1"/>
  <c r="Q1542" i="1"/>
  <c r="O1542" i="1"/>
  <c r="M1542" i="1"/>
  <c r="L1542" i="1"/>
  <c r="K1542" i="1"/>
  <c r="F1542" i="1"/>
  <c r="F1542" i="1" a="1"/>
  <c r="W1541" i="1"/>
  <c r="W1541" i="1" a="1"/>
  <c r="V1541" i="1"/>
  <c r="U1541" i="1"/>
  <c r="Q1541" i="1"/>
  <c r="O1541" i="1"/>
  <c r="M1541" i="1"/>
  <c r="L1541" i="1"/>
  <c r="K1541" i="1"/>
  <c r="F1541" i="1"/>
  <c r="F1541" i="1" a="1"/>
  <c r="W1540" i="1"/>
  <c r="W1540" i="1" a="1"/>
  <c r="V1540" i="1"/>
  <c r="U1540" i="1"/>
  <c r="Q1540" i="1"/>
  <c r="O1540" i="1"/>
  <c r="M1540" i="1"/>
  <c r="L1540" i="1"/>
  <c r="K1540" i="1"/>
  <c r="F1540" i="1"/>
  <c r="F1540" i="1" a="1"/>
  <c r="W1539" i="1"/>
  <c r="W1539" i="1" a="1"/>
  <c r="V1539" i="1"/>
  <c r="U1539" i="1"/>
  <c r="Q1539" i="1"/>
  <c r="O1539" i="1"/>
  <c r="M1539" i="1"/>
  <c r="L1539" i="1"/>
  <c r="K1539" i="1"/>
  <c r="F1539" i="1"/>
  <c r="F1539" i="1" a="1"/>
  <c r="W1538" i="1"/>
  <c r="W1538" i="1" a="1"/>
  <c r="V1538" i="1"/>
  <c r="U1538" i="1"/>
  <c r="Q1538" i="1"/>
  <c r="O1538" i="1"/>
  <c r="M1538" i="1"/>
  <c r="L1538" i="1"/>
  <c r="K1538" i="1"/>
  <c r="F1538" i="1"/>
  <c r="F1538" i="1" a="1"/>
  <c r="W1537" i="1"/>
  <c r="W1537" i="1" a="1"/>
  <c r="V1537" i="1"/>
  <c r="U1537" i="1"/>
  <c r="Q1537" i="1"/>
  <c r="O1537" i="1"/>
  <c r="M1537" i="1"/>
  <c r="L1537" i="1"/>
  <c r="K1537" i="1"/>
  <c r="F1537" i="1"/>
  <c r="F1537" i="1" a="1"/>
  <c r="W1536" i="1"/>
  <c r="W1536" i="1" a="1"/>
  <c r="V1536" i="1"/>
  <c r="U1536" i="1"/>
  <c r="Q1536" i="1"/>
  <c r="O1536" i="1"/>
  <c r="M1536" i="1"/>
  <c r="L1536" i="1"/>
  <c r="K1536" i="1"/>
  <c r="F1536" i="1"/>
  <c r="F1536" i="1" a="1"/>
  <c r="W1535" i="1"/>
  <c r="W1535" i="1" a="1"/>
  <c r="V1535" i="1"/>
  <c r="U1535" i="1"/>
  <c r="Q1535" i="1"/>
  <c r="O1535" i="1"/>
  <c r="M1535" i="1"/>
  <c r="L1535" i="1"/>
  <c r="K1535" i="1"/>
  <c r="F1535" i="1"/>
  <c r="F1535" i="1" a="1"/>
  <c r="W1534" i="1"/>
  <c r="W1534" i="1" a="1"/>
  <c r="V1534" i="1"/>
  <c r="U1534" i="1"/>
  <c r="Q1534" i="1"/>
  <c r="O1534" i="1"/>
  <c r="M1534" i="1"/>
  <c r="L1534" i="1"/>
  <c r="K1534" i="1"/>
  <c r="F1534" i="1"/>
  <c r="F1534" i="1" a="1"/>
  <c r="W1533" i="1"/>
  <c r="W1533" i="1" a="1"/>
  <c r="V1533" i="1"/>
  <c r="U1533" i="1"/>
  <c r="Q1533" i="1"/>
  <c r="O1533" i="1"/>
  <c r="M1533" i="1"/>
  <c r="L1533" i="1"/>
  <c r="K1533" i="1"/>
  <c r="F1533" i="1"/>
  <c r="F1533" i="1" a="1"/>
  <c r="W1532" i="1"/>
  <c r="W1532" i="1" a="1"/>
  <c r="V1532" i="1"/>
  <c r="U1532" i="1"/>
  <c r="Q1532" i="1"/>
  <c r="O1532" i="1"/>
  <c r="M1532" i="1"/>
  <c r="L1532" i="1"/>
  <c r="K1532" i="1"/>
  <c r="F1532" i="1"/>
  <c r="F1532" i="1" a="1"/>
  <c r="W1531" i="1"/>
  <c r="W1531" i="1" a="1"/>
  <c r="V1531" i="1"/>
  <c r="U1531" i="1"/>
  <c r="Q1531" i="1"/>
  <c r="O1531" i="1"/>
  <c r="M1531" i="1"/>
  <c r="L1531" i="1"/>
  <c r="K1531" i="1"/>
  <c r="F1531" i="1"/>
  <c r="F1531" i="1" a="1"/>
  <c r="W1530" i="1"/>
  <c r="W1530" i="1" a="1"/>
  <c r="V1530" i="1"/>
  <c r="U1530" i="1"/>
  <c r="Q1530" i="1"/>
  <c r="O1530" i="1"/>
  <c r="M1530" i="1"/>
  <c r="L1530" i="1"/>
  <c r="K1530" i="1"/>
  <c r="F1530" i="1"/>
  <c r="F1530" i="1" a="1"/>
  <c r="W1529" i="1"/>
  <c r="W1529" i="1" a="1"/>
  <c r="V1529" i="1"/>
  <c r="U1529" i="1"/>
  <c r="Q1529" i="1"/>
  <c r="O1529" i="1"/>
  <c r="M1529" i="1"/>
  <c r="L1529" i="1"/>
  <c r="K1529" i="1"/>
  <c r="F1529" i="1"/>
  <c r="F1529" i="1" a="1"/>
  <c r="W1528" i="1"/>
  <c r="W1528" i="1" a="1"/>
  <c r="V1528" i="1"/>
  <c r="U1528" i="1"/>
  <c r="Q1528" i="1"/>
  <c r="O1528" i="1"/>
  <c r="M1528" i="1"/>
  <c r="L1528" i="1"/>
  <c r="K1528" i="1"/>
  <c r="F1528" i="1"/>
  <c r="F1528" i="1" a="1"/>
  <c r="W1527" i="1"/>
  <c r="W1527" i="1" a="1"/>
  <c r="V1527" i="1"/>
  <c r="U1527" i="1"/>
  <c r="Q1527" i="1"/>
  <c r="O1527" i="1"/>
  <c r="M1527" i="1"/>
  <c r="L1527" i="1"/>
  <c r="K1527" i="1"/>
  <c r="F1527" i="1"/>
  <c r="F1527" i="1" a="1"/>
  <c r="W1526" i="1"/>
  <c r="W1526" i="1" a="1"/>
  <c r="V1526" i="1"/>
  <c r="U1526" i="1"/>
  <c r="Q1526" i="1"/>
  <c r="O1526" i="1"/>
  <c r="M1526" i="1"/>
  <c r="L1526" i="1"/>
  <c r="K1526" i="1"/>
  <c r="F1526" i="1"/>
  <c r="F1526" i="1" a="1"/>
  <c r="W1525" i="1"/>
  <c r="W1525" i="1" a="1"/>
  <c r="V1525" i="1"/>
  <c r="U1525" i="1"/>
  <c r="Q1525" i="1"/>
  <c r="O1525" i="1"/>
  <c r="M1525" i="1"/>
  <c r="L1525" i="1"/>
  <c r="K1525" i="1"/>
  <c r="F1525" i="1"/>
  <c r="F1525" i="1" a="1"/>
  <c r="W1524" i="1"/>
  <c r="W1524" i="1" a="1"/>
  <c r="V1524" i="1"/>
  <c r="U1524" i="1"/>
  <c r="Q1524" i="1"/>
  <c r="O1524" i="1"/>
  <c r="M1524" i="1"/>
  <c r="L1524" i="1"/>
  <c r="K1524" i="1"/>
  <c r="F1524" i="1"/>
  <c r="F1524" i="1" a="1"/>
  <c r="W1523" i="1"/>
  <c r="W1523" i="1" a="1"/>
  <c r="V1523" i="1"/>
  <c r="U1523" i="1"/>
  <c r="Q1523" i="1"/>
  <c r="O1523" i="1"/>
  <c r="M1523" i="1"/>
  <c r="L1523" i="1"/>
  <c r="K1523" i="1"/>
  <c r="F1523" i="1"/>
  <c r="F1523" i="1" a="1"/>
  <c r="W1522" i="1"/>
  <c r="W1522" i="1" a="1"/>
  <c r="V1522" i="1"/>
  <c r="U1522" i="1"/>
  <c r="Q1522" i="1"/>
  <c r="O1522" i="1"/>
  <c r="M1522" i="1"/>
  <c r="L1522" i="1"/>
  <c r="K1522" i="1"/>
  <c r="F1522" i="1"/>
  <c r="F1522" i="1" a="1"/>
  <c r="W1521" i="1"/>
  <c r="W1521" i="1" a="1"/>
  <c r="V1521" i="1"/>
  <c r="U1521" i="1"/>
  <c r="Q1521" i="1"/>
  <c r="O1521" i="1"/>
  <c r="M1521" i="1"/>
  <c r="L1521" i="1"/>
  <c r="K1521" i="1"/>
  <c r="F1521" i="1"/>
  <c r="F1521" i="1" a="1"/>
  <c r="W1520" i="1"/>
  <c r="W1520" i="1" a="1"/>
  <c r="V1520" i="1"/>
  <c r="U1520" i="1"/>
  <c r="Q1520" i="1"/>
  <c r="O1520" i="1"/>
  <c r="M1520" i="1"/>
  <c r="L1520" i="1"/>
  <c r="K1520" i="1"/>
  <c r="F1520" i="1"/>
  <c r="F1520" i="1" a="1"/>
  <c r="W1519" i="1"/>
  <c r="W1519" i="1" a="1"/>
  <c r="V1519" i="1"/>
  <c r="U1519" i="1"/>
  <c r="Q1519" i="1"/>
  <c r="O1519" i="1"/>
  <c r="M1519" i="1"/>
  <c r="L1519" i="1"/>
  <c r="K1519" i="1"/>
  <c r="F1519" i="1"/>
  <c r="F1519" i="1" a="1"/>
  <c r="W1518" i="1"/>
  <c r="W1518" i="1" a="1"/>
  <c r="V1518" i="1"/>
  <c r="U1518" i="1"/>
  <c r="Q1518" i="1"/>
  <c r="O1518" i="1"/>
  <c r="M1518" i="1"/>
  <c r="L1518" i="1"/>
  <c r="K1518" i="1"/>
  <c r="F1518" i="1"/>
  <c r="F1518" i="1" a="1"/>
  <c r="W1517" i="1"/>
  <c r="W1517" i="1" a="1"/>
  <c r="V1517" i="1"/>
  <c r="U1517" i="1"/>
  <c r="Q1517" i="1"/>
  <c r="O1517" i="1"/>
  <c r="M1517" i="1"/>
  <c r="L1517" i="1"/>
  <c r="K1517" i="1"/>
  <c r="F1517" i="1"/>
  <c r="F1517" i="1" a="1"/>
  <c r="W1516" i="1"/>
  <c r="W1516" i="1" a="1"/>
  <c r="V1516" i="1"/>
  <c r="U1516" i="1"/>
  <c r="Q1516" i="1"/>
  <c r="O1516" i="1"/>
  <c r="M1516" i="1"/>
  <c r="L1516" i="1"/>
  <c r="K1516" i="1"/>
  <c r="F1516" i="1"/>
  <c r="F1516" i="1" a="1"/>
  <c r="W1515" i="1"/>
  <c r="W1515" i="1" a="1"/>
  <c r="V1515" i="1"/>
  <c r="U1515" i="1"/>
  <c r="Q1515" i="1"/>
  <c r="O1515" i="1"/>
  <c r="M1515" i="1"/>
  <c r="L1515" i="1"/>
  <c r="K1515" i="1"/>
  <c r="F1515" i="1"/>
  <c r="F1515" i="1" a="1"/>
  <c r="W1514" i="1"/>
  <c r="W1514" i="1" a="1"/>
  <c r="V1514" i="1"/>
  <c r="U1514" i="1"/>
  <c r="Q1514" i="1"/>
  <c r="O1514" i="1"/>
  <c r="M1514" i="1"/>
  <c r="L1514" i="1"/>
  <c r="K1514" i="1"/>
  <c r="F1514" i="1"/>
  <c r="F1514" i="1" a="1"/>
  <c r="W1513" i="1"/>
  <c r="W1513" i="1" a="1"/>
  <c r="V1513" i="1"/>
  <c r="U1513" i="1"/>
  <c r="Q1513" i="1"/>
  <c r="O1513" i="1"/>
  <c r="M1513" i="1"/>
  <c r="L1513" i="1"/>
  <c r="K1513" i="1"/>
  <c r="F1513" i="1"/>
  <c r="F1513" i="1" a="1"/>
  <c r="W1512" i="1"/>
  <c r="W1512" i="1" a="1"/>
  <c r="V1512" i="1"/>
  <c r="U1512" i="1"/>
  <c r="Q1512" i="1"/>
  <c r="O1512" i="1"/>
  <c r="M1512" i="1"/>
  <c r="L1512" i="1"/>
  <c r="K1512" i="1"/>
  <c r="F1512" i="1"/>
  <c r="F1512" i="1" a="1"/>
  <c r="W1511" i="1"/>
  <c r="W1511" i="1" a="1"/>
  <c r="V1511" i="1"/>
  <c r="U1511" i="1"/>
  <c r="Q1511" i="1"/>
  <c r="O1511" i="1"/>
  <c r="M1511" i="1"/>
  <c r="L1511" i="1"/>
  <c r="K1511" i="1"/>
  <c r="F1511" i="1"/>
  <c r="F1511" i="1" a="1"/>
  <c r="W1510" i="1"/>
  <c r="W1510" i="1" a="1"/>
  <c r="V1510" i="1"/>
  <c r="U1510" i="1"/>
  <c r="Q1510" i="1"/>
  <c r="O1510" i="1"/>
  <c r="M1510" i="1"/>
  <c r="L1510" i="1"/>
  <c r="K1510" i="1"/>
  <c r="F1510" i="1"/>
  <c r="F1510" i="1" a="1"/>
  <c r="W1509" i="1"/>
  <c r="W1509" i="1" a="1"/>
  <c r="V1509" i="1"/>
  <c r="U1509" i="1"/>
  <c r="Q1509" i="1"/>
  <c r="O1509" i="1"/>
  <c r="M1509" i="1"/>
  <c r="L1509" i="1"/>
  <c r="K1509" i="1"/>
  <c r="F1509" i="1"/>
  <c r="F1509" i="1" a="1"/>
  <c r="W1508" i="1"/>
  <c r="W1508" i="1" a="1"/>
  <c r="V1508" i="1"/>
  <c r="U1508" i="1"/>
  <c r="Q1508" i="1"/>
  <c r="O1508" i="1"/>
  <c r="M1508" i="1"/>
  <c r="L1508" i="1"/>
  <c r="K1508" i="1"/>
  <c r="F1508" i="1"/>
  <c r="F1508" i="1" a="1"/>
  <c r="W1507" i="1"/>
  <c r="W1507" i="1" a="1"/>
  <c r="V1507" i="1"/>
  <c r="U1507" i="1"/>
  <c r="Q1507" i="1"/>
  <c r="O1507" i="1"/>
  <c r="M1507" i="1"/>
  <c r="L1507" i="1"/>
  <c r="K1507" i="1"/>
  <c r="F1507" i="1"/>
  <c r="F1507" i="1" a="1"/>
  <c r="W1506" i="1"/>
  <c r="W1506" i="1" a="1"/>
  <c r="V1506" i="1"/>
  <c r="U1506" i="1"/>
  <c r="Q1506" i="1"/>
  <c r="O1506" i="1"/>
  <c r="M1506" i="1"/>
  <c r="L1506" i="1"/>
  <c r="K1506" i="1"/>
  <c r="F1506" i="1"/>
  <c r="F1506" i="1" a="1"/>
  <c r="W1505" i="1"/>
  <c r="W1505" i="1" a="1"/>
  <c r="V1505" i="1"/>
  <c r="U1505" i="1"/>
  <c r="Q1505" i="1"/>
  <c r="O1505" i="1"/>
  <c r="M1505" i="1"/>
  <c r="L1505" i="1"/>
  <c r="K1505" i="1"/>
  <c r="F1505" i="1"/>
  <c r="F1505" i="1" a="1"/>
  <c r="W1504" i="1"/>
  <c r="W1504" i="1" a="1"/>
  <c r="V1504" i="1"/>
  <c r="U1504" i="1"/>
  <c r="Q1504" i="1"/>
  <c r="O1504" i="1"/>
  <c r="M1504" i="1"/>
  <c r="L1504" i="1"/>
  <c r="K1504" i="1"/>
  <c r="F1504" i="1"/>
  <c r="F1504" i="1" a="1"/>
  <c r="W1503" i="1"/>
  <c r="W1503" i="1" a="1"/>
  <c r="V1503" i="1"/>
  <c r="U1503" i="1"/>
  <c r="Q1503" i="1"/>
  <c r="O1503" i="1"/>
  <c r="M1503" i="1"/>
  <c r="L1503" i="1"/>
  <c r="K1503" i="1"/>
  <c r="F1503" i="1"/>
  <c r="F1503" i="1" a="1"/>
  <c r="W1502" i="1"/>
  <c r="W1502" i="1" a="1"/>
  <c r="V1502" i="1"/>
  <c r="U1502" i="1"/>
  <c r="Q1502" i="1"/>
  <c r="O1502" i="1"/>
  <c r="M1502" i="1"/>
  <c r="L1502" i="1"/>
  <c r="K1502" i="1"/>
  <c r="F1502" i="1"/>
  <c r="F1502" i="1" a="1"/>
  <c r="W1501" i="1"/>
  <c r="W1501" i="1" a="1"/>
  <c r="V1501" i="1"/>
  <c r="U1501" i="1"/>
  <c r="Q1501" i="1"/>
  <c r="O1501" i="1"/>
  <c r="M1501" i="1"/>
  <c r="L1501" i="1"/>
  <c r="K1501" i="1"/>
  <c r="F1501" i="1"/>
  <c r="F1501" i="1" a="1"/>
  <c r="W1500" i="1"/>
  <c r="W1500" i="1" a="1"/>
  <c r="V1500" i="1"/>
  <c r="U1500" i="1"/>
  <c r="Q1500" i="1"/>
  <c r="O1500" i="1"/>
  <c r="M1500" i="1"/>
  <c r="L1500" i="1"/>
  <c r="K1500" i="1"/>
  <c r="F1500" i="1"/>
  <c r="F1500" i="1" a="1"/>
  <c r="W1499" i="1"/>
  <c r="W1499" i="1" a="1"/>
  <c r="V1499" i="1"/>
  <c r="U1499" i="1"/>
  <c r="Q1499" i="1"/>
  <c r="O1499" i="1"/>
  <c r="M1499" i="1"/>
  <c r="L1499" i="1"/>
  <c r="K1499" i="1"/>
  <c r="F1499" i="1"/>
  <c r="F1499" i="1" a="1"/>
  <c r="W1498" i="1"/>
  <c r="W1498" i="1" a="1"/>
  <c r="V1498" i="1"/>
  <c r="U1498" i="1"/>
  <c r="Q1498" i="1"/>
  <c r="O1498" i="1"/>
  <c r="M1498" i="1"/>
  <c r="L1498" i="1"/>
  <c r="K1498" i="1"/>
  <c r="F1498" i="1"/>
  <c r="F1498" i="1" a="1"/>
  <c r="W1497" i="1"/>
  <c r="W1497" i="1" a="1"/>
  <c r="V1497" i="1"/>
  <c r="U1497" i="1"/>
  <c r="Q1497" i="1"/>
  <c r="O1497" i="1"/>
  <c r="M1497" i="1"/>
  <c r="L1497" i="1"/>
  <c r="K1497" i="1"/>
  <c r="F1497" i="1"/>
  <c r="F1497" i="1" a="1"/>
  <c r="W1496" i="1"/>
  <c r="W1496" i="1" a="1"/>
  <c r="V1496" i="1"/>
  <c r="U1496" i="1"/>
  <c r="Q1496" i="1"/>
  <c r="O1496" i="1"/>
  <c r="M1496" i="1"/>
  <c r="L1496" i="1"/>
  <c r="K1496" i="1"/>
  <c r="F1496" i="1"/>
  <c r="F1496" i="1" a="1"/>
  <c r="W1495" i="1"/>
  <c r="W1495" i="1" a="1"/>
  <c r="V1495" i="1"/>
  <c r="U1495" i="1"/>
  <c r="Q1495" i="1"/>
  <c r="O1495" i="1"/>
  <c r="M1495" i="1"/>
  <c r="L1495" i="1"/>
  <c r="K1495" i="1"/>
  <c r="F1495" i="1"/>
  <c r="F1495" i="1" a="1"/>
  <c r="W1494" i="1"/>
  <c r="W1494" i="1" a="1"/>
  <c r="V1494" i="1"/>
  <c r="U1494" i="1"/>
  <c r="Q1494" i="1"/>
  <c r="O1494" i="1"/>
  <c r="M1494" i="1"/>
  <c r="L1494" i="1"/>
  <c r="K1494" i="1"/>
  <c r="F1494" i="1"/>
  <c r="F1494" i="1" a="1"/>
  <c r="W1493" i="1"/>
  <c r="W1493" i="1" a="1"/>
  <c r="V1493" i="1"/>
  <c r="U1493" i="1"/>
  <c r="Q1493" i="1"/>
  <c r="O1493" i="1"/>
  <c r="M1493" i="1"/>
  <c r="L1493" i="1"/>
  <c r="K1493" i="1"/>
  <c r="F1493" i="1"/>
  <c r="F1493" i="1" a="1"/>
  <c r="W1492" i="1"/>
  <c r="W1492" i="1" a="1"/>
  <c r="V1492" i="1"/>
  <c r="U1492" i="1"/>
  <c r="Q1492" i="1"/>
  <c r="O1492" i="1"/>
  <c r="M1492" i="1"/>
  <c r="L1492" i="1"/>
  <c r="K1492" i="1"/>
  <c r="F1492" i="1"/>
  <c r="F1492" i="1" a="1"/>
  <c r="W1491" i="1"/>
  <c r="W1491" i="1" a="1"/>
  <c r="V1491" i="1"/>
  <c r="U1491" i="1"/>
  <c r="Q1491" i="1"/>
  <c r="O1491" i="1"/>
  <c r="M1491" i="1"/>
  <c r="L1491" i="1"/>
  <c r="K1491" i="1"/>
  <c r="F1491" i="1"/>
  <c r="F1491" i="1" a="1"/>
  <c r="W1490" i="1"/>
  <c r="W1490" i="1" a="1"/>
  <c r="V1490" i="1"/>
  <c r="U1490" i="1"/>
  <c r="Q1490" i="1"/>
  <c r="O1490" i="1"/>
  <c r="M1490" i="1"/>
  <c r="L1490" i="1"/>
  <c r="K1490" i="1"/>
  <c r="F1490" i="1"/>
  <c r="F1490" i="1" a="1"/>
  <c r="W1489" i="1"/>
  <c r="W1489" i="1" a="1"/>
  <c r="V1489" i="1"/>
  <c r="U1489" i="1"/>
  <c r="Q1489" i="1"/>
  <c r="O1489" i="1"/>
  <c r="M1489" i="1"/>
  <c r="L1489" i="1"/>
  <c r="K1489" i="1"/>
  <c r="F1489" i="1"/>
  <c r="F1489" i="1" a="1"/>
  <c r="W1488" i="1"/>
  <c r="W1488" i="1" a="1"/>
  <c r="V1488" i="1"/>
  <c r="U1488" i="1"/>
  <c r="Q1488" i="1"/>
  <c r="O1488" i="1"/>
  <c r="M1488" i="1"/>
  <c r="L1488" i="1"/>
  <c r="K1488" i="1"/>
  <c r="F1488" i="1"/>
  <c r="F1488" i="1" a="1"/>
  <c r="W1487" i="1"/>
  <c r="W1487" i="1" a="1"/>
  <c r="V1487" i="1"/>
  <c r="U1487" i="1"/>
  <c r="Q1487" i="1"/>
  <c r="O1487" i="1"/>
  <c r="M1487" i="1"/>
  <c r="L1487" i="1"/>
  <c r="K1487" i="1"/>
  <c r="F1487" i="1"/>
  <c r="F1487" i="1" a="1"/>
  <c r="W1486" i="1"/>
  <c r="W1486" i="1" a="1"/>
  <c r="V1486" i="1"/>
  <c r="U1486" i="1"/>
  <c r="Q1486" i="1"/>
  <c r="O1486" i="1"/>
  <c r="M1486" i="1"/>
  <c r="L1486" i="1"/>
  <c r="K1486" i="1"/>
  <c r="F1486" i="1"/>
  <c r="F1486" i="1" a="1"/>
  <c r="W1485" i="1"/>
  <c r="W1485" i="1" a="1"/>
  <c r="V1485" i="1"/>
  <c r="U1485" i="1"/>
  <c r="Q1485" i="1"/>
  <c r="O1485" i="1"/>
  <c r="M1485" i="1"/>
  <c r="L1485" i="1"/>
  <c r="K1485" i="1"/>
  <c r="F1485" i="1"/>
  <c r="F1485" i="1" a="1"/>
  <c r="W1484" i="1"/>
  <c r="W1484" i="1" a="1"/>
  <c r="V1484" i="1"/>
  <c r="U1484" i="1"/>
  <c r="Q1484" i="1"/>
  <c r="O1484" i="1"/>
  <c r="M1484" i="1"/>
  <c r="L1484" i="1"/>
  <c r="K1484" i="1"/>
  <c r="F1484" i="1"/>
  <c r="F1484" i="1" a="1"/>
  <c r="W1483" i="1"/>
  <c r="W1483" i="1" a="1"/>
  <c r="V1483" i="1"/>
  <c r="U1483" i="1"/>
  <c r="Q1483" i="1"/>
  <c r="O1483" i="1"/>
  <c r="M1483" i="1"/>
  <c r="L1483" i="1"/>
  <c r="K1483" i="1"/>
  <c r="F1483" i="1"/>
  <c r="F1483" i="1" a="1"/>
  <c r="W1482" i="1"/>
  <c r="W1482" i="1" a="1"/>
  <c r="V1482" i="1"/>
  <c r="U1482" i="1"/>
  <c r="Q1482" i="1"/>
  <c r="O1482" i="1"/>
  <c r="M1482" i="1"/>
  <c r="L1482" i="1"/>
  <c r="K1482" i="1"/>
  <c r="F1482" i="1"/>
  <c r="F1482" i="1" a="1"/>
  <c r="W1481" i="1"/>
  <c r="W1481" i="1" a="1"/>
  <c r="V1481" i="1"/>
  <c r="U1481" i="1"/>
  <c r="Q1481" i="1"/>
  <c r="O1481" i="1"/>
  <c r="M1481" i="1"/>
  <c r="L1481" i="1"/>
  <c r="K1481" i="1"/>
  <c r="F1481" i="1"/>
  <c r="F1481" i="1" a="1"/>
  <c r="W1480" i="1"/>
  <c r="W1480" i="1" a="1"/>
  <c r="V1480" i="1"/>
  <c r="U1480" i="1"/>
  <c r="Q1480" i="1"/>
  <c r="O1480" i="1"/>
  <c r="M1480" i="1"/>
  <c r="L1480" i="1"/>
  <c r="K1480" i="1"/>
  <c r="F1480" i="1"/>
  <c r="F1480" i="1" a="1"/>
  <c r="W1479" i="1"/>
  <c r="W1479" i="1" a="1"/>
  <c r="V1479" i="1"/>
  <c r="U1479" i="1"/>
  <c r="Q1479" i="1"/>
  <c r="O1479" i="1"/>
  <c r="M1479" i="1"/>
  <c r="L1479" i="1"/>
  <c r="K1479" i="1"/>
  <c r="F1479" i="1"/>
  <c r="F1479" i="1" a="1"/>
  <c r="W1478" i="1"/>
  <c r="W1478" i="1" a="1"/>
  <c r="V1478" i="1"/>
  <c r="U1478" i="1"/>
  <c r="Q1478" i="1"/>
  <c r="O1478" i="1"/>
  <c r="M1478" i="1"/>
  <c r="L1478" i="1"/>
  <c r="K1478" i="1"/>
  <c r="F1478" i="1"/>
  <c r="F1478" i="1" a="1"/>
  <c r="W1477" i="1"/>
  <c r="W1477" i="1" a="1"/>
  <c r="V1477" i="1"/>
  <c r="U1477" i="1"/>
  <c r="Q1477" i="1"/>
  <c r="O1477" i="1"/>
  <c r="M1477" i="1"/>
  <c r="L1477" i="1"/>
  <c r="K1477" i="1"/>
  <c r="F1477" i="1"/>
  <c r="F1477" i="1" a="1"/>
  <c r="W1476" i="1"/>
  <c r="W1476" i="1" a="1"/>
  <c r="V1476" i="1"/>
  <c r="U1476" i="1"/>
  <c r="Q1476" i="1"/>
  <c r="O1476" i="1"/>
  <c r="M1476" i="1"/>
  <c r="L1476" i="1"/>
  <c r="K1476" i="1"/>
  <c r="F1476" i="1"/>
  <c r="F1476" i="1" a="1"/>
  <c r="W1475" i="1"/>
  <c r="W1475" i="1" a="1"/>
  <c r="V1475" i="1"/>
  <c r="U1475" i="1"/>
  <c r="Q1475" i="1"/>
  <c r="O1475" i="1"/>
  <c r="M1475" i="1"/>
  <c r="L1475" i="1"/>
  <c r="K1475" i="1"/>
  <c r="F1475" i="1"/>
  <c r="F1475" i="1" a="1"/>
  <c r="W1474" i="1"/>
  <c r="W1474" i="1" a="1"/>
  <c r="V1474" i="1"/>
  <c r="U1474" i="1"/>
  <c r="Q1474" i="1"/>
  <c r="O1474" i="1"/>
  <c r="M1474" i="1"/>
  <c r="L1474" i="1"/>
  <c r="K1474" i="1"/>
  <c r="F1474" i="1"/>
  <c r="F1474" i="1" a="1"/>
  <c r="W1473" i="1"/>
  <c r="W1473" i="1" a="1"/>
  <c r="V1473" i="1"/>
  <c r="U1473" i="1"/>
  <c r="Q1473" i="1"/>
  <c r="O1473" i="1"/>
  <c r="M1473" i="1"/>
  <c r="L1473" i="1"/>
  <c r="K1473" i="1"/>
  <c r="F1473" i="1"/>
  <c r="F1473" i="1" a="1"/>
  <c r="W1472" i="1"/>
  <c r="W1472" i="1" a="1"/>
  <c r="V1472" i="1"/>
  <c r="U1472" i="1"/>
  <c r="Q1472" i="1"/>
  <c r="O1472" i="1"/>
  <c r="M1472" i="1"/>
  <c r="L1472" i="1"/>
  <c r="K1472" i="1"/>
  <c r="F1472" i="1"/>
  <c r="F1472" i="1" a="1"/>
  <c r="W1471" i="1"/>
  <c r="W1471" i="1" a="1"/>
  <c r="V1471" i="1"/>
  <c r="U1471" i="1"/>
  <c r="Q1471" i="1"/>
  <c r="O1471" i="1"/>
  <c r="M1471" i="1"/>
  <c r="L1471" i="1"/>
  <c r="K1471" i="1"/>
  <c r="F1471" i="1"/>
  <c r="F1471" i="1" a="1"/>
  <c r="W1470" i="1"/>
  <c r="W1470" i="1" a="1"/>
  <c r="V1470" i="1"/>
  <c r="U1470" i="1"/>
  <c r="Q1470" i="1"/>
  <c r="O1470" i="1"/>
  <c r="M1470" i="1"/>
  <c r="L1470" i="1"/>
  <c r="K1470" i="1"/>
  <c r="F1470" i="1"/>
  <c r="F1470" i="1" a="1"/>
  <c r="W1469" i="1"/>
  <c r="W1469" i="1" a="1"/>
  <c r="V1469" i="1"/>
  <c r="U1469" i="1"/>
  <c r="Q1469" i="1"/>
  <c r="O1469" i="1"/>
  <c r="M1469" i="1"/>
  <c r="L1469" i="1"/>
  <c r="K1469" i="1"/>
  <c r="F1469" i="1"/>
  <c r="F1469" i="1" a="1"/>
  <c r="W1468" i="1"/>
  <c r="W1468" i="1" a="1"/>
  <c r="V1468" i="1"/>
  <c r="U1468" i="1"/>
  <c r="Q1468" i="1"/>
  <c r="O1468" i="1"/>
  <c r="M1468" i="1"/>
  <c r="L1468" i="1"/>
  <c r="K1468" i="1"/>
  <c r="F1468" i="1"/>
  <c r="F1468" i="1" a="1"/>
  <c r="W1467" i="1"/>
  <c r="W1467" i="1" a="1"/>
  <c r="V1467" i="1"/>
  <c r="U1467" i="1"/>
  <c r="Q1467" i="1"/>
  <c r="O1467" i="1"/>
  <c r="M1467" i="1"/>
  <c r="L1467" i="1"/>
  <c r="K1467" i="1"/>
  <c r="F1467" i="1"/>
  <c r="F1467" i="1" a="1"/>
  <c r="W1466" i="1"/>
  <c r="W1466" i="1" a="1"/>
  <c r="V1466" i="1"/>
  <c r="U1466" i="1"/>
  <c r="Q1466" i="1"/>
  <c r="O1466" i="1"/>
  <c r="M1466" i="1"/>
  <c r="L1466" i="1"/>
  <c r="K1466" i="1"/>
  <c r="F1466" i="1"/>
  <c r="F1466" i="1" a="1"/>
  <c r="W1465" i="1"/>
  <c r="W1465" i="1" a="1"/>
  <c r="V1465" i="1"/>
  <c r="U1465" i="1"/>
  <c r="Q1465" i="1"/>
  <c r="O1465" i="1"/>
  <c r="M1465" i="1"/>
  <c r="L1465" i="1"/>
  <c r="K1465" i="1"/>
  <c r="F1465" i="1"/>
  <c r="F1465" i="1" a="1"/>
  <c r="W1464" i="1"/>
  <c r="W1464" i="1" a="1"/>
  <c r="V1464" i="1"/>
  <c r="U1464" i="1"/>
  <c r="Q1464" i="1"/>
  <c r="O1464" i="1"/>
  <c r="M1464" i="1"/>
  <c r="L1464" i="1"/>
  <c r="K1464" i="1"/>
  <c r="F1464" i="1"/>
  <c r="F1464" i="1" a="1"/>
  <c r="W1463" i="1"/>
  <c r="W1463" i="1" a="1"/>
  <c r="V1463" i="1"/>
  <c r="U1463" i="1"/>
  <c r="Q1463" i="1"/>
  <c r="O1463" i="1"/>
  <c r="M1463" i="1"/>
  <c r="L1463" i="1"/>
  <c r="K1463" i="1"/>
  <c r="F1463" i="1"/>
  <c r="F1463" i="1" a="1"/>
  <c r="W1462" i="1"/>
  <c r="W1462" i="1" a="1"/>
  <c r="V1462" i="1"/>
  <c r="U1462" i="1"/>
  <c r="Q1462" i="1"/>
  <c r="O1462" i="1"/>
  <c r="M1462" i="1"/>
  <c r="L1462" i="1"/>
  <c r="K1462" i="1"/>
  <c r="F1462" i="1"/>
  <c r="F1462" i="1" a="1"/>
  <c r="W1461" i="1"/>
  <c r="W1461" i="1" a="1"/>
  <c r="V1461" i="1"/>
  <c r="U1461" i="1"/>
  <c r="Q1461" i="1"/>
  <c r="O1461" i="1"/>
  <c r="M1461" i="1"/>
  <c r="L1461" i="1"/>
  <c r="K1461" i="1"/>
  <c r="F1461" i="1"/>
  <c r="F1461" i="1" a="1"/>
  <c r="W1460" i="1"/>
  <c r="W1460" i="1" a="1"/>
  <c r="V1460" i="1"/>
  <c r="U1460" i="1"/>
  <c r="Q1460" i="1"/>
  <c r="O1460" i="1"/>
  <c r="M1460" i="1"/>
  <c r="L1460" i="1"/>
  <c r="K1460" i="1"/>
  <c r="F1460" i="1"/>
  <c r="F1460" i="1" a="1"/>
  <c r="W1459" i="1"/>
  <c r="W1459" i="1" a="1"/>
  <c r="V1459" i="1"/>
  <c r="U1459" i="1"/>
  <c r="Q1459" i="1"/>
  <c r="O1459" i="1"/>
  <c r="M1459" i="1"/>
  <c r="L1459" i="1"/>
  <c r="K1459" i="1"/>
  <c r="F1459" i="1"/>
  <c r="F1459" i="1" a="1"/>
  <c r="W1458" i="1"/>
  <c r="W1458" i="1" a="1"/>
  <c r="V1458" i="1"/>
  <c r="U1458" i="1"/>
  <c r="Q1458" i="1"/>
  <c r="O1458" i="1"/>
  <c r="M1458" i="1"/>
  <c r="L1458" i="1"/>
  <c r="K1458" i="1"/>
  <c r="F1458" i="1"/>
  <c r="F1458" i="1" a="1"/>
  <c r="W1457" i="1"/>
  <c r="W1457" i="1" a="1"/>
  <c r="V1457" i="1"/>
  <c r="U1457" i="1"/>
  <c r="Q1457" i="1"/>
  <c r="O1457" i="1"/>
  <c r="M1457" i="1"/>
  <c r="L1457" i="1"/>
  <c r="K1457" i="1"/>
  <c r="F1457" i="1"/>
  <c r="F1457" i="1" a="1"/>
  <c r="W1456" i="1"/>
  <c r="W1456" i="1" a="1"/>
  <c r="V1456" i="1"/>
  <c r="U1456" i="1"/>
  <c r="Q1456" i="1"/>
  <c r="O1456" i="1"/>
  <c r="M1456" i="1"/>
  <c r="L1456" i="1"/>
  <c r="K1456" i="1"/>
  <c r="F1456" i="1"/>
  <c r="F1456" i="1" a="1"/>
  <c r="W1455" i="1"/>
  <c r="W1455" i="1" a="1"/>
  <c r="V1455" i="1"/>
  <c r="U1455" i="1"/>
  <c r="Q1455" i="1"/>
  <c r="O1455" i="1"/>
  <c r="M1455" i="1"/>
  <c r="L1455" i="1"/>
  <c r="K1455" i="1"/>
  <c r="F1455" i="1"/>
  <c r="F1455" i="1" a="1"/>
  <c r="W1454" i="1"/>
  <c r="W1454" i="1" a="1"/>
  <c r="V1454" i="1"/>
  <c r="U1454" i="1"/>
  <c r="Q1454" i="1"/>
  <c r="O1454" i="1"/>
  <c r="M1454" i="1"/>
  <c r="L1454" i="1"/>
  <c r="K1454" i="1"/>
  <c r="F1454" i="1"/>
  <c r="F1454" i="1" a="1"/>
  <c r="W1453" i="1"/>
  <c r="W1453" i="1" a="1"/>
  <c r="V1453" i="1"/>
  <c r="U1453" i="1"/>
  <c r="Q1453" i="1"/>
  <c r="O1453" i="1"/>
  <c r="M1453" i="1"/>
  <c r="L1453" i="1"/>
  <c r="K1453" i="1"/>
  <c r="F1453" i="1"/>
  <c r="F1453" i="1" a="1"/>
  <c r="W1452" i="1"/>
  <c r="W1452" i="1" a="1"/>
  <c r="V1452" i="1"/>
  <c r="U1452" i="1"/>
  <c r="Q1452" i="1"/>
  <c r="O1452" i="1"/>
  <c r="M1452" i="1"/>
  <c r="L1452" i="1"/>
  <c r="K1452" i="1"/>
  <c r="F1452" i="1"/>
  <c r="F1452" i="1" a="1"/>
  <c r="W1451" i="1"/>
  <c r="W1451" i="1" a="1"/>
  <c r="V1451" i="1"/>
  <c r="U1451" i="1"/>
  <c r="Q1451" i="1"/>
  <c r="O1451" i="1"/>
  <c r="M1451" i="1"/>
  <c r="L1451" i="1"/>
  <c r="K1451" i="1"/>
  <c r="F1451" i="1"/>
  <c r="F1451" i="1" a="1"/>
  <c r="W1450" i="1"/>
  <c r="W1450" i="1" a="1"/>
  <c r="V1450" i="1"/>
  <c r="U1450" i="1"/>
  <c r="Q1450" i="1"/>
  <c r="O1450" i="1"/>
  <c r="M1450" i="1"/>
  <c r="L1450" i="1"/>
  <c r="K1450" i="1"/>
  <c r="F1450" i="1"/>
  <c r="F1450" i="1" a="1"/>
  <c r="W1449" i="1"/>
  <c r="W1449" i="1" a="1"/>
  <c r="V1449" i="1"/>
  <c r="U1449" i="1"/>
  <c r="Q1449" i="1"/>
  <c r="O1449" i="1"/>
  <c r="M1449" i="1"/>
  <c r="L1449" i="1"/>
  <c r="K1449" i="1"/>
  <c r="F1449" i="1"/>
  <c r="F1449" i="1" a="1"/>
  <c r="W1448" i="1"/>
  <c r="W1448" i="1" a="1"/>
  <c r="V1448" i="1"/>
  <c r="U1448" i="1"/>
  <c r="Q1448" i="1"/>
  <c r="O1448" i="1"/>
  <c r="M1448" i="1"/>
  <c r="L1448" i="1"/>
  <c r="K1448" i="1"/>
  <c r="F1448" i="1"/>
  <c r="F1448" i="1" a="1"/>
  <c r="W1447" i="1"/>
  <c r="W1447" i="1" a="1"/>
  <c r="V1447" i="1"/>
  <c r="U1447" i="1"/>
  <c r="Q1447" i="1"/>
  <c r="O1447" i="1"/>
  <c r="M1447" i="1"/>
  <c r="L1447" i="1"/>
  <c r="K1447" i="1"/>
  <c r="F1447" i="1"/>
  <c r="F1447" i="1" a="1"/>
  <c r="W1446" i="1"/>
  <c r="W1446" i="1" a="1"/>
  <c r="V1446" i="1"/>
  <c r="U1446" i="1"/>
  <c r="Q1446" i="1"/>
  <c r="O1446" i="1"/>
  <c r="M1446" i="1"/>
  <c r="L1446" i="1"/>
  <c r="K1446" i="1"/>
  <c r="F1446" i="1"/>
  <c r="F1446" i="1" a="1"/>
  <c r="W1445" i="1"/>
  <c r="W1445" i="1" a="1"/>
  <c r="V1445" i="1"/>
  <c r="U1445" i="1"/>
  <c r="Q1445" i="1"/>
  <c r="O1445" i="1"/>
  <c r="M1445" i="1"/>
  <c r="L1445" i="1"/>
  <c r="K1445" i="1"/>
  <c r="F1445" i="1"/>
  <c r="F1445" i="1" a="1"/>
  <c r="W1444" i="1"/>
  <c r="W1444" i="1" a="1"/>
  <c r="V1444" i="1"/>
  <c r="U1444" i="1"/>
  <c r="Q1444" i="1"/>
  <c r="O1444" i="1"/>
  <c r="M1444" i="1"/>
  <c r="L1444" i="1"/>
  <c r="K1444" i="1"/>
  <c r="F1444" i="1"/>
  <c r="F1444" i="1" a="1"/>
  <c r="W1443" i="1"/>
  <c r="W1443" i="1" a="1"/>
  <c r="V1443" i="1"/>
  <c r="U1443" i="1"/>
  <c r="Q1443" i="1"/>
  <c r="O1443" i="1"/>
  <c r="M1443" i="1"/>
  <c r="L1443" i="1"/>
  <c r="K1443" i="1"/>
  <c r="F1443" i="1"/>
  <c r="F1443" i="1" a="1"/>
  <c r="W1442" i="1"/>
  <c r="W1442" i="1" a="1"/>
  <c r="V1442" i="1"/>
  <c r="U1442" i="1"/>
  <c r="Q1442" i="1"/>
  <c r="O1442" i="1"/>
  <c r="M1442" i="1"/>
  <c r="L1442" i="1"/>
  <c r="K1442" i="1"/>
  <c r="F1442" i="1"/>
  <c r="F1442" i="1" a="1"/>
  <c r="W1441" i="1"/>
  <c r="W1441" i="1" a="1"/>
  <c r="V1441" i="1"/>
  <c r="U1441" i="1"/>
  <c r="Q1441" i="1"/>
  <c r="O1441" i="1"/>
  <c r="M1441" i="1"/>
  <c r="L1441" i="1"/>
  <c r="K1441" i="1"/>
  <c r="F1441" i="1"/>
  <c r="F1441" i="1" a="1"/>
  <c r="W1440" i="1"/>
  <c r="W1440" i="1" a="1"/>
  <c r="V1440" i="1"/>
  <c r="U1440" i="1"/>
  <c r="Q1440" i="1"/>
  <c r="O1440" i="1"/>
  <c r="M1440" i="1"/>
  <c r="L1440" i="1"/>
  <c r="K1440" i="1"/>
  <c r="F1440" i="1"/>
  <c r="F1440" i="1" a="1"/>
  <c r="W1439" i="1"/>
  <c r="W1439" i="1" a="1"/>
  <c r="V1439" i="1"/>
  <c r="U1439" i="1"/>
  <c r="Q1439" i="1"/>
  <c r="O1439" i="1"/>
  <c r="M1439" i="1"/>
  <c r="L1439" i="1"/>
  <c r="K1439" i="1"/>
  <c r="F1439" i="1"/>
  <c r="F1439" i="1" a="1"/>
  <c r="W1438" i="1"/>
  <c r="W1438" i="1" a="1"/>
  <c r="V1438" i="1"/>
  <c r="U1438" i="1"/>
  <c r="Q1438" i="1"/>
  <c r="O1438" i="1"/>
  <c r="M1438" i="1"/>
  <c r="L1438" i="1"/>
  <c r="K1438" i="1"/>
  <c r="F1438" i="1"/>
  <c r="F1438" i="1" a="1"/>
  <c r="W1437" i="1"/>
  <c r="W1437" i="1" a="1"/>
  <c r="V1437" i="1"/>
  <c r="U1437" i="1"/>
  <c r="Q1437" i="1"/>
  <c r="O1437" i="1"/>
  <c r="M1437" i="1"/>
  <c r="L1437" i="1"/>
  <c r="K1437" i="1"/>
  <c r="F1437" i="1"/>
  <c r="F1437" i="1" a="1"/>
  <c r="W1436" i="1"/>
  <c r="W1436" i="1" a="1"/>
  <c r="V1436" i="1"/>
  <c r="U1436" i="1"/>
  <c r="Q1436" i="1"/>
  <c r="O1436" i="1"/>
  <c r="M1436" i="1"/>
  <c r="L1436" i="1"/>
  <c r="K1436" i="1"/>
  <c r="F1436" i="1"/>
  <c r="F1436" i="1" a="1"/>
  <c r="W1435" i="1"/>
  <c r="W1435" i="1" a="1"/>
  <c r="V1435" i="1"/>
  <c r="U1435" i="1"/>
  <c r="Q1435" i="1"/>
  <c r="O1435" i="1"/>
  <c r="M1435" i="1"/>
  <c r="L1435" i="1"/>
  <c r="K1435" i="1"/>
  <c r="F1435" i="1"/>
  <c r="F1435" i="1" a="1"/>
  <c r="W1434" i="1"/>
  <c r="W1434" i="1" a="1"/>
  <c r="V1434" i="1"/>
  <c r="U1434" i="1"/>
  <c r="Q1434" i="1"/>
  <c r="O1434" i="1"/>
  <c r="M1434" i="1"/>
  <c r="L1434" i="1"/>
  <c r="K1434" i="1"/>
  <c r="F1434" i="1"/>
  <c r="F1434" i="1" a="1"/>
  <c r="W1433" i="1"/>
  <c r="W1433" i="1" a="1"/>
  <c r="V1433" i="1"/>
  <c r="U1433" i="1"/>
  <c r="Q1433" i="1"/>
  <c r="O1433" i="1"/>
  <c r="M1433" i="1"/>
  <c r="L1433" i="1"/>
  <c r="K1433" i="1"/>
  <c r="F1433" i="1"/>
  <c r="F1433" i="1" a="1"/>
  <c r="W1432" i="1"/>
  <c r="W1432" i="1" a="1"/>
  <c r="V1432" i="1"/>
  <c r="U1432" i="1"/>
  <c r="Q1432" i="1"/>
  <c r="O1432" i="1"/>
  <c r="M1432" i="1"/>
  <c r="L1432" i="1"/>
  <c r="K1432" i="1"/>
  <c r="F1432" i="1"/>
  <c r="F1432" i="1" a="1"/>
  <c r="W1431" i="1"/>
  <c r="W1431" i="1" a="1"/>
  <c r="V1431" i="1"/>
  <c r="U1431" i="1"/>
  <c r="Q1431" i="1"/>
  <c r="O1431" i="1"/>
  <c r="M1431" i="1"/>
  <c r="L1431" i="1"/>
  <c r="K1431" i="1"/>
  <c r="F1431" i="1"/>
  <c r="F1431" i="1" a="1"/>
  <c r="W1430" i="1"/>
  <c r="W1430" i="1" a="1"/>
  <c r="V1430" i="1"/>
  <c r="U1430" i="1"/>
  <c r="Q1430" i="1"/>
  <c r="O1430" i="1"/>
  <c r="M1430" i="1"/>
  <c r="L1430" i="1"/>
  <c r="K1430" i="1"/>
  <c r="F1430" i="1"/>
  <c r="F1430" i="1" a="1"/>
  <c r="W1429" i="1"/>
  <c r="W1429" i="1" a="1"/>
  <c r="V1429" i="1"/>
  <c r="U1429" i="1"/>
  <c r="Q1429" i="1"/>
  <c r="O1429" i="1"/>
  <c r="M1429" i="1"/>
  <c r="L1429" i="1"/>
  <c r="K1429" i="1"/>
  <c r="F1429" i="1"/>
  <c r="F1429" i="1" a="1"/>
  <c r="W1428" i="1"/>
  <c r="W1428" i="1" a="1"/>
  <c r="V1428" i="1"/>
  <c r="U1428" i="1"/>
  <c r="Q1428" i="1"/>
  <c r="O1428" i="1"/>
  <c r="M1428" i="1"/>
  <c r="L1428" i="1"/>
  <c r="K1428" i="1"/>
  <c r="F1428" i="1"/>
  <c r="F1428" i="1" a="1"/>
  <c r="W1427" i="1"/>
  <c r="W1427" i="1" a="1"/>
  <c r="V1427" i="1"/>
  <c r="U1427" i="1"/>
  <c r="Q1427" i="1"/>
  <c r="O1427" i="1"/>
  <c r="M1427" i="1"/>
  <c r="L1427" i="1"/>
  <c r="K1427" i="1"/>
  <c r="F1427" i="1"/>
  <c r="F1427" i="1" a="1"/>
  <c r="W1426" i="1"/>
  <c r="W1426" i="1" a="1"/>
  <c r="V1426" i="1"/>
  <c r="U1426" i="1"/>
  <c r="Q1426" i="1"/>
  <c r="O1426" i="1"/>
  <c r="M1426" i="1"/>
  <c r="L1426" i="1"/>
  <c r="K1426" i="1"/>
  <c r="F1426" i="1"/>
  <c r="F1426" i="1" a="1"/>
  <c r="W1425" i="1"/>
  <c r="W1425" i="1" a="1"/>
  <c r="V1425" i="1"/>
  <c r="U1425" i="1"/>
  <c r="Q1425" i="1"/>
  <c r="O1425" i="1"/>
  <c r="M1425" i="1"/>
  <c r="L1425" i="1"/>
  <c r="K1425" i="1"/>
  <c r="F1425" i="1"/>
  <c r="F1425" i="1" a="1"/>
  <c r="W1424" i="1"/>
  <c r="W1424" i="1" a="1"/>
  <c r="V1424" i="1"/>
  <c r="U1424" i="1"/>
  <c r="Q1424" i="1"/>
  <c r="O1424" i="1"/>
  <c r="M1424" i="1"/>
  <c r="L1424" i="1"/>
  <c r="K1424" i="1"/>
  <c r="F1424" i="1"/>
  <c r="F1424" i="1" a="1"/>
  <c r="W1423" i="1"/>
  <c r="W1423" i="1" a="1"/>
  <c r="V1423" i="1"/>
  <c r="U1423" i="1"/>
  <c r="Q1423" i="1"/>
  <c r="O1423" i="1"/>
  <c r="M1423" i="1"/>
  <c r="L1423" i="1"/>
  <c r="K1423" i="1"/>
  <c r="F1423" i="1"/>
  <c r="F1423" i="1" a="1"/>
  <c r="W1422" i="1"/>
  <c r="W1422" i="1" a="1"/>
  <c r="V1422" i="1"/>
  <c r="U1422" i="1"/>
  <c r="Q1422" i="1"/>
  <c r="O1422" i="1"/>
  <c r="M1422" i="1"/>
  <c r="L1422" i="1"/>
  <c r="K1422" i="1"/>
  <c r="F1422" i="1"/>
  <c r="F1422" i="1" a="1"/>
  <c r="W1421" i="1"/>
  <c r="W1421" i="1" a="1"/>
  <c r="V1421" i="1"/>
  <c r="U1421" i="1"/>
  <c r="Q1421" i="1"/>
  <c r="O1421" i="1"/>
  <c r="M1421" i="1"/>
  <c r="L1421" i="1"/>
  <c r="K1421" i="1"/>
  <c r="F1421" i="1"/>
  <c r="F1421" i="1" a="1"/>
  <c r="W1420" i="1"/>
  <c r="W1420" i="1" a="1"/>
  <c r="V1420" i="1"/>
  <c r="U1420" i="1"/>
  <c r="Q1420" i="1"/>
  <c r="O1420" i="1"/>
  <c r="M1420" i="1"/>
  <c r="L1420" i="1"/>
  <c r="K1420" i="1"/>
  <c r="F1420" i="1"/>
  <c r="F1420" i="1" a="1"/>
  <c r="W1419" i="1"/>
  <c r="W1419" i="1" a="1"/>
  <c r="V1419" i="1"/>
  <c r="U1419" i="1"/>
  <c r="Q1419" i="1"/>
  <c r="O1419" i="1"/>
  <c r="M1419" i="1"/>
  <c r="L1419" i="1"/>
  <c r="K1419" i="1"/>
  <c r="F1419" i="1"/>
  <c r="F1419" i="1" a="1"/>
  <c r="W1418" i="1"/>
  <c r="W1418" i="1" a="1"/>
  <c r="V1418" i="1"/>
  <c r="U1418" i="1"/>
  <c r="Q1418" i="1"/>
  <c r="O1418" i="1"/>
  <c r="M1418" i="1"/>
  <c r="L1418" i="1"/>
  <c r="K1418" i="1"/>
  <c r="F1418" i="1"/>
  <c r="F1418" i="1" a="1"/>
  <c r="W1417" i="1"/>
  <c r="W1417" i="1" a="1"/>
  <c r="V1417" i="1"/>
  <c r="U1417" i="1"/>
  <c r="Q1417" i="1"/>
  <c r="O1417" i="1"/>
  <c r="M1417" i="1"/>
  <c r="L1417" i="1"/>
  <c r="K1417" i="1"/>
  <c r="F1417" i="1"/>
  <c r="F1417" i="1" a="1"/>
  <c r="W1416" i="1"/>
  <c r="W1416" i="1" a="1"/>
  <c r="V1416" i="1"/>
  <c r="U1416" i="1"/>
  <c r="Q1416" i="1"/>
  <c r="O1416" i="1"/>
  <c r="M1416" i="1"/>
  <c r="L1416" i="1"/>
  <c r="K1416" i="1"/>
  <c r="F1416" i="1"/>
  <c r="F1416" i="1" a="1"/>
  <c r="W1415" i="1"/>
  <c r="W1415" i="1" a="1"/>
  <c r="V1415" i="1"/>
  <c r="U1415" i="1"/>
  <c r="Q1415" i="1"/>
  <c r="O1415" i="1"/>
  <c r="M1415" i="1"/>
  <c r="L1415" i="1"/>
  <c r="K1415" i="1"/>
  <c r="F1415" i="1"/>
  <c r="F1415" i="1" a="1"/>
  <c r="W1414" i="1"/>
  <c r="W1414" i="1" a="1"/>
  <c r="V1414" i="1"/>
  <c r="U1414" i="1"/>
  <c r="Q1414" i="1"/>
  <c r="O1414" i="1"/>
  <c r="M1414" i="1"/>
  <c r="L1414" i="1"/>
  <c r="K1414" i="1"/>
  <c r="F1414" i="1"/>
  <c r="F1414" i="1" a="1"/>
  <c r="W1413" i="1"/>
  <c r="W1413" i="1" a="1"/>
  <c r="V1413" i="1"/>
  <c r="U1413" i="1"/>
  <c r="Q1413" i="1"/>
  <c r="O1413" i="1"/>
  <c r="M1413" i="1"/>
  <c r="L1413" i="1"/>
  <c r="K1413" i="1"/>
  <c r="F1413" i="1"/>
  <c r="F1413" i="1" a="1"/>
  <c r="W1412" i="1"/>
  <c r="W1412" i="1" a="1"/>
  <c r="V1412" i="1"/>
  <c r="U1412" i="1"/>
  <c r="Q1412" i="1"/>
  <c r="O1412" i="1"/>
  <c r="M1412" i="1"/>
  <c r="L1412" i="1"/>
  <c r="K1412" i="1"/>
  <c r="F1412" i="1"/>
  <c r="F1412" i="1" a="1"/>
  <c r="W1411" i="1"/>
  <c r="W1411" i="1" a="1"/>
  <c r="V1411" i="1"/>
  <c r="U1411" i="1"/>
  <c r="Q1411" i="1"/>
  <c r="O1411" i="1"/>
  <c r="M1411" i="1"/>
  <c r="L1411" i="1"/>
  <c r="K1411" i="1"/>
  <c r="F1411" i="1"/>
  <c r="F1411" i="1" a="1"/>
  <c r="W1410" i="1"/>
  <c r="W1410" i="1" a="1"/>
  <c r="V1410" i="1"/>
  <c r="U1410" i="1"/>
  <c r="Q1410" i="1"/>
  <c r="O1410" i="1"/>
  <c r="M1410" i="1"/>
  <c r="L1410" i="1"/>
  <c r="K1410" i="1"/>
  <c r="F1410" i="1"/>
  <c r="F1410" i="1" a="1"/>
  <c r="W1409" i="1"/>
  <c r="W1409" i="1" a="1"/>
  <c r="V1409" i="1"/>
  <c r="U1409" i="1"/>
  <c r="Q1409" i="1"/>
  <c r="O1409" i="1"/>
  <c r="M1409" i="1"/>
  <c r="L1409" i="1"/>
  <c r="K1409" i="1"/>
  <c r="F1409" i="1"/>
  <c r="F1409" i="1" a="1"/>
  <c r="W1408" i="1"/>
  <c r="W1408" i="1" a="1"/>
  <c r="V1408" i="1"/>
  <c r="U1408" i="1"/>
  <c r="Q1408" i="1"/>
  <c r="O1408" i="1"/>
  <c r="M1408" i="1"/>
  <c r="L1408" i="1"/>
  <c r="K1408" i="1"/>
  <c r="F1408" i="1"/>
  <c r="F1408" i="1" a="1"/>
  <c r="W1407" i="1"/>
  <c r="W1407" i="1" a="1"/>
  <c r="V1407" i="1"/>
  <c r="U1407" i="1"/>
  <c r="Q1407" i="1"/>
  <c r="O1407" i="1"/>
  <c r="M1407" i="1"/>
  <c r="L1407" i="1"/>
  <c r="K1407" i="1"/>
  <c r="F1407" i="1"/>
  <c r="F1407" i="1" a="1"/>
  <c r="W1406" i="1"/>
  <c r="W1406" i="1" a="1"/>
  <c r="V1406" i="1"/>
  <c r="U1406" i="1"/>
  <c r="Q1406" i="1"/>
  <c r="O1406" i="1"/>
  <c r="M1406" i="1"/>
  <c r="L1406" i="1"/>
  <c r="K1406" i="1"/>
  <c r="F1406" i="1"/>
  <c r="F1406" i="1" a="1"/>
  <c r="W1405" i="1"/>
  <c r="W1405" i="1" a="1"/>
  <c r="V1405" i="1"/>
  <c r="U1405" i="1"/>
  <c r="Q1405" i="1"/>
  <c r="O1405" i="1"/>
  <c r="M1405" i="1"/>
  <c r="L1405" i="1"/>
  <c r="K1405" i="1"/>
  <c r="F1405" i="1"/>
  <c r="F1405" i="1" a="1"/>
  <c r="W1404" i="1"/>
  <c r="W1404" i="1" a="1"/>
  <c r="V1404" i="1"/>
  <c r="U1404" i="1"/>
  <c r="Q1404" i="1"/>
  <c r="O1404" i="1"/>
  <c r="M1404" i="1"/>
  <c r="L1404" i="1"/>
  <c r="K1404" i="1"/>
  <c r="F1404" i="1"/>
  <c r="F1404" i="1" a="1"/>
  <c r="W1403" i="1"/>
  <c r="W1403" i="1" a="1"/>
  <c r="V1403" i="1"/>
  <c r="U1403" i="1"/>
  <c r="Q1403" i="1"/>
  <c r="O1403" i="1"/>
  <c r="M1403" i="1"/>
  <c r="L1403" i="1"/>
  <c r="K1403" i="1"/>
  <c r="F1403" i="1"/>
  <c r="F1403" i="1" a="1"/>
  <c r="W1402" i="1"/>
  <c r="W1402" i="1" a="1"/>
  <c r="V1402" i="1"/>
  <c r="U1402" i="1"/>
  <c r="Q1402" i="1"/>
  <c r="O1402" i="1"/>
  <c r="M1402" i="1"/>
  <c r="L1402" i="1"/>
  <c r="K1402" i="1"/>
  <c r="F1402" i="1"/>
  <c r="F1402" i="1" a="1"/>
  <c r="W1401" i="1"/>
  <c r="W1401" i="1" a="1"/>
  <c r="V1401" i="1"/>
  <c r="U1401" i="1"/>
  <c r="Q1401" i="1"/>
  <c r="O1401" i="1"/>
  <c r="M1401" i="1"/>
  <c r="L1401" i="1"/>
  <c r="K1401" i="1"/>
  <c r="F1401" i="1"/>
  <c r="F1401" i="1" a="1"/>
  <c r="W1400" i="1"/>
  <c r="W1400" i="1" a="1"/>
  <c r="V1400" i="1"/>
  <c r="U1400" i="1"/>
  <c r="Q1400" i="1"/>
  <c r="O1400" i="1"/>
  <c r="M1400" i="1"/>
  <c r="L1400" i="1"/>
  <c r="K1400" i="1"/>
  <c r="F1400" i="1"/>
  <c r="F1400" i="1" a="1"/>
  <c r="W1399" i="1"/>
  <c r="W1399" i="1" a="1"/>
  <c r="V1399" i="1"/>
  <c r="U1399" i="1"/>
  <c r="Q1399" i="1"/>
  <c r="O1399" i="1"/>
  <c r="M1399" i="1"/>
  <c r="L1399" i="1"/>
  <c r="K1399" i="1"/>
  <c r="F1399" i="1"/>
  <c r="F1399" i="1" a="1"/>
  <c r="W1398" i="1"/>
  <c r="W1398" i="1" a="1"/>
  <c r="V1398" i="1"/>
  <c r="U1398" i="1"/>
  <c r="Q1398" i="1"/>
  <c r="O1398" i="1"/>
  <c r="M1398" i="1"/>
  <c r="L1398" i="1"/>
  <c r="K1398" i="1"/>
  <c r="F1398" i="1"/>
  <c r="F1398" i="1" a="1"/>
  <c r="W1397" i="1"/>
  <c r="W1397" i="1" a="1"/>
  <c r="V1397" i="1"/>
  <c r="U1397" i="1"/>
  <c r="Q1397" i="1"/>
  <c r="O1397" i="1"/>
  <c r="M1397" i="1"/>
  <c r="L1397" i="1"/>
  <c r="K1397" i="1"/>
  <c r="F1397" i="1"/>
  <c r="F1397" i="1" a="1"/>
  <c r="W1396" i="1"/>
  <c r="W1396" i="1" a="1"/>
  <c r="V1396" i="1"/>
  <c r="U1396" i="1"/>
  <c r="Q1396" i="1"/>
  <c r="O1396" i="1"/>
  <c r="M1396" i="1"/>
  <c r="L1396" i="1"/>
  <c r="K1396" i="1"/>
  <c r="F1396" i="1"/>
  <c r="F1396" i="1" a="1"/>
  <c r="W1395" i="1"/>
  <c r="W1395" i="1" a="1"/>
  <c r="V1395" i="1"/>
  <c r="U1395" i="1"/>
  <c r="Q1395" i="1"/>
  <c r="O1395" i="1"/>
  <c r="M1395" i="1"/>
  <c r="L1395" i="1"/>
  <c r="K1395" i="1"/>
  <c r="F1395" i="1"/>
  <c r="F1395" i="1" a="1"/>
  <c r="W1394" i="1"/>
  <c r="W1394" i="1" a="1"/>
  <c r="V1394" i="1"/>
  <c r="U1394" i="1"/>
  <c r="Q1394" i="1"/>
  <c r="O1394" i="1"/>
  <c r="M1394" i="1"/>
  <c r="L1394" i="1"/>
  <c r="K1394" i="1"/>
  <c r="F1394" i="1"/>
  <c r="F1394" i="1" a="1"/>
  <c r="W1393" i="1"/>
  <c r="W1393" i="1" a="1"/>
  <c r="V1393" i="1"/>
  <c r="U1393" i="1"/>
  <c r="Q1393" i="1"/>
  <c r="O1393" i="1"/>
  <c r="M1393" i="1"/>
  <c r="L1393" i="1"/>
  <c r="K1393" i="1"/>
  <c r="F1393" i="1"/>
  <c r="F1393" i="1" a="1"/>
  <c r="W1392" i="1"/>
  <c r="W1392" i="1" a="1"/>
  <c r="V1392" i="1"/>
  <c r="U1392" i="1"/>
  <c r="Q1392" i="1"/>
  <c r="O1392" i="1"/>
  <c r="M1392" i="1"/>
  <c r="L1392" i="1"/>
  <c r="K1392" i="1"/>
  <c r="F1392" i="1"/>
  <c r="F1392" i="1" a="1"/>
  <c r="W1391" i="1"/>
  <c r="W1391" i="1" a="1"/>
  <c r="V1391" i="1"/>
  <c r="U1391" i="1"/>
  <c r="Q1391" i="1"/>
  <c r="O1391" i="1"/>
  <c r="M1391" i="1"/>
  <c r="L1391" i="1"/>
  <c r="K1391" i="1"/>
  <c r="F1391" i="1"/>
  <c r="F1391" i="1" a="1"/>
  <c r="W1390" i="1"/>
  <c r="W1390" i="1" a="1"/>
  <c r="V1390" i="1"/>
  <c r="U1390" i="1"/>
  <c r="Q1390" i="1"/>
  <c r="O1390" i="1"/>
  <c r="M1390" i="1"/>
  <c r="L1390" i="1"/>
  <c r="K1390" i="1"/>
  <c r="F1390" i="1"/>
  <c r="F1390" i="1" a="1"/>
  <c r="W1389" i="1"/>
  <c r="W1389" i="1" a="1"/>
  <c r="V1389" i="1"/>
  <c r="U1389" i="1"/>
  <c r="Q1389" i="1"/>
  <c r="O1389" i="1"/>
  <c r="M1389" i="1"/>
  <c r="L1389" i="1"/>
  <c r="K1389" i="1"/>
  <c r="F1389" i="1"/>
  <c r="F1389" i="1" a="1"/>
  <c r="W1388" i="1"/>
  <c r="W1388" i="1" a="1"/>
  <c r="V1388" i="1"/>
  <c r="U1388" i="1"/>
  <c r="Q1388" i="1"/>
  <c r="O1388" i="1"/>
  <c r="M1388" i="1"/>
  <c r="L1388" i="1"/>
  <c r="K1388" i="1"/>
  <c r="F1388" i="1"/>
  <c r="F1388" i="1" a="1"/>
  <c r="W1387" i="1"/>
  <c r="W1387" i="1" a="1"/>
  <c r="V1387" i="1"/>
  <c r="U1387" i="1"/>
  <c r="Q1387" i="1"/>
  <c r="O1387" i="1"/>
  <c r="M1387" i="1"/>
  <c r="L1387" i="1"/>
  <c r="K1387" i="1"/>
  <c r="F1387" i="1"/>
  <c r="F1387" i="1" a="1"/>
  <c r="W1386" i="1"/>
  <c r="W1386" i="1" a="1"/>
  <c r="V1386" i="1"/>
  <c r="U1386" i="1"/>
  <c r="Q1386" i="1"/>
  <c r="O1386" i="1"/>
  <c r="M1386" i="1"/>
  <c r="L1386" i="1"/>
  <c r="K1386" i="1"/>
  <c r="F1386" i="1"/>
  <c r="F1386" i="1" a="1"/>
  <c r="W1385" i="1"/>
  <c r="W1385" i="1" a="1"/>
  <c r="V1385" i="1"/>
  <c r="U1385" i="1"/>
  <c r="Q1385" i="1"/>
  <c r="O1385" i="1"/>
  <c r="M1385" i="1"/>
  <c r="L1385" i="1"/>
  <c r="K1385" i="1"/>
  <c r="F1385" i="1"/>
  <c r="F1385" i="1" a="1"/>
  <c r="W1384" i="1"/>
  <c r="W1384" i="1" a="1"/>
  <c r="V1384" i="1"/>
  <c r="U1384" i="1"/>
  <c r="Q1384" i="1"/>
  <c r="O1384" i="1"/>
  <c r="M1384" i="1"/>
  <c r="L1384" i="1"/>
  <c r="K1384" i="1"/>
  <c r="F1384" i="1"/>
  <c r="F1384" i="1" a="1"/>
  <c r="W1383" i="1"/>
  <c r="W1383" i="1" a="1"/>
  <c r="V1383" i="1"/>
  <c r="U1383" i="1"/>
  <c r="Q1383" i="1"/>
  <c r="O1383" i="1"/>
  <c r="M1383" i="1"/>
  <c r="L1383" i="1"/>
  <c r="K1383" i="1"/>
  <c r="F1383" i="1"/>
  <c r="F1383" i="1" a="1"/>
  <c r="W1382" i="1"/>
  <c r="W1382" i="1" a="1"/>
  <c r="V1382" i="1"/>
  <c r="U1382" i="1"/>
  <c r="Q1382" i="1"/>
  <c r="O1382" i="1"/>
  <c r="M1382" i="1"/>
  <c r="L1382" i="1"/>
  <c r="K1382" i="1"/>
  <c r="F1382" i="1"/>
  <c r="F1382" i="1" a="1"/>
  <c r="W1381" i="1"/>
  <c r="W1381" i="1" a="1"/>
  <c r="V1381" i="1"/>
  <c r="U1381" i="1"/>
  <c r="Q1381" i="1"/>
  <c r="O1381" i="1"/>
  <c r="M1381" i="1"/>
  <c r="L1381" i="1"/>
  <c r="K1381" i="1"/>
  <c r="F1381" i="1"/>
  <c r="F1381" i="1" a="1"/>
  <c r="W1380" i="1"/>
  <c r="W1380" i="1" a="1"/>
  <c r="V1380" i="1"/>
  <c r="U1380" i="1"/>
  <c r="Q1380" i="1"/>
  <c r="O1380" i="1"/>
  <c r="M1380" i="1"/>
  <c r="L1380" i="1"/>
  <c r="K1380" i="1"/>
  <c r="F1380" i="1"/>
  <c r="F1380" i="1" a="1"/>
  <c r="W1379" i="1"/>
  <c r="W1379" i="1" a="1"/>
  <c r="V1379" i="1"/>
  <c r="U1379" i="1"/>
  <c r="Q1379" i="1"/>
  <c r="O1379" i="1"/>
  <c r="M1379" i="1"/>
  <c r="L1379" i="1"/>
  <c r="K1379" i="1"/>
  <c r="F1379" i="1"/>
  <c r="F1379" i="1" a="1"/>
  <c r="W1378" i="1"/>
  <c r="W1378" i="1" a="1"/>
  <c r="V1378" i="1"/>
  <c r="U1378" i="1"/>
  <c r="Q1378" i="1"/>
  <c r="O1378" i="1"/>
  <c r="M1378" i="1"/>
  <c r="L1378" i="1"/>
  <c r="K1378" i="1"/>
  <c r="F1378" i="1"/>
  <c r="F1378" i="1" a="1"/>
  <c r="W1377" i="1"/>
  <c r="W1377" i="1" a="1"/>
  <c r="V1377" i="1"/>
  <c r="U1377" i="1"/>
  <c r="Q1377" i="1"/>
  <c r="O1377" i="1"/>
  <c r="M1377" i="1"/>
  <c r="L1377" i="1"/>
  <c r="K1377" i="1"/>
  <c r="F1377" i="1"/>
  <c r="F1377" i="1" a="1"/>
  <c r="W1376" i="1"/>
  <c r="W1376" i="1" a="1"/>
  <c r="V1376" i="1"/>
  <c r="U1376" i="1"/>
  <c r="Q1376" i="1"/>
  <c r="O1376" i="1"/>
  <c r="M1376" i="1"/>
  <c r="L1376" i="1"/>
  <c r="K1376" i="1"/>
  <c r="F1376" i="1"/>
  <c r="F1376" i="1" a="1"/>
  <c r="W1375" i="1"/>
  <c r="W1375" i="1" a="1"/>
  <c r="V1375" i="1"/>
  <c r="U1375" i="1"/>
  <c r="Q1375" i="1"/>
  <c r="O1375" i="1"/>
  <c r="M1375" i="1"/>
  <c r="L1375" i="1"/>
  <c r="K1375" i="1"/>
  <c r="F1375" i="1"/>
  <c r="F1375" i="1" a="1"/>
  <c r="W1374" i="1"/>
  <c r="W1374" i="1" a="1"/>
  <c r="V1374" i="1"/>
  <c r="U1374" i="1"/>
  <c r="Q1374" i="1"/>
  <c r="O1374" i="1"/>
  <c r="M1374" i="1"/>
  <c r="L1374" i="1"/>
  <c r="K1374" i="1"/>
  <c r="F1374" i="1"/>
  <c r="F1374" i="1" a="1"/>
  <c r="W1373" i="1"/>
  <c r="W1373" i="1" a="1"/>
  <c r="V1373" i="1"/>
  <c r="U1373" i="1"/>
  <c r="Q1373" i="1"/>
  <c r="O1373" i="1"/>
  <c r="M1373" i="1"/>
  <c r="L1373" i="1"/>
  <c r="K1373" i="1"/>
  <c r="F1373" i="1"/>
  <c r="F1373" i="1" a="1"/>
  <c r="W1372" i="1"/>
  <c r="W1372" i="1" a="1"/>
  <c r="V1372" i="1"/>
  <c r="U1372" i="1"/>
  <c r="Q1372" i="1"/>
  <c r="O1372" i="1"/>
  <c r="M1372" i="1"/>
  <c r="L1372" i="1"/>
  <c r="K1372" i="1"/>
  <c r="F1372" i="1"/>
  <c r="F1372" i="1" a="1"/>
  <c r="W1371" i="1"/>
  <c r="W1371" i="1" a="1"/>
  <c r="V1371" i="1"/>
  <c r="U1371" i="1"/>
  <c r="Q1371" i="1"/>
  <c r="O1371" i="1"/>
  <c r="M1371" i="1"/>
  <c r="L1371" i="1"/>
  <c r="K1371" i="1"/>
  <c r="F1371" i="1"/>
  <c r="F1371" i="1" a="1"/>
  <c r="W1370" i="1"/>
  <c r="W1370" i="1" a="1"/>
  <c r="V1370" i="1"/>
  <c r="U1370" i="1"/>
  <c r="Q1370" i="1"/>
  <c r="O1370" i="1"/>
  <c r="M1370" i="1"/>
  <c r="L1370" i="1"/>
  <c r="K1370" i="1"/>
  <c r="F1370" i="1"/>
  <c r="F1370" i="1" a="1"/>
  <c r="W1369" i="1"/>
  <c r="W1369" i="1" a="1"/>
  <c r="V1369" i="1"/>
  <c r="U1369" i="1"/>
  <c r="Q1369" i="1"/>
  <c r="O1369" i="1"/>
  <c r="M1369" i="1"/>
  <c r="L1369" i="1"/>
  <c r="K1369" i="1"/>
  <c r="F1369" i="1"/>
  <c r="F1369" i="1" a="1"/>
  <c r="W1368" i="1"/>
  <c r="W1368" i="1" a="1"/>
  <c r="V1368" i="1"/>
  <c r="U1368" i="1"/>
  <c r="Q1368" i="1"/>
  <c r="O1368" i="1"/>
  <c r="M1368" i="1"/>
  <c r="L1368" i="1"/>
  <c r="K1368" i="1"/>
  <c r="F1368" i="1"/>
  <c r="F1368" i="1" a="1"/>
  <c r="W1367" i="1"/>
  <c r="W1367" i="1" a="1"/>
  <c r="V1367" i="1"/>
  <c r="U1367" i="1"/>
  <c r="Q1367" i="1"/>
  <c r="O1367" i="1"/>
  <c r="M1367" i="1"/>
  <c r="L1367" i="1"/>
  <c r="K1367" i="1"/>
  <c r="F1367" i="1"/>
  <c r="F1367" i="1" a="1"/>
  <c r="W1366" i="1"/>
  <c r="W1366" i="1" a="1"/>
  <c r="V1366" i="1"/>
  <c r="U1366" i="1"/>
  <c r="Q1366" i="1"/>
  <c r="O1366" i="1"/>
  <c r="M1366" i="1"/>
  <c r="L1366" i="1"/>
  <c r="K1366" i="1"/>
  <c r="F1366" i="1"/>
  <c r="F1366" i="1" a="1"/>
  <c r="W1365" i="1"/>
  <c r="W1365" i="1" a="1"/>
  <c r="V1365" i="1"/>
  <c r="U1365" i="1"/>
  <c r="Q1365" i="1"/>
  <c r="O1365" i="1"/>
  <c r="M1365" i="1"/>
  <c r="L1365" i="1"/>
  <c r="K1365" i="1"/>
  <c r="F1365" i="1"/>
  <c r="F1365" i="1" a="1"/>
  <c r="W1364" i="1"/>
  <c r="W1364" i="1" a="1"/>
  <c r="V1364" i="1"/>
  <c r="U1364" i="1"/>
  <c r="Q1364" i="1"/>
  <c r="O1364" i="1"/>
  <c r="M1364" i="1"/>
  <c r="L1364" i="1"/>
  <c r="K1364" i="1"/>
  <c r="F1364" i="1"/>
  <c r="F1364" i="1" a="1"/>
  <c r="W1363" i="1"/>
  <c r="W1363" i="1" a="1"/>
  <c r="V1363" i="1"/>
  <c r="U1363" i="1"/>
  <c r="Q1363" i="1"/>
  <c r="O1363" i="1"/>
  <c r="M1363" i="1"/>
  <c r="L1363" i="1"/>
  <c r="K1363" i="1"/>
  <c r="F1363" i="1"/>
  <c r="F1363" i="1" a="1"/>
  <c r="W1362" i="1"/>
  <c r="W1362" i="1" a="1"/>
  <c r="V1362" i="1"/>
  <c r="U1362" i="1"/>
  <c r="Q1362" i="1"/>
  <c r="O1362" i="1"/>
  <c r="M1362" i="1"/>
  <c r="L1362" i="1"/>
  <c r="K1362" i="1"/>
  <c r="F1362" i="1"/>
  <c r="F1362" i="1" a="1"/>
  <c r="W1361" i="1"/>
  <c r="W1361" i="1" a="1"/>
  <c r="V1361" i="1"/>
  <c r="U1361" i="1"/>
  <c r="Q1361" i="1"/>
  <c r="O1361" i="1"/>
  <c r="M1361" i="1"/>
  <c r="L1361" i="1"/>
  <c r="K1361" i="1"/>
  <c r="F1361" i="1"/>
  <c r="F1361" i="1" a="1"/>
  <c r="W1360" i="1"/>
  <c r="W1360" i="1" a="1"/>
  <c r="V1360" i="1"/>
  <c r="U1360" i="1"/>
  <c r="Q1360" i="1"/>
  <c r="O1360" i="1"/>
  <c r="M1360" i="1"/>
  <c r="L1360" i="1"/>
  <c r="K1360" i="1"/>
  <c r="F1360" i="1"/>
  <c r="F1360" i="1" a="1"/>
  <c r="W1359" i="1"/>
  <c r="W1359" i="1" a="1"/>
  <c r="V1359" i="1"/>
  <c r="U1359" i="1"/>
  <c r="Q1359" i="1"/>
  <c r="O1359" i="1"/>
  <c r="M1359" i="1"/>
  <c r="L1359" i="1"/>
  <c r="K1359" i="1"/>
  <c r="F1359" i="1"/>
  <c r="F1359" i="1" a="1"/>
  <c r="W1358" i="1"/>
  <c r="W1358" i="1" a="1"/>
  <c r="V1358" i="1"/>
  <c r="U1358" i="1"/>
  <c r="Q1358" i="1"/>
  <c r="O1358" i="1"/>
  <c r="M1358" i="1"/>
  <c r="L1358" i="1"/>
  <c r="K1358" i="1"/>
  <c r="F1358" i="1"/>
  <c r="F1358" i="1" a="1"/>
  <c r="W1357" i="1"/>
  <c r="W1357" i="1" a="1"/>
  <c r="V1357" i="1"/>
  <c r="U1357" i="1"/>
  <c r="Q1357" i="1"/>
  <c r="O1357" i="1"/>
  <c r="M1357" i="1"/>
  <c r="L1357" i="1"/>
  <c r="K1357" i="1"/>
  <c r="F1357" i="1"/>
  <c r="F1357" i="1" a="1"/>
  <c r="W1356" i="1"/>
  <c r="W1356" i="1" a="1"/>
  <c r="V1356" i="1"/>
  <c r="U1356" i="1"/>
  <c r="Q1356" i="1"/>
  <c r="O1356" i="1"/>
  <c r="M1356" i="1"/>
  <c r="L1356" i="1"/>
  <c r="K1356" i="1"/>
  <c r="F1356" i="1"/>
  <c r="F1356" i="1" a="1"/>
  <c r="W1355" i="1"/>
  <c r="W1355" i="1" a="1"/>
  <c r="V1355" i="1"/>
  <c r="U1355" i="1"/>
  <c r="Q1355" i="1"/>
  <c r="O1355" i="1"/>
  <c r="M1355" i="1"/>
  <c r="L1355" i="1"/>
  <c r="K1355" i="1"/>
  <c r="F1355" i="1"/>
  <c r="F1355" i="1" a="1"/>
  <c r="W1354" i="1"/>
  <c r="W1354" i="1" a="1"/>
  <c r="V1354" i="1"/>
  <c r="U1354" i="1"/>
  <c r="Q1354" i="1"/>
  <c r="O1354" i="1"/>
  <c r="M1354" i="1"/>
  <c r="L1354" i="1"/>
  <c r="K1354" i="1"/>
  <c r="F1354" i="1"/>
  <c r="F1354" i="1" a="1"/>
  <c r="W1353" i="1"/>
  <c r="W1353" i="1" a="1"/>
  <c r="V1353" i="1"/>
  <c r="U1353" i="1"/>
  <c r="Q1353" i="1"/>
  <c r="O1353" i="1"/>
  <c r="M1353" i="1"/>
  <c r="L1353" i="1"/>
  <c r="K1353" i="1"/>
  <c r="F1353" i="1"/>
  <c r="F1353" i="1" a="1"/>
  <c r="W1352" i="1"/>
  <c r="W1352" i="1" a="1"/>
  <c r="V1352" i="1"/>
  <c r="U1352" i="1"/>
  <c r="Q1352" i="1"/>
  <c r="O1352" i="1"/>
  <c r="M1352" i="1"/>
  <c r="L1352" i="1"/>
  <c r="K1352" i="1"/>
  <c r="F1352" i="1"/>
  <c r="F1352" i="1" a="1"/>
  <c r="W1351" i="1"/>
  <c r="W1351" i="1" a="1"/>
  <c r="V1351" i="1"/>
  <c r="U1351" i="1"/>
  <c r="Q1351" i="1"/>
  <c r="O1351" i="1"/>
  <c r="M1351" i="1"/>
  <c r="L1351" i="1"/>
  <c r="K1351" i="1"/>
  <c r="F1351" i="1"/>
  <c r="F1351" i="1" a="1"/>
  <c r="W1350" i="1"/>
  <c r="W1350" i="1" a="1"/>
  <c r="V1350" i="1"/>
  <c r="U1350" i="1"/>
  <c r="Q1350" i="1"/>
  <c r="O1350" i="1"/>
  <c r="M1350" i="1"/>
  <c r="L1350" i="1"/>
  <c r="K1350" i="1"/>
  <c r="F1350" i="1"/>
  <c r="F1350" i="1" a="1"/>
  <c r="W1349" i="1"/>
  <c r="W1349" i="1" a="1"/>
  <c r="V1349" i="1"/>
  <c r="U1349" i="1"/>
  <c r="Q1349" i="1"/>
  <c r="O1349" i="1"/>
  <c r="M1349" i="1"/>
  <c r="L1349" i="1"/>
  <c r="K1349" i="1"/>
  <c r="F1349" i="1"/>
  <c r="F1349" i="1" a="1"/>
  <c r="W1348" i="1"/>
  <c r="W1348" i="1" a="1"/>
  <c r="V1348" i="1"/>
  <c r="U1348" i="1"/>
  <c r="Q1348" i="1"/>
  <c r="O1348" i="1"/>
  <c r="M1348" i="1"/>
  <c r="L1348" i="1"/>
  <c r="K1348" i="1"/>
  <c r="F1348" i="1"/>
  <c r="F1348" i="1" a="1"/>
  <c r="W1347" i="1"/>
  <c r="W1347" i="1" a="1"/>
  <c r="V1347" i="1"/>
  <c r="U1347" i="1"/>
  <c r="Q1347" i="1"/>
  <c r="O1347" i="1"/>
  <c r="M1347" i="1"/>
  <c r="L1347" i="1"/>
  <c r="K1347" i="1"/>
  <c r="F1347" i="1"/>
  <c r="F1347" i="1" a="1"/>
  <c r="W1346" i="1"/>
  <c r="W1346" i="1" a="1"/>
  <c r="V1346" i="1"/>
  <c r="U1346" i="1"/>
  <c r="Q1346" i="1"/>
  <c r="O1346" i="1"/>
  <c r="M1346" i="1"/>
  <c r="L1346" i="1"/>
  <c r="K1346" i="1"/>
  <c r="F1346" i="1"/>
  <c r="F1346" i="1" a="1"/>
  <c r="W1345" i="1"/>
  <c r="W1345" i="1" a="1"/>
  <c r="V1345" i="1"/>
  <c r="U1345" i="1"/>
  <c r="Q1345" i="1"/>
  <c r="O1345" i="1"/>
  <c r="M1345" i="1"/>
  <c r="L1345" i="1"/>
  <c r="K1345" i="1"/>
  <c r="F1345" i="1"/>
  <c r="F1345" i="1" a="1"/>
  <c r="W1344" i="1"/>
  <c r="W1344" i="1" a="1"/>
  <c r="V1344" i="1"/>
  <c r="U1344" i="1"/>
  <c r="Q1344" i="1"/>
  <c r="O1344" i="1"/>
  <c r="M1344" i="1"/>
  <c r="L1344" i="1"/>
  <c r="K1344" i="1"/>
  <c r="F1344" i="1"/>
  <c r="F1344" i="1" a="1"/>
  <c r="W1343" i="1"/>
  <c r="W1343" i="1" a="1"/>
  <c r="V1343" i="1"/>
  <c r="U1343" i="1"/>
  <c r="Q1343" i="1"/>
  <c r="O1343" i="1"/>
  <c r="M1343" i="1"/>
  <c r="L1343" i="1"/>
  <c r="K1343" i="1"/>
  <c r="F1343" i="1"/>
  <c r="F1343" i="1" a="1"/>
  <c r="W1342" i="1"/>
  <c r="W1342" i="1" a="1"/>
  <c r="V1342" i="1"/>
  <c r="U1342" i="1"/>
  <c r="Q1342" i="1"/>
  <c r="O1342" i="1"/>
  <c r="M1342" i="1"/>
  <c r="L1342" i="1"/>
  <c r="K1342" i="1"/>
  <c r="F1342" i="1"/>
  <c r="F1342" i="1" a="1"/>
  <c r="W1341" i="1"/>
  <c r="W1341" i="1" a="1"/>
  <c r="V1341" i="1"/>
  <c r="U1341" i="1"/>
  <c r="Q1341" i="1"/>
  <c r="O1341" i="1"/>
  <c r="M1341" i="1"/>
  <c r="L1341" i="1"/>
  <c r="K1341" i="1"/>
  <c r="F1341" i="1"/>
  <c r="F1341" i="1" a="1"/>
  <c r="W1340" i="1"/>
  <c r="W1340" i="1" a="1"/>
  <c r="V1340" i="1"/>
  <c r="U1340" i="1"/>
  <c r="Q1340" i="1"/>
  <c r="O1340" i="1"/>
  <c r="M1340" i="1"/>
  <c r="L1340" i="1"/>
  <c r="K1340" i="1"/>
  <c r="F1340" i="1"/>
  <c r="F1340" i="1" a="1"/>
  <c r="W1339" i="1"/>
  <c r="W1339" i="1" a="1"/>
  <c r="V1339" i="1"/>
  <c r="U1339" i="1"/>
  <c r="Q1339" i="1"/>
  <c r="O1339" i="1"/>
  <c r="M1339" i="1"/>
  <c r="L1339" i="1"/>
  <c r="K1339" i="1"/>
  <c r="F1339" i="1"/>
  <c r="F1339" i="1" a="1"/>
  <c r="W1338" i="1"/>
  <c r="W1338" i="1" a="1"/>
  <c r="V1338" i="1"/>
  <c r="U1338" i="1"/>
  <c r="Q1338" i="1"/>
  <c r="O1338" i="1"/>
  <c r="M1338" i="1"/>
  <c r="L1338" i="1"/>
  <c r="K1338" i="1"/>
  <c r="F1338" i="1"/>
  <c r="F1338" i="1" a="1"/>
  <c r="W1337" i="1"/>
  <c r="W1337" i="1" a="1"/>
  <c r="V1337" i="1"/>
  <c r="U1337" i="1"/>
  <c r="Q1337" i="1"/>
  <c r="O1337" i="1"/>
  <c r="M1337" i="1"/>
  <c r="L1337" i="1"/>
  <c r="K1337" i="1"/>
  <c r="F1337" i="1"/>
  <c r="F1337" i="1" a="1"/>
  <c r="W1336" i="1"/>
  <c r="W1336" i="1" a="1"/>
  <c r="V1336" i="1"/>
  <c r="U1336" i="1"/>
  <c r="Q1336" i="1"/>
  <c r="O1336" i="1"/>
  <c r="M1336" i="1"/>
  <c r="L1336" i="1"/>
  <c r="K1336" i="1"/>
  <c r="F1336" i="1"/>
  <c r="F1336" i="1" a="1"/>
  <c r="W1335" i="1"/>
  <c r="W1335" i="1" a="1"/>
  <c r="V1335" i="1"/>
  <c r="U1335" i="1"/>
  <c r="Q1335" i="1"/>
  <c r="O1335" i="1"/>
  <c r="M1335" i="1"/>
  <c r="L1335" i="1"/>
  <c r="K1335" i="1"/>
  <c r="F1335" i="1"/>
  <c r="F1335" i="1" a="1"/>
  <c r="W1334" i="1"/>
  <c r="W1334" i="1" a="1"/>
  <c r="V1334" i="1"/>
  <c r="U1334" i="1"/>
  <c r="Q1334" i="1"/>
  <c r="O1334" i="1"/>
  <c r="M1334" i="1"/>
  <c r="L1334" i="1"/>
  <c r="K1334" i="1"/>
  <c r="F1334" i="1"/>
  <c r="F1334" i="1" a="1"/>
  <c r="W1333" i="1"/>
  <c r="W1333" i="1" a="1"/>
  <c r="V1333" i="1"/>
  <c r="U1333" i="1"/>
  <c r="Q1333" i="1"/>
  <c r="O1333" i="1"/>
  <c r="M1333" i="1"/>
  <c r="L1333" i="1"/>
  <c r="K1333" i="1"/>
  <c r="F1333" i="1"/>
  <c r="F1333" i="1" a="1"/>
  <c r="W1332" i="1"/>
  <c r="W1332" i="1" a="1"/>
  <c r="V1332" i="1"/>
  <c r="U1332" i="1"/>
  <c r="Q1332" i="1"/>
  <c r="O1332" i="1"/>
  <c r="M1332" i="1"/>
  <c r="L1332" i="1"/>
  <c r="K1332" i="1"/>
  <c r="F1332" i="1"/>
  <c r="F1332" i="1" a="1"/>
  <c r="W1331" i="1"/>
  <c r="W1331" i="1" a="1"/>
  <c r="V1331" i="1"/>
  <c r="U1331" i="1"/>
  <c r="Q1331" i="1"/>
  <c r="O1331" i="1"/>
  <c r="M1331" i="1"/>
  <c r="L1331" i="1"/>
  <c r="K1331" i="1"/>
  <c r="F1331" i="1"/>
  <c r="F1331" i="1" a="1"/>
  <c r="W1330" i="1"/>
  <c r="W1330" i="1" a="1"/>
  <c r="V1330" i="1"/>
  <c r="U1330" i="1"/>
  <c r="Q1330" i="1"/>
  <c r="O1330" i="1"/>
  <c r="M1330" i="1"/>
  <c r="L1330" i="1"/>
  <c r="K1330" i="1"/>
  <c r="F1330" i="1"/>
  <c r="F1330" i="1" a="1"/>
  <c r="W1329" i="1"/>
  <c r="W1329" i="1" a="1"/>
  <c r="V1329" i="1"/>
  <c r="U1329" i="1"/>
  <c r="Q1329" i="1"/>
  <c r="O1329" i="1"/>
  <c r="M1329" i="1"/>
  <c r="L1329" i="1"/>
  <c r="K1329" i="1"/>
  <c r="F1329" i="1"/>
  <c r="F1329" i="1" a="1"/>
  <c r="W1328" i="1"/>
  <c r="W1328" i="1" a="1"/>
  <c r="V1328" i="1"/>
  <c r="U1328" i="1"/>
  <c r="Q1328" i="1"/>
  <c r="O1328" i="1"/>
  <c r="M1328" i="1"/>
  <c r="L1328" i="1"/>
  <c r="K1328" i="1"/>
  <c r="F1328" i="1"/>
  <c r="F1328" i="1" a="1"/>
  <c r="W1327" i="1"/>
  <c r="W1327" i="1" a="1"/>
  <c r="V1327" i="1"/>
  <c r="U1327" i="1"/>
  <c r="Q1327" i="1"/>
  <c r="O1327" i="1"/>
  <c r="M1327" i="1"/>
  <c r="L1327" i="1"/>
  <c r="K1327" i="1"/>
  <c r="F1327" i="1"/>
  <c r="F1327" i="1" a="1"/>
  <c r="W1326" i="1"/>
  <c r="W1326" i="1" a="1"/>
  <c r="V1326" i="1"/>
  <c r="U1326" i="1"/>
  <c r="Q1326" i="1"/>
  <c r="O1326" i="1"/>
  <c r="M1326" i="1"/>
  <c r="L1326" i="1"/>
  <c r="K1326" i="1"/>
  <c r="F1326" i="1"/>
  <c r="F1326" i="1" a="1"/>
  <c r="W1325" i="1"/>
  <c r="W1325" i="1" a="1"/>
  <c r="V1325" i="1"/>
  <c r="U1325" i="1"/>
  <c r="Q1325" i="1"/>
  <c r="O1325" i="1"/>
  <c r="M1325" i="1"/>
  <c r="L1325" i="1"/>
  <c r="K1325" i="1"/>
  <c r="F1325" i="1"/>
  <c r="F1325" i="1" a="1"/>
  <c r="W1324" i="1"/>
  <c r="W1324" i="1" a="1"/>
  <c r="V1324" i="1"/>
  <c r="U1324" i="1"/>
  <c r="Q1324" i="1"/>
  <c r="O1324" i="1"/>
  <c r="M1324" i="1"/>
  <c r="L1324" i="1"/>
  <c r="K1324" i="1"/>
  <c r="F1324" i="1"/>
  <c r="F1324" i="1" a="1"/>
  <c r="W1323" i="1"/>
  <c r="W1323" i="1" a="1"/>
  <c r="V1323" i="1"/>
  <c r="U1323" i="1"/>
  <c r="Q1323" i="1"/>
  <c r="O1323" i="1"/>
  <c r="M1323" i="1"/>
  <c r="L1323" i="1"/>
  <c r="K1323" i="1"/>
  <c r="F1323" i="1"/>
  <c r="F1323" i="1" a="1"/>
  <c r="W1322" i="1"/>
  <c r="W1322" i="1" a="1"/>
  <c r="V1322" i="1"/>
  <c r="U1322" i="1"/>
  <c r="Q1322" i="1"/>
  <c r="O1322" i="1"/>
  <c r="M1322" i="1"/>
  <c r="L1322" i="1"/>
  <c r="K1322" i="1"/>
  <c r="F1322" i="1"/>
  <c r="F1322" i="1" a="1"/>
  <c r="W1321" i="1"/>
  <c r="W1321" i="1" a="1"/>
  <c r="V1321" i="1"/>
  <c r="U1321" i="1"/>
  <c r="Q1321" i="1"/>
  <c r="O1321" i="1"/>
  <c r="M1321" i="1"/>
  <c r="L1321" i="1"/>
  <c r="K1321" i="1"/>
  <c r="F1321" i="1"/>
  <c r="F1321" i="1" a="1"/>
  <c r="W1320" i="1"/>
  <c r="W1320" i="1" a="1"/>
  <c r="V1320" i="1"/>
  <c r="U1320" i="1"/>
  <c r="Q1320" i="1"/>
  <c r="O1320" i="1"/>
  <c r="M1320" i="1"/>
  <c r="L1320" i="1"/>
  <c r="K1320" i="1"/>
  <c r="F1320" i="1"/>
  <c r="F1320" i="1" a="1"/>
  <c r="W1319" i="1"/>
  <c r="W1319" i="1" a="1"/>
  <c r="V1319" i="1"/>
  <c r="U1319" i="1"/>
  <c r="Q1319" i="1"/>
  <c r="O1319" i="1"/>
  <c r="M1319" i="1"/>
  <c r="L1319" i="1"/>
  <c r="K1319" i="1"/>
  <c r="F1319" i="1"/>
  <c r="F1319" i="1" a="1"/>
  <c r="W1318" i="1"/>
  <c r="W1318" i="1" a="1"/>
  <c r="V1318" i="1"/>
  <c r="U1318" i="1"/>
  <c r="Q1318" i="1"/>
  <c r="O1318" i="1"/>
  <c r="M1318" i="1"/>
  <c r="L1318" i="1"/>
  <c r="K1318" i="1"/>
  <c r="F1318" i="1"/>
  <c r="F1318" i="1" a="1"/>
  <c r="W1317" i="1"/>
  <c r="W1317" i="1" a="1"/>
  <c r="V1317" i="1"/>
  <c r="U1317" i="1"/>
  <c r="Q1317" i="1"/>
  <c r="O1317" i="1"/>
  <c r="M1317" i="1"/>
  <c r="L1317" i="1"/>
  <c r="K1317" i="1"/>
  <c r="F1317" i="1"/>
  <c r="F1317" i="1" a="1"/>
  <c r="W1316" i="1"/>
  <c r="W1316" i="1" a="1"/>
  <c r="V1316" i="1"/>
  <c r="U1316" i="1"/>
  <c r="Q1316" i="1"/>
  <c r="O1316" i="1"/>
  <c r="M1316" i="1"/>
  <c r="L1316" i="1"/>
  <c r="K1316" i="1"/>
  <c r="F1316" i="1"/>
  <c r="F1316" i="1" a="1"/>
  <c r="W1315" i="1"/>
  <c r="W1315" i="1" a="1"/>
  <c r="V1315" i="1"/>
  <c r="U1315" i="1"/>
  <c r="Q1315" i="1"/>
  <c r="O1315" i="1"/>
  <c r="M1315" i="1"/>
  <c r="L1315" i="1"/>
  <c r="K1315" i="1"/>
  <c r="F1315" i="1"/>
  <c r="F1315" i="1" a="1"/>
  <c r="W1314" i="1"/>
  <c r="W1314" i="1" a="1"/>
  <c r="V1314" i="1"/>
  <c r="U1314" i="1"/>
  <c r="Q1314" i="1"/>
  <c r="O1314" i="1"/>
  <c r="M1314" i="1"/>
  <c r="L1314" i="1"/>
  <c r="K1314" i="1"/>
  <c r="F1314" i="1"/>
  <c r="F1314" i="1" a="1"/>
  <c r="W1313" i="1"/>
  <c r="W1313" i="1" a="1"/>
  <c r="V1313" i="1"/>
  <c r="U1313" i="1"/>
  <c r="Q1313" i="1"/>
  <c r="O1313" i="1"/>
  <c r="M1313" i="1"/>
  <c r="L1313" i="1"/>
  <c r="K1313" i="1"/>
  <c r="F1313" i="1"/>
  <c r="F1313" i="1" a="1"/>
  <c r="W1312" i="1"/>
  <c r="W1312" i="1" a="1"/>
  <c r="V1312" i="1"/>
  <c r="U1312" i="1"/>
  <c r="Q1312" i="1"/>
  <c r="O1312" i="1"/>
  <c r="M1312" i="1"/>
  <c r="L1312" i="1"/>
  <c r="K1312" i="1"/>
  <c r="F1312" i="1"/>
  <c r="F1312" i="1" a="1"/>
  <c r="W1311" i="1"/>
  <c r="W1311" i="1" a="1"/>
  <c r="V1311" i="1"/>
  <c r="U1311" i="1"/>
  <c r="Q1311" i="1"/>
  <c r="O1311" i="1"/>
  <c r="M1311" i="1"/>
  <c r="L1311" i="1"/>
  <c r="K1311" i="1"/>
  <c r="F1311" i="1"/>
  <c r="F1311" i="1" a="1"/>
  <c r="W1310" i="1"/>
  <c r="W1310" i="1" a="1"/>
  <c r="V1310" i="1"/>
  <c r="U1310" i="1"/>
  <c r="Q1310" i="1"/>
  <c r="O1310" i="1"/>
  <c r="M1310" i="1"/>
  <c r="L1310" i="1"/>
  <c r="K1310" i="1"/>
  <c r="F1310" i="1"/>
  <c r="F1310" i="1" a="1"/>
  <c r="W1309" i="1"/>
  <c r="W1309" i="1" a="1"/>
  <c r="V1309" i="1"/>
  <c r="U1309" i="1"/>
  <c r="Q1309" i="1"/>
  <c r="O1309" i="1"/>
  <c r="M1309" i="1"/>
  <c r="L1309" i="1"/>
  <c r="K1309" i="1"/>
  <c r="F1309" i="1"/>
  <c r="F1309" i="1" a="1"/>
  <c r="W1308" i="1"/>
  <c r="W1308" i="1" a="1"/>
  <c r="V1308" i="1"/>
  <c r="U1308" i="1"/>
  <c r="Q1308" i="1"/>
  <c r="O1308" i="1"/>
  <c r="M1308" i="1"/>
  <c r="L1308" i="1"/>
  <c r="K1308" i="1"/>
  <c r="F1308" i="1"/>
  <c r="F1308" i="1" a="1"/>
  <c r="W1307" i="1"/>
  <c r="W1307" i="1" a="1"/>
  <c r="V1307" i="1"/>
  <c r="U1307" i="1"/>
  <c r="Q1307" i="1"/>
  <c r="O1307" i="1"/>
  <c r="M1307" i="1"/>
  <c r="L1307" i="1"/>
  <c r="K1307" i="1"/>
  <c r="F1307" i="1"/>
  <c r="F1307" i="1" a="1"/>
  <c r="W1306" i="1"/>
  <c r="W1306" i="1" a="1"/>
  <c r="V1306" i="1"/>
  <c r="U1306" i="1"/>
  <c r="Q1306" i="1"/>
  <c r="O1306" i="1"/>
  <c r="M1306" i="1"/>
  <c r="L1306" i="1"/>
  <c r="K1306" i="1"/>
  <c r="F1306" i="1"/>
  <c r="F1306" i="1" a="1"/>
  <c r="W1305" i="1"/>
  <c r="W1305" i="1" a="1"/>
  <c r="V1305" i="1"/>
  <c r="U1305" i="1"/>
  <c r="Q1305" i="1"/>
  <c r="O1305" i="1"/>
  <c r="M1305" i="1"/>
  <c r="L1305" i="1"/>
  <c r="K1305" i="1"/>
  <c r="F1305" i="1"/>
  <c r="F1305" i="1" a="1"/>
  <c r="W1304" i="1"/>
  <c r="W1304" i="1" a="1"/>
  <c r="V1304" i="1"/>
  <c r="U1304" i="1"/>
  <c r="Q1304" i="1"/>
  <c r="O1304" i="1"/>
  <c r="M1304" i="1"/>
  <c r="L1304" i="1"/>
  <c r="K1304" i="1"/>
  <c r="F1304" i="1"/>
  <c r="F1304" i="1" a="1"/>
  <c r="W1303" i="1"/>
  <c r="W1303" i="1" a="1"/>
  <c r="V1303" i="1"/>
  <c r="U1303" i="1"/>
  <c r="Q1303" i="1"/>
  <c r="O1303" i="1"/>
  <c r="M1303" i="1"/>
  <c r="L1303" i="1"/>
  <c r="K1303" i="1"/>
  <c r="F1303" i="1"/>
  <c r="F1303" i="1" a="1"/>
  <c r="W1302" i="1"/>
  <c r="W1302" i="1" a="1"/>
  <c r="V1302" i="1"/>
  <c r="U1302" i="1"/>
  <c r="Q1302" i="1"/>
  <c r="O1302" i="1"/>
  <c r="M1302" i="1"/>
  <c r="L1302" i="1"/>
  <c r="K1302" i="1"/>
  <c r="F1302" i="1"/>
  <c r="F1302" i="1" a="1"/>
  <c r="W1301" i="1"/>
  <c r="W1301" i="1" a="1"/>
  <c r="V1301" i="1"/>
  <c r="U1301" i="1"/>
  <c r="Q1301" i="1"/>
  <c r="O1301" i="1"/>
  <c r="M1301" i="1"/>
  <c r="L1301" i="1"/>
  <c r="K1301" i="1"/>
  <c r="F1301" i="1"/>
  <c r="F1301" i="1" a="1"/>
  <c r="W1300" i="1"/>
  <c r="W1300" i="1" a="1"/>
  <c r="V1300" i="1"/>
  <c r="U1300" i="1"/>
  <c r="Q1300" i="1"/>
  <c r="O1300" i="1"/>
  <c r="M1300" i="1"/>
  <c r="L1300" i="1"/>
  <c r="K1300" i="1"/>
  <c r="F1300" i="1"/>
  <c r="F1300" i="1" a="1"/>
  <c r="W1299" i="1"/>
  <c r="W1299" i="1" a="1"/>
  <c r="V1299" i="1"/>
  <c r="U1299" i="1"/>
  <c r="Q1299" i="1"/>
  <c r="O1299" i="1"/>
  <c r="M1299" i="1"/>
  <c r="L1299" i="1"/>
  <c r="K1299" i="1"/>
  <c r="F1299" i="1"/>
  <c r="F1299" i="1" a="1"/>
  <c r="W1298" i="1"/>
  <c r="W1298" i="1" a="1"/>
  <c r="V1298" i="1"/>
  <c r="U1298" i="1"/>
  <c r="Q1298" i="1"/>
  <c r="O1298" i="1"/>
  <c r="M1298" i="1"/>
  <c r="L1298" i="1"/>
  <c r="K1298" i="1"/>
  <c r="F1298" i="1"/>
  <c r="F1298" i="1" a="1"/>
  <c r="W1297" i="1"/>
  <c r="W1297" i="1" a="1"/>
  <c r="V1297" i="1"/>
  <c r="U1297" i="1"/>
  <c r="Q1297" i="1"/>
  <c r="O1297" i="1"/>
  <c r="M1297" i="1"/>
  <c r="L1297" i="1"/>
  <c r="K1297" i="1"/>
  <c r="F1297" i="1"/>
  <c r="F1297" i="1" a="1"/>
  <c r="W1296" i="1"/>
  <c r="W1296" i="1" a="1"/>
  <c r="V1296" i="1"/>
  <c r="U1296" i="1"/>
  <c r="Q1296" i="1"/>
  <c r="O1296" i="1"/>
  <c r="M1296" i="1"/>
  <c r="L1296" i="1"/>
  <c r="K1296" i="1"/>
  <c r="F1296" i="1"/>
  <c r="F1296" i="1" a="1"/>
  <c r="W1295" i="1"/>
  <c r="W1295" i="1" a="1"/>
  <c r="V1295" i="1"/>
  <c r="U1295" i="1"/>
  <c r="Q1295" i="1"/>
  <c r="O1295" i="1"/>
  <c r="M1295" i="1"/>
  <c r="L1295" i="1"/>
  <c r="K1295" i="1"/>
  <c r="F1295" i="1"/>
  <c r="F1295" i="1" a="1"/>
  <c r="W1294" i="1"/>
  <c r="W1294" i="1" a="1"/>
  <c r="V1294" i="1"/>
  <c r="U1294" i="1"/>
  <c r="Q1294" i="1"/>
  <c r="O1294" i="1"/>
  <c r="M1294" i="1"/>
  <c r="L1294" i="1"/>
  <c r="K1294" i="1"/>
  <c r="F1294" i="1"/>
  <c r="F1294" i="1" a="1"/>
  <c r="W1293" i="1"/>
  <c r="W1293" i="1" a="1"/>
  <c r="V1293" i="1"/>
  <c r="U1293" i="1"/>
  <c r="Q1293" i="1"/>
  <c r="O1293" i="1"/>
  <c r="M1293" i="1"/>
  <c r="L1293" i="1"/>
  <c r="K1293" i="1"/>
  <c r="F1293" i="1"/>
  <c r="F1293" i="1" a="1"/>
  <c r="W1292" i="1"/>
  <c r="W1292" i="1" a="1"/>
  <c r="V1292" i="1"/>
  <c r="U1292" i="1"/>
  <c r="Q1292" i="1"/>
  <c r="O1292" i="1"/>
  <c r="M1292" i="1"/>
  <c r="L1292" i="1"/>
  <c r="K1292" i="1"/>
  <c r="F1292" i="1"/>
  <c r="F1292" i="1" a="1"/>
  <c r="W1291" i="1"/>
  <c r="W1291" i="1" a="1"/>
  <c r="V1291" i="1"/>
  <c r="U1291" i="1"/>
  <c r="Q1291" i="1"/>
  <c r="O1291" i="1"/>
  <c r="M1291" i="1"/>
  <c r="L1291" i="1"/>
  <c r="K1291" i="1"/>
  <c r="F1291" i="1"/>
  <c r="F1291" i="1" a="1"/>
  <c r="W1290" i="1"/>
  <c r="W1290" i="1" a="1"/>
  <c r="V1290" i="1"/>
  <c r="U1290" i="1"/>
  <c r="Q1290" i="1"/>
  <c r="O1290" i="1"/>
  <c r="M1290" i="1"/>
  <c r="L1290" i="1"/>
  <c r="K1290" i="1"/>
  <c r="F1290" i="1"/>
  <c r="F1290" i="1" a="1"/>
  <c r="W1289" i="1"/>
  <c r="W1289" i="1" a="1"/>
  <c r="V1289" i="1"/>
  <c r="U1289" i="1"/>
  <c r="Q1289" i="1"/>
  <c r="O1289" i="1"/>
  <c r="M1289" i="1"/>
  <c r="L1289" i="1"/>
  <c r="K1289" i="1"/>
  <c r="F1289" i="1"/>
  <c r="F1289" i="1" a="1"/>
  <c r="W1288" i="1"/>
  <c r="W1288" i="1" a="1"/>
  <c r="V1288" i="1"/>
  <c r="U1288" i="1"/>
  <c r="Q1288" i="1"/>
  <c r="O1288" i="1"/>
  <c r="M1288" i="1"/>
  <c r="L1288" i="1"/>
  <c r="K1288" i="1"/>
  <c r="F1288" i="1"/>
  <c r="F1288" i="1" a="1"/>
  <c r="W1287" i="1"/>
  <c r="W1287" i="1" a="1"/>
  <c r="V1287" i="1"/>
  <c r="U1287" i="1"/>
  <c r="Q1287" i="1"/>
  <c r="O1287" i="1"/>
  <c r="M1287" i="1"/>
  <c r="L1287" i="1"/>
  <c r="K1287" i="1"/>
  <c r="F1287" i="1"/>
  <c r="F1287" i="1" a="1"/>
  <c r="W1286" i="1"/>
  <c r="W1286" i="1" a="1"/>
  <c r="V1286" i="1"/>
  <c r="U1286" i="1"/>
  <c r="Q1286" i="1"/>
  <c r="O1286" i="1"/>
  <c r="M1286" i="1"/>
  <c r="L1286" i="1"/>
  <c r="K1286" i="1"/>
  <c r="F1286" i="1"/>
  <c r="F1286" i="1" a="1"/>
  <c r="W1285" i="1"/>
  <c r="W1285" i="1" a="1"/>
  <c r="V1285" i="1"/>
  <c r="U1285" i="1"/>
  <c r="Q1285" i="1"/>
  <c r="O1285" i="1"/>
  <c r="M1285" i="1"/>
  <c r="L1285" i="1"/>
  <c r="K1285" i="1"/>
  <c r="F1285" i="1"/>
  <c r="F1285" i="1" a="1"/>
  <c r="W1284" i="1"/>
  <c r="W1284" i="1" a="1"/>
  <c r="V1284" i="1"/>
  <c r="U1284" i="1"/>
  <c r="Q1284" i="1"/>
  <c r="O1284" i="1"/>
  <c r="M1284" i="1"/>
  <c r="L1284" i="1"/>
  <c r="K1284" i="1"/>
  <c r="F1284" i="1"/>
  <c r="F1284" i="1" a="1"/>
  <c r="W1283" i="1"/>
  <c r="W1283" i="1" a="1"/>
  <c r="V1283" i="1"/>
  <c r="U1283" i="1"/>
  <c r="Q1283" i="1"/>
  <c r="O1283" i="1"/>
  <c r="M1283" i="1"/>
  <c r="L1283" i="1"/>
  <c r="K1283" i="1"/>
  <c r="F1283" i="1"/>
  <c r="F1283" i="1" a="1"/>
  <c r="W1282" i="1"/>
  <c r="W1282" i="1" a="1"/>
  <c r="V1282" i="1"/>
  <c r="U1282" i="1"/>
  <c r="Q1282" i="1"/>
  <c r="O1282" i="1"/>
  <c r="M1282" i="1"/>
  <c r="L1282" i="1"/>
  <c r="K1282" i="1"/>
  <c r="F1282" i="1"/>
  <c r="F1282" i="1" a="1"/>
  <c r="W1281" i="1"/>
  <c r="W1281" i="1" a="1"/>
  <c r="V1281" i="1"/>
  <c r="U1281" i="1"/>
  <c r="Q1281" i="1"/>
  <c r="O1281" i="1"/>
  <c r="M1281" i="1"/>
  <c r="L1281" i="1"/>
  <c r="K1281" i="1"/>
  <c r="F1281" i="1"/>
  <c r="F1281" i="1" a="1"/>
  <c r="W1280" i="1"/>
  <c r="W1280" i="1" a="1"/>
  <c r="V1280" i="1"/>
  <c r="U1280" i="1"/>
  <c r="Q1280" i="1"/>
  <c r="O1280" i="1"/>
  <c r="M1280" i="1"/>
  <c r="L1280" i="1"/>
  <c r="K1280" i="1"/>
  <c r="F1280" i="1"/>
  <c r="F1280" i="1" a="1"/>
  <c r="W1279" i="1"/>
  <c r="W1279" i="1" a="1"/>
  <c r="V1279" i="1"/>
  <c r="U1279" i="1"/>
  <c r="Q1279" i="1"/>
  <c r="O1279" i="1"/>
  <c r="M1279" i="1"/>
  <c r="L1279" i="1"/>
  <c r="K1279" i="1"/>
  <c r="F1279" i="1"/>
  <c r="F1279" i="1" a="1"/>
  <c r="W1278" i="1"/>
  <c r="W1278" i="1" a="1"/>
  <c r="V1278" i="1"/>
  <c r="U1278" i="1"/>
  <c r="Q1278" i="1"/>
  <c r="O1278" i="1"/>
  <c r="M1278" i="1"/>
  <c r="L1278" i="1"/>
  <c r="K1278" i="1"/>
  <c r="F1278" i="1"/>
  <c r="F1278" i="1" a="1"/>
  <c r="W1277" i="1"/>
  <c r="W1277" i="1" a="1"/>
  <c r="V1277" i="1"/>
  <c r="U1277" i="1"/>
  <c r="Q1277" i="1"/>
  <c r="O1277" i="1"/>
  <c r="M1277" i="1"/>
  <c r="L1277" i="1"/>
  <c r="K1277" i="1"/>
  <c r="F1277" i="1"/>
  <c r="F1277" i="1" a="1"/>
  <c r="W1276" i="1"/>
  <c r="W1276" i="1" a="1"/>
  <c r="V1276" i="1"/>
  <c r="U1276" i="1"/>
  <c r="Q1276" i="1"/>
  <c r="O1276" i="1"/>
  <c r="M1276" i="1"/>
  <c r="L1276" i="1"/>
  <c r="K1276" i="1"/>
  <c r="F1276" i="1"/>
  <c r="F1276" i="1" a="1"/>
  <c r="W1275" i="1"/>
  <c r="W1275" i="1" a="1"/>
  <c r="V1275" i="1"/>
  <c r="U1275" i="1"/>
  <c r="Q1275" i="1"/>
  <c r="O1275" i="1"/>
  <c r="M1275" i="1"/>
  <c r="L1275" i="1"/>
  <c r="K1275" i="1"/>
  <c r="F1275" i="1"/>
  <c r="F1275" i="1" a="1"/>
  <c r="W1274" i="1"/>
  <c r="W1274" i="1" a="1"/>
  <c r="V1274" i="1"/>
  <c r="U1274" i="1"/>
  <c r="Q1274" i="1"/>
  <c r="O1274" i="1"/>
  <c r="M1274" i="1"/>
  <c r="L1274" i="1"/>
  <c r="K1274" i="1"/>
  <c r="F1274" i="1"/>
  <c r="F1274" i="1" a="1"/>
  <c r="W1273" i="1"/>
  <c r="W1273" i="1" a="1"/>
  <c r="V1273" i="1"/>
  <c r="U1273" i="1"/>
  <c r="Q1273" i="1"/>
  <c r="O1273" i="1"/>
  <c r="M1273" i="1"/>
  <c r="L1273" i="1"/>
  <c r="K1273" i="1"/>
  <c r="F1273" i="1"/>
  <c r="F1273" i="1" a="1"/>
  <c r="W1272" i="1"/>
  <c r="W1272" i="1" a="1"/>
  <c r="V1272" i="1"/>
  <c r="U1272" i="1"/>
  <c r="Q1272" i="1"/>
  <c r="O1272" i="1"/>
  <c r="M1272" i="1"/>
  <c r="L1272" i="1"/>
  <c r="K1272" i="1"/>
  <c r="F1272" i="1"/>
  <c r="F1272" i="1" a="1"/>
  <c r="W1271" i="1"/>
  <c r="W1271" i="1" a="1"/>
  <c r="V1271" i="1"/>
  <c r="U1271" i="1"/>
  <c r="Q1271" i="1"/>
  <c r="O1271" i="1"/>
  <c r="M1271" i="1"/>
  <c r="L1271" i="1"/>
  <c r="K1271" i="1"/>
  <c r="F1271" i="1"/>
  <c r="F1271" i="1" a="1"/>
  <c r="W1270" i="1"/>
  <c r="W1270" i="1" a="1"/>
  <c r="V1270" i="1"/>
  <c r="U1270" i="1"/>
  <c r="Q1270" i="1"/>
  <c r="O1270" i="1"/>
  <c r="M1270" i="1"/>
  <c r="L1270" i="1"/>
  <c r="K1270" i="1"/>
  <c r="F1270" i="1"/>
  <c r="F1270" i="1" a="1"/>
  <c r="W1269" i="1"/>
  <c r="W1269" i="1" a="1"/>
  <c r="V1269" i="1"/>
  <c r="U1269" i="1"/>
  <c r="Q1269" i="1"/>
  <c r="O1269" i="1"/>
  <c r="M1269" i="1"/>
  <c r="L1269" i="1"/>
  <c r="K1269" i="1"/>
  <c r="F1269" i="1"/>
  <c r="F1269" i="1" a="1"/>
  <c r="W1268" i="1"/>
  <c r="W1268" i="1" a="1"/>
  <c r="V1268" i="1"/>
  <c r="U1268" i="1"/>
  <c r="Q1268" i="1"/>
  <c r="O1268" i="1"/>
  <c r="M1268" i="1"/>
  <c r="L1268" i="1"/>
  <c r="K1268" i="1"/>
  <c r="F1268" i="1"/>
  <c r="F1268" i="1" a="1"/>
  <c r="W1267" i="1"/>
  <c r="W1267" i="1" a="1"/>
  <c r="V1267" i="1"/>
  <c r="U1267" i="1"/>
  <c r="Q1267" i="1"/>
  <c r="O1267" i="1"/>
  <c r="M1267" i="1"/>
  <c r="L1267" i="1"/>
  <c r="K1267" i="1"/>
  <c r="F1267" i="1"/>
  <c r="F1267" i="1" a="1"/>
  <c r="W1266" i="1"/>
  <c r="W1266" i="1" a="1"/>
  <c r="V1266" i="1"/>
  <c r="U1266" i="1"/>
  <c r="Q1266" i="1"/>
  <c r="O1266" i="1"/>
  <c r="M1266" i="1"/>
  <c r="L1266" i="1"/>
  <c r="K1266" i="1"/>
  <c r="F1266" i="1"/>
  <c r="F1266" i="1" a="1"/>
  <c r="W1265" i="1"/>
  <c r="W1265" i="1" a="1"/>
  <c r="V1265" i="1"/>
  <c r="U1265" i="1"/>
  <c r="Q1265" i="1"/>
  <c r="O1265" i="1"/>
  <c r="M1265" i="1"/>
  <c r="L1265" i="1"/>
  <c r="K1265" i="1"/>
  <c r="F1265" i="1"/>
  <c r="F1265" i="1" a="1"/>
  <c r="W1264" i="1"/>
  <c r="W1264" i="1" a="1"/>
  <c r="V1264" i="1"/>
  <c r="U1264" i="1"/>
  <c r="Q1264" i="1"/>
  <c r="O1264" i="1"/>
  <c r="M1264" i="1"/>
  <c r="L1264" i="1"/>
  <c r="K1264" i="1"/>
  <c r="F1264" i="1"/>
  <c r="F1264" i="1" a="1"/>
  <c r="W1263" i="1"/>
  <c r="W1263" i="1" a="1"/>
  <c r="V1263" i="1"/>
  <c r="U1263" i="1"/>
  <c r="Q1263" i="1"/>
  <c r="O1263" i="1"/>
  <c r="M1263" i="1"/>
  <c r="L1263" i="1"/>
  <c r="K1263" i="1"/>
  <c r="F1263" i="1"/>
  <c r="F1263" i="1" a="1"/>
  <c r="W1262" i="1"/>
  <c r="W1262" i="1" a="1"/>
  <c r="V1262" i="1"/>
  <c r="U1262" i="1"/>
  <c r="Q1262" i="1"/>
  <c r="O1262" i="1"/>
  <c r="M1262" i="1"/>
  <c r="L1262" i="1"/>
  <c r="K1262" i="1"/>
  <c r="F1262" i="1"/>
  <c r="F1262" i="1" a="1"/>
  <c r="W1261" i="1"/>
  <c r="W1261" i="1" a="1"/>
  <c r="V1261" i="1"/>
  <c r="U1261" i="1"/>
  <c r="Q1261" i="1"/>
  <c r="O1261" i="1"/>
  <c r="M1261" i="1"/>
  <c r="L1261" i="1"/>
  <c r="K1261" i="1"/>
  <c r="F1261" i="1"/>
  <c r="F1261" i="1" a="1"/>
  <c r="W1260" i="1"/>
  <c r="W1260" i="1" a="1"/>
  <c r="V1260" i="1"/>
  <c r="U1260" i="1"/>
  <c r="Q1260" i="1"/>
  <c r="O1260" i="1"/>
  <c r="M1260" i="1"/>
  <c r="L1260" i="1"/>
  <c r="K1260" i="1"/>
  <c r="F1260" i="1"/>
  <c r="F1260" i="1" a="1"/>
  <c r="W1259" i="1"/>
  <c r="W1259" i="1" a="1"/>
  <c r="V1259" i="1"/>
  <c r="U1259" i="1"/>
  <c r="Q1259" i="1"/>
  <c r="O1259" i="1"/>
  <c r="M1259" i="1"/>
  <c r="L1259" i="1"/>
  <c r="K1259" i="1"/>
  <c r="F1259" i="1"/>
  <c r="F1259" i="1" a="1"/>
  <c r="W1258" i="1"/>
  <c r="W1258" i="1" a="1"/>
  <c r="V1258" i="1"/>
  <c r="U1258" i="1"/>
  <c r="Q1258" i="1"/>
  <c r="O1258" i="1"/>
  <c r="M1258" i="1"/>
  <c r="L1258" i="1"/>
  <c r="K1258" i="1"/>
  <c r="F1258" i="1"/>
  <c r="F1258" i="1" a="1"/>
  <c r="W1257" i="1"/>
  <c r="W1257" i="1" a="1"/>
  <c r="V1257" i="1"/>
  <c r="U1257" i="1"/>
  <c r="Q1257" i="1"/>
  <c r="O1257" i="1"/>
  <c r="M1257" i="1"/>
  <c r="L1257" i="1"/>
  <c r="K1257" i="1"/>
  <c r="F1257" i="1"/>
  <c r="F1257" i="1" a="1"/>
  <c r="W1256" i="1"/>
  <c r="W1256" i="1" a="1"/>
  <c r="V1256" i="1"/>
  <c r="U1256" i="1"/>
  <c r="Q1256" i="1"/>
  <c r="O1256" i="1"/>
  <c r="M1256" i="1"/>
  <c r="L1256" i="1"/>
  <c r="K1256" i="1"/>
  <c r="F1256" i="1"/>
  <c r="F1256" i="1" a="1"/>
  <c r="W1255" i="1"/>
  <c r="W1255" i="1" a="1"/>
  <c r="V1255" i="1"/>
  <c r="U1255" i="1"/>
  <c r="Q1255" i="1"/>
  <c r="O1255" i="1"/>
  <c r="M1255" i="1"/>
  <c r="L1255" i="1"/>
  <c r="K1255" i="1"/>
  <c r="F1255" i="1"/>
  <c r="F1255" i="1" a="1"/>
  <c r="W1254" i="1"/>
  <c r="W1254" i="1" a="1"/>
  <c r="V1254" i="1"/>
  <c r="U1254" i="1"/>
  <c r="Q1254" i="1"/>
  <c r="O1254" i="1"/>
  <c r="M1254" i="1"/>
  <c r="L1254" i="1"/>
  <c r="K1254" i="1"/>
  <c r="F1254" i="1"/>
  <c r="F1254" i="1" a="1"/>
  <c r="W1253" i="1"/>
  <c r="W1253" i="1" a="1"/>
  <c r="V1253" i="1"/>
  <c r="U1253" i="1"/>
  <c r="Q1253" i="1"/>
  <c r="O1253" i="1"/>
  <c r="M1253" i="1"/>
  <c r="L1253" i="1"/>
  <c r="K1253" i="1"/>
  <c r="F1253" i="1"/>
  <c r="F1253" i="1" a="1"/>
  <c r="W1252" i="1"/>
  <c r="W1252" i="1" a="1"/>
  <c r="V1252" i="1"/>
  <c r="U1252" i="1"/>
  <c r="Q1252" i="1"/>
  <c r="O1252" i="1"/>
  <c r="M1252" i="1"/>
  <c r="L1252" i="1"/>
  <c r="K1252" i="1"/>
  <c r="F1252" i="1"/>
  <c r="F1252" i="1" a="1"/>
  <c r="W1251" i="1"/>
  <c r="W1251" i="1" a="1"/>
  <c r="V1251" i="1"/>
  <c r="U1251" i="1"/>
  <c r="Q1251" i="1"/>
  <c r="O1251" i="1"/>
  <c r="M1251" i="1"/>
  <c r="L1251" i="1"/>
  <c r="K1251" i="1"/>
  <c r="F1251" i="1"/>
  <c r="F1251" i="1" a="1"/>
  <c r="W1250" i="1"/>
  <c r="W1250" i="1" a="1"/>
  <c r="V1250" i="1"/>
  <c r="U1250" i="1"/>
  <c r="Q1250" i="1"/>
  <c r="O1250" i="1"/>
  <c r="M1250" i="1"/>
  <c r="L1250" i="1"/>
  <c r="K1250" i="1"/>
  <c r="F1250" i="1"/>
  <c r="F1250" i="1" a="1"/>
  <c r="W1249" i="1"/>
  <c r="W1249" i="1" a="1"/>
  <c r="V1249" i="1"/>
  <c r="U1249" i="1"/>
  <c r="Q1249" i="1"/>
  <c r="O1249" i="1"/>
  <c r="M1249" i="1"/>
  <c r="L1249" i="1"/>
  <c r="K1249" i="1"/>
  <c r="F1249" i="1"/>
  <c r="F1249" i="1" a="1"/>
  <c r="W1248" i="1"/>
  <c r="W1248" i="1" a="1"/>
  <c r="V1248" i="1"/>
  <c r="U1248" i="1"/>
  <c r="Q1248" i="1"/>
  <c r="O1248" i="1"/>
  <c r="M1248" i="1"/>
  <c r="L1248" i="1"/>
  <c r="K1248" i="1"/>
  <c r="F1248" i="1"/>
  <c r="F1248" i="1" a="1"/>
  <c r="W1247" i="1"/>
  <c r="W1247" i="1" a="1"/>
  <c r="V1247" i="1"/>
  <c r="U1247" i="1"/>
  <c r="Q1247" i="1"/>
  <c r="O1247" i="1"/>
  <c r="M1247" i="1"/>
  <c r="L1247" i="1"/>
  <c r="K1247" i="1"/>
  <c r="F1247" i="1"/>
  <c r="F1247" i="1" a="1"/>
  <c r="W1246" i="1"/>
  <c r="W1246" i="1" a="1"/>
  <c r="V1246" i="1"/>
  <c r="U1246" i="1"/>
  <c r="Q1246" i="1"/>
  <c r="O1246" i="1"/>
  <c r="M1246" i="1"/>
  <c r="L1246" i="1"/>
  <c r="K1246" i="1"/>
  <c r="F1246" i="1"/>
  <c r="F1246" i="1" a="1"/>
  <c r="W1245" i="1"/>
  <c r="W1245" i="1" a="1"/>
  <c r="V1245" i="1"/>
  <c r="U1245" i="1"/>
  <c r="Q1245" i="1"/>
  <c r="O1245" i="1"/>
  <c r="M1245" i="1"/>
  <c r="L1245" i="1"/>
  <c r="K1245" i="1"/>
  <c r="F1245" i="1"/>
  <c r="F1245" i="1" a="1"/>
  <c r="W1244" i="1"/>
  <c r="W1244" i="1" a="1"/>
  <c r="V1244" i="1"/>
  <c r="U1244" i="1"/>
  <c r="Q1244" i="1"/>
  <c r="O1244" i="1"/>
  <c r="M1244" i="1"/>
  <c r="L1244" i="1"/>
  <c r="K1244" i="1"/>
  <c r="F1244" i="1"/>
  <c r="F1244" i="1" a="1"/>
  <c r="W1243" i="1"/>
  <c r="W1243" i="1" a="1"/>
  <c r="V1243" i="1"/>
  <c r="U1243" i="1"/>
  <c r="Q1243" i="1"/>
  <c r="O1243" i="1"/>
  <c r="M1243" i="1"/>
  <c r="L1243" i="1"/>
  <c r="K1243" i="1"/>
  <c r="F1243" i="1"/>
  <c r="F1243" i="1" a="1"/>
  <c r="W1242" i="1"/>
  <c r="W1242" i="1" a="1"/>
  <c r="V1242" i="1"/>
  <c r="U1242" i="1"/>
  <c r="Q1242" i="1"/>
  <c r="O1242" i="1"/>
  <c r="M1242" i="1"/>
  <c r="L1242" i="1"/>
  <c r="K1242" i="1"/>
  <c r="F1242" i="1"/>
  <c r="F1242" i="1" a="1"/>
  <c r="W1241" i="1"/>
  <c r="W1241" i="1" a="1"/>
  <c r="V1241" i="1"/>
  <c r="U1241" i="1"/>
  <c r="Q1241" i="1"/>
  <c r="O1241" i="1"/>
  <c r="M1241" i="1"/>
  <c r="L1241" i="1"/>
  <c r="K1241" i="1"/>
  <c r="F1241" i="1"/>
  <c r="F1241" i="1" a="1"/>
  <c r="W1240" i="1"/>
  <c r="W1240" i="1" a="1"/>
  <c r="V1240" i="1"/>
  <c r="U1240" i="1"/>
  <c r="Q1240" i="1"/>
  <c r="O1240" i="1"/>
  <c r="M1240" i="1"/>
  <c r="L1240" i="1"/>
  <c r="K1240" i="1"/>
  <c r="F1240" i="1"/>
  <c r="F1240" i="1" a="1"/>
  <c r="W1239" i="1"/>
  <c r="W1239" i="1" a="1"/>
  <c r="V1239" i="1"/>
  <c r="U1239" i="1"/>
  <c r="Q1239" i="1"/>
  <c r="O1239" i="1"/>
  <c r="M1239" i="1"/>
  <c r="L1239" i="1"/>
  <c r="K1239" i="1"/>
  <c r="F1239" i="1"/>
  <c r="F1239" i="1" a="1"/>
  <c r="W1238" i="1"/>
  <c r="W1238" i="1" a="1"/>
  <c r="V1238" i="1"/>
  <c r="U1238" i="1"/>
  <c r="Q1238" i="1"/>
  <c r="O1238" i="1"/>
  <c r="M1238" i="1"/>
  <c r="L1238" i="1"/>
  <c r="K1238" i="1"/>
  <c r="F1238" i="1"/>
  <c r="F1238" i="1" a="1"/>
  <c r="W1237" i="1"/>
  <c r="W1237" i="1" a="1"/>
  <c r="V1237" i="1"/>
  <c r="U1237" i="1"/>
  <c r="Q1237" i="1"/>
  <c r="O1237" i="1"/>
  <c r="M1237" i="1"/>
  <c r="L1237" i="1"/>
  <c r="K1237" i="1"/>
  <c r="F1237" i="1"/>
  <c r="F1237" i="1" a="1"/>
  <c r="W1236" i="1"/>
  <c r="W1236" i="1" a="1"/>
  <c r="V1236" i="1"/>
  <c r="U1236" i="1"/>
  <c r="Q1236" i="1"/>
  <c r="O1236" i="1"/>
  <c r="M1236" i="1"/>
  <c r="L1236" i="1"/>
  <c r="K1236" i="1"/>
  <c r="F1236" i="1"/>
  <c r="F1236" i="1" a="1"/>
  <c r="W1235" i="1"/>
  <c r="W1235" i="1" a="1"/>
  <c r="V1235" i="1"/>
  <c r="U1235" i="1"/>
  <c r="Q1235" i="1"/>
  <c r="O1235" i="1"/>
  <c r="M1235" i="1"/>
  <c r="L1235" i="1"/>
  <c r="K1235" i="1"/>
  <c r="F1235" i="1"/>
  <c r="F1235" i="1" a="1"/>
  <c r="W1234" i="1"/>
  <c r="W1234" i="1" a="1"/>
  <c r="V1234" i="1"/>
  <c r="U1234" i="1"/>
  <c r="Q1234" i="1"/>
  <c r="O1234" i="1"/>
  <c r="M1234" i="1"/>
  <c r="L1234" i="1"/>
  <c r="K1234" i="1"/>
  <c r="F1234" i="1"/>
  <c r="F1234" i="1" a="1"/>
  <c r="W1233" i="1"/>
  <c r="W1233" i="1" a="1"/>
  <c r="V1233" i="1"/>
  <c r="U1233" i="1"/>
  <c r="Q1233" i="1"/>
  <c r="O1233" i="1"/>
  <c r="M1233" i="1"/>
  <c r="L1233" i="1"/>
  <c r="K1233" i="1"/>
  <c r="F1233" i="1"/>
  <c r="F1233" i="1" a="1"/>
  <c r="W1232" i="1"/>
  <c r="W1232" i="1" a="1"/>
  <c r="V1232" i="1"/>
  <c r="U1232" i="1"/>
  <c r="Q1232" i="1"/>
  <c r="O1232" i="1"/>
  <c r="M1232" i="1"/>
  <c r="L1232" i="1"/>
  <c r="K1232" i="1"/>
  <c r="F1232" i="1"/>
  <c r="F1232" i="1" a="1"/>
  <c r="W1231" i="1"/>
  <c r="W1231" i="1" a="1"/>
  <c r="V1231" i="1"/>
  <c r="U1231" i="1"/>
  <c r="Q1231" i="1"/>
  <c r="O1231" i="1"/>
  <c r="M1231" i="1"/>
  <c r="L1231" i="1"/>
  <c r="K1231" i="1"/>
  <c r="F1231" i="1"/>
  <c r="F1231" i="1" a="1"/>
  <c r="W1230" i="1"/>
  <c r="W1230" i="1" a="1"/>
  <c r="V1230" i="1"/>
  <c r="U1230" i="1"/>
  <c r="Q1230" i="1"/>
  <c r="O1230" i="1"/>
  <c r="M1230" i="1"/>
  <c r="L1230" i="1"/>
  <c r="K1230" i="1"/>
  <c r="F1230" i="1"/>
  <c r="F1230" i="1" a="1"/>
  <c r="W1229" i="1"/>
  <c r="W1229" i="1" a="1"/>
  <c r="V1229" i="1"/>
  <c r="U1229" i="1"/>
  <c r="Q1229" i="1"/>
  <c r="O1229" i="1"/>
  <c r="M1229" i="1"/>
  <c r="L1229" i="1"/>
  <c r="K1229" i="1"/>
  <c r="F1229" i="1"/>
  <c r="F1229" i="1" a="1"/>
  <c r="W1228" i="1"/>
  <c r="W1228" i="1" a="1"/>
  <c r="V1228" i="1"/>
  <c r="U1228" i="1"/>
  <c r="Q1228" i="1"/>
  <c r="O1228" i="1"/>
  <c r="M1228" i="1"/>
  <c r="L1228" i="1"/>
  <c r="K1228" i="1"/>
  <c r="F1228" i="1"/>
  <c r="F1228" i="1" a="1"/>
  <c r="W1227" i="1"/>
  <c r="W1227" i="1" a="1"/>
  <c r="V1227" i="1"/>
  <c r="U1227" i="1"/>
  <c r="Q1227" i="1"/>
  <c r="O1227" i="1"/>
  <c r="M1227" i="1"/>
  <c r="L1227" i="1"/>
  <c r="K1227" i="1"/>
  <c r="F1227" i="1"/>
  <c r="F1227" i="1" a="1"/>
  <c r="W1226" i="1"/>
  <c r="W1226" i="1" a="1"/>
  <c r="V1226" i="1"/>
  <c r="U1226" i="1"/>
  <c r="Q1226" i="1"/>
  <c r="O1226" i="1"/>
  <c r="M1226" i="1"/>
  <c r="L1226" i="1"/>
  <c r="K1226" i="1"/>
  <c r="F1226" i="1"/>
  <c r="F1226" i="1" a="1"/>
  <c r="W1225" i="1"/>
  <c r="W1225" i="1" a="1"/>
  <c r="V1225" i="1"/>
  <c r="U1225" i="1"/>
  <c r="Q1225" i="1"/>
  <c r="O1225" i="1"/>
  <c r="M1225" i="1"/>
  <c r="L1225" i="1"/>
  <c r="K1225" i="1"/>
  <c r="F1225" i="1"/>
  <c r="F1225" i="1" a="1"/>
  <c r="W1224" i="1"/>
  <c r="W1224" i="1" a="1"/>
  <c r="V1224" i="1"/>
  <c r="U1224" i="1"/>
  <c r="Q1224" i="1"/>
  <c r="O1224" i="1"/>
  <c r="M1224" i="1"/>
  <c r="L1224" i="1"/>
  <c r="K1224" i="1"/>
  <c r="F1224" i="1"/>
  <c r="F1224" i="1" a="1"/>
  <c r="W1223" i="1"/>
  <c r="W1223" i="1" a="1"/>
  <c r="V1223" i="1"/>
  <c r="U1223" i="1"/>
  <c r="Q1223" i="1"/>
  <c r="O1223" i="1"/>
  <c r="M1223" i="1"/>
  <c r="L1223" i="1"/>
  <c r="K1223" i="1"/>
  <c r="F1223" i="1"/>
  <c r="F1223" i="1" a="1"/>
  <c r="W1222" i="1"/>
  <c r="W1222" i="1" a="1"/>
  <c r="V1222" i="1"/>
  <c r="U1222" i="1"/>
  <c r="Q1222" i="1"/>
  <c r="O1222" i="1"/>
  <c r="M1222" i="1"/>
  <c r="L1222" i="1"/>
  <c r="K1222" i="1"/>
  <c r="F1222" i="1"/>
  <c r="F1222" i="1" a="1"/>
  <c r="W1221" i="1"/>
  <c r="W1221" i="1" a="1"/>
  <c r="V1221" i="1"/>
  <c r="U1221" i="1"/>
  <c r="Q1221" i="1"/>
  <c r="O1221" i="1"/>
  <c r="M1221" i="1"/>
  <c r="L1221" i="1"/>
  <c r="K1221" i="1"/>
  <c r="F1221" i="1"/>
  <c r="F1221" i="1" a="1"/>
  <c r="W1220" i="1"/>
  <c r="W1220" i="1" a="1"/>
  <c r="V1220" i="1"/>
  <c r="U1220" i="1"/>
  <c r="Q1220" i="1"/>
  <c r="O1220" i="1"/>
  <c r="M1220" i="1"/>
  <c r="L1220" i="1"/>
  <c r="K1220" i="1"/>
  <c r="F1220" i="1"/>
  <c r="F1220" i="1" a="1"/>
  <c r="W1219" i="1"/>
  <c r="W1219" i="1" a="1"/>
  <c r="V1219" i="1"/>
  <c r="U1219" i="1"/>
  <c r="Q1219" i="1"/>
  <c r="O1219" i="1"/>
  <c r="M1219" i="1"/>
  <c r="L1219" i="1"/>
  <c r="K1219" i="1"/>
  <c r="F1219" i="1"/>
  <c r="F1219" i="1" a="1"/>
  <c r="W1218" i="1"/>
  <c r="W1218" i="1" a="1"/>
  <c r="V1218" i="1"/>
  <c r="U1218" i="1"/>
  <c r="Q1218" i="1"/>
  <c r="O1218" i="1"/>
  <c r="M1218" i="1"/>
  <c r="L1218" i="1"/>
  <c r="K1218" i="1"/>
  <c r="F1218" i="1"/>
  <c r="F1218" i="1" a="1"/>
  <c r="W1217" i="1"/>
  <c r="W1217" i="1" a="1"/>
  <c r="V1217" i="1"/>
  <c r="U1217" i="1"/>
  <c r="Q1217" i="1"/>
  <c r="O1217" i="1"/>
  <c r="M1217" i="1"/>
  <c r="L1217" i="1"/>
  <c r="K1217" i="1"/>
  <c r="F1217" i="1"/>
  <c r="F1217" i="1" a="1"/>
  <c r="W1216" i="1"/>
  <c r="W1216" i="1" a="1"/>
  <c r="V1216" i="1"/>
  <c r="U1216" i="1"/>
  <c r="Q1216" i="1"/>
  <c r="O1216" i="1"/>
  <c r="M1216" i="1"/>
  <c r="L1216" i="1"/>
  <c r="K1216" i="1"/>
  <c r="F1216" i="1"/>
  <c r="F1216" i="1" a="1"/>
  <c r="W1215" i="1"/>
  <c r="W1215" i="1" a="1"/>
  <c r="V1215" i="1"/>
  <c r="U1215" i="1"/>
  <c r="Q1215" i="1"/>
  <c r="O1215" i="1"/>
  <c r="M1215" i="1"/>
  <c r="L1215" i="1"/>
  <c r="K1215" i="1"/>
  <c r="F1215" i="1"/>
  <c r="F1215" i="1" a="1"/>
  <c r="W1214" i="1"/>
  <c r="W1214" i="1" a="1"/>
  <c r="V1214" i="1"/>
  <c r="U1214" i="1"/>
  <c r="Q1214" i="1"/>
  <c r="O1214" i="1"/>
  <c r="M1214" i="1"/>
  <c r="L1214" i="1"/>
  <c r="K1214" i="1"/>
  <c r="F1214" i="1"/>
  <c r="F1214" i="1" a="1"/>
  <c r="W1213" i="1"/>
  <c r="W1213" i="1" a="1"/>
  <c r="V1213" i="1"/>
  <c r="U1213" i="1"/>
  <c r="Q1213" i="1"/>
  <c r="O1213" i="1"/>
  <c r="M1213" i="1"/>
  <c r="L1213" i="1"/>
  <c r="K1213" i="1"/>
  <c r="F1213" i="1"/>
  <c r="F1213" i="1" a="1"/>
  <c r="W1212" i="1"/>
  <c r="W1212" i="1" a="1"/>
  <c r="V1212" i="1"/>
  <c r="U1212" i="1"/>
  <c r="Q1212" i="1"/>
  <c r="O1212" i="1"/>
  <c r="M1212" i="1"/>
  <c r="L1212" i="1"/>
  <c r="K1212" i="1"/>
  <c r="F1212" i="1"/>
  <c r="F1212" i="1" a="1"/>
  <c r="W1211" i="1"/>
  <c r="W1211" i="1" a="1"/>
  <c r="V1211" i="1"/>
  <c r="U1211" i="1"/>
  <c r="Q1211" i="1"/>
  <c r="O1211" i="1"/>
  <c r="M1211" i="1"/>
  <c r="L1211" i="1"/>
  <c r="K1211" i="1"/>
  <c r="F1211" i="1"/>
  <c r="F1211" i="1" a="1"/>
  <c r="W1210" i="1"/>
  <c r="W1210" i="1" a="1"/>
  <c r="V1210" i="1"/>
  <c r="U1210" i="1"/>
  <c r="Q1210" i="1"/>
  <c r="O1210" i="1"/>
  <c r="M1210" i="1"/>
  <c r="L1210" i="1"/>
  <c r="K1210" i="1"/>
  <c r="F1210" i="1"/>
  <c r="F1210" i="1" a="1"/>
  <c r="W1209" i="1"/>
  <c r="W1209" i="1" a="1"/>
  <c r="V1209" i="1"/>
  <c r="U1209" i="1"/>
  <c r="Q1209" i="1"/>
  <c r="O1209" i="1"/>
  <c r="M1209" i="1"/>
  <c r="L1209" i="1"/>
  <c r="K1209" i="1"/>
  <c r="F1209" i="1"/>
  <c r="F1209" i="1" a="1"/>
  <c r="W1208" i="1"/>
  <c r="W1208" i="1" a="1"/>
  <c r="V1208" i="1"/>
  <c r="U1208" i="1"/>
  <c r="Q1208" i="1"/>
  <c r="O1208" i="1"/>
  <c r="M1208" i="1"/>
  <c r="L1208" i="1"/>
  <c r="K1208" i="1"/>
  <c r="F1208" i="1"/>
  <c r="F1208" i="1" a="1"/>
  <c r="W1207" i="1"/>
  <c r="W1207" i="1" a="1"/>
  <c r="V1207" i="1"/>
  <c r="U1207" i="1"/>
  <c r="Q1207" i="1"/>
  <c r="O1207" i="1"/>
  <c r="M1207" i="1"/>
  <c r="L1207" i="1"/>
  <c r="K1207" i="1"/>
  <c r="F1207" i="1"/>
  <c r="F1207" i="1" a="1"/>
  <c r="W1206" i="1"/>
  <c r="W1206" i="1" a="1"/>
  <c r="V1206" i="1"/>
  <c r="U1206" i="1"/>
  <c r="Q1206" i="1"/>
  <c r="O1206" i="1"/>
  <c r="M1206" i="1"/>
  <c r="L1206" i="1"/>
  <c r="K1206" i="1"/>
  <c r="F1206" i="1"/>
  <c r="F1206" i="1" a="1"/>
  <c r="W1205" i="1"/>
  <c r="W1205" i="1" a="1"/>
  <c r="V1205" i="1"/>
  <c r="U1205" i="1"/>
  <c r="Q1205" i="1"/>
  <c r="O1205" i="1"/>
  <c r="M1205" i="1"/>
  <c r="L1205" i="1"/>
  <c r="K1205" i="1"/>
  <c r="F1205" i="1"/>
  <c r="F1205" i="1" a="1"/>
  <c r="W1204" i="1"/>
  <c r="W1204" i="1" a="1"/>
  <c r="V1204" i="1"/>
  <c r="U1204" i="1"/>
  <c r="Q1204" i="1"/>
  <c r="O1204" i="1"/>
  <c r="M1204" i="1"/>
  <c r="L1204" i="1"/>
  <c r="K1204" i="1"/>
  <c r="F1204" i="1"/>
  <c r="F1204" i="1" a="1"/>
  <c r="W1203" i="1"/>
  <c r="W1203" i="1" a="1"/>
  <c r="V1203" i="1"/>
  <c r="U1203" i="1"/>
  <c r="Q1203" i="1"/>
  <c r="O1203" i="1"/>
  <c r="M1203" i="1"/>
  <c r="L1203" i="1"/>
  <c r="K1203" i="1"/>
  <c r="F1203" i="1"/>
  <c r="F1203" i="1" a="1"/>
  <c r="W1202" i="1"/>
  <c r="W1202" i="1" a="1"/>
  <c r="V1202" i="1"/>
  <c r="U1202" i="1"/>
  <c r="Q1202" i="1"/>
  <c r="O1202" i="1"/>
  <c r="M1202" i="1"/>
  <c r="L1202" i="1"/>
  <c r="K1202" i="1"/>
  <c r="F1202" i="1"/>
  <c r="F1202" i="1" a="1"/>
  <c r="W1201" i="1"/>
  <c r="W1201" i="1" a="1"/>
  <c r="V1201" i="1"/>
  <c r="U1201" i="1"/>
  <c r="Q1201" i="1"/>
  <c r="O1201" i="1"/>
  <c r="M1201" i="1"/>
  <c r="L1201" i="1"/>
  <c r="K1201" i="1"/>
  <c r="F1201" i="1"/>
  <c r="F1201" i="1" a="1"/>
  <c r="W1200" i="1"/>
  <c r="W1200" i="1" a="1"/>
  <c r="V1200" i="1"/>
  <c r="U1200" i="1"/>
  <c r="Q1200" i="1"/>
  <c r="O1200" i="1"/>
  <c r="M1200" i="1"/>
  <c r="L1200" i="1"/>
  <c r="K1200" i="1"/>
  <c r="F1200" i="1"/>
  <c r="F1200" i="1" a="1"/>
  <c r="W1199" i="1"/>
  <c r="W1199" i="1" a="1"/>
  <c r="V1199" i="1"/>
  <c r="U1199" i="1"/>
  <c r="Q1199" i="1"/>
  <c r="O1199" i="1"/>
  <c r="M1199" i="1"/>
  <c r="L1199" i="1"/>
  <c r="K1199" i="1"/>
  <c r="F1199" i="1"/>
  <c r="F1199" i="1" a="1"/>
  <c r="W1198" i="1"/>
  <c r="W1198" i="1" a="1"/>
  <c r="V1198" i="1"/>
  <c r="U1198" i="1"/>
  <c r="Q1198" i="1"/>
  <c r="O1198" i="1"/>
  <c r="M1198" i="1"/>
  <c r="L1198" i="1"/>
  <c r="K1198" i="1"/>
  <c r="F1198" i="1"/>
  <c r="F1198" i="1" a="1"/>
  <c r="W1197" i="1"/>
  <c r="W1197" i="1" a="1"/>
  <c r="V1197" i="1"/>
  <c r="U1197" i="1"/>
  <c r="Q1197" i="1"/>
  <c r="O1197" i="1"/>
  <c r="M1197" i="1"/>
  <c r="L1197" i="1"/>
  <c r="K1197" i="1"/>
  <c r="F1197" i="1"/>
  <c r="F1197" i="1" a="1"/>
  <c r="W1196" i="1"/>
  <c r="W1196" i="1" a="1"/>
  <c r="V1196" i="1"/>
  <c r="U1196" i="1"/>
  <c r="Q1196" i="1"/>
  <c r="O1196" i="1"/>
  <c r="M1196" i="1"/>
  <c r="L1196" i="1"/>
  <c r="K1196" i="1"/>
  <c r="F1196" i="1"/>
  <c r="F1196" i="1" a="1"/>
  <c r="W1195" i="1"/>
  <c r="W1195" i="1" a="1"/>
  <c r="V1195" i="1"/>
  <c r="U1195" i="1"/>
  <c r="Q1195" i="1"/>
  <c r="O1195" i="1"/>
  <c r="M1195" i="1"/>
  <c r="L1195" i="1"/>
  <c r="K1195" i="1"/>
  <c r="F1195" i="1"/>
  <c r="F1195" i="1" a="1"/>
  <c r="W1194" i="1"/>
  <c r="W1194" i="1" a="1"/>
  <c r="V1194" i="1"/>
  <c r="U1194" i="1"/>
  <c r="Q1194" i="1"/>
  <c r="O1194" i="1"/>
  <c r="M1194" i="1"/>
  <c r="L1194" i="1"/>
  <c r="K1194" i="1"/>
  <c r="F1194" i="1"/>
  <c r="F1194" i="1" a="1"/>
  <c r="W1193" i="1"/>
  <c r="W1193" i="1" a="1"/>
  <c r="V1193" i="1"/>
  <c r="U1193" i="1"/>
  <c r="Q1193" i="1"/>
  <c r="O1193" i="1"/>
  <c r="M1193" i="1"/>
  <c r="L1193" i="1"/>
  <c r="K1193" i="1"/>
  <c r="F1193" i="1"/>
  <c r="F1193" i="1" a="1"/>
  <c r="W1192" i="1"/>
  <c r="W1192" i="1" a="1"/>
  <c r="V1192" i="1"/>
  <c r="U1192" i="1"/>
  <c r="Q1192" i="1"/>
  <c r="O1192" i="1"/>
  <c r="M1192" i="1"/>
  <c r="L1192" i="1"/>
  <c r="K1192" i="1"/>
  <c r="F1192" i="1"/>
  <c r="F1192" i="1" a="1"/>
  <c r="W1191" i="1"/>
  <c r="W1191" i="1" a="1"/>
  <c r="V1191" i="1"/>
  <c r="U1191" i="1"/>
  <c r="Q1191" i="1"/>
  <c r="O1191" i="1"/>
  <c r="M1191" i="1"/>
  <c r="L1191" i="1"/>
  <c r="K1191" i="1"/>
  <c r="F1191" i="1"/>
  <c r="F1191" i="1" a="1"/>
  <c r="W1190" i="1"/>
  <c r="W1190" i="1" a="1"/>
  <c r="V1190" i="1"/>
  <c r="U1190" i="1"/>
  <c r="Q1190" i="1"/>
  <c r="O1190" i="1"/>
  <c r="M1190" i="1"/>
  <c r="L1190" i="1"/>
  <c r="K1190" i="1"/>
  <c r="F1190" i="1"/>
  <c r="F1190" i="1" a="1"/>
  <c r="W1189" i="1"/>
  <c r="W1189" i="1" a="1"/>
  <c r="V1189" i="1"/>
  <c r="U1189" i="1"/>
  <c r="Q1189" i="1"/>
  <c r="O1189" i="1"/>
  <c r="M1189" i="1"/>
  <c r="L1189" i="1"/>
  <c r="K1189" i="1"/>
  <c r="F1189" i="1"/>
  <c r="F1189" i="1" a="1"/>
  <c r="W1188" i="1"/>
  <c r="W1188" i="1" a="1"/>
  <c r="V1188" i="1"/>
  <c r="U1188" i="1"/>
  <c r="Q1188" i="1"/>
  <c r="O1188" i="1"/>
  <c r="M1188" i="1"/>
  <c r="L1188" i="1"/>
  <c r="K1188" i="1"/>
  <c r="F1188" i="1"/>
  <c r="F1188" i="1" a="1"/>
  <c r="W1187" i="1"/>
  <c r="W1187" i="1" a="1"/>
  <c r="V1187" i="1"/>
  <c r="U1187" i="1"/>
  <c r="Q1187" i="1"/>
  <c r="O1187" i="1"/>
  <c r="M1187" i="1"/>
  <c r="L1187" i="1"/>
  <c r="K1187" i="1"/>
  <c r="F1187" i="1"/>
  <c r="F1187" i="1" a="1"/>
  <c r="W1186" i="1"/>
  <c r="W1186" i="1" a="1"/>
  <c r="V1186" i="1"/>
  <c r="U1186" i="1"/>
  <c r="Q1186" i="1"/>
  <c r="O1186" i="1"/>
  <c r="M1186" i="1"/>
  <c r="L1186" i="1"/>
  <c r="K1186" i="1"/>
  <c r="F1186" i="1"/>
  <c r="F1186" i="1" a="1"/>
  <c r="W1185" i="1"/>
  <c r="W1185" i="1" a="1"/>
  <c r="V1185" i="1"/>
  <c r="U1185" i="1"/>
  <c r="Q1185" i="1"/>
  <c r="O1185" i="1"/>
  <c r="M1185" i="1"/>
  <c r="L1185" i="1"/>
  <c r="K1185" i="1"/>
  <c r="F1185" i="1"/>
  <c r="F1185" i="1" a="1"/>
  <c r="W1184" i="1"/>
  <c r="W1184" i="1" a="1"/>
  <c r="V1184" i="1"/>
  <c r="U1184" i="1"/>
  <c r="Q1184" i="1"/>
  <c r="O1184" i="1"/>
  <c r="M1184" i="1"/>
  <c r="L1184" i="1"/>
  <c r="K1184" i="1"/>
  <c r="F1184" i="1"/>
  <c r="F1184" i="1" a="1"/>
  <c r="W1183" i="1"/>
  <c r="W1183" i="1" a="1"/>
  <c r="V1183" i="1"/>
  <c r="U1183" i="1"/>
  <c r="Q1183" i="1"/>
  <c r="O1183" i="1"/>
  <c r="M1183" i="1"/>
  <c r="L1183" i="1"/>
  <c r="K1183" i="1"/>
  <c r="F1183" i="1"/>
  <c r="F1183" i="1" a="1"/>
  <c r="W1182" i="1"/>
  <c r="W1182" i="1" a="1"/>
  <c r="V1182" i="1"/>
  <c r="U1182" i="1"/>
  <c r="Q1182" i="1"/>
  <c r="O1182" i="1"/>
  <c r="M1182" i="1"/>
  <c r="L1182" i="1"/>
  <c r="K1182" i="1"/>
  <c r="F1182" i="1"/>
  <c r="F1182" i="1" a="1"/>
  <c r="W1181" i="1"/>
  <c r="W1181" i="1" a="1"/>
  <c r="V1181" i="1"/>
  <c r="U1181" i="1"/>
  <c r="Q1181" i="1"/>
  <c r="O1181" i="1"/>
  <c r="M1181" i="1"/>
  <c r="L1181" i="1"/>
  <c r="K1181" i="1"/>
  <c r="F1181" i="1"/>
  <c r="F1181" i="1" a="1"/>
  <c r="W1180" i="1"/>
  <c r="W1180" i="1" a="1"/>
  <c r="V1180" i="1"/>
  <c r="U1180" i="1"/>
  <c r="Q1180" i="1"/>
  <c r="O1180" i="1"/>
  <c r="M1180" i="1"/>
  <c r="L1180" i="1"/>
  <c r="K1180" i="1"/>
  <c r="F1180" i="1"/>
  <c r="F1180" i="1" a="1"/>
  <c r="W1179" i="1"/>
  <c r="W1179" i="1" a="1"/>
  <c r="V1179" i="1"/>
  <c r="U1179" i="1"/>
  <c r="Q1179" i="1"/>
  <c r="O1179" i="1"/>
  <c r="M1179" i="1"/>
  <c r="L1179" i="1"/>
  <c r="K1179" i="1"/>
  <c r="F1179" i="1"/>
  <c r="F1179" i="1" a="1"/>
  <c r="W1178" i="1"/>
  <c r="W1178" i="1" a="1"/>
  <c r="V1178" i="1"/>
  <c r="U1178" i="1"/>
  <c r="Q1178" i="1"/>
  <c r="O1178" i="1"/>
  <c r="M1178" i="1"/>
  <c r="L1178" i="1"/>
  <c r="K1178" i="1"/>
  <c r="F1178" i="1"/>
  <c r="F1178" i="1" a="1"/>
  <c r="W1177" i="1"/>
  <c r="W1177" i="1" a="1"/>
  <c r="V1177" i="1"/>
  <c r="U1177" i="1"/>
  <c r="Q1177" i="1"/>
  <c r="O1177" i="1"/>
  <c r="M1177" i="1"/>
  <c r="L1177" i="1"/>
  <c r="K1177" i="1"/>
  <c r="F1177" i="1"/>
  <c r="F1177" i="1" a="1"/>
  <c r="W1176" i="1"/>
  <c r="W1176" i="1" a="1"/>
  <c r="V1176" i="1"/>
  <c r="U1176" i="1"/>
  <c r="Q1176" i="1"/>
  <c r="O1176" i="1"/>
  <c r="M1176" i="1"/>
  <c r="L1176" i="1"/>
  <c r="K1176" i="1"/>
  <c r="F1176" i="1"/>
  <c r="F1176" i="1" a="1"/>
  <c r="W1175" i="1"/>
  <c r="W1175" i="1" a="1"/>
  <c r="V1175" i="1"/>
  <c r="U1175" i="1"/>
  <c r="Q1175" i="1"/>
  <c r="O1175" i="1"/>
  <c r="M1175" i="1"/>
  <c r="L1175" i="1"/>
  <c r="K1175" i="1"/>
  <c r="F1175" i="1"/>
  <c r="F1175" i="1" a="1"/>
  <c r="W1174" i="1"/>
  <c r="W1174" i="1" a="1"/>
  <c r="V1174" i="1"/>
  <c r="U1174" i="1"/>
  <c r="Q1174" i="1"/>
  <c r="O1174" i="1"/>
  <c r="M1174" i="1"/>
  <c r="L1174" i="1"/>
  <c r="K1174" i="1"/>
  <c r="F1174" i="1"/>
  <c r="F1174" i="1" a="1"/>
  <c r="W1173" i="1"/>
  <c r="W1173" i="1" a="1"/>
  <c r="V1173" i="1"/>
  <c r="U1173" i="1"/>
  <c r="Q1173" i="1"/>
  <c r="O1173" i="1"/>
  <c r="M1173" i="1"/>
  <c r="L1173" i="1"/>
  <c r="K1173" i="1"/>
  <c r="F1173" i="1"/>
  <c r="F1173" i="1" a="1"/>
  <c r="W1172" i="1"/>
  <c r="W1172" i="1" a="1"/>
  <c r="V1172" i="1"/>
  <c r="U1172" i="1"/>
  <c r="Q1172" i="1"/>
  <c r="O1172" i="1"/>
  <c r="M1172" i="1"/>
  <c r="L1172" i="1"/>
  <c r="K1172" i="1"/>
  <c r="F1172" i="1"/>
  <c r="F1172" i="1" a="1"/>
  <c r="W1171" i="1"/>
  <c r="W1171" i="1" a="1"/>
  <c r="V1171" i="1"/>
  <c r="U1171" i="1"/>
  <c r="Q1171" i="1"/>
  <c r="O1171" i="1"/>
  <c r="M1171" i="1"/>
  <c r="L1171" i="1"/>
  <c r="K1171" i="1"/>
  <c r="F1171" i="1"/>
  <c r="F1171" i="1" a="1"/>
  <c r="W1170" i="1"/>
  <c r="W1170" i="1" a="1"/>
  <c r="V1170" i="1"/>
  <c r="U1170" i="1"/>
  <c r="Q1170" i="1"/>
  <c r="O1170" i="1"/>
  <c r="M1170" i="1"/>
  <c r="L1170" i="1"/>
  <c r="K1170" i="1"/>
  <c r="F1170" i="1"/>
  <c r="F1170" i="1" a="1"/>
  <c r="W1169" i="1"/>
  <c r="W1169" i="1" a="1"/>
  <c r="V1169" i="1"/>
  <c r="U1169" i="1"/>
  <c r="Q1169" i="1"/>
  <c r="O1169" i="1"/>
  <c r="M1169" i="1"/>
  <c r="L1169" i="1"/>
  <c r="K1169" i="1"/>
  <c r="F1169" i="1"/>
  <c r="F1169" i="1" a="1"/>
  <c r="W1168" i="1"/>
  <c r="W1168" i="1" a="1"/>
  <c r="V1168" i="1"/>
  <c r="U1168" i="1"/>
  <c r="Q1168" i="1"/>
  <c r="O1168" i="1"/>
  <c r="M1168" i="1"/>
  <c r="L1168" i="1"/>
  <c r="K1168" i="1"/>
  <c r="F1168" i="1"/>
  <c r="F1168" i="1" a="1"/>
  <c r="W1167" i="1"/>
  <c r="W1167" i="1" a="1"/>
  <c r="V1167" i="1"/>
  <c r="U1167" i="1"/>
  <c r="Q1167" i="1"/>
  <c r="O1167" i="1"/>
  <c r="M1167" i="1"/>
  <c r="L1167" i="1"/>
  <c r="K1167" i="1"/>
  <c r="F1167" i="1"/>
  <c r="F1167" i="1" a="1"/>
  <c r="W1166" i="1"/>
  <c r="W1166" i="1" a="1"/>
  <c r="V1166" i="1"/>
  <c r="U1166" i="1"/>
  <c r="Q1166" i="1"/>
  <c r="O1166" i="1"/>
  <c r="M1166" i="1"/>
  <c r="L1166" i="1"/>
  <c r="K1166" i="1"/>
  <c r="F1166" i="1"/>
  <c r="F1166" i="1" a="1"/>
  <c r="W1165" i="1"/>
  <c r="W1165" i="1" a="1"/>
  <c r="V1165" i="1"/>
  <c r="U1165" i="1"/>
  <c r="Q1165" i="1"/>
  <c r="O1165" i="1"/>
  <c r="M1165" i="1"/>
  <c r="L1165" i="1"/>
  <c r="K1165" i="1"/>
  <c r="F1165" i="1"/>
  <c r="F1165" i="1" a="1"/>
  <c r="W1164" i="1"/>
  <c r="W1164" i="1" a="1"/>
  <c r="V1164" i="1"/>
  <c r="U1164" i="1"/>
  <c r="Q1164" i="1"/>
  <c r="O1164" i="1"/>
  <c r="M1164" i="1"/>
  <c r="L1164" i="1"/>
  <c r="K1164" i="1"/>
  <c r="F1164" i="1"/>
  <c r="F1164" i="1" a="1"/>
  <c r="W1163" i="1"/>
  <c r="W1163" i="1" a="1"/>
  <c r="V1163" i="1"/>
  <c r="U1163" i="1"/>
  <c r="Q1163" i="1"/>
  <c r="O1163" i="1"/>
  <c r="M1163" i="1"/>
  <c r="L1163" i="1"/>
  <c r="K1163" i="1"/>
  <c r="F1163" i="1"/>
  <c r="F1163" i="1" a="1"/>
  <c r="W1162" i="1"/>
  <c r="W1162" i="1" a="1"/>
  <c r="V1162" i="1"/>
  <c r="U1162" i="1"/>
  <c r="Q1162" i="1"/>
  <c r="O1162" i="1"/>
  <c r="M1162" i="1"/>
  <c r="L1162" i="1"/>
  <c r="K1162" i="1"/>
  <c r="F1162" i="1"/>
  <c r="F1162" i="1" a="1"/>
  <c r="W1161" i="1"/>
  <c r="W1161" i="1" a="1"/>
  <c r="V1161" i="1"/>
  <c r="U1161" i="1"/>
  <c r="Q1161" i="1"/>
  <c r="O1161" i="1"/>
  <c r="M1161" i="1"/>
  <c r="L1161" i="1"/>
  <c r="K1161" i="1"/>
  <c r="F1161" i="1"/>
  <c r="F1161" i="1" a="1"/>
  <c r="W1160" i="1"/>
  <c r="W1160" i="1" a="1"/>
  <c r="V1160" i="1"/>
  <c r="U1160" i="1"/>
  <c r="Q1160" i="1"/>
  <c r="O1160" i="1"/>
  <c r="M1160" i="1"/>
  <c r="L1160" i="1"/>
  <c r="K1160" i="1"/>
  <c r="F1160" i="1"/>
  <c r="F1160" i="1" a="1"/>
  <c r="W1159" i="1"/>
  <c r="W1159" i="1" a="1"/>
  <c r="V1159" i="1"/>
  <c r="U1159" i="1"/>
  <c r="Q1159" i="1"/>
  <c r="O1159" i="1"/>
  <c r="M1159" i="1"/>
  <c r="L1159" i="1"/>
  <c r="K1159" i="1"/>
  <c r="F1159" i="1"/>
  <c r="F1159" i="1" a="1"/>
  <c r="W1158" i="1"/>
  <c r="W1158" i="1" a="1"/>
  <c r="V1158" i="1"/>
  <c r="U1158" i="1"/>
  <c r="Q1158" i="1"/>
  <c r="O1158" i="1"/>
  <c r="M1158" i="1"/>
  <c r="L1158" i="1"/>
  <c r="K1158" i="1"/>
  <c r="F1158" i="1"/>
  <c r="F1158" i="1" a="1"/>
  <c r="W1157" i="1"/>
  <c r="W1157" i="1" a="1"/>
  <c r="V1157" i="1"/>
  <c r="U1157" i="1"/>
  <c r="Q1157" i="1"/>
  <c r="O1157" i="1"/>
  <c r="M1157" i="1"/>
  <c r="L1157" i="1"/>
  <c r="K1157" i="1"/>
  <c r="F1157" i="1"/>
  <c r="F1157" i="1" a="1"/>
  <c r="W1156" i="1"/>
  <c r="W1156" i="1" a="1"/>
  <c r="V1156" i="1"/>
  <c r="U1156" i="1"/>
  <c r="Q1156" i="1"/>
  <c r="O1156" i="1"/>
  <c r="M1156" i="1"/>
  <c r="L1156" i="1"/>
  <c r="K1156" i="1"/>
  <c r="F1156" i="1"/>
  <c r="F1156" i="1" a="1"/>
  <c r="W1155" i="1"/>
  <c r="W1155" i="1" a="1"/>
  <c r="V1155" i="1"/>
  <c r="U1155" i="1"/>
  <c r="Q1155" i="1"/>
  <c r="O1155" i="1"/>
  <c r="M1155" i="1"/>
  <c r="L1155" i="1"/>
  <c r="K1155" i="1"/>
  <c r="F1155" i="1"/>
  <c r="F1155" i="1" a="1"/>
  <c r="W1154" i="1"/>
  <c r="W1154" i="1" a="1"/>
  <c r="V1154" i="1"/>
  <c r="U1154" i="1"/>
  <c r="Q1154" i="1"/>
  <c r="O1154" i="1"/>
  <c r="M1154" i="1"/>
  <c r="L1154" i="1"/>
  <c r="K1154" i="1"/>
  <c r="F1154" i="1"/>
  <c r="F1154" i="1" a="1"/>
  <c r="W1153" i="1"/>
  <c r="W1153" i="1" a="1"/>
  <c r="V1153" i="1"/>
  <c r="U1153" i="1"/>
  <c r="Q1153" i="1"/>
  <c r="O1153" i="1"/>
  <c r="M1153" i="1"/>
  <c r="L1153" i="1"/>
  <c r="K1153" i="1"/>
  <c r="F1153" i="1"/>
  <c r="F1153" i="1" a="1"/>
  <c r="W1152" i="1"/>
  <c r="W1152" i="1" a="1"/>
  <c r="V1152" i="1"/>
  <c r="U1152" i="1"/>
  <c r="Q1152" i="1"/>
  <c r="O1152" i="1"/>
  <c r="M1152" i="1"/>
  <c r="L1152" i="1"/>
  <c r="K1152" i="1"/>
  <c r="F1152" i="1"/>
  <c r="F1152" i="1" a="1"/>
  <c r="W1151" i="1"/>
  <c r="W1151" i="1" a="1"/>
  <c r="V1151" i="1"/>
  <c r="U1151" i="1"/>
  <c r="Q1151" i="1"/>
  <c r="O1151" i="1"/>
  <c r="M1151" i="1"/>
  <c r="L1151" i="1"/>
  <c r="K1151" i="1"/>
  <c r="F1151" i="1"/>
  <c r="F1151" i="1" a="1"/>
  <c r="W1150" i="1"/>
  <c r="W1150" i="1" a="1"/>
  <c r="V1150" i="1"/>
  <c r="U1150" i="1"/>
  <c r="Q1150" i="1"/>
  <c r="O1150" i="1"/>
  <c r="M1150" i="1"/>
  <c r="L1150" i="1"/>
  <c r="K1150" i="1"/>
  <c r="F1150" i="1"/>
  <c r="F1150" i="1" a="1"/>
  <c r="W1149" i="1"/>
  <c r="W1149" i="1" a="1"/>
  <c r="V1149" i="1"/>
  <c r="U1149" i="1"/>
  <c r="Q1149" i="1"/>
  <c r="O1149" i="1"/>
  <c r="M1149" i="1"/>
  <c r="L1149" i="1"/>
  <c r="K1149" i="1"/>
  <c r="F1149" i="1"/>
  <c r="F1149" i="1" a="1"/>
  <c r="W1148" i="1"/>
  <c r="W1148" i="1" a="1"/>
  <c r="V1148" i="1"/>
  <c r="U1148" i="1"/>
  <c r="Q1148" i="1"/>
  <c r="O1148" i="1"/>
  <c r="M1148" i="1"/>
  <c r="L1148" i="1"/>
  <c r="K1148" i="1"/>
  <c r="F1148" i="1"/>
  <c r="F1148" i="1" a="1"/>
  <c r="W1147" i="1"/>
  <c r="W1147" i="1" a="1"/>
  <c r="V1147" i="1"/>
  <c r="U1147" i="1"/>
  <c r="Q1147" i="1"/>
  <c r="O1147" i="1"/>
  <c r="M1147" i="1"/>
  <c r="L1147" i="1"/>
  <c r="K1147" i="1"/>
  <c r="F1147" i="1"/>
  <c r="F1147" i="1" a="1"/>
  <c r="W1146" i="1"/>
  <c r="W1146" i="1" a="1"/>
  <c r="V1146" i="1"/>
  <c r="U1146" i="1"/>
  <c r="Q1146" i="1"/>
  <c r="O1146" i="1"/>
  <c r="M1146" i="1"/>
  <c r="L1146" i="1"/>
  <c r="K1146" i="1"/>
  <c r="F1146" i="1"/>
  <c r="F1146" i="1" a="1"/>
  <c r="W1145" i="1"/>
  <c r="W1145" i="1" a="1"/>
  <c r="V1145" i="1"/>
  <c r="U1145" i="1"/>
  <c r="Q1145" i="1"/>
  <c r="O1145" i="1"/>
  <c r="M1145" i="1"/>
  <c r="L1145" i="1"/>
  <c r="K1145" i="1"/>
  <c r="F1145" i="1"/>
  <c r="F1145" i="1" a="1"/>
  <c r="W1144" i="1"/>
  <c r="W1144" i="1" a="1"/>
  <c r="V1144" i="1"/>
  <c r="U1144" i="1"/>
  <c r="Q1144" i="1"/>
  <c r="O1144" i="1"/>
  <c r="M1144" i="1"/>
  <c r="L1144" i="1"/>
  <c r="K1144" i="1"/>
  <c r="F1144" i="1"/>
  <c r="F1144" i="1" a="1"/>
  <c r="W1143" i="1"/>
  <c r="W1143" i="1" a="1"/>
  <c r="V1143" i="1"/>
  <c r="U1143" i="1"/>
  <c r="Q1143" i="1"/>
  <c r="O1143" i="1"/>
  <c r="M1143" i="1"/>
  <c r="L1143" i="1"/>
  <c r="K1143" i="1"/>
  <c r="F1143" i="1"/>
  <c r="F1143" i="1" a="1"/>
  <c r="W1142" i="1"/>
  <c r="W1142" i="1" a="1"/>
  <c r="V1142" i="1"/>
  <c r="U1142" i="1"/>
  <c r="Q1142" i="1"/>
  <c r="O1142" i="1"/>
  <c r="M1142" i="1"/>
  <c r="L1142" i="1"/>
  <c r="K1142" i="1"/>
  <c r="F1142" i="1"/>
  <c r="F1142" i="1" a="1"/>
  <c r="W1141" i="1"/>
  <c r="W1141" i="1" a="1"/>
  <c r="V1141" i="1"/>
  <c r="U1141" i="1"/>
  <c r="Q1141" i="1"/>
  <c r="O1141" i="1"/>
  <c r="M1141" i="1"/>
  <c r="L1141" i="1"/>
  <c r="K1141" i="1"/>
  <c r="F1141" i="1"/>
  <c r="F1141" i="1" a="1"/>
  <c r="W1140" i="1"/>
  <c r="W1140" i="1" a="1"/>
  <c r="V1140" i="1"/>
  <c r="U1140" i="1"/>
  <c r="Q1140" i="1"/>
  <c r="O1140" i="1"/>
  <c r="M1140" i="1"/>
  <c r="L1140" i="1"/>
  <c r="K1140" i="1"/>
  <c r="F1140" i="1"/>
  <c r="F1140" i="1" a="1"/>
  <c r="W1139" i="1"/>
  <c r="W1139" i="1" a="1"/>
  <c r="V1139" i="1"/>
  <c r="U1139" i="1"/>
  <c r="Q1139" i="1"/>
  <c r="O1139" i="1"/>
  <c r="M1139" i="1"/>
  <c r="L1139" i="1"/>
  <c r="K1139" i="1"/>
  <c r="F1139" i="1"/>
  <c r="F1139" i="1" a="1"/>
  <c r="W1138" i="1"/>
  <c r="W1138" i="1" a="1"/>
  <c r="V1138" i="1"/>
  <c r="U1138" i="1"/>
  <c r="Q1138" i="1"/>
  <c r="O1138" i="1"/>
  <c r="M1138" i="1"/>
  <c r="L1138" i="1"/>
  <c r="K1138" i="1"/>
  <c r="F1138" i="1"/>
  <c r="F1138" i="1" a="1"/>
  <c r="W1137" i="1"/>
  <c r="W1137" i="1" a="1"/>
  <c r="V1137" i="1"/>
  <c r="U1137" i="1"/>
  <c r="Q1137" i="1"/>
  <c r="O1137" i="1"/>
  <c r="M1137" i="1"/>
  <c r="L1137" i="1"/>
  <c r="K1137" i="1"/>
  <c r="F1137" i="1"/>
  <c r="F1137" i="1" a="1"/>
  <c r="W1136" i="1"/>
  <c r="W1136" i="1" a="1"/>
  <c r="V1136" i="1"/>
  <c r="U1136" i="1"/>
  <c r="Q1136" i="1"/>
  <c r="O1136" i="1"/>
  <c r="M1136" i="1"/>
  <c r="L1136" i="1"/>
  <c r="K1136" i="1"/>
  <c r="F1136" i="1"/>
  <c r="F1136" i="1" a="1"/>
  <c r="W1135" i="1"/>
  <c r="W1135" i="1" a="1"/>
  <c r="V1135" i="1"/>
  <c r="U1135" i="1"/>
  <c r="Q1135" i="1"/>
  <c r="O1135" i="1"/>
  <c r="M1135" i="1"/>
  <c r="L1135" i="1"/>
  <c r="K1135" i="1"/>
  <c r="F1135" i="1"/>
  <c r="F1135" i="1" a="1"/>
  <c r="W1134" i="1"/>
  <c r="W1134" i="1" a="1"/>
  <c r="V1134" i="1"/>
  <c r="U1134" i="1"/>
  <c r="Q1134" i="1"/>
  <c r="O1134" i="1"/>
  <c r="M1134" i="1"/>
  <c r="L1134" i="1"/>
  <c r="K1134" i="1"/>
  <c r="F1134" i="1"/>
  <c r="F1134" i="1" a="1"/>
  <c r="W1133" i="1"/>
  <c r="W1133" i="1" a="1"/>
  <c r="V1133" i="1"/>
  <c r="U1133" i="1"/>
  <c r="Q1133" i="1"/>
  <c r="O1133" i="1"/>
  <c r="M1133" i="1"/>
  <c r="L1133" i="1"/>
  <c r="K1133" i="1"/>
  <c r="F1133" i="1"/>
  <c r="F1133" i="1" a="1"/>
  <c r="W1132" i="1"/>
  <c r="W1132" i="1" a="1"/>
  <c r="V1132" i="1"/>
  <c r="U1132" i="1"/>
  <c r="Q1132" i="1"/>
  <c r="O1132" i="1"/>
  <c r="M1132" i="1"/>
  <c r="L1132" i="1"/>
  <c r="K1132" i="1"/>
  <c r="F1132" i="1"/>
  <c r="F1132" i="1" a="1"/>
  <c r="W1131" i="1"/>
  <c r="W1131" i="1" a="1"/>
  <c r="V1131" i="1"/>
  <c r="U1131" i="1"/>
  <c r="Q1131" i="1"/>
  <c r="O1131" i="1"/>
  <c r="M1131" i="1"/>
  <c r="L1131" i="1"/>
  <c r="K1131" i="1"/>
  <c r="F1131" i="1"/>
  <c r="F1131" i="1" a="1"/>
  <c r="W1130" i="1"/>
  <c r="W1130" i="1" a="1"/>
  <c r="V1130" i="1"/>
  <c r="U1130" i="1"/>
  <c r="Q1130" i="1"/>
  <c r="O1130" i="1"/>
  <c r="M1130" i="1"/>
  <c r="L1130" i="1"/>
  <c r="K1130" i="1"/>
  <c r="F1130" i="1"/>
  <c r="F1130" i="1" a="1"/>
  <c r="W1129" i="1"/>
  <c r="W1129" i="1" a="1"/>
  <c r="V1129" i="1"/>
  <c r="U1129" i="1"/>
  <c r="Q1129" i="1"/>
  <c r="O1129" i="1"/>
  <c r="M1129" i="1"/>
  <c r="L1129" i="1"/>
  <c r="K1129" i="1"/>
  <c r="F1129" i="1"/>
  <c r="F1129" i="1" a="1"/>
  <c r="W1128" i="1"/>
  <c r="W1128" i="1" a="1"/>
  <c r="V1128" i="1"/>
  <c r="U1128" i="1"/>
  <c r="Q1128" i="1"/>
  <c r="O1128" i="1"/>
  <c r="M1128" i="1"/>
  <c r="L1128" i="1"/>
  <c r="K1128" i="1"/>
  <c r="F1128" i="1"/>
  <c r="F1128" i="1" a="1"/>
  <c r="W1127" i="1"/>
  <c r="W1127" i="1" a="1"/>
  <c r="V1127" i="1"/>
  <c r="U1127" i="1"/>
  <c r="Q1127" i="1"/>
  <c r="O1127" i="1"/>
  <c r="M1127" i="1"/>
  <c r="L1127" i="1"/>
  <c r="K1127" i="1"/>
  <c r="F1127" i="1"/>
  <c r="F1127" i="1" a="1"/>
  <c r="W1126" i="1"/>
  <c r="W1126" i="1" a="1"/>
  <c r="V1126" i="1"/>
  <c r="U1126" i="1"/>
  <c r="Q1126" i="1"/>
  <c r="O1126" i="1"/>
  <c r="M1126" i="1"/>
  <c r="L1126" i="1"/>
  <c r="K1126" i="1"/>
  <c r="F1126" i="1"/>
  <c r="F1126" i="1" a="1"/>
  <c r="W1125" i="1"/>
  <c r="W1125" i="1" a="1"/>
  <c r="V1125" i="1"/>
  <c r="U1125" i="1"/>
  <c r="Q1125" i="1"/>
  <c r="O1125" i="1"/>
  <c r="M1125" i="1"/>
  <c r="L1125" i="1"/>
  <c r="K1125" i="1"/>
  <c r="F1125" i="1"/>
  <c r="F1125" i="1" a="1"/>
  <c r="W1124" i="1"/>
  <c r="W1124" i="1" a="1"/>
  <c r="V1124" i="1"/>
  <c r="U1124" i="1"/>
  <c r="Q1124" i="1"/>
  <c r="O1124" i="1"/>
  <c r="M1124" i="1"/>
  <c r="L1124" i="1"/>
  <c r="K1124" i="1"/>
  <c r="F1124" i="1"/>
  <c r="F1124" i="1" a="1"/>
  <c r="W1123" i="1"/>
  <c r="W1123" i="1" a="1"/>
  <c r="V1123" i="1"/>
  <c r="U1123" i="1"/>
  <c r="Q1123" i="1"/>
  <c r="O1123" i="1"/>
  <c r="M1123" i="1"/>
  <c r="L1123" i="1"/>
  <c r="K1123" i="1"/>
  <c r="F1123" i="1"/>
  <c r="F1123" i="1" a="1"/>
  <c r="W1122" i="1"/>
  <c r="W1122" i="1" a="1"/>
  <c r="V1122" i="1"/>
  <c r="U1122" i="1"/>
  <c r="Q1122" i="1"/>
  <c r="O1122" i="1"/>
  <c r="M1122" i="1"/>
  <c r="L1122" i="1"/>
  <c r="K1122" i="1"/>
  <c r="F1122" i="1"/>
  <c r="F1122" i="1" a="1"/>
  <c r="W1121" i="1"/>
  <c r="W1121" i="1" a="1"/>
  <c r="V1121" i="1"/>
  <c r="U1121" i="1"/>
  <c r="Q1121" i="1"/>
  <c r="O1121" i="1"/>
  <c r="M1121" i="1"/>
  <c r="L1121" i="1"/>
  <c r="K1121" i="1"/>
  <c r="F1121" i="1"/>
  <c r="F1121" i="1" a="1"/>
  <c r="W1120" i="1"/>
  <c r="W1120" i="1" a="1"/>
  <c r="V1120" i="1"/>
  <c r="U1120" i="1"/>
  <c r="Q1120" i="1"/>
  <c r="O1120" i="1"/>
  <c r="M1120" i="1"/>
  <c r="L1120" i="1"/>
  <c r="K1120" i="1"/>
  <c r="F1120" i="1"/>
  <c r="F1120" i="1" a="1"/>
  <c r="W1119" i="1"/>
  <c r="W1119" i="1" a="1"/>
  <c r="V1119" i="1"/>
  <c r="U1119" i="1"/>
  <c r="Q1119" i="1"/>
  <c r="O1119" i="1"/>
  <c r="M1119" i="1"/>
  <c r="L1119" i="1"/>
  <c r="K1119" i="1"/>
  <c r="F1119" i="1"/>
  <c r="F1119" i="1" a="1"/>
  <c r="W1118" i="1"/>
  <c r="W1118" i="1" a="1"/>
  <c r="V1118" i="1"/>
  <c r="U1118" i="1"/>
  <c r="Q1118" i="1"/>
  <c r="O1118" i="1"/>
  <c r="M1118" i="1"/>
  <c r="L1118" i="1"/>
  <c r="K1118" i="1"/>
  <c r="F1118" i="1"/>
  <c r="F1118" i="1" a="1"/>
  <c r="W1117" i="1"/>
  <c r="W1117" i="1" a="1"/>
  <c r="V1117" i="1"/>
  <c r="U1117" i="1"/>
  <c r="Q1117" i="1"/>
  <c r="O1117" i="1"/>
  <c r="M1117" i="1"/>
  <c r="L1117" i="1"/>
  <c r="K1117" i="1"/>
  <c r="F1117" i="1"/>
  <c r="F1117" i="1" a="1"/>
  <c r="W1116" i="1"/>
  <c r="W1116" i="1" a="1"/>
  <c r="V1116" i="1"/>
  <c r="U1116" i="1"/>
  <c r="Q1116" i="1"/>
  <c r="O1116" i="1"/>
  <c r="M1116" i="1"/>
  <c r="L1116" i="1"/>
  <c r="K1116" i="1"/>
  <c r="F1116" i="1"/>
  <c r="F1116" i="1" a="1"/>
  <c r="W1115" i="1"/>
  <c r="W1115" i="1" a="1"/>
  <c r="V1115" i="1"/>
  <c r="U1115" i="1"/>
  <c r="Q1115" i="1"/>
  <c r="O1115" i="1"/>
  <c r="M1115" i="1"/>
  <c r="L1115" i="1"/>
  <c r="K1115" i="1"/>
  <c r="F1115" i="1"/>
  <c r="F1115" i="1" a="1"/>
  <c r="W1114" i="1"/>
  <c r="W1114" i="1" a="1"/>
  <c r="V1114" i="1"/>
  <c r="U1114" i="1"/>
  <c r="Q1114" i="1"/>
  <c r="O1114" i="1"/>
  <c r="M1114" i="1"/>
  <c r="L1114" i="1"/>
  <c r="K1114" i="1"/>
  <c r="F1114" i="1"/>
  <c r="F1114" i="1" a="1"/>
  <c r="W1113" i="1"/>
  <c r="W1113" i="1" a="1"/>
  <c r="V1113" i="1"/>
  <c r="U1113" i="1"/>
  <c r="Q1113" i="1"/>
  <c r="O1113" i="1"/>
  <c r="M1113" i="1"/>
  <c r="L1113" i="1"/>
  <c r="K1113" i="1"/>
  <c r="F1113" i="1"/>
  <c r="F1113" i="1" a="1"/>
  <c r="W1112" i="1"/>
  <c r="W1112" i="1" a="1"/>
  <c r="V1112" i="1"/>
  <c r="U1112" i="1"/>
  <c r="Q1112" i="1"/>
  <c r="O1112" i="1"/>
  <c r="M1112" i="1"/>
  <c r="L1112" i="1"/>
  <c r="K1112" i="1"/>
  <c r="F1112" i="1"/>
  <c r="F1112" i="1" a="1"/>
  <c r="W1111" i="1"/>
  <c r="W1111" i="1" a="1"/>
  <c r="V1111" i="1"/>
  <c r="U1111" i="1"/>
  <c r="Q1111" i="1"/>
  <c r="O1111" i="1"/>
  <c r="M1111" i="1"/>
  <c r="L1111" i="1"/>
  <c r="K1111" i="1"/>
  <c r="F1111" i="1"/>
  <c r="F1111" i="1" a="1"/>
  <c r="W1110" i="1"/>
  <c r="W1110" i="1" a="1"/>
  <c r="V1110" i="1"/>
  <c r="U1110" i="1"/>
  <c r="Q1110" i="1"/>
  <c r="O1110" i="1"/>
  <c r="M1110" i="1"/>
  <c r="L1110" i="1"/>
  <c r="K1110" i="1"/>
  <c r="F1110" i="1"/>
  <c r="F1110" i="1" a="1"/>
  <c r="W1109" i="1"/>
  <c r="W1109" i="1" a="1"/>
  <c r="V1109" i="1"/>
  <c r="U1109" i="1"/>
  <c r="Q1109" i="1"/>
  <c r="O1109" i="1"/>
  <c r="M1109" i="1"/>
  <c r="L1109" i="1"/>
  <c r="K1109" i="1"/>
  <c r="F1109" i="1"/>
  <c r="F1109" i="1" a="1"/>
  <c r="W1108" i="1"/>
  <c r="W1108" i="1" a="1"/>
  <c r="V1108" i="1"/>
  <c r="U1108" i="1"/>
  <c r="Q1108" i="1"/>
  <c r="O1108" i="1"/>
  <c r="M1108" i="1"/>
  <c r="L1108" i="1"/>
  <c r="K1108" i="1"/>
  <c r="F1108" i="1"/>
  <c r="F1108" i="1" a="1"/>
  <c r="W1107" i="1"/>
  <c r="W1107" i="1" a="1"/>
  <c r="V1107" i="1"/>
  <c r="U1107" i="1"/>
  <c r="Q1107" i="1"/>
  <c r="O1107" i="1"/>
  <c r="M1107" i="1"/>
  <c r="L1107" i="1"/>
  <c r="K1107" i="1"/>
  <c r="F1107" i="1"/>
  <c r="F1107" i="1" a="1"/>
  <c r="W1106" i="1"/>
  <c r="W1106" i="1" a="1"/>
  <c r="V1106" i="1"/>
  <c r="U1106" i="1"/>
  <c r="Q1106" i="1"/>
  <c r="O1106" i="1"/>
  <c r="M1106" i="1"/>
  <c r="L1106" i="1"/>
  <c r="K1106" i="1"/>
  <c r="F1106" i="1"/>
  <c r="F1106" i="1" a="1"/>
  <c r="W1105" i="1"/>
  <c r="W1105" i="1" a="1"/>
  <c r="V1105" i="1"/>
  <c r="U1105" i="1"/>
  <c r="Q1105" i="1"/>
  <c r="O1105" i="1"/>
  <c r="M1105" i="1"/>
  <c r="L1105" i="1"/>
  <c r="K1105" i="1"/>
  <c r="F1105" i="1"/>
  <c r="F1105" i="1" a="1"/>
  <c r="W1104" i="1"/>
  <c r="W1104" i="1" a="1"/>
  <c r="V1104" i="1"/>
  <c r="U1104" i="1"/>
  <c r="Q1104" i="1"/>
  <c r="O1104" i="1"/>
  <c r="M1104" i="1"/>
  <c r="L1104" i="1"/>
  <c r="K1104" i="1"/>
  <c r="F1104" i="1"/>
  <c r="F1104" i="1" a="1"/>
  <c r="W1103" i="1"/>
  <c r="W1103" i="1" a="1"/>
  <c r="V1103" i="1"/>
  <c r="U1103" i="1"/>
  <c r="Q1103" i="1"/>
  <c r="O1103" i="1"/>
  <c r="M1103" i="1"/>
  <c r="L1103" i="1"/>
  <c r="K1103" i="1"/>
  <c r="F1103" i="1"/>
  <c r="F1103" i="1" a="1"/>
  <c r="W1102" i="1"/>
  <c r="W1102" i="1" a="1"/>
  <c r="V1102" i="1"/>
  <c r="U1102" i="1"/>
  <c r="Q1102" i="1"/>
  <c r="O1102" i="1"/>
  <c r="M1102" i="1"/>
  <c r="L1102" i="1"/>
  <c r="K1102" i="1"/>
  <c r="F1102" i="1"/>
  <c r="F1102" i="1" a="1"/>
  <c r="W1101" i="1"/>
  <c r="W1101" i="1" a="1"/>
  <c r="V1101" i="1"/>
  <c r="U1101" i="1"/>
  <c r="Q1101" i="1"/>
  <c r="O1101" i="1"/>
  <c r="M1101" i="1"/>
  <c r="L1101" i="1"/>
  <c r="K1101" i="1"/>
  <c r="F1101" i="1"/>
  <c r="F1101" i="1" a="1"/>
  <c r="W1100" i="1"/>
  <c r="W1100" i="1" a="1"/>
  <c r="V1100" i="1"/>
  <c r="U1100" i="1"/>
  <c r="Q1100" i="1"/>
  <c r="O1100" i="1"/>
  <c r="M1100" i="1"/>
  <c r="L1100" i="1"/>
  <c r="K1100" i="1"/>
  <c r="F1100" i="1"/>
  <c r="F1100" i="1" a="1"/>
  <c r="W1099" i="1"/>
  <c r="W1099" i="1" a="1"/>
  <c r="V1099" i="1"/>
  <c r="U1099" i="1"/>
  <c r="Q1099" i="1"/>
  <c r="O1099" i="1"/>
  <c r="M1099" i="1"/>
  <c r="L1099" i="1"/>
  <c r="K1099" i="1"/>
  <c r="F1099" i="1"/>
  <c r="F1099" i="1" a="1"/>
  <c r="W1098" i="1"/>
  <c r="W1098" i="1" a="1"/>
  <c r="V1098" i="1"/>
  <c r="U1098" i="1"/>
  <c r="Q1098" i="1"/>
  <c r="O1098" i="1"/>
  <c r="M1098" i="1"/>
  <c r="L1098" i="1"/>
  <c r="K1098" i="1"/>
  <c r="F1098" i="1"/>
  <c r="F1098" i="1" a="1"/>
  <c r="W1097" i="1"/>
  <c r="W1097" i="1" a="1"/>
  <c r="V1097" i="1"/>
  <c r="U1097" i="1"/>
  <c r="Q1097" i="1"/>
  <c r="O1097" i="1"/>
  <c r="M1097" i="1"/>
  <c r="L1097" i="1"/>
  <c r="K1097" i="1"/>
  <c r="F1097" i="1"/>
  <c r="F1097" i="1" a="1"/>
  <c r="W1096" i="1"/>
  <c r="W1096" i="1" a="1"/>
  <c r="V1096" i="1"/>
  <c r="U1096" i="1"/>
  <c r="Q1096" i="1"/>
  <c r="O1096" i="1"/>
  <c r="M1096" i="1"/>
  <c r="L1096" i="1"/>
  <c r="K1096" i="1"/>
  <c r="F1096" i="1"/>
  <c r="F1096" i="1" a="1"/>
  <c r="W1095" i="1"/>
  <c r="W1095" i="1" a="1"/>
  <c r="V1095" i="1"/>
  <c r="U1095" i="1"/>
  <c r="Q1095" i="1"/>
  <c r="O1095" i="1"/>
  <c r="M1095" i="1"/>
  <c r="L1095" i="1"/>
  <c r="K1095" i="1"/>
  <c r="F1095" i="1"/>
  <c r="F1095" i="1" a="1"/>
  <c r="W1094" i="1"/>
  <c r="W1094" i="1" a="1"/>
  <c r="V1094" i="1"/>
  <c r="U1094" i="1"/>
  <c r="Q1094" i="1"/>
  <c r="O1094" i="1"/>
  <c r="M1094" i="1"/>
  <c r="L1094" i="1"/>
  <c r="K1094" i="1"/>
  <c r="F1094" i="1"/>
  <c r="F1094" i="1" a="1"/>
  <c r="W1093" i="1"/>
  <c r="W1093" i="1" a="1"/>
  <c r="V1093" i="1"/>
  <c r="U1093" i="1"/>
  <c r="Q1093" i="1"/>
  <c r="O1093" i="1"/>
  <c r="M1093" i="1"/>
  <c r="L1093" i="1"/>
  <c r="K1093" i="1"/>
  <c r="F1093" i="1"/>
  <c r="F1093" i="1" a="1"/>
  <c r="W1092" i="1"/>
  <c r="W1092" i="1" a="1"/>
  <c r="V1092" i="1"/>
  <c r="U1092" i="1"/>
  <c r="Q1092" i="1"/>
  <c r="O1092" i="1"/>
  <c r="M1092" i="1"/>
  <c r="L1092" i="1"/>
  <c r="K1092" i="1"/>
  <c r="F1092" i="1"/>
  <c r="F1092" i="1" a="1"/>
  <c r="W1091" i="1"/>
  <c r="W1091" i="1" a="1"/>
  <c r="V1091" i="1"/>
  <c r="U1091" i="1"/>
  <c r="Q1091" i="1"/>
  <c r="O1091" i="1"/>
  <c r="M1091" i="1"/>
  <c r="L1091" i="1"/>
  <c r="K1091" i="1"/>
  <c r="F1091" i="1"/>
  <c r="F1091" i="1" a="1"/>
  <c r="W1090" i="1"/>
  <c r="W1090" i="1" a="1"/>
  <c r="V1090" i="1"/>
  <c r="U1090" i="1"/>
  <c r="Q1090" i="1"/>
  <c r="O1090" i="1"/>
  <c r="M1090" i="1"/>
  <c r="L1090" i="1"/>
  <c r="K1090" i="1"/>
  <c r="F1090" i="1"/>
  <c r="F1090" i="1" a="1"/>
  <c r="W1089" i="1"/>
  <c r="W1089" i="1" a="1"/>
  <c r="V1089" i="1"/>
  <c r="U1089" i="1"/>
  <c r="Q1089" i="1"/>
  <c r="O1089" i="1"/>
  <c r="M1089" i="1"/>
  <c r="L1089" i="1"/>
  <c r="K1089" i="1"/>
  <c r="F1089" i="1"/>
  <c r="F1089" i="1" a="1"/>
  <c r="W1088" i="1"/>
  <c r="W1088" i="1" a="1"/>
  <c r="V1088" i="1"/>
  <c r="U1088" i="1"/>
  <c r="Q1088" i="1"/>
  <c r="O1088" i="1"/>
  <c r="M1088" i="1"/>
  <c r="L1088" i="1"/>
  <c r="K1088" i="1"/>
  <c r="F1088" i="1"/>
  <c r="F1088" i="1" a="1"/>
  <c r="W1087" i="1"/>
  <c r="W1087" i="1" a="1"/>
  <c r="V1087" i="1"/>
  <c r="U1087" i="1"/>
  <c r="Q1087" i="1"/>
  <c r="O1087" i="1"/>
  <c r="M1087" i="1"/>
  <c r="L1087" i="1"/>
  <c r="K1087" i="1"/>
  <c r="F1087" i="1"/>
  <c r="F1087" i="1" a="1"/>
  <c r="W1086" i="1"/>
  <c r="W1086" i="1" a="1"/>
  <c r="V1086" i="1"/>
  <c r="U1086" i="1"/>
  <c r="Q1086" i="1"/>
  <c r="O1086" i="1"/>
  <c r="M1086" i="1"/>
  <c r="L1086" i="1"/>
  <c r="K1086" i="1"/>
  <c r="F1086" i="1"/>
  <c r="F1086" i="1" a="1"/>
  <c r="W1085" i="1"/>
  <c r="W1085" i="1" a="1"/>
  <c r="V1085" i="1"/>
  <c r="U1085" i="1"/>
  <c r="Q1085" i="1"/>
  <c r="O1085" i="1"/>
  <c r="M1085" i="1"/>
  <c r="L1085" i="1"/>
  <c r="K1085" i="1"/>
  <c r="F1085" i="1"/>
  <c r="F1085" i="1" a="1"/>
  <c r="W1084" i="1"/>
  <c r="W1084" i="1" a="1"/>
  <c r="V1084" i="1"/>
  <c r="U1084" i="1"/>
  <c r="Q1084" i="1"/>
  <c r="O1084" i="1"/>
  <c r="M1084" i="1"/>
  <c r="L1084" i="1"/>
  <c r="K1084" i="1"/>
  <c r="F1084" i="1"/>
  <c r="F1084" i="1" a="1"/>
  <c r="W1083" i="1"/>
  <c r="W1083" i="1" a="1"/>
  <c r="V1083" i="1"/>
  <c r="U1083" i="1"/>
  <c r="Q1083" i="1"/>
  <c r="O1083" i="1"/>
  <c r="M1083" i="1"/>
  <c r="L1083" i="1"/>
  <c r="K1083" i="1"/>
  <c r="F1083" i="1"/>
  <c r="F1083" i="1" a="1"/>
  <c r="W1082" i="1"/>
  <c r="W1082" i="1" a="1"/>
  <c r="V1082" i="1"/>
  <c r="U1082" i="1"/>
  <c r="Q1082" i="1"/>
  <c r="O1082" i="1"/>
  <c r="M1082" i="1"/>
  <c r="L1082" i="1"/>
  <c r="K1082" i="1"/>
  <c r="F1082" i="1"/>
  <c r="F1082" i="1" a="1"/>
  <c r="W1081" i="1"/>
  <c r="W1081" i="1" a="1"/>
  <c r="V1081" i="1"/>
  <c r="U1081" i="1"/>
  <c r="Q1081" i="1"/>
  <c r="O1081" i="1"/>
  <c r="M1081" i="1"/>
  <c r="L1081" i="1"/>
  <c r="K1081" i="1"/>
  <c r="F1081" i="1"/>
  <c r="F1081" i="1" a="1"/>
  <c r="W1080" i="1"/>
  <c r="W1080" i="1" a="1"/>
  <c r="V1080" i="1"/>
  <c r="U1080" i="1"/>
  <c r="Q1080" i="1"/>
  <c r="O1080" i="1"/>
  <c r="M1080" i="1"/>
  <c r="L1080" i="1"/>
  <c r="K1080" i="1"/>
  <c r="F1080" i="1"/>
  <c r="F1080" i="1" a="1"/>
  <c r="W1079" i="1"/>
  <c r="W1079" i="1" a="1"/>
  <c r="V1079" i="1"/>
  <c r="U1079" i="1"/>
  <c r="Q1079" i="1"/>
  <c r="O1079" i="1"/>
  <c r="M1079" i="1"/>
  <c r="L1079" i="1"/>
  <c r="K1079" i="1"/>
  <c r="F1079" i="1"/>
  <c r="F1079" i="1" a="1"/>
  <c r="W1078" i="1"/>
  <c r="W1078" i="1" a="1"/>
  <c r="V1078" i="1"/>
  <c r="U1078" i="1"/>
  <c r="Q1078" i="1"/>
  <c r="O1078" i="1"/>
  <c r="M1078" i="1"/>
  <c r="L1078" i="1"/>
  <c r="K1078" i="1"/>
  <c r="F1078" i="1"/>
  <c r="F1078" i="1" a="1"/>
  <c r="W1077" i="1"/>
  <c r="W1077" i="1" a="1"/>
  <c r="V1077" i="1"/>
  <c r="U1077" i="1"/>
  <c r="Q1077" i="1"/>
  <c r="O1077" i="1"/>
  <c r="M1077" i="1"/>
  <c r="L1077" i="1"/>
  <c r="K1077" i="1"/>
  <c r="F1077" i="1"/>
  <c r="F1077" i="1" a="1"/>
  <c r="W1076" i="1"/>
  <c r="W1076" i="1" a="1"/>
  <c r="V1076" i="1"/>
  <c r="U1076" i="1"/>
  <c r="Q1076" i="1"/>
  <c r="O1076" i="1"/>
  <c r="M1076" i="1"/>
  <c r="L1076" i="1"/>
  <c r="K1076" i="1"/>
  <c r="F1076" i="1"/>
  <c r="F1076" i="1" a="1"/>
  <c r="W1075" i="1"/>
  <c r="W1075" i="1" a="1"/>
  <c r="V1075" i="1"/>
  <c r="U1075" i="1"/>
  <c r="Q1075" i="1"/>
  <c r="O1075" i="1"/>
  <c r="M1075" i="1"/>
  <c r="L1075" i="1"/>
  <c r="K1075" i="1"/>
  <c r="F1075" i="1"/>
  <c r="F1075" i="1" a="1"/>
  <c r="W1074" i="1"/>
  <c r="W1074" i="1" a="1"/>
  <c r="V1074" i="1"/>
  <c r="U1074" i="1"/>
  <c r="Q1074" i="1"/>
  <c r="O1074" i="1"/>
  <c r="M1074" i="1"/>
  <c r="L1074" i="1"/>
  <c r="K1074" i="1"/>
  <c r="F1074" i="1"/>
  <c r="F1074" i="1" a="1"/>
  <c r="W1073" i="1"/>
  <c r="W1073" i="1" a="1"/>
  <c r="V1073" i="1"/>
  <c r="U1073" i="1"/>
  <c r="Q1073" i="1"/>
  <c r="O1073" i="1"/>
  <c r="M1073" i="1"/>
  <c r="L1073" i="1"/>
  <c r="K1073" i="1"/>
  <c r="F1073" i="1"/>
  <c r="F1073" i="1" a="1"/>
  <c r="W1072" i="1"/>
  <c r="W1072" i="1" a="1"/>
  <c r="V1072" i="1"/>
  <c r="U1072" i="1"/>
  <c r="Q1072" i="1"/>
  <c r="O1072" i="1"/>
  <c r="M1072" i="1"/>
  <c r="L1072" i="1"/>
  <c r="K1072" i="1"/>
  <c r="F1072" i="1"/>
  <c r="F1072" i="1" a="1"/>
  <c r="W1071" i="1"/>
  <c r="W1071" i="1" a="1"/>
  <c r="V1071" i="1"/>
  <c r="U1071" i="1"/>
  <c r="Q1071" i="1"/>
  <c r="O1071" i="1"/>
  <c r="M1071" i="1"/>
  <c r="L1071" i="1"/>
  <c r="K1071" i="1"/>
  <c r="F1071" i="1"/>
  <c r="F1071" i="1" a="1"/>
  <c r="W1070" i="1"/>
  <c r="W1070" i="1" a="1"/>
  <c r="V1070" i="1"/>
  <c r="U1070" i="1"/>
  <c r="Q1070" i="1"/>
  <c r="O1070" i="1"/>
  <c r="M1070" i="1"/>
  <c r="L1070" i="1"/>
  <c r="K1070" i="1"/>
  <c r="F1070" i="1"/>
  <c r="F1070" i="1" a="1"/>
  <c r="W1069" i="1"/>
  <c r="W1069" i="1" a="1"/>
  <c r="V1069" i="1"/>
  <c r="U1069" i="1"/>
  <c r="Q1069" i="1"/>
  <c r="O1069" i="1"/>
  <c r="M1069" i="1"/>
  <c r="L1069" i="1"/>
  <c r="K1069" i="1"/>
  <c r="F1069" i="1"/>
  <c r="F1069" i="1" a="1"/>
  <c r="W1068" i="1"/>
  <c r="W1068" i="1" a="1"/>
  <c r="V1068" i="1"/>
  <c r="U1068" i="1"/>
  <c r="Q1068" i="1"/>
  <c r="O1068" i="1"/>
  <c r="M1068" i="1"/>
  <c r="L1068" i="1"/>
  <c r="K1068" i="1"/>
  <c r="F1068" i="1"/>
  <c r="F1068" i="1" a="1"/>
  <c r="W1067" i="1"/>
  <c r="W1067" i="1" a="1"/>
  <c r="V1067" i="1"/>
  <c r="U1067" i="1"/>
  <c r="Q1067" i="1"/>
  <c r="O1067" i="1"/>
  <c r="M1067" i="1"/>
  <c r="L1067" i="1"/>
  <c r="K1067" i="1"/>
  <c r="F1067" i="1"/>
  <c r="F1067" i="1" a="1"/>
  <c r="W1066" i="1"/>
  <c r="W1066" i="1" a="1"/>
  <c r="V1066" i="1"/>
  <c r="U1066" i="1"/>
  <c r="Q1066" i="1"/>
  <c r="O1066" i="1"/>
  <c r="M1066" i="1"/>
  <c r="L1066" i="1"/>
  <c r="K1066" i="1"/>
  <c r="F1066" i="1"/>
  <c r="F1066" i="1" a="1"/>
  <c r="W1065" i="1"/>
  <c r="W1065" i="1" a="1"/>
  <c r="V1065" i="1"/>
  <c r="U1065" i="1"/>
  <c r="Q1065" i="1"/>
  <c r="O1065" i="1"/>
  <c r="M1065" i="1"/>
  <c r="L1065" i="1"/>
  <c r="K1065" i="1"/>
  <c r="F1065" i="1"/>
  <c r="F1065" i="1" a="1"/>
  <c r="W1064" i="1"/>
  <c r="W1064" i="1" a="1"/>
  <c r="V1064" i="1"/>
  <c r="U1064" i="1"/>
  <c r="Q1064" i="1"/>
  <c r="O1064" i="1"/>
  <c r="M1064" i="1"/>
  <c r="L1064" i="1"/>
  <c r="K1064" i="1"/>
  <c r="F1064" i="1"/>
  <c r="F1064" i="1" a="1"/>
  <c r="W1063" i="1"/>
  <c r="W1063" i="1" a="1"/>
  <c r="V1063" i="1"/>
  <c r="U1063" i="1"/>
  <c r="Q1063" i="1"/>
  <c r="O1063" i="1"/>
  <c r="M1063" i="1"/>
  <c r="L1063" i="1"/>
  <c r="K1063" i="1"/>
  <c r="F1063" i="1"/>
  <c r="F1063" i="1" a="1"/>
  <c r="W1062" i="1"/>
  <c r="W1062" i="1" a="1"/>
  <c r="V1062" i="1"/>
  <c r="U1062" i="1"/>
  <c r="Q1062" i="1"/>
  <c r="O1062" i="1"/>
  <c r="M1062" i="1"/>
  <c r="L1062" i="1"/>
  <c r="K1062" i="1"/>
  <c r="F1062" i="1"/>
  <c r="F1062" i="1" a="1"/>
  <c r="W1061" i="1"/>
  <c r="W1061" i="1" a="1"/>
  <c r="V1061" i="1"/>
  <c r="U1061" i="1"/>
  <c r="Q1061" i="1"/>
  <c r="O1061" i="1"/>
  <c r="M1061" i="1"/>
  <c r="L1061" i="1"/>
  <c r="K1061" i="1"/>
  <c r="F1061" i="1"/>
  <c r="F1061" i="1" a="1"/>
  <c r="W1060" i="1"/>
  <c r="W1060" i="1" a="1"/>
  <c r="V1060" i="1"/>
  <c r="U1060" i="1"/>
  <c r="Q1060" i="1"/>
  <c r="O1060" i="1"/>
  <c r="M1060" i="1"/>
  <c r="L1060" i="1"/>
  <c r="K1060" i="1"/>
  <c r="F1060" i="1"/>
  <c r="F1060" i="1" a="1"/>
  <c r="W1059" i="1"/>
  <c r="W1059" i="1" a="1"/>
  <c r="V1059" i="1"/>
  <c r="U1059" i="1"/>
  <c r="Q1059" i="1"/>
  <c r="O1059" i="1"/>
  <c r="M1059" i="1"/>
  <c r="L1059" i="1"/>
  <c r="K1059" i="1"/>
  <c r="F1059" i="1"/>
  <c r="F1059" i="1" a="1"/>
  <c r="W1058" i="1"/>
  <c r="W1058" i="1" a="1"/>
  <c r="V1058" i="1"/>
  <c r="U1058" i="1"/>
  <c r="Q1058" i="1"/>
  <c r="O1058" i="1"/>
  <c r="M1058" i="1"/>
  <c r="L1058" i="1"/>
  <c r="K1058" i="1"/>
  <c r="F1058" i="1"/>
  <c r="F1058" i="1" a="1"/>
  <c r="W1057" i="1"/>
  <c r="W1057" i="1" a="1"/>
  <c r="V1057" i="1"/>
  <c r="U1057" i="1"/>
  <c r="Q1057" i="1"/>
  <c r="O1057" i="1"/>
  <c r="M1057" i="1"/>
  <c r="L1057" i="1"/>
  <c r="K1057" i="1"/>
  <c r="F1057" i="1"/>
  <c r="F1057" i="1" a="1"/>
  <c r="W1056" i="1"/>
  <c r="W1056" i="1" a="1"/>
  <c r="V1056" i="1"/>
  <c r="U1056" i="1"/>
  <c r="Q1056" i="1"/>
  <c r="O1056" i="1"/>
  <c r="M1056" i="1"/>
  <c r="L1056" i="1"/>
  <c r="K1056" i="1"/>
  <c r="F1056" i="1"/>
  <c r="F1056" i="1" a="1"/>
  <c r="W1055" i="1"/>
  <c r="W1055" i="1" a="1"/>
  <c r="V1055" i="1"/>
  <c r="U1055" i="1"/>
  <c r="Q1055" i="1"/>
  <c r="O1055" i="1"/>
  <c r="M1055" i="1"/>
  <c r="L1055" i="1"/>
  <c r="K1055" i="1"/>
  <c r="F1055" i="1"/>
  <c r="F1055" i="1" a="1"/>
  <c r="W1054" i="1"/>
  <c r="W1054" i="1" a="1"/>
  <c r="V1054" i="1"/>
  <c r="U1054" i="1"/>
  <c r="Q1054" i="1"/>
  <c r="O1054" i="1"/>
  <c r="M1054" i="1"/>
  <c r="L1054" i="1"/>
  <c r="K1054" i="1"/>
  <c r="F1054" i="1"/>
  <c r="F1054" i="1" a="1"/>
  <c r="W1053" i="1"/>
  <c r="W1053" i="1" a="1"/>
  <c r="V1053" i="1"/>
  <c r="U1053" i="1"/>
  <c r="Q1053" i="1"/>
  <c r="O1053" i="1"/>
  <c r="M1053" i="1"/>
  <c r="L1053" i="1"/>
  <c r="K1053" i="1"/>
  <c r="F1053" i="1"/>
  <c r="F1053" i="1" a="1"/>
  <c r="W1052" i="1"/>
  <c r="W1052" i="1" a="1"/>
  <c r="V1052" i="1"/>
  <c r="U1052" i="1"/>
  <c r="Q1052" i="1"/>
  <c r="O1052" i="1"/>
  <c r="M1052" i="1"/>
  <c r="L1052" i="1"/>
  <c r="K1052" i="1"/>
  <c r="F1052" i="1"/>
  <c r="F1052" i="1" a="1"/>
  <c r="W1051" i="1"/>
  <c r="W1051" i="1" a="1"/>
  <c r="V1051" i="1"/>
  <c r="U1051" i="1"/>
  <c r="Q1051" i="1"/>
  <c r="O1051" i="1"/>
  <c r="M1051" i="1"/>
  <c r="L1051" i="1"/>
  <c r="K1051" i="1"/>
  <c r="F1051" i="1"/>
  <c r="F1051" i="1" a="1"/>
  <c r="W1050" i="1"/>
  <c r="W1050" i="1" a="1"/>
  <c r="V1050" i="1"/>
  <c r="U1050" i="1"/>
  <c r="Q1050" i="1"/>
  <c r="O1050" i="1"/>
  <c r="M1050" i="1"/>
  <c r="L1050" i="1"/>
  <c r="K1050" i="1"/>
  <c r="F1050" i="1"/>
  <c r="F1050" i="1" a="1"/>
  <c r="W1049" i="1"/>
  <c r="W1049" i="1" a="1"/>
  <c r="V1049" i="1"/>
  <c r="U1049" i="1"/>
  <c r="Q1049" i="1"/>
  <c r="O1049" i="1"/>
  <c r="M1049" i="1"/>
  <c r="L1049" i="1"/>
  <c r="K1049" i="1"/>
  <c r="F1049" i="1"/>
  <c r="F1049" i="1" a="1"/>
  <c r="W1048" i="1"/>
  <c r="W1048" i="1" a="1"/>
  <c r="V1048" i="1"/>
  <c r="U1048" i="1"/>
  <c r="Q1048" i="1"/>
  <c r="O1048" i="1"/>
  <c r="M1048" i="1"/>
  <c r="L1048" i="1"/>
  <c r="K1048" i="1"/>
  <c r="F1048" i="1"/>
  <c r="F1048" i="1" a="1"/>
  <c r="W1047" i="1"/>
  <c r="W1047" i="1" a="1"/>
  <c r="V1047" i="1"/>
  <c r="U1047" i="1"/>
  <c r="Q1047" i="1"/>
  <c r="O1047" i="1"/>
  <c r="M1047" i="1"/>
  <c r="L1047" i="1"/>
  <c r="K1047" i="1"/>
  <c r="F1047" i="1"/>
  <c r="F1047" i="1" a="1"/>
  <c r="W1046" i="1"/>
  <c r="W1046" i="1" a="1"/>
  <c r="V1046" i="1"/>
  <c r="U1046" i="1"/>
  <c r="Q1046" i="1"/>
  <c r="O1046" i="1"/>
  <c r="M1046" i="1"/>
  <c r="L1046" i="1"/>
  <c r="K1046" i="1"/>
  <c r="F1046" i="1"/>
  <c r="F1046" i="1" a="1"/>
  <c r="W1045" i="1"/>
  <c r="W1045" i="1" a="1"/>
  <c r="V1045" i="1"/>
  <c r="U1045" i="1"/>
  <c r="Q1045" i="1"/>
  <c r="O1045" i="1"/>
  <c r="M1045" i="1"/>
  <c r="L1045" i="1"/>
  <c r="K1045" i="1"/>
  <c r="F1045" i="1"/>
  <c r="F1045" i="1" a="1"/>
  <c r="W1044" i="1"/>
  <c r="W1044" i="1" a="1"/>
  <c r="V1044" i="1"/>
  <c r="U1044" i="1"/>
  <c r="Q1044" i="1"/>
  <c r="O1044" i="1"/>
  <c r="M1044" i="1"/>
  <c r="L1044" i="1"/>
  <c r="K1044" i="1"/>
  <c r="F1044" i="1"/>
  <c r="F1044" i="1" a="1"/>
  <c r="W1043" i="1"/>
  <c r="W1043" i="1" a="1"/>
  <c r="V1043" i="1"/>
  <c r="U1043" i="1"/>
  <c r="Q1043" i="1"/>
  <c r="O1043" i="1"/>
  <c r="M1043" i="1"/>
  <c r="L1043" i="1"/>
  <c r="K1043" i="1"/>
  <c r="F1043" i="1"/>
  <c r="F1043" i="1" a="1"/>
  <c r="W1042" i="1"/>
  <c r="W1042" i="1" a="1"/>
  <c r="V1042" i="1"/>
  <c r="U1042" i="1"/>
  <c r="Q1042" i="1"/>
  <c r="O1042" i="1"/>
  <c r="M1042" i="1"/>
  <c r="L1042" i="1"/>
  <c r="K1042" i="1"/>
  <c r="F1042" i="1"/>
  <c r="F1042" i="1" a="1"/>
  <c r="W1041" i="1"/>
  <c r="W1041" i="1" a="1"/>
  <c r="V1041" i="1"/>
  <c r="U1041" i="1"/>
  <c r="Q1041" i="1"/>
  <c r="O1041" i="1"/>
  <c r="M1041" i="1"/>
  <c r="L1041" i="1"/>
  <c r="K1041" i="1"/>
  <c r="F1041" i="1"/>
  <c r="F1041" i="1" a="1"/>
  <c r="W1040" i="1"/>
  <c r="W1040" i="1" a="1"/>
  <c r="V1040" i="1"/>
  <c r="U1040" i="1"/>
  <c r="Q1040" i="1"/>
  <c r="O1040" i="1"/>
  <c r="M1040" i="1"/>
  <c r="L1040" i="1"/>
  <c r="K1040" i="1"/>
  <c r="F1040" i="1"/>
  <c r="F1040" i="1" a="1"/>
  <c r="W1039" i="1"/>
  <c r="W1039" i="1" a="1"/>
  <c r="V1039" i="1"/>
  <c r="U1039" i="1"/>
  <c r="Q1039" i="1"/>
  <c r="O1039" i="1"/>
  <c r="M1039" i="1"/>
  <c r="L1039" i="1"/>
  <c r="K1039" i="1"/>
  <c r="F1039" i="1"/>
  <c r="F1039" i="1" a="1"/>
  <c r="W1038" i="1"/>
  <c r="W1038" i="1" a="1"/>
  <c r="V1038" i="1"/>
  <c r="U1038" i="1"/>
  <c r="Q1038" i="1"/>
  <c r="O1038" i="1"/>
  <c r="M1038" i="1"/>
  <c r="L1038" i="1"/>
  <c r="K1038" i="1"/>
  <c r="F1038" i="1"/>
  <c r="F1038" i="1" a="1"/>
  <c r="W1037" i="1"/>
  <c r="W1037" i="1" a="1"/>
  <c r="V1037" i="1"/>
  <c r="U1037" i="1"/>
  <c r="Q1037" i="1"/>
  <c r="O1037" i="1"/>
  <c r="M1037" i="1"/>
  <c r="L1037" i="1"/>
  <c r="K1037" i="1"/>
  <c r="F1037" i="1"/>
  <c r="F1037" i="1" a="1"/>
  <c r="W1036" i="1"/>
  <c r="W1036" i="1" a="1"/>
  <c r="V1036" i="1"/>
  <c r="U1036" i="1"/>
  <c r="Q1036" i="1"/>
  <c r="O1036" i="1"/>
  <c r="M1036" i="1"/>
  <c r="L1036" i="1"/>
  <c r="K1036" i="1"/>
  <c r="F1036" i="1"/>
  <c r="F1036" i="1" a="1"/>
  <c r="W1035" i="1"/>
  <c r="W1035" i="1" a="1"/>
  <c r="V1035" i="1"/>
  <c r="U1035" i="1"/>
  <c r="Q1035" i="1"/>
  <c r="O1035" i="1"/>
  <c r="M1035" i="1"/>
  <c r="L1035" i="1"/>
  <c r="K1035" i="1"/>
  <c r="F1035" i="1"/>
  <c r="F1035" i="1" a="1"/>
  <c r="W1034" i="1"/>
  <c r="W1034" i="1" a="1"/>
  <c r="V1034" i="1"/>
  <c r="U1034" i="1"/>
  <c r="Q1034" i="1"/>
  <c r="O1034" i="1"/>
  <c r="M1034" i="1"/>
  <c r="L1034" i="1"/>
  <c r="K1034" i="1"/>
  <c r="F1034" i="1"/>
  <c r="F1034" i="1" a="1"/>
  <c r="W1033" i="1"/>
  <c r="W1033" i="1" a="1"/>
  <c r="V1033" i="1"/>
  <c r="U1033" i="1"/>
  <c r="Q1033" i="1"/>
  <c r="O1033" i="1"/>
  <c r="M1033" i="1"/>
  <c r="L1033" i="1"/>
  <c r="K1033" i="1"/>
  <c r="F1033" i="1"/>
  <c r="F1033" i="1" a="1"/>
  <c r="W1032" i="1"/>
  <c r="W1032" i="1" a="1"/>
  <c r="V1032" i="1"/>
  <c r="U1032" i="1"/>
  <c r="Q1032" i="1"/>
  <c r="O1032" i="1"/>
  <c r="M1032" i="1"/>
  <c r="L1032" i="1"/>
  <c r="K1032" i="1"/>
  <c r="F1032" i="1"/>
  <c r="F1032" i="1" a="1"/>
  <c r="W1031" i="1"/>
  <c r="W1031" i="1" a="1"/>
  <c r="V1031" i="1"/>
  <c r="U1031" i="1"/>
  <c r="Q1031" i="1"/>
  <c r="O1031" i="1"/>
  <c r="M1031" i="1"/>
  <c r="L1031" i="1"/>
  <c r="K1031" i="1"/>
  <c r="F1031" i="1"/>
  <c r="F1031" i="1" a="1"/>
  <c r="W1030" i="1"/>
  <c r="W1030" i="1" a="1"/>
  <c r="V1030" i="1"/>
  <c r="U1030" i="1"/>
  <c r="Q1030" i="1"/>
  <c r="O1030" i="1"/>
  <c r="M1030" i="1"/>
  <c r="L1030" i="1"/>
  <c r="K1030" i="1"/>
  <c r="F1030" i="1"/>
  <c r="F1030" i="1" a="1"/>
  <c r="W1029" i="1"/>
  <c r="W1029" i="1" a="1"/>
  <c r="V1029" i="1"/>
  <c r="U1029" i="1"/>
  <c r="Q1029" i="1"/>
  <c r="O1029" i="1"/>
  <c r="M1029" i="1"/>
  <c r="L1029" i="1"/>
  <c r="K1029" i="1"/>
  <c r="F1029" i="1"/>
  <c r="F1029" i="1" a="1"/>
  <c r="W1028" i="1"/>
  <c r="W1028" i="1" a="1"/>
  <c r="V1028" i="1"/>
  <c r="U1028" i="1"/>
  <c r="Q1028" i="1"/>
  <c r="O1028" i="1"/>
  <c r="M1028" i="1"/>
  <c r="L1028" i="1"/>
  <c r="K1028" i="1"/>
  <c r="F1028" i="1"/>
  <c r="F1028" i="1" a="1"/>
  <c r="W1027" i="1"/>
  <c r="W1027" i="1" a="1"/>
  <c r="V1027" i="1"/>
  <c r="U1027" i="1"/>
  <c r="Q1027" i="1"/>
  <c r="O1027" i="1"/>
  <c r="M1027" i="1"/>
  <c r="L1027" i="1"/>
  <c r="K1027" i="1"/>
  <c r="F1027" i="1"/>
  <c r="F1027" i="1" a="1"/>
  <c r="W1026" i="1"/>
  <c r="W1026" i="1" a="1"/>
  <c r="V1026" i="1"/>
  <c r="U1026" i="1"/>
  <c r="Q1026" i="1"/>
  <c r="O1026" i="1"/>
  <c r="M1026" i="1"/>
  <c r="L1026" i="1"/>
  <c r="K1026" i="1"/>
  <c r="F1026" i="1"/>
  <c r="F1026" i="1" a="1"/>
  <c r="W1025" i="1"/>
  <c r="W1025" i="1" a="1"/>
  <c r="V1025" i="1"/>
  <c r="U1025" i="1"/>
  <c r="Q1025" i="1"/>
  <c r="O1025" i="1"/>
  <c r="M1025" i="1"/>
  <c r="L1025" i="1"/>
  <c r="K1025" i="1"/>
  <c r="F1025" i="1"/>
  <c r="F1025" i="1" a="1"/>
  <c r="W1024" i="1"/>
  <c r="W1024" i="1" a="1"/>
  <c r="V1024" i="1"/>
  <c r="U1024" i="1"/>
  <c r="Q1024" i="1"/>
  <c r="O1024" i="1"/>
  <c r="M1024" i="1"/>
  <c r="L1024" i="1"/>
  <c r="K1024" i="1"/>
  <c r="F1024" i="1"/>
  <c r="F1024" i="1" a="1"/>
  <c r="W1023" i="1"/>
  <c r="W1023" i="1" a="1"/>
  <c r="V1023" i="1"/>
  <c r="U1023" i="1"/>
  <c r="Q1023" i="1"/>
  <c r="O1023" i="1"/>
  <c r="M1023" i="1"/>
  <c r="L1023" i="1"/>
  <c r="K1023" i="1"/>
  <c r="F1023" i="1"/>
  <c r="F1023" i="1" a="1"/>
  <c r="W1022" i="1"/>
  <c r="W1022" i="1" a="1"/>
  <c r="V1022" i="1"/>
  <c r="U1022" i="1"/>
  <c r="Q1022" i="1"/>
  <c r="O1022" i="1"/>
  <c r="M1022" i="1"/>
  <c r="L1022" i="1"/>
  <c r="K1022" i="1"/>
  <c r="F1022" i="1"/>
  <c r="F1022" i="1" a="1"/>
  <c r="W1021" i="1"/>
  <c r="W1021" i="1" a="1"/>
  <c r="V1021" i="1"/>
  <c r="U1021" i="1"/>
  <c r="Q1021" i="1"/>
  <c r="O1021" i="1"/>
  <c r="M1021" i="1"/>
  <c r="L1021" i="1"/>
  <c r="K1021" i="1"/>
  <c r="F1021" i="1"/>
  <c r="F1021" i="1" a="1"/>
  <c r="W1020" i="1"/>
  <c r="W1020" i="1" a="1"/>
  <c r="V1020" i="1"/>
  <c r="U1020" i="1"/>
  <c r="Q1020" i="1"/>
  <c r="O1020" i="1"/>
  <c r="M1020" i="1"/>
  <c r="L1020" i="1"/>
  <c r="K1020" i="1"/>
  <c r="F1020" i="1"/>
  <c r="F1020" i="1" a="1"/>
  <c r="W1019" i="1"/>
  <c r="W1019" i="1" a="1"/>
  <c r="V1019" i="1"/>
  <c r="U1019" i="1"/>
  <c r="Q1019" i="1"/>
  <c r="O1019" i="1"/>
  <c r="M1019" i="1"/>
  <c r="L1019" i="1"/>
  <c r="K1019" i="1"/>
  <c r="F1019" i="1"/>
  <c r="F1019" i="1" a="1"/>
  <c r="W1018" i="1"/>
  <c r="W1018" i="1" a="1"/>
  <c r="V1018" i="1"/>
  <c r="U1018" i="1"/>
  <c r="Q1018" i="1"/>
  <c r="O1018" i="1"/>
  <c r="M1018" i="1"/>
  <c r="L1018" i="1"/>
  <c r="K1018" i="1"/>
  <c r="F1018" i="1"/>
  <c r="F1018" i="1" a="1"/>
  <c r="W1017" i="1"/>
  <c r="W1017" i="1" a="1"/>
  <c r="V1017" i="1"/>
  <c r="U1017" i="1"/>
  <c r="Q1017" i="1"/>
  <c r="O1017" i="1"/>
  <c r="M1017" i="1"/>
  <c r="L1017" i="1"/>
  <c r="K1017" i="1"/>
  <c r="F1017" i="1"/>
  <c r="F1017" i="1" a="1"/>
  <c r="W1016" i="1"/>
  <c r="W1016" i="1" a="1"/>
  <c r="V1016" i="1"/>
  <c r="U1016" i="1"/>
  <c r="Q1016" i="1"/>
  <c r="O1016" i="1"/>
  <c r="M1016" i="1"/>
  <c r="L1016" i="1"/>
  <c r="K1016" i="1"/>
  <c r="F1016" i="1"/>
  <c r="F1016" i="1" a="1"/>
  <c r="W1015" i="1"/>
  <c r="W1015" i="1" a="1"/>
  <c r="V1015" i="1"/>
  <c r="U1015" i="1"/>
  <c r="Q1015" i="1"/>
  <c r="O1015" i="1"/>
  <c r="M1015" i="1"/>
  <c r="L1015" i="1"/>
  <c r="K1015" i="1"/>
  <c r="F1015" i="1"/>
  <c r="F1015" i="1" a="1"/>
  <c r="W1014" i="1"/>
  <c r="W1014" i="1" a="1"/>
  <c r="V1014" i="1"/>
  <c r="U1014" i="1"/>
  <c r="Q1014" i="1"/>
  <c r="O1014" i="1"/>
  <c r="M1014" i="1"/>
  <c r="L1014" i="1"/>
  <c r="K1014" i="1"/>
  <c r="F1014" i="1"/>
  <c r="F1014" i="1" a="1"/>
  <c r="W1013" i="1"/>
  <c r="W1013" i="1" a="1"/>
  <c r="V1013" i="1"/>
  <c r="U1013" i="1"/>
  <c r="Q1013" i="1"/>
  <c r="O1013" i="1"/>
  <c r="M1013" i="1"/>
  <c r="L1013" i="1"/>
  <c r="K1013" i="1"/>
  <c r="F1013" i="1"/>
  <c r="F1013" i="1" a="1"/>
  <c r="W1012" i="1"/>
  <c r="W1012" i="1" a="1"/>
  <c r="V1012" i="1"/>
  <c r="U1012" i="1"/>
  <c r="Q1012" i="1"/>
  <c r="O1012" i="1"/>
  <c r="M1012" i="1"/>
  <c r="L1012" i="1"/>
  <c r="K1012" i="1"/>
  <c r="F1012" i="1"/>
  <c r="F1012" i="1" a="1"/>
  <c r="W1011" i="1"/>
  <c r="W1011" i="1" a="1"/>
  <c r="V1011" i="1"/>
  <c r="U1011" i="1"/>
  <c r="Q1011" i="1"/>
  <c r="O1011" i="1"/>
  <c r="M1011" i="1"/>
  <c r="L1011" i="1"/>
  <c r="K1011" i="1"/>
  <c r="F1011" i="1"/>
  <c r="F1011" i="1" a="1"/>
  <c r="W1010" i="1"/>
  <c r="W1010" i="1" a="1"/>
  <c r="V1010" i="1"/>
  <c r="U1010" i="1"/>
  <c r="Q1010" i="1"/>
  <c r="O1010" i="1"/>
  <c r="M1010" i="1"/>
  <c r="L1010" i="1"/>
  <c r="K1010" i="1"/>
  <c r="F1010" i="1"/>
  <c r="F1010" i="1" a="1"/>
  <c r="W1009" i="1"/>
  <c r="W1009" i="1" a="1"/>
  <c r="V1009" i="1"/>
  <c r="U1009" i="1"/>
  <c r="Q1009" i="1"/>
  <c r="O1009" i="1"/>
  <c r="M1009" i="1"/>
  <c r="L1009" i="1"/>
  <c r="K1009" i="1"/>
  <c r="F1009" i="1"/>
  <c r="F1009" i="1" a="1"/>
  <c r="W1008" i="1"/>
  <c r="W1008" i="1" a="1"/>
  <c r="V1008" i="1"/>
  <c r="U1008" i="1"/>
  <c r="Q1008" i="1"/>
  <c r="O1008" i="1"/>
  <c r="M1008" i="1"/>
  <c r="L1008" i="1"/>
  <c r="K1008" i="1"/>
  <c r="F1008" i="1"/>
  <c r="F1008" i="1" a="1"/>
  <c r="W1007" i="1"/>
  <c r="W1007" i="1" a="1"/>
  <c r="V1007" i="1"/>
  <c r="U1007" i="1"/>
  <c r="Q1007" i="1"/>
  <c r="O1007" i="1"/>
  <c r="M1007" i="1"/>
  <c r="L1007" i="1"/>
  <c r="K1007" i="1"/>
  <c r="F1007" i="1"/>
  <c r="F1007" i="1" a="1"/>
  <c r="W1006" i="1"/>
  <c r="W1006" i="1" a="1"/>
  <c r="V1006" i="1"/>
  <c r="U1006" i="1"/>
  <c r="Q1006" i="1"/>
  <c r="O1006" i="1"/>
  <c r="M1006" i="1"/>
  <c r="L1006" i="1"/>
  <c r="K1006" i="1"/>
  <c r="F1006" i="1"/>
  <c r="F1006" i="1" a="1"/>
  <c r="W1005" i="1"/>
  <c r="W1005" i="1" a="1"/>
  <c r="V1005" i="1"/>
  <c r="U1005" i="1"/>
  <c r="Q1005" i="1"/>
  <c r="O1005" i="1"/>
  <c r="M1005" i="1"/>
  <c r="L1005" i="1"/>
  <c r="K1005" i="1"/>
  <c r="F1005" i="1"/>
  <c r="F1005" i="1" a="1"/>
  <c r="W1004" i="1"/>
  <c r="W1004" i="1" a="1"/>
  <c r="V1004" i="1"/>
  <c r="U1004" i="1"/>
  <c r="Q1004" i="1"/>
  <c r="O1004" i="1"/>
  <c r="M1004" i="1"/>
  <c r="L1004" i="1"/>
  <c r="K1004" i="1"/>
  <c r="F1004" i="1"/>
  <c r="F1004" i="1" a="1"/>
  <c r="W1003" i="1"/>
  <c r="W1003" i="1" a="1"/>
  <c r="V1003" i="1"/>
  <c r="U1003" i="1"/>
  <c r="Q1003" i="1"/>
  <c r="O1003" i="1"/>
  <c r="M1003" i="1"/>
  <c r="L1003" i="1"/>
  <c r="K1003" i="1"/>
  <c r="F1003" i="1"/>
  <c r="F1003" i="1" a="1"/>
  <c r="W1002" i="1"/>
  <c r="W1002" i="1" a="1"/>
  <c r="V1002" i="1"/>
  <c r="U1002" i="1"/>
  <c r="Q1002" i="1"/>
  <c r="O1002" i="1"/>
  <c r="M1002" i="1"/>
  <c r="L1002" i="1"/>
  <c r="K1002" i="1"/>
  <c r="F1002" i="1"/>
  <c r="F1002" i="1" a="1"/>
  <c r="W1001" i="1"/>
  <c r="W1001" i="1" a="1"/>
  <c r="V1001" i="1"/>
  <c r="U1001" i="1"/>
  <c r="Q1001" i="1"/>
  <c r="O1001" i="1"/>
  <c r="M1001" i="1"/>
  <c r="L1001" i="1"/>
  <c r="K1001" i="1"/>
  <c r="F1001" i="1"/>
  <c r="F1001" i="1" a="1"/>
  <c r="W1000" i="1"/>
  <c r="W1000" i="1" a="1"/>
  <c r="V1000" i="1"/>
  <c r="U1000" i="1"/>
  <c r="Q1000" i="1"/>
  <c r="O1000" i="1"/>
  <c r="M1000" i="1"/>
  <c r="L1000" i="1"/>
  <c r="K1000" i="1"/>
  <c r="F1000" i="1"/>
  <c r="F1000" i="1" a="1"/>
  <c r="W999" i="1"/>
  <c r="W999" i="1" a="1"/>
  <c r="V999" i="1"/>
  <c r="U999" i="1"/>
  <c r="Q999" i="1"/>
  <c r="O999" i="1"/>
  <c r="M999" i="1"/>
  <c r="L999" i="1"/>
  <c r="K999" i="1"/>
  <c r="F999" i="1"/>
  <c r="F999" i="1" a="1"/>
  <c r="W998" i="1"/>
  <c r="W998" i="1" a="1"/>
  <c r="V998" i="1"/>
  <c r="U998" i="1"/>
  <c r="Q998" i="1"/>
  <c r="O998" i="1"/>
  <c r="M998" i="1"/>
  <c r="L998" i="1"/>
  <c r="K998" i="1"/>
  <c r="F998" i="1"/>
  <c r="F998" i="1" a="1"/>
  <c r="W997" i="1"/>
  <c r="W997" i="1" a="1"/>
  <c r="V997" i="1"/>
  <c r="U997" i="1"/>
  <c r="Q997" i="1"/>
  <c r="O997" i="1"/>
  <c r="M997" i="1"/>
  <c r="L997" i="1"/>
  <c r="K997" i="1"/>
  <c r="F997" i="1"/>
  <c r="F997" i="1" a="1"/>
  <c r="W996" i="1"/>
  <c r="W996" i="1" a="1"/>
  <c r="V996" i="1"/>
  <c r="U996" i="1"/>
  <c r="Q996" i="1"/>
  <c r="O996" i="1"/>
  <c r="M996" i="1"/>
  <c r="L996" i="1"/>
  <c r="K996" i="1"/>
  <c r="F996" i="1"/>
  <c r="F996" i="1" a="1"/>
  <c r="W995" i="1"/>
  <c r="W995" i="1" a="1"/>
  <c r="V995" i="1"/>
  <c r="U995" i="1"/>
  <c r="Q995" i="1"/>
  <c r="O995" i="1"/>
  <c r="M995" i="1"/>
  <c r="L995" i="1"/>
  <c r="K995" i="1"/>
  <c r="F995" i="1"/>
  <c r="F995" i="1" a="1"/>
  <c r="W994" i="1"/>
  <c r="W994" i="1" a="1"/>
  <c r="V994" i="1"/>
  <c r="U994" i="1"/>
  <c r="Q994" i="1"/>
  <c r="O994" i="1"/>
  <c r="M994" i="1"/>
  <c r="L994" i="1"/>
  <c r="K994" i="1"/>
  <c r="F994" i="1"/>
  <c r="F994" i="1" a="1"/>
  <c r="W993" i="1"/>
  <c r="W993" i="1" a="1"/>
  <c r="V993" i="1"/>
  <c r="U993" i="1"/>
  <c r="Q993" i="1"/>
  <c r="O993" i="1"/>
  <c r="M993" i="1"/>
  <c r="L993" i="1"/>
  <c r="K993" i="1"/>
  <c r="F993" i="1"/>
  <c r="F993" i="1" a="1"/>
  <c r="W992" i="1"/>
  <c r="W992" i="1" a="1"/>
  <c r="V992" i="1"/>
  <c r="U992" i="1"/>
  <c r="Q992" i="1"/>
  <c r="O992" i="1"/>
  <c r="M992" i="1"/>
  <c r="L992" i="1"/>
  <c r="K992" i="1"/>
  <c r="F992" i="1"/>
  <c r="F992" i="1" a="1"/>
  <c r="W991" i="1"/>
  <c r="W991" i="1" a="1"/>
  <c r="V991" i="1"/>
  <c r="U991" i="1"/>
  <c r="Q991" i="1"/>
  <c r="O991" i="1"/>
  <c r="M991" i="1"/>
  <c r="L991" i="1"/>
  <c r="K991" i="1"/>
  <c r="F991" i="1"/>
  <c r="F991" i="1" a="1"/>
  <c r="W990" i="1"/>
  <c r="W990" i="1" a="1"/>
  <c r="V990" i="1"/>
  <c r="U990" i="1"/>
  <c r="Q990" i="1"/>
  <c r="O990" i="1"/>
  <c r="M990" i="1"/>
  <c r="L990" i="1"/>
  <c r="K990" i="1"/>
  <c r="F990" i="1"/>
  <c r="F990" i="1" a="1"/>
  <c r="W989" i="1"/>
  <c r="W989" i="1" a="1"/>
  <c r="V989" i="1"/>
  <c r="U989" i="1"/>
  <c r="Q989" i="1"/>
  <c r="O989" i="1"/>
  <c r="M989" i="1"/>
  <c r="L989" i="1"/>
  <c r="K989" i="1"/>
  <c r="F989" i="1"/>
  <c r="F989" i="1" a="1"/>
  <c r="W988" i="1"/>
  <c r="W988" i="1" a="1"/>
  <c r="V988" i="1"/>
  <c r="U988" i="1"/>
  <c r="Q988" i="1"/>
  <c r="O988" i="1"/>
  <c r="M988" i="1"/>
  <c r="L988" i="1"/>
  <c r="K988" i="1"/>
  <c r="F988" i="1"/>
  <c r="F988" i="1" a="1"/>
  <c r="W987" i="1"/>
  <c r="W987" i="1" a="1"/>
  <c r="V987" i="1"/>
  <c r="U987" i="1"/>
  <c r="Q987" i="1"/>
  <c r="O987" i="1"/>
  <c r="M987" i="1"/>
  <c r="L987" i="1"/>
  <c r="K987" i="1"/>
  <c r="F987" i="1"/>
  <c r="F987" i="1" a="1"/>
  <c r="W986" i="1"/>
  <c r="W986" i="1" a="1"/>
  <c r="V986" i="1"/>
  <c r="U986" i="1"/>
  <c r="Q986" i="1"/>
  <c r="O986" i="1"/>
  <c r="M986" i="1"/>
  <c r="L986" i="1"/>
  <c r="K986" i="1"/>
  <c r="F986" i="1"/>
  <c r="F986" i="1" a="1"/>
  <c r="W985" i="1"/>
  <c r="W985" i="1" a="1"/>
  <c r="V985" i="1"/>
  <c r="U985" i="1"/>
  <c r="Q985" i="1"/>
  <c r="O985" i="1"/>
  <c r="M985" i="1"/>
  <c r="L985" i="1"/>
  <c r="K985" i="1"/>
  <c r="F985" i="1"/>
  <c r="F985" i="1" a="1"/>
  <c r="W984" i="1"/>
  <c r="W984" i="1" a="1"/>
  <c r="V984" i="1"/>
  <c r="U984" i="1"/>
  <c r="Q984" i="1"/>
  <c r="O984" i="1"/>
  <c r="M984" i="1"/>
  <c r="L984" i="1"/>
  <c r="K984" i="1"/>
  <c r="F984" i="1"/>
  <c r="F984" i="1" a="1"/>
  <c r="W983" i="1"/>
  <c r="W983" i="1" a="1"/>
  <c r="V983" i="1"/>
  <c r="U983" i="1"/>
  <c r="Q983" i="1"/>
  <c r="O983" i="1"/>
  <c r="M983" i="1"/>
  <c r="L983" i="1"/>
  <c r="K983" i="1"/>
  <c r="F983" i="1"/>
  <c r="F983" i="1" a="1"/>
  <c r="W982" i="1"/>
  <c r="W982" i="1" a="1"/>
  <c r="V982" i="1"/>
  <c r="U982" i="1"/>
  <c r="Q982" i="1"/>
  <c r="O982" i="1"/>
  <c r="M982" i="1"/>
  <c r="L982" i="1"/>
  <c r="K982" i="1"/>
  <c r="F982" i="1"/>
  <c r="F982" i="1" a="1"/>
  <c r="W981" i="1"/>
  <c r="W981" i="1" a="1"/>
  <c r="V981" i="1"/>
  <c r="U981" i="1"/>
  <c r="Q981" i="1"/>
  <c r="O981" i="1"/>
  <c r="M981" i="1"/>
  <c r="L981" i="1"/>
  <c r="K981" i="1"/>
  <c r="F981" i="1"/>
  <c r="F981" i="1" a="1"/>
  <c r="W980" i="1"/>
  <c r="W980" i="1" a="1"/>
  <c r="V980" i="1"/>
  <c r="U980" i="1"/>
  <c r="Q980" i="1"/>
  <c r="O980" i="1"/>
  <c r="M980" i="1"/>
  <c r="L980" i="1"/>
  <c r="K980" i="1"/>
  <c r="F980" i="1"/>
  <c r="F980" i="1" a="1"/>
  <c r="W979" i="1"/>
  <c r="W979" i="1" a="1"/>
  <c r="V979" i="1"/>
  <c r="U979" i="1"/>
  <c r="Q979" i="1"/>
  <c r="O979" i="1"/>
  <c r="M979" i="1"/>
  <c r="L979" i="1"/>
  <c r="K979" i="1"/>
  <c r="F979" i="1"/>
  <c r="F979" i="1" a="1"/>
  <c r="W978" i="1"/>
  <c r="W978" i="1" a="1"/>
  <c r="V978" i="1"/>
  <c r="U978" i="1"/>
  <c r="Q978" i="1"/>
  <c r="O978" i="1"/>
  <c r="M978" i="1"/>
  <c r="L978" i="1"/>
  <c r="K978" i="1"/>
  <c r="F978" i="1"/>
  <c r="F978" i="1" a="1"/>
  <c r="W977" i="1"/>
  <c r="W977" i="1" a="1"/>
  <c r="V977" i="1"/>
  <c r="U977" i="1"/>
  <c r="Q977" i="1"/>
  <c r="O977" i="1"/>
  <c r="M977" i="1"/>
  <c r="L977" i="1"/>
  <c r="K977" i="1"/>
  <c r="F977" i="1"/>
  <c r="F977" i="1" a="1"/>
  <c r="W976" i="1"/>
  <c r="W976" i="1" a="1"/>
  <c r="V976" i="1"/>
  <c r="U976" i="1"/>
  <c r="Q976" i="1"/>
  <c r="O976" i="1"/>
  <c r="M976" i="1"/>
  <c r="L976" i="1"/>
  <c r="K976" i="1"/>
  <c r="F976" i="1"/>
  <c r="F976" i="1" a="1"/>
  <c r="W975" i="1"/>
  <c r="W975" i="1" a="1"/>
  <c r="V975" i="1"/>
  <c r="U975" i="1"/>
  <c r="Q975" i="1"/>
  <c r="O975" i="1"/>
  <c r="M975" i="1"/>
  <c r="L975" i="1"/>
  <c r="K975" i="1"/>
  <c r="F975" i="1"/>
  <c r="F975" i="1" a="1"/>
  <c r="W974" i="1"/>
  <c r="W974" i="1" a="1"/>
  <c r="V974" i="1"/>
  <c r="U974" i="1"/>
  <c r="Q974" i="1"/>
  <c r="O974" i="1"/>
  <c r="M974" i="1"/>
  <c r="L974" i="1"/>
  <c r="K974" i="1"/>
  <c r="F974" i="1"/>
  <c r="F974" i="1" a="1"/>
  <c r="W973" i="1"/>
  <c r="W973" i="1" a="1"/>
  <c r="V973" i="1"/>
  <c r="U973" i="1"/>
  <c r="Q973" i="1"/>
  <c r="O973" i="1"/>
  <c r="M973" i="1"/>
  <c r="L973" i="1"/>
  <c r="K973" i="1"/>
  <c r="F973" i="1"/>
  <c r="F973" i="1" a="1"/>
  <c r="W972" i="1"/>
  <c r="W972" i="1" a="1"/>
  <c r="V972" i="1"/>
  <c r="U972" i="1"/>
  <c r="Q972" i="1"/>
  <c r="O972" i="1"/>
  <c r="M972" i="1"/>
  <c r="L972" i="1"/>
  <c r="K972" i="1"/>
  <c r="F972" i="1"/>
  <c r="F972" i="1" a="1"/>
  <c r="W971" i="1"/>
  <c r="W971" i="1" a="1"/>
  <c r="V971" i="1"/>
  <c r="U971" i="1"/>
  <c r="Q971" i="1"/>
  <c r="O971" i="1"/>
  <c r="M971" i="1"/>
  <c r="L971" i="1"/>
  <c r="K971" i="1"/>
  <c r="F971" i="1"/>
  <c r="F971" i="1" a="1"/>
  <c r="W970" i="1"/>
  <c r="W970" i="1" a="1"/>
  <c r="V970" i="1"/>
  <c r="U970" i="1"/>
  <c r="Q970" i="1"/>
  <c r="O970" i="1"/>
  <c r="M970" i="1"/>
  <c r="L970" i="1"/>
  <c r="K970" i="1"/>
  <c r="F970" i="1"/>
  <c r="F970" i="1" a="1"/>
  <c r="W969" i="1"/>
  <c r="W969" i="1" a="1"/>
  <c r="V969" i="1"/>
  <c r="U969" i="1"/>
  <c r="Q969" i="1"/>
  <c r="O969" i="1"/>
  <c r="M969" i="1"/>
  <c r="L969" i="1"/>
  <c r="K969" i="1"/>
  <c r="F969" i="1"/>
  <c r="F969" i="1" a="1"/>
  <c r="W968" i="1"/>
  <c r="W968" i="1" a="1"/>
  <c r="V968" i="1"/>
  <c r="U968" i="1"/>
  <c r="Q968" i="1"/>
  <c r="O968" i="1"/>
  <c r="M968" i="1"/>
  <c r="L968" i="1"/>
  <c r="K968" i="1"/>
  <c r="F968" i="1"/>
  <c r="F968" i="1" a="1"/>
  <c r="W967" i="1"/>
  <c r="W967" i="1" a="1"/>
  <c r="V967" i="1"/>
  <c r="U967" i="1"/>
  <c r="Q967" i="1"/>
  <c r="O967" i="1"/>
  <c r="M967" i="1"/>
  <c r="L967" i="1"/>
  <c r="K967" i="1"/>
  <c r="F967" i="1"/>
  <c r="F967" i="1" a="1"/>
  <c r="W966" i="1"/>
  <c r="W966" i="1" a="1"/>
  <c r="V966" i="1"/>
  <c r="U966" i="1"/>
  <c r="Q966" i="1"/>
  <c r="O966" i="1"/>
  <c r="M966" i="1"/>
  <c r="L966" i="1"/>
  <c r="K966" i="1"/>
  <c r="F966" i="1"/>
  <c r="F966" i="1" a="1"/>
  <c r="W965" i="1"/>
  <c r="W965" i="1" a="1"/>
  <c r="V965" i="1"/>
  <c r="U965" i="1"/>
  <c r="Q965" i="1"/>
  <c r="O965" i="1"/>
  <c r="M965" i="1"/>
  <c r="L965" i="1"/>
  <c r="K965" i="1"/>
  <c r="F965" i="1"/>
  <c r="F965" i="1" a="1"/>
  <c r="W964" i="1"/>
  <c r="W964" i="1" a="1"/>
  <c r="V964" i="1"/>
  <c r="U964" i="1"/>
  <c r="Q964" i="1"/>
  <c r="O964" i="1"/>
  <c r="M964" i="1"/>
  <c r="L964" i="1"/>
  <c r="K964" i="1"/>
  <c r="F964" i="1"/>
  <c r="F964" i="1" a="1"/>
  <c r="W963" i="1"/>
  <c r="W963" i="1" a="1"/>
  <c r="V963" i="1"/>
  <c r="U963" i="1"/>
  <c r="Q963" i="1"/>
  <c r="O963" i="1"/>
  <c r="M963" i="1"/>
  <c r="L963" i="1"/>
  <c r="K963" i="1"/>
  <c r="F963" i="1"/>
  <c r="F963" i="1" a="1"/>
  <c r="W962" i="1"/>
  <c r="W962" i="1" a="1"/>
  <c r="V962" i="1"/>
  <c r="U962" i="1"/>
  <c r="Q962" i="1"/>
  <c r="O962" i="1"/>
  <c r="M962" i="1"/>
  <c r="L962" i="1"/>
  <c r="K962" i="1"/>
  <c r="F962" i="1"/>
  <c r="F962" i="1" a="1"/>
  <c r="W961" i="1"/>
  <c r="W961" i="1" a="1"/>
  <c r="V961" i="1"/>
  <c r="U961" i="1"/>
  <c r="Q961" i="1"/>
  <c r="O961" i="1"/>
  <c r="M961" i="1"/>
  <c r="L961" i="1"/>
  <c r="K961" i="1"/>
  <c r="F961" i="1"/>
  <c r="F961" i="1" a="1"/>
  <c r="W960" i="1"/>
  <c r="W960" i="1" a="1"/>
  <c r="V960" i="1"/>
  <c r="U960" i="1"/>
  <c r="Q960" i="1"/>
  <c r="O960" i="1"/>
  <c r="M960" i="1"/>
  <c r="L960" i="1"/>
  <c r="K960" i="1"/>
  <c r="F960" i="1"/>
  <c r="F960" i="1" a="1"/>
  <c r="W959" i="1"/>
  <c r="W959" i="1" a="1"/>
  <c r="V959" i="1"/>
  <c r="U959" i="1"/>
  <c r="Q959" i="1"/>
  <c r="O959" i="1"/>
  <c r="M959" i="1"/>
  <c r="L959" i="1"/>
  <c r="K959" i="1"/>
  <c r="F959" i="1"/>
  <c r="F959" i="1" a="1"/>
  <c r="W958" i="1"/>
  <c r="W958" i="1" a="1"/>
  <c r="V958" i="1"/>
  <c r="U958" i="1"/>
  <c r="Q958" i="1"/>
  <c r="O958" i="1"/>
  <c r="M958" i="1"/>
  <c r="L958" i="1"/>
  <c r="K958" i="1"/>
  <c r="F958" i="1"/>
  <c r="F958" i="1" a="1"/>
  <c r="W957" i="1"/>
  <c r="W957" i="1" a="1"/>
  <c r="V957" i="1"/>
  <c r="U957" i="1"/>
  <c r="Q957" i="1"/>
  <c r="O957" i="1"/>
  <c r="M957" i="1"/>
  <c r="L957" i="1"/>
  <c r="K957" i="1"/>
  <c r="F957" i="1"/>
  <c r="F957" i="1" a="1"/>
  <c r="W956" i="1"/>
  <c r="W956" i="1" a="1"/>
  <c r="V956" i="1"/>
  <c r="U956" i="1"/>
  <c r="Q956" i="1"/>
  <c r="O956" i="1"/>
  <c r="M956" i="1"/>
  <c r="L956" i="1"/>
  <c r="K956" i="1"/>
  <c r="F956" i="1"/>
  <c r="F956" i="1" a="1"/>
  <c r="W955" i="1"/>
  <c r="W955" i="1" a="1"/>
  <c r="V955" i="1"/>
  <c r="U955" i="1"/>
  <c r="Q955" i="1"/>
  <c r="O955" i="1"/>
  <c r="M955" i="1"/>
  <c r="L955" i="1"/>
  <c r="K955" i="1"/>
  <c r="F955" i="1"/>
  <c r="F955" i="1" a="1"/>
  <c r="W954" i="1"/>
  <c r="W954" i="1" a="1"/>
  <c r="V954" i="1"/>
  <c r="U954" i="1"/>
  <c r="Q954" i="1"/>
  <c r="O954" i="1"/>
  <c r="M954" i="1"/>
  <c r="L954" i="1"/>
  <c r="K954" i="1"/>
  <c r="F954" i="1"/>
  <c r="F954" i="1" a="1"/>
  <c r="W953" i="1"/>
  <c r="W953" i="1" a="1"/>
  <c r="V953" i="1"/>
  <c r="U953" i="1"/>
  <c r="Q953" i="1"/>
  <c r="O953" i="1"/>
  <c r="M953" i="1"/>
  <c r="L953" i="1"/>
  <c r="K953" i="1"/>
  <c r="F953" i="1"/>
  <c r="F953" i="1" a="1"/>
  <c r="W952" i="1"/>
  <c r="W952" i="1" a="1"/>
  <c r="V952" i="1"/>
  <c r="U952" i="1"/>
  <c r="Q952" i="1"/>
  <c r="O952" i="1"/>
  <c r="M952" i="1"/>
  <c r="L952" i="1"/>
  <c r="K952" i="1"/>
  <c r="F952" i="1"/>
  <c r="F952" i="1" a="1"/>
  <c r="W951" i="1"/>
  <c r="W951" i="1" a="1"/>
  <c r="V951" i="1"/>
  <c r="U951" i="1"/>
  <c r="Q951" i="1"/>
  <c r="O951" i="1"/>
  <c r="M951" i="1"/>
  <c r="L951" i="1"/>
  <c r="K951" i="1"/>
  <c r="F951" i="1"/>
  <c r="F951" i="1" a="1"/>
  <c r="W950" i="1"/>
  <c r="W950" i="1" a="1"/>
  <c r="V950" i="1"/>
  <c r="U950" i="1"/>
  <c r="Q950" i="1"/>
  <c r="O950" i="1"/>
  <c r="M950" i="1"/>
  <c r="L950" i="1"/>
  <c r="K950" i="1"/>
  <c r="F950" i="1"/>
  <c r="F950" i="1" a="1"/>
  <c r="W949" i="1"/>
  <c r="W949" i="1" a="1"/>
  <c r="V949" i="1"/>
  <c r="U949" i="1"/>
  <c r="Q949" i="1"/>
  <c r="O949" i="1"/>
  <c r="M949" i="1"/>
  <c r="L949" i="1"/>
  <c r="K949" i="1"/>
  <c r="F949" i="1"/>
  <c r="F949" i="1" a="1"/>
  <c r="W948" i="1"/>
  <c r="W948" i="1" a="1"/>
  <c r="V948" i="1"/>
  <c r="U948" i="1"/>
  <c r="Q948" i="1"/>
  <c r="O948" i="1"/>
  <c r="M948" i="1"/>
  <c r="L948" i="1"/>
  <c r="K948" i="1"/>
  <c r="F948" i="1"/>
  <c r="F948" i="1" a="1"/>
  <c r="W947" i="1"/>
  <c r="W947" i="1" a="1"/>
  <c r="V947" i="1"/>
  <c r="U947" i="1"/>
  <c r="Q947" i="1"/>
  <c r="O947" i="1"/>
  <c r="M947" i="1"/>
  <c r="L947" i="1"/>
  <c r="K947" i="1"/>
  <c r="F947" i="1"/>
  <c r="F947" i="1" a="1"/>
  <c r="W946" i="1"/>
  <c r="W946" i="1" a="1"/>
  <c r="V946" i="1"/>
  <c r="U946" i="1"/>
  <c r="Q946" i="1"/>
  <c r="O946" i="1"/>
  <c r="M946" i="1"/>
  <c r="L946" i="1"/>
  <c r="K946" i="1"/>
  <c r="F946" i="1"/>
  <c r="F946" i="1" a="1"/>
  <c r="W945" i="1"/>
  <c r="W945" i="1" a="1"/>
  <c r="V945" i="1"/>
  <c r="U945" i="1"/>
  <c r="Q945" i="1"/>
  <c r="O945" i="1"/>
  <c r="M945" i="1"/>
  <c r="L945" i="1"/>
  <c r="K945" i="1"/>
  <c r="F945" i="1"/>
  <c r="F945" i="1" a="1"/>
  <c r="W944" i="1"/>
  <c r="W944" i="1" a="1"/>
  <c r="V944" i="1"/>
  <c r="U944" i="1"/>
  <c r="Q944" i="1"/>
  <c r="O944" i="1"/>
  <c r="M944" i="1"/>
  <c r="L944" i="1"/>
  <c r="K944" i="1"/>
  <c r="F944" i="1"/>
  <c r="F944" i="1" a="1"/>
  <c r="W943" i="1"/>
  <c r="W943" i="1" a="1"/>
  <c r="V943" i="1"/>
  <c r="U943" i="1"/>
  <c r="Q943" i="1"/>
  <c r="O943" i="1"/>
  <c r="M943" i="1"/>
  <c r="L943" i="1"/>
  <c r="K943" i="1"/>
  <c r="F943" i="1"/>
  <c r="F943" i="1" a="1"/>
  <c r="W942" i="1"/>
  <c r="W942" i="1" a="1"/>
  <c r="V942" i="1"/>
  <c r="U942" i="1"/>
  <c r="Q942" i="1"/>
  <c r="O942" i="1"/>
  <c r="M942" i="1"/>
  <c r="L942" i="1"/>
  <c r="K942" i="1"/>
  <c r="F942" i="1"/>
  <c r="F942" i="1" a="1"/>
  <c r="W941" i="1"/>
  <c r="W941" i="1" a="1"/>
  <c r="V941" i="1"/>
  <c r="U941" i="1"/>
  <c r="Q941" i="1"/>
  <c r="O941" i="1"/>
  <c r="M941" i="1"/>
  <c r="L941" i="1"/>
  <c r="K941" i="1"/>
  <c r="F941" i="1"/>
  <c r="F941" i="1" a="1"/>
  <c r="W940" i="1"/>
  <c r="W940" i="1" a="1"/>
  <c r="V940" i="1"/>
  <c r="U940" i="1"/>
  <c r="Q940" i="1"/>
  <c r="O940" i="1"/>
  <c r="M940" i="1"/>
  <c r="L940" i="1"/>
  <c r="K940" i="1"/>
  <c r="F940" i="1"/>
  <c r="F940" i="1" a="1"/>
  <c r="W939" i="1"/>
  <c r="W939" i="1" a="1"/>
  <c r="V939" i="1"/>
  <c r="U939" i="1"/>
  <c r="Q939" i="1"/>
  <c r="O939" i="1"/>
  <c r="M939" i="1"/>
  <c r="L939" i="1"/>
  <c r="K939" i="1"/>
  <c r="F939" i="1"/>
  <c r="F939" i="1" a="1"/>
  <c r="W938" i="1"/>
  <c r="W938" i="1" a="1"/>
  <c r="V938" i="1"/>
  <c r="U938" i="1"/>
  <c r="Q938" i="1"/>
  <c r="O938" i="1"/>
  <c r="M938" i="1"/>
  <c r="L938" i="1"/>
  <c r="K938" i="1"/>
  <c r="F938" i="1"/>
  <c r="F938" i="1" a="1"/>
  <c r="W937" i="1"/>
  <c r="W937" i="1" a="1"/>
  <c r="V937" i="1"/>
  <c r="U937" i="1"/>
  <c r="Q937" i="1"/>
  <c r="O937" i="1"/>
  <c r="M937" i="1"/>
  <c r="L937" i="1"/>
  <c r="K937" i="1"/>
  <c r="F937" i="1"/>
  <c r="F937" i="1" a="1"/>
  <c r="W936" i="1"/>
  <c r="W936" i="1" a="1"/>
  <c r="V936" i="1"/>
  <c r="U936" i="1"/>
  <c r="Q936" i="1"/>
  <c r="O936" i="1"/>
  <c r="M936" i="1"/>
  <c r="L936" i="1"/>
  <c r="K936" i="1"/>
  <c r="F936" i="1"/>
  <c r="F936" i="1" a="1"/>
  <c r="W935" i="1"/>
  <c r="W935" i="1" a="1"/>
  <c r="V935" i="1"/>
  <c r="U935" i="1"/>
  <c r="Q935" i="1"/>
  <c r="O935" i="1"/>
  <c r="M935" i="1"/>
  <c r="L935" i="1"/>
  <c r="K935" i="1"/>
  <c r="F935" i="1"/>
  <c r="F935" i="1" a="1"/>
  <c r="W934" i="1"/>
  <c r="W934" i="1" a="1"/>
  <c r="V934" i="1"/>
  <c r="U934" i="1"/>
  <c r="Q934" i="1"/>
  <c r="O934" i="1"/>
  <c r="M934" i="1"/>
  <c r="L934" i="1"/>
  <c r="K934" i="1"/>
  <c r="F934" i="1"/>
  <c r="F934" i="1" a="1"/>
  <c r="W933" i="1"/>
  <c r="W933" i="1" a="1"/>
  <c r="V933" i="1"/>
  <c r="U933" i="1"/>
  <c r="Q933" i="1"/>
  <c r="O933" i="1"/>
  <c r="M933" i="1"/>
  <c r="L933" i="1"/>
  <c r="K933" i="1"/>
  <c r="F933" i="1"/>
  <c r="F933" i="1" a="1"/>
  <c r="W932" i="1"/>
  <c r="W932" i="1" a="1"/>
  <c r="V932" i="1"/>
  <c r="U932" i="1"/>
  <c r="Q932" i="1"/>
  <c r="O932" i="1"/>
  <c r="M932" i="1"/>
  <c r="L932" i="1"/>
  <c r="K932" i="1"/>
  <c r="F932" i="1"/>
  <c r="F932" i="1" a="1"/>
  <c r="W931" i="1"/>
  <c r="W931" i="1" a="1"/>
  <c r="V931" i="1"/>
  <c r="U931" i="1"/>
  <c r="Q931" i="1"/>
  <c r="O931" i="1"/>
  <c r="M931" i="1"/>
  <c r="L931" i="1"/>
  <c r="K931" i="1"/>
  <c r="F931" i="1"/>
  <c r="F931" i="1" a="1"/>
  <c r="W930" i="1"/>
  <c r="W930" i="1" a="1"/>
  <c r="V930" i="1"/>
  <c r="U930" i="1"/>
  <c r="Q930" i="1"/>
  <c r="O930" i="1"/>
  <c r="M930" i="1"/>
  <c r="L930" i="1"/>
  <c r="K930" i="1"/>
  <c r="F930" i="1"/>
  <c r="F930" i="1" a="1"/>
  <c r="W929" i="1"/>
  <c r="W929" i="1" a="1"/>
  <c r="V929" i="1"/>
  <c r="U929" i="1"/>
  <c r="Q929" i="1"/>
  <c r="O929" i="1"/>
  <c r="M929" i="1"/>
  <c r="L929" i="1"/>
  <c r="K929" i="1"/>
  <c r="F929" i="1"/>
  <c r="F929" i="1" a="1"/>
  <c r="W928" i="1"/>
  <c r="W928" i="1" a="1"/>
  <c r="V928" i="1"/>
  <c r="U928" i="1"/>
  <c r="Q928" i="1"/>
  <c r="O928" i="1"/>
  <c r="M928" i="1"/>
  <c r="L928" i="1"/>
  <c r="K928" i="1"/>
  <c r="F928" i="1"/>
  <c r="F928" i="1" a="1"/>
  <c r="W927" i="1"/>
  <c r="W927" i="1" a="1"/>
  <c r="V927" i="1"/>
  <c r="U927" i="1"/>
  <c r="Q927" i="1"/>
  <c r="O927" i="1"/>
  <c r="M927" i="1"/>
  <c r="L927" i="1"/>
  <c r="K927" i="1"/>
  <c r="F927" i="1"/>
  <c r="F927" i="1" a="1"/>
  <c r="W926" i="1"/>
  <c r="W926" i="1" a="1"/>
  <c r="V926" i="1"/>
  <c r="U926" i="1"/>
  <c r="Q926" i="1"/>
  <c r="O926" i="1"/>
  <c r="M926" i="1"/>
  <c r="L926" i="1"/>
  <c r="K926" i="1"/>
  <c r="F926" i="1"/>
  <c r="F926" i="1" a="1"/>
  <c r="W925" i="1"/>
  <c r="W925" i="1" a="1"/>
  <c r="V925" i="1"/>
  <c r="U925" i="1"/>
  <c r="Q925" i="1"/>
  <c r="O925" i="1"/>
  <c r="M925" i="1"/>
  <c r="L925" i="1"/>
  <c r="K925" i="1"/>
  <c r="F925" i="1"/>
  <c r="F925" i="1" a="1"/>
  <c r="W924" i="1"/>
  <c r="W924" i="1" a="1"/>
  <c r="V924" i="1"/>
  <c r="U924" i="1"/>
  <c r="Q924" i="1"/>
  <c r="O924" i="1"/>
  <c r="M924" i="1"/>
  <c r="L924" i="1"/>
  <c r="K924" i="1"/>
  <c r="F924" i="1"/>
  <c r="F924" i="1" a="1"/>
  <c r="W923" i="1"/>
  <c r="W923" i="1" a="1"/>
  <c r="V923" i="1"/>
  <c r="U923" i="1"/>
  <c r="Q923" i="1"/>
  <c r="O923" i="1"/>
  <c r="M923" i="1"/>
  <c r="L923" i="1"/>
  <c r="K923" i="1"/>
  <c r="F923" i="1"/>
  <c r="F923" i="1" a="1"/>
  <c r="W922" i="1"/>
  <c r="W922" i="1" a="1"/>
  <c r="V922" i="1"/>
  <c r="U922" i="1"/>
  <c r="Q922" i="1"/>
  <c r="O922" i="1"/>
  <c r="M922" i="1"/>
  <c r="L922" i="1"/>
  <c r="K922" i="1"/>
  <c r="F922" i="1"/>
  <c r="F922" i="1" a="1"/>
  <c r="W921" i="1"/>
  <c r="W921" i="1" a="1"/>
  <c r="V921" i="1"/>
  <c r="U921" i="1"/>
  <c r="Q921" i="1"/>
  <c r="O921" i="1"/>
  <c r="M921" i="1"/>
  <c r="L921" i="1"/>
  <c r="K921" i="1"/>
  <c r="F921" i="1"/>
  <c r="F921" i="1" a="1"/>
  <c r="W920" i="1"/>
  <c r="W920" i="1" a="1"/>
  <c r="V920" i="1"/>
  <c r="U920" i="1"/>
  <c r="Q920" i="1"/>
  <c r="O920" i="1"/>
  <c r="M920" i="1"/>
  <c r="L920" i="1"/>
  <c r="K920" i="1"/>
  <c r="F920" i="1"/>
  <c r="F920" i="1" a="1"/>
  <c r="W919" i="1"/>
  <c r="W919" i="1" a="1"/>
  <c r="V919" i="1"/>
  <c r="U919" i="1"/>
  <c r="Q919" i="1"/>
  <c r="O919" i="1"/>
  <c r="M919" i="1"/>
  <c r="L919" i="1"/>
  <c r="K919" i="1"/>
  <c r="F919" i="1"/>
  <c r="F919" i="1" a="1"/>
  <c r="W918" i="1"/>
  <c r="W918" i="1" a="1"/>
  <c r="V918" i="1"/>
  <c r="U918" i="1"/>
  <c r="Q918" i="1"/>
  <c r="O918" i="1"/>
  <c r="M918" i="1"/>
  <c r="L918" i="1"/>
  <c r="K918" i="1"/>
  <c r="F918" i="1"/>
  <c r="F918" i="1" a="1"/>
  <c r="W917" i="1"/>
  <c r="W917" i="1" a="1"/>
  <c r="V917" i="1"/>
  <c r="U917" i="1"/>
  <c r="Q917" i="1"/>
  <c r="O917" i="1"/>
  <c r="M917" i="1"/>
  <c r="L917" i="1"/>
  <c r="K917" i="1"/>
  <c r="F917" i="1"/>
  <c r="F917" i="1" a="1"/>
  <c r="W916" i="1"/>
  <c r="W916" i="1" a="1"/>
  <c r="V916" i="1"/>
  <c r="U916" i="1"/>
  <c r="Q916" i="1"/>
  <c r="O916" i="1"/>
  <c r="M916" i="1"/>
  <c r="L916" i="1"/>
  <c r="K916" i="1"/>
  <c r="F916" i="1"/>
  <c r="F916" i="1" a="1"/>
  <c r="W915" i="1"/>
  <c r="W915" i="1" a="1"/>
  <c r="V915" i="1"/>
  <c r="U915" i="1"/>
  <c r="Q915" i="1"/>
  <c r="O915" i="1"/>
  <c r="M915" i="1"/>
  <c r="L915" i="1"/>
  <c r="K915" i="1"/>
  <c r="F915" i="1"/>
  <c r="F915" i="1" a="1"/>
  <c r="W914" i="1"/>
  <c r="W914" i="1" a="1"/>
  <c r="V914" i="1"/>
  <c r="U914" i="1"/>
  <c r="Q914" i="1"/>
  <c r="O914" i="1"/>
  <c r="M914" i="1"/>
  <c r="L914" i="1"/>
  <c r="K914" i="1"/>
  <c r="F914" i="1"/>
  <c r="F914" i="1" a="1"/>
  <c r="W913" i="1"/>
  <c r="W913" i="1" a="1"/>
  <c r="V913" i="1"/>
  <c r="U913" i="1"/>
  <c r="Q913" i="1"/>
  <c r="O913" i="1"/>
  <c r="M913" i="1"/>
  <c r="L913" i="1"/>
  <c r="K913" i="1"/>
  <c r="F913" i="1"/>
  <c r="F913" i="1" a="1"/>
  <c r="W912" i="1"/>
  <c r="W912" i="1" a="1"/>
  <c r="V912" i="1"/>
  <c r="U912" i="1"/>
  <c r="Q912" i="1"/>
  <c r="O912" i="1"/>
  <c r="M912" i="1"/>
  <c r="L912" i="1"/>
  <c r="K912" i="1"/>
  <c r="F912" i="1"/>
  <c r="F912" i="1" a="1"/>
  <c r="W911" i="1"/>
  <c r="W911" i="1" a="1"/>
  <c r="V911" i="1"/>
  <c r="U911" i="1"/>
  <c r="Q911" i="1"/>
  <c r="O911" i="1"/>
  <c r="M911" i="1"/>
  <c r="L911" i="1"/>
  <c r="K911" i="1"/>
  <c r="F911" i="1"/>
  <c r="F911" i="1" a="1"/>
  <c r="W910" i="1"/>
  <c r="W910" i="1" a="1"/>
  <c r="V910" i="1"/>
  <c r="U910" i="1"/>
  <c r="Q910" i="1"/>
  <c r="O910" i="1"/>
  <c r="M910" i="1"/>
  <c r="L910" i="1"/>
  <c r="K910" i="1"/>
  <c r="F910" i="1"/>
  <c r="F910" i="1" a="1"/>
  <c r="W909" i="1"/>
  <c r="W909" i="1" a="1"/>
  <c r="V909" i="1"/>
  <c r="U909" i="1"/>
  <c r="Q909" i="1"/>
  <c r="O909" i="1"/>
  <c r="M909" i="1"/>
  <c r="L909" i="1"/>
  <c r="K909" i="1"/>
  <c r="F909" i="1"/>
  <c r="F909" i="1" a="1"/>
  <c r="W908" i="1"/>
  <c r="W908" i="1" a="1"/>
  <c r="V908" i="1"/>
  <c r="U908" i="1"/>
  <c r="Q908" i="1"/>
  <c r="O908" i="1"/>
  <c r="M908" i="1"/>
  <c r="L908" i="1"/>
  <c r="K908" i="1"/>
  <c r="F908" i="1"/>
  <c r="F908" i="1" a="1"/>
  <c r="W907" i="1"/>
  <c r="W907" i="1" a="1"/>
  <c r="V907" i="1"/>
  <c r="U907" i="1"/>
  <c r="Q907" i="1"/>
  <c r="O907" i="1"/>
  <c r="M907" i="1"/>
  <c r="L907" i="1"/>
  <c r="K907" i="1"/>
  <c r="F907" i="1"/>
  <c r="F907" i="1" a="1"/>
  <c r="W906" i="1"/>
  <c r="W906" i="1" a="1"/>
  <c r="V906" i="1"/>
  <c r="U906" i="1"/>
  <c r="Q906" i="1"/>
  <c r="O906" i="1"/>
  <c r="M906" i="1"/>
  <c r="L906" i="1"/>
  <c r="K906" i="1"/>
  <c r="F906" i="1"/>
  <c r="F906" i="1" a="1"/>
  <c r="W905" i="1"/>
  <c r="W905" i="1" a="1"/>
  <c r="V905" i="1"/>
  <c r="U905" i="1"/>
  <c r="Q905" i="1"/>
  <c r="O905" i="1"/>
  <c r="M905" i="1"/>
  <c r="L905" i="1"/>
  <c r="K905" i="1"/>
  <c r="F905" i="1"/>
  <c r="F905" i="1" a="1"/>
  <c r="W904" i="1"/>
  <c r="W904" i="1" a="1"/>
  <c r="V904" i="1"/>
  <c r="U904" i="1"/>
  <c r="Q904" i="1"/>
  <c r="O904" i="1"/>
  <c r="M904" i="1"/>
  <c r="L904" i="1"/>
  <c r="K904" i="1"/>
  <c r="F904" i="1"/>
  <c r="F904" i="1" a="1"/>
  <c r="W903" i="1"/>
  <c r="W903" i="1" a="1"/>
  <c r="V903" i="1"/>
  <c r="U903" i="1"/>
  <c r="Q903" i="1"/>
  <c r="O903" i="1"/>
  <c r="M903" i="1"/>
  <c r="L903" i="1"/>
  <c r="K903" i="1"/>
  <c r="F903" i="1"/>
  <c r="F903" i="1" a="1"/>
  <c r="W902" i="1"/>
  <c r="W902" i="1" a="1"/>
  <c r="V902" i="1"/>
  <c r="U902" i="1"/>
  <c r="Q902" i="1"/>
  <c r="O902" i="1"/>
  <c r="M902" i="1"/>
  <c r="L902" i="1"/>
  <c r="K902" i="1"/>
  <c r="F902" i="1"/>
  <c r="F902" i="1" a="1"/>
  <c r="W901" i="1"/>
  <c r="W901" i="1" a="1"/>
  <c r="V901" i="1"/>
  <c r="U901" i="1"/>
  <c r="Q901" i="1"/>
  <c r="O901" i="1"/>
  <c r="M901" i="1"/>
  <c r="L901" i="1"/>
  <c r="K901" i="1"/>
  <c r="F901" i="1"/>
  <c r="F901" i="1" a="1"/>
  <c r="W900" i="1"/>
  <c r="W900" i="1" a="1"/>
  <c r="V900" i="1"/>
  <c r="U900" i="1"/>
  <c r="Q900" i="1"/>
  <c r="O900" i="1"/>
  <c r="M900" i="1"/>
  <c r="L900" i="1"/>
  <c r="K900" i="1"/>
  <c r="F900" i="1"/>
  <c r="F900" i="1" a="1"/>
  <c r="W899" i="1"/>
  <c r="W899" i="1" a="1"/>
  <c r="V899" i="1"/>
  <c r="U899" i="1"/>
  <c r="Q899" i="1"/>
  <c r="O899" i="1"/>
  <c r="M899" i="1"/>
  <c r="L899" i="1"/>
  <c r="K899" i="1"/>
  <c r="F899" i="1"/>
  <c r="F899" i="1" a="1"/>
  <c r="W898" i="1"/>
  <c r="W898" i="1" a="1"/>
  <c r="V898" i="1"/>
  <c r="U898" i="1"/>
  <c r="Q898" i="1"/>
  <c r="O898" i="1"/>
  <c r="M898" i="1"/>
  <c r="L898" i="1"/>
  <c r="K898" i="1"/>
  <c r="F898" i="1"/>
  <c r="F898" i="1" a="1"/>
  <c r="W897" i="1"/>
  <c r="W897" i="1" a="1"/>
  <c r="V897" i="1"/>
  <c r="U897" i="1"/>
  <c r="Q897" i="1"/>
  <c r="O897" i="1"/>
  <c r="M897" i="1"/>
  <c r="L897" i="1"/>
  <c r="K897" i="1"/>
  <c r="F897" i="1"/>
  <c r="F897" i="1" a="1"/>
  <c r="W896" i="1"/>
  <c r="W896" i="1" a="1"/>
  <c r="V896" i="1"/>
  <c r="U896" i="1"/>
  <c r="Q896" i="1"/>
  <c r="O896" i="1"/>
  <c r="M896" i="1"/>
  <c r="L896" i="1"/>
  <c r="K896" i="1"/>
  <c r="F896" i="1"/>
  <c r="F896" i="1" a="1"/>
  <c r="W895" i="1"/>
  <c r="W895" i="1" a="1"/>
  <c r="V895" i="1"/>
  <c r="U895" i="1"/>
  <c r="Q895" i="1"/>
  <c r="O895" i="1"/>
  <c r="M895" i="1"/>
  <c r="L895" i="1"/>
  <c r="K895" i="1"/>
  <c r="F895" i="1"/>
  <c r="F895" i="1" a="1"/>
  <c r="W894" i="1"/>
  <c r="W894" i="1" a="1"/>
  <c r="V894" i="1"/>
  <c r="U894" i="1"/>
  <c r="Q894" i="1"/>
  <c r="O894" i="1"/>
  <c r="M894" i="1"/>
  <c r="L894" i="1"/>
  <c r="K894" i="1"/>
  <c r="F894" i="1"/>
  <c r="F894" i="1" a="1"/>
  <c r="W893" i="1"/>
  <c r="W893" i="1" a="1"/>
  <c r="V893" i="1"/>
  <c r="U893" i="1"/>
  <c r="Q893" i="1"/>
  <c r="O893" i="1"/>
  <c r="M893" i="1"/>
  <c r="L893" i="1"/>
  <c r="K893" i="1"/>
  <c r="F893" i="1"/>
  <c r="F893" i="1" a="1"/>
  <c r="W892" i="1"/>
  <c r="W892" i="1" a="1"/>
  <c r="V892" i="1"/>
  <c r="U892" i="1"/>
  <c r="Q892" i="1"/>
  <c r="O892" i="1"/>
  <c r="M892" i="1"/>
  <c r="L892" i="1"/>
  <c r="K892" i="1"/>
  <c r="F892" i="1"/>
  <c r="F892" i="1" a="1"/>
  <c r="W891" i="1"/>
  <c r="W891" i="1" a="1"/>
  <c r="V891" i="1"/>
  <c r="U891" i="1"/>
  <c r="Q891" i="1"/>
  <c r="O891" i="1"/>
  <c r="M891" i="1"/>
  <c r="L891" i="1"/>
  <c r="K891" i="1"/>
  <c r="F891" i="1"/>
  <c r="F891" i="1" a="1"/>
  <c r="W890" i="1"/>
  <c r="W890" i="1" a="1"/>
  <c r="V890" i="1"/>
  <c r="U890" i="1"/>
  <c r="Q890" i="1"/>
  <c r="O890" i="1"/>
  <c r="M890" i="1"/>
  <c r="L890" i="1"/>
  <c r="K890" i="1"/>
  <c r="F890" i="1"/>
  <c r="F890" i="1" a="1"/>
  <c r="W889" i="1"/>
  <c r="W889" i="1" a="1"/>
  <c r="V889" i="1"/>
  <c r="U889" i="1"/>
  <c r="Q889" i="1"/>
  <c r="O889" i="1"/>
  <c r="M889" i="1"/>
  <c r="L889" i="1"/>
  <c r="K889" i="1"/>
  <c r="F889" i="1"/>
  <c r="F889" i="1" a="1"/>
  <c r="W888" i="1"/>
  <c r="W888" i="1" a="1"/>
  <c r="V888" i="1"/>
  <c r="U888" i="1"/>
  <c r="Q888" i="1"/>
  <c r="O888" i="1"/>
  <c r="M888" i="1"/>
  <c r="L888" i="1"/>
  <c r="K888" i="1"/>
  <c r="F888" i="1"/>
  <c r="F888" i="1" a="1"/>
  <c r="W887" i="1"/>
  <c r="W887" i="1" a="1"/>
  <c r="V887" i="1"/>
  <c r="U887" i="1"/>
  <c r="Q887" i="1"/>
  <c r="O887" i="1"/>
  <c r="M887" i="1"/>
  <c r="L887" i="1"/>
  <c r="K887" i="1"/>
  <c r="F887" i="1"/>
  <c r="F887" i="1" a="1"/>
  <c r="W886" i="1"/>
  <c r="W886" i="1" a="1"/>
  <c r="V886" i="1"/>
  <c r="U886" i="1"/>
  <c r="Q886" i="1"/>
  <c r="O886" i="1"/>
  <c r="M886" i="1"/>
  <c r="L886" i="1"/>
  <c r="K886" i="1"/>
  <c r="F886" i="1"/>
  <c r="F886" i="1" a="1"/>
  <c r="W885" i="1"/>
  <c r="W885" i="1" a="1"/>
  <c r="V885" i="1"/>
  <c r="U885" i="1"/>
  <c r="Q885" i="1"/>
  <c r="O885" i="1"/>
  <c r="M885" i="1"/>
  <c r="L885" i="1"/>
  <c r="K885" i="1"/>
  <c r="F885" i="1"/>
  <c r="F885" i="1" a="1"/>
  <c r="W884" i="1"/>
  <c r="W884" i="1" a="1"/>
  <c r="V884" i="1"/>
  <c r="U884" i="1"/>
  <c r="Q884" i="1"/>
  <c r="O884" i="1"/>
  <c r="M884" i="1"/>
  <c r="L884" i="1"/>
  <c r="K884" i="1"/>
  <c r="F884" i="1"/>
  <c r="F884" i="1" a="1"/>
  <c r="W883" i="1"/>
  <c r="W883" i="1" a="1"/>
  <c r="V883" i="1"/>
  <c r="U883" i="1"/>
  <c r="Q883" i="1"/>
  <c r="O883" i="1"/>
  <c r="M883" i="1"/>
  <c r="L883" i="1"/>
  <c r="K883" i="1"/>
  <c r="F883" i="1"/>
  <c r="F883" i="1" a="1"/>
  <c r="W882" i="1"/>
  <c r="W882" i="1" a="1"/>
  <c r="V882" i="1"/>
  <c r="U882" i="1"/>
  <c r="Q882" i="1"/>
  <c r="O882" i="1"/>
  <c r="M882" i="1"/>
  <c r="L882" i="1"/>
  <c r="K882" i="1"/>
  <c r="F882" i="1"/>
  <c r="F882" i="1" a="1"/>
  <c r="W881" i="1"/>
  <c r="W881" i="1" a="1"/>
  <c r="V881" i="1"/>
  <c r="U881" i="1"/>
  <c r="Q881" i="1"/>
  <c r="O881" i="1"/>
  <c r="M881" i="1"/>
  <c r="L881" i="1"/>
  <c r="K881" i="1"/>
  <c r="F881" i="1"/>
  <c r="F881" i="1" a="1"/>
  <c r="W880" i="1"/>
  <c r="W880" i="1" a="1"/>
  <c r="V880" i="1"/>
  <c r="U880" i="1"/>
  <c r="Q880" i="1"/>
  <c r="O880" i="1"/>
  <c r="M880" i="1"/>
  <c r="L880" i="1"/>
  <c r="K880" i="1"/>
  <c r="F880" i="1"/>
  <c r="F880" i="1" a="1"/>
  <c r="W879" i="1"/>
  <c r="W879" i="1" a="1"/>
  <c r="V879" i="1"/>
  <c r="U879" i="1"/>
  <c r="Q879" i="1"/>
  <c r="O879" i="1"/>
  <c r="M879" i="1"/>
  <c r="L879" i="1"/>
  <c r="K879" i="1"/>
  <c r="F879" i="1"/>
  <c r="F879" i="1" a="1"/>
  <c r="W878" i="1"/>
  <c r="W878" i="1" a="1"/>
  <c r="V878" i="1"/>
  <c r="U878" i="1"/>
  <c r="Q878" i="1"/>
  <c r="O878" i="1"/>
  <c r="M878" i="1"/>
  <c r="L878" i="1"/>
  <c r="K878" i="1"/>
  <c r="F878" i="1"/>
  <c r="F878" i="1" a="1"/>
  <c r="W877" i="1"/>
  <c r="W877" i="1" a="1"/>
  <c r="V877" i="1"/>
  <c r="U877" i="1"/>
  <c r="Q877" i="1"/>
  <c r="O877" i="1"/>
  <c r="M877" i="1"/>
  <c r="L877" i="1"/>
  <c r="K877" i="1"/>
  <c r="F877" i="1"/>
  <c r="F877" i="1" a="1"/>
  <c r="W876" i="1"/>
  <c r="W876" i="1" a="1"/>
  <c r="V876" i="1"/>
  <c r="U876" i="1"/>
  <c r="Q876" i="1"/>
  <c r="O876" i="1"/>
  <c r="M876" i="1"/>
  <c r="L876" i="1"/>
  <c r="K876" i="1"/>
  <c r="F876" i="1"/>
  <c r="F876" i="1" a="1"/>
  <c r="W875" i="1"/>
  <c r="W875" i="1" a="1"/>
  <c r="V875" i="1"/>
  <c r="U875" i="1"/>
  <c r="Q875" i="1"/>
  <c r="O875" i="1"/>
  <c r="M875" i="1"/>
  <c r="L875" i="1"/>
  <c r="K875" i="1"/>
  <c r="F875" i="1"/>
  <c r="F875" i="1" a="1"/>
  <c r="W874" i="1"/>
  <c r="W874" i="1" a="1"/>
  <c r="V874" i="1"/>
  <c r="U874" i="1"/>
  <c r="Q874" i="1"/>
  <c r="O874" i="1"/>
  <c r="M874" i="1"/>
  <c r="L874" i="1"/>
  <c r="K874" i="1"/>
  <c r="F874" i="1"/>
  <c r="F874" i="1" a="1"/>
  <c r="W873" i="1"/>
  <c r="W873" i="1" a="1"/>
  <c r="V873" i="1"/>
  <c r="U873" i="1"/>
  <c r="Q873" i="1"/>
  <c r="O873" i="1"/>
  <c r="M873" i="1"/>
  <c r="L873" i="1"/>
  <c r="K873" i="1"/>
  <c r="F873" i="1"/>
  <c r="F873" i="1" a="1"/>
  <c r="W872" i="1"/>
  <c r="W872" i="1" a="1"/>
  <c r="V872" i="1"/>
  <c r="U872" i="1"/>
  <c r="Q872" i="1"/>
  <c r="O872" i="1"/>
  <c r="M872" i="1"/>
  <c r="L872" i="1"/>
  <c r="K872" i="1"/>
  <c r="F872" i="1"/>
  <c r="F872" i="1" a="1"/>
  <c r="W871" i="1"/>
  <c r="W871" i="1" a="1"/>
  <c r="V871" i="1"/>
  <c r="U871" i="1"/>
  <c r="Q871" i="1"/>
  <c r="O871" i="1"/>
  <c r="M871" i="1"/>
  <c r="L871" i="1"/>
  <c r="K871" i="1"/>
  <c r="F871" i="1"/>
  <c r="F871" i="1" a="1"/>
  <c r="W870" i="1"/>
  <c r="W870" i="1" a="1"/>
  <c r="V870" i="1"/>
  <c r="U870" i="1"/>
  <c r="Q870" i="1"/>
  <c r="O870" i="1"/>
  <c r="M870" i="1"/>
  <c r="L870" i="1"/>
  <c r="K870" i="1"/>
  <c r="F870" i="1"/>
  <c r="F870" i="1" a="1"/>
  <c r="W869" i="1"/>
  <c r="W869" i="1" a="1"/>
  <c r="V869" i="1"/>
  <c r="U869" i="1"/>
  <c r="Q869" i="1"/>
  <c r="O869" i="1"/>
  <c r="M869" i="1"/>
  <c r="L869" i="1"/>
  <c r="K869" i="1"/>
  <c r="F869" i="1"/>
  <c r="F869" i="1" a="1"/>
  <c r="W868" i="1"/>
  <c r="W868" i="1" a="1"/>
  <c r="V868" i="1"/>
  <c r="U868" i="1"/>
  <c r="Q868" i="1"/>
  <c r="O868" i="1"/>
  <c r="M868" i="1"/>
  <c r="L868" i="1"/>
  <c r="K868" i="1"/>
  <c r="F868" i="1"/>
  <c r="F868" i="1" a="1"/>
  <c r="W867" i="1"/>
  <c r="W867" i="1" a="1"/>
  <c r="V867" i="1"/>
  <c r="U867" i="1"/>
  <c r="Q867" i="1"/>
  <c r="O867" i="1"/>
  <c r="M867" i="1"/>
  <c r="L867" i="1"/>
  <c r="K867" i="1"/>
  <c r="F867" i="1"/>
  <c r="F867" i="1" a="1"/>
  <c r="W866" i="1"/>
  <c r="W866" i="1" a="1"/>
  <c r="V866" i="1"/>
  <c r="U866" i="1"/>
  <c r="Q866" i="1"/>
  <c r="O866" i="1"/>
  <c r="M866" i="1"/>
  <c r="L866" i="1"/>
  <c r="K866" i="1"/>
  <c r="F866" i="1"/>
  <c r="F866" i="1" a="1"/>
  <c r="W865" i="1"/>
  <c r="W865" i="1" a="1"/>
  <c r="V865" i="1"/>
  <c r="U865" i="1"/>
  <c r="Q865" i="1"/>
  <c r="O865" i="1"/>
  <c r="M865" i="1"/>
  <c r="L865" i="1"/>
  <c r="K865" i="1"/>
  <c r="F865" i="1"/>
  <c r="F865" i="1" a="1"/>
  <c r="W864" i="1"/>
  <c r="W864" i="1" a="1"/>
  <c r="V864" i="1"/>
  <c r="U864" i="1"/>
  <c r="Q864" i="1"/>
  <c r="O864" i="1"/>
  <c r="M864" i="1"/>
  <c r="L864" i="1"/>
  <c r="K864" i="1"/>
  <c r="F864" i="1"/>
  <c r="F864" i="1" a="1"/>
  <c r="W863" i="1"/>
  <c r="W863" i="1" a="1"/>
  <c r="V863" i="1"/>
  <c r="U863" i="1"/>
  <c r="Q863" i="1"/>
  <c r="O863" i="1"/>
  <c r="M863" i="1"/>
  <c r="L863" i="1"/>
  <c r="K863" i="1"/>
  <c r="F863" i="1"/>
  <c r="F863" i="1" a="1"/>
  <c r="W862" i="1"/>
  <c r="W862" i="1" a="1"/>
  <c r="V862" i="1"/>
  <c r="U862" i="1"/>
  <c r="Q862" i="1"/>
  <c r="O862" i="1"/>
  <c r="M862" i="1"/>
  <c r="L862" i="1"/>
  <c r="K862" i="1"/>
  <c r="F862" i="1"/>
  <c r="F862" i="1" a="1"/>
  <c r="W861" i="1"/>
  <c r="W861" i="1" a="1"/>
  <c r="V861" i="1"/>
  <c r="U861" i="1"/>
  <c r="Q861" i="1"/>
  <c r="O861" i="1"/>
  <c r="M861" i="1"/>
  <c r="L861" i="1"/>
  <c r="K861" i="1"/>
  <c r="F861" i="1"/>
  <c r="F861" i="1" a="1"/>
  <c r="W860" i="1"/>
  <c r="W860" i="1" a="1"/>
  <c r="V860" i="1"/>
  <c r="U860" i="1"/>
  <c r="Q860" i="1"/>
  <c r="O860" i="1"/>
  <c r="M860" i="1"/>
  <c r="L860" i="1"/>
  <c r="K860" i="1"/>
  <c r="F860" i="1"/>
  <c r="F860" i="1" a="1"/>
  <c r="W859" i="1"/>
  <c r="W859" i="1" a="1"/>
  <c r="V859" i="1"/>
  <c r="U859" i="1"/>
  <c r="Q859" i="1"/>
  <c r="O859" i="1"/>
  <c r="M859" i="1"/>
  <c r="L859" i="1"/>
  <c r="K859" i="1"/>
  <c r="F859" i="1"/>
  <c r="F859" i="1" a="1"/>
  <c r="W858" i="1"/>
  <c r="W858" i="1" a="1"/>
  <c r="V858" i="1"/>
  <c r="U858" i="1"/>
  <c r="Q858" i="1"/>
  <c r="O858" i="1"/>
  <c r="M858" i="1"/>
  <c r="L858" i="1"/>
  <c r="K858" i="1"/>
  <c r="F858" i="1"/>
  <c r="F858" i="1" a="1"/>
  <c r="W857" i="1"/>
  <c r="W857" i="1" a="1"/>
  <c r="V857" i="1"/>
  <c r="U857" i="1"/>
  <c r="Q857" i="1"/>
  <c r="O857" i="1"/>
  <c r="M857" i="1"/>
  <c r="L857" i="1"/>
  <c r="K857" i="1"/>
  <c r="F857" i="1"/>
  <c r="F857" i="1" a="1"/>
  <c r="W856" i="1"/>
  <c r="W856" i="1" a="1"/>
  <c r="V856" i="1"/>
  <c r="U856" i="1"/>
  <c r="Q856" i="1"/>
  <c r="O856" i="1"/>
  <c r="M856" i="1"/>
  <c r="L856" i="1"/>
  <c r="K856" i="1"/>
  <c r="F856" i="1"/>
  <c r="F856" i="1" a="1"/>
  <c r="W855" i="1"/>
  <c r="W855" i="1" a="1"/>
  <c r="V855" i="1"/>
  <c r="U855" i="1"/>
  <c r="Q855" i="1"/>
  <c r="O855" i="1"/>
  <c r="M855" i="1"/>
  <c r="L855" i="1"/>
  <c r="K855" i="1"/>
  <c r="F855" i="1"/>
  <c r="F855" i="1" a="1"/>
  <c r="W854" i="1"/>
  <c r="W854" i="1" a="1"/>
  <c r="V854" i="1"/>
  <c r="U854" i="1"/>
  <c r="Q854" i="1"/>
  <c r="O854" i="1"/>
  <c r="M854" i="1"/>
  <c r="L854" i="1"/>
  <c r="K854" i="1"/>
  <c r="F854" i="1"/>
  <c r="F854" i="1" a="1"/>
  <c r="W853" i="1"/>
  <c r="W853" i="1" a="1"/>
  <c r="V853" i="1"/>
  <c r="U853" i="1"/>
  <c r="Q853" i="1"/>
  <c r="O853" i="1"/>
  <c r="M853" i="1"/>
  <c r="L853" i="1"/>
  <c r="K853" i="1"/>
  <c r="F853" i="1"/>
  <c r="F853" i="1" a="1"/>
  <c r="W852" i="1"/>
  <c r="W852" i="1" a="1"/>
  <c r="V852" i="1"/>
  <c r="U852" i="1"/>
  <c r="Q852" i="1"/>
  <c r="O852" i="1"/>
  <c r="M852" i="1"/>
  <c r="L852" i="1"/>
  <c r="K852" i="1"/>
  <c r="F852" i="1"/>
  <c r="F852" i="1" a="1"/>
  <c r="W851" i="1"/>
  <c r="W851" i="1" a="1"/>
  <c r="V851" i="1"/>
  <c r="U851" i="1"/>
  <c r="Q851" i="1"/>
  <c r="O851" i="1"/>
  <c r="M851" i="1"/>
  <c r="L851" i="1"/>
  <c r="K851" i="1"/>
  <c r="F851" i="1"/>
  <c r="F851" i="1" a="1"/>
  <c r="W850" i="1"/>
  <c r="W850" i="1" a="1"/>
  <c r="V850" i="1"/>
  <c r="U850" i="1"/>
  <c r="Q850" i="1"/>
  <c r="O850" i="1"/>
  <c r="M850" i="1"/>
  <c r="L850" i="1"/>
  <c r="K850" i="1"/>
  <c r="F850" i="1"/>
  <c r="F850" i="1" a="1"/>
  <c r="W849" i="1"/>
  <c r="W849" i="1" a="1"/>
  <c r="V849" i="1"/>
  <c r="U849" i="1"/>
  <c r="Q849" i="1"/>
  <c r="O849" i="1"/>
  <c r="M849" i="1"/>
  <c r="L849" i="1"/>
  <c r="K849" i="1"/>
  <c r="F849" i="1"/>
  <c r="F849" i="1" a="1"/>
  <c r="W848" i="1"/>
  <c r="W848" i="1" a="1"/>
  <c r="V848" i="1"/>
  <c r="U848" i="1"/>
  <c r="Q848" i="1"/>
  <c r="O848" i="1"/>
  <c r="M848" i="1"/>
  <c r="L848" i="1"/>
  <c r="K848" i="1"/>
  <c r="F848" i="1"/>
  <c r="F848" i="1" a="1"/>
  <c r="W847" i="1"/>
  <c r="W847" i="1" a="1"/>
  <c r="V847" i="1"/>
  <c r="U847" i="1"/>
  <c r="Q847" i="1"/>
  <c r="O847" i="1"/>
  <c r="M847" i="1"/>
  <c r="L847" i="1"/>
  <c r="K847" i="1"/>
  <c r="F847" i="1"/>
  <c r="F847" i="1" a="1"/>
  <c r="W846" i="1"/>
  <c r="W846" i="1" a="1"/>
  <c r="V846" i="1"/>
  <c r="U846" i="1"/>
  <c r="Q846" i="1"/>
  <c r="O846" i="1"/>
  <c r="M846" i="1"/>
  <c r="L846" i="1"/>
  <c r="K846" i="1"/>
  <c r="F846" i="1"/>
  <c r="F846" i="1" a="1"/>
  <c r="W845" i="1"/>
  <c r="W845" i="1" a="1"/>
  <c r="V845" i="1"/>
  <c r="U845" i="1"/>
  <c r="Q845" i="1"/>
  <c r="O845" i="1"/>
  <c r="M845" i="1"/>
  <c r="L845" i="1"/>
  <c r="K845" i="1"/>
  <c r="F845" i="1"/>
  <c r="F845" i="1" a="1"/>
  <c r="W844" i="1"/>
  <c r="W844" i="1" a="1"/>
  <c r="V844" i="1"/>
  <c r="U844" i="1"/>
  <c r="Q844" i="1"/>
  <c r="O844" i="1"/>
  <c r="M844" i="1"/>
  <c r="L844" i="1"/>
  <c r="K844" i="1"/>
  <c r="F844" i="1"/>
  <c r="F844" i="1" a="1"/>
  <c r="W843" i="1"/>
  <c r="W843" i="1" a="1"/>
  <c r="V843" i="1"/>
  <c r="U843" i="1"/>
  <c r="Q843" i="1"/>
  <c r="O843" i="1"/>
  <c r="M843" i="1"/>
  <c r="L843" i="1"/>
  <c r="K843" i="1"/>
  <c r="F843" i="1"/>
  <c r="F843" i="1" a="1"/>
  <c r="W842" i="1"/>
  <c r="W842" i="1" a="1"/>
  <c r="V842" i="1"/>
  <c r="U842" i="1"/>
  <c r="Q842" i="1"/>
  <c r="O842" i="1"/>
  <c r="M842" i="1"/>
  <c r="L842" i="1"/>
  <c r="K842" i="1"/>
  <c r="F842" i="1"/>
  <c r="F842" i="1" a="1"/>
  <c r="W841" i="1"/>
  <c r="W841" i="1" a="1"/>
  <c r="V841" i="1"/>
  <c r="U841" i="1"/>
  <c r="Q841" i="1"/>
  <c r="O841" i="1"/>
  <c r="M841" i="1"/>
  <c r="L841" i="1"/>
  <c r="K841" i="1"/>
  <c r="F841" i="1"/>
  <c r="F841" i="1" a="1"/>
  <c r="W840" i="1"/>
  <c r="W840" i="1" a="1"/>
  <c r="V840" i="1"/>
  <c r="U840" i="1"/>
  <c r="Q840" i="1"/>
  <c r="O840" i="1"/>
  <c r="M840" i="1"/>
  <c r="L840" i="1"/>
  <c r="K840" i="1"/>
  <c r="F840" i="1"/>
  <c r="F840" i="1" a="1"/>
  <c r="W839" i="1"/>
  <c r="W839" i="1" a="1"/>
  <c r="V839" i="1"/>
  <c r="U839" i="1"/>
  <c r="Q839" i="1"/>
  <c r="O839" i="1"/>
  <c r="M839" i="1"/>
  <c r="L839" i="1"/>
  <c r="K839" i="1"/>
  <c r="F839" i="1"/>
  <c r="F839" i="1" a="1"/>
  <c r="W838" i="1"/>
  <c r="W838" i="1" a="1"/>
  <c r="V838" i="1"/>
  <c r="U838" i="1"/>
  <c r="Q838" i="1"/>
  <c r="O838" i="1"/>
  <c r="M838" i="1"/>
  <c r="L838" i="1"/>
  <c r="K838" i="1"/>
  <c r="F838" i="1"/>
  <c r="F838" i="1" a="1"/>
  <c r="W837" i="1"/>
  <c r="W837" i="1" a="1"/>
  <c r="V837" i="1"/>
  <c r="U837" i="1"/>
  <c r="Q837" i="1"/>
  <c r="O837" i="1"/>
  <c r="M837" i="1"/>
  <c r="L837" i="1"/>
  <c r="K837" i="1"/>
  <c r="F837" i="1"/>
  <c r="F837" i="1" a="1"/>
  <c r="W836" i="1"/>
  <c r="W836" i="1" a="1"/>
  <c r="V836" i="1"/>
  <c r="U836" i="1"/>
  <c r="Q836" i="1"/>
  <c r="O836" i="1"/>
  <c r="M836" i="1"/>
  <c r="L836" i="1"/>
  <c r="K836" i="1"/>
  <c r="F836" i="1"/>
  <c r="F836" i="1" a="1"/>
  <c r="W835" i="1"/>
  <c r="W835" i="1" a="1"/>
  <c r="V835" i="1"/>
  <c r="U835" i="1"/>
  <c r="Q835" i="1"/>
  <c r="O835" i="1"/>
  <c r="M835" i="1"/>
  <c r="L835" i="1"/>
  <c r="K835" i="1"/>
  <c r="F835" i="1"/>
  <c r="F835" i="1" a="1"/>
  <c r="W834" i="1"/>
  <c r="W834" i="1" a="1"/>
  <c r="V834" i="1"/>
  <c r="U834" i="1"/>
  <c r="Q834" i="1"/>
  <c r="O834" i="1"/>
  <c r="M834" i="1"/>
  <c r="L834" i="1"/>
  <c r="K834" i="1"/>
  <c r="F834" i="1"/>
  <c r="F834" i="1" a="1"/>
  <c r="W833" i="1"/>
  <c r="W833" i="1" a="1"/>
  <c r="V833" i="1"/>
  <c r="U833" i="1"/>
  <c r="Q833" i="1"/>
  <c r="O833" i="1"/>
  <c r="M833" i="1"/>
  <c r="L833" i="1"/>
  <c r="K833" i="1"/>
  <c r="F833" i="1"/>
  <c r="F833" i="1" a="1"/>
  <c r="W832" i="1"/>
  <c r="W832" i="1" a="1"/>
  <c r="V832" i="1"/>
  <c r="U832" i="1"/>
  <c r="Q832" i="1"/>
  <c r="O832" i="1"/>
  <c r="M832" i="1"/>
  <c r="L832" i="1"/>
  <c r="K832" i="1"/>
  <c r="F832" i="1"/>
  <c r="F832" i="1" a="1"/>
  <c r="W831" i="1"/>
  <c r="W831" i="1" a="1"/>
  <c r="V831" i="1"/>
  <c r="U831" i="1"/>
  <c r="Q831" i="1"/>
  <c r="O831" i="1"/>
  <c r="M831" i="1"/>
  <c r="L831" i="1"/>
  <c r="K831" i="1"/>
  <c r="F831" i="1"/>
  <c r="F831" i="1" a="1"/>
  <c r="W830" i="1"/>
  <c r="W830" i="1" a="1"/>
  <c r="V830" i="1"/>
  <c r="U830" i="1"/>
  <c r="Q830" i="1"/>
  <c r="O830" i="1"/>
  <c r="M830" i="1"/>
  <c r="L830" i="1"/>
  <c r="K830" i="1"/>
  <c r="F830" i="1"/>
  <c r="F830" i="1" a="1"/>
  <c r="W829" i="1"/>
  <c r="W829" i="1" a="1"/>
  <c r="V829" i="1"/>
  <c r="U829" i="1"/>
  <c r="Q829" i="1"/>
  <c r="O829" i="1"/>
  <c r="M829" i="1"/>
  <c r="L829" i="1"/>
  <c r="K829" i="1"/>
  <c r="F829" i="1"/>
  <c r="F829" i="1" a="1"/>
  <c r="W828" i="1"/>
  <c r="W828" i="1" a="1"/>
  <c r="V828" i="1"/>
  <c r="U828" i="1"/>
  <c r="Q828" i="1"/>
  <c r="O828" i="1"/>
  <c r="M828" i="1"/>
  <c r="L828" i="1"/>
  <c r="K828" i="1"/>
  <c r="F828" i="1"/>
  <c r="F828" i="1" a="1"/>
  <c r="W827" i="1"/>
  <c r="W827" i="1" a="1"/>
  <c r="V827" i="1"/>
  <c r="U827" i="1"/>
  <c r="Q827" i="1"/>
  <c r="O827" i="1"/>
  <c r="M827" i="1"/>
  <c r="L827" i="1"/>
  <c r="K827" i="1"/>
  <c r="F827" i="1"/>
  <c r="F827" i="1" a="1"/>
  <c r="W826" i="1"/>
  <c r="W826" i="1" a="1"/>
  <c r="V826" i="1"/>
  <c r="U826" i="1"/>
  <c r="Q826" i="1"/>
  <c r="O826" i="1"/>
  <c r="M826" i="1"/>
  <c r="L826" i="1"/>
  <c r="K826" i="1"/>
  <c r="F826" i="1"/>
  <c r="F826" i="1" a="1"/>
  <c r="W825" i="1"/>
  <c r="W825" i="1" a="1"/>
  <c r="V825" i="1"/>
  <c r="U825" i="1"/>
  <c r="Q825" i="1"/>
  <c r="O825" i="1"/>
  <c r="M825" i="1"/>
  <c r="L825" i="1"/>
  <c r="K825" i="1"/>
  <c r="F825" i="1"/>
  <c r="F825" i="1" a="1"/>
  <c r="W824" i="1"/>
  <c r="W824" i="1" a="1"/>
  <c r="V824" i="1"/>
  <c r="U824" i="1"/>
  <c r="Q824" i="1"/>
  <c r="O824" i="1"/>
  <c r="M824" i="1"/>
  <c r="L824" i="1"/>
  <c r="K824" i="1"/>
  <c r="F824" i="1"/>
  <c r="F824" i="1" a="1"/>
  <c r="W823" i="1"/>
  <c r="W823" i="1" a="1"/>
  <c r="V823" i="1"/>
  <c r="U823" i="1"/>
  <c r="Q823" i="1"/>
  <c r="O823" i="1"/>
  <c r="M823" i="1"/>
  <c r="L823" i="1"/>
  <c r="K823" i="1"/>
  <c r="F823" i="1"/>
  <c r="F823" i="1" a="1"/>
  <c r="W822" i="1"/>
  <c r="W822" i="1" a="1"/>
  <c r="V822" i="1"/>
  <c r="U822" i="1"/>
  <c r="Q822" i="1"/>
  <c r="O822" i="1"/>
  <c r="M822" i="1"/>
  <c r="L822" i="1"/>
  <c r="K822" i="1"/>
  <c r="F822" i="1"/>
  <c r="F822" i="1" a="1"/>
  <c r="W821" i="1"/>
  <c r="W821" i="1" a="1"/>
  <c r="V821" i="1"/>
  <c r="U821" i="1"/>
  <c r="Q821" i="1"/>
  <c r="O821" i="1"/>
  <c r="M821" i="1"/>
  <c r="L821" i="1"/>
  <c r="K821" i="1"/>
  <c r="F821" i="1"/>
  <c r="F821" i="1" a="1"/>
  <c r="W820" i="1"/>
  <c r="W820" i="1" a="1"/>
  <c r="V820" i="1"/>
  <c r="U820" i="1"/>
  <c r="Q820" i="1"/>
  <c r="O820" i="1"/>
  <c r="M820" i="1"/>
  <c r="L820" i="1"/>
  <c r="K820" i="1"/>
  <c r="F820" i="1"/>
  <c r="F820" i="1" a="1"/>
  <c r="W819" i="1"/>
  <c r="W819" i="1" a="1"/>
  <c r="V819" i="1"/>
  <c r="U819" i="1"/>
  <c r="Q819" i="1"/>
  <c r="O819" i="1"/>
  <c r="M819" i="1"/>
  <c r="L819" i="1"/>
  <c r="K819" i="1"/>
  <c r="F819" i="1"/>
  <c r="F819" i="1" a="1"/>
  <c r="W818" i="1"/>
  <c r="W818" i="1" a="1"/>
  <c r="V818" i="1"/>
  <c r="U818" i="1"/>
  <c r="Q818" i="1"/>
  <c r="O818" i="1"/>
  <c r="M818" i="1"/>
  <c r="L818" i="1"/>
  <c r="K818" i="1"/>
  <c r="F818" i="1"/>
  <c r="F818" i="1" a="1"/>
  <c r="W817" i="1"/>
  <c r="W817" i="1" a="1"/>
  <c r="V817" i="1"/>
  <c r="U817" i="1"/>
  <c r="Q817" i="1"/>
  <c r="O817" i="1"/>
  <c r="M817" i="1"/>
  <c r="L817" i="1"/>
  <c r="K817" i="1"/>
  <c r="F817" i="1"/>
  <c r="F817" i="1" a="1"/>
  <c r="W816" i="1"/>
  <c r="W816" i="1" a="1"/>
  <c r="V816" i="1"/>
  <c r="U816" i="1"/>
  <c r="Q816" i="1"/>
  <c r="O816" i="1"/>
  <c r="M816" i="1"/>
  <c r="L816" i="1"/>
  <c r="K816" i="1"/>
  <c r="F816" i="1"/>
  <c r="F816" i="1" a="1"/>
  <c r="W815" i="1"/>
  <c r="W815" i="1" a="1"/>
  <c r="V815" i="1"/>
  <c r="U815" i="1"/>
  <c r="Q815" i="1"/>
  <c r="O815" i="1"/>
  <c r="M815" i="1"/>
  <c r="L815" i="1"/>
  <c r="K815" i="1"/>
  <c r="F815" i="1"/>
  <c r="F815" i="1" a="1"/>
  <c r="W814" i="1"/>
  <c r="W814" i="1" a="1"/>
  <c r="V814" i="1"/>
  <c r="U814" i="1"/>
  <c r="Q814" i="1"/>
  <c r="O814" i="1"/>
  <c r="M814" i="1"/>
  <c r="L814" i="1"/>
  <c r="K814" i="1"/>
  <c r="F814" i="1"/>
  <c r="F814" i="1" a="1"/>
  <c r="W813" i="1"/>
  <c r="W813" i="1" a="1"/>
  <c r="V813" i="1"/>
  <c r="U813" i="1"/>
  <c r="Q813" i="1"/>
  <c r="O813" i="1"/>
  <c r="M813" i="1"/>
  <c r="L813" i="1"/>
  <c r="K813" i="1"/>
  <c r="F813" i="1"/>
  <c r="F813" i="1" a="1"/>
  <c r="W812" i="1"/>
  <c r="W812" i="1" a="1"/>
  <c r="V812" i="1"/>
  <c r="U812" i="1"/>
  <c r="Q812" i="1"/>
  <c r="O812" i="1"/>
  <c r="M812" i="1"/>
  <c r="L812" i="1"/>
  <c r="K812" i="1"/>
  <c r="F812" i="1"/>
  <c r="F812" i="1" a="1"/>
  <c r="W811" i="1"/>
  <c r="W811" i="1" a="1"/>
  <c r="V811" i="1"/>
  <c r="U811" i="1"/>
  <c r="Q811" i="1"/>
  <c r="O811" i="1"/>
  <c r="M811" i="1"/>
  <c r="L811" i="1"/>
  <c r="K811" i="1"/>
  <c r="F811" i="1"/>
  <c r="F811" i="1" a="1"/>
  <c r="W810" i="1"/>
  <c r="W810" i="1" a="1"/>
  <c r="V810" i="1"/>
  <c r="U810" i="1"/>
  <c r="Q810" i="1"/>
  <c r="O810" i="1"/>
  <c r="M810" i="1"/>
  <c r="L810" i="1"/>
  <c r="K810" i="1"/>
  <c r="F810" i="1"/>
  <c r="F810" i="1" a="1"/>
  <c r="W809" i="1"/>
  <c r="W809" i="1" a="1"/>
  <c r="V809" i="1"/>
  <c r="U809" i="1"/>
  <c r="Q809" i="1"/>
  <c r="O809" i="1"/>
  <c r="M809" i="1"/>
  <c r="L809" i="1"/>
  <c r="K809" i="1"/>
  <c r="F809" i="1"/>
  <c r="F809" i="1" a="1"/>
  <c r="W808" i="1"/>
  <c r="W808" i="1" a="1"/>
  <c r="V808" i="1"/>
  <c r="U808" i="1"/>
  <c r="Q808" i="1"/>
  <c r="O808" i="1"/>
  <c r="M808" i="1"/>
  <c r="L808" i="1"/>
  <c r="K808" i="1"/>
  <c r="F808" i="1"/>
  <c r="F808" i="1" a="1"/>
  <c r="W807" i="1"/>
  <c r="W807" i="1" a="1"/>
  <c r="V807" i="1"/>
  <c r="U807" i="1"/>
  <c r="Q807" i="1"/>
  <c r="O807" i="1"/>
  <c r="M807" i="1"/>
  <c r="L807" i="1"/>
  <c r="K807" i="1"/>
  <c r="F807" i="1"/>
  <c r="F807" i="1" a="1"/>
  <c r="W806" i="1"/>
  <c r="W806" i="1" a="1"/>
  <c r="V806" i="1"/>
  <c r="U806" i="1"/>
  <c r="Q806" i="1"/>
  <c r="O806" i="1"/>
  <c r="M806" i="1"/>
  <c r="L806" i="1"/>
  <c r="K806" i="1"/>
  <c r="F806" i="1"/>
  <c r="F806" i="1" a="1"/>
  <c r="W805" i="1"/>
  <c r="W805" i="1" a="1"/>
  <c r="V805" i="1"/>
  <c r="U805" i="1"/>
  <c r="Q805" i="1"/>
  <c r="O805" i="1"/>
  <c r="M805" i="1"/>
  <c r="L805" i="1"/>
  <c r="K805" i="1"/>
  <c r="F805" i="1"/>
  <c r="F805" i="1" a="1"/>
  <c r="W804" i="1"/>
  <c r="W804" i="1" a="1"/>
  <c r="V804" i="1"/>
  <c r="U804" i="1"/>
  <c r="Q804" i="1"/>
  <c r="O804" i="1"/>
  <c r="M804" i="1"/>
  <c r="L804" i="1"/>
  <c r="K804" i="1"/>
  <c r="F804" i="1"/>
  <c r="F804" i="1" a="1"/>
  <c r="W803" i="1"/>
  <c r="W803" i="1" a="1"/>
  <c r="V803" i="1"/>
  <c r="U803" i="1"/>
  <c r="Q803" i="1"/>
  <c r="O803" i="1"/>
  <c r="M803" i="1"/>
  <c r="L803" i="1"/>
  <c r="K803" i="1"/>
  <c r="F803" i="1"/>
  <c r="F803" i="1" a="1"/>
  <c r="W802" i="1"/>
  <c r="W802" i="1" a="1"/>
  <c r="V802" i="1"/>
  <c r="U802" i="1"/>
  <c r="Q802" i="1"/>
  <c r="O802" i="1"/>
  <c r="M802" i="1"/>
  <c r="L802" i="1"/>
  <c r="K802" i="1"/>
  <c r="F802" i="1"/>
  <c r="F802" i="1" a="1"/>
  <c r="W801" i="1"/>
  <c r="W801" i="1" a="1"/>
  <c r="V801" i="1"/>
  <c r="U801" i="1"/>
  <c r="Q801" i="1"/>
  <c r="O801" i="1"/>
  <c r="M801" i="1"/>
  <c r="L801" i="1"/>
  <c r="K801" i="1"/>
  <c r="F801" i="1"/>
  <c r="F801" i="1" a="1"/>
  <c r="W800" i="1"/>
  <c r="W800" i="1" a="1"/>
  <c r="V800" i="1"/>
  <c r="U800" i="1"/>
  <c r="Q800" i="1"/>
  <c r="O800" i="1"/>
  <c r="M800" i="1"/>
  <c r="L800" i="1"/>
  <c r="K800" i="1"/>
  <c r="F800" i="1"/>
  <c r="F800" i="1" a="1"/>
  <c r="W799" i="1"/>
  <c r="W799" i="1" a="1"/>
  <c r="V799" i="1"/>
  <c r="U799" i="1"/>
  <c r="Q799" i="1"/>
  <c r="O799" i="1"/>
  <c r="M799" i="1"/>
  <c r="L799" i="1"/>
  <c r="K799" i="1"/>
  <c r="F799" i="1"/>
  <c r="F799" i="1" a="1"/>
  <c r="W798" i="1"/>
  <c r="W798" i="1" a="1"/>
  <c r="V798" i="1"/>
  <c r="U798" i="1"/>
  <c r="Q798" i="1"/>
  <c r="O798" i="1"/>
  <c r="M798" i="1"/>
  <c r="L798" i="1"/>
  <c r="K798" i="1"/>
  <c r="F798" i="1"/>
  <c r="F798" i="1" a="1"/>
  <c r="W797" i="1"/>
  <c r="W797" i="1" a="1"/>
  <c r="V797" i="1"/>
  <c r="U797" i="1"/>
  <c r="Q797" i="1"/>
  <c r="O797" i="1"/>
  <c r="M797" i="1"/>
  <c r="L797" i="1"/>
  <c r="K797" i="1"/>
  <c r="F797" i="1"/>
  <c r="F797" i="1" a="1"/>
  <c r="W796" i="1"/>
  <c r="W796" i="1" a="1"/>
  <c r="V796" i="1"/>
  <c r="U796" i="1"/>
  <c r="Q796" i="1"/>
  <c r="O796" i="1"/>
  <c r="M796" i="1"/>
  <c r="L796" i="1"/>
  <c r="K796" i="1"/>
  <c r="F796" i="1"/>
  <c r="F796" i="1" a="1"/>
  <c r="W795" i="1"/>
  <c r="W795" i="1" a="1"/>
  <c r="V795" i="1"/>
  <c r="U795" i="1"/>
  <c r="Q795" i="1"/>
  <c r="O795" i="1"/>
  <c r="M795" i="1"/>
  <c r="L795" i="1"/>
  <c r="K795" i="1"/>
  <c r="F795" i="1"/>
  <c r="F795" i="1" a="1"/>
  <c r="W794" i="1"/>
  <c r="W794" i="1" a="1"/>
  <c r="V794" i="1"/>
  <c r="U794" i="1"/>
  <c r="Q794" i="1"/>
  <c r="O794" i="1"/>
  <c r="M794" i="1"/>
  <c r="L794" i="1"/>
  <c r="K794" i="1"/>
  <c r="F794" i="1"/>
  <c r="F794" i="1" a="1"/>
  <c r="W793" i="1"/>
  <c r="W793" i="1" a="1"/>
  <c r="V793" i="1"/>
  <c r="U793" i="1"/>
  <c r="Q793" i="1"/>
  <c r="O793" i="1"/>
  <c r="M793" i="1"/>
  <c r="L793" i="1"/>
  <c r="K793" i="1"/>
  <c r="F793" i="1"/>
  <c r="F793" i="1" a="1"/>
  <c r="W792" i="1"/>
  <c r="W792" i="1" a="1"/>
  <c r="V792" i="1"/>
  <c r="U792" i="1"/>
  <c r="Q792" i="1"/>
  <c r="O792" i="1"/>
  <c r="M792" i="1"/>
  <c r="L792" i="1"/>
  <c r="K792" i="1"/>
  <c r="F792" i="1"/>
  <c r="F792" i="1" a="1"/>
  <c r="W791" i="1"/>
  <c r="W791" i="1" a="1"/>
  <c r="V791" i="1"/>
  <c r="U791" i="1"/>
  <c r="Q791" i="1"/>
  <c r="O791" i="1"/>
  <c r="M791" i="1"/>
  <c r="L791" i="1"/>
  <c r="K791" i="1"/>
  <c r="F791" i="1"/>
  <c r="F791" i="1" a="1"/>
  <c r="W790" i="1"/>
  <c r="W790" i="1" a="1"/>
  <c r="V790" i="1"/>
  <c r="U790" i="1"/>
  <c r="Q790" i="1"/>
  <c r="O790" i="1"/>
  <c r="M790" i="1"/>
  <c r="L790" i="1"/>
  <c r="K790" i="1"/>
  <c r="F790" i="1"/>
  <c r="F790" i="1" a="1"/>
  <c r="W789" i="1"/>
  <c r="W789" i="1" a="1"/>
  <c r="V789" i="1"/>
  <c r="U789" i="1"/>
  <c r="Q789" i="1"/>
  <c r="O789" i="1"/>
  <c r="M789" i="1"/>
  <c r="L789" i="1"/>
  <c r="K789" i="1"/>
  <c r="F789" i="1"/>
  <c r="F789" i="1" a="1"/>
  <c r="W788" i="1"/>
  <c r="W788" i="1" a="1"/>
  <c r="V788" i="1"/>
  <c r="U788" i="1"/>
  <c r="Q788" i="1"/>
  <c r="O788" i="1"/>
  <c r="M788" i="1"/>
  <c r="L788" i="1"/>
  <c r="K788" i="1"/>
  <c r="F788" i="1"/>
  <c r="F788" i="1" a="1"/>
  <c r="W787" i="1"/>
  <c r="W787" i="1" a="1"/>
  <c r="V787" i="1"/>
  <c r="U787" i="1"/>
  <c r="Q787" i="1"/>
  <c r="O787" i="1"/>
  <c r="M787" i="1"/>
  <c r="L787" i="1"/>
  <c r="K787" i="1"/>
  <c r="F787" i="1"/>
  <c r="F787" i="1" a="1"/>
  <c r="W786" i="1"/>
  <c r="W786" i="1" a="1"/>
  <c r="V786" i="1"/>
  <c r="U786" i="1"/>
  <c r="Q786" i="1"/>
  <c r="O786" i="1"/>
  <c r="M786" i="1"/>
  <c r="L786" i="1"/>
  <c r="K786" i="1"/>
  <c r="F786" i="1"/>
  <c r="F786" i="1" a="1"/>
  <c r="W785" i="1"/>
  <c r="W785" i="1" a="1"/>
  <c r="V785" i="1"/>
  <c r="U785" i="1"/>
  <c r="Q785" i="1"/>
  <c r="O785" i="1"/>
  <c r="M785" i="1"/>
  <c r="L785" i="1"/>
  <c r="K785" i="1"/>
  <c r="F785" i="1"/>
  <c r="F785" i="1" a="1"/>
  <c r="W784" i="1"/>
  <c r="W784" i="1" a="1"/>
  <c r="V784" i="1"/>
  <c r="U784" i="1"/>
  <c r="Q784" i="1"/>
  <c r="O784" i="1"/>
  <c r="M784" i="1"/>
  <c r="L784" i="1"/>
  <c r="K784" i="1"/>
  <c r="F784" i="1"/>
  <c r="F784" i="1" a="1"/>
  <c r="W783" i="1"/>
  <c r="W783" i="1" a="1"/>
  <c r="V783" i="1"/>
  <c r="U783" i="1"/>
  <c r="Q783" i="1"/>
  <c r="O783" i="1"/>
  <c r="M783" i="1"/>
  <c r="L783" i="1"/>
  <c r="K783" i="1"/>
  <c r="F783" i="1"/>
  <c r="F783" i="1" a="1"/>
  <c r="W782" i="1"/>
  <c r="W782" i="1" a="1"/>
  <c r="V782" i="1"/>
  <c r="U782" i="1"/>
  <c r="Q782" i="1"/>
  <c r="O782" i="1"/>
  <c r="M782" i="1"/>
  <c r="L782" i="1"/>
  <c r="K782" i="1"/>
  <c r="F782" i="1"/>
  <c r="F782" i="1" a="1"/>
  <c r="W781" i="1"/>
  <c r="W781" i="1" a="1"/>
  <c r="V781" i="1"/>
  <c r="U781" i="1"/>
  <c r="Q781" i="1"/>
  <c r="O781" i="1"/>
  <c r="M781" i="1"/>
  <c r="L781" i="1"/>
  <c r="K781" i="1"/>
  <c r="F781" i="1"/>
  <c r="F781" i="1" a="1"/>
  <c r="W780" i="1"/>
  <c r="W780" i="1" a="1"/>
  <c r="V780" i="1"/>
  <c r="U780" i="1"/>
  <c r="Q780" i="1"/>
  <c r="O780" i="1"/>
  <c r="M780" i="1"/>
  <c r="L780" i="1"/>
  <c r="K780" i="1"/>
  <c r="F780" i="1"/>
  <c r="F780" i="1" a="1"/>
  <c r="W779" i="1"/>
  <c r="W779" i="1" a="1"/>
  <c r="V779" i="1"/>
  <c r="U779" i="1"/>
  <c r="Q779" i="1"/>
  <c r="O779" i="1"/>
  <c r="M779" i="1"/>
  <c r="L779" i="1"/>
  <c r="K779" i="1"/>
  <c r="F779" i="1"/>
  <c r="F779" i="1" a="1"/>
  <c r="W778" i="1"/>
  <c r="W778" i="1" a="1"/>
  <c r="V778" i="1"/>
  <c r="U778" i="1"/>
  <c r="Q778" i="1"/>
  <c r="O778" i="1"/>
  <c r="M778" i="1"/>
  <c r="L778" i="1"/>
  <c r="K778" i="1"/>
  <c r="F778" i="1"/>
  <c r="F778" i="1" a="1"/>
  <c r="W777" i="1"/>
  <c r="W777" i="1" a="1"/>
  <c r="V777" i="1"/>
  <c r="U777" i="1"/>
  <c r="Q777" i="1"/>
  <c r="O777" i="1"/>
  <c r="M777" i="1"/>
  <c r="L777" i="1"/>
  <c r="K777" i="1"/>
  <c r="F777" i="1"/>
  <c r="F777" i="1" a="1"/>
  <c r="W776" i="1"/>
  <c r="W776" i="1" a="1"/>
  <c r="V776" i="1"/>
  <c r="U776" i="1"/>
  <c r="Q776" i="1"/>
  <c r="O776" i="1"/>
  <c r="M776" i="1"/>
  <c r="L776" i="1"/>
  <c r="K776" i="1"/>
  <c r="F776" i="1"/>
  <c r="F776" i="1" a="1"/>
  <c r="W775" i="1"/>
  <c r="W775" i="1" a="1"/>
  <c r="V775" i="1"/>
  <c r="U775" i="1"/>
  <c r="Q775" i="1"/>
  <c r="O775" i="1"/>
  <c r="M775" i="1"/>
  <c r="L775" i="1"/>
  <c r="K775" i="1"/>
  <c r="F775" i="1"/>
  <c r="F775" i="1" a="1"/>
  <c r="W774" i="1"/>
  <c r="W774" i="1" a="1"/>
  <c r="V774" i="1"/>
  <c r="U774" i="1"/>
  <c r="Q774" i="1"/>
  <c r="O774" i="1"/>
  <c r="M774" i="1"/>
  <c r="L774" i="1"/>
  <c r="K774" i="1"/>
  <c r="F774" i="1"/>
  <c r="F774" i="1" a="1"/>
  <c r="W773" i="1"/>
  <c r="W773" i="1" a="1"/>
  <c r="V773" i="1"/>
  <c r="U773" i="1"/>
  <c r="Q773" i="1"/>
  <c r="O773" i="1"/>
  <c r="M773" i="1"/>
  <c r="L773" i="1"/>
  <c r="K773" i="1"/>
  <c r="F773" i="1"/>
  <c r="F773" i="1" a="1"/>
  <c r="W772" i="1"/>
  <c r="W772" i="1" a="1"/>
  <c r="V772" i="1"/>
  <c r="U772" i="1"/>
  <c r="Q772" i="1"/>
  <c r="O772" i="1"/>
  <c r="M772" i="1"/>
  <c r="L772" i="1"/>
  <c r="K772" i="1"/>
  <c r="F772" i="1"/>
  <c r="F772" i="1" a="1"/>
  <c r="W771" i="1"/>
  <c r="W771" i="1" a="1"/>
  <c r="V771" i="1"/>
  <c r="U771" i="1"/>
  <c r="Q771" i="1"/>
  <c r="O771" i="1"/>
  <c r="M771" i="1"/>
  <c r="L771" i="1"/>
  <c r="K771" i="1"/>
  <c r="F771" i="1"/>
  <c r="F771" i="1" a="1"/>
  <c r="W770" i="1"/>
  <c r="W770" i="1" a="1"/>
  <c r="V770" i="1"/>
  <c r="U770" i="1"/>
  <c r="Q770" i="1"/>
  <c r="O770" i="1"/>
  <c r="M770" i="1"/>
  <c r="L770" i="1"/>
  <c r="K770" i="1"/>
  <c r="F770" i="1"/>
  <c r="F770" i="1" a="1"/>
  <c r="W769" i="1"/>
  <c r="W769" i="1" a="1"/>
  <c r="V769" i="1"/>
  <c r="U769" i="1"/>
  <c r="Q769" i="1"/>
  <c r="O769" i="1"/>
  <c r="M769" i="1"/>
  <c r="L769" i="1"/>
  <c r="K769" i="1"/>
  <c r="F769" i="1"/>
  <c r="F769" i="1" a="1"/>
  <c r="W768" i="1"/>
  <c r="W768" i="1" a="1"/>
  <c r="V768" i="1"/>
  <c r="U768" i="1"/>
  <c r="Q768" i="1"/>
  <c r="O768" i="1"/>
  <c r="M768" i="1"/>
  <c r="L768" i="1"/>
  <c r="K768" i="1"/>
  <c r="F768" i="1"/>
  <c r="F768" i="1" a="1"/>
  <c r="W767" i="1"/>
  <c r="W767" i="1" a="1"/>
  <c r="V767" i="1"/>
  <c r="U767" i="1"/>
  <c r="Q767" i="1"/>
  <c r="O767" i="1"/>
  <c r="M767" i="1"/>
  <c r="L767" i="1"/>
  <c r="K767" i="1"/>
  <c r="F767" i="1"/>
  <c r="F767" i="1" a="1"/>
  <c r="W766" i="1"/>
  <c r="W766" i="1" a="1"/>
  <c r="V766" i="1"/>
  <c r="U766" i="1"/>
  <c r="Q766" i="1"/>
  <c r="O766" i="1"/>
  <c r="M766" i="1"/>
  <c r="L766" i="1"/>
  <c r="K766" i="1"/>
  <c r="F766" i="1"/>
  <c r="F766" i="1" a="1"/>
  <c r="W765" i="1"/>
  <c r="W765" i="1" a="1"/>
  <c r="V765" i="1"/>
  <c r="U765" i="1"/>
  <c r="Q765" i="1"/>
  <c r="O765" i="1"/>
  <c r="M765" i="1"/>
  <c r="L765" i="1"/>
  <c r="K765" i="1"/>
  <c r="F765" i="1"/>
  <c r="F765" i="1" a="1"/>
  <c r="W764" i="1"/>
  <c r="W764" i="1" a="1"/>
  <c r="V764" i="1"/>
  <c r="U764" i="1"/>
  <c r="Q764" i="1"/>
  <c r="O764" i="1"/>
  <c r="M764" i="1"/>
  <c r="L764" i="1"/>
  <c r="K764" i="1"/>
  <c r="F764" i="1"/>
  <c r="F764" i="1" a="1"/>
  <c r="W763" i="1"/>
  <c r="W763" i="1" a="1"/>
  <c r="V763" i="1"/>
  <c r="U763" i="1"/>
  <c r="Q763" i="1"/>
  <c r="O763" i="1"/>
  <c r="M763" i="1"/>
  <c r="L763" i="1"/>
  <c r="K763" i="1"/>
  <c r="F763" i="1"/>
  <c r="F763" i="1" a="1"/>
  <c r="W762" i="1"/>
  <c r="W762" i="1" a="1"/>
  <c r="V762" i="1"/>
  <c r="U762" i="1"/>
  <c r="Q762" i="1"/>
  <c r="O762" i="1"/>
  <c r="M762" i="1"/>
  <c r="L762" i="1"/>
  <c r="K762" i="1"/>
  <c r="F762" i="1"/>
  <c r="F762" i="1" a="1"/>
  <c r="W761" i="1"/>
  <c r="W761" i="1" a="1"/>
  <c r="V761" i="1"/>
  <c r="U761" i="1"/>
  <c r="Q761" i="1"/>
  <c r="O761" i="1"/>
  <c r="M761" i="1"/>
  <c r="L761" i="1"/>
  <c r="K761" i="1"/>
  <c r="F761" i="1"/>
  <c r="F761" i="1" a="1"/>
  <c r="W760" i="1"/>
  <c r="W760" i="1" a="1"/>
  <c r="V760" i="1"/>
  <c r="U760" i="1"/>
  <c r="Q760" i="1"/>
  <c r="O760" i="1"/>
  <c r="M760" i="1"/>
  <c r="L760" i="1"/>
  <c r="K760" i="1"/>
  <c r="F760" i="1"/>
  <c r="F760" i="1" a="1"/>
  <c r="W759" i="1"/>
  <c r="W759" i="1" a="1"/>
  <c r="V759" i="1"/>
  <c r="U759" i="1"/>
  <c r="Q759" i="1"/>
  <c r="O759" i="1"/>
  <c r="M759" i="1"/>
  <c r="L759" i="1"/>
  <c r="K759" i="1"/>
  <c r="F759" i="1"/>
  <c r="F759" i="1" a="1"/>
  <c r="W758" i="1"/>
  <c r="W758" i="1" a="1"/>
  <c r="V758" i="1"/>
  <c r="U758" i="1"/>
  <c r="Q758" i="1"/>
  <c r="O758" i="1"/>
  <c r="M758" i="1"/>
  <c r="L758" i="1"/>
  <c r="K758" i="1"/>
  <c r="F758" i="1"/>
  <c r="F758" i="1" a="1"/>
  <c r="W757" i="1"/>
  <c r="W757" i="1" a="1"/>
  <c r="V757" i="1"/>
  <c r="U757" i="1"/>
  <c r="Q757" i="1"/>
  <c r="O757" i="1"/>
  <c r="M757" i="1"/>
  <c r="L757" i="1"/>
  <c r="K757" i="1"/>
  <c r="F757" i="1"/>
  <c r="F757" i="1" a="1"/>
  <c r="W756" i="1"/>
  <c r="W756" i="1" a="1"/>
  <c r="V756" i="1"/>
  <c r="U756" i="1"/>
  <c r="Q756" i="1"/>
  <c r="O756" i="1"/>
  <c r="M756" i="1"/>
  <c r="L756" i="1"/>
  <c r="K756" i="1"/>
  <c r="F756" i="1"/>
  <c r="F756" i="1" a="1"/>
  <c r="W755" i="1"/>
  <c r="W755" i="1" a="1"/>
  <c r="V755" i="1"/>
  <c r="U755" i="1"/>
  <c r="Q755" i="1"/>
  <c r="O755" i="1"/>
  <c r="M755" i="1"/>
  <c r="L755" i="1"/>
  <c r="K755" i="1"/>
  <c r="F755" i="1"/>
  <c r="F755" i="1" a="1"/>
  <c r="W754" i="1"/>
  <c r="W754" i="1" a="1"/>
  <c r="V754" i="1"/>
  <c r="U754" i="1"/>
  <c r="Q754" i="1"/>
  <c r="O754" i="1"/>
  <c r="M754" i="1"/>
  <c r="L754" i="1"/>
  <c r="K754" i="1"/>
  <c r="F754" i="1"/>
  <c r="F754" i="1" a="1"/>
  <c r="W753" i="1"/>
  <c r="W753" i="1" a="1"/>
  <c r="V753" i="1"/>
  <c r="U753" i="1"/>
  <c r="Q753" i="1"/>
  <c r="O753" i="1"/>
  <c r="M753" i="1"/>
  <c r="L753" i="1"/>
  <c r="K753" i="1"/>
  <c r="F753" i="1"/>
  <c r="F753" i="1" a="1"/>
  <c r="W752" i="1"/>
  <c r="W752" i="1" a="1"/>
  <c r="V752" i="1"/>
  <c r="U752" i="1"/>
  <c r="Q752" i="1"/>
  <c r="O752" i="1"/>
  <c r="M752" i="1"/>
  <c r="L752" i="1"/>
  <c r="K752" i="1"/>
  <c r="F752" i="1"/>
  <c r="F752" i="1" a="1"/>
  <c r="W751" i="1"/>
  <c r="W751" i="1" a="1"/>
  <c r="V751" i="1"/>
  <c r="U751" i="1"/>
  <c r="Q751" i="1"/>
  <c r="O751" i="1"/>
  <c r="M751" i="1"/>
  <c r="L751" i="1"/>
  <c r="K751" i="1"/>
  <c r="F751" i="1"/>
  <c r="F751" i="1" a="1"/>
  <c r="W750" i="1"/>
  <c r="W750" i="1" a="1"/>
  <c r="V750" i="1"/>
  <c r="U750" i="1"/>
  <c r="Q750" i="1"/>
  <c r="O750" i="1"/>
  <c r="M750" i="1"/>
  <c r="L750" i="1"/>
  <c r="K750" i="1"/>
  <c r="F750" i="1"/>
  <c r="F750" i="1" a="1"/>
  <c r="W749" i="1"/>
  <c r="W749" i="1" a="1"/>
  <c r="V749" i="1"/>
  <c r="U749" i="1"/>
  <c r="Q749" i="1"/>
  <c r="O749" i="1"/>
  <c r="M749" i="1"/>
  <c r="L749" i="1"/>
  <c r="K749" i="1"/>
  <c r="F749" i="1"/>
  <c r="F749" i="1" a="1"/>
  <c r="W748" i="1"/>
  <c r="W748" i="1" a="1"/>
  <c r="V748" i="1"/>
  <c r="U748" i="1"/>
  <c r="Q748" i="1"/>
  <c r="O748" i="1"/>
  <c r="M748" i="1"/>
  <c r="L748" i="1"/>
  <c r="K748" i="1"/>
  <c r="F748" i="1"/>
  <c r="F748" i="1" a="1"/>
  <c r="W747" i="1"/>
  <c r="W747" i="1" a="1"/>
  <c r="V747" i="1"/>
  <c r="U747" i="1"/>
  <c r="Q747" i="1"/>
  <c r="O747" i="1"/>
  <c r="M747" i="1"/>
  <c r="L747" i="1"/>
  <c r="K747" i="1"/>
  <c r="F747" i="1"/>
  <c r="F747" i="1" a="1"/>
  <c r="W746" i="1"/>
  <c r="W746" i="1" a="1"/>
  <c r="V746" i="1"/>
  <c r="U746" i="1"/>
  <c r="Q746" i="1"/>
  <c r="O746" i="1"/>
  <c r="M746" i="1"/>
  <c r="L746" i="1"/>
  <c r="K746" i="1"/>
  <c r="F746" i="1"/>
  <c r="F746" i="1" a="1"/>
  <c r="W745" i="1"/>
  <c r="W745" i="1" a="1"/>
  <c r="V745" i="1"/>
  <c r="U745" i="1"/>
  <c r="Q745" i="1"/>
  <c r="O745" i="1"/>
  <c r="M745" i="1"/>
  <c r="L745" i="1"/>
  <c r="K745" i="1"/>
  <c r="F745" i="1"/>
  <c r="F745" i="1" a="1"/>
  <c r="W744" i="1"/>
  <c r="W744" i="1" a="1"/>
  <c r="V744" i="1"/>
  <c r="U744" i="1"/>
  <c r="Q744" i="1"/>
  <c r="O744" i="1"/>
  <c r="M744" i="1"/>
  <c r="L744" i="1"/>
  <c r="K744" i="1"/>
  <c r="F744" i="1"/>
  <c r="F744" i="1" a="1"/>
  <c r="W743" i="1"/>
  <c r="W743" i="1" a="1"/>
  <c r="V743" i="1"/>
  <c r="U743" i="1"/>
  <c r="Q743" i="1"/>
  <c r="O743" i="1"/>
  <c r="M743" i="1"/>
  <c r="L743" i="1"/>
  <c r="K743" i="1"/>
  <c r="F743" i="1"/>
  <c r="F743" i="1" a="1"/>
  <c r="W742" i="1"/>
  <c r="W742" i="1" a="1"/>
  <c r="V742" i="1"/>
  <c r="U742" i="1"/>
  <c r="Q742" i="1"/>
  <c r="O742" i="1"/>
  <c r="M742" i="1"/>
  <c r="L742" i="1"/>
  <c r="K742" i="1"/>
  <c r="F742" i="1"/>
  <c r="F742" i="1" a="1"/>
  <c r="W741" i="1"/>
  <c r="W741" i="1" a="1"/>
  <c r="V741" i="1"/>
  <c r="U741" i="1"/>
  <c r="Q741" i="1"/>
  <c r="O741" i="1"/>
  <c r="M741" i="1"/>
  <c r="L741" i="1"/>
  <c r="K741" i="1"/>
  <c r="F741" i="1"/>
  <c r="F741" i="1" a="1"/>
  <c r="W740" i="1"/>
  <c r="W740" i="1" a="1"/>
  <c r="V740" i="1"/>
  <c r="U740" i="1"/>
  <c r="Q740" i="1"/>
  <c r="O740" i="1"/>
  <c r="M740" i="1"/>
  <c r="L740" i="1"/>
  <c r="K740" i="1"/>
  <c r="F740" i="1"/>
  <c r="F740" i="1" a="1"/>
  <c r="W739" i="1"/>
  <c r="W739" i="1" a="1"/>
  <c r="V739" i="1"/>
  <c r="U739" i="1"/>
  <c r="Q739" i="1"/>
  <c r="O739" i="1"/>
  <c r="M739" i="1"/>
  <c r="L739" i="1"/>
  <c r="K739" i="1"/>
  <c r="F739" i="1"/>
  <c r="F739" i="1" a="1"/>
  <c r="W738" i="1"/>
  <c r="W738" i="1" a="1"/>
  <c r="V738" i="1"/>
  <c r="U738" i="1"/>
  <c r="Q738" i="1"/>
  <c r="O738" i="1"/>
  <c r="M738" i="1"/>
  <c r="L738" i="1"/>
  <c r="K738" i="1"/>
  <c r="F738" i="1"/>
  <c r="F738" i="1" a="1"/>
  <c r="W737" i="1"/>
  <c r="W737" i="1" a="1"/>
  <c r="V737" i="1"/>
  <c r="U737" i="1"/>
  <c r="Q737" i="1"/>
  <c r="O737" i="1"/>
  <c r="M737" i="1"/>
  <c r="L737" i="1"/>
  <c r="K737" i="1"/>
  <c r="F737" i="1"/>
  <c r="F737" i="1" a="1"/>
  <c r="W736" i="1"/>
  <c r="W736" i="1" a="1"/>
  <c r="V736" i="1"/>
  <c r="U736" i="1"/>
  <c r="Q736" i="1"/>
  <c r="O736" i="1"/>
  <c r="M736" i="1"/>
  <c r="L736" i="1"/>
  <c r="K736" i="1"/>
  <c r="F736" i="1"/>
  <c r="F736" i="1" a="1"/>
  <c r="W735" i="1"/>
  <c r="W735" i="1" a="1"/>
  <c r="V735" i="1"/>
  <c r="U735" i="1"/>
  <c r="Q735" i="1"/>
  <c r="O735" i="1"/>
  <c r="M735" i="1"/>
  <c r="L735" i="1"/>
  <c r="K735" i="1"/>
  <c r="F735" i="1"/>
  <c r="F735" i="1" a="1"/>
  <c r="W734" i="1"/>
  <c r="W734" i="1" a="1"/>
  <c r="V734" i="1"/>
  <c r="U734" i="1"/>
  <c r="Q734" i="1"/>
  <c r="O734" i="1"/>
  <c r="M734" i="1"/>
  <c r="L734" i="1"/>
  <c r="K734" i="1"/>
  <c r="F734" i="1"/>
  <c r="F734" i="1" a="1"/>
  <c r="W733" i="1"/>
  <c r="W733" i="1" a="1"/>
  <c r="V733" i="1"/>
  <c r="U733" i="1"/>
  <c r="Q733" i="1"/>
  <c r="O733" i="1"/>
  <c r="M733" i="1"/>
  <c r="L733" i="1"/>
  <c r="K733" i="1"/>
  <c r="F733" i="1"/>
  <c r="F733" i="1" a="1"/>
  <c r="W732" i="1"/>
  <c r="W732" i="1" a="1"/>
  <c r="V732" i="1"/>
  <c r="U732" i="1"/>
  <c r="Q732" i="1"/>
  <c r="O732" i="1"/>
  <c r="M732" i="1"/>
  <c r="L732" i="1"/>
  <c r="K732" i="1"/>
  <c r="F732" i="1"/>
  <c r="F732" i="1" a="1"/>
  <c r="W731" i="1"/>
  <c r="W731" i="1" a="1"/>
  <c r="V731" i="1"/>
  <c r="U731" i="1"/>
  <c r="Q731" i="1"/>
  <c r="O731" i="1"/>
  <c r="M731" i="1"/>
  <c r="L731" i="1"/>
  <c r="K731" i="1"/>
  <c r="F731" i="1"/>
  <c r="F731" i="1" a="1"/>
  <c r="W730" i="1"/>
  <c r="W730" i="1" a="1"/>
  <c r="V730" i="1"/>
  <c r="U730" i="1"/>
  <c r="Q730" i="1"/>
  <c r="O730" i="1"/>
  <c r="M730" i="1"/>
  <c r="L730" i="1"/>
  <c r="K730" i="1"/>
  <c r="F730" i="1"/>
  <c r="F730" i="1" a="1"/>
  <c r="W729" i="1"/>
  <c r="W729" i="1" a="1"/>
  <c r="V729" i="1"/>
  <c r="U729" i="1"/>
  <c r="Q729" i="1"/>
  <c r="O729" i="1"/>
  <c r="M729" i="1"/>
  <c r="L729" i="1"/>
  <c r="K729" i="1"/>
  <c r="F729" i="1"/>
  <c r="F729" i="1" a="1"/>
  <c r="W728" i="1"/>
  <c r="W728" i="1" a="1"/>
  <c r="V728" i="1"/>
  <c r="U728" i="1"/>
  <c r="Q728" i="1"/>
  <c r="O728" i="1"/>
  <c r="M728" i="1"/>
  <c r="L728" i="1"/>
  <c r="K728" i="1"/>
  <c r="F728" i="1"/>
  <c r="F728" i="1" a="1"/>
  <c r="W727" i="1"/>
  <c r="W727" i="1" a="1"/>
  <c r="V727" i="1"/>
  <c r="U727" i="1"/>
  <c r="Q727" i="1"/>
  <c r="O727" i="1"/>
  <c r="M727" i="1"/>
  <c r="L727" i="1"/>
  <c r="K727" i="1"/>
  <c r="F727" i="1"/>
  <c r="F727" i="1" a="1"/>
  <c r="W726" i="1"/>
  <c r="W726" i="1" a="1"/>
  <c r="V726" i="1"/>
  <c r="U726" i="1"/>
  <c r="Q726" i="1"/>
  <c r="O726" i="1"/>
  <c r="M726" i="1"/>
  <c r="L726" i="1"/>
  <c r="K726" i="1"/>
  <c r="F726" i="1"/>
  <c r="F726" i="1" a="1"/>
  <c r="W725" i="1"/>
  <c r="W725" i="1" a="1"/>
  <c r="V725" i="1"/>
  <c r="U725" i="1"/>
  <c r="Q725" i="1"/>
  <c r="O725" i="1"/>
  <c r="M725" i="1"/>
  <c r="L725" i="1"/>
  <c r="K725" i="1"/>
  <c r="F725" i="1"/>
  <c r="F725" i="1" a="1"/>
  <c r="W724" i="1"/>
  <c r="W724" i="1" a="1"/>
  <c r="V724" i="1"/>
  <c r="U724" i="1"/>
  <c r="Q724" i="1"/>
  <c r="O724" i="1"/>
  <c r="M724" i="1"/>
  <c r="L724" i="1"/>
  <c r="K724" i="1"/>
  <c r="F724" i="1"/>
  <c r="F724" i="1" a="1"/>
  <c r="W723" i="1"/>
  <c r="W723" i="1" a="1"/>
  <c r="V723" i="1"/>
  <c r="U723" i="1"/>
  <c r="Q723" i="1"/>
  <c r="O723" i="1"/>
  <c r="M723" i="1"/>
  <c r="L723" i="1"/>
  <c r="K723" i="1"/>
  <c r="F723" i="1"/>
  <c r="F723" i="1" a="1"/>
  <c r="W722" i="1"/>
  <c r="W722" i="1" a="1"/>
  <c r="V722" i="1"/>
  <c r="U722" i="1"/>
  <c r="Q722" i="1"/>
  <c r="O722" i="1"/>
  <c r="M722" i="1"/>
  <c r="L722" i="1"/>
  <c r="K722" i="1"/>
  <c r="F722" i="1"/>
  <c r="F722" i="1" a="1"/>
  <c r="W721" i="1"/>
  <c r="W721" i="1" a="1"/>
  <c r="V721" i="1"/>
  <c r="U721" i="1"/>
  <c r="Q721" i="1"/>
  <c r="O721" i="1"/>
  <c r="M721" i="1"/>
  <c r="L721" i="1"/>
  <c r="K721" i="1"/>
  <c r="F721" i="1"/>
  <c r="F721" i="1" a="1"/>
  <c r="W720" i="1"/>
  <c r="W720" i="1" a="1"/>
  <c r="V720" i="1"/>
  <c r="U720" i="1"/>
  <c r="Q720" i="1"/>
  <c r="O720" i="1"/>
  <c r="M720" i="1"/>
  <c r="L720" i="1"/>
  <c r="K720" i="1"/>
  <c r="F720" i="1"/>
  <c r="F720" i="1" a="1"/>
  <c r="W719" i="1"/>
  <c r="W719" i="1" a="1"/>
  <c r="V719" i="1"/>
  <c r="U719" i="1"/>
  <c r="Q719" i="1"/>
  <c r="O719" i="1"/>
  <c r="M719" i="1"/>
  <c r="L719" i="1"/>
  <c r="K719" i="1"/>
  <c r="F719" i="1"/>
  <c r="F719" i="1" a="1"/>
  <c r="W718" i="1"/>
  <c r="W718" i="1" a="1"/>
  <c r="V718" i="1"/>
  <c r="U718" i="1"/>
  <c r="Q718" i="1"/>
  <c r="O718" i="1"/>
  <c r="M718" i="1"/>
  <c r="L718" i="1"/>
  <c r="K718" i="1"/>
  <c r="F718" i="1"/>
  <c r="F718" i="1" a="1"/>
  <c r="W717" i="1"/>
  <c r="W717" i="1" a="1"/>
  <c r="V717" i="1"/>
  <c r="U717" i="1"/>
  <c r="Q717" i="1"/>
  <c r="O717" i="1"/>
  <c r="M717" i="1"/>
  <c r="L717" i="1"/>
  <c r="K717" i="1"/>
  <c r="F717" i="1"/>
  <c r="F717" i="1" a="1"/>
  <c r="W716" i="1"/>
  <c r="W716" i="1" a="1"/>
  <c r="V716" i="1"/>
  <c r="U716" i="1"/>
  <c r="Q716" i="1"/>
  <c r="O716" i="1"/>
  <c r="M716" i="1"/>
  <c r="L716" i="1"/>
  <c r="K716" i="1"/>
  <c r="F716" i="1"/>
  <c r="F716" i="1" a="1"/>
  <c r="W715" i="1"/>
  <c r="W715" i="1" a="1"/>
  <c r="V715" i="1"/>
  <c r="U715" i="1"/>
  <c r="Q715" i="1"/>
  <c r="O715" i="1"/>
  <c r="M715" i="1"/>
  <c r="L715" i="1"/>
  <c r="K715" i="1"/>
  <c r="F715" i="1"/>
  <c r="F715" i="1" a="1"/>
  <c r="W714" i="1"/>
  <c r="W714" i="1" a="1"/>
  <c r="V714" i="1"/>
  <c r="U714" i="1"/>
  <c r="Q714" i="1"/>
  <c r="O714" i="1"/>
  <c r="M714" i="1"/>
  <c r="L714" i="1"/>
  <c r="K714" i="1"/>
  <c r="F714" i="1"/>
  <c r="F714" i="1" a="1"/>
  <c r="W713" i="1"/>
  <c r="W713" i="1" a="1"/>
  <c r="V713" i="1"/>
  <c r="U713" i="1"/>
  <c r="Q713" i="1"/>
  <c r="O713" i="1"/>
  <c r="M713" i="1"/>
  <c r="L713" i="1"/>
  <c r="K713" i="1"/>
  <c r="F713" i="1"/>
  <c r="F713" i="1" a="1"/>
  <c r="W712" i="1"/>
  <c r="W712" i="1" a="1"/>
  <c r="V712" i="1"/>
  <c r="U712" i="1"/>
  <c r="Q712" i="1"/>
  <c r="O712" i="1"/>
  <c r="M712" i="1"/>
  <c r="L712" i="1"/>
  <c r="K712" i="1"/>
  <c r="F712" i="1"/>
  <c r="F712" i="1" a="1"/>
  <c r="W711" i="1"/>
  <c r="W711" i="1" a="1"/>
  <c r="V711" i="1"/>
  <c r="U711" i="1"/>
  <c r="Q711" i="1"/>
  <c r="O711" i="1"/>
  <c r="M711" i="1"/>
  <c r="L711" i="1"/>
  <c r="K711" i="1"/>
  <c r="F711" i="1"/>
  <c r="F711" i="1" a="1"/>
  <c r="W710" i="1"/>
  <c r="W710" i="1" a="1"/>
  <c r="V710" i="1"/>
  <c r="U710" i="1"/>
  <c r="Q710" i="1"/>
  <c r="O710" i="1"/>
  <c r="M710" i="1"/>
  <c r="L710" i="1"/>
  <c r="K710" i="1"/>
  <c r="F710" i="1"/>
  <c r="F710" i="1" a="1"/>
  <c r="W709" i="1"/>
  <c r="W709" i="1" a="1"/>
  <c r="V709" i="1"/>
  <c r="U709" i="1"/>
  <c r="Q709" i="1"/>
  <c r="O709" i="1"/>
  <c r="M709" i="1"/>
  <c r="L709" i="1"/>
  <c r="K709" i="1"/>
  <c r="F709" i="1"/>
  <c r="F709" i="1" a="1"/>
  <c r="W708" i="1"/>
  <c r="W708" i="1" a="1"/>
  <c r="V708" i="1"/>
  <c r="U708" i="1"/>
  <c r="Q708" i="1"/>
  <c r="O708" i="1"/>
  <c r="M708" i="1"/>
  <c r="L708" i="1"/>
  <c r="K708" i="1"/>
  <c r="F708" i="1"/>
  <c r="F708" i="1" a="1"/>
  <c r="W707" i="1"/>
  <c r="W707" i="1" a="1"/>
  <c r="V707" i="1"/>
  <c r="U707" i="1"/>
  <c r="Q707" i="1"/>
  <c r="O707" i="1"/>
  <c r="M707" i="1"/>
  <c r="L707" i="1"/>
  <c r="K707" i="1"/>
  <c r="F707" i="1"/>
  <c r="F707" i="1" a="1"/>
  <c r="W706" i="1"/>
  <c r="W706" i="1" a="1"/>
  <c r="V706" i="1"/>
  <c r="U706" i="1"/>
  <c r="Q706" i="1"/>
  <c r="O706" i="1"/>
  <c r="M706" i="1"/>
  <c r="L706" i="1"/>
  <c r="K706" i="1"/>
  <c r="F706" i="1"/>
  <c r="F706" i="1" a="1"/>
  <c r="W705" i="1"/>
  <c r="W705" i="1" a="1"/>
  <c r="V705" i="1"/>
  <c r="U705" i="1"/>
  <c r="Q705" i="1"/>
  <c r="O705" i="1"/>
  <c r="M705" i="1"/>
  <c r="L705" i="1"/>
  <c r="K705" i="1"/>
  <c r="F705" i="1"/>
  <c r="F705" i="1" a="1"/>
  <c r="W704" i="1"/>
  <c r="W704" i="1" a="1"/>
  <c r="V704" i="1"/>
  <c r="U704" i="1"/>
  <c r="Q704" i="1"/>
  <c r="O704" i="1"/>
  <c r="M704" i="1"/>
  <c r="L704" i="1"/>
  <c r="K704" i="1"/>
  <c r="F704" i="1"/>
  <c r="F704" i="1" a="1"/>
  <c r="W703" i="1"/>
  <c r="W703" i="1" a="1"/>
  <c r="V703" i="1"/>
  <c r="U703" i="1"/>
  <c r="Q703" i="1"/>
  <c r="O703" i="1"/>
  <c r="M703" i="1"/>
  <c r="L703" i="1"/>
  <c r="K703" i="1"/>
  <c r="F703" i="1"/>
  <c r="F703" i="1" a="1"/>
  <c r="W702" i="1"/>
  <c r="W702" i="1" a="1"/>
  <c r="V702" i="1"/>
  <c r="U702" i="1"/>
  <c r="Q702" i="1"/>
  <c r="O702" i="1"/>
  <c r="M702" i="1"/>
  <c r="L702" i="1"/>
  <c r="K702" i="1"/>
  <c r="F702" i="1"/>
  <c r="F702" i="1" a="1"/>
  <c r="W701" i="1"/>
  <c r="W701" i="1" a="1"/>
  <c r="V701" i="1"/>
  <c r="U701" i="1"/>
  <c r="Q701" i="1"/>
  <c r="O701" i="1"/>
  <c r="M701" i="1"/>
  <c r="L701" i="1"/>
  <c r="K701" i="1"/>
  <c r="F701" i="1"/>
  <c r="F701" i="1" a="1"/>
  <c r="W700" i="1"/>
  <c r="W700" i="1" a="1"/>
  <c r="V700" i="1"/>
  <c r="U700" i="1"/>
  <c r="Q700" i="1"/>
  <c r="O700" i="1"/>
  <c r="M700" i="1"/>
  <c r="L700" i="1"/>
  <c r="K700" i="1"/>
  <c r="F700" i="1"/>
  <c r="F700" i="1" a="1"/>
  <c r="W699" i="1"/>
  <c r="W699" i="1" a="1"/>
  <c r="V699" i="1"/>
  <c r="U699" i="1"/>
  <c r="Q699" i="1"/>
  <c r="O699" i="1"/>
  <c r="M699" i="1"/>
  <c r="L699" i="1"/>
  <c r="K699" i="1"/>
  <c r="F699" i="1"/>
  <c r="F699" i="1" a="1"/>
  <c r="W698" i="1"/>
  <c r="W698" i="1" a="1"/>
  <c r="V698" i="1"/>
  <c r="U698" i="1"/>
  <c r="Q698" i="1"/>
  <c r="O698" i="1"/>
  <c r="M698" i="1"/>
  <c r="L698" i="1"/>
  <c r="K698" i="1"/>
  <c r="F698" i="1"/>
  <c r="F698" i="1" a="1"/>
  <c r="W697" i="1"/>
  <c r="W697" i="1" a="1"/>
  <c r="V697" i="1"/>
  <c r="U697" i="1"/>
  <c r="Q697" i="1"/>
  <c r="O697" i="1"/>
  <c r="M697" i="1"/>
  <c r="L697" i="1"/>
  <c r="K697" i="1"/>
  <c r="F697" i="1"/>
  <c r="F697" i="1" a="1"/>
  <c r="W696" i="1"/>
  <c r="W696" i="1" a="1"/>
  <c r="V696" i="1"/>
  <c r="U696" i="1"/>
  <c r="Q696" i="1"/>
  <c r="O696" i="1"/>
  <c r="M696" i="1"/>
  <c r="L696" i="1"/>
  <c r="K696" i="1"/>
  <c r="F696" i="1"/>
  <c r="F696" i="1" a="1"/>
  <c r="W695" i="1"/>
  <c r="W695" i="1" a="1"/>
  <c r="V695" i="1"/>
  <c r="U695" i="1"/>
  <c r="Q695" i="1"/>
  <c r="O695" i="1"/>
  <c r="M695" i="1"/>
  <c r="L695" i="1"/>
  <c r="K695" i="1"/>
  <c r="F695" i="1"/>
  <c r="F695" i="1" a="1"/>
  <c r="W694" i="1"/>
  <c r="W694" i="1" a="1"/>
  <c r="V694" i="1"/>
  <c r="U694" i="1"/>
  <c r="Q694" i="1"/>
  <c r="O694" i="1"/>
  <c r="M694" i="1"/>
  <c r="L694" i="1"/>
  <c r="K694" i="1"/>
  <c r="F694" i="1"/>
  <c r="F694" i="1" a="1"/>
  <c r="W693" i="1"/>
  <c r="W693" i="1" a="1"/>
  <c r="V693" i="1"/>
  <c r="U693" i="1"/>
  <c r="Q693" i="1"/>
  <c r="O693" i="1"/>
  <c r="M693" i="1"/>
  <c r="L693" i="1"/>
  <c r="K693" i="1"/>
  <c r="F693" i="1"/>
  <c r="F693" i="1" a="1"/>
  <c r="W692" i="1"/>
  <c r="W692" i="1" a="1"/>
  <c r="V692" i="1"/>
  <c r="U692" i="1"/>
  <c r="Q692" i="1"/>
  <c r="O692" i="1"/>
  <c r="M692" i="1"/>
  <c r="L692" i="1"/>
  <c r="K692" i="1"/>
  <c r="F692" i="1"/>
  <c r="F692" i="1" a="1"/>
  <c r="W691" i="1"/>
  <c r="W691" i="1" a="1"/>
  <c r="V691" i="1"/>
  <c r="U691" i="1"/>
  <c r="Q691" i="1"/>
  <c r="O691" i="1"/>
  <c r="M691" i="1"/>
  <c r="L691" i="1"/>
  <c r="K691" i="1"/>
  <c r="F691" i="1"/>
  <c r="F691" i="1" a="1"/>
  <c r="W690" i="1"/>
  <c r="W690" i="1" a="1"/>
  <c r="V690" i="1"/>
  <c r="U690" i="1"/>
  <c r="Q690" i="1"/>
  <c r="O690" i="1"/>
  <c r="M690" i="1"/>
  <c r="L690" i="1"/>
  <c r="K690" i="1"/>
  <c r="F690" i="1"/>
  <c r="F690" i="1" a="1"/>
  <c r="W689" i="1"/>
  <c r="W689" i="1" a="1"/>
  <c r="V689" i="1"/>
  <c r="U689" i="1"/>
  <c r="Q689" i="1"/>
  <c r="O689" i="1"/>
  <c r="M689" i="1"/>
  <c r="L689" i="1"/>
  <c r="K689" i="1"/>
  <c r="F689" i="1"/>
  <c r="F689" i="1" a="1"/>
  <c r="W688" i="1"/>
  <c r="W688" i="1" a="1"/>
  <c r="V688" i="1"/>
  <c r="U688" i="1"/>
  <c r="Q688" i="1"/>
  <c r="O688" i="1"/>
  <c r="M688" i="1"/>
  <c r="L688" i="1"/>
  <c r="K688" i="1"/>
  <c r="F688" i="1"/>
  <c r="F688" i="1" a="1"/>
  <c r="W687" i="1"/>
  <c r="W687" i="1" a="1"/>
  <c r="V687" i="1"/>
  <c r="U687" i="1"/>
  <c r="Q687" i="1"/>
  <c r="O687" i="1"/>
  <c r="M687" i="1"/>
  <c r="L687" i="1"/>
  <c r="K687" i="1"/>
  <c r="F687" i="1"/>
  <c r="F687" i="1" a="1"/>
  <c r="W686" i="1"/>
  <c r="W686" i="1" a="1"/>
  <c r="V686" i="1"/>
  <c r="U686" i="1"/>
  <c r="Q686" i="1"/>
  <c r="O686" i="1"/>
  <c r="M686" i="1"/>
  <c r="L686" i="1"/>
  <c r="K686" i="1"/>
  <c r="F686" i="1"/>
  <c r="F686" i="1" a="1"/>
  <c r="W685" i="1"/>
  <c r="W685" i="1" a="1"/>
  <c r="V685" i="1"/>
  <c r="U685" i="1"/>
  <c r="Q685" i="1"/>
  <c r="O685" i="1"/>
  <c r="M685" i="1"/>
  <c r="L685" i="1"/>
  <c r="K685" i="1"/>
  <c r="F685" i="1"/>
  <c r="F685" i="1" a="1"/>
  <c r="W684" i="1"/>
  <c r="W684" i="1" a="1"/>
  <c r="V684" i="1"/>
  <c r="U684" i="1"/>
  <c r="Q684" i="1"/>
  <c r="O684" i="1"/>
  <c r="M684" i="1"/>
  <c r="L684" i="1"/>
  <c r="K684" i="1"/>
  <c r="F684" i="1"/>
  <c r="F684" i="1" a="1"/>
  <c r="W683" i="1"/>
  <c r="W683" i="1" a="1"/>
  <c r="V683" i="1"/>
  <c r="U683" i="1"/>
  <c r="Q683" i="1"/>
  <c r="O683" i="1"/>
  <c r="M683" i="1"/>
  <c r="L683" i="1"/>
  <c r="K683" i="1"/>
  <c r="F683" i="1"/>
  <c r="F683" i="1" a="1"/>
  <c r="W682" i="1"/>
  <c r="W682" i="1" a="1"/>
  <c r="V682" i="1"/>
  <c r="U682" i="1"/>
  <c r="Q682" i="1"/>
  <c r="O682" i="1"/>
  <c r="M682" i="1"/>
  <c r="L682" i="1"/>
  <c r="K682" i="1"/>
  <c r="F682" i="1"/>
  <c r="F682" i="1" a="1"/>
  <c r="W681" i="1"/>
  <c r="W681" i="1" a="1"/>
  <c r="V681" i="1"/>
  <c r="U681" i="1"/>
  <c r="Q681" i="1"/>
  <c r="O681" i="1"/>
  <c r="M681" i="1"/>
  <c r="L681" i="1"/>
  <c r="K681" i="1"/>
  <c r="F681" i="1"/>
  <c r="F681" i="1" a="1"/>
  <c r="W680" i="1"/>
  <c r="W680" i="1" a="1"/>
  <c r="V680" i="1"/>
  <c r="U680" i="1"/>
  <c r="Q680" i="1"/>
  <c r="O680" i="1"/>
  <c r="M680" i="1"/>
  <c r="L680" i="1"/>
  <c r="K680" i="1"/>
  <c r="F680" i="1"/>
  <c r="F680" i="1" a="1"/>
  <c r="W679" i="1"/>
  <c r="W679" i="1" a="1"/>
  <c r="V679" i="1"/>
  <c r="U679" i="1"/>
  <c r="Q679" i="1"/>
  <c r="O679" i="1"/>
  <c r="M679" i="1"/>
  <c r="L679" i="1"/>
  <c r="K679" i="1"/>
  <c r="F679" i="1"/>
  <c r="F679" i="1" a="1"/>
  <c r="W678" i="1"/>
  <c r="W678" i="1" a="1"/>
  <c r="V678" i="1"/>
  <c r="U678" i="1"/>
  <c r="Q678" i="1"/>
  <c r="O678" i="1"/>
  <c r="M678" i="1"/>
  <c r="L678" i="1"/>
  <c r="K678" i="1"/>
  <c r="F678" i="1"/>
  <c r="F678" i="1" a="1"/>
  <c r="W677" i="1"/>
  <c r="W677" i="1" a="1"/>
  <c r="V677" i="1"/>
  <c r="U677" i="1"/>
  <c r="Q677" i="1"/>
  <c r="O677" i="1"/>
  <c r="M677" i="1"/>
  <c r="L677" i="1"/>
  <c r="K677" i="1"/>
  <c r="F677" i="1"/>
  <c r="F677" i="1" a="1"/>
  <c r="W676" i="1"/>
  <c r="W676" i="1" a="1"/>
  <c r="V676" i="1"/>
  <c r="U676" i="1"/>
  <c r="Q676" i="1"/>
  <c r="O676" i="1"/>
  <c r="M676" i="1"/>
  <c r="L676" i="1"/>
  <c r="K676" i="1"/>
  <c r="F676" i="1"/>
  <c r="F676" i="1" a="1"/>
  <c r="W675" i="1"/>
  <c r="W675" i="1" a="1"/>
  <c r="V675" i="1"/>
  <c r="U675" i="1"/>
  <c r="Q675" i="1"/>
  <c r="O675" i="1"/>
  <c r="M675" i="1"/>
  <c r="L675" i="1"/>
  <c r="K675" i="1"/>
  <c r="F675" i="1"/>
  <c r="F675" i="1" a="1"/>
  <c r="W674" i="1"/>
  <c r="W674" i="1" a="1"/>
  <c r="V674" i="1"/>
  <c r="U674" i="1"/>
  <c r="Q674" i="1"/>
  <c r="O674" i="1"/>
  <c r="M674" i="1"/>
  <c r="L674" i="1"/>
  <c r="K674" i="1"/>
  <c r="F674" i="1"/>
  <c r="F674" i="1" a="1"/>
  <c r="W673" i="1"/>
  <c r="W673" i="1" a="1"/>
  <c r="V673" i="1"/>
  <c r="U673" i="1"/>
  <c r="Q673" i="1"/>
  <c r="O673" i="1"/>
  <c r="M673" i="1"/>
  <c r="L673" i="1"/>
  <c r="K673" i="1"/>
  <c r="F673" i="1"/>
  <c r="F673" i="1" a="1"/>
  <c r="W672" i="1"/>
  <c r="W672" i="1" a="1"/>
  <c r="V672" i="1"/>
  <c r="U672" i="1"/>
  <c r="Q672" i="1"/>
  <c r="O672" i="1"/>
  <c r="M672" i="1"/>
  <c r="L672" i="1"/>
  <c r="K672" i="1"/>
  <c r="F672" i="1"/>
  <c r="F672" i="1" a="1"/>
  <c r="W671" i="1"/>
  <c r="W671" i="1" a="1"/>
  <c r="V671" i="1"/>
  <c r="U671" i="1"/>
  <c r="Q671" i="1"/>
  <c r="O671" i="1"/>
  <c r="M671" i="1"/>
  <c r="L671" i="1"/>
  <c r="K671" i="1"/>
  <c r="F671" i="1"/>
  <c r="F671" i="1" a="1"/>
  <c r="W670" i="1"/>
  <c r="W670" i="1" a="1"/>
  <c r="V670" i="1"/>
  <c r="U670" i="1"/>
  <c r="Q670" i="1"/>
  <c r="O670" i="1"/>
  <c r="M670" i="1"/>
  <c r="L670" i="1"/>
  <c r="K670" i="1"/>
  <c r="F670" i="1"/>
  <c r="F670" i="1" a="1"/>
  <c r="W669" i="1"/>
  <c r="W669" i="1" a="1"/>
  <c r="V669" i="1"/>
  <c r="U669" i="1"/>
  <c r="Q669" i="1"/>
  <c r="O669" i="1"/>
  <c r="M669" i="1"/>
  <c r="L669" i="1"/>
  <c r="K669" i="1"/>
  <c r="F669" i="1"/>
  <c r="F669" i="1" a="1"/>
  <c r="W668" i="1"/>
  <c r="W668" i="1" a="1"/>
  <c r="V668" i="1"/>
  <c r="U668" i="1"/>
  <c r="Q668" i="1"/>
  <c r="O668" i="1"/>
  <c r="M668" i="1"/>
  <c r="L668" i="1"/>
  <c r="K668" i="1"/>
  <c r="F668" i="1"/>
  <c r="F668" i="1" a="1"/>
  <c r="W667" i="1"/>
  <c r="W667" i="1" a="1"/>
  <c r="V667" i="1"/>
  <c r="U667" i="1"/>
  <c r="Q667" i="1"/>
  <c r="O667" i="1"/>
  <c r="M667" i="1"/>
  <c r="L667" i="1"/>
  <c r="K667" i="1"/>
  <c r="F667" i="1"/>
  <c r="F667" i="1" a="1"/>
  <c r="W666" i="1"/>
  <c r="W666" i="1" a="1"/>
  <c r="V666" i="1"/>
  <c r="U666" i="1"/>
  <c r="Q666" i="1"/>
  <c r="O666" i="1"/>
  <c r="M666" i="1"/>
  <c r="L666" i="1"/>
  <c r="K666" i="1"/>
  <c r="F666" i="1"/>
  <c r="F666" i="1" a="1"/>
  <c r="W665" i="1"/>
  <c r="W665" i="1" a="1"/>
  <c r="V665" i="1"/>
  <c r="U665" i="1"/>
  <c r="Q665" i="1"/>
  <c r="O665" i="1"/>
  <c r="M665" i="1"/>
  <c r="L665" i="1"/>
  <c r="K665" i="1"/>
  <c r="F665" i="1"/>
  <c r="F665" i="1" a="1"/>
  <c r="W664" i="1"/>
  <c r="W664" i="1" a="1"/>
  <c r="V664" i="1"/>
  <c r="U664" i="1"/>
  <c r="Q664" i="1"/>
  <c r="O664" i="1"/>
  <c r="M664" i="1"/>
  <c r="L664" i="1"/>
  <c r="K664" i="1"/>
  <c r="F664" i="1"/>
  <c r="F664" i="1" a="1"/>
  <c r="W663" i="1"/>
  <c r="W663" i="1" a="1"/>
  <c r="V663" i="1"/>
  <c r="U663" i="1"/>
  <c r="Q663" i="1"/>
  <c r="O663" i="1"/>
  <c r="M663" i="1"/>
  <c r="L663" i="1"/>
  <c r="K663" i="1"/>
  <c r="F663" i="1"/>
  <c r="F663" i="1" a="1"/>
  <c r="W662" i="1"/>
  <c r="W662" i="1" a="1"/>
  <c r="V662" i="1"/>
  <c r="U662" i="1"/>
  <c r="Q662" i="1"/>
  <c r="O662" i="1"/>
  <c r="M662" i="1"/>
  <c r="L662" i="1"/>
  <c r="K662" i="1"/>
  <c r="F662" i="1"/>
  <c r="F662" i="1" a="1"/>
  <c r="W661" i="1"/>
  <c r="W661" i="1" a="1"/>
  <c r="V661" i="1"/>
  <c r="U661" i="1"/>
  <c r="Q661" i="1"/>
  <c r="O661" i="1"/>
  <c r="M661" i="1"/>
  <c r="L661" i="1"/>
  <c r="K661" i="1"/>
  <c r="F661" i="1"/>
  <c r="F661" i="1" a="1"/>
  <c r="W660" i="1"/>
  <c r="W660" i="1" a="1"/>
  <c r="V660" i="1"/>
  <c r="U660" i="1"/>
  <c r="Q660" i="1"/>
  <c r="O660" i="1"/>
  <c r="M660" i="1"/>
  <c r="L660" i="1"/>
  <c r="K660" i="1"/>
  <c r="F660" i="1"/>
  <c r="F660" i="1" a="1"/>
  <c r="W659" i="1"/>
  <c r="W659" i="1" a="1"/>
  <c r="V659" i="1"/>
  <c r="U659" i="1"/>
  <c r="Q659" i="1"/>
  <c r="O659" i="1"/>
  <c r="M659" i="1"/>
  <c r="L659" i="1"/>
  <c r="K659" i="1"/>
  <c r="F659" i="1"/>
  <c r="F659" i="1" a="1"/>
  <c r="W658" i="1"/>
  <c r="W658" i="1" a="1"/>
  <c r="V658" i="1"/>
  <c r="U658" i="1"/>
  <c r="Q658" i="1"/>
  <c r="O658" i="1"/>
  <c r="M658" i="1"/>
  <c r="L658" i="1"/>
  <c r="K658" i="1"/>
  <c r="F658" i="1"/>
  <c r="F658" i="1" a="1"/>
  <c r="W657" i="1"/>
  <c r="W657" i="1" a="1"/>
  <c r="V657" i="1"/>
  <c r="U657" i="1"/>
  <c r="Q657" i="1"/>
  <c r="O657" i="1"/>
  <c r="M657" i="1"/>
  <c r="L657" i="1"/>
  <c r="K657" i="1"/>
  <c r="F657" i="1"/>
  <c r="F657" i="1" a="1"/>
  <c r="W656" i="1"/>
  <c r="W656" i="1" a="1"/>
  <c r="V656" i="1"/>
  <c r="U656" i="1"/>
  <c r="Q656" i="1"/>
  <c r="O656" i="1"/>
  <c r="M656" i="1"/>
  <c r="L656" i="1"/>
  <c r="K656" i="1"/>
  <c r="F656" i="1"/>
  <c r="F656" i="1" a="1"/>
  <c r="W655" i="1"/>
  <c r="W655" i="1" a="1"/>
  <c r="V655" i="1"/>
  <c r="U655" i="1"/>
  <c r="Q655" i="1"/>
  <c r="O655" i="1"/>
  <c r="M655" i="1"/>
  <c r="L655" i="1"/>
  <c r="K655" i="1"/>
  <c r="F655" i="1"/>
  <c r="F655" i="1" a="1"/>
  <c r="W654" i="1"/>
  <c r="W654" i="1" a="1"/>
  <c r="V654" i="1"/>
  <c r="U654" i="1"/>
  <c r="Q654" i="1"/>
  <c r="O654" i="1"/>
  <c r="M654" i="1"/>
  <c r="L654" i="1"/>
  <c r="K654" i="1"/>
  <c r="F654" i="1"/>
  <c r="F654" i="1" a="1"/>
  <c r="W653" i="1"/>
  <c r="W653" i="1" a="1"/>
  <c r="V653" i="1"/>
  <c r="U653" i="1"/>
  <c r="Q653" i="1"/>
  <c r="O653" i="1"/>
  <c r="M653" i="1"/>
  <c r="L653" i="1"/>
  <c r="K653" i="1"/>
  <c r="F653" i="1"/>
  <c r="F653" i="1" a="1"/>
  <c r="W652" i="1"/>
  <c r="W652" i="1" a="1"/>
  <c r="V652" i="1"/>
  <c r="U652" i="1"/>
  <c r="Q652" i="1"/>
  <c r="O652" i="1"/>
  <c r="M652" i="1"/>
  <c r="L652" i="1"/>
  <c r="K652" i="1"/>
  <c r="F652" i="1"/>
  <c r="F652" i="1" a="1"/>
  <c r="W651" i="1"/>
  <c r="W651" i="1" a="1"/>
  <c r="V651" i="1"/>
  <c r="U651" i="1"/>
  <c r="Q651" i="1"/>
  <c r="O651" i="1"/>
  <c r="M651" i="1"/>
  <c r="L651" i="1"/>
  <c r="K651" i="1"/>
  <c r="F651" i="1"/>
  <c r="F651" i="1" a="1"/>
  <c r="W650" i="1"/>
  <c r="W650" i="1" a="1"/>
  <c r="V650" i="1"/>
  <c r="U650" i="1"/>
  <c r="Q650" i="1"/>
  <c r="O650" i="1"/>
  <c r="M650" i="1"/>
  <c r="L650" i="1"/>
  <c r="K650" i="1"/>
  <c r="F650" i="1"/>
  <c r="F650" i="1" a="1"/>
  <c r="W649" i="1"/>
  <c r="W649" i="1" a="1"/>
  <c r="V649" i="1"/>
  <c r="U649" i="1"/>
  <c r="Q649" i="1"/>
  <c r="O649" i="1"/>
  <c r="M649" i="1"/>
  <c r="L649" i="1"/>
  <c r="K649" i="1"/>
  <c r="F649" i="1"/>
  <c r="F649" i="1" a="1"/>
  <c r="W648" i="1"/>
  <c r="W648" i="1" a="1"/>
  <c r="V648" i="1"/>
  <c r="U648" i="1"/>
  <c r="Q648" i="1"/>
  <c r="O648" i="1"/>
  <c r="M648" i="1"/>
  <c r="L648" i="1"/>
  <c r="K648" i="1"/>
  <c r="F648" i="1"/>
  <c r="F648" i="1" a="1"/>
  <c r="W647" i="1"/>
  <c r="W647" i="1" a="1"/>
  <c r="V647" i="1"/>
  <c r="U647" i="1"/>
  <c r="Q647" i="1"/>
  <c r="O647" i="1"/>
  <c r="M647" i="1"/>
  <c r="L647" i="1"/>
  <c r="K647" i="1"/>
  <c r="F647" i="1"/>
  <c r="F647" i="1" a="1"/>
  <c r="W646" i="1"/>
  <c r="W646" i="1" a="1"/>
  <c r="V646" i="1"/>
  <c r="U646" i="1"/>
  <c r="Q646" i="1"/>
  <c r="O646" i="1"/>
  <c r="M646" i="1"/>
  <c r="L646" i="1"/>
  <c r="K646" i="1"/>
  <c r="F646" i="1"/>
  <c r="F646" i="1" a="1"/>
  <c r="W645" i="1"/>
  <c r="W645" i="1" a="1"/>
  <c r="V645" i="1"/>
  <c r="U645" i="1"/>
  <c r="Q645" i="1"/>
  <c r="O645" i="1"/>
  <c r="M645" i="1"/>
  <c r="L645" i="1"/>
  <c r="K645" i="1"/>
  <c r="F645" i="1"/>
  <c r="F645" i="1" a="1"/>
  <c r="W644" i="1"/>
  <c r="W644" i="1" a="1"/>
  <c r="V644" i="1"/>
  <c r="U644" i="1"/>
  <c r="Q644" i="1"/>
  <c r="O644" i="1"/>
  <c r="M644" i="1"/>
  <c r="L644" i="1"/>
  <c r="K644" i="1"/>
  <c r="F644" i="1"/>
  <c r="F644" i="1" a="1"/>
  <c r="W643" i="1"/>
  <c r="W643" i="1" a="1"/>
  <c r="V643" i="1"/>
  <c r="U643" i="1"/>
  <c r="Q643" i="1"/>
  <c r="O643" i="1"/>
  <c r="M643" i="1"/>
  <c r="L643" i="1"/>
  <c r="K643" i="1"/>
  <c r="F643" i="1"/>
  <c r="F643" i="1" a="1"/>
  <c r="W642" i="1"/>
  <c r="W642" i="1" a="1"/>
  <c r="V642" i="1"/>
  <c r="U642" i="1"/>
  <c r="Q642" i="1"/>
  <c r="O642" i="1"/>
  <c r="M642" i="1"/>
  <c r="L642" i="1"/>
  <c r="K642" i="1"/>
  <c r="F642" i="1"/>
  <c r="F642" i="1" a="1"/>
  <c r="W641" i="1"/>
  <c r="W641" i="1" a="1"/>
  <c r="V641" i="1"/>
  <c r="U641" i="1"/>
  <c r="Q641" i="1"/>
  <c r="O641" i="1"/>
  <c r="M641" i="1"/>
  <c r="L641" i="1"/>
  <c r="K641" i="1"/>
  <c r="F641" i="1"/>
  <c r="F641" i="1" a="1"/>
  <c r="W640" i="1"/>
  <c r="W640" i="1" a="1"/>
  <c r="V640" i="1"/>
  <c r="U640" i="1"/>
  <c r="Q640" i="1"/>
  <c r="O640" i="1"/>
  <c r="M640" i="1"/>
  <c r="L640" i="1"/>
  <c r="K640" i="1"/>
  <c r="F640" i="1"/>
  <c r="F640" i="1" a="1"/>
  <c r="W639" i="1"/>
  <c r="W639" i="1" a="1"/>
  <c r="V639" i="1"/>
  <c r="U639" i="1"/>
  <c r="Q639" i="1"/>
  <c r="O639" i="1"/>
  <c r="M639" i="1"/>
  <c r="L639" i="1"/>
  <c r="K639" i="1"/>
  <c r="F639" i="1"/>
  <c r="F639" i="1" a="1"/>
  <c r="W638" i="1"/>
  <c r="W638" i="1" a="1"/>
  <c r="V638" i="1"/>
  <c r="U638" i="1"/>
  <c r="Q638" i="1"/>
  <c r="O638" i="1"/>
  <c r="M638" i="1"/>
  <c r="L638" i="1"/>
  <c r="K638" i="1"/>
  <c r="F638" i="1"/>
  <c r="F638" i="1" a="1"/>
  <c r="W637" i="1"/>
  <c r="W637" i="1" a="1"/>
  <c r="V637" i="1"/>
  <c r="U637" i="1"/>
  <c r="Q637" i="1"/>
  <c r="O637" i="1"/>
  <c r="M637" i="1"/>
  <c r="L637" i="1"/>
  <c r="K637" i="1"/>
  <c r="F637" i="1"/>
  <c r="F637" i="1" a="1"/>
  <c r="W636" i="1"/>
  <c r="W636" i="1" a="1"/>
  <c r="V636" i="1"/>
  <c r="U636" i="1"/>
  <c r="Q636" i="1"/>
  <c r="O636" i="1"/>
  <c r="M636" i="1"/>
  <c r="L636" i="1"/>
  <c r="K636" i="1"/>
  <c r="F636" i="1"/>
  <c r="F636" i="1" a="1"/>
  <c r="W635" i="1"/>
  <c r="W635" i="1" a="1"/>
  <c r="V635" i="1"/>
  <c r="U635" i="1"/>
  <c r="Q635" i="1"/>
  <c r="O635" i="1"/>
  <c r="M635" i="1"/>
  <c r="L635" i="1"/>
  <c r="K635" i="1"/>
  <c r="F635" i="1"/>
  <c r="F635" i="1" a="1"/>
  <c r="W634" i="1"/>
  <c r="W634" i="1" a="1"/>
  <c r="V634" i="1"/>
  <c r="U634" i="1"/>
  <c r="Q634" i="1"/>
  <c r="O634" i="1"/>
  <c r="M634" i="1"/>
  <c r="L634" i="1"/>
  <c r="K634" i="1"/>
  <c r="F634" i="1"/>
  <c r="F634" i="1" a="1"/>
  <c r="W633" i="1"/>
  <c r="W633" i="1" a="1"/>
  <c r="V633" i="1"/>
  <c r="U633" i="1"/>
  <c r="Q633" i="1"/>
  <c r="O633" i="1"/>
  <c r="M633" i="1"/>
  <c r="L633" i="1"/>
  <c r="K633" i="1"/>
  <c r="F633" i="1"/>
  <c r="F633" i="1" a="1"/>
  <c r="W632" i="1"/>
  <c r="W632" i="1" a="1"/>
  <c r="V632" i="1"/>
  <c r="U632" i="1"/>
  <c r="Q632" i="1"/>
  <c r="O632" i="1"/>
  <c r="M632" i="1"/>
  <c r="L632" i="1"/>
  <c r="K632" i="1"/>
  <c r="F632" i="1"/>
  <c r="F632" i="1" a="1"/>
  <c r="W631" i="1"/>
  <c r="W631" i="1" a="1"/>
  <c r="V631" i="1"/>
  <c r="U631" i="1"/>
  <c r="Q631" i="1"/>
  <c r="O631" i="1"/>
  <c r="M631" i="1"/>
  <c r="L631" i="1"/>
  <c r="K631" i="1"/>
  <c r="F631" i="1"/>
  <c r="F631" i="1" a="1"/>
  <c r="W630" i="1"/>
  <c r="W630" i="1" a="1"/>
  <c r="V630" i="1"/>
  <c r="U630" i="1"/>
  <c r="Q630" i="1"/>
  <c r="O630" i="1"/>
  <c r="M630" i="1"/>
  <c r="L630" i="1"/>
  <c r="K630" i="1"/>
  <c r="F630" i="1"/>
  <c r="F630" i="1" a="1"/>
  <c r="W629" i="1"/>
  <c r="W629" i="1" a="1"/>
  <c r="V629" i="1"/>
  <c r="U629" i="1"/>
  <c r="Q629" i="1"/>
  <c r="O629" i="1"/>
  <c r="M629" i="1"/>
  <c r="L629" i="1"/>
  <c r="K629" i="1"/>
  <c r="F629" i="1"/>
  <c r="F629" i="1" a="1"/>
  <c r="W628" i="1"/>
  <c r="W628" i="1" a="1"/>
  <c r="V628" i="1"/>
  <c r="U628" i="1"/>
  <c r="Q628" i="1"/>
  <c r="O628" i="1"/>
  <c r="M628" i="1"/>
  <c r="L628" i="1"/>
  <c r="K628" i="1"/>
  <c r="F628" i="1"/>
  <c r="F628" i="1" a="1"/>
  <c r="W627" i="1"/>
  <c r="W627" i="1" a="1"/>
  <c r="V627" i="1"/>
  <c r="U627" i="1"/>
  <c r="Q627" i="1"/>
  <c r="O627" i="1"/>
  <c r="M627" i="1"/>
  <c r="L627" i="1"/>
  <c r="K627" i="1"/>
  <c r="F627" i="1"/>
  <c r="F627" i="1" a="1"/>
  <c r="W626" i="1"/>
  <c r="W626" i="1" a="1"/>
  <c r="V626" i="1"/>
  <c r="U626" i="1"/>
  <c r="Q626" i="1"/>
  <c r="O626" i="1"/>
  <c r="M626" i="1"/>
  <c r="L626" i="1"/>
  <c r="K626" i="1"/>
  <c r="F626" i="1"/>
  <c r="F626" i="1" a="1"/>
  <c r="W625" i="1"/>
  <c r="W625" i="1" a="1"/>
  <c r="V625" i="1"/>
  <c r="U625" i="1"/>
  <c r="Q625" i="1"/>
  <c r="O625" i="1"/>
  <c r="M625" i="1"/>
  <c r="L625" i="1"/>
  <c r="K625" i="1"/>
  <c r="F625" i="1"/>
  <c r="F625" i="1" a="1"/>
  <c r="W624" i="1"/>
  <c r="W624" i="1" a="1"/>
  <c r="V624" i="1"/>
  <c r="U624" i="1"/>
  <c r="Q624" i="1"/>
  <c r="O624" i="1"/>
  <c r="M624" i="1"/>
  <c r="L624" i="1"/>
  <c r="K624" i="1"/>
  <c r="F624" i="1"/>
  <c r="F624" i="1" a="1"/>
  <c r="W623" i="1"/>
  <c r="W623" i="1" a="1"/>
  <c r="V623" i="1"/>
  <c r="U623" i="1"/>
  <c r="Q623" i="1"/>
  <c r="O623" i="1"/>
  <c r="M623" i="1"/>
  <c r="L623" i="1"/>
  <c r="K623" i="1"/>
  <c r="F623" i="1"/>
  <c r="F623" i="1" a="1"/>
  <c r="W622" i="1"/>
  <c r="W622" i="1" a="1"/>
  <c r="V622" i="1"/>
  <c r="U622" i="1"/>
  <c r="Q622" i="1"/>
  <c r="O622" i="1"/>
  <c r="M622" i="1"/>
  <c r="L622" i="1"/>
  <c r="K622" i="1"/>
  <c r="F622" i="1"/>
  <c r="F622" i="1" a="1"/>
  <c r="W621" i="1"/>
  <c r="W621" i="1" a="1"/>
  <c r="V621" i="1"/>
  <c r="U621" i="1"/>
  <c r="Q621" i="1"/>
  <c r="O621" i="1"/>
  <c r="M621" i="1"/>
  <c r="L621" i="1"/>
  <c r="K621" i="1"/>
  <c r="F621" i="1"/>
  <c r="F621" i="1" a="1"/>
  <c r="W620" i="1"/>
  <c r="W620" i="1" a="1"/>
  <c r="V620" i="1"/>
  <c r="U620" i="1"/>
  <c r="Q620" i="1"/>
  <c r="O620" i="1"/>
  <c r="M620" i="1"/>
  <c r="L620" i="1"/>
  <c r="K620" i="1"/>
  <c r="F620" i="1"/>
  <c r="F620" i="1" a="1"/>
  <c r="W619" i="1"/>
  <c r="W619" i="1" a="1"/>
  <c r="V619" i="1"/>
  <c r="U619" i="1"/>
  <c r="Q619" i="1"/>
  <c r="O619" i="1"/>
  <c r="M619" i="1"/>
  <c r="L619" i="1"/>
  <c r="K619" i="1"/>
  <c r="F619" i="1"/>
  <c r="F619" i="1" a="1"/>
  <c r="W618" i="1"/>
  <c r="W618" i="1" a="1"/>
  <c r="V618" i="1"/>
  <c r="U618" i="1"/>
  <c r="Q618" i="1"/>
  <c r="O618" i="1"/>
  <c r="M618" i="1"/>
  <c r="L618" i="1"/>
  <c r="K618" i="1"/>
  <c r="F618" i="1"/>
  <c r="F618" i="1" a="1"/>
  <c r="W617" i="1"/>
  <c r="W617" i="1" a="1"/>
  <c r="V617" i="1"/>
  <c r="U617" i="1"/>
  <c r="Q617" i="1"/>
  <c r="O617" i="1"/>
  <c r="M617" i="1"/>
  <c r="L617" i="1"/>
  <c r="K617" i="1"/>
  <c r="F617" i="1"/>
  <c r="F617" i="1" a="1"/>
  <c r="W616" i="1"/>
  <c r="W616" i="1" a="1"/>
  <c r="V616" i="1"/>
  <c r="U616" i="1"/>
  <c r="Q616" i="1"/>
  <c r="O616" i="1"/>
  <c r="M616" i="1"/>
  <c r="L616" i="1"/>
  <c r="K616" i="1"/>
  <c r="F616" i="1"/>
  <c r="F616" i="1" a="1"/>
  <c r="W615" i="1"/>
  <c r="W615" i="1" a="1"/>
  <c r="V615" i="1"/>
  <c r="U615" i="1"/>
  <c r="Q615" i="1"/>
  <c r="O615" i="1"/>
  <c r="M615" i="1"/>
  <c r="L615" i="1"/>
  <c r="K615" i="1"/>
  <c r="F615" i="1"/>
  <c r="F615" i="1" a="1"/>
  <c r="W614" i="1"/>
  <c r="W614" i="1" a="1"/>
  <c r="V614" i="1"/>
  <c r="U614" i="1"/>
  <c r="Q614" i="1"/>
  <c r="O614" i="1"/>
  <c r="M614" i="1"/>
  <c r="L614" i="1"/>
  <c r="K614" i="1"/>
  <c r="F614" i="1"/>
  <c r="F614" i="1" a="1"/>
  <c r="W613" i="1"/>
  <c r="W613" i="1" a="1"/>
  <c r="V613" i="1"/>
  <c r="U613" i="1"/>
  <c r="Q613" i="1"/>
  <c r="O613" i="1"/>
  <c r="M613" i="1"/>
  <c r="L613" i="1"/>
  <c r="K613" i="1"/>
  <c r="F613" i="1"/>
  <c r="F613" i="1" a="1"/>
  <c r="W612" i="1"/>
  <c r="W612" i="1" a="1"/>
  <c r="V612" i="1"/>
  <c r="U612" i="1"/>
  <c r="Q612" i="1"/>
  <c r="O612" i="1"/>
  <c r="M612" i="1"/>
  <c r="L612" i="1"/>
  <c r="K612" i="1"/>
  <c r="F612" i="1"/>
  <c r="F612" i="1" a="1"/>
  <c r="W611" i="1"/>
  <c r="W611" i="1" a="1"/>
  <c r="V611" i="1"/>
  <c r="U611" i="1"/>
  <c r="Q611" i="1"/>
  <c r="O611" i="1"/>
  <c r="M611" i="1"/>
  <c r="L611" i="1"/>
  <c r="K611" i="1"/>
  <c r="F611" i="1"/>
  <c r="F611" i="1" a="1"/>
  <c r="W610" i="1"/>
  <c r="W610" i="1" a="1"/>
  <c r="V610" i="1"/>
  <c r="U610" i="1"/>
  <c r="Q610" i="1"/>
  <c r="O610" i="1"/>
  <c r="M610" i="1"/>
  <c r="L610" i="1"/>
  <c r="K610" i="1"/>
  <c r="F610" i="1"/>
  <c r="F610" i="1" a="1"/>
  <c r="W609" i="1"/>
  <c r="W609" i="1" a="1"/>
  <c r="V609" i="1"/>
  <c r="U609" i="1"/>
  <c r="Q609" i="1"/>
  <c r="O609" i="1"/>
  <c r="M609" i="1"/>
  <c r="L609" i="1"/>
  <c r="K609" i="1"/>
  <c r="F609" i="1"/>
  <c r="F609" i="1" a="1"/>
  <c r="W608" i="1"/>
  <c r="W608" i="1" a="1"/>
  <c r="V608" i="1"/>
  <c r="U608" i="1"/>
  <c r="Q608" i="1"/>
  <c r="O608" i="1"/>
  <c r="M608" i="1"/>
  <c r="L608" i="1"/>
  <c r="K608" i="1"/>
  <c r="F608" i="1"/>
  <c r="F608" i="1" a="1"/>
  <c r="W607" i="1"/>
  <c r="W607" i="1" a="1"/>
  <c r="V607" i="1"/>
  <c r="U607" i="1"/>
  <c r="Q607" i="1"/>
  <c r="O607" i="1"/>
  <c r="M607" i="1"/>
  <c r="L607" i="1"/>
  <c r="K607" i="1"/>
  <c r="F607" i="1"/>
  <c r="F607" i="1" a="1"/>
  <c r="W606" i="1"/>
  <c r="W606" i="1" a="1"/>
  <c r="V606" i="1"/>
  <c r="U606" i="1"/>
  <c r="Q606" i="1"/>
  <c r="O606" i="1"/>
  <c r="M606" i="1"/>
  <c r="L606" i="1"/>
  <c r="K606" i="1"/>
  <c r="F606" i="1"/>
  <c r="F606" i="1" a="1"/>
  <c r="W605" i="1"/>
  <c r="W605" i="1" a="1"/>
  <c r="V605" i="1"/>
  <c r="U605" i="1"/>
  <c r="Q605" i="1"/>
  <c r="O605" i="1"/>
  <c r="M605" i="1"/>
  <c r="L605" i="1"/>
  <c r="K605" i="1"/>
  <c r="F605" i="1"/>
  <c r="F605" i="1" a="1"/>
  <c r="W604" i="1"/>
  <c r="W604" i="1" a="1"/>
  <c r="V604" i="1"/>
  <c r="U604" i="1"/>
  <c r="Q604" i="1"/>
  <c r="O604" i="1"/>
  <c r="M604" i="1"/>
  <c r="L604" i="1"/>
  <c r="K604" i="1"/>
  <c r="F604" i="1"/>
  <c r="F604" i="1" a="1"/>
  <c r="W603" i="1"/>
  <c r="W603" i="1" a="1"/>
  <c r="V603" i="1"/>
  <c r="U603" i="1"/>
  <c r="Q603" i="1"/>
  <c r="O603" i="1"/>
  <c r="M603" i="1"/>
  <c r="L603" i="1"/>
  <c r="K603" i="1"/>
  <c r="F603" i="1"/>
  <c r="F603" i="1" a="1"/>
  <c r="W602" i="1"/>
  <c r="W602" i="1" a="1"/>
  <c r="V602" i="1"/>
  <c r="U602" i="1"/>
  <c r="Q602" i="1"/>
  <c r="O602" i="1"/>
  <c r="M602" i="1"/>
  <c r="L602" i="1"/>
  <c r="K602" i="1"/>
  <c r="F602" i="1"/>
  <c r="F602" i="1" a="1"/>
  <c r="W601" i="1"/>
  <c r="W601" i="1" a="1"/>
  <c r="V601" i="1"/>
  <c r="U601" i="1"/>
  <c r="Q601" i="1"/>
  <c r="O601" i="1"/>
  <c r="M601" i="1"/>
  <c r="L601" i="1"/>
  <c r="K601" i="1"/>
  <c r="F601" i="1"/>
  <c r="F601" i="1" a="1"/>
  <c r="W600" i="1"/>
  <c r="W600" i="1" a="1"/>
  <c r="V600" i="1"/>
  <c r="U600" i="1"/>
  <c r="Q600" i="1"/>
  <c r="O600" i="1"/>
  <c r="M600" i="1"/>
  <c r="L600" i="1"/>
  <c r="K600" i="1"/>
  <c r="F600" i="1"/>
  <c r="F600" i="1" a="1"/>
  <c r="W599" i="1"/>
  <c r="W599" i="1" a="1"/>
  <c r="V599" i="1"/>
  <c r="U599" i="1"/>
  <c r="Q599" i="1"/>
  <c r="O599" i="1"/>
  <c r="M599" i="1"/>
  <c r="L599" i="1"/>
  <c r="K599" i="1"/>
  <c r="F599" i="1"/>
  <c r="F599" i="1" a="1"/>
  <c r="W598" i="1"/>
  <c r="W598" i="1" a="1"/>
  <c r="V598" i="1"/>
  <c r="U598" i="1"/>
  <c r="Q598" i="1"/>
  <c r="O598" i="1"/>
  <c r="M598" i="1"/>
  <c r="L598" i="1"/>
  <c r="K598" i="1"/>
  <c r="F598" i="1"/>
  <c r="F598" i="1" a="1"/>
  <c r="W597" i="1"/>
  <c r="W597" i="1" a="1"/>
  <c r="V597" i="1"/>
  <c r="U597" i="1"/>
  <c r="Q597" i="1"/>
  <c r="O597" i="1"/>
  <c r="M597" i="1"/>
  <c r="L597" i="1"/>
  <c r="K597" i="1"/>
  <c r="F597" i="1"/>
  <c r="F597" i="1" a="1"/>
  <c r="W596" i="1"/>
  <c r="W596" i="1" a="1"/>
  <c r="V596" i="1"/>
  <c r="U596" i="1"/>
  <c r="Q596" i="1"/>
  <c r="O596" i="1"/>
  <c r="M596" i="1"/>
  <c r="L596" i="1"/>
  <c r="K596" i="1"/>
  <c r="F596" i="1"/>
  <c r="F596" i="1" a="1"/>
  <c r="W595" i="1"/>
  <c r="W595" i="1" a="1"/>
  <c r="V595" i="1"/>
  <c r="U595" i="1"/>
  <c r="Q595" i="1"/>
  <c r="O595" i="1"/>
  <c r="M595" i="1"/>
  <c r="L595" i="1"/>
  <c r="K595" i="1"/>
  <c r="F595" i="1"/>
  <c r="F595" i="1" a="1"/>
  <c r="W594" i="1"/>
  <c r="W594" i="1" a="1"/>
  <c r="V594" i="1"/>
  <c r="U594" i="1"/>
  <c r="Q594" i="1"/>
  <c r="O594" i="1"/>
  <c r="M594" i="1"/>
  <c r="L594" i="1"/>
  <c r="K594" i="1"/>
  <c r="F594" i="1"/>
  <c r="F594" i="1" a="1"/>
  <c r="W593" i="1"/>
  <c r="W593" i="1" a="1"/>
  <c r="V593" i="1"/>
  <c r="U593" i="1"/>
  <c r="Q593" i="1"/>
  <c r="O593" i="1"/>
  <c r="M593" i="1"/>
  <c r="L593" i="1"/>
  <c r="K593" i="1"/>
  <c r="F593" i="1"/>
  <c r="F593" i="1" a="1"/>
  <c r="W592" i="1"/>
  <c r="W592" i="1" a="1"/>
  <c r="V592" i="1"/>
  <c r="U592" i="1"/>
  <c r="Q592" i="1"/>
  <c r="O592" i="1"/>
  <c r="M592" i="1"/>
  <c r="L592" i="1"/>
  <c r="K592" i="1"/>
  <c r="F592" i="1"/>
  <c r="F592" i="1" a="1"/>
  <c r="W591" i="1"/>
  <c r="W591" i="1" a="1"/>
  <c r="V591" i="1"/>
  <c r="U591" i="1"/>
  <c r="Q591" i="1"/>
  <c r="O591" i="1"/>
  <c r="M591" i="1"/>
  <c r="L591" i="1"/>
  <c r="K591" i="1"/>
  <c r="F591" i="1"/>
  <c r="F591" i="1" a="1"/>
  <c r="W590" i="1"/>
  <c r="W590" i="1" a="1"/>
  <c r="V590" i="1"/>
  <c r="U590" i="1"/>
  <c r="Q590" i="1"/>
  <c r="O590" i="1"/>
  <c r="M590" i="1"/>
  <c r="L590" i="1"/>
  <c r="K590" i="1"/>
  <c r="F590" i="1"/>
  <c r="F590" i="1" a="1"/>
  <c r="W589" i="1"/>
  <c r="W589" i="1" a="1"/>
  <c r="V589" i="1"/>
  <c r="U589" i="1"/>
  <c r="Q589" i="1"/>
  <c r="O589" i="1"/>
  <c r="M589" i="1"/>
  <c r="L589" i="1"/>
  <c r="K589" i="1"/>
  <c r="F589" i="1"/>
  <c r="F589" i="1" a="1"/>
  <c r="W588" i="1"/>
  <c r="W588" i="1" a="1"/>
  <c r="V588" i="1"/>
  <c r="U588" i="1"/>
  <c r="Q588" i="1"/>
  <c r="O588" i="1"/>
  <c r="M588" i="1"/>
  <c r="L588" i="1"/>
  <c r="K588" i="1"/>
  <c r="F588" i="1"/>
  <c r="F588" i="1" a="1"/>
  <c r="W587" i="1"/>
  <c r="W587" i="1" a="1"/>
  <c r="V587" i="1"/>
  <c r="U587" i="1"/>
  <c r="Q587" i="1"/>
  <c r="O587" i="1"/>
  <c r="M587" i="1"/>
  <c r="L587" i="1"/>
  <c r="K587" i="1"/>
  <c r="F587" i="1"/>
  <c r="F587" i="1" a="1"/>
  <c r="W586" i="1"/>
  <c r="W586" i="1" a="1"/>
  <c r="V586" i="1"/>
  <c r="U586" i="1"/>
  <c r="Q586" i="1"/>
  <c r="O586" i="1"/>
  <c r="M586" i="1"/>
  <c r="L586" i="1"/>
  <c r="K586" i="1"/>
  <c r="F586" i="1"/>
  <c r="F586" i="1" a="1"/>
  <c r="W585" i="1"/>
  <c r="W585" i="1" a="1"/>
  <c r="V585" i="1"/>
  <c r="U585" i="1"/>
  <c r="Q585" i="1"/>
  <c r="O585" i="1"/>
  <c r="M585" i="1"/>
  <c r="L585" i="1"/>
  <c r="K585" i="1"/>
  <c r="F585" i="1"/>
  <c r="F585" i="1" a="1"/>
  <c r="W584" i="1"/>
  <c r="W584" i="1" a="1"/>
  <c r="V584" i="1"/>
  <c r="U584" i="1"/>
  <c r="Q584" i="1"/>
  <c r="O584" i="1"/>
  <c r="M584" i="1"/>
  <c r="L584" i="1"/>
  <c r="K584" i="1"/>
  <c r="F584" i="1"/>
  <c r="F584" i="1" a="1"/>
  <c r="W583" i="1"/>
  <c r="W583" i="1" a="1"/>
  <c r="V583" i="1"/>
  <c r="U583" i="1"/>
  <c r="Q583" i="1"/>
  <c r="O583" i="1"/>
  <c r="M583" i="1"/>
  <c r="L583" i="1"/>
  <c r="K583" i="1"/>
  <c r="F583" i="1"/>
  <c r="F583" i="1" a="1"/>
  <c r="W582" i="1"/>
  <c r="W582" i="1" a="1"/>
  <c r="V582" i="1"/>
  <c r="U582" i="1"/>
  <c r="Q582" i="1"/>
  <c r="O582" i="1"/>
  <c r="M582" i="1"/>
  <c r="L582" i="1"/>
  <c r="K582" i="1"/>
  <c r="F582" i="1"/>
  <c r="F582" i="1" a="1"/>
  <c r="W581" i="1"/>
  <c r="W581" i="1" a="1"/>
  <c r="V581" i="1"/>
  <c r="U581" i="1"/>
  <c r="Q581" i="1"/>
  <c r="O581" i="1"/>
  <c r="M581" i="1"/>
  <c r="L581" i="1"/>
  <c r="K581" i="1"/>
  <c r="F581" i="1"/>
  <c r="F581" i="1" a="1"/>
  <c r="W580" i="1"/>
  <c r="W580" i="1" a="1"/>
  <c r="V580" i="1"/>
  <c r="U580" i="1"/>
  <c r="Q580" i="1"/>
  <c r="O580" i="1"/>
  <c r="M580" i="1"/>
  <c r="L580" i="1"/>
  <c r="K580" i="1"/>
  <c r="F580" i="1"/>
  <c r="F580" i="1" a="1"/>
  <c r="W579" i="1"/>
  <c r="W579" i="1" a="1"/>
  <c r="V579" i="1"/>
  <c r="U579" i="1"/>
  <c r="Q579" i="1"/>
  <c r="O579" i="1"/>
  <c r="M579" i="1"/>
  <c r="L579" i="1"/>
  <c r="K579" i="1"/>
  <c r="F579" i="1"/>
  <c r="F579" i="1" a="1"/>
  <c r="W578" i="1"/>
  <c r="W578" i="1" a="1"/>
  <c r="V578" i="1"/>
  <c r="U578" i="1"/>
  <c r="Q578" i="1"/>
  <c r="O578" i="1"/>
  <c r="M578" i="1"/>
  <c r="L578" i="1"/>
  <c r="K578" i="1"/>
  <c r="F578" i="1"/>
  <c r="F578" i="1" a="1"/>
  <c r="W577" i="1"/>
  <c r="W577" i="1" a="1"/>
  <c r="V577" i="1"/>
  <c r="U577" i="1"/>
  <c r="Q577" i="1"/>
  <c r="O577" i="1"/>
  <c r="M577" i="1"/>
  <c r="L577" i="1"/>
  <c r="K577" i="1"/>
  <c r="F577" i="1"/>
  <c r="F577" i="1" a="1"/>
  <c r="W576" i="1"/>
  <c r="W576" i="1" a="1"/>
  <c r="V576" i="1"/>
  <c r="U576" i="1"/>
  <c r="Q576" i="1"/>
  <c r="O576" i="1"/>
  <c r="M576" i="1"/>
  <c r="L576" i="1"/>
  <c r="K576" i="1"/>
  <c r="F576" i="1"/>
  <c r="F576" i="1" a="1"/>
  <c r="W575" i="1"/>
  <c r="W575" i="1" a="1"/>
  <c r="V575" i="1"/>
  <c r="U575" i="1"/>
  <c r="Q575" i="1"/>
  <c r="O575" i="1"/>
  <c r="M575" i="1"/>
  <c r="L575" i="1"/>
  <c r="K575" i="1"/>
  <c r="F575" i="1"/>
  <c r="F575" i="1" a="1"/>
  <c r="W574" i="1"/>
  <c r="W574" i="1" a="1"/>
  <c r="V574" i="1"/>
  <c r="U574" i="1"/>
  <c r="Q574" i="1"/>
  <c r="O574" i="1"/>
  <c r="M574" i="1"/>
  <c r="L574" i="1"/>
  <c r="K574" i="1"/>
  <c r="F574" i="1"/>
  <c r="F574" i="1" a="1"/>
  <c r="W573" i="1"/>
  <c r="W573" i="1" a="1"/>
  <c r="V573" i="1"/>
  <c r="U573" i="1"/>
  <c r="Q573" i="1"/>
  <c r="O573" i="1"/>
  <c r="M573" i="1"/>
  <c r="L573" i="1"/>
  <c r="K573" i="1"/>
  <c r="F573" i="1"/>
  <c r="F573" i="1" a="1"/>
  <c r="W572" i="1"/>
  <c r="W572" i="1" a="1"/>
  <c r="V572" i="1"/>
  <c r="U572" i="1"/>
  <c r="Q572" i="1"/>
  <c r="O572" i="1"/>
  <c r="M572" i="1"/>
  <c r="L572" i="1"/>
  <c r="K572" i="1"/>
  <c r="F572" i="1"/>
  <c r="F572" i="1" a="1"/>
  <c r="W571" i="1"/>
  <c r="W571" i="1" a="1"/>
  <c r="V571" i="1"/>
  <c r="U571" i="1"/>
  <c r="Q571" i="1"/>
  <c r="O571" i="1"/>
  <c r="M571" i="1"/>
  <c r="L571" i="1"/>
  <c r="K571" i="1"/>
  <c r="F571" i="1"/>
  <c r="F571" i="1" a="1"/>
  <c r="W570" i="1"/>
  <c r="W570" i="1" a="1"/>
  <c r="V570" i="1"/>
  <c r="U570" i="1"/>
  <c r="Q570" i="1"/>
  <c r="O570" i="1"/>
  <c r="M570" i="1"/>
  <c r="L570" i="1"/>
  <c r="K570" i="1"/>
  <c r="F570" i="1"/>
  <c r="F570" i="1" a="1"/>
  <c r="W569" i="1"/>
  <c r="W569" i="1" a="1"/>
  <c r="V569" i="1"/>
  <c r="U569" i="1"/>
  <c r="Q569" i="1"/>
  <c r="O569" i="1"/>
  <c r="M569" i="1"/>
  <c r="L569" i="1"/>
  <c r="K569" i="1"/>
  <c r="F569" i="1"/>
  <c r="F569" i="1" a="1"/>
  <c r="W568" i="1"/>
  <c r="W568" i="1" a="1"/>
  <c r="V568" i="1"/>
  <c r="U568" i="1"/>
  <c r="Q568" i="1"/>
  <c r="O568" i="1"/>
  <c r="M568" i="1"/>
  <c r="L568" i="1"/>
  <c r="K568" i="1"/>
  <c r="F568" i="1"/>
  <c r="F568" i="1" a="1"/>
  <c r="W567" i="1"/>
  <c r="W567" i="1" a="1"/>
  <c r="V567" i="1"/>
  <c r="U567" i="1"/>
  <c r="Q567" i="1"/>
  <c r="O567" i="1"/>
  <c r="M567" i="1"/>
  <c r="L567" i="1"/>
  <c r="K567" i="1"/>
  <c r="F567" i="1"/>
  <c r="F567" i="1" a="1"/>
  <c r="W566" i="1"/>
  <c r="W566" i="1" a="1"/>
  <c r="V566" i="1"/>
  <c r="U566" i="1"/>
  <c r="Q566" i="1"/>
  <c r="O566" i="1"/>
  <c r="M566" i="1"/>
  <c r="L566" i="1"/>
  <c r="K566" i="1"/>
  <c r="F566" i="1"/>
  <c r="F566" i="1" a="1"/>
  <c r="W565" i="1"/>
  <c r="W565" i="1" a="1"/>
  <c r="V565" i="1"/>
  <c r="U565" i="1"/>
  <c r="Q565" i="1"/>
  <c r="O565" i="1"/>
  <c r="M565" i="1"/>
  <c r="L565" i="1"/>
  <c r="K565" i="1"/>
  <c r="F565" i="1"/>
  <c r="F565" i="1" a="1"/>
  <c r="W564" i="1"/>
  <c r="W564" i="1" a="1"/>
  <c r="V564" i="1"/>
  <c r="U564" i="1"/>
  <c r="Q564" i="1"/>
  <c r="O564" i="1"/>
  <c r="M564" i="1"/>
  <c r="L564" i="1"/>
  <c r="K564" i="1"/>
  <c r="F564" i="1"/>
  <c r="F564" i="1" a="1"/>
  <c r="W563" i="1"/>
  <c r="W563" i="1" a="1"/>
  <c r="V563" i="1"/>
  <c r="U563" i="1"/>
  <c r="Q563" i="1"/>
  <c r="O563" i="1"/>
  <c r="M563" i="1"/>
  <c r="L563" i="1"/>
  <c r="K563" i="1"/>
  <c r="F563" i="1"/>
  <c r="F563" i="1" a="1"/>
  <c r="W562" i="1"/>
  <c r="W562" i="1" a="1"/>
  <c r="V562" i="1"/>
  <c r="U562" i="1"/>
  <c r="Q562" i="1"/>
  <c r="O562" i="1"/>
  <c r="M562" i="1"/>
  <c r="L562" i="1"/>
  <c r="K562" i="1"/>
  <c r="F562" i="1"/>
  <c r="F562" i="1" a="1"/>
  <c r="W561" i="1"/>
  <c r="W561" i="1" a="1"/>
  <c r="V561" i="1"/>
  <c r="U561" i="1"/>
  <c r="Q561" i="1"/>
  <c r="O561" i="1"/>
  <c r="M561" i="1"/>
  <c r="L561" i="1"/>
  <c r="K561" i="1"/>
  <c r="F561" i="1"/>
  <c r="F561" i="1" a="1"/>
  <c r="W560" i="1"/>
  <c r="W560" i="1" a="1"/>
  <c r="V560" i="1"/>
  <c r="U560" i="1"/>
  <c r="Q560" i="1"/>
  <c r="O560" i="1"/>
  <c r="M560" i="1"/>
  <c r="L560" i="1"/>
  <c r="K560" i="1"/>
  <c r="F560" i="1"/>
  <c r="F560" i="1" a="1"/>
  <c r="W559" i="1"/>
  <c r="W559" i="1" a="1"/>
  <c r="V559" i="1"/>
  <c r="U559" i="1"/>
  <c r="Q559" i="1"/>
  <c r="O559" i="1"/>
  <c r="M559" i="1"/>
  <c r="L559" i="1"/>
  <c r="K559" i="1"/>
  <c r="F559" i="1"/>
  <c r="F559" i="1" a="1"/>
  <c r="W558" i="1"/>
  <c r="W558" i="1" a="1"/>
  <c r="V558" i="1"/>
  <c r="U558" i="1"/>
  <c r="Q558" i="1"/>
  <c r="O558" i="1"/>
  <c r="M558" i="1"/>
  <c r="L558" i="1"/>
  <c r="K558" i="1"/>
  <c r="F558" i="1"/>
  <c r="F558" i="1" a="1"/>
  <c r="W557" i="1"/>
  <c r="W557" i="1" a="1"/>
  <c r="V557" i="1"/>
  <c r="U557" i="1"/>
  <c r="Q557" i="1"/>
  <c r="O557" i="1"/>
  <c r="M557" i="1"/>
  <c r="L557" i="1"/>
  <c r="K557" i="1"/>
  <c r="F557" i="1"/>
  <c r="F557" i="1" a="1"/>
  <c r="W556" i="1"/>
  <c r="W556" i="1" a="1"/>
  <c r="V556" i="1"/>
  <c r="U556" i="1"/>
  <c r="Q556" i="1"/>
  <c r="O556" i="1"/>
  <c r="M556" i="1"/>
  <c r="L556" i="1"/>
  <c r="K556" i="1"/>
  <c r="F556" i="1"/>
  <c r="F556" i="1" a="1"/>
  <c r="W555" i="1"/>
  <c r="W555" i="1" a="1"/>
  <c r="V555" i="1"/>
  <c r="U555" i="1"/>
  <c r="Q555" i="1"/>
  <c r="O555" i="1"/>
  <c r="M555" i="1"/>
  <c r="L555" i="1"/>
  <c r="K555" i="1"/>
  <c r="F555" i="1"/>
  <c r="F555" i="1" a="1"/>
  <c r="W554" i="1"/>
  <c r="W554" i="1" a="1"/>
  <c r="V554" i="1"/>
  <c r="U554" i="1"/>
  <c r="Q554" i="1"/>
  <c r="O554" i="1"/>
  <c r="M554" i="1"/>
  <c r="L554" i="1"/>
  <c r="K554" i="1"/>
  <c r="F554" i="1"/>
  <c r="F554" i="1" a="1"/>
  <c r="W553" i="1"/>
  <c r="W553" i="1" a="1"/>
  <c r="V553" i="1"/>
  <c r="U553" i="1"/>
  <c r="Q553" i="1"/>
  <c r="O553" i="1"/>
  <c r="M553" i="1"/>
  <c r="L553" i="1"/>
  <c r="K553" i="1"/>
  <c r="F553" i="1"/>
  <c r="F553" i="1" a="1"/>
  <c r="W552" i="1"/>
  <c r="W552" i="1" a="1"/>
  <c r="V552" i="1"/>
  <c r="U552" i="1"/>
  <c r="Q552" i="1"/>
  <c r="O552" i="1"/>
  <c r="M552" i="1"/>
  <c r="L552" i="1"/>
  <c r="K552" i="1"/>
  <c r="F552" i="1"/>
  <c r="F552" i="1" a="1"/>
  <c r="W551" i="1"/>
  <c r="W551" i="1" a="1"/>
  <c r="V551" i="1"/>
  <c r="U551" i="1"/>
  <c r="Q551" i="1"/>
  <c r="O551" i="1"/>
  <c r="M551" i="1"/>
  <c r="L551" i="1"/>
  <c r="K551" i="1"/>
  <c r="F551" i="1"/>
  <c r="F551" i="1" a="1"/>
  <c r="W550" i="1"/>
  <c r="W550" i="1" a="1"/>
  <c r="V550" i="1"/>
  <c r="U550" i="1"/>
  <c r="Q550" i="1"/>
  <c r="O550" i="1"/>
  <c r="M550" i="1"/>
  <c r="L550" i="1"/>
  <c r="K550" i="1"/>
  <c r="F550" i="1"/>
  <c r="F550" i="1" a="1"/>
  <c r="W549" i="1"/>
  <c r="W549" i="1" a="1"/>
  <c r="V549" i="1"/>
  <c r="U549" i="1"/>
  <c r="Q549" i="1"/>
  <c r="O549" i="1"/>
  <c r="M549" i="1"/>
  <c r="L549" i="1"/>
  <c r="K549" i="1"/>
  <c r="F549" i="1"/>
  <c r="F549" i="1" a="1"/>
  <c r="W548" i="1"/>
  <c r="W548" i="1" a="1"/>
  <c r="V548" i="1"/>
  <c r="U548" i="1"/>
  <c r="Q548" i="1"/>
  <c r="O548" i="1"/>
  <c r="M548" i="1"/>
  <c r="L548" i="1"/>
  <c r="K548" i="1"/>
  <c r="F548" i="1"/>
  <c r="F548" i="1" a="1"/>
  <c r="W547" i="1"/>
  <c r="W547" i="1" a="1"/>
  <c r="V547" i="1"/>
  <c r="U547" i="1"/>
  <c r="Q547" i="1"/>
  <c r="O547" i="1"/>
  <c r="M547" i="1"/>
  <c r="L547" i="1"/>
  <c r="K547" i="1"/>
  <c r="F547" i="1"/>
  <c r="F547" i="1" a="1"/>
  <c r="W546" i="1"/>
  <c r="W546" i="1" a="1"/>
  <c r="V546" i="1"/>
  <c r="U546" i="1"/>
  <c r="Q546" i="1"/>
  <c r="O546" i="1"/>
  <c r="M546" i="1"/>
  <c r="L546" i="1"/>
  <c r="K546" i="1"/>
  <c r="F546" i="1"/>
  <c r="F546" i="1" a="1"/>
  <c r="W545" i="1"/>
  <c r="W545" i="1" a="1"/>
  <c r="V545" i="1"/>
  <c r="U545" i="1"/>
  <c r="Q545" i="1"/>
  <c r="O545" i="1"/>
  <c r="M545" i="1"/>
  <c r="L545" i="1"/>
  <c r="K545" i="1"/>
  <c r="F545" i="1"/>
  <c r="F545" i="1" a="1"/>
  <c r="W544" i="1"/>
  <c r="W544" i="1" a="1"/>
  <c r="V544" i="1"/>
  <c r="U544" i="1"/>
  <c r="Q544" i="1"/>
  <c r="O544" i="1"/>
  <c r="M544" i="1"/>
  <c r="L544" i="1"/>
  <c r="K544" i="1"/>
  <c r="F544" i="1"/>
  <c r="F544" i="1" a="1"/>
  <c r="W543" i="1"/>
  <c r="W543" i="1" a="1"/>
  <c r="V543" i="1"/>
  <c r="U543" i="1"/>
  <c r="Q543" i="1"/>
  <c r="O543" i="1"/>
  <c r="M543" i="1"/>
  <c r="L543" i="1"/>
  <c r="K543" i="1"/>
  <c r="F543" i="1"/>
  <c r="F543" i="1" a="1"/>
  <c r="W542" i="1"/>
  <c r="W542" i="1" a="1"/>
  <c r="V542" i="1"/>
  <c r="U542" i="1"/>
  <c r="Q542" i="1"/>
  <c r="O542" i="1"/>
  <c r="M542" i="1"/>
  <c r="L542" i="1"/>
  <c r="K542" i="1"/>
  <c r="F542" i="1"/>
  <c r="F542" i="1" a="1"/>
  <c r="W541" i="1"/>
  <c r="W541" i="1" a="1"/>
  <c r="V541" i="1"/>
  <c r="U541" i="1"/>
  <c r="Q541" i="1"/>
  <c r="O541" i="1"/>
  <c r="M541" i="1"/>
  <c r="L541" i="1"/>
  <c r="K541" i="1"/>
  <c r="F541" i="1"/>
  <c r="F541" i="1" a="1"/>
  <c r="W540" i="1"/>
  <c r="W540" i="1" a="1"/>
  <c r="V540" i="1"/>
  <c r="U540" i="1"/>
  <c r="Q540" i="1"/>
  <c r="O540" i="1"/>
  <c r="M540" i="1"/>
  <c r="L540" i="1"/>
  <c r="K540" i="1"/>
  <c r="F540" i="1"/>
  <c r="F540" i="1" a="1"/>
  <c r="W539" i="1"/>
  <c r="W539" i="1" a="1"/>
  <c r="V539" i="1"/>
  <c r="U539" i="1"/>
  <c r="Q539" i="1"/>
  <c r="O539" i="1"/>
  <c r="M539" i="1"/>
  <c r="L539" i="1"/>
  <c r="K539" i="1"/>
  <c r="F539" i="1"/>
  <c r="F539" i="1" a="1"/>
  <c r="W538" i="1"/>
  <c r="W538" i="1" a="1"/>
  <c r="V538" i="1"/>
  <c r="U538" i="1"/>
  <c r="Q538" i="1"/>
  <c r="O538" i="1"/>
  <c r="M538" i="1"/>
  <c r="L538" i="1"/>
  <c r="K538" i="1"/>
  <c r="F538" i="1"/>
  <c r="F538" i="1" a="1"/>
  <c r="W537" i="1"/>
  <c r="W537" i="1" a="1"/>
  <c r="V537" i="1"/>
  <c r="U537" i="1"/>
  <c r="Q537" i="1"/>
  <c r="O537" i="1"/>
  <c r="M537" i="1"/>
  <c r="L537" i="1"/>
  <c r="K537" i="1"/>
  <c r="F537" i="1"/>
  <c r="F537" i="1" a="1"/>
  <c r="W536" i="1"/>
  <c r="W536" i="1" a="1"/>
  <c r="V536" i="1"/>
  <c r="U536" i="1"/>
  <c r="Q536" i="1"/>
  <c r="O536" i="1"/>
  <c r="M536" i="1"/>
  <c r="L536" i="1"/>
  <c r="K536" i="1"/>
  <c r="F536" i="1"/>
  <c r="F536" i="1" a="1"/>
  <c r="W535" i="1"/>
  <c r="W535" i="1" a="1"/>
  <c r="V535" i="1"/>
  <c r="U535" i="1"/>
  <c r="Q535" i="1"/>
  <c r="O535" i="1"/>
  <c r="M535" i="1"/>
  <c r="L535" i="1"/>
  <c r="K535" i="1"/>
  <c r="F535" i="1"/>
  <c r="F535" i="1" a="1"/>
  <c r="W534" i="1"/>
  <c r="W534" i="1" a="1"/>
  <c r="V534" i="1"/>
  <c r="U534" i="1"/>
  <c r="Q534" i="1"/>
  <c r="O534" i="1"/>
  <c r="M534" i="1"/>
  <c r="L534" i="1"/>
  <c r="K534" i="1"/>
  <c r="F534" i="1"/>
  <c r="F534" i="1" a="1"/>
  <c r="W533" i="1"/>
  <c r="W533" i="1" a="1"/>
  <c r="V533" i="1"/>
  <c r="U533" i="1"/>
  <c r="Q533" i="1"/>
  <c r="O533" i="1"/>
  <c r="M533" i="1"/>
  <c r="L533" i="1"/>
  <c r="K533" i="1"/>
  <c r="F533" i="1"/>
  <c r="F533" i="1" a="1"/>
  <c r="W532" i="1"/>
  <c r="W532" i="1" a="1"/>
  <c r="V532" i="1"/>
  <c r="U532" i="1"/>
  <c r="Q532" i="1"/>
  <c r="O532" i="1"/>
  <c r="M532" i="1"/>
  <c r="L532" i="1"/>
  <c r="K532" i="1"/>
  <c r="F532" i="1"/>
  <c r="F532" i="1" a="1"/>
  <c r="W531" i="1"/>
  <c r="W531" i="1" a="1"/>
  <c r="V531" i="1"/>
  <c r="U531" i="1"/>
  <c r="Q531" i="1"/>
  <c r="O531" i="1"/>
  <c r="M531" i="1"/>
  <c r="L531" i="1"/>
  <c r="K531" i="1"/>
  <c r="F531" i="1"/>
  <c r="F531" i="1" a="1"/>
  <c r="W530" i="1"/>
  <c r="W530" i="1" a="1"/>
  <c r="V530" i="1"/>
  <c r="U530" i="1"/>
  <c r="Q530" i="1"/>
  <c r="O530" i="1"/>
  <c r="M530" i="1"/>
  <c r="L530" i="1"/>
  <c r="K530" i="1"/>
  <c r="F530" i="1"/>
  <c r="F530" i="1" a="1"/>
  <c r="W529" i="1"/>
  <c r="W529" i="1" a="1"/>
  <c r="V529" i="1"/>
  <c r="U529" i="1"/>
  <c r="Q529" i="1"/>
  <c r="O529" i="1"/>
  <c r="M529" i="1"/>
  <c r="L529" i="1"/>
  <c r="K529" i="1"/>
  <c r="F529" i="1"/>
  <c r="F529" i="1" a="1"/>
  <c r="W528" i="1"/>
  <c r="W528" i="1" a="1"/>
  <c r="V528" i="1"/>
  <c r="U528" i="1"/>
  <c r="Q528" i="1"/>
  <c r="O528" i="1"/>
  <c r="M528" i="1"/>
  <c r="L528" i="1"/>
  <c r="K528" i="1"/>
  <c r="F528" i="1"/>
  <c r="F528" i="1" a="1"/>
  <c r="W527" i="1"/>
  <c r="W527" i="1" a="1"/>
  <c r="V527" i="1"/>
  <c r="U527" i="1"/>
  <c r="Q527" i="1"/>
  <c r="O527" i="1"/>
  <c r="M527" i="1"/>
  <c r="L527" i="1"/>
  <c r="K527" i="1"/>
  <c r="F527" i="1"/>
  <c r="F527" i="1" a="1"/>
  <c r="W526" i="1"/>
  <c r="W526" i="1" a="1"/>
  <c r="V526" i="1"/>
  <c r="U526" i="1"/>
  <c r="Q526" i="1"/>
  <c r="O526" i="1"/>
  <c r="M526" i="1"/>
  <c r="L526" i="1"/>
  <c r="K526" i="1"/>
  <c r="F526" i="1"/>
  <c r="F526" i="1" a="1"/>
  <c r="W525" i="1"/>
  <c r="W525" i="1" a="1"/>
  <c r="V525" i="1"/>
  <c r="U525" i="1"/>
  <c r="Q525" i="1"/>
  <c r="O525" i="1"/>
  <c r="M525" i="1"/>
  <c r="L525" i="1"/>
  <c r="K525" i="1"/>
  <c r="F525" i="1"/>
  <c r="F525" i="1" a="1"/>
  <c r="W524" i="1"/>
  <c r="W524" i="1" a="1"/>
  <c r="V524" i="1"/>
  <c r="U524" i="1"/>
  <c r="Q524" i="1"/>
  <c r="O524" i="1"/>
  <c r="M524" i="1"/>
  <c r="L524" i="1"/>
  <c r="K524" i="1"/>
  <c r="F524" i="1"/>
  <c r="F524" i="1" a="1"/>
  <c r="W523" i="1"/>
  <c r="W523" i="1" a="1"/>
  <c r="V523" i="1"/>
  <c r="U523" i="1"/>
  <c r="Q523" i="1"/>
  <c r="O523" i="1"/>
  <c r="M523" i="1"/>
  <c r="L523" i="1"/>
  <c r="K523" i="1"/>
  <c r="F523" i="1"/>
  <c r="F523" i="1" a="1"/>
  <c r="W522" i="1"/>
  <c r="W522" i="1" a="1"/>
  <c r="V522" i="1"/>
  <c r="U522" i="1"/>
  <c r="Q522" i="1"/>
  <c r="O522" i="1"/>
  <c r="M522" i="1"/>
  <c r="L522" i="1"/>
  <c r="K522" i="1"/>
  <c r="F522" i="1"/>
  <c r="F522" i="1" a="1"/>
  <c r="W521" i="1"/>
  <c r="W521" i="1" a="1"/>
  <c r="V521" i="1"/>
  <c r="U521" i="1"/>
  <c r="Q521" i="1"/>
  <c r="O521" i="1"/>
  <c r="M521" i="1"/>
  <c r="L521" i="1"/>
  <c r="K521" i="1"/>
  <c r="F521" i="1"/>
  <c r="F521" i="1" a="1"/>
  <c r="W520" i="1"/>
  <c r="W520" i="1" a="1"/>
  <c r="V520" i="1"/>
  <c r="U520" i="1"/>
  <c r="Q520" i="1"/>
  <c r="O520" i="1"/>
  <c r="M520" i="1"/>
  <c r="L520" i="1"/>
  <c r="K520" i="1"/>
  <c r="F520" i="1"/>
  <c r="F520" i="1" a="1"/>
  <c r="W519" i="1"/>
  <c r="W519" i="1" a="1"/>
  <c r="V519" i="1"/>
  <c r="U519" i="1"/>
  <c r="Q519" i="1"/>
  <c r="O519" i="1"/>
  <c r="M519" i="1"/>
  <c r="L519" i="1"/>
  <c r="K519" i="1"/>
  <c r="F519" i="1"/>
  <c r="F519" i="1" a="1"/>
  <c r="W518" i="1"/>
  <c r="W518" i="1" a="1"/>
  <c r="V518" i="1"/>
  <c r="U518" i="1"/>
  <c r="Q518" i="1"/>
  <c r="O518" i="1"/>
  <c r="M518" i="1"/>
  <c r="L518" i="1"/>
  <c r="K518" i="1"/>
  <c r="F518" i="1"/>
  <c r="F518" i="1" a="1"/>
  <c r="W517" i="1"/>
  <c r="W517" i="1" a="1"/>
  <c r="V517" i="1"/>
  <c r="U517" i="1"/>
  <c r="Q517" i="1"/>
  <c r="O517" i="1"/>
  <c r="M517" i="1"/>
  <c r="L517" i="1"/>
  <c r="K517" i="1"/>
  <c r="F517" i="1"/>
  <c r="F517" i="1" a="1"/>
  <c r="W516" i="1"/>
  <c r="W516" i="1" a="1"/>
  <c r="V516" i="1"/>
  <c r="U516" i="1"/>
  <c r="Q516" i="1"/>
  <c r="O516" i="1"/>
  <c r="M516" i="1"/>
  <c r="L516" i="1"/>
  <c r="K516" i="1"/>
  <c r="F516" i="1"/>
  <c r="F516" i="1" a="1"/>
  <c r="W515" i="1"/>
  <c r="W515" i="1" a="1"/>
  <c r="V515" i="1"/>
  <c r="U515" i="1"/>
  <c r="Q515" i="1"/>
  <c r="O515" i="1"/>
  <c r="M515" i="1"/>
  <c r="L515" i="1"/>
  <c r="K515" i="1"/>
  <c r="F515" i="1"/>
  <c r="F515" i="1" a="1"/>
  <c r="W514" i="1"/>
  <c r="W514" i="1" a="1"/>
  <c r="V514" i="1"/>
  <c r="U514" i="1"/>
  <c r="Q514" i="1"/>
  <c r="O514" i="1"/>
  <c r="M514" i="1"/>
  <c r="L514" i="1"/>
  <c r="K514" i="1"/>
  <c r="F514" i="1"/>
  <c r="F514" i="1" a="1"/>
  <c r="W513" i="1"/>
  <c r="W513" i="1" a="1"/>
  <c r="V513" i="1"/>
  <c r="U513" i="1"/>
  <c r="Q513" i="1"/>
  <c r="O513" i="1"/>
  <c r="M513" i="1"/>
  <c r="L513" i="1"/>
  <c r="K513" i="1"/>
  <c r="F513" i="1"/>
  <c r="F513" i="1" a="1"/>
  <c r="W512" i="1"/>
  <c r="W512" i="1" a="1"/>
  <c r="V512" i="1"/>
  <c r="U512" i="1"/>
  <c r="Q512" i="1"/>
  <c r="O512" i="1"/>
  <c r="M512" i="1"/>
  <c r="L512" i="1"/>
  <c r="K512" i="1"/>
  <c r="F512" i="1"/>
  <c r="F512" i="1" a="1"/>
  <c r="W511" i="1"/>
  <c r="W511" i="1" a="1"/>
  <c r="V511" i="1"/>
  <c r="U511" i="1"/>
  <c r="Q511" i="1"/>
  <c r="O511" i="1"/>
  <c r="M511" i="1"/>
  <c r="L511" i="1"/>
  <c r="K511" i="1"/>
  <c r="F511" i="1"/>
  <c r="F511" i="1" a="1"/>
  <c r="W510" i="1"/>
  <c r="W510" i="1" a="1"/>
  <c r="V510" i="1"/>
  <c r="U510" i="1"/>
  <c r="Q510" i="1"/>
  <c r="O510" i="1"/>
  <c r="M510" i="1"/>
  <c r="L510" i="1"/>
  <c r="K510" i="1"/>
  <c r="F510" i="1"/>
  <c r="F510" i="1" a="1"/>
  <c r="W509" i="1"/>
  <c r="W509" i="1" a="1"/>
  <c r="V509" i="1"/>
  <c r="U509" i="1"/>
  <c r="Q509" i="1"/>
  <c r="O509" i="1"/>
  <c r="M509" i="1"/>
  <c r="L509" i="1"/>
  <c r="K509" i="1"/>
  <c r="F509" i="1"/>
  <c r="F509" i="1" a="1"/>
  <c r="W508" i="1"/>
  <c r="W508" i="1" a="1"/>
  <c r="V508" i="1"/>
  <c r="U508" i="1"/>
  <c r="Q508" i="1"/>
  <c r="O508" i="1"/>
  <c r="M508" i="1"/>
  <c r="L508" i="1"/>
  <c r="K508" i="1"/>
  <c r="F508" i="1"/>
  <c r="F508" i="1" a="1"/>
  <c r="W507" i="1"/>
  <c r="W507" i="1" a="1"/>
  <c r="V507" i="1"/>
  <c r="U507" i="1"/>
  <c r="Q507" i="1"/>
  <c r="O507" i="1"/>
  <c r="M507" i="1"/>
  <c r="L507" i="1"/>
  <c r="K507" i="1"/>
  <c r="F507" i="1"/>
  <c r="F507" i="1" a="1"/>
  <c r="W506" i="1"/>
  <c r="W506" i="1" a="1"/>
  <c r="V506" i="1"/>
  <c r="U506" i="1"/>
  <c r="Q506" i="1"/>
  <c r="O506" i="1"/>
  <c r="M506" i="1"/>
  <c r="L506" i="1"/>
  <c r="K506" i="1"/>
  <c r="F506" i="1"/>
  <c r="F506" i="1" a="1"/>
  <c r="W505" i="1"/>
  <c r="W505" i="1" a="1"/>
  <c r="V505" i="1"/>
  <c r="U505" i="1"/>
  <c r="Q505" i="1"/>
  <c r="O505" i="1"/>
  <c r="M505" i="1"/>
  <c r="L505" i="1"/>
  <c r="K505" i="1"/>
  <c r="F505" i="1"/>
  <c r="F505" i="1" a="1"/>
  <c r="W504" i="1"/>
  <c r="W504" i="1" a="1"/>
  <c r="V504" i="1"/>
  <c r="U504" i="1"/>
  <c r="Q504" i="1"/>
  <c r="O504" i="1"/>
  <c r="M504" i="1"/>
  <c r="L504" i="1"/>
  <c r="K504" i="1"/>
  <c r="F504" i="1"/>
  <c r="F504" i="1" a="1"/>
  <c r="W503" i="1"/>
  <c r="W503" i="1" a="1"/>
  <c r="V503" i="1"/>
  <c r="U503" i="1"/>
  <c r="Q503" i="1"/>
  <c r="O503" i="1"/>
  <c r="M503" i="1"/>
  <c r="L503" i="1"/>
  <c r="K503" i="1"/>
  <c r="F503" i="1"/>
  <c r="F503" i="1" a="1"/>
  <c r="W502" i="1"/>
  <c r="W502" i="1" a="1"/>
  <c r="V502" i="1"/>
  <c r="U502" i="1"/>
  <c r="Q502" i="1"/>
  <c r="O502" i="1"/>
  <c r="M502" i="1"/>
  <c r="L502" i="1"/>
  <c r="K502" i="1"/>
  <c r="F502" i="1"/>
  <c r="F502" i="1" a="1"/>
  <c r="W501" i="1"/>
  <c r="W501" i="1" a="1"/>
  <c r="V501" i="1"/>
  <c r="U501" i="1"/>
  <c r="Q501" i="1"/>
  <c r="O501" i="1"/>
  <c r="M501" i="1"/>
  <c r="L501" i="1"/>
  <c r="K501" i="1"/>
  <c r="F501" i="1"/>
  <c r="F501" i="1" a="1"/>
  <c r="W500" i="1"/>
  <c r="W500" i="1" a="1"/>
  <c r="V500" i="1"/>
  <c r="U500" i="1"/>
  <c r="Q500" i="1"/>
  <c r="O500" i="1"/>
  <c r="M500" i="1"/>
  <c r="L500" i="1"/>
  <c r="K500" i="1"/>
  <c r="F500" i="1"/>
  <c r="F500" i="1" a="1"/>
  <c r="W499" i="1"/>
  <c r="W499" i="1" a="1"/>
  <c r="V499" i="1"/>
  <c r="U499" i="1"/>
  <c r="Q499" i="1"/>
  <c r="O499" i="1"/>
  <c r="M499" i="1"/>
  <c r="L499" i="1"/>
  <c r="K499" i="1"/>
  <c r="F499" i="1"/>
  <c r="F499" i="1" a="1"/>
  <c r="W498" i="1"/>
  <c r="W498" i="1" a="1"/>
  <c r="V498" i="1"/>
  <c r="U498" i="1"/>
  <c r="Q498" i="1"/>
  <c r="O498" i="1"/>
  <c r="M498" i="1"/>
  <c r="L498" i="1"/>
  <c r="K498" i="1"/>
  <c r="F498" i="1"/>
  <c r="F498" i="1" a="1"/>
  <c r="W497" i="1"/>
  <c r="W497" i="1" a="1"/>
  <c r="V497" i="1"/>
  <c r="U497" i="1"/>
  <c r="Q497" i="1"/>
  <c r="O497" i="1"/>
  <c r="M497" i="1"/>
  <c r="L497" i="1"/>
  <c r="K497" i="1"/>
  <c r="F497" i="1"/>
  <c r="F497" i="1" a="1"/>
  <c r="W496" i="1"/>
  <c r="W496" i="1" a="1"/>
  <c r="V496" i="1"/>
  <c r="U496" i="1"/>
  <c r="Q496" i="1"/>
  <c r="O496" i="1"/>
  <c r="M496" i="1"/>
  <c r="L496" i="1"/>
  <c r="K496" i="1"/>
  <c r="F496" i="1"/>
  <c r="F496" i="1" a="1"/>
  <c r="W495" i="1"/>
  <c r="W495" i="1" a="1"/>
  <c r="V495" i="1"/>
  <c r="U495" i="1"/>
  <c r="Q495" i="1"/>
  <c r="O495" i="1"/>
  <c r="M495" i="1"/>
  <c r="L495" i="1"/>
  <c r="K495" i="1"/>
  <c r="F495" i="1"/>
  <c r="F495" i="1" a="1"/>
  <c r="W494" i="1"/>
  <c r="W494" i="1" a="1"/>
  <c r="V494" i="1"/>
  <c r="U494" i="1"/>
  <c r="Q494" i="1"/>
  <c r="O494" i="1"/>
  <c r="M494" i="1"/>
  <c r="L494" i="1"/>
  <c r="K494" i="1"/>
  <c r="F494" i="1"/>
  <c r="F494" i="1" a="1"/>
  <c r="W493" i="1"/>
  <c r="W493" i="1" a="1"/>
  <c r="V493" i="1"/>
  <c r="U493" i="1"/>
  <c r="Q493" i="1"/>
  <c r="O493" i="1"/>
  <c r="M493" i="1"/>
  <c r="L493" i="1"/>
  <c r="K493" i="1"/>
  <c r="F493" i="1"/>
  <c r="F493" i="1" a="1"/>
  <c r="W492" i="1"/>
  <c r="W492" i="1" a="1"/>
  <c r="V492" i="1"/>
  <c r="U492" i="1"/>
  <c r="Q492" i="1"/>
  <c r="O492" i="1"/>
  <c r="M492" i="1"/>
  <c r="L492" i="1"/>
  <c r="K492" i="1"/>
  <c r="F492" i="1"/>
  <c r="F492" i="1" a="1"/>
  <c r="W491" i="1"/>
  <c r="W491" i="1" a="1"/>
  <c r="V491" i="1"/>
  <c r="U491" i="1"/>
  <c r="Q491" i="1"/>
  <c r="O491" i="1"/>
  <c r="M491" i="1"/>
  <c r="L491" i="1"/>
  <c r="K491" i="1"/>
  <c r="F491" i="1"/>
  <c r="F491" i="1" a="1"/>
  <c r="W490" i="1"/>
  <c r="W490" i="1" a="1"/>
  <c r="V490" i="1"/>
  <c r="U490" i="1"/>
  <c r="Q490" i="1"/>
  <c r="O490" i="1"/>
  <c r="M490" i="1"/>
  <c r="L490" i="1"/>
  <c r="K490" i="1"/>
  <c r="F490" i="1"/>
  <c r="F490" i="1" a="1"/>
  <c r="W489" i="1"/>
  <c r="W489" i="1" a="1"/>
  <c r="V489" i="1"/>
  <c r="U489" i="1"/>
  <c r="Q489" i="1"/>
  <c r="O489" i="1"/>
  <c r="M489" i="1"/>
  <c r="L489" i="1"/>
  <c r="K489" i="1"/>
  <c r="F489" i="1"/>
  <c r="F489" i="1" a="1"/>
  <c r="W488" i="1"/>
  <c r="W488" i="1" a="1"/>
  <c r="V488" i="1"/>
  <c r="U488" i="1"/>
  <c r="Q488" i="1"/>
  <c r="O488" i="1"/>
  <c r="M488" i="1"/>
  <c r="L488" i="1"/>
  <c r="K488" i="1"/>
  <c r="F488" i="1"/>
  <c r="F488" i="1" a="1"/>
  <c r="W487" i="1"/>
  <c r="W487" i="1" a="1"/>
  <c r="V487" i="1"/>
  <c r="U487" i="1"/>
  <c r="Q487" i="1"/>
  <c r="O487" i="1"/>
  <c r="M487" i="1"/>
  <c r="L487" i="1"/>
  <c r="K487" i="1"/>
  <c r="F487" i="1"/>
  <c r="F487" i="1" a="1"/>
  <c r="W486" i="1"/>
  <c r="W486" i="1" a="1"/>
  <c r="V486" i="1"/>
  <c r="U486" i="1"/>
  <c r="Q486" i="1"/>
  <c r="O486" i="1"/>
  <c r="M486" i="1"/>
  <c r="L486" i="1"/>
  <c r="K486" i="1"/>
  <c r="F486" i="1"/>
  <c r="F486" i="1" a="1"/>
  <c r="W485" i="1"/>
  <c r="W485" i="1" a="1"/>
  <c r="V485" i="1"/>
  <c r="U485" i="1"/>
  <c r="Q485" i="1"/>
  <c r="O485" i="1"/>
  <c r="M485" i="1"/>
  <c r="L485" i="1"/>
  <c r="K485" i="1"/>
  <c r="F485" i="1"/>
  <c r="F485" i="1" a="1"/>
  <c r="W484" i="1"/>
  <c r="W484" i="1" a="1"/>
  <c r="V484" i="1"/>
  <c r="U484" i="1"/>
  <c r="Q484" i="1"/>
  <c r="O484" i="1"/>
  <c r="M484" i="1"/>
  <c r="L484" i="1"/>
  <c r="K484" i="1"/>
  <c r="F484" i="1"/>
  <c r="F484" i="1" a="1"/>
  <c r="W483" i="1"/>
  <c r="W483" i="1" a="1"/>
  <c r="V483" i="1"/>
  <c r="U483" i="1"/>
  <c r="Q483" i="1"/>
  <c r="O483" i="1"/>
  <c r="M483" i="1"/>
  <c r="L483" i="1"/>
  <c r="K483" i="1"/>
  <c r="F483" i="1"/>
  <c r="F483" i="1" a="1"/>
  <c r="W482" i="1"/>
  <c r="W482" i="1" a="1"/>
  <c r="V482" i="1"/>
  <c r="U482" i="1"/>
  <c r="Q482" i="1"/>
  <c r="O482" i="1"/>
  <c r="M482" i="1"/>
  <c r="L482" i="1"/>
  <c r="K482" i="1"/>
  <c r="F482" i="1"/>
  <c r="F482" i="1" a="1"/>
  <c r="W481" i="1"/>
  <c r="W481" i="1" a="1"/>
  <c r="V481" i="1"/>
  <c r="U481" i="1"/>
  <c r="Q481" i="1"/>
  <c r="O481" i="1"/>
  <c r="M481" i="1"/>
  <c r="L481" i="1"/>
  <c r="K481" i="1"/>
  <c r="F481" i="1"/>
  <c r="F481" i="1" a="1"/>
  <c r="W480" i="1"/>
  <c r="W480" i="1" a="1"/>
  <c r="V480" i="1"/>
  <c r="U480" i="1"/>
  <c r="Q480" i="1"/>
  <c r="O480" i="1"/>
  <c r="M480" i="1"/>
  <c r="L480" i="1"/>
  <c r="K480" i="1"/>
  <c r="F480" i="1"/>
  <c r="F480" i="1" a="1"/>
  <c r="W479" i="1"/>
  <c r="W479" i="1" a="1"/>
  <c r="V479" i="1"/>
  <c r="U479" i="1"/>
  <c r="Q479" i="1"/>
  <c r="O479" i="1"/>
  <c r="M479" i="1"/>
  <c r="L479" i="1"/>
  <c r="K479" i="1"/>
  <c r="F479" i="1"/>
  <c r="F479" i="1" a="1"/>
  <c r="W478" i="1"/>
  <c r="W478" i="1" a="1"/>
  <c r="V478" i="1"/>
  <c r="U478" i="1"/>
  <c r="Q478" i="1"/>
  <c r="O478" i="1"/>
  <c r="M478" i="1"/>
  <c r="L478" i="1"/>
  <c r="K478" i="1"/>
  <c r="F478" i="1"/>
  <c r="F478" i="1" a="1"/>
  <c r="W477" i="1"/>
  <c r="W477" i="1" a="1"/>
  <c r="V477" i="1"/>
  <c r="U477" i="1"/>
  <c r="Q477" i="1"/>
  <c r="O477" i="1"/>
  <c r="M477" i="1"/>
  <c r="L477" i="1"/>
  <c r="K477" i="1"/>
  <c r="F477" i="1"/>
  <c r="F477" i="1" a="1"/>
  <c r="W476" i="1"/>
  <c r="W476" i="1" a="1"/>
  <c r="V476" i="1"/>
  <c r="U476" i="1"/>
  <c r="Q476" i="1"/>
  <c r="O476" i="1"/>
  <c r="M476" i="1"/>
  <c r="L476" i="1"/>
  <c r="K476" i="1"/>
  <c r="F476" i="1"/>
  <c r="F476" i="1" a="1"/>
  <c r="W475" i="1"/>
  <c r="W475" i="1" a="1"/>
  <c r="V475" i="1"/>
  <c r="U475" i="1"/>
  <c r="Q475" i="1"/>
  <c r="O475" i="1"/>
  <c r="M475" i="1"/>
  <c r="L475" i="1"/>
  <c r="K475" i="1"/>
  <c r="F475" i="1"/>
  <c r="F475" i="1" a="1"/>
  <c r="W474" i="1"/>
  <c r="W474" i="1" a="1"/>
  <c r="V474" i="1"/>
  <c r="U474" i="1"/>
  <c r="Q474" i="1"/>
  <c r="O474" i="1"/>
  <c r="M474" i="1"/>
  <c r="L474" i="1"/>
  <c r="K474" i="1"/>
  <c r="F474" i="1"/>
  <c r="F474" i="1" a="1"/>
  <c r="W473" i="1"/>
  <c r="W473" i="1" a="1"/>
  <c r="V473" i="1"/>
  <c r="U473" i="1"/>
  <c r="Q473" i="1"/>
  <c r="O473" i="1"/>
  <c r="M473" i="1"/>
  <c r="L473" i="1"/>
  <c r="K473" i="1"/>
  <c r="F473" i="1"/>
  <c r="F473" i="1" a="1"/>
  <c r="W472" i="1"/>
  <c r="W472" i="1" a="1"/>
  <c r="V472" i="1"/>
  <c r="U472" i="1"/>
  <c r="Q472" i="1"/>
  <c r="O472" i="1"/>
  <c r="M472" i="1"/>
  <c r="L472" i="1"/>
  <c r="K472" i="1"/>
  <c r="F472" i="1"/>
  <c r="F472" i="1" a="1"/>
  <c r="W471" i="1"/>
  <c r="W471" i="1" a="1"/>
  <c r="V471" i="1"/>
  <c r="U471" i="1"/>
  <c r="Q471" i="1"/>
  <c r="O471" i="1"/>
  <c r="M471" i="1"/>
  <c r="L471" i="1"/>
  <c r="K471" i="1"/>
  <c r="F471" i="1"/>
  <c r="F471" i="1" a="1"/>
  <c r="W470" i="1"/>
  <c r="W470" i="1" a="1"/>
  <c r="V470" i="1"/>
  <c r="U470" i="1"/>
  <c r="Q470" i="1"/>
  <c r="O470" i="1"/>
  <c r="M470" i="1"/>
  <c r="L470" i="1"/>
  <c r="K470" i="1"/>
  <c r="F470" i="1"/>
  <c r="F470" i="1" a="1"/>
  <c r="W469" i="1"/>
  <c r="W469" i="1" a="1"/>
  <c r="V469" i="1"/>
  <c r="U469" i="1"/>
  <c r="Q469" i="1"/>
  <c r="O469" i="1"/>
  <c r="M469" i="1"/>
  <c r="L469" i="1"/>
  <c r="K469" i="1"/>
  <c r="F469" i="1"/>
  <c r="F469" i="1" a="1"/>
  <c r="W468" i="1"/>
  <c r="W468" i="1" a="1"/>
  <c r="V468" i="1"/>
  <c r="U468" i="1"/>
  <c r="Q468" i="1"/>
  <c r="O468" i="1"/>
  <c r="M468" i="1"/>
  <c r="L468" i="1"/>
  <c r="K468" i="1"/>
  <c r="F468" i="1"/>
  <c r="F468" i="1" a="1"/>
  <c r="W467" i="1"/>
  <c r="W467" i="1" a="1"/>
  <c r="V467" i="1"/>
  <c r="U467" i="1"/>
  <c r="Q467" i="1"/>
  <c r="O467" i="1"/>
  <c r="M467" i="1"/>
  <c r="L467" i="1"/>
  <c r="K467" i="1"/>
  <c r="F467" i="1"/>
  <c r="F467" i="1" a="1"/>
  <c r="W466" i="1"/>
  <c r="W466" i="1" a="1"/>
  <c r="V466" i="1"/>
  <c r="U466" i="1"/>
  <c r="Q466" i="1"/>
  <c r="O466" i="1"/>
  <c r="M466" i="1"/>
  <c r="L466" i="1"/>
  <c r="K466" i="1"/>
  <c r="F466" i="1"/>
  <c r="F466" i="1" a="1"/>
  <c r="W465" i="1"/>
  <c r="W465" i="1" a="1"/>
  <c r="V465" i="1"/>
  <c r="U465" i="1"/>
  <c r="Q465" i="1"/>
  <c r="O465" i="1"/>
  <c r="M465" i="1"/>
  <c r="L465" i="1"/>
  <c r="K465" i="1"/>
  <c r="F465" i="1"/>
  <c r="F465" i="1" a="1"/>
  <c r="W464" i="1"/>
  <c r="W464" i="1" a="1"/>
  <c r="V464" i="1"/>
  <c r="U464" i="1"/>
  <c r="Q464" i="1"/>
  <c r="O464" i="1"/>
  <c r="M464" i="1"/>
  <c r="L464" i="1"/>
  <c r="K464" i="1"/>
  <c r="F464" i="1"/>
  <c r="F464" i="1" a="1"/>
  <c r="W463" i="1"/>
  <c r="W463" i="1" a="1"/>
  <c r="V463" i="1"/>
  <c r="U463" i="1"/>
  <c r="Q463" i="1"/>
  <c r="O463" i="1"/>
  <c r="M463" i="1"/>
  <c r="L463" i="1"/>
  <c r="K463" i="1"/>
  <c r="F463" i="1"/>
  <c r="F463" i="1" a="1"/>
  <c r="W462" i="1"/>
  <c r="W462" i="1" a="1"/>
  <c r="V462" i="1"/>
  <c r="U462" i="1"/>
  <c r="Q462" i="1"/>
  <c r="O462" i="1"/>
  <c r="M462" i="1"/>
  <c r="L462" i="1"/>
  <c r="K462" i="1"/>
  <c r="F462" i="1"/>
  <c r="F462" i="1" a="1"/>
  <c r="W461" i="1"/>
  <c r="W461" i="1" a="1"/>
  <c r="V461" i="1"/>
  <c r="U461" i="1"/>
  <c r="Q461" i="1"/>
  <c r="O461" i="1"/>
  <c r="M461" i="1"/>
  <c r="L461" i="1"/>
  <c r="K461" i="1"/>
  <c r="F461" i="1"/>
  <c r="F461" i="1" a="1"/>
  <c r="W460" i="1"/>
  <c r="W460" i="1" a="1"/>
  <c r="V460" i="1"/>
  <c r="U460" i="1"/>
  <c r="Q460" i="1"/>
  <c r="O460" i="1"/>
  <c r="M460" i="1"/>
  <c r="L460" i="1"/>
  <c r="K460" i="1"/>
  <c r="F460" i="1"/>
  <c r="F460" i="1" a="1"/>
  <c r="W459" i="1"/>
  <c r="W459" i="1" a="1"/>
  <c r="V459" i="1"/>
  <c r="U459" i="1"/>
  <c r="Q459" i="1"/>
  <c r="O459" i="1"/>
  <c r="M459" i="1"/>
  <c r="L459" i="1"/>
  <c r="K459" i="1"/>
  <c r="F459" i="1"/>
  <c r="F459" i="1" a="1"/>
  <c r="W458" i="1"/>
  <c r="W458" i="1" a="1"/>
  <c r="V458" i="1"/>
  <c r="U458" i="1"/>
  <c r="Q458" i="1"/>
  <c r="O458" i="1"/>
  <c r="M458" i="1"/>
  <c r="L458" i="1"/>
  <c r="K458" i="1"/>
  <c r="F458" i="1"/>
  <c r="F458" i="1" a="1"/>
  <c r="W457" i="1"/>
  <c r="W457" i="1" a="1"/>
  <c r="V457" i="1"/>
  <c r="U457" i="1"/>
  <c r="Q457" i="1"/>
  <c r="O457" i="1"/>
  <c r="M457" i="1"/>
  <c r="L457" i="1"/>
  <c r="K457" i="1"/>
  <c r="F457" i="1"/>
  <c r="F457" i="1" a="1"/>
  <c r="W456" i="1"/>
  <c r="W456" i="1" a="1"/>
  <c r="V456" i="1"/>
  <c r="U456" i="1"/>
  <c r="Q456" i="1"/>
  <c r="O456" i="1"/>
  <c r="M456" i="1"/>
  <c r="L456" i="1"/>
  <c r="K456" i="1"/>
  <c r="F456" i="1"/>
  <c r="F456" i="1" a="1"/>
  <c r="W455" i="1"/>
  <c r="W455" i="1" a="1"/>
  <c r="V455" i="1"/>
  <c r="U455" i="1"/>
  <c r="Q455" i="1"/>
  <c r="O455" i="1"/>
  <c r="M455" i="1"/>
  <c r="L455" i="1"/>
  <c r="K455" i="1"/>
  <c r="F455" i="1"/>
  <c r="F455" i="1" a="1"/>
  <c r="W454" i="1"/>
  <c r="W454" i="1" a="1"/>
  <c r="V454" i="1"/>
  <c r="U454" i="1"/>
  <c r="Q454" i="1"/>
  <c r="O454" i="1"/>
  <c r="M454" i="1"/>
  <c r="L454" i="1"/>
  <c r="K454" i="1"/>
  <c r="F454" i="1"/>
  <c r="F454" i="1" a="1"/>
  <c r="W453" i="1"/>
  <c r="W453" i="1" a="1"/>
  <c r="V453" i="1"/>
  <c r="U453" i="1"/>
  <c r="Q453" i="1"/>
  <c r="O453" i="1"/>
  <c r="M453" i="1"/>
  <c r="L453" i="1"/>
  <c r="K453" i="1"/>
  <c r="F453" i="1"/>
  <c r="F453" i="1" a="1"/>
  <c r="W452" i="1"/>
  <c r="W452" i="1" a="1"/>
  <c r="V452" i="1"/>
  <c r="U452" i="1"/>
  <c r="Q452" i="1"/>
  <c r="O452" i="1"/>
  <c r="M452" i="1"/>
  <c r="L452" i="1"/>
  <c r="K452" i="1"/>
  <c r="F452" i="1"/>
  <c r="F452" i="1" a="1"/>
  <c r="W451" i="1"/>
  <c r="W451" i="1" a="1"/>
  <c r="V451" i="1"/>
  <c r="U451" i="1"/>
  <c r="Q451" i="1"/>
  <c r="O451" i="1"/>
  <c r="M451" i="1"/>
  <c r="L451" i="1"/>
  <c r="K451" i="1"/>
  <c r="F451" i="1"/>
  <c r="F451" i="1" a="1"/>
  <c r="W450" i="1"/>
  <c r="W450" i="1" a="1"/>
  <c r="V450" i="1"/>
  <c r="U450" i="1"/>
  <c r="Q450" i="1"/>
  <c r="O450" i="1"/>
  <c r="M450" i="1"/>
  <c r="L450" i="1"/>
  <c r="K450" i="1"/>
  <c r="F450" i="1"/>
  <c r="F450" i="1" a="1"/>
  <c r="W449" i="1"/>
  <c r="W449" i="1" a="1"/>
  <c r="V449" i="1"/>
  <c r="U449" i="1"/>
  <c r="Q449" i="1"/>
  <c r="O449" i="1"/>
  <c r="M449" i="1"/>
  <c r="L449" i="1"/>
  <c r="K449" i="1"/>
  <c r="F449" i="1"/>
  <c r="F449" i="1" a="1"/>
  <c r="W448" i="1"/>
  <c r="W448" i="1" a="1"/>
  <c r="V448" i="1"/>
  <c r="U448" i="1"/>
  <c r="Q448" i="1"/>
  <c r="O448" i="1"/>
  <c r="M448" i="1"/>
  <c r="L448" i="1"/>
  <c r="K448" i="1"/>
  <c r="F448" i="1"/>
  <c r="F448" i="1" a="1"/>
  <c r="W447" i="1"/>
  <c r="W447" i="1" a="1"/>
  <c r="V447" i="1"/>
  <c r="U447" i="1"/>
  <c r="Q447" i="1"/>
  <c r="O447" i="1"/>
  <c r="M447" i="1"/>
  <c r="L447" i="1"/>
  <c r="K447" i="1"/>
  <c r="F447" i="1"/>
  <c r="F447" i="1" a="1"/>
  <c r="W446" i="1"/>
  <c r="W446" i="1" a="1"/>
  <c r="V446" i="1"/>
  <c r="U446" i="1"/>
  <c r="Q446" i="1"/>
  <c r="O446" i="1"/>
  <c r="M446" i="1"/>
  <c r="L446" i="1"/>
  <c r="K446" i="1"/>
  <c r="F446" i="1"/>
  <c r="F446" i="1" a="1"/>
  <c r="W445" i="1"/>
  <c r="W445" i="1" a="1"/>
  <c r="V445" i="1"/>
  <c r="U445" i="1"/>
  <c r="Q445" i="1"/>
  <c r="O445" i="1"/>
  <c r="M445" i="1"/>
  <c r="L445" i="1"/>
  <c r="K445" i="1"/>
  <c r="F445" i="1"/>
  <c r="F445" i="1" a="1"/>
  <c r="W444" i="1"/>
  <c r="W444" i="1" a="1"/>
  <c r="V444" i="1"/>
  <c r="U444" i="1"/>
  <c r="Q444" i="1"/>
  <c r="O444" i="1"/>
  <c r="M444" i="1"/>
  <c r="L444" i="1"/>
  <c r="K444" i="1"/>
  <c r="F444" i="1"/>
  <c r="F444" i="1" a="1"/>
  <c r="W443" i="1"/>
  <c r="W443" i="1" a="1"/>
  <c r="V443" i="1"/>
  <c r="U443" i="1"/>
  <c r="Q443" i="1"/>
  <c r="O443" i="1"/>
  <c r="M443" i="1"/>
  <c r="L443" i="1"/>
  <c r="K443" i="1"/>
  <c r="F443" i="1"/>
  <c r="F443" i="1" a="1"/>
  <c r="W442" i="1"/>
  <c r="W442" i="1" a="1"/>
  <c r="V442" i="1"/>
  <c r="U442" i="1"/>
  <c r="Q442" i="1"/>
  <c r="O442" i="1"/>
  <c r="M442" i="1"/>
  <c r="L442" i="1"/>
  <c r="K442" i="1"/>
  <c r="F442" i="1"/>
  <c r="F442" i="1" a="1"/>
  <c r="W441" i="1"/>
  <c r="W441" i="1" a="1"/>
  <c r="V441" i="1"/>
  <c r="U441" i="1"/>
  <c r="Q441" i="1"/>
  <c r="O441" i="1"/>
  <c r="M441" i="1"/>
  <c r="L441" i="1"/>
  <c r="K441" i="1"/>
  <c r="F441" i="1"/>
  <c r="F441" i="1" a="1"/>
  <c r="W440" i="1"/>
  <c r="W440" i="1" a="1"/>
  <c r="V440" i="1"/>
  <c r="U440" i="1"/>
  <c r="Q440" i="1"/>
  <c r="O440" i="1"/>
  <c r="M440" i="1"/>
  <c r="L440" i="1"/>
  <c r="K440" i="1"/>
  <c r="F440" i="1"/>
  <c r="F440" i="1" a="1"/>
  <c r="W439" i="1"/>
  <c r="W439" i="1" a="1"/>
  <c r="V439" i="1"/>
  <c r="U439" i="1"/>
  <c r="Q439" i="1"/>
  <c r="O439" i="1"/>
  <c r="M439" i="1"/>
  <c r="L439" i="1"/>
  <c r="K439" i="1"/>
  <c r="F439" i="1"/>
  <c r="F439" i="1" a="1"/>
  <c r="W438" i="1"/>
  <c r="W438" i="1" a="1"/>
  <c r="V438" i="1"/>
  <c r="U438" i="1"/>
  <c r="Q438" i="1"/>
  <c r="O438" i="1"/>
  <c r="M438" i="1"/>
  <c r="L438" i="1"/>
  <c r="K438" i="1"/>
  <c r="F438" i="1"/>
  <c r="F438" i="1" a="1"/>
  <c r="W437" i="1"/>
  <c r="W437" i="1" a="1"/>
  <c r="V437" i="1"/>
  <c r="U437" i="1"/>
  <c r="Q437" i="1"/>
  <c r="O437" i="1"/>
  <c r="M437" i="1"/>
  <c r="L437" i="1"/>
  <c r="K437" i="1"/>
  <c r="F437" i="1"/>
  <c r="F437" i="1" a="1"/>
  <c r="W436" i="1"/>
  <c r="W436" i="1" a="1"/>
  <c r="V436" i="1"/>
  <c r="U436" i="1"/>
  <c r="Q436" i="1"/>
  <c r="O436" i="1"/>
  <c r="M436" i="1"/>
  <c r="L436" i="1"/>
  <c r="K436" i="1"/>
  <c r="F436" i="1"/>
  <c r="F436" i="1" a="1"/>
  <c r="W435" i="1"/>
  <c r="W435" i="1" a="1"/>
  <c r="V435" i="1"/>
  <c r="U435" i="1"/>
  <c r="Q435" i="1"/>
  <c r="O435" i="1"/>
  <c r="M435" i="1"/>
  <c r="L435" i="1"/>
  <c r="K435" i="1"/>
  <c r="F435" i="1"/>
  <c r="F435" i="1" a="1"/>
  <c r="W434" i="1"/>
  <c r="W434" i="1" a="1"/>
  <c r="V434" i="1"/>
  <c r="U434" i="1"/>
  <c r="Q434" i="1"/>
  <c r="O434" i="1"/>
  <c r="M434" i="1"/>
  <c r="L434" i="1"/>
  <c r="K434" i="1"/>
  <c r="F434" i="1"/>
  <c r="F434" i="1" a="1"/>
  <c r="W433" i="1"/>
  <c r="W433" i="1" a="1"/>
  <c r="V433" i="1"/>
  <c r="U433" i="1"/>
  <c r="Q433" i="1"/>
  <c r="O433" i="1"/>
  <c r="M433" i="1"/>
  <c r="L433" i="1"/>
  <c r="K433" i="1"/>
  <c r="F433" i="1"/>
  <c r="F433" i="1" a="1"/>
  <c r="W432" i="1"/>
  <c r="W432" i="1" a="1"/>
  <c r="V432" i="1"/>
  <c r="U432" i="1"/>
  <c r="Q432" i="1"/>
  <c r="O432" i="1"/>
  <c r="M432" i="1"/>
  <c r="L432" i="1"/>
  <c r="K432" i="1"/>
  <c r="F432" i="1"/>
  <c r="F432" i="1" a="1"/>
  <c r="W431" i="1"/>
  <c r="W431" i="1" a="1"/>
  <c r="V431" i="1"/>
  <c r="U431" i="1"/>
  <c r="Q431" i="1"/>
  <c r="O431" i="1"/>
  <c r="M431" i="1"/>
  <c r="L431" i="1"/>
  <c r="K431" i="1"/>
  <c r="F431" i="1"/>
  <c r="F431" i="1" a="1"/>
  <c r="W430" i="1"/>
  <c r="W430" i="1" a="1"/>
  <c r="V430" i="1"/>
  <c r="U430" i="1"/>
  <c r="Q430" i="1"/>
  <c r="O430" i="1"/>
  <c r="M430" i="1"/>
  <c r="L430" i="1"/>
  <c r="K430" i="1"/>
  <c r="F430" i="1"/>
  <c r="F430" i="1" a="1"/>
  <c r="W429" i="1"/>
  <c r="W429" i="1" a="1"/>
  <c r="V429" i="1"/>
  <c r="U429" i="1"/>
  <c r="Q429" i="1"/>
  <c r="O429" i="1"/>
  <c r="M429" i="1"/>
  <c r="L429" i="1"/>
  <c r="K429" i="1"/>
  <c r="F429" i="1"/>
  <c r="F429" i="1" a="1"/>
  <c r="W428" i="1"/>
  <c r="W428" i="1" a="1"/>
  <c r="V428" i="1"/>
  <c r="U428" i="1"/>
  <c r="Q428" i="1"/>
  <c r="O428" i="1"/>
  <c r="M428" i="1"/>
  <c r="L428" i="1"/>
  <c r="K428" i="1"/>
  <c r="F428" i="1"/>
  <c r="F428" i="1" a="1"/>
  <c r="W427" i="1"/>
  <c r="W427" i="1" a="1"/>
  <c r="V427" i="1"/>
  <c r="U427" i="1"/>
  <c r="Q427" i="1"/>
  <c r="O427" i="1"/>
  <c r="M427" i="1"/>
  <c r="L427" i="1"/>
  <c r="K427" i="1"/>
  <c r="F427" i="1"/>
  <c r="F427" i="1" a="1"/>
  <c r="W426" i="1"/>
  <c r="W426" i="1" a="1"/>
  <c r="V426" i="1"/>
  <c r="U426" i="1"/>
  <c r="Q426" i="1"/>
  <c r="O426" i="1"/>
  <c r="M426" i="1"/>
  <c r="L426" i="1"/>
  <c r="K426" i="1"/>
  <c r="F426" i="1"/>
  <c r="F426" i="1" a="1"/>
  <c r="W425" i="1"/>
  <c r="W425" i="1" a="1"/>
  <c r="V425" i="1"/>
  <c r="U425" i="1"/>
  <c r="Q425" i="1"/>
  <c r="O425" i="1"/>
  <c r="M425" i="1"/>
  <c r="L425" i="1"/>
  <c r="K425" i="1"/>
  <c r="F425" i="1"/>
  <c r="F425" i="1" a="1"/>
  <c r="W424" i="1"/>
  <c r="W424" i="1" a="1"/>
  <c r="V424" i="1"/>
  <c r="U424" i="1"/>
  <c r="Q424" i="1"/>
  <c r="O424" i="1"/>
  <c r="M424" i="1"/>
  <c r="L424" i="1"/>
  <c r="K424" i="1"/>
  <c r="F424" i="1"/>
  <c r="F424" i="1" a="1"/>
  <c r="W423" i="1"/>
  <c r="W423" i="1" a="1"/>
  <c r="V423" i="1"/>
  <c r="U423" i="1"/>
  <c r="Q423" i="1"/>
  <c r="O423" i="1"/>
  <c r="M423" i="1"/>
  <c r="L423" i="1"/>
  <c r="K423" i="1"/>
  <c r="F423" i="1"/>
  <c r="F423" i="1" a="1"/>
  <c r="W422" i="1"/>
  <c r="W422" i="1" a="1"/>
  <c r="V422" i="1"/>
  <c r="U422" i="1"/>
  <c r="Q422" i="1"/>
  <c r="O422" i="1"/>
  <c r="M422" i="1"/>
  <c r="L422" i="1"/>
  <c r="K422" i="1"/>
  <c r="F422" i="1"/>
  <c r="F422" i="1" a="1"/>
  <c r="W421" i="1"/>
  <c r="W421" i="1" a="1"/>
  <c r="V421" i="1"/>
  <c r="U421" i="1"/>
  <c r="Q421" i="1"/>
  <c r="O421" i="1"/>
  <c r="M421" i="1"/>
  <c r="L421" i="1"/>
  <c r="K421" i="1"/>
  <c r="F421" i="1"/>
  <c r="F421" i="1" a="1"/>
  <c r="W420" i="1"/>
  <c r="W420" i="1" a="1"/>
  <c r="V420" i="1"/>
  <c r="U420" i="1"/>
  <c r="Q420" i="1"/>
  <c r="O420" i="1"/>
  <c r="M420" i="1"/>
  <c r="L420" i="1"/>
  <c r="K420" i="1"/>
  <c r="F420" i="1"/>
  <c r="F420" i="1" a="1"/>
  <c r="W419" i="1"/>
  <c r="W419" i="1" a="1"/>
  <c r="V419" i="1"/>
  <c r="U419" i="1"/>
  <c r="Q419" i="1"/>
  <c r="O419" i="1"/>
  <c r="M419" i="1"/>
  <c r="L419" i="1"/>
  <c r="K419" i="1"/>
  <c r="F419" i="1"/>
  <c r="F419" i="1" a="1"/>
  <c r="W418" i="1"/>
  <c r="W418" i="1" a="1"/>
  <c r="V418" i="1"/>
  <c r="U418" i="1"/>
  <c r="Q418" i="1"/>
  <c r="O418" i="1"/>
  <c r="M418" i="1"/>
  <c r="L418" i="1"/>
  <c r="K418" i="1"/>
  <c r="F418" i="1"/>
  <c r="F418" i="1" a="1"/>
  <c r="W417" i="1"/>
  <c r="W417" i="1" a="1"/>
  <c r="V417" i="1"/>
  <c r="U417" i="1"/>
  <c r="Q417" i="1"/>
  <c r="O417" i="1"/>
  <c r="M417" i="1"/>
  <c r="L417" i="1"/>
  <c r="K417" i="1"/>
  <c r="F417" i="1"/>
  <c r="F417" i="1" a="1"/>
  <c r="W416" i="1"/>
  <c r="W416" i="1" a="1"/>
  <c r="V416" i="1"/>
  <c r="U416" i="1"/>
  <c r="Q416" i="1"/>
  <c r="O416" i="1"/>
  <c r="M416" i="1"/>
  <c r="L416" i="1"/>
  <c r="K416" i="1"/>
  <c r="F416" i="1"/>
  <c r="F416" i="1" a="1"/>
  <c r="W415" i="1"/>
  <c r="W415" i="1" a="1"/>
  <c r="V415" i="1"/>
  <c r="U415" i="1"/>
  <c r="Q415" i="1"/>
  <c r="O415" i="1"/>
  <c r="M415" i="1"/>
  <c r="L415" i="1"/>
  <c r="K415" i="1"/>
  <c r="F415" i="1"/>
  <c r="F415" i="1" a="1"/>
  <c r="W414" i="1"/>
  <c r="W414" i="1" a="1"/>
  <c r="V414" i="1"/>
  <c r="U414" i="1"/>
  <c r="Q414" i="1"/>
  <c r="O414" i="1"/>
  <c r="M414" i="1"/>
  <c r="L414" i="1"/>
  <c r="K414" i="1"/>
  <c r="F414" i="1"/>
  <c r="F414" i="1" a="1"/>
  <c r="W413" i="1"/>
  <c r="W413" i="1" a="1"/>
  <c r="V413" i="1"/>
  <c r="U413" i="1"/>
  <c r="Q413" i="1"/>
  <c r="O413" i="1"/>
  <c r="M413" i="1"/>
  <c r="L413" i="1"/>
  <c r="K413" i="1"/>
  <c r="F413" i="1"/>
  <c r="F413" i="1" a="1"/>
  <c r="W412" i="1"/>
  <c r="W412" i="1" a="1"/>
  <c r="V412" i="1"/>
  <c r="U412" i="1"/>
  <c r="Q412" i="1"/>
  <c r="O412" i="1"/>
  <c r="M412" i="1"/>
  <c r="L412" i="1"/>
  <c r="K412" i="1"/>
  <c r="F412" i="1"/>
  <c r="F412" i="1" a="1"/>
  <c r="W411" i="1"/>
  <c r="W411" i="1" a="1"/>
  <c r="V411" i="1"/>
  <c r="U411" i="1"/>
  <c r="Q411" i="1"/>
  <c r="O411" i="1"/>
  <c r="M411" i="1"/>
  <c r="L411" i="1"/>
  <c r="K411" i="1"/>
  <c r="F411" i="1"/>
  <c r="F411" i="1" a="1"/>
  <c r="W410" i="1"/>
  <c r="W410" i="1" a="1"/>
  <c r="V410" i="1"/>
  <c r="U410" i="1"/>
  <c r="Q410" i="1"/>
  <c r="O410" i="1"/>
  <c r="M410" i="1"/>
  <c r="L410" i="1"/>
  <c r="K410" i="1"/>
  <c r="F410" i="1"/>
  <c r="F410" i="1" a="1"/>
  <c r="W409" i="1"/>
  <c r="W409" i="1" a="1"/>
  <c r="V409" i="1"/>
  <c r="U409" i="1"/>
  <c r="Q409" i="1"/>
  <c r="O409" i="1"/>
  <c r="M409" i="1"/>
  <c r="L409" i="1"/>
  <c r="K409" i="1"/>
  <c r="F409" i="1"/>
  <c r="F409" i="1" a="1"/>
  <c r="W408" i="1"/>
  <c r="W408" i="1" a="1"/>
  <c r="V408" i="1"/>
  <c r="U408" i="1"/>
  <c r="Q408" i="1"/>
  <c r="O408" i="1"/>
  <c r="M408" i="1"/>
  <c r="L408" i="1"/>
  <c r="K408" i="1"/>
  <c r="F408" i="1"/>
  <c r="F408" i="1" a="1"/>
  <c r="W407" i="1"/>
  <c r="W407" i="1" a="1"/>
  <c r="V407" i="1"/>
  <c r="U407" i="1"/>
  <c r="Q407" i="1"/>
  <c r="O407" i="1"/>
  <c r="M407" i="1"/>
  <c r="L407" i="1"/>
  <c r="K407" i="1"/>
  <c r="F407" i="1"/>
  <c r="F407" i="1" a="1"/>
  <c r="W406" i="1"/>
  <c r="W406" i="1" a="1"/>
  <c r="V406" i="1"/>
  <c r="U406" i="1"/>
  <c r="Q406" i="1"/>
  <c r="O406" i="1"/>
  <c r="M406" i="1"/>
  <c r="L406" i="1"/>
  <c r="K406" i="1"/>
  <c r="F406" i="1"/>
  <c r="F406" i="1" a="1"/>
  <c r="W405" i="1"/>
  <c r="W405" i="1" a="1"/>
  <c r="V405" i="1"/>
  <c r="U405" i="1"/>
  <c r="Q405" i="1"/>
  <c r="O405" i="1"/>
  <c r="M405" i="1"/>
  <c r="L405" i="1"/>
  <c r="K405" i="1"/>
  <c r="F405" i="1"/>
  <c r="F405" i="1" a="1"/>
  <c r="W404" i="1"/>
  <c r="W404" i="1" a="1"/>
  <c r="V404" i="1"/>
  <c r="U404" i="1"/>
  <c r="Q404" i="1"/>
  <c r="O404" i="1"/>
  <c r="M404" i="1"/>
  <c r="L404" i="1"/>
  <c r="K404" i="1"/>
  <c r="F404" i="1"/>
  <c r="F404" i="1" a="1"/>
  <c r="W403" i="1"/>
  <c r="W403" i="1" a="1"/>
  <c r="V403" i="1"/>
  <c r="U403" i="1"/>
  <c r="Q403" i="1"/>
  <c r="O403" i="1"/>
  <c r="M403" i="1"/>
  <c r="L403" i="1"/>
  <c r="K403" i="1"/>
  <c r="F403" i="1"/>
  <c r="F403" i="1" a="1"/>
  <c r="W402" i="1"/>
  <c r="W402" i="1" a="1"/>
  <c r="V402" i="1"/>
  <c r="U402" i="1"/>
  <c r="Q402" i="1"/>
  <c r="O402" i="1"/>
  <c r="M402" i="1"/>
  <c r="L402" i="1"/>
  <c r="K402" i="1"/>
  <c r="F402" i="1"/>
  <c r="F402" i="1" a="1"/>
  <c r="W401" i="1"/>
  <c r="W401" i="1" a="1"/>
  <c r="V401" i="1"/>
  <c r="U401" i="1"/>
  <c r="Q401" i="1"/>
  <c r="O401" i="1"/>
  <c r="M401" i="1"/>
  <c r="L401" i="1"/>
  <c r="K401" i="1"/>
  <c r="F401" i="1"/>
  <c r="F401" i="1" a="1"/>
  <c r="W400" i="1"/>
  <c r="W400" i="1" a="1"/>
  <c r="V400" i="1"/>
  <c r="U400" i="1"/>
  <c r="Q400" i="1"/>
  <c r="O400" i="1"/>
  <c r="M400" i="1"/>
  <c r="L400" i="1"/>
  <c r="K400" i="1"/>
  <c r="F400" i="1"/>
  <c r="F400" i="1" a="1"/>
  <c r="W399" i="1"/>
  <c r="W399" i="1" a="1"/>
  <c r="V399" i="1"/>
  <c r="U399" i="1"/>
  <c r="Q399" i="1"/>
  <c r="O399" i="1"/>
  <c r="M399" i="1"/>
  <c r="L399" i="1"/>
  <c r="K399" i="1"/>
  <c r="F399" i="1"/>
  <c r="F399" i="1" a="1"/>
  <c r="W398" i="1"/>
  <c r="W398" i="1" a="1"/>
  <c r="V398" i="1"/>
  <c r="U398" i="1"/>
  <c r="Q398" i="1"/>
  <c r="O398" i="1"/>
  <c r="M398" i="1"/>
  <c r="L398" i="1"/>
  <c r="K398" i="1"/>
  <c r="F398" i="1"/>
  <c r="F398" i="1" a="1"/>
  <c r="W397" i="1"/>
  <c r="W397" i="1" a="1"/>
  <c r="V397" i="1"/>
  <c r="U397" i="1"/>
  <c r="Q397" i="1"/>
  <c r="O397" i="1"/>
  <c r="M397" i="1"/>
  <c r="L397" i="1"/>
  <c r="K397" i="1"/>
  <c r="F397" i="1"/>
  <c r="F397" i="1" a="1"/>
  <c r="W396" i="1"/>
  <c r="W396" i="1" a="1"/>
  <c r="V396" i="1"/>
  <c r="U396" i="1"/>
  <c r="Q396" i="1"/>
  <c r="O396" i="1"/>
  <c r="M396" i="1"/>
  <c r="L396" i="1"/>
  <c r="K396" i="1"/>
  <c r="F396" i="1"/>
  <c r="F396" i="1" a="1"/>
  <c r="W395" i="1"/>
  <c r="W395" i="1" a="1"/>
  <c r="V395" i="1"/>
  <c r="U395" i="1"/>
  <c r="Q395" i="1"/>
  <c r="O395" i="1"/>
  <c r="M395" i="1"/>
  <c r="L395" i="1"/>
  <c r="K395" i="1"/>
  <c r="F395" i="1"/>
  <c r="F395" i="1" a="1"/>
  <c r="W394" i="1"/>
  <c r="W394" i="1" a="1"/>
  <c r="V394" i="1"/>
  <c r="U394" i="1"/>
  <c r="Q394" i="1"/>
  <c r="O394" i="1"/>
  <c r="M394" i="1"/>
  <c r="L394" i="1"/>
  <c r="K394" i="1"/>
  <c r="F394" i="1"/>
  <c r="F394" i="1" a="1"/>
  <c r="W393" i="1"/>
  <c r="W393" i="1" a="1"/>
  <c r="V393" i="1"/>
  <c r="U393" i="1"/>
  <c r="Q393" i="1"/>
  <c r="O393" i="1"/>
  <c r="M393" i="1"/>
  <c r="L393" i="1"/>
  <c r="K393" i="1"/>
  <c r="F393" i="1"/>
  <c r="F393" i="1" a="1"/>
  <c r="W392" i="1"/>
  <c r="W392" i="1" a="1"/>
  <c r="V392" i="1"/>
  <c r="U392" i="1"/>
  <c r="Q392" i="1"/>
  <c r="O392" i="1"/>
  <c r="M392" i="1"/>
  <c r="L392" i="1"/>
  <c r="K392" i="1"/>
  <c r="F392" i="1"/>
  <c r="F392" i="1" a="1"/>
  <c r="W391" i="1"/>
  <c r="W391" i="1" a="1"/>
  <c r="V391" i="1"/>
  <c r="U391" i="1"/>
  <c r="Q391" i="1"/>
  <c r="O391" i="1"/>
  <c r="M391" i="1"/>
  <c r="L391" i="1"/>
  <c r="K391" i="1"/>
  <c r="F391" i="1"/>
  <c r="F391" i="1" a="1"/>
  <c r="W390" i="1"/>
  <c r="W390" i="1" a="1"/>
  <c r="V390" i="1"/>
  <c r="U390" i="1"/>
  <c r="Q390" i="1"/>
  <c r="O390" i="1"/>
  <c r="M390" i="1"/>
  <c r="L390" i="1"/>
  <c r="K390" i="1"/>
  <c r="F390" i="1"/>
  <c r="F390" i="1" a="1"/>
  <c r="W389" i="1"/>
  <c r="W389" i="1" a="1"/>
  <c r="V389" i="1"/>
  <c r="U389" i="1"/>
  <c r="Q389" i="1"/>
  <c r="O389" i="1"/>
  <c r="M389" i="1"/>
  <c r="L389" i="1"/>
  <c r="K389" i="1"/>
  <c r="F389" i="1"/>
  <c r="F389" i="1" a="1"/>
  <c r="W388" i="1"/>
  <c r="W388" i="1" a="1"/>
  <c r="V388" i="1"/>
  <c r="U388" i="1"/>
  <c r="Q388" i="1"/>
  <c r="O388" i="1"/>
  <c r="M388" i="1"/>
  <c r="L388" i="1"/>
  <c r="K388" i="1"/>
  <c r="F388" i="1"/>
  <c r="F388" i="1" a="1"/>
  <c r="W387" i="1"/>
  <c r="W387" i="1" a="1"/>
  <c r="V387" i="1"/>
  <c r="U387" i="1"/>
  <c r="Q387" i="1"/>
  <c r="O387" i="1"/>
  <c r="M387" i="1"/>
  <c r="L387" i="1"/>
  <c r="K387" i="1"/>
  <c r="F387" i="1"/>
  <c r="F387" i="1" a="1"/>
  <c r="W386" i="1"/>
  <c r="W386" i="1" a="1"/>
  <c r="V386" i="1"/>
  <c r="U386" i="1"/>
  <c r="Q386" i="1"/>
  <c r="O386" i="1"/>
  <c r="M386" i="1"/>
  <c r="L386" i="1"/>
  <c r="K386" i="1"/>
  <c r="F386" i="1"/>
  <c r="F386" i="1" a="1"/>
  <c r="W385" i="1"/>
  <c r="W385" i="1" a="1"/>
  <c r="V385" i="1"/>
  <c r="U385" i="1"/>
  <c r="Q385" i="1"/>
  <c r="O385" i="1"/>
  <c r="M385" i="1"/>
  <c r="L385" i="1"/>
  <c r="K385" i="1"/>
  <c r="F385" i="1"/>
  <c r="F385" i="1" a="1"/>
  <c r="W384" i="1"/>
  <c r="W384" i="1" a="1"/>
  <c r="V384" i="1"/>
  <c r="U384" i="1"/>
  <c r="Q384" i="1"/>
  <c r="O384" i="1"/>
  <c r="M384" i="1"/>
  <c r="L384" i="1"/>
  <c r="K384" i="1"/>
  <c r="F384" i="1"/>
  <c r="F384" i="1" a="1"/>
  <c r="W383" i="1"/>
  <c r="W383" i="1" a="1"/>
  <c r="V383" i="1"/>
  <c r="U383" i="1"/>
  <c r="Q383" i="1"/>
  <c r="O383" i="1"/>
  <c r="M383" i="1"/>
  <c r="L383" i="1"/>
  <c r="K383" i="1"/>
  <c r="F383" i="1"/>
  <c r="F383" i="1" a="1"/>
  <c r="W382" i="1"/>
  <c r="W382" i="1" a="1"/>
  <c r="V382" i="1"/>
  <c r="U382" i="1"/>
  <c r="Q382" i="1"/>
  <c r="O382" i="1"/>
  <c r="M382" i="1"/>
  <c r="L382" i="1"/>
  <c r="K382" i="1"/>
  <c r="F382" i="1"/>
  <c r="F382" i="1" a="1"/>
  <c r="W381" i="1"/>
  <c r="W381" i="1" a="1"/>
  <c r="V381" i="1"/>
  <c r="U381" i="1"/>
  <c r="Q381" i="1"/>
  <c r="O381" i="1"/>
  <c r="M381" i="1"/>
  <c r="L381" i="1"/>
  <c r="K381" i="1"/>
  <c r="F381" i="1"/>
  <c r="F381" i="1" a="1"/>
  <c r="W380" i="1"/>
  <c r="W380" i="1" a="1"/>
  <c r="V380" i="1"/>
  <c r="U380" i="1"/>
  <c r="Q380" i="1"/>
  <c r="O380" i="1"/>
  <c r="M380" i="1"/>
  <c r="L380" i="1"/>
  <c r="K380" i="1"/>
  <c r="F380" i="1"/>
  <c r="F380" i="1" a="1"/>
  <c r="W379" i="1"/>
  <c r="W379" i="1" a="1"/>
  <c r="V379" i="1"/>
  <c r="U379" i="1"/>
  <c r="Q379" i="1"/>
  <c r="O379" i="1"/>
  <c r="M379" i="1"/>
  <c r="L379" i="1"/>
  <c r="K379" i="1"/>
  <c r="F379" i="1"/>
  <c r="F379" i="1" a="1"/>
  <c r="W378" i="1"/>
  <c r="W378" i="1" a="1"/>
  <c r="V378" i="1"/>
  <c r="U378" i="1"/>
  <c r="Q378" i="1"/>
  <c r="O378" i="1"/>
  <c r="M378" i="1"/>
  <c r="L378" i="1"/>
  <c r="K378" i="1"/>
  <c r="F378" i="1"/>
  <c r="F378" i="1" a="1"/>
  <c r="W377" i="1"/>
  <c r="W377" i="1" a="1"/>
  <c r="V377" i="1"/>
  <c r="U377" i="1"/>
  <c r="Q377" i="1"/>
  <c r="O377" i="1"/>
  <c r="M377" i="1"/>
  <c r="L377" i="1"/>
  <c r="K377" i="1"/>
  <c r="F377" i="1"/>
  <c r="F377" i="1" a="1"/>
  <c r="W376" i="1"/>
  <c r="W376" i="1" a="1"/>
  <c r="V376" i="1"/>
  <c r="U376" i="1"/>
  <c r="Q376" i="1"/>
  <c r="O376" i="1"/>
  <c r="M376" i="1"/>
  <c r="L376" i="1"/>
  <c r="K376" i="1"/>
  <c r="F376" i="1"/>
  <c r="F376" i="1" a="1"/>
  <c r="W375" i="1"/>
  <c r="W375" i="1" a="1"/>
  <c r="V375" i="1"/>
  <c r="U375" i="1"/>
  <c r="Q375" i="1"/>
  <c r="O375" i="1"/>
  <c r="M375" i="1"/>
  <c r="L375" i="1"/>
  <c r="K375" i="1"/>
  <c r="F375" i="1"/>
  <c r="F375" i="1" a="1"/>
  <c r="W374" i="1"/>
  <c r="W374" i="1" a="1"/>
  <c r="V374" i="1"/>
  <c r="U374" i="1"/>
  <c r="Q374" i="1"/>
  <c r="O374" i="1"/>
  <c r="M374" i="1"/>
  <c r="L374" i="1"/>
  <c r="K374" i="1"/>
  <c r="F374" i="1"/>
  <c r="F374" i="1" a="1"/>
  <c r="W373" i="1"/>
  <c r="W373" i="1" a="1"/>
  <c r="V373" i="1"/>
  <c r="U373" i="1"/>
  <c r="Q373" i="1"/>
  <c r="O373" i="1"/>
  <c r="M373" i="1"/>
  <c r="L373" i="1"/>
  <c r="K373" i="1"/>
  <c r="F373" i="1"/>
  <c r="F373" i="1" a="1"/>
  <c r="W372" i="1"/>
  <c r="W372" i="1" a="1"/>
  <c r="V372" i="1"/>
  <c r="U372" i="1"/>
  <c r="Q372" i="1"/>
  <c r="O372" i="1"/>
  <c r="M372" i="1"/>
  <c r="L372" i="1"/>
  <c r="K372" i="1"/>
  <c r="F372" i="1"/>
  <c r="F372" i="1" a="1"/>
  <c r="W371" i="1"/>
  <c r="W371" i="1" a="1"/>
  <c r="V371" i="1"/>
  <c r="U371" i="1"/>
  <c r="Q371" i="1"/>
  <c r="O371" i="1"/>
  <c r="M371" i="1"/>
  <c r="L371" i="1"/>
  <c r="K371" i="1"/>
  <c r="F371" i="1"/>
  <c r="F371" i="1" a="1"/>
  <c r="W370" i="1"/>
  <c r="W370" i="1" a="1"/>
  <c r="V370" i="1"/>
  <c r="U370" i="1"/>
  <c r="Q370" i="1"/>
  <c r="O370" i="1"/>
  <c r="M370" i="1"/>
  <c r="L370" i="1"/>
  <c r="K370" i="1"/>
  <c r="F370" i="1"/>
  <c r="F370" i="1" a="1"/>
  <c r="W369" i="1"/>
  <c r="W369" i="1" a="1"/>
  <c r="V369" i="1"/>
  <c r="U369" i="1"/>
  <c r="Q369" i="1"/>
  <c r="O369" i="1"/>
  <c r="M369" i="1"/>
  <c r="L369" i="1"/>
  <c r="K369" i="1"/>
  <c r="F369" i="1"/>
  <c r="F369" i="1" a="1"/>
  <c r="W368" i="1"/>
  <c r="W368" i="1" a="1"/>
  <c r="V368" i="1"/>
  <c r="U368" i="1"/>
  <c r="Q368" i="1"/>
  <c r="O368" i="1"/>
  <c r="M368" i="1"/>
  <c r="L368" i="1"/>
  <c r="K368" i="1"/>
  <c r="F368" i="1"/>
  <c r="F368" i="1" a="1"/>
  <c r="W367" i="1"/>
  <c r="W367" i="1" a="1"/>
  <c r="V367" i="1"/>
  <c r="U367" i="1"/>
  <c r="Q367" i="1"/>
  <c r="O367" i="1"/>
  <c r="M367" i="1"/>
  <c r="L367" i="1"/>
  <c r="K367" i="1"/>
  <c r="F367" i="1"/>
  <c r="F367" i="1" a="1"/>
  <c r="W366" i="1"/>
  <c r="W366" i="1" a="1"/>
  <c r="V366" i="1"/>
  <c r="U366" i="1"/>
  <c r="Q366" i="1"/>
  <c r="O366" i="1"/>
  <c r="M366" i="1"/>
  <c r="L366" i="1"/>
  <c r="K366" i="1"/>
  <c r="F366" i="1"/>
  <c r="F366" i="1" a="1"/>
  <c r="W365" i="1"/>
  <c r="W365" i="1" a="1"/>
  <c r="V365" i="1"/>
  <c r="U365" i="1"/>
  <c r="Q365" i="1"/>
  <c r="O365" i="1"/>
  <c r="M365" i="1"/>
  <c r="L365" i="1"/>
  <c r="K365" i="1"/>
  <c r="F365" i="1"/>
  <c r="F365" i="1" a="1"/>
  <c r="W364" i="1"/>
  <c r="W364" i="1" a="1"/>
  <c r="V364" i="1"/>
  <c r="U364" i="1"/>
  <c r="Q364" i="1"/>
  <c r="O364" i="1"/>
  <c r="M364" i="1"/>
  <c r="L364" i="1"/>
  <c r="K364" i="1"/>
  <c r="F364" i="1"/>
  <c r="F364" i="1" a="1"/>
  <c r="W363" i="1"/>
  <c r="W363" i="1" a="1"/>
  <c r="V363" i="1"/>
  <c r="U363" i="1"/>
  <c r="Q363" i="1"/>
  <c r="O363" i="1"/>
  <c r="M363" i="1"/>
  <c r="L363" i="1"/>
  <c r="K363" i="1"/>
  <c r="F363" i="1"/>
  <c r="F363" i="1" a="1"/>
  <c r="W362" i="1"/>
  <c r="W362" i="1" a="1"/>
  <c r="V362" i="1"/>
  <c r="U362" i="1"/>
  <c r="Q362" i="1"/>
  <c r="O362" i="1"/>
  <c r="M362" i="1"/>
  <c r="L362" i="1"/>
  <c r="K362" i="1"/>
  <c r="F362" i="1"/>
  <c r="F362" i="1" a="1"/>
  <c r="W361" i="1"/>
  <c r="W361" i="1" a="1"/>
  <c r="V361" i="1"/>
  <c r="U361" i="1"/>
  <c r="Q361" i="1"/>
  <c r="O361" i="1"/>
  <c r="M361" i="1"/>
  <c r="L361" i="1"/>
  <c r="K361" i="1"/>
  <c r="F361" i="1"/>
  <c r="F361" i="1" a="1"/>
  <c r="W360" i="1"/>
  <c r="W360" i="1" a="1"/>
  <c r="V360" i="1"/>
  <c r="U360" i="1"/>
  <c r="Q360" i="1"/>
  <c r="O360" i="1"/>
  <c r="M360" i="1"/>
  <c r="L360" i="1"/>
  <c r="K360" i="1"/>
  <c r="F360" i="1"/>
  <c r="F360" i="1" a="1"/>
  <c r="W359" i="1"/>
  <c r="W359" i="1" a="1"/>
  <c r="V359" i="1"/>
  <c r="U359" i="1"/>
  <c r="Q359" i="1"/>
  <c r="O359" i="1"/>
  <c r="M359" i="1"/>
  <c r="L359" i="1"/>
  <c r="K359" i="1"/>
  <c r="F359" i="1"/>
  <c r="F359" i="1" a="1"/>
  <c r="W358" i="1"/>
  <c r="W358" i="1" a="1"/>
  <c r="V358" i="1"/>
  <c r="U358" i="1"/>
  <c r="Q358" i="1"/>
  <c r="O358" i="1"/>
  <c r="M358" i="1"/>
  <c r="L358" i="1"/>
  <c r="K358" i="1"/>
  <c r="F358" i="1"/>
  <c r="F358" i="1" a="1"/>
  <c r="W357" i="1"/>
  <c r="W357" i="1" a="1"/>
  <c r="V357" i="1"/>
  <c r="U357" i="1"/>
  <c r="Q357" i="1"/>
  <c r="O357" i="1"/>
  <c r="M357" i="1"/>
  <c r="L357" i="1"/>
  <c r="K357" i="1"/>
  <c r="F357" i="1"/>
  <c r="F357" i="1" a="1"/>
  <c r="W356" i="1"/>
  <c r="W356" i="1" a="1"/>
  <c r="V356" i="1"/>
  <c r="U356" i="1"/>
  <c r="Q356" i="1"/>
  <c r="O356" i="1"/>
  <c r="M356" i="1"/>
  <c r="L356" i="1"/>
  <c r="K356" i="1"/>
  <c r="F356" i="1"/>
  <c r="F356" i="1" a="1"/>
  <c r="W355" i="1"/>
  <c r="W355" i="1" a="1"/>
  <c r="V355" i="1"/>
  <c r="U355" i="1"/>
  <c r="Q355" i="1"/>
  <c r="O355" i="1"/>
  <c r="M355" i="1"/>
  <c r="L355" i="1"/>
  <c r="K355" i="1"/>
  <c r="F355" i="1"/>
  <c r="F355" i="1" a="1"/>
  <c r="W354" i="1"/>
  <c r="W354" i="1" a="1"/>
  <c r="V354" i="1"/>
  <c r="U354" i="1"/>
  <c r="Q354" i="1"/>
  <c r="O354" i="1"/>
  <c r="M354" i="1"/>
  <c r="L354" i="1"/>
  <c r="K354" i="1"/>
  <c r="F354" i="1"/>
  <c r="F354" i="1" a="1"/>
  <c r="W353" i="1"/>
  <c r="W353" i="1" a="1"/>
  <c r="V353" i="1"/>
  <c r="U353" i="1"/>
  <c r="Q353" i="1"/>
  <c r="O353" i="1"/>
  <c r="M353" i="1"/>
  <c r="L353" i="1"/>
  <c r="K353" i="1"/>
  <c r="F353" i="1"/>
  <c r="F353" i="1" a="1"/>
  <c r="W352" i="1"/>
  <c r="W352" i="1" a="1"/>
  <c r="V352" i="1"/>
  <c r="U352" i="1"/>
  <c r="Q352" i="1"/>
  <c r="O352" i="1"/>
  <c r="M352" i="1"/>
  <c r="L352" i="1"/>
  <c r="K352" i="1"/>
  <c r="F352" i="1"/>
  <c r="F352" i="1" a="1"/>
  <c r="W351" i="1"/>
  <c r="W351" i="1" a="1"/>
  <c r="V351" i="1"/>
  <c r="U351" i="1"/>
  <c r="Q351" i="1"/>
  <c r="O351" i="1"/>
  <c r="M351" i="1"/>
  <c r="L351" i="1"/>
  <c r="K351" i="1"/>
  <c r="F351" i="1"/>
  <c r="F351" i="1" a="1"/>
  <c r="W350" i="1"/>
  <c r="W350" i="1" a="1"/>
  <c r="V350" i="1"/>
  <c r="U350" i="1"/>
  <c r="Q350" i="1"/>
  <c r="O350" i="1"/>
  <c r="M350" i="1"/>
  <c r="L350" i="1"/>
  <c r="K350" i="1"/>
  <c r="F350" i="1"/>
  <c r="F350" i="1" a="1"/>
  <c r="W349" i="1"/>
  <c r="W349" i="1" a="1"/>
  <c r="V349" i="1"/>
  <c r="U349" i="1"/>
  <c r="Q349" i="1"/>
  <c r="O349" i="1"/>
  <c r="M349" i="1"/>
  <c r="L349" i="1"/>
  <c r="K349" i="1"/>
  <c r="F349" i="1"/>
  <c r="F349" i="1" a="1"/>
  <c r="W348" i="1"/>
  <c r="W348" i="1" a="1"/>
  <c r="V348" i="1"/>
  <c r="U348" i="1"/>
  <c r="Q348" i="1"/>
  <c r="O348" i="1"/>
  <c r="M348" i="1"/>
  <c r="L348" i="1"/>
  <c r="K348" i="1"/>
  <c r="F348" i="1"/>
  <c r="F348" i="1" a="1"/>
  <c r="W347" i="1"/>
  <c r="W347" i="1" a="1"/>
  <c r="V347" i="1"/>
  <c r="U347" i="1"/>
  <c r="Q347" i="1"/>
  <c r="O347" i="1"/>
  <c r="M347" i="1"/>
  <c r="L347" i="1"/>
  <c r="K347" i="1"/>
  <c r="F347" i="1"/>
  <c r="F347" i="1" a="1"/>
  <c r="W346" i="1"/>
  <c r="W346" i="1" a="1"/>
  <c r="V346" i="1"/>
  <c r="U346" i="1"/>
  <c r="Q346" i="1"/>
  <c r="O346" i="1"/>
  <c r="M346" i="1"/>
  <c r="L346" i="1"/>
  <c r="K346" i="1"/>
  <c r="F346" i="1"/>
  <c r="F346" i="1" a="1"/>
  <c r="W345" i="1"/>
  <c r="W345" i="1" a="1"/>
  <c r="V345" i="1"/>
  <c r="U345" i="1"/>
  <c r="Q345" i="1"/>
  <c r="O345" i="1"/>
  <c r="M345" i="1"/>
  <c r="L345" i="1"/>
  <c r="K345" i="1"/>
  <c r="F345" i="1"/>
  <c r="F345" i="1" a="1"/>
  <c r="W344" i="1"/>
  <c r="W344" i="1" a="1"/>
  <c r="V344" i="1"/>
  <c r="U344" i="1"/>
  <c r="Q344" i="1"/>
  <c r="O344" i="1"/>
  <c r="M344" i="1"/>
  <c r="L344" i="1"/>
  <c r="K344" i="1"/>
  <c r="F344" i="1"/>
  <c r="F344" i="1" a="1"/>
  <c r="W343" i="1"/>
  <c r="W343" i="1" a="1"/>
  <c r="V343" i="1"/>
  <c r="U343" i="1"/>
  <c r="Q343" i="1"/>
  <c r="O343" i="1"/>
  <c r="M343" i="1"/>
  <c r="L343" i="1"/>
  <c r="K343" i="1"/>
  <c r="F343" i="1"/>
  <c r="F343" i="1" a="1"/>
  <c r="W342" i="1"/>
  <c r="W342" i="1" a="1"/>
  <c r="V342" i="1"/>
  <c r="U342" i="1"/>
  <c r="Q342" i="1"/>
  <c r="O342" i="1"/>
  <c r="M342" i="1"/>
  <c r="L342" i="1"/>
  <c r="K342" i="1"/>
  <c r="F342" i="1"/>
  <c r="F342" i="1" a="1"/>
  <c r="W341" i="1"/>
  <c r="W341" i="1" a="1"/>
  <c r="V341" i="1"/>
  <c r="U341" i="1"/>
  <c r="Q341" i="1"/>
  <c r="O341" i="1"/>
  <c r="M341" i="1"/>
  <c r="L341" i="1"/>
  <c r="K341" i="1"/>
  <c r="F341" i="1"/>
  <c r="F341" i="1" a="1"/>
  <c r="W340" i="1"/>
  <c r="W340" i="1" a="1"/>
  <c r="V340" i="1"/>
  <c r="U340" i="1"/>
  <c r="Q340" i="1"/>
  <c r="O340" i="1"/>
  <c r="M340" i="1"/>
  <c r="L340" i="1"/>
  <c r="K340" i="1"/>
  <c r="F340" i="1"/>
  <c r="F340" i="1" a="1"/>
  <c r="W339" i="1"/>
  <c r="W339" i="1" a="1"/>
  <c r="V339" i="1"/>
  <c r="U339" i="1"/>
  <c r="Q339" i="1"/>
  <c r="O339" i="1"/>
  <c r="M339" i="1"/>
  <c r="L339" i="1"/>
  <c r="K339" i="1"/>
  <c r="F339" i="1"/>
  <c r="F339" i="1" a="1"/>
  <c r="W338" i="1"/>
  <c r="W338" i="1" a="1"/>
  <c r="V338" i="1"/>
  <c r="U338" i="1"/>
  <c r="Q338" i="1"/>
  <c r="O338" i="1"/>
  <c r="M338" i="1"/>
  <c r="L338" i="1"/>
  <c r="K338" i="1"/>
  <c r="F338" i="1"/>
  <c r="F338" i="1" a="1"/>
  <c r="W337" i="1"/>
  <c r="W337" i="1" a="1"/>
  <c r="V337" i="1"/>
  <c r="U337" i="1"/>
  <c r="Q337" i="1"/>
  <c r="O337" i="1"/>
  <c r="M337" i="1"/>
  <c r="L337" i="1"/>
  <c r="K337" i="1"/>
  <c r="F337" i="1"/>
  <c r="F337" i="1" a="1"/>
  <c r="W336" i="1"/>
  <c r="W336" i="1" a="1"/>
  <c r="V336" i="1"/>
  <c r="U336" i="1"/>
  <c r="Q336" i="1"/>
  <c r="O336" i="1"/>
  <c r="M336" i="1"/>
  <c r="L336" i="1"/>
  <c r="K336" i="1"/>
  <c r="F336" i="1"/>
  <c r="F336" i="1" a="1"/>
  <c r="W335" i="1"/>
  <c r="W335" i="1" a="1"/>
  <c r="V335" i="1"/>
  <c r="U335" i="1"/>
  <c r="Q335" i="1"/>
  <c r="O335" i="1"/>
  <c r="M335" i="1"/>
  <c r="L335" i="1"/>
  <c r="K335" i="1"/>
  <c r="F335" i="1"/>
  <c r="F335" i="1" a="1"/>
  <c r="W334" i="1"/>
  <c r="W334" i="1" a="1"/>
  <c r="V334" i="1"/>
  <c r="U334" i="1"/>
  <c r="Q334" i="1"/>
  <c r="O334" i="1"/>
  <c r="M334" i="1"/>
  <c r="L334" i="1"/>
  <c r="K334" i="1"/>
  <c r="F334" i="1"/>
  <c r="F334" i="1" a="1"/>
  <c r="W333" i="1"/>
  <c r="W333" i="1" a="1"/>
  <c r="V333" i="1"/>
  <c r="U333" i="1"/>
  <c r="Q333" i="1"/>
  <c r="O333" i="1"/>
  <c r="M333" i="1"/>
  <c r="L333" i="1"/>
  <c r="K333" i="1"/>
  <c r="F333" i="1"/>
  <c r="F333" i="1" a="1"/>
  <c r="W332" i="1"/>
  <c r="W332" i="1" a="1"/>
  <c r="V332" i="1"/>
  <c r="U332" i="1"/>
  <c r="Q332" i="1"/>
  <c r="O332" i="1"/>
  <c r="M332" i="1"/>
  <c r="L332" i="1"/>
  <c r="K332" i="1"/>
  <c r="F332" i="1"/>
  <c r="F332" i="1" a="1"/>
  <c r="W331" i="1"/>
  <c r="W331" i="1" a="1"/>
  <c r="V331" i="1"/>
  <c r="U331" i="1"/>
  <c r="Q331" i="1"/>
  <c r="O331" i="1"/>
  <c r="M331" i="1"/>
  <c r="L331" i="1"/>
  <c r="K331" i="1"/>
  <c r="F331" i="1"/>
  <c r="F331" i="1" a="1"/>
  <c r="W330" i="1"/>
  <c r="W330" i="1" a="1"/>
  <c r="V330" i="1"/>
  <c r="U330" i="1"/>
  <c r="Q330" i="1"/>
  <c r="O330" i="1"/>
  <c r="M330" i="1"/>
  <c r="L330" i="1"/>
  <c r="K330" i="1"/>
  <c r="F330" i="1"/>
  <c r="F330" i="1" a="1"/>
  <c r="W329" i="1"/>
  <c r="W329" i="1" a="1"/>
  <c r="V329" i="1"/>
  <c r="U329" i="1"/>
  <c r="Q329" i="1"/>
  <c r="O329" i="1"/>
  <c r="M329" i="1"/>
  <c r="L329" i="1"/>
  <c r="K329" i="1"/>
  <c r="F329" i="1"/>
  <c r="F329" i="1" a="1"/>
  <c r="W328" i="1"/>
  <c r="W328" i="1" a="1"/>
  <c r="V328" i="1"/>
  <c r="U328" i="1"/>
  <c r="Q328" i="1"/>
  <c r="O328" i="1"/>
  <c r="M328" i="1"/>
  <c r="L328" i="1"/>
  <c r="K328" i="1"/>
  <c r="F328" i="1"/>
  <c r="F328" i="1" a="1"/>
  <c r="W327" i="1"/>
  <c r="W327" i="1" a="1"/>
  <c r="V327" i="1"/>
  <c r="U327" i="1"/>
  <c r="Q327" i="1"/>
  <c r="O327" i="1"/>
  <c r="M327" i="1"/>
  <c r="L327" i="1"/>
  <c r="K327" i="1"/>
  <c r="F327" i="1"/>
  <c r="F327" i="1" a="1"/>
  <c r="W326" i="1"/>
  <c r="W326" i="1" a="1"/>
  <c r="V326" i="1"/>
  <c r="U326" i="1"/>
  <c r="Q326" i="1"/>
  <c r="O326" i="1"/>
  <c r="M326" i="1"/>
  <c r="L326" i="1"/>
  <c r="K326" i="1"/>
  <c r="F326" i="1"/>
  <c r="F326" i="1" a="1"/>
  <c r="W325" i="1"/>
  <c r="W325" i="1" a="1"/>
  <c r="V325" i="1"/>
  <c r="U325" i="1"/>
  <c r="Q325" i="1"/>
  <c r="O325" i="1"/>
  <c r="M325" i="1"/>
  <c r="L325" i="1"/>
  <c r="K325" i="1"/>
  <c r="F325" i="1"/>
  <c r="F325" i="1" a="1"/>
  <c r="W324" i="1"/>
  <c r="W324" i="1" a="1"/>
  <c r="V324" i="1"/>
  <c r="U324" i="1"/>
  <c r="Q324" i="1"/>
  <c r="O324" i="1"/>
  <c r="M324" i="1"/>
  <c r="L324" i="1"/>
  <c r="K324" i="1"/>
  <c r="F324" i="1"/>
  <c r="F324" i="1" a="1"/>
  <c r="W323" i="1"/>
  <c r="W323" i="1" a="1"/>
  <c r="V323" i="1"/>
  <c r="U323" i="1"/>
  <c r="Q323" i="1"/>
  <c r="O323" i="1"/>
  <c r="M323" i="1"/>
  <c r="L323" i="1"/>
  <c r="K323" i="1"/>
  <c r="F323" i="1"/>
  <c r="F323" i="1" a="1"/>
  <c r="W322" i="1"/>
  <c r="W322" i="1" a="1"/>
  <c r="V322" i="1"/>
  <c r="U322" i="1"/>
  <c r="Q322" i="1"/>
  <c r="O322" i="1"/>
  <c r="M322" i="1"/>
  <c r="L322" i="1"/>
  <c r="K322" i="1"/>
  <c r="F322" i="1"/>
  <c r="F322" i="1" a="1"/>
  <c r="W321" i="1"/>
  <c r="W321" i="1" a="1"/>
  <c r="V321" i="1"/>
  <c r="U321" i="1"/>
  <c r="Q321" i="1"/>
  <c r="O321" i="1"/>
  <c r="M321" i="1"/>
  <c r="L321" i="1"/>
  <c r="K321" i="1"/>
  <c r="F321" i="1"/>
  <c r="F321" i="1" a="1"/>
  <c r="W320" i="1"/>
  <c r="W320" i="1" a="1"/>
  <c r="V320" i="1"/>
  <c r="U320" i="1"/>
  <c r="Q320" i="1"/>
  <c r="O320" i="1"/>
  <c r="M320" i="1"/>
  <c r="L320" i="1"/>
  <c r="K320" i="1"/>
  <c r="F320" i="1"/>
  <c r="F320" i="1" a="1"/>
  <c r="W319" i="1"/>
  <c r="W319" i="1" a="1"/>
  <c r="V319" i="1"/>
  <c r="U319" i="1"/>
  <c r="Q319" i="1"/>
  <c r="O319" i="1"/>
  <c r="M319" i="1"/>
  <c r="L319" i="1"/>
  <c r="K319" i="1"/>
  <c r="F319" i="1"/>
  <c r="F319" i="1" a="1"/>
  <c r="W318" i="1"/>
  <c r="W318" i="1" a="1"/>
  <c r="V318" i="1"/>
  <c r="U318" i="1"/>
  <c r="Q318" i="1"/>
  <c r="O318" i="1"/>
  <c r="M318" i="1"/>
  <c r="L318" i="1"/>
  <c r="K318" i="1"/>
  <c r="F318" i="1"/>
  <c r="F318" i="1" a="1"/>
  <c r="W317" i="1"/>
  <c r="W317" i="1" a="1"/>
  <c r="V317" i="1"/>
  <c r="U317" i="1"/>
  <c r="Q317" i="1"/>
  <c r="O317" i="1"/>
  <c r="M317" i="1"/>
  <c r="L317" i="1"/>
  <c r="K317" i="1"/>
  <c r="F317" i="1"/>
  <c r="F317" i="1" a="1"/>
  <c r="W316" i="1"/>
  <c r="W316" i="1" a="1"/>
  <c r="V316" i="1"/>
  <c r="U316" i="1"/>
  <c r="Q316" i="1"/>
  <c r="O316" i="1"/>
  <c r="M316" i="1"/>
  <c r="L316" i="1"/>
  <c r="K316" i="1"/>
  <c r="F316" i="1"/>
  <c r="F316" i="1" a="1"/>
  <c r="W315" i="1"/>
  <c r="W315" i="1" a="1"/>
  <c r="V315" i="1"/>
  <c r="U315" i="1"/>
  <c r="Q315" i="1"/>
  <c r="O315" i="1"/>
  <c r="M315" i="1"/>
  <c r="L315" i="1"/>
  <c r="K315" i="1"/>
  <c r="F315" i="1"/>
  <c r="F315" i="1" a="1"/>
  <c r="W314" i="1"/>
  <c r="W314" i="1" a="1"/>
  <c r="V314" i="1"/>
  <c r="U314" i="1"/>
  <c r="Q314" i="1"/>
  <c r="O314" i="1"/>
  <c r="M314" i="1"/>
  <c r="L314" i="1"/>
  <c r="K314" i="1"/>
  <c r="F314" i="1"/>
  <c r="F314" i="1" a="1"/>
  <c r="W313" i="1"/>
  <c r="W313" i="1" a="1"/>
  <c r="V313" i="1"/>
  <c r="U313" i="1"/>
  <c r="Q313" i="1"/>
  <c r="O313" i="1"/>
  <c r="M313" i="1"/>
  <c r="L313" i="1"/>
  <c r="K313" i="1"/>
  <c r="F313" i="1"/>
  <c r="F313" i="1" a="1"/>
  <c r="W312" i="1"/>
  <c r="W312" i="1" a="1"/>
  <c r="V312" i="1"/>
  <c r="U312" i="1"/>
  <c r="Q312" i="1"/>
  <c r="O312" i="1"/>
  <c r="M312" i="1"/>
  <c r="L312" i="1"/>
  <c r="K312" i="1"/>
  <c r="F312" i="1"/>
  <c r="F312" i="1" a="1"/>
  <c r="W311" i="1"/>
  <c r="W311" i="1" a="1"/>
  <c r="V311" i="1"/>
  <c r="U311" i="1"/>
  <c r="Q311" i="1"/>
  <c r="O311" i="1"/>
  <c r="M311" i="1"/>
  <c r="L311" i="1"/>
  <c r="K311" i="1"/>
  <c r="F311" i="1"/>
  <c r="F311" i="1" a="1"/>
  <c r="W310" i="1"/>
  <c r="W310" i="1" a="1"/>
  <c r="V310" i="1"/>
  <c r="U310" i="1"/>
  <c r="Q310" i="1"/>
  <c r="O310" i="1"/>
  <c r="M310" i="1"/>
  <c r="L310" i="1"/>
  <c r="K310" i="1"/>
  <c r="F310" i="1"/>
  <c r="F310" i="1" a="1"/>
  <c r="W309" i="1"/>
  <c r="W309" i="1" a="1"/>
  <c r="V309" i="1"/>
  <c r="U309" i="1"/>
  <c r="Q309" i="1"/>
  <c r="O309" i="1"/>
  <c r="M309" i="1"/>
  <c r="L309" i="1"/>
  <c r="K309" i="1"/>
  <c r="F309" i="1"/>
  <c r="F309" i="1" a="1"/>
  <c r="W308" i="1"/>
  <c r="W308" i="1" a="1"/>
  <c r="V308" i="1"/>
  <c r="U308" i="1"/>
  <c r="Q308" i="1"/>
  <c r="O308" i="1"/>
  <c r="M308" i="1"/>
  <c r="L308" i="1"/>
  <c r="K308" i="1"/>
  <c r="F308" i="1"/>
  <c r="F308" i="1" a="1"/>
  <c r="W307" i="1"/>
  <c r="W307" i="1" a="1"/>
  <c r="V307" i="1"/>
  <c r="U307" i="1"/>
  <c r="Q307" i="1"/>
  <c r="O307" i="1"/>
  <c r="M307" i="1"/>
  <c r="L307" i="1"/>
  <c r="K307" i="1"/>
  <c r="F307" i="1"/>
  <c r="F307" i="1" a="1"/>
  <c r="W306" i="1"/>
  <c r="W306" i="1" a="1"/>
  <c r="V306" i="1"/>
  <c r="U306" i="1"/>
  <c r="Q306" i="1"/>
  <c r="O306" i="1"/>
  <c r="M306" i="1"/>
  <c r="L306" i="1"/>
  <c r="K306" i="1"/>
  <c r="F306" i="1"/>
  <c r="F306" i="1" a="1"/>
  <c r="W305" i="1"/>
  <c r="W305" i="1" a="1"/>
  <c r="V305" i="1"/>
  <c r="U305" i="1"/>
  <c r="Q305" i="1"/>
  <c r="O305" i="1"/>
  <c r="M305" i="1"/>
  <c r="L305" i="1"/>
  <c r="K305" i="1"/>
  <c r="F305" i="1"/>
  <c r="F305" i="1" a="1"/>
  <c r="W304" i="1"/>
  <c r="W304" i="1" a="1"/>
  <c r="V304" i="1"/>
  <c r="U304" i="1"/>
  <c r="Q304" i="1"/>
  <c r="O304" i="1"/>
  <c r="M304" i="1"/>
  <c r="L304" i="1"/>
  <c r="K304" i="1"/>
  <c r="F304" i="1"/>
  <c r="F304" i="1" a="1"/>
  <c r="W303" i="1"/>
  <c r="W303" i="1" a="1"/>
  <c r="V303" i="1"/>
  <c r="U303" i="1"/>
  <c r="Q303" i="1"/>
  <c r="O303" i="1"/>
  <c r="M303" i="1"/>
  <c r="L303" i="1"/>
  <c r="K303" i="1"/>
  <c r="F303" i="1"/>
  <c r="F303" i="1" a="1"/>
  <c r="W302" i="1"/>
  <c r="W302" i="1" a="1"/>
  <c r="V302" i="1"/>
  <c r="U302" i="1"/>
  <c r="Q302" i="1"/>
  <c r="O302" i="1"/>
  <c r="M302" i="1"/>
  <c r="L302" i="1"/>
  <c r="K302" i="1"/>
  <c r="F302" i="1"/>
  <c r="F302" i="1" a="1"/>
  <c r="W301" i="1"/>
  <c r="W301" i="1" a="1"/>
  <c r="V301" i="1"/>
  <c r="U301" i="1"/>
  <c r="Q301" i="1"/>
  <c r="O301" i="1"/>
  <c r="M301" i="1"/>
  <c r="L301" i="1"/>
  <c r="K301" i="1"/>
  <c r="F301" i="1"/>
  <c r="F301" i="1" a="1"/>
  <c r="W300" i="1"/>
  <c r="W300" i="1" a="1"/>
  <c r="V300" i="1"/>
  <c r="U300" i="1"/>
  <c r="Q300" i="1"/>
  <c r="O300" i="1"/>
  <c r="M300" i="1"/>
  <c r="L300" i="1"/>
  <c r="K300" i="1"/>
  <c r="F300" i="1"/>
  <c r="F300" i="1" a="1"/>
  <c r="W299" i="1"/>
  <c r="W299" i="1" a="1"/>
  <c r="V299" i="1"/>
  <c r="U299" i="1"/>
  <c r="Q299" i="1"/>
  <c r="O299" i="1"/>
  <c r="M299" i="1"/>
  <c r="L299" i="1"/>
  <c r="K299" i="1"/>
  <c r="F299" i="1"/>
  <c r="F299" i="1" a="1"/>
  <c r="W298" i="1"/>
  <c r="W298" i="1" a="1"/>
  <c r="V298" i="1"/>
  <c r="U298" i="1"/>
  <c r="Q298" i="1"/>
  <c r="O298" i="1"/>
  <c r="M298" i="1"/>
  <c r="L298" i="1"/>
  <c r="K298" i="1"/>
  <c r="F298" i="1"/>
  <c r="F298" i="1" a="1"/>
  <c r="W297" i="1"/>
  <c r="W297" i="1" a="1"/>
  <c r="V297" i="1"/>
  <c r="U297" i="1"/>
  <c r="Q297" i="1"/>
  <c r="O297" i="1"/>
  <c r="M297" i="1"/>
  <c r="L297" i="1"/>
  <c r="K297" i="1"/>
  <c r="F297" i="1"/>
  <c r="F297" i="1" a="1"/>
  <c r="W296" i="1"/>
  <c r="W296" i="1" a="1"/>
  <c r="V296" i="1"/>
  <c r="U296" i="1"/>
  <c r="Q296" i="1"/>
  <c r="O296" i="1"/>
  <c r="M296" i="1"/>
  <c r="L296" i="1"/>
  <c r="K296" i="1"/>
  <c r="F296" i="1"/>
  <c r="F296" i="1" a="1"/>
  <c r="W295" i="1"/>
  <c r="W295" i="1" a="1"/>
  <c r="V295" i="1"/>
  <c r="U295" i="1"/>
  <c r="Q295" i="1"/>
  <c r="O295" i="1"/>
  <c r="M295" i="1"/>
  <c r="L295" i="1"/>
  <c r="K295" i="1"/>
  <c r="F295" i="1"/>
  <c r="F295" i="1" a="1"/>
  <c r="W294" i="1"/>
  <c r="W294" i="1" a="1"/>
  <c r="V294" i="1"/>
  <c r="U294" i="1"/>
  <c r="Q294" i="1"/>
  <c r="O294" i="1"/>
  <c r="M294" i="1"/>
  <c r="L294" i="1"/>
  <c r="K294" i="1"/>
  <c r="F294" i="1"/>
  <c r="F294" i="1" a="1"/>
  <c r="W293" i="1"/>
  <c r="W293" i="1" a="1"/>
  <c r="V293" i="1"/>
  <c r="U293" i="1"/>
  <c r="Q293" i="1"/>
  <c r="O293" i="1"/>
  <c r="M293" i="1"/>
  <c r="L293" i="1"/>
  <c r="K293" i="1"/>
  <c r="F293" i="1"/>
  <c r="F293" i="1" a="1"/>
  <c r="W292" i="1"/>
  <c r="W292" i="1" a="1"/>
  <c r="V292" i="1"/>
  <c r="U292" i="1"/>
  <c r="Q292" i="1"/>
  <c r="O292" i="1"/>
  <c r="M292" i="1"/>
  <c r="L292" i="1"/>
  <c r="K292" i="1"/>
  <c r="F292" i="1"/>
  <c r="F292" i="1" a="1"/>
  <c r="W291" i="1"/>
  <c r="W291" i="1" a="1"/>
  <c r="V291" i="1"/>
  <c r="U291" i="1"/>
  <c r="Q291" i="1"/>
  <c r="O291" i="1"/>
  <c r="M291" i="1"/>
  <c r="L291" i="1"/>
  <c r="K291" i="1"/>
  <c r="F291" i="1"/>
  <c r="F291" i="1" a="1"/>
  <c r="W290" i="1"/>
  <c r="W290" i="1" a="1"/>
  <c r="V290" i="1"/>
  <c r="U290" i="1"/>
  <c r="Q290" i="1"/>
  <c r="O290" i="1"/>
  <c r="M290" i="1"/>
  <c r="L290" i="1"/>
  <c r="K290" i="1"/>
  <c r="F290" i="1"/>
  <c r="F290" i="1" a="1"/>
  <c r="W289" i="1"/>
  <c r="W289" i="1" a="1"/>
  <c r="V289" i="1"/>
  <c r="U289" i="1"/>
  <c r="Q289" i="1"/>
  <c r="O289" i="1"/>
  <c r="M289" i="1"/>
  <c r="L289" i="1"/>
  <c r="K289" i="1"/>
  <c r="F289" i="1"/>
  <c r="F289" i="1" a="1"/>
  <c r="W288" i="1"/>
  <c r="W288" i="1" a="1"/>
  <c r="V288" i="1"/>
  <c r="U288" i="1"/>
  <c r="Q288" i="1"/>
  <c r="O288" i="1"/>
  <c r="M288" i="1"/>
  <c r="L288" i="1"/>
  <c r="K288" i="1"/>
  <c r="F288" i="1"/>
  <c r="F288" i="1" a="1"/>
  <c r="W287" i="1"/>
  <c r="W287" i="1" a="1"/>
  <c r="V287" i="1"/>
  <c r="U287" i="1"/>
  <c r="Q287" i="1"/>
  <c r="O287" i="1"/>
  <c r="M287" i="1"/>
  <c r="L287" i="1"/>
  <c r="K287" i="1"/>
  <c r="F287" i="1"/>
  <c r="F287" i="1" a="1"/>
  <c r="W286" i="1"/>
  <c r="W286" i="1" a="1"/>
  <c r="V286" i="1"/>
  <c r="U286" i="1"/>
  <c r="Q286" i="1"/>
  <c r="O286" i="1"/>
  <c r="M286" i="1"/>
  <c r="L286" i="1"/>
  <c r="K286" i="1"/>
  <c r="F286" i="1"/>
  <c r="F286" i="1" a="1"/>
  <c r="W285" i="1"/>
  <c r="W285" i="1" a="1"/>
  <c r="V285" i="1"/>
  <c r="U285" i="1"/>
  <c r="Q285" i="1"/>
  <c r="O285" i="1"/>
  <c r="M285" i="1"/>
  <c r="L285" i="1"/>
  <c r="K285" i="1"/>
  <c r="F285" i="1"/>
  <c r="F285" i="1" a="1"/>
  <c r="W284" i="1"/>
  <c r="W284" i="1" a="1"/>
  <c r="V284" i="1"/>
  <c r="U284" i="1"/>
  <c r="Q284" i="1"/>
  <c r="O284" i="1"/>
  <c r="M284" i="1"/>
  <c r="L284" i="1"/>
  <c r="K284" i="1"/>
  <c r="F284" i="1"/>
  <c r="F284" i="1" a="1"/>
  <c r="W283" i="1"/>
  <c r="W283" i="1" a="1"/>
  <c r="V283" i="1"/>
  <c r="U283" i="1"/>
  <c r="Q283" i="1"/>
  <c r="O283" i="1"/>
  <c r="M283" i="1"/>
  <c r="L283" i="1"/>
  <c r="K283" i="1"/>
  <c r="F283" i="1"/>
  <c r="F283" i="1" a="1"/>
  <c r="W282" i="1"/>
  <c r="W282" i="1" a="1"/>
  <c r="V282" i="1"/>
  <c r="U282" i="1"/>
  <c r="Q282" i="1"/>
  <c r="O282" i="1"/>
  <c r="M282" i="1"/>
  <c r="L282" i="1"/>
  <c r="K282" i="1"/>
  <c r="F282" i="1"/>
  <c r="F282" i="1" a="1"/>
  <c r="W281" i="1"/>
  <c r="W281" i="1" a="1"/>
  <c r="V281" i="1"/>
  <c r="U281" i="1"/>
  <c r="Q281" i="1"/>
  <c r="O281" i="1"/>
  <c r="M281" i="1"/>
  <c r="L281" i="1"/>
  <c r="K281" i="1"/>
  <c r="F281" i="1"/>
  <c r="F281" i="1" a="1"/>
  <c r="W280" i="1"/>
  <c r="W280" i="1" a="1"/>
  <c r="V280" i="1"/>
  <c r="U280" i="1"/>
  <c r="Q280" i="1"/>
  <c r="O280" i="1"/>
  <c r="M280" i="1"/>
  <c r="L280" i="1"/>
  <c r="K280" i="1"/>
  <c r="F280" i="1"/>
  <c r="F280" i="1" a="1"/>
  <c r="W279" i="1"/>
  <c r="W279" i="1" a="1"/>
  <c r="V279" i="1"/>
  <c r="U279" i="1"/>
  <c r="Q279" i="1"/>
  <c r="O279" i="1"/>
  <c r="M279" i="1"/>
  <c r="L279" i="1"/>
  <c r="K279" i="1"/>
  <c r="F279" i="1"/>
  <c r="F279" i="1" a="1"/>
  <c r="W278" i="1"/>
  <c r="W278" i="1" a="1"/>
  <c r="V278" i="1"/>
  <c r="U278" i="1"/>
  <c r="Q278" i="1"/>
  <c r="O278" i="1"/>
  <c r="M278" i="1"/>
  <c r="L278" i="1"/>
  <c r="K278" i="1"/>
  <c r="F278" i="1"/>
  <c r="F278" i="1" a="1"/>
  <c r="W277" i="1"/>
  <c r="W277" i="1" a="1"/>
  <c r="V277" i="1"/>
  <c r="U277" i="1"/>
  <c r="Q277" i="1"/>
  <c r="O277" i="1"/>
  <c r="M277" i="1"/>
  <c r="L277" i="1"/>
  <c r="K277" i="1"/>
  <c r="F277" i="1"/>
  <c r="F277" i="1" a="1"/>
  <c r="W276" i="1"/>
  <c r="W276" i="1" a="1"/>
  <c r="V276" i="1"/>
  <c r="U276" i="1"/>
  <c r="Q276" i="1"/>
  <c r="O276" i="1"/>
  <c r="M276" i="1"/>
  <c r="L276" i="1"/>
  <c r="K276" i="1"/>
  <c r="F276" i="1"/>
  <c r="F276" i="1" a="1"/>
  <c r="W275" i="1"/>
  <c r="W275" i="1" a="1"/>
  <c r="V275" i="1"/>
  <c r="U275" i="1"/>
  <c r="Q275" i="1"/>
  <c r="O275" i="1"/>
  <c r="M275" i="1"/>
  <c r="L275" i="1"/>
  <c r="K275" i="1"/>
  <c r="F275" i="1"/>
  <c r="F275" i="1" a="1"/>
  <c r="W274" i="1"/>
  <c r="W274" i="1" a="1"/>
  <c r="V274" i="1"/>
  <c r="U274" i="1"/>
  <c r="Q274" i="1"/>
  <c r="O274" i="1"/>
  <c r="M274" i="1"/>
  <c r="L274" i="1"/>
  <c r="K274" i="1"/>
  <c r="F274" i="1"/>
  <c r="F274" i="1" a="1"/>
  <c r="W273" i="1"/>
  <c r="W273" i="1" a="1"/>
  <c r="V273" i="1"/>
  <c r="U273" i="1"/>
  <c r="Q273" i="1"/>
  <c r="O273" i="1"/>
  <c r="M273" i="1"/>
  <c r="L273" i="1"/>
  <c r="K273" i="1"/>
  <c r="F273" i="1"/>
  <c r="F273" i="1" a="1"/>
  <c r="W272" i="1"/>
  <c r="W272" i="1" a="1"/>
  <c r="V272" i="1"/>
  <c r="U272" i="1"/>
  <c r="Q272" i="1"/>
  <c r="O272" i="1"/>
  <c r="M272" i="1"/>
  <c r="L272" i="1"/>
  <c r="K272" i="1"/>
  <c r="F272" i="1"/>
  <c r="F272" i="1" a="1"/>
  <c r="W271" i="1"/>
  <c r="W271" i="1" a="1"/>
  <c r="V271" i="1"/>
  <c r="U271" i="1"/>
  <c r="Q271" i="1"/>
  <c r="O271" i="1"/>
  <c r="M271" i="1"/>
  <c r="L271" i="1"/>
  <c r="K271" i="1"/>
  <c r="F271" i="1"/>
  <c r="F271" i="1" a="1"/>
  <c r="W270" i="1"/>
  <c r="W270" i="1" a="1"/>
  <c r="V270" i="1"/>
  <c r="U270" i="1"/>
  <c r="Q270" i="1"/>
  <c r="O270" i="1"/>
  <c r="M270" i="1"/>
  <c r="L270" i="1"/>
  <c r="K270" i="1"/>
  <c r="F270" i="1"/>
  <c r="F270" i="1" a="1"/>
  <c r="W269" i="1"/>
  <c r="W269" i="1" a="1"/>
  <c r="V269" i="1"/>
  <c r="U269" i="1"/>
  <c r="Q269" i="1"/>
  <c r="O269" i="1"/>
  <c r="M269" i="1"/>
  <c r="L269" i="1"/>
  <c r="K269" i="1"/>
  <c r="F269" i="1"/>
  <c r="F269" i="1" a="1"/>
  <c r="W268" i="1"/>
  <c r="W268" i="1" a="1"/>
  <c r="V268" i="1"/>
  <c r="U268" i="1"/>
  <c r="Q268" i="1"/>
  <c r="O268" i="1"/>
  <c r="M268" i="1"/>
  <c r="L268" i="1"/>
  <c r="K268" i="1"/>
  <c r="F268" i="1"/>
  <c r="F268" i="1" a="1"/>
  <c r="W267" i="1"/>
  <c r="W267" i="1" a="1"/>
  <c r="V267" i="1"/>
  <c r="U267" i="1"/>
  <c r="Q267" i="1"/>
  <c r="O267" i="1"/>
  <c r="M267" i="1"/>
  <c r="L267" i="1"/>
  <c r="K267" i="1"/>
  <c r="F267" i="1"/>
  <c r="F267" i="1" a="1"/>
  <c r="W266" i="1"/>
  <c r="W266" i="1" a="1"/>
  <c r="V266" i="1"/>
  <c r="U266" i="1"/>
  <c r="Q266" i="1"/>
  <c r="O266" i="1"/>
  <c r="M266" i="1"/>
  <c r="L266" i="1"/>
  <c r="K266" i="1"/>
  <c r="F266" i="1"/>
  <c r="F266" i="1" a="1"/>
  <c r="W265" i="1"/>
  <c r="W265" i="1" a="1"/>
  <c r="V265" i="1"/>
  <c r="U265" i="1"/>
  <c r="Q265" i="1"/>
  <c r="O265" i="1"/>
  <c r="M265" i="1"/>
  <c r="L265" i="1"/>
  <c r="K265" i="1"/>
  <c r="F265" i="1"/>
  <c r="F265" i="1" a="1"/>
  <c r="W264" i="1"/>
  <c r="W264" i="1" a="1"/>
  <c r="V264" i="1"/>
  <c r="U264" i="1"/>
  <c r="Q264" i="1"/>
  <c r="O264" i="1"/>
  <c r="M264" i="1"/>
  <c r="L264" i="1"/>
  <c r="K264" i="1"/>
  <c r="F264" i="1"/>
  <c r="F264" i="1" a="1"/>
  <c r="W263" i="1"/>
  <c r="W263" i="1" a="1"/>
  <c r="V263" i="1"/>
  <c r="U263" i="1"/>
  <c r="Q263" i="1"/>
  <c r="O263" i="1"/>
  <c r="M263" i="1"/>
  <c r="L263" i="1"/>
  <c r="K263" i="1"/>
  <c r="F263" i="1"/>
  <c r="F263" i="1" a="1"/>
  <c r="W262" i="1"/>
  <c r="W262" i="1" a="1"/>
  <c r="V262" i="1"/>
  <c r="U262" i="1"/>
  <c r="Q262" i="1"/>
  <c r="O262" i="1"/>
  <c r="M262" i="1"/>
  <c r="L262" i="1"/>
  <c r="K262" i="1"/>
  <c r="F262" i="1"/>
  <c r="F262" i="1" a="1"/>
  <c r="W261" i="1"/>
  <c r="W261" i="1" a="1"/>
  <c r="V261" i="1"/>
  <c r="U261" i="1"/>
  <c r="Q261" i="1"/>
  <c r="O261" i="1"/>
  <c r="M261" i="1"/>
  <c r="L261" i="1"/>
  <c r="K261" i="1"/>
  <c r="F261" i="1"/>
  <c r="F261" i="1" a="1"/>
  <c r="W260" i="1"/>
  <c r="W260" i="1" a="1"/>
  <c r="V260" i="1"/>
  <c r="U260" i="1"/>
  <c r="Q260" i="1"/>
  <c r="O260" i="1"/>
  <c r="M260" i="1"/>
  <c r="L260" i="1"/>
  <c r="K260" i="1"/>
  <c r="F260" i="1"/>
  <c r="F260" i="1" a="1"/>
  <c r="W259" i="1"/>
  <c r="W259" i="1" a="1"/>
  <c r="V259" i="1"/>
  <c r="U259" i="1"/>
  <c r="Q259" i="1"/>
  <c r="O259" i="1"/>
  <c r="M259" i="1"/>
  <c r="L259" i="1"/>
  <c r="K259" i="1"/>
  <c r="F259" i="1"/>
  <c r="F259" i="1" a="1"/>
  <c r="W258" i="1"/>
  <c r="W258" i="1" a="1"/>
  <c r="V258" i="1"/>
  <c r="U258" i="1"/>
  <c r="Q258" i="1"/>
  <c r="O258" i="1"/>
  <c r="M258" i="1"/>
  <c r="L258" i="1"/>
  <c r="K258" i="1"/>
  <c r="F258" i="1"/>
  <c r="F258" i="1" a="1"/>
  <c r="W257" i="1"/>
  <c r="W257" i="1" a="1"/>
  <c r="V257" i="1"/>
  <c r="U257" i="1"/>
  <c r="Q257" i="1"/>
  <c r="O257" i="1"/>
  <c r="M257" i="1"/>
  <c r="L257" i="1"/>
  <c r="K257" i="1"/>
  <c r="F257" i="1"/>
  <c r="F257" i="1" a="1"/>
  <c r="W256" i="1"/>
  <c r="W256" i="1" a="1"/>
  <c r="V256" i="1"/>
  <c r="U256" i="1"/>
  <c r="Q256" i="1"/>
  <c r="O256" i="1"/>
  <c r="M256" i="1"/>
  <c r="L256" i="1"/>
  <c r="K256" i="1"/>
  <c r="F256" i="1"/>
  <c r="F256" i="1" a="1"/>
  <c r="W255" i="1"/>
  <c r="W255" i="1" a="1"/>
  <c r="V255" i="1"/>
  <c r="U255" i="1"/>
  <c r="Q255" i="1"/>
  <c r="O255" i="1"/>
  <c r="M255" i="1"/>
  <c r="L255" i="1"/>
  <c r="K255" i="1"/>
  <c r="F255" i="1"/>
  <c r="F255" i="1" a="1"/>
  <c r="W254" i="1"/>
  <c r="W254" i="1" a="1"/>
  <c r="V254" i="1"/>
  <c r="U254" i="1"/>
  <c r="Q254" i="1"/>
  <c r="O254" i="1"/>
  <c r="M254" i="1"/>
  <c r="L254" i="1"/>
  <c r="K254" i="1"/>
  <c r="F254" i="1"/>
  <c r="F254" i="1" a="1"/>
  <c r="W253" i="1"/>
  <c r="W253" i="1" a="1"/>
  <c r="V253" i="1"/>
  <c r="U253" i="1"/>
  <c r="Q253" i="1"/>
  <c r="O253" i="1"/>
  <c r="M253" i="1"/>
  <c r="L253" i="1"/>
  <c r="K253" i="1"/>
  <c r="F253" i="1"/>
  <c r="F253" i="1" a="1"/>
  <c r="W252" i="1"/>
  <c r="W252" i="1" a="1"/>
  <c r="V252" i="1"/>
  <c r="U252" i="1"/>
  <c r="Q252" i="1"/>
  <c r="O252" i="1"/>
  <c r="M252" i="1"/>
  <c r="L252" i="1"/>
  <c r="K252" i="1"/>
  <c r="F252" i="1"/>
  <c r="F252" i="1" a="1"/>
  <c r="W251" i="1"/>
  <c r="W251" i="1" a="1"/>
  <c r="V251" i="1"/>
  <c r="U251" i="1"/>
  <c r="Q251" i="1"/>
  <c r="O251" i="1"/>
  <c r="M251" i="1"/>
  <c r="L251" i="1"/>
  <c r="K251" i="1"/>
  <c r="F251" i="1"/>
  <c r="F251" i="1" a="1"/>
  <c r="W250" i="1"/>
  <c r="W250" i="1" a="1"/>
  <c r="V250" i="1"/>
  <c r="U250" i="1"/>
  <c r="Q250" i="1"/>
  <c r="O250" i="1"/>
  <c r="M250" i="1"/>
  <c r="L250" i="1"/>
  <c r="K250" i="1"/>
  <c r="F250" i="1"/>
  <c r="F250" i="1" a="1"/>
  <c r="W249" i="1"/>
  <c r="W249" i="1" a="1"/>
  <c r="V249" i="1"/>
  <c r="U249" i="1"/>
  <c r="Q249" i="1"/>
  <c r="O249" i="1"/>
  <c r="M249" i="1"/>
  <c r="L249" i="1"/>
  <c r="K249" i="1"/>
  <c r="F249" i="1"/>
  <c r="F249" i="1" a="1"/>
  <c r="W248" i="1"/>
  <c r="W248" i="1" a="1"/>
  <c r="V248" i="1"/>
  <c r="U248" i="1"/>
  <c r="Q248" i="1"/>
  <c r="O248" i="1"/>
  <c r="M248" i="1"/>
  <c r="L248" i="1"/>
  <c r="K248" i="1"/>
  <c r="F248" i="1"/>
  <c r="F248" i="1" a="1"/>
  <c r="W247" i="1"/>
  <c r="W247" i="1" a="1"/>
  <c r="V247" i="1"/>
  <c r="U247" i="1"/>
  <c r="Q247" i="1"/>
  <c r="O247" i="1"/>
  <c r="M247" i="1"/>
  <c r="L247" i="1"/>
  <c r="K247" i="1"/>
  <c r="F247" i="1"/>
  <c r="F247" i="1" a="1"/>
  <c r="W246" i="1"/>
  <c r="W246" i="1" a="1"/>
  <c r="V246" i="1"/>
  <c r="U246" i="1"/>
  <c r="Q246" i="1"/>
  <c r="O246" i="1"/>
  <c r="M246" i="1"/>
  <c r="L246" i="1"/>
  <c r="K246" i="1"/>
  <c r="F246" i="1"/>
  <c r="F246" i="1" a="1"/>
  <c r="W245" i="1"/>
  <c r="W245" i="1" a="1"/>
  <c r="V245" i="1"/>
  <c r="U245" i="1"/>
  <c r="Q245" i="1"/>
  <c r="O245" i="1"/>
  <c r="M245" i="1"/>
  <c r="L245" i="1"/>
  <c r="K245" i="1"/>
  <c r="F245" i="1"/>
  <c r="F245" i="1" a="1"/>
  <c r="W244" i="1"/>
  <c r="W244" i="1" a="1"/>
  <c r="V244" i="1"/>
  <c r="U244" i="1"/>
  <c r="Q244" i="1"/>
  <c r="O244" i="1"/>
  <c r="M244" i="1"/>
  <c r="L244" i="1"/>
  <c r="K244" i="1"/>
  <c r="F244" i="1"/>
  <c r="F244" i="1" a="1"/>
  <c r="W243" i="1"/>
  <c r="W243" i="1" a="1"/>
  <c r="V243" i="1"/>
  <c r="U243" i="1"/>
  <c r="Q243" i="1"/>
  <c r="O243" i="1"/>
  <c r="M243" i="1"/>
  <c r="L243" i="1"/>
  <c r="K243" i="1"/>
  <c r="F243" i="1"/>
  <c r="F243" i="1" a="1"/>
  <c r="W242" i="1"/>
  <c r="W242" i="1" a="1"/>
  <c r="V242" i="1"/>
  <c r="U242" i="1"/>
  <c r="Q242" i="1"/>
  <c r="O242" i="1"/>
  <c r="M242" i="1"/>
  <c r="L242" i="1"/>
  <c r="K242" i="1"/>
  <c r="F242" i="1"/>
  <c r="F242" i="1" a="1"/>
  <c r="W241" i="1"/>
  <c r="W241" i="1" a="1"/>
  <c r="V241" i="1"/>
  <c r="U241" i="1"/>
  <c r="Q241" i="1"/>
  <c r="O241" i="1"/>
  <c r="M241" i="1"/>
  <c r="L241" i="1"/>
  <c r="K241" i="1"/>
  <c r="F241" i="1"/>
  <c r="F241" i="1" a="1"/>
  <c r="W240" i="1"/>
  <c r="W240" i="1" a="1"/>
  <c r="V240" i="1"/>
  <c r="U240" i="1"/>
  <c r="Q240" i="1"/>
  <c r="O240" i="1"/>
  <c r="M240" i="1"/>
  <c r="L240" i="1"/>
  <c r="K240" i="1"/>
  <c r="F240" i="1"/>
  <c r="F240" i="1" a="1"/>
  <c r="W239" i="1"/>
  <c r="W239" i="1" a="1"/>
  <c r="V239" i="1"/>
  <c r="U239" i="1"/>
  <c r="Q239" i="1"/>
  <c r="O239" i="1"/>
  <c r="M239" i="1"/>
  <c r="L239" i="1"/>
  <c r="K239" i="1"/>
  <c r="F239" i="1"/>
  <c r="F239" i="1" a="1"/>
  <c r="W238" i="1"/>
  <c r="W238" i="1" a="1"/>
  <c r="V238" i="1"/>
  <c r="U238" i="1"/>
  <c r="Q238" i="1"/>
  <c r="O238" i="1"/>
  <c r="M238" i="1"/>
  <c r="L238" i="1"/>
  <c r="K238" i="1"/>
  <c r="F238" i="1"/>
  <c r="F238" i="1" a="1"/>
  <c r="W237" i="1"/>
  <c r="W237" i="1" a="1"/>
  <c r="V237" i="1"/>
  <c r="U237" i="1"/>
  <c r="Q237" i="1"/>
  <c r="O237" i="1"/>
  <c r="M237" i="1"/>
  <c r="L237" i="1"/>
  <c r="K237" i="1"/>
  <c r="F237" i="1"/>
  <c r="F237" i="1" a="1"/>
  <c r="W236" i="1"/>
  <c r="W236" i="1" a="1"/>
  <c r="V236" i="1"/>
  <c r="U236" i="1"/>
  <c r="Q236" i="1"/>
  <c r="O236" i="1"/>
  <c r="M236" i="1"/>
  <c r="L236" i="1"/>
  <c r="K236" i="1"/>
  <c r="F236" i="1"/>
  <c r="F236" i="1" a="1"/>
  <c r="W235" i="1"/>
  <c r="W235" i="1" a="1"/>
  <c r="V235" i="1"/>
  <c r="U235" i="1"/>
  <c r="Q235" i="1"/>
  <c r="O235" i="1"/>
  <c r="M235" i="1"/>
  <c r="L235" i="1"/>
  <c r="K235" i="1"/>
  <c r="F235" i="1"/>
  <c r="F235" i="1" a="1"/>
  <c r="W234" i="1"/>
  <c r="W234" i="1" a="1"/>
  <c r="V234" i="1"/>
  <c r="U234" i="1"/>
  <c r="Q234" i="1"/>
  <c r="O234" i="1"/>
  <c r="M234" i="1"/>
  <c r="L234" i="1"/>
  <c r="K234" i="1"/>
  <c r="F234" i="1"/>
  <c r="F234" i="1" a="1"/>
  <c r="W233" i="1"/>
  <c r="W233" i="1" a="1"/>
  <c r="V233" i="1"/>
  <c r="U233" i="1"/>
  <c r="Q233" i="1"/>
  <c r="O233" i="1"/>
  <c r="M233" i="1"/>
  <c r="L233" i="1"/>
  <c r="K233" i="1"/>
  <c r="F233" i="1"/>
  <c r="F233" i="1" a="1"/>
  <c r="W232" i="1"/>
  <c r="W232" i="1" a="1"/>
  <c r="V232" i="1"/>
  <c r="U232" i="1"/>
  <c r="Q232" i="1"/>
  <c r="O232" i="1"/>
  <c r="M232" i="1"/>
  <c r="L232" i="1"/>
  <c r="K232" i="1"/>
  <c r="F232" i="1"/>
  <c r="F232" i="1" a="1"/>
  <c r="W231" i="1"/>
  <c r="W231" i="1" a="1"/>
  <c r="V231" i="1"/>
  <c r="U231" i="1"/>
  <c r="Q231" i="1"/>
  <c r="O231" i="1"/>
  <c r="M231" i="1"/>
  <c r="L231" i="1"/>
  <c r="K231" i="1"/>
  <c r="F231" i="1"/>
  <c r="F231" i="1" a="1"/>
  <c r="W230" i="1"/>
  <c r="W230" i="1" a="1"/>
  <c r="V230" i="1"/>
  <c r="U230" i="1"/>
  <c r="Q230" i="1"/>
  <c r="O230" i="1"/>
  <c r="M230" i="1"/>
  <c r="L230" i="1"/>
  <c r="K230" i="1"/>
  <c r="F230" i="1"/>
  <c r="F230" i="1" a="1"/>
  <c r="W229" i="1"/>
  <c r="W229" i="1" a="1"/>
  <c r="V229" i="1"/>
  <c r="U229" i="1"/>
  <c r="Q229" i="1"/>
  <c r="O229" i="1"/>
  <c r="M229" i="1"/>
  <c r="L229" i="1"/>
  <c r="K229" i="1"/>
  <c r="F229" i="1"/>
  <c r="F229" i="1" a="1"/>
  <c r="W228" i="1"/>
  <c r="W228" i="1" a="1"/>
  <c r="V228" i="1"/>
  <c r="U228" i="1"/>
  <c r="Q228" i="1"/>
  <c r="O228" i="1"/>
  <c r="M228" i="1"/>
  <c r="L228" i="1"/>
  <c r="K228" i="1"/>
  <c r="F228" i="1"/>
  <c r="F228" i="1" a="1"/>
  <c r="W227" i="1"/>
  <c r="W227" i="1" a="1"/>
  <c r="V227" i="1"/>
  <c r="U227" i="1"/>
  <c r="Q227" i="1"/>
  <c r="O227" i="1"/>
  <c r="M227" i="1"/>
  <c r="L227" i="1"/>
  <c r="K227" i="1"/>
  <c r="F227" i="1"/>
  <c r="F227" i="1" a="1"/>
  <c r="W226" i="1"/>
  <c r="W226" i="1" a="1"/>
  <c r="V226" i="1"/>
  <c r="U226" i="1"/>
  <c r="Q226" i="1"/>
  <c r="O226" i="1"/>
  <c r="M226" i="1"/>
  <c r="L226" i="1"/>
  <c r="K226" i="1"/>
  <c r="F226" i="1"/>
  <c r="F226" i="1" a="1"/>
  <c r="W225" i="1"/>
  <c r="W225" i="1" a="1"/>
  <c r="V225" i="1"/>
  <c r="U225" i="1"/>
  <c r="Q225" i="1"/>
  <c r="O225" i="1"/>
  <c r="M225" i="1"/>
  <c r="L225" i="1"/>
  <c r="K225" i="1"/>
  <c r="F225" i="1"/>
  <c r="F225" i="1" a="1"/>
  <c r="W224" i="1"/>
  <c r="W224" i="1" a="1"/>
  <c r="V224" i="1"/>
  <c r="U224" i="1"/>
  <c r="Q224" i="1"/>
  <c r="O224" i="1"/>
  <c r="M224" i="1"/>
  <c r="L224" i="1"/>
  <c r="K224" i="1"/>
  <c r="F224" i="1"/>
  <c r="F224" i="1" a="1"/>
  <c r="W223" i="1"/>
  <c r="W223" i="1" a="1"/>
  <c r="V223" i="1"/>
  <c r="U223" i="1"/>
  <c r="Q223" i="1"/>
  <c r="O223" i="1"/>
  <c r="M223" i="1"/>
  <c r="L223" i="1"/>
  <c r="K223" i="1"/>
  <c r="F223" i="1"/>
  <c r="F223" i="1" a="1"/>
  <c r="W222" i="1"/>
  <c r="W222" i="1" a="1"/>
  <c r="V222" i="1"/>
  <c r="U222" i="1"/>
  <c r="Q222" i="1"/>
  <c r="O222" i="1"/>
  <c r="M222" i="1"/>
  <c r="L222" i="1"/>
  <c r="K222" i="1"/>
  <c r="F222" i="1"/>
  <c r="F222" i="1" a="1"/>
  <c r="W221" i="1"/>
  <c r="W221" i="1" a="1"/>
  <c r="V221" i="1"/>
  <c r="U221" i="1"/>
  <c r="Q221" i="1"/>
  <c r="O221" i="1"/>
  <c r="M221" i="1"/>
  <c r="L221" i="1"/>
  <c r="K221" i="1"/>
  <c r="F221" i="1"/>
  <c r="F221" i="1" a="1"/>
  <c r="W220" i="1"/>
  <c r="W220" i="1" a="1"/>
  <c r="V220" i="1"/>
  <c r="U220" i="1"/>
  <c r="Q220" i="1"/>
  <c r="O220" i="1"/>
  <c r="M220" i="1"/>
  <c r="L220" i="1"/>
  <c r="K220" i="1"/>
  <c r="F220" i="1"/>
  <c r="F220" i="1" a="1"/>
  <c r="W219" i="1"/>
  <c r="W219" i="1" a="1"/>
  <c r="V219" i="1"/>
  <c r="U219" i="1"/>
  <c r="Q219" i="1"/>
  <c r="O219" i="1"/>
  <c r="M219" i="1"/>
  <c r="L219" i="1"/>
  <c r="K219" i="1"/>
  <c r="F219" i="1"/>
  <c r="F219" i="1" a="1"/>
  <c r="W218" i="1"/>
  <c r="W218" i="1" a="1"/>
  <c r="V218" i="1"/>
  <c r="U218" i="1"/>
  <c r="Q218" i="1"/>
  <c r="O218" i="1"/>
  <c r="M218" i="1"/>
  <c r="L218" i="1"/>
  <c r="K218" i="1"/>
  <c r="F218" i="1"/>
  <c r="F218" i="1" a="1"/>
  <c r="W217" i="1"/>
  <c r="W217" i="1" a="1"/>
  <c r="V217" i="1"/>
  <c r="U217" i="1"/>
  <c r="Q217" i="1"/>
  <c r="O217" i="1"/>
  <c r="M217" i="1"/>
  <c r="L217" i="1"/>
  <c r="K217" i="1"/>
  <c r="F217" i="1"/>
  <c r="F217" i="1" a="1"/>
  <c r="W216" i="1"/>
  <c r="W216" i="1" a="1"/>
  <c r="V216" i="1"/>
  <c r="U216" i="1"/>
  <c r="Q216" i="1"/>
  <c r="O216" i="1"/>
  <c r="M216" i="1"/>
  <c r="L216" i="1"/>
  <c r="K216" i="1"/>
  <c r="F216" i="1"/>
  <c r="F216" i="1" a="1"/>
  <c r="W215" i="1"/>
  <c r="W215" i="1" a="1"/>
  <c r="V215" i="1"/>
  <c r="U215" i="1"/>
  <c r="Q215" i="1"/>
  <c r="O215" i="1"/>
  <c r="M215" i="1"/>
  <c r="L215" i="1"/>
  <c r="K215" i="1"/>
  <c r="F215" i="1"/>
  <c r="F215" i="1" a="1"/>
  <c r="W214" i="1"/>
  <c r="W214" i="1" a="1"/>
  <c r="V214" i="1"/>
  <c r="U214" i="1"/>
  <c r="Q214" i="1"/>
  <c r="O214" i="1"/>
  <c r="M214" i="1"/>
  <c r="L214" i="1"/>
  <c r="K214" i="1"/>
  <c r="F214" i="1"/>
  <c r="F214" i="1" a="1"/>
  <c r="W213" i="1"/>
  <c r="W213" i="1" a="1"/>
  <c r="V213" i="1"/>
  <c r="U213" i="1"/>
  <c r="Q213" i="1"/>
  <c r="O213" i="1"/>
  <c r="M213" i="1"/>
  <c r="L213" i="1"/>
  <c r="K213" i="1"/>
  <c r="F213" i="1"/>
  <c r="F213" i="1" a="1"/>
  <c r="W212" i="1"/>
  <c r="W212" i="1" a="1"/>
  <c r="V212" i="1"/>
  <c r="U212" i="1"/>
  <c r="Q212" i="1"/>
  <c r="O212" i="1"/>
  <c r="M212" i="1"/>
  <c r="L212" i="1"/>
  <c r="K212" i="1"/>
  <c r="F212" i="1"/>
  <c r="F212" i="1" a="1"/>
  <c r="W211" i="1"/>
  <c r="W211" i="1" a="1"/>
  <c r="V211" i="1"/>
  <c r="U211" i="1"/>
  <c r="Q211" i="1"/>
  <c r="O211" i="1"/>
  <c r="M211" i="1"/>
  <c r="L211" i="1"/>
  <c r="K211" i="1"/>
  <c r="F211" i="1"/>
  <c r="F211" i="1" a="1"/>
  <c r="W210" i="1"/>
  <c r="W210" i="1" a="1"/>
  <c r="V210" i="1"/>
  <c r="U210" i="1"/>
  <c r="Q210" i="1"/>
  <c r="O210" i="1"/>
  <c r="M210" i="1"/>
  <c r="L210" i="1"/>
  <c r="K210" i="1"/>
  <c r="F210" i="1"/>
  <c r="F210" i="1" a="1"/>
  <c r="W209" i="1"/>
  <c r="W209" i="1" a="1"/>
  <c r="V209" i="1"/>
  <c r="U209" i="1"/>
  <c r="Q209" i="1"/>
  <c r="O209" i="1"/>
  <c r="M209" i="1"/>
  <c r="L209" i="1"/>
  <c r="K209" i="1"/>
  <c r="F209" i="1"/>
  <c r="F209" i="1" a="1"/>
  <c r="W208" i="1"/>
  <c r="W208" i="1" a="1"/>
  <c r="V208" i="1"/>
  <c r="U208" i="1"/>
  <c r="Q208" i="1"/>
  <c r="O208" i="1"/>
  <c r="M208" i="1"/>
  <c r="L208" i="1"/>
  <c r="K208" i="1"/>
  <c r="F208" i="1"/>
  <c r="F208" i="1" a="1"/>
  <c r="W207" i="1"/>
  <c r="W207" i="1" a="1"/>
  <c r="V207" i="1"/>
  <c r="U207" i="1"/>
  <c r="Q207" i="1"/>
  <c r="O207" i="1"/>
  <c r="M207" i="1"/>
  <c r="L207" i="1"/>
  <c r="K207" i="1"/>
  <c r="F207" i="1"/>
  <c r="F207" i="1" a="1"/>
  <c r="W206" i="1"/>
  <c r="W206" i="1" a="1"/>
  <c r="V206" i="1"/>
  <c r="U206" i="1"/>
  <c r="Q206" i="1"/>
  <c r="O206" i="1"/>
  <c r="M206" i="1"/>
  <c r="L206" i="1"/>
  <c r="K206" i="1"/>
  <c r="F206" i="1"/>
  <c r="F206" i="1" a="1"/>
  <c r="W205" i="1"/>
  <c r="W205" i="1" a="1"/>
  <c r="V205" i="1"/>
  <c r="U205" i="1"/>
  <c r="Q205" i="1"/>
  <c r="O205" i="1"/>
  <c r="M205" i="1"/>
  <c r="L205" i="1"/>
  <c r="K205" i="1"/>
  <c r="F205" i="1"/>
  <c r="F205" i="1" a="1"/>
  <c r="W204" i="1"/>
  <c r="W204" i="1" a="1"/>
  <c r="V204" i="1"/>
  <c r="U204" i="1"/>
  <c r="Q204" i="1"/>
  <c r="O204" i="1"/>
  <c r="M204" i="1"/>
  <c r="L204" i="1"/>
  <c r="K204" i="1"/>
  <c r="F204" i="1"/>
  <c r="F204" i="1" a="1"/>
  <c r="W203" i="1"/>
  <c r="W203" i="1" a="1"/>
  <c r="V203" i="1"/>
  <c r="U203" i="1"/>
  <c r="Q203" i="1"/>
  <c r="O203" i="1"/>
  <c r="M203" i="1"/>
  <c r="L203" i="1"/>
  <c r="K203" i="1"/>
  <c r="F203" i="1"/>
  <c r="F203" i="1" a="1"/>
  <c r="W202" i="1"/>
  <c r="W202" i="1" a="1"/>
  <c r="V202" i="1"/>
  <c r="U202" i="1"/>
  <c r="Q202" i="1"/>
  <c r="O202" i="1"/>
  <c r="M202" i="1"/>
  <c r="L202" i="1"/>
  <c r="K202" i="1"/>
  <c r="F202" i="1"/>
  <c r="F202" i="1" a="1"/>
  <c r="W201" i="1"/>
  <c r="W201" i="1" a="1"/>
  <c r="V201" i="1"/>
  <c r="U201" i="1"/>
  <c r="Q201" i="1"/>
  <c r="O201" i="1"/>
  <c r="M201" i="1"/>
  <c r="L201" i="1"/>
  <c r="K201" i="1"/>
  <c r="F201" i="1"/>
  <c r="F201" i="1" a="1"/>
  <c r="W200" i="1"/>
  <c r="W200" i="1" a="1"/>
  <c r="V200" i="1"/>
  <c r="U200" i="1"/>
  <c r="Q200" i="1"/>
  <c r="O200" i="1"/>
  <c r="M200" i="1"/>
  <c r="L200" i="1"/>
  <c r="K200" i="1"/>
  <c r="F200" i="1"/>
  <c r="F200" i="1" a="1"/>
  <c r="W199" i="1"/>
  <c r="W199" i="1" a="1"/>
  <c r="V199" i="1"/>
  <c r="U199" i="1"/>
  <c r="Q199" i="1"/>
  <c r="O199" i="1"/>
  <c r="M199" i="1"/>
  <c r="L199" i="1"/>
  <c r="K199" i="1"/>
  <c r="F199" i="1"/>
  <c r="F199" i="1" a="1"/>
  <c r="W198" i="1"/>
  <c r="W198" i="1" a="1"/>
  <c r="V198" i="1"/>
  <c r="U198" i="1"/>
  <c r="Q198" i="1"/>
  <c r="O198" i="1"/>
  <c r="M198" i="1"/>
  <c r="L198" i="1"/>
  <c r="K198" i="1"/>
  <c r="F198" i="1"/>
  <c r="F198" i="1" a="1"/>
  <c r="W197" i="1"/>
  <c r="W197" i="1" a="1"/>
  <c r="V197" i="1"/>
  <c r="U197" i="1"/>
  <c r="Q197" i="1"/>
  <c r="O197" i="1"/>
  <c r="M197" i="1"/>
  <c r="L197" i="1"/>
  <c r="K197" i="1"/>
  <c r="F197" i="1"/>
  <c r="F197" i="1" a="1"/>
  <c r="W196" i="1"/>
  <c r="W196" i="1" a="1"/>
  <c r="V196" i="1"/>
  <c r="U196" i="1"/>
  <c r="Q196" i="1"/>
  <c r="O196" i="1"/>
  <c r="M196" i="1"/>
  <c r="L196" i="1"/>
  <c r="K196" i="1"/>
  <c r="F196" i="1"/>
  <c r="F196" i="1" a="1"/>
  <c r="W195" i="1"/>
  <c r="W195" i="1" a="1"/>
  <c r="V195" i="1"/>
  <c r="U195" i="1"/>
  <c r="Q195" i="1"/>
  <c r="O195" i="1"/>
  <c r="M195" i="1"/>
  <c r="L195" i="1"/>
  <c r="K195" i="1"/>
  <c r="F195" i="1"/>
  <c r="F195" i="1" a="1"/>
  <c r="W194" i="1"/>
  <c r="W194" i="1" a="1"/>
  <c r="V194" i="1"/>
  <c r="U194" i="1"/>
  <c r="Q194" i="1"/>
  <c r="O194" i="1"/>
  <c r="M194" i="1"/>
  <c r="L194" i="1"/>
  <c r="K194" i="1"/>
  <c r="F194" i="1"/>
  <c r="F194" i="1" a="1"/>
  <c r="W193" i="1"/>
  <c r="W193" i="1" a="1"/>
  <c r="V193" i="1"/>
  <c r="U193" i="1"/>
  <c r="Q193" i="1"/>
  <c r="O193" i="1"/>
  <c r="M193" i="1"/>
  <c r="L193" i="1"/>
  <c r="K193" i="1"/>
  <c r="F193" i="1"/>
  <c r="F193" i="1" a="1"/>
  <c r="W192" i="1"/>
  <c r="W192" i="1" a="1"/>
  <c r="V192" i="1"/>
  <c r="U192" i="1"/>
  <c r="Q192" i="1"/>
  <c r="O192" i="1"/>
  <c r="M192" i="1"/>
  <c r="L192" i="1"/>
  <c r="K192" i="1"/>
  <c r="F192" i="1"/>
  <c r="F192" i="1" a="1"/>
  <c r="W191" i="1"/>
  <c r="W191" i="1" a="1"/>
  <c r="V191" i="1"/>
  <c r="U191" i="1"/>
  <c r="Q191" i="1"/>
  <c r="O191" i="1"/>
  <c r="M191" i="1"/>
  <c r="L191" i="1"/>
  <c r="K191" i="1"/>
  <c r="F191" i="1"/>
  <c r="F191" i="1" a="1"/>
  <c r="W190" i="1"/>
  <c r="W190" i="1" a="1"/>
  <c r="V190" i="1"/>
  <c r="U190" i="1"/>
  <c r="Q190" i="1"/>
  <c r="O190" i="1"/>
  <c r="M190" i="1"/>
  <c r="L190" i="1"/>
  <c r="K190" i="1"/>
  <c r="F190" i="1"/>
  <c r="F190" i="1" a="1"/>
  <c r="W189" i="1"/>
  <c r="W189" i="1" a="1"/>
  <c r="V189" i="1"/>
  <c r="U189" i="1"/>
  <c r="Q189" i="1"/>
  <c r="O189" i="1"/>
  <c r="M189" i="1"/>
  <c r="L189" i="1"/>
  <c r="K189" i="1"/>
  <c r="F189" i="1"/>
  <c r="F189" i="1" a="1"/>
  <c r="W188" i="1"/>
  <c r="W188" i="1" a="1"/>
  <c r="V188" i="1"/>
  <c r="U188" i="1"/>
  <c r="Q188" i="1"/>
  <c r="O188" i="1"/>
  <c r="M188" i="1"/>
  <c r="L188" i="1"/>
  <c r="K188" i="1"/>
  <c r="F188" i="1"/>
  <c r="F188" i="1" a="1"/>
  <c r="W187" i="1"/>
  <c r="W187" i="1" a="1"/>
  <c r="V187" i="1"/>
  <c r="U187" i="1"/>
  <c r="Q187" i="1"/>
  <c r="O187" i="1"/>
  <c r="M187" i="1"/>
  <c r="L187" i="1"/>
  <c r="K187" i="1"/>
  <c r="F187" i="1"/>
  <c r="F187" i="1" a="1"/>
  <c r="W186" i="1"/>
  <c r="W186" i="1" a="1"/>
  <c r="V186" i="1"/>
  <c r="U186" i="1"/>
  <c r="Q186" i="1"/>
  <c r="O186" i="1"/>
  <c r="M186" i="1"/>
  <c r="L186" i="1"/>
  <c r="K186" i="1"/>
  <c r="F186" i="1"/>
  <c r="F186" i="1" a="1"/>
  <c r="W185" i="1"/>
  <c r="W185" i="1" a="1"/>
  <c r="V185" i="1"/>
  <c r="U185" i="1"/>
  <c r="Q185" i="1"/>
  <c r="O185" i="1"/>
  <c r="M185" i="1"/>
  <c r="L185" i="1"/>
  <c r="K185" i="1"/>
  <c r="F185" i="1"/>
  <c r="F185" i="1" a="1"/>
  <c r="W184" i="1"/>
  <c r="W184" i="1" a="1"/>
  <c r="V184" i="1"/>
  <c r="U184" i="1"/>
  <c r="Q184" i="1"/>
  <c r="O184" i="1"/>
  <c r="M184" i="1"/>
  <c r="L184" i="1"/>
  <c r="K184" i="1"/>
  <c r="F184" i="1"/>
  <c r="F184" i="1" a="1"/>
  <c r="W183" i="1"/>
  <c r="W183" i="1" a="1"/>
  <c r="V183" i="1"/>
  <c r="U183" i="1"/>
  <c r="Q183" i="1"/>
  <c r="O183" i="1"/>
  <c r="M183" i="1"/>
  <c r="L183" i="1"/>
  <c r="K183" i="1"/>
  <c r="F183" i="1"/>
  <c r="F183" i="1" a="1"/>
  <c r="W182" i="1"/>
  <c r="W182" i="1" a="1"/>
  <c r="V182" i="1"/>
  <c r="U182" i="1"/>
  <c r="Q182" i="1"/>
  <c r="O182" i="1"/>
  <c r="M182" i="1"/>
  <c r="L182" i="1"/>
  <c r="K182" i="1"/>
  <c r="F182" i="1"/>
  <c r="F182" i="1" a="1"/>
  <c r="W181" i="1"/>
  <c r="W181" i="1" a="1"/>
  <c r="V181" i="1"/>
  <c r="U181" i="1"/>
  <c r="Q181" i="1"/>
  <c r="O181" i="1"/>
  <c r="M181" i="1"/>
  <c r="L181" i="1"/>
  <c r="K181" i="1"/>
  <c r="F181" i="1"/>
  <c r="F181" i="1" a="1"/>
  <c r="W180" i="1"/>
  <c r="W180" i="1" a="1"/>
  <c r="V180" i="1"/>
  <c r="U180" i="1"/>
  <c r="Q180" i="1"/>
  <c r="O180" i="1"/>
  <c r="M180" i="1"/>
  <c r="L180" i="1"/>
  <c r="K180" i="1"/>
  <c r="F180" i="1"/>
  <c r="F180" i="1" a="1"/>
  <c r="W179" i="1"/>
  <c r="W179" i="1" a="1"/>
  <c r="V179" i="1"/>
  <c r="U179" i="1"/>
  <c r="Q179" i="1"/>
  <c r="O179" i="1"/>
  <c r="M179" i="1"/>
  <c r="L179" i="1"/>
  <c r="K179" i="1"/>
  <c r="F179" i="1"/>
  <c r="F179" i="1" a="1"/>
  <c r="W178" i="1"/>
  <c r="W178" i="1" a="1"/>
  <c r="V178" i="1"/>
  <c r="U178" i="1"/>
  <c r="Q178" i="1"/>
  <c r="O178" i="1"/>
  <c r="M178" i="1"/>
  <c r="L178" i="1"/>
  <c r="K178" i="1"/>
  <c r="F178" i="1"/>
  <c r="F178" i="1" a="1"/>
  <c r="W177" i="1"/>
  <c r="W177" i="1" a="1"/>
  <c r="V177" i="1"/>
  <c r="U177" i="1"/>
  <c r="Q177" i="1"/>
  <c r="O177" i="1"/>
  <c r="M177" i="1"/>
  <c r="L177" i="1"/>
  <c r="K177" i="1"/>
  <c r="F177" i="1"/>
  <c r="F177" i="1" a="1"/>
  <c r="W176" i="1"/>
  <c r="W176" i="1" a="1"/>
  <c r="V176" i="1"/>
  <c r="U176" i="1"/>
  <c r="Q176" i="1"/>
  <c r="O176" i="1"/>
  <c r="M176" i="1"/>
  <c r="L176" i="1"/>
  <c r="K176" i="1"/>
  <c r="F176" i="1"/>
  <c r="F176" i="1" a="1"/>
  <c r="W175" i="1"/>
  <c r="W175" i="1" a="1"/>
  <c r="V175" i="1"/>
  <c r="U175" i="1"/>
  <c r="Q175" i="1"/>
  <c r="O175" i="1"/>
  <c r="M175" i="1"/>
  <c r="L175" i="1"/>
  <c r="K175" i="1"/>
  <c r="F175" i="1"/>
  <c r="F175" i="1" a="1"/>
  <c r="W174" i="1"/>
  <c r="W174" i="1" a="1"/>
  <c r="V174" i="1"/>
  <c r="U174" i="1"/>
  <c r="Q174" i="1"/>
  <c r="O174" i="1"/>
  <c r="M174" i="1"/>
  <c r="L174" i="1"/>
  <c r="K174" i="1"/>
  <c r="F174" i="1"/>
  <c r="F174" i="1" a="1"/>
  <c r="W173" i="1"/>
  <c r="W173" i="1" a="1"/>
  <c r="V173" i="1"/>
  <c r="U173" i="1"/>
  <c r="Q173" i="1"/>
  <c r="O173" i="1"/>
  <c r="M173" i="1"/>
  <c r="L173" i="1"/>
  <c r="K173" i="1"/>
  <c r="F173" i="1"/>
  <c r="F173" i="1" a="1"/>
  <c r="W172" i="1"/>
  <c r="W172" i="1" a="1"/>
  <c r="V172" i="1"/>
  <c r="U172" i="1"/>
  <c r="Q172" i="1"/>
  <c r="O172" i="1"/>
  <c r="M172" i="1"/>
  <c r="L172" i="1"/>
  <c r="K172" i="1"/>
  <c r="F172" i="1"/>
  <c r="F172" i="1" a="1"/>
  <c r="W171" i="1"/>
  <c r="W171" i="1" a="1"/>
  <c r="V171" i="1"/>
  <c r="U171" i="1"/>
  <c r="Q171" i="1"/>
  <c r="O171" i="1"/>
  <c r="M171" i="1"/>
  <c r="L171" i="1"/>
  <c r="K171" i="1"/>
  <c r="F171" i="1"/>
  <c r="F171" i="1" a="1"/>
  <c r="W170" i="1"/>
  <c r="W170" i="1" a="1"/>
  <c r="V170" i="1"/>
  <c r="U170" i="1"/>
  <c r="Q170" i="1"/>
  <c r="O170" i="1"/>
  <c r="M170" i="1"/>
  <c r="L170" i="1"/>
  <c r="K170" i="1"/>
  <c r="F170" i="1"/>
  <c r="F170" i="1" a="1"/>
  <c r="W169" i="1"/>
  <c r="W169" i="1" a="1"/>
  <c r="V169" i="1"/>
  <c r="U169" i="1"/>
  <c r="Q169" i="1"/>
  <c r="O169" i="1"/>
  <c r="M169" i="1"/>
  <c r="L169" i="1"/>
  <c r="K169" i="1"/>
  <c r="F169" i="1"/>
  <c r="F169" i="1" a="1"/>
  <c r="W168" i="1"/>
  <c r="W168" i="1" a="1"/>
  <c r="V168" i="1"/>
  <c r="U168" i="1"/>
  <c r="Q168" i="1"/>
  <c r="O168" i="1"/>
  <c r="M168" i="1"/>
  <c r="L168" i="1"/>
  <c r="K168" i="1"/>
  <c r="F168" i="1"/>
  <c r="F168" i="1" a="1"/>
  <c r="W167" i="1"/>
  <c r="W167" i="1" a="1"/>
  <c r="V167" i="1"/>
  <c r="U167" i="1"/>
  <c r="Q167" i="1"/>
  <c r="O167" i="1"/>
  <c r="M167" i="1"/>
  <c r="L167" i="1"/>
  <c r="K167" i="1"/>
  <c r="F167" i="1"/>
  <c r="F167" i="1" a="1"/>
  <c r="W166" i="1"/>
  <c r="W166" i="1" a="1"/>
  <c r="V166" i="1"/>
  <c r="U166" i="1"/>
  <c r="Q166" i="1"/>
  <c r="O166" i="1"/>
  <c r="M166" i="1"/>
  <c r="L166" i="1"/>
  <c r="K166" i="1"/>
  <c r="F166" i="1"/>
  <c r="F166" i="1" a="1"/>
  <c r="W165" i="1"/>
  <c r="W165" i="1" a="1"/>
  <c r="V165" i="1"/>
  <c r="U165" i="1"/>
  <c r="Q165" i="1"/>
  <c r="O165" i="1"/>
  <c r="M165" i="1"/>
  <c r="L165" i="1"/>
  <c r="K165" i="1"/>
  <c r="F165" i="1"/>
  <c r="F165" i="1" a="1"/>
  <c r="W164" i="1"/>
  <c r="W164" i="1" a="1"/>
  <c r="V164" i="1"/>
  <c r="U164" i="1"/>
  <c r="Q164" i="1"/>
  <c r="O164" i="1"/>
  <c r="M164" i="1"/>
  <c r="L164" i="1"/>
  <c r="K164" i="1"/>
  <c r="F164" i="1"/>
  <c r="F164" i="1" a="1"/>
  <c r="W163" i="1"/>
  <c r="W163" i="1" a="1"/>
  <c r="V163" i="1"/>
  <c r="U163" i="1"/>
  <c r="Q163" i="1"/>
  <c r="O163" i="1"/>
  <c r="M163" i="1"/>
  <c r="L163" i="1"/>
  <c r="K163" i="1"/>
  <c r="F163" i="1"/>
  <c r="F163" i="1" a="1"/>
  <c r="W162" i="1"/>
  <c r="W162" i="1" a="1"/>
  <c r="V162" i="1"/>
  <c r="U162" i="1"/>
  <c r="Q162" i="1"/>
  <c r="O162" i="1"/>
  <c r="M162" i="1"/>
  <c r="L162" i="1"/>
  <c r="K162" i="1"/>
  <c r="F162" i="1"/>
  <c r="F162" i="1" a="1"/>
  <c r="W161" i="1"/>
  <c r="W161" i="1" a="1"/>
  <c r="V161" i="1"/>
  <c r="U161" i="1"/>
  <c r="Q161" i="1"/>
  <c r="O161" i="1"/>
  <c r="M161" i="1"/>
  <c r="L161" i="1"/>
  <c r="K161" i="1"/>
  <c r="F161" i="1"/>
  <c r="F161" i="1" a="1"/>
  <c r="W160" i="1"/>
  <c r="W160" i="1" a="1"/>
  <c r="V160" i="1"/>
  <c r="U160" i="1"/>
  <c r="Q160" i="1"/>
  <c r="O160" i="1"/>
  <c r="M160" i="1"/>
  <c r="L160" i="1"/>
  <c r="K160" i="1"/>
  <c r="F160" i="1"/>
  <c r="F160" i="1" a="1"/>
  <c r="W159" i="1"/>
  <c r="W159" i="1" a="1"/>
  <c r="V159" i="1"/>
  <c r="U159" i="1"/>
  <c r="Q159" i="1"/>
  <c r="O159" i="1"/>
  <c r="M159" i="1"/>
  <c r="L159" i="1"/>
  <c r="K159" i="1"/>
  <c r="F159" i="1"/>
  <c r="F159" i="1" a="1"/>
  <c r="W158" i="1"/>
  <c r="W158" i="1" a="1"/>
  <c r="V158" i="1"/>
  <c r="U158" i="1"/>
  <c r="Q158" i="1"/>
  <c r="O158" i="1"/>
  <c r="M158" i="1"/>
  <c r="L158" i="1"/>
  <c r="K158" i="1"/>
  <c r="F158" i="1"/>
  <c r="F158" i="1" a="1"/>
  <c r="W157" i="1"/>
  <c r="W157" i="1" a="1"/>
  <c r="V157" i="1"/>
  <c r="U157" i="1"/>
  <c r="Q157" i="1"/>
  <c r="O157" i="1"/>
  <c r="M157" i="1"/>
  <c r="L157" i="1"/>
  <c r="K157" i="1"/>
  <c r="F157" i="1"/>
  <c r="F157" i="1" a="1"/>
  <c r="W156" i="1"/>
  <c r="W156" i="1" a="1"/>
  <c r="V156" i="1"/>
  <c r="U156" i="1"/>
  <c r="Q156" i="1"/>
  <c r="O156" i="1"/>
  <c r="M156" i="1"/>
  <c r="L156" i="1"/>
  <c r="K156" i="1"/>
  <c r="F156" i="1"/>
  <c r="F156" i="1" a="1"/>
  <c r="W155" i="1"/>
  <c r="W155" i="1" a="1"/>
  <c r="V155" i="1"/>
  <c r="U155" i="1"/>
  <c r="Q155" i="1"/>
  <c r="O155" i="1"/>
  <c r="M155" i="1"/>
  <c r="L155" i="1"/>
  <c r="K155" i="1"/>
  <c r="F155" i="1"/>
  <c r="F155" i="1" a="1"/>
  <c r="W154" i="1"/>
  <c r="W154" i="1" a="1"/>
  <c r="V154" i="1"/>
  <c r="U154" i="1"/>
  <c r="Q154" i="1"/>
  <c r="O154" i="1"/>
  <c r="M154" i="1"/>
  <c r="L154" i="1"/>
  <c r="K154" i="1"/>
  <c r="F154" i="1"/>
  <c r="F154" i="1" a="1"/>
  <c r="W153" i="1"/>
  <c r="W153" i="1" a="1"/>
  <c r="V153" i="1"/>
  <c r="U153" i="1"/>
  <c r="Q153" i="1"/>
  <c r="O153" i="1"/>
  <c r="M153" i="1"/>
  <c r="L153" i="1"/>
  <c r="K153" i="1"/>
  <c r="F153" i="1"/>
  <c r="F153" i="1" a="1"/>
  <c r="W152" i="1"/>
  <c r="W152" i="1" a="1"/>
  <c r="V152" i="1"/>
  <c r="U152" i="1"/>
  <c r="Q152" i="1"/>
  <c r="O152" i="1"/>
  <c r="M152" i="1"/>
  <c r="L152" i="1"/>
  <c r="K152" i="1"/>
  <c r="F152" i="1"/>
  <c r="F152" i="1" a="1"/>
  <c r="W151" i="1"/>
  <c r="W151" i="1" a="1"/>
  <c r="V151" i="1"/>
  <c r="U151" i="1"/>
  <c r="Q151" i="1"/>
  <c r="O151" i="1"/>
  <c r="M151" i="1"/>
  <c r="L151" i="1"/>
  <c r="K151" i="1"/>
  <c r="F151" i="1"/>
  <c r="F151" i="1" a="1"/>
  <c r="W150" i="1"/>
  <c r="W150" i="1" a="1"/>
  <c r="V150" i="1"/>
  <c r="U150" i="1"/>
  <c r="Q150" i="1"/>
  <c r="O150" i="1"/>
  <c r="M150" i="1"/>
  <c r="L150" i="1"/>
  <c r="K150" i="1"/>
  <c r="F150" i="1"/>
  <c r="F150" i="1" a="1"/>
  <c r="W149" i="1"/>
  <c r="W149" i="1" a="1"/>
  <c r="V149" i="1"/>
  <c r="U149" i="1"/>
  <c r="Q149" i="1"/>
  <c r="O149" i="1"/>
  <c r="M149" i="1"/>
  <c r="L149" i="1"/>
  <c r="K149" i="1"/>
  <c r="F149" i="1"/>
  <c r="F149" i="1" a="1"/>
  <c r="W148" i="1"/>
  <c r="W148" i="1" a="1"/>
  <c r="V148" i="1"/>
  <c r="U148" i="1"/>
  <c r="Q148" i="1"/>
  <c r="O148" i="1"/>
  <c r="M148" i="1"/>
  <c r="L148" i="1"/>
  <c r="K148" i="1"/>
  <c r="F148" i="1"/>
  <c r="F148" i="1" a="1"/>
  <c r="W147" i="1"/>
  <c r="W147" i="1" a="1"/>
  <c r="V147" i="1"/>
  <c r="U147" i="1"/>
  <c r="Q147" i="1"/>
  <c r="O147" i="1"/>
  <c r="M147" i="1"/>
  <c r="L147" i="1"/>
  <c r="K147" i="1"/>
  <c r="F147" i="1"/>
  <c r="F147" i="1" a="1"/>
  <c r="W146" i="1"/>
  <c r="W146" i="1" a="1"/>
  <c r="V146" i="1"/>
  <c r="U146" i="1"/>
  <c r="Q146" i="1"/>
  <c r="O146" i="1"/>
  <c r="M146" i="1"/>
  <c r="L146" i="1"/>
  <c r="K146" i="1"/>
  <c r="F146" i="1"/>
  <c r="F146" i="1" a="1"/>
  <c r="W145" i="1"/>
  <c r="W145" i="1" a="1"/>
  <c r="V145" i="1"/>
  <c r="U145" i="1"/>
  <c r="Q145" i="1"/>
  <c r="O145" i="1"/>
  <c r="M145" i="1"/>
  <c r="L145" i="1"/>
  <c r="K145" i="1"/>
  <c r="F145" i="1"/>
  <c r="F145" i="1" a="1"/>
  <c r="W144" i="1"/>
  <c r="W144" i="1" a="1"/>
  <c r="V144" i="1"/>
  <c r="U144" i="1"/>
  <c r="Q144" i="1"/>
  <c r="O144" i="1"/>
  <c r="M144" i="1"/>
  <c r="L144" i="1"/>
  <c r="K144" i="1"/>
  <c r="F144" i="1"/>
  <c r="F144" i="1" a="1"/>
  <c r="W143" i="1"/>
  <c r="W143" i="1" a="1"/>
  <c r="V143" i="1"/>
  <c r="U143" i="1"/>
  <c r="Q143" i="1"/>
  <c r="O143" i="1"/>
  <c r="M143" i="1"/>
  <c r="L143" i="1"/>
  <c r="K143" i="1"/>
  <c r="F143" i="1"/>
  <c r="F143" i="1" a="1"/>
  <c r="W142" i="1"/>
  <c r="W142" i="1" a="1"/>
  <c r="V142" i="1"/>
  <c r="U142" i="1"/>
  <c r="Q142" i="1"/>
  <c r="O142" i="1"/>
  <c r="M142" i="1"/>
  <c r="L142" i="1"/>
  <c r="K142" i="1"/>
  <c r="F142" i="1"/>
  <c r="F142" i="1" a="1"/>
  <c r="W141" i="1"/>
  <c r="W141" i="1" a="1"/>
  <c r="V141" i="1"/>
  <c r="U141" i="1"/>
  <c r="Q141" i="1"/>
  <c r="O141" i="1"/>
  <c r="M141" i="1"/>
  <c r="L141" i="1"/>
  <c r="K141" i="1"/>
  <c r="F141" i="1"/>
  <c r="F141" i="1" a="1"/>
  <c r="W140" i="1"/>
  <c r="W140" i="1" a="1"/>
  <c r="V140" i="1"/>
  <c r="U140" i="1"/>
  <c r="Q140" i="1"/>
  <c r="O140" i="1"/>
  <c r="M140" i="1"/>
  <c r="L140" i="1"/>
  <c r="K140" i="1"/>
  <c r="F140" i="1"/>
  <c r="F140" i="1" a="1"/>
  <c r="W139" i="1"/>
  <c r="W139" i="1" a="1"/>
  <c r="V139" i="1"/>
  <c r="U139" i="1"/>
  <c r="Q139" i="1"/>
  <c r="O139" i="1"/>
  <c r="M139" i="1"/>
  <c r="L139" i="1"/>
  <c r="K139" i="1"/>
  <c r="F139" i="1"/>
  <c r="F139" i="1" a="1"/>
  <c r="W138" i="1"/>
  <c r="W138" i="1" a="1"/>
  <c r="V138" i="1"/>
  <c r="U138" i="1"/>
  <c r="Q138" i="1"/>
  <c r="O138" i="1"/>
  <c r="M138" i="1"/>
  <c r="L138" i="1"/>
  <c r="K138" i="1"/>
  <c r="F138" i="1"/>
  <c r="F138" i="1" a="1"/>
  <c r="W137" i="1"/>
  <c r="W137" i="1" a="1"/>
  <c r="V137" i="1"/>
  <c r="U137" i="1"/>
  <c r="Q137" i="1"/>
  <c r="O137" i="1"/>
  <c r="M137" i="1"/>
  <c r="L137" i="1"/>
  <c r="K137" i="1"/>
  <c r="F137" i="1"/>
  <c r="F137" i="1" a="1"/>
  <c r="W136" i="1"/>
  <c r="W136" i="1" a="1"/>
  <c r="V136" i="1"/>
  <c r="U136" i="1"/>
  <c r="Q136" i="1"/>
  <c r="O136" i="1"/>
  <c r="M136" i="1"/>
  <c r="L136" i="1"/>
  <c r="K136" i="1"/>
  <c r="F136" i="1"/>
  <c r="F136" i="1" a="1"/>
  <c r="W135" i="1"/>
  <c r="W135" i="1" a="1"/>
  <c r="V135" i="1"/>
  <c r="U135" i="1"/>
  <c r="Q135" i="1"/>
  <c r="O135" i="1"/>
  <c r="M135" i="1"/>
  <c r="L135" i="1"/>
  <c r="K135" i="1"/>
  <c r="F135" i="1"/>
  <c r="F135" i="1" a="1"/>
  <c r="W134" i="1"/>
  <c r="W134" i="1" a="1"/>
  <c r="V134" i="1"/>
  <c r="U134" i="1"/>
  <c r="Q134" i="1"/>
  <c r="O134" i="1"/>
  <c r="M134" i="1"/>
  <c r="L134" i="1"/>
  <c r="K134" i="1"/>
  <c r="F134" i="1"/>
  <c r="F134" i="1" a="1"/>
  <c r="W133" i="1"/>
  <c r="W133" i="1" a="1"/>
  <c r="V133" i="1"/>
  <c r="U133" i="1"/>
  <c r="Q133" i="1"/>
  <c r="O133" i="1"/>
  <c r="M133" i="1"/>
  <c r="L133" i="1"/>
  <c r="K133" i="1"/>
  <c r="F133" i="1"/>
  <c r="F133" i="1" a="1"/>
  <c r="W132" i="1"/>
  <c r="W132" i="1" a="1"/>
  <c r="V132" i="1"/>
  <c r="U132" i="1"/>
  <c r="Q132" i="1"/>
  <c r="O132" i="1"/>
  <c r="M132" i="1"/>
  <c r="L132" i="1"/>
  <c r="K132" i="1"/>
  <c r="F132" i="1"/>
  <c r="F132" i="1" a="1"/>
  <c r="W131" i="1"/>
  <c r="W131" i="1" a="1"/>
  <c r="V131" i="1"/>
  <c r="U131" i="1"/>
  <c r="Q131" i="1"/>
  <c r="O131" i="1"/>
  <c r="M131" i="1"/>
  <c r="L131" i="1"/>
  <c r="K131" i="1"/>
  <c r="F131" i="1"/>
  <c r="F131" i="1" a="1"/>
  <c r="W130" i="1"/>
  <c r="W130" i="1" a="1"/>
  <c r="V130" i="1"/>
  <c r="U130" i="1"/>
  <c r="Q130" i="1"/>
  <c r="O130" i="1"/>
  <c r="M130" i="1"/>
  <c r="L130" i="1"/>
  <c r="K130" i="1"/>
  <c r="F130" i="1"/>
  <c r="F130" i="1" a="1"/>
  <c r="W129" i="1"/>
  <c r="W129" i="1" a="1"/>
  <c r="V129" i="1"/>
  <c r="U129" i="1"/>
  <c r="Q129" i="1"/>
  <c r="O129" i="1"/>
  <c r="M129" i="1"/>
  <c r="L129" i="1"/>
  <c r="K129" i="1"/>
  <c r="F129" i="1"/>
  <c r="F129" i="1" a="1"/>
  <c r="W128" i="1"/>
  <c r="W128" i="1" a="1"/>
  <c r="V128" i="1"/>
  <c r="U128" i="1"/>
  <c r="Q128" i="1"/>
  <c r="O128" i="1"/>
  <c r="M128" i="1"/>
  <c r="L128" i="1"/>
  <c r="K128" i="1"/>
  <c r="F128" i="1"/>
  <c r="F128" i="1" a="1"/>
  <c r="W127" i="1"/>
  <c r="W127" i="1" a="1"/>
  <c r="V127" i="1"/>
  <c r="U127" i="1"/>
  <c r="Q127" i="1"/>
  <c r="O127" i="1"/>
  <c r="M127" i="1"/>
  <c r="L127" i="1"/>
  <c r="K127" i="1"/>
  <c r="F127" i="1"/>
  <c r="F127" i="1" a="1"/>
  <c r="W126" i="1"/>
  <c r="W126" i="1" a="1"/>
  <c r="V126" i="1"/>
  <c r="U126" i="1"/>
  <c r="Q126" i="1"/>
  <c r="O126" i="1"/>
  <c r="M126" i="1"/>
  <c r="L126" i="1"/>
  <c r="K126" i="1"/>
  <c r="F126" i="1"/>
  <c r="F126" i="1" a="1"/>
  <c r="W125" i="1"/>
  <c r="W125" i="1" a="1"/>
  <c r="V125" i="1"/>
  <c r="U125" i="1"/>
  <c r="Q125" i="1"/>
  <c r="O125" i="1"/>
  <c r="M125" i="1"/>
  <c r="L125" i="1"/>
  <c r="K125" i="1"/>
  <c r="F125" i="1"/>
  <c r="F125" i="1" a="1"/>
  <c r="W124" i="1"/>
  <c r="W124" i="1" a="1"/>
  <c r="V124" i="1"/>
  <c r="U124" i="1"/>
  <c r="Q124" i="1"/>
  <c r="O124" i="1"/>
  <c r="M124" i="1"/>
  <c r="L124" i="1"/>
  <c r="K124" i="1"/>
  <c r="F124" i="1"/>
  <c r="F124" i="1" a="1"/>
  <c r="W123" i="1"/>
  <c r="W123" i="1" a="1"/>
  <c r="V123" i="1"/>
  <c r="U123" i="1"/>
  <c r="Q123" i="1"/>
  <c r="O123" i="1"/>
  <c r="M123" i="1"/>
  <c r="L123" i="1"/>
  <c r="K123" i="1"/>
  <c r="F123" i="1"/>
  <c r="F123" i="1" a="1"/>
  <c r="W122" i="1"/>
  <c r="W122" i="1" a="1"/>
  <c r="V122" i="1"/>
  <c r="U122" i="1"/>
  <c r="Q122" i="1"/>
  <c r="O122" i="1"/>
  <c r="M122" i="1"/>
  <c r="L122" i="1"/>
  <c r="K122" i="1"/>
  <c r="F122" i="1"/>
  <c r="F122" i="1" a="1"/>
  <c r="W121" i="1"/>
  <c r="W121" i="1" a="1"/>
  <c r="V121" i="1"/>
  <c r="U121" i="1"/>
  <c r="Q121" i="1"/>
  <c r="O121" i="1"/>
  <c r="M121" i="1"/>
  <c r="L121" i="1"/>
  <c r="K121" i="1"/>
  <c r="F121" i="1"/>
  <c r="F121" i="1" a="1"/>
  <c r="W120" i="1"/>
  <c r="W120" i="1" a="1"/>
  <c r="V120" i="1"/>
  <c r="U120" i="1"/>
  <c r="Q120" i="1"/>
  <c r="O120" i="1"/>
  <c r="M120" i="1"/>
  <c r="L120" i="1"/>
  <c r="K120" i="1"/>
  <c r="F120" i="1"/>
  <c r="F120" i="1" a="1"/>
  <c r="W119" i="1"/>
  <c r="W119" i="1" a="1"/>
  <c r="V119" i="1"/>
  <c r="U119" i="1"/>
  <c r="Q119" i="1"/>
  <c r="O119" i="1"/>
  <c r="M119" i="1"/>
  <c r="L119" i="1"/>
  <c r="K119" i="1"/>
  <c r="F119" i="1"/>
  <c r="F119" i="1" a="1"/>
  <c r="W118" i="1"/>
  <c r="W118" i="1" a="1"/>
  <c r="V118" i="1"/>
  <c r="U118" i="1"/>
  <c r="Q118" i="1"/>
  <c r="O118" i="1"/>
  <c r="M118" i="1"/>
  <c r="L118" i="1"/>
  <c r="K118" i="1"/>
  <c r="F118" i="1"/>
  <c r="F118" i="1" a="1"/>
  <c r="W117" i="1"/>
  <c r="W117" i="1" a="1"/>
  <c r="V117" i="1"/>
  <c r="U117" i="1"/>
  <c r="Q117" i="1"/>
  <c r="O117" i="1"/>
  <c r="M117" i="1"/>
  <c r="L117" i="1"/>
  <c r="K117" i="1"/>
  <c r="F117" i="1"/>
  <c r="F117" i="1" a="1"/>
  <c r="W116" i="1"/>
  <c r="W116" i="1" a="1"/>
  <c r="V116" i="1"/>
  <c r="U116" i="1"/>
  <c r="Q116" i="1"/>
  <c r="O116" i="1"/>
  <c r="M116" i="1"/>
  <c r="L116" i="1"/>
  <c r="K116" i="1"/>
  <c r="F116" i="1"/>
  <c r="F116" i="1" a="1"/>
  <c r="W115" i="1"/>
  <c r="W115" i="1" a="1"/>
  <c r="V115" i="1"/>
  <c r="U115" i="1"/>
  <c r="Q115" i="1"/>
  <c r="O115" i="1"/>
  <c r="M115" i="1"/>
  <c r="L115" i="1"/>
  <c r="K115" i="1"/>
  <c r="F115" i="1"/>
  <c r="F115" i="1" a="1"/>
  <c r="W114" i="1"/>
  <c r="W114" i="1" a="1"/>
  <c r="V114" i="1"/>
  <c r="U114" i="1"/>
  <c r="Q114" i="1"/>
  <c r="O114" i="1"/>
  <c r="M114" i="1"/>
  <c r="L114" i="1"/>
  <c r="K114" i="1"/>
  <c r="F114" i="1"/>
  <c r="F114" i="1" a="1"/>
  <c r="W113" i="1"/>
  <c r="W113" i="1" a="1"/>
  <c r="V113" i="1"/>
  <c r="U113" i="1"/>
  <c r="Q113" i="1"/>
  <c r="O113" i="1"/>
  <c r="M113" i="1"/>
  <c r="L113" i="1"/>
  <c r="K113" i="1"/>
  <c r="F113" i="1"/>
  <c r="F113" i="1" a="1"/>
  <c r="W112" i="1"/>
  <c r="W112" i="1" a="1"/>
  <c r="V112" i="1"/>
  <c r="U112" i="1"/>
  <c r="Q112" i="1"/>
  <c r="O112" i="1"/>
  <c r="M112" i="1"/>
  <c r="L112" i="1"/>
  <c r="K112" i="1"/>
  <c r="F112" i="1"/>
  <c r="F112" i="1" a="1"/>
  <c r="W111" i="1"/>
  <c r="W111" i="1" a="1"/>
  <c r="V111" i="1"/>
  <c r="U111" i="1"/>
  <c r="Q111" i="1"/>
  <c r="O111" i="1"/>
  <c r="M111" i="1"/>
  <c r="L111" i="1"/>
  <c r="K111" i="1"/>
  <c r="F111" i="1"/>
  <c r="F111" i="1" a="1"/>
  <c r="W110" i="1"/>
  <c r="W110" i="1" a="1"/>
  <c r="V110" i="1"/>
  <c r="U110" i="1"/>
  <c r="Q110" i="1"/>
  <c r="O110" i="1"/>
  <c r="M110" i="1"/>
  <c r="L110" i="1"/>
  <c r="K110" i="1"/>
  <c r="F110" i="1"/>
  <c r="F110" i="1" a="1"/>
  <c r="W109" i="1"/>
  <c r="W109" i="1" a="1"/>
  <c r="V109" i="1"/>
  <c r="U109" i="1"/>
  <c r="Q109" i="1"/>
  <c r="O109" i="1"/>
  <c r="M109" i="1"/>
  <c r="L109" i="1"/>
  <c r="K109" i="1"/>
  <c r="F109" i="1"/>
  <c r="F109" i="1" a="1"/>
  <c r="W108" i="1"/>
  <c r="W108" i="1" a="1"/>
  <c r="V108" i="1"/>
  <c r="U108" i="1"/>
  <c r="Q108" i="1"/>
  <c r="O108" i="1"/>
  <c r="M108" i="1"/>
  <c r="L108" i="1"/>
  <c r="K108" i="1"/>
  <c r="F108" i="1"/>
  <c r="F108" i="1" a="1"/>
  <c r="W107" i="1"/>
  <c r="W107" i="1" a="1"/>
  <c r="V107" i="1"/>
  <c r="U107" i="1"/>
  <c r="Q107" i="1"/>
  <c r="O107" i="1"/>
  <c r="M107" i="1"/>
  <c r="L107" i="1"/>
  <c r="K107" i="1"/>
  <c r="F107" i="1"/>
  <c r="F107" i="1" a="1"/>
  <c r="W106" i="1"/>
  <c r="W106" i="1" a="1"/>
  <c r="V106" i="1"/>
  <c r="U106" i="1"/>
  <c r="Q106" i="1"/>
  <c r="O106" i="1"/>
  <c r="M106" i="1"/>
  <c r="L106" i="1"/>
  <c r="K106" i="1"/>
  <c r="F106" i="1"/>
  <c r="F106" i="1" a="1"/>
  <c r="W105" i="1"/>
  <c r="W105" i="1" a="1"/>
  <c r="V105" i="1"/>
  <c r="U105" i="1"/>
  <c r="Q105" i="1"/>
  <c r="O105" i="1"/>
  <c r="M105" i="1"/>
  <c r="L105" i="1"/>
  <c r="K105" i="1"/>
  <c r="F105" i="1"/>
  <c r="F105" i="1" a="1"/>
  <c r="W104" i="1"/>
  <c r="W104" i="1" a="1"/>
  <c r="V104" i="1"/>
  <c r="U104" i="1"/>
  <c r="Q104" i="1"/>
  <c r="O104" i="1"/>
  <c r="M104" i="1"/>
  <c r="L104" i="1"/>
  <c r="K104" i="1"/>
  <c r="F104" i="1"/>
  <c r="F104" i="1" a="1"/>
  <c r="W103" i="1"/>
  <c r="W103" i="1" a="1"/>
  <c r="V103" i="1"/>
  <c r="U103" i="1"/>
  <c r="Q103" i="1"/>
  <c r="O103" i="1"/>
  <c r="M103" i="1"/>
  <c r="L103" i="1"/>
  <c r="K103" i="1"/>
  <c r="F103" i="1"/>
  <c r="F103" i="1" a="1"/>
  <c r="W102" i="1"/>
  <c r="W102" i="1" a="1"/>
  <c r="V102" i="1"/>
  <c r="U102" i="1"/>
  <c r="Q102" i="1"/>
  <c r="O102" i="1"/>
  <c r="M102" i="1"/>
  <c r="L102" i="1"/>
  <c r="K102" i="1"/>
  <c r="F102" i="1"/>
  <c r="F102" i="1" a="1"/>
  <c r="W101" i="1"/>
  <c r="W101" i="1" a="1"/>
  <c r="V101" i="1"/>
  <c r="U101" i="1"/>
  <c r="Q101" i="1"/>
  <c r="O101" i="1"/>
  <c r="M101" i="1"/>
  <c r="L101" i="1"/>
  <c r="K101" i="1"/>
  <c r="F101" i="1"/>
  <c r="F101" i="1" a="1"/>
  <c r="W100" i="1"/>
  <c r="W100" i="1" a="1"/>
  <c r="V100" i="1"/>
  <c r="U100" i="1"/>
  <c r="Q100" i="1"/>
  <c r="O100" i="1"/>
  <c r="M100" i="1"/>
  <c r="L100" i="1"/>
  <c r="K100" i="1"/>
  <c r="F100" i="1"/>
  <c r="F100" i="1" a="1"/>
  <c r="W99" i="1"/>
  <c r="W99" i="1" a="1"/>
  <c r="V99" i="1"/>
  <c r="U99" i="1"/>
  <c r="Q99" i="1"/>
  <c r="O99" i="1"/>
  <c r="M99" i="1"/>
  <c r="L99" i="1"/>
  <c r="K99" i="1"/>
  <c r="F99" i="1"/>
  <c r="F99" i="1" a="1"/>
  <c r="W98" i="1"/>
  <c r="W98" i="1" a="1"/>
  <c r="V98" i="1"/>
  <c r="U98" i="1"/>
  <c r="Q98" i="1"/>
  <c r="O98" i="1"/>
  <c r="M98" i="1"/>
  <c r="L98" i="1"/>
  <c r="K98" i="1"/>
  <c r="F98" i="1"/>
  <c r="F98" i="1" a="1"/>
  <c r="W97" i="1"/>
  <c r="W97" i="1" a="1"/>
  <c r="V97" i="1"/>
  <c r="U97" i="1"/>
  <c r="Q97" i="1"/>
  <c r="O97" i="1"/>
  <c r="M97" i="1"/>
  <c r="L97" i="1"/>
  <c r="K97" i="1"/>
  <c r="F97" i="1"/>
  <c r="F97" i="1" a="1"/>
  <c r="W96" i="1"/>
  <c r="W96" i="1" a="1"/>
  <c r="V96" i="1"/>
  <c r="U96" i="1"/>
  <c r="Q96" i="1"/>
  <c r="O96" i="1"/>
  <c r="M96" i="1"/>
  <c r="L96" i="1"/>
  <c r="K96" i="1"/>
  <c r="F96" i="1"/>
  <c r="F96" i="1" a="1"/>
  <c r="W95" i="1"/>
  <c r="W95" i="1" a="1"/>
  <c r="V95" i="1"/>
  <c r="U95" i="1"/>
  <c r="Q95" i="1"/>
  <c r="O95" i="1"/>
  <c r="M95" i="1"/>
  <c r="L95" i="1"/>
  <c r="K95" i="1"/>
  <c r="F95" i="1"/>
  <c r="F95" i="1" a="1"/>
  <c r="W94" i="1"/>
  <c r="W94" i="1" a="1"/>
  <c r="V94" i="1"/>
  <c r="U94" i="1"/>
  <c r="Q94" i="1"/>
  <c r="O94" i="1"/>
  <c r="M94" i="1"/>
  <c r="L94" i="1"/>
  <c r="K94" i="1"/>
  <c r="F94" i="1"/>
  <c r="F94" i="1" a="1"/>
  <c r="W93" i="1"/>
  <c r="W93" i="1" a="1"/>
  <c r="V93" i="1"/>
  <c r="U93" i="1"/>
  <c r="Q93" i="1"/>
  <c r="O93" i="1"/>
  <c r="M93" i="1"/>
  <c r="L93" i="1"/>
  <c r="K93" i="1"/>
  <c r="F93" i="1"/>
  <c r="F93" i="1" a="1"/>
  <c r="W92" i="1"/>
  <c r="W92" i="1" a="1"/>
  <c r="V92" i="1"/>
  <c r="U92" i="1"/>
  <c r="Q92" i="1"/>
  <c r="O92" i="1"/>
  <c r="M92" i="1"/>
  <c r="L92" i="1"/>
  <c r="K92" i="1"/>
  <c r="F92" i="1"/>
  <c r="F92" i="1" a="1"/>
  <c r="W91" i="1"/>
  <c r="W91" i="1" a="1"/>
  <c r="V91" i="1"/>
  <c r="U91" i="1"/>
  <c r="Q91" i="1"/>
  <c r="O91" i="1"/>
  <c r="M91" i="1"/>
  <c r="L91" i="1"/>
  <c r="K91" i="1"/>
  <c r="F91" i="1"/>
  <c r="F91" i="1" a="1"/>
  <c r="W90" i="1"/>
  <c r="W90" i="1" a="1"/>
  <c r="V90" i="1"/>
  <c r="U90" i="1"/>
  <c r="Q90" i="1"/>
  <c r="O90" i="1"/>
  <c r="M90" i="1"/>
  <c r="L90" i="1"/>
  <c r="K90" i="1"/>
  <c r="F90" i="1"/>
  <c r="F90" i="1" a="1"/>
  <c r="W89" i="1"/>
  <c r="W89" i="1" a="1"/>
  <c r="V89" i="1"/>
  <c r="U89" i="1"/>
  <c r="Q89" i="1"/>
  <c r="O89" i="1"/>
  <c r="M89" i="1"/>
  <c r="L89" i="1"/>
  <c r="K89" i="1"/>
  <c r="F89" i="1"/>
  <c r="F89" i="1" a="1"/>
  <c r="W88" i="1"/>
  <c r="W88" i="1" a="1"/>
  <c r="V88" i="1"/>
  <c r="U88" i="1"/>
  <c r="Q88" i="1"/>
  <c r="O88" i="1"/>
  <c r="M88" i="1"/>
  <c r="L88" i="1"/>
  <c r="K88" i="1"/>
  <c r="F88" i="1"/>
  <c r="F88" i="1" a="1"/>
  <c r="W87" i="1"/>
  <c r="W87" i="1" a="1"/>
  <c r="V87" i="1"/>
  <c r="U87" i="1"/>
  <c r="Q87" i="1"/>
  <c r="O87" i="1"/>
  <c r="M87" i="1"/>
  <c r="L87" i="1"/>
  <c r="K87" i="1"/>
  <c r="F87" i="1"/>
  <c r="F87" i="1" a="1"/>
  <c r="W86" i="1"/>
  <c r="W86" i="1" a="1"/>
  <c r="V86" i="1"/>
  <c r="U86" i="1"/>
  <c r="Q86" i="1"/>
  <c r="O86" i="1"/>
  <c r="M86" i="1"/>
  <c r="L86" i="1"/>
  <c r="K86" i="1"/>
  <c r="F86" i="1"/>
  <c r="F86" i="1" a="1"/>
  <c r="W85" i="1"/>
  <c r="W85" i="1" a="1"/>
  <c r="V85" i="1"/>
  <c r="U85" i="1"/>
  <c r="Q85" i="1"/>
  <c r="O85" i="1"/>
  <c r="M85" i="1"/>
  <c r="L85" i="1"/>
  <c r="K85" i="1"/>
  <c r="F85" i="1"/>
  <c r="F85" i="1" a="1"/>
  <c r="W84" i="1"/>
  <c r="W84" i="1" a="1"/>
  <c r="V84" i="1"/>
  <c r="U84" i="1"/>
  <c r="Q84" i="1"/>
  <c r="O84" i="1"/>
  <c r="M84" i="1"/>
  <c r="L84" i="1"/>
  <c r="K84" i="1"/>
  <c r="F84" i="1"/>
  <c r="F84" i="1" a="1"/>
  <c r="W83" i="1"/>
  <c r="W83" i="1" a="1"/>
  <c r="V83" i="1"/>
  <c r="U83" i="1"/>
  <c r="Q83" i="1"/>
  <c r="O83" i="1"/>
  <c r="M83" i="1"/>
  <c r="L83" i="1"/>
  <c r="K83" i="1"/>
  <c r="F83" i="1"/>
  <c r="F83" i="1" a="1"/>
  <c r="W82" i="1"/>
  <c r="W82" i="1" a="1"/>
  <c r="V82" i="1"/>
  <c r="U82" i="1"/>
  <c r="Q82" i="1"/>
  <c r="O82" i="1"/>
  <c r="M82" i="1"/>
  <c r="L82" i="1"/>
  <c r="K82" i="1"/>
  <c r="F82" i="1"/>
  <c r="F82" i="1" a="1"/>
  <c r="W81" i="1"/>
  <c r="W81" i="1" a="1"/>
  <c r="V81" i="1"/>
  <c r="U81" i="1"/>
  <c r="Q81" i="1"/>
  <c r="O81" i="1"/>
  <c r="M81" i="1"/>
  <c r="L81" i="1"/>
  <c r="K81" i="1"/>
  <c r="F81" i="1"/>
  <c r="F81" i="1" a="1"/>
  <c r="W80" i="1"/>
  <c r="W80" i="1" a="1"/>
  <c r="V80" i="1"/>
  <c r="U80" i="1"/>
  <c r="Q80" i="1"/>
  <c r="O80" i="1"/>
  <c r="M80" i="1"/>
  <c r="L80" i="1"/>
  <c r="K80" i="1"/>
  <c r="F80" i="1"/>
  <c r="F80" i="1" a="1"/>
  <c r="W79" i="1"/>
  <c r="W79" i="1" a="1"/>
  <c r="V79" i="1"/>
  <c r="U79" i="1"/>
  <c r="Q79" i="1"/>
  <c r="O79" i="1"/>
  <c r="M79" i="1"/>
  <c r="L79" i="1"/>
  <c r="K79" i="1"/>
  <c r="F79" i="1"/>
  <c r="F79" i="1" a="1"/>
  <c r="W78" i="1"/>
  <c r="W78" i="1" a="1"/>
  <c r="V78" i="1"/>
  <c r="U78" i="1"/>
  <c r="Q78" i="1"/>
  <c r="O78" i="1"/>
  <c r="M78" i="1"/>
  <c r="L78" i="1"/>
  <c r="K78" i="1"/>
  <c r="F78" i="1"/>
  <c r="F78" i="1" a="1"/>
  <c r="W77" i="1"/>
  <c r="W77" i="1" a="1"/>
  <c r="V77" i="1"/>
  <c r="U77" i="1"/>
  <c r="Q77" i="1"/>
  <c r="O77" i="1"/>
  <c r="M77" i="1"/>
  <c r="L77" i="1"/>
  <c r="K77" i="1"/>
  <c r="F77" i="1"/>
  <c r="F77" i="1" a="1"/>
  <c r="W76" i="1"/>
  <c r="W76" i="1" a="1"/>
  <c r="V76" i="1"/>
  <c r="U76" i="1"/>
  <c r="Q76" i="1"/>
  <c r="O76" i="1"/>
  <c r="M76" i="1"/>
  <c r="L76" i="1"/>
  <c r="K76" i="1"/>
  <c r="F76" i="1"/>
  <c r="F76" i="1" a="1"/>
  <c r="W75" i="1"/>
  <c r="W75" i="1" a="1"/>
  <c r="V75" i="1"/>
  <c r="U75" i="1"/>
  <c r="Q75" i="1"/>
  <c r="O75" i="1"/>
  <c r="M75" i="1"/>
  <c r="L75" i="1"/>
  <c r="K75" i="1"/>
  <c r="F75" i="1"/>
  <c r="F75" i="1" a="1"/>
  <c r="W74" i="1"/>
  <c r="W74" i="1" a="1"/>
  <c r="V74" i="1"/>
  <c r="U74" i="1"/>
  <c r="Q74" i="1"/>
  <c r="O74" i="1"/>
  <c r="M74" i="1"/>
  <c r="L74" i="1"/>
  <c r="K74" i="1"/>
  <c r="F74" i="1"/>
  <c r="F74" i="1" a="1"/>
  <c r="W73" i="1"/>
  <c r="W73" i="1" a="1"/>
  <c r="V73" i="1"/>
  <c r="U73" i="1"/>
  <c r="Q73" i="1"/>
  <c r="O73" i="1"/>
  <c r="M73" i="1"/>
  <c r="L73" i="1"/>
  <c r="K73" i="1"/>
  <c r="F73" i="1"/>
  <c r="F73" i="1" a="1"/>
  <c r="W72" i="1"/>
  <c r="W72" i="1" a="1"/>
  <c r="V72" i="1"/>
  <c r="U72" i="1"/>
  <c r="Q72" i="1"/>
  <c r="O72" i="1"/>
  <c r="M72" i="1"/>
  <c r="L72" i="1"/>
  <c r="K72" i="1"/>
  <c r="F72" i="1"/>
  <c r="F72" i="1" a="1"/>
  <c r="W71" i="1"/>
  <c r="W71" i="1" a="1"/>
  <c r="V71" i="1"/>
  <c r="U71" i="1"/>
  <c r="Q71" i="1"/>
  <c r="O71" i="1"/>
  <c r="M71" i="1"/>
  <c r="L71" i="1"/>
  <c r="K71" i="1"/>
  <c r="F71" i="1"/>
  <c r="F71" i="1" a="1"/>
  <c r="W70" i="1"/>
  <c r="W70" i="1" a="1"/>
  <c r="V70" i="1"/>
  <c r="U70" i="1"/>
  <c r="Q70" i="1"/>
  <c r="O70" i="1"/>
  <c r="M70" i="1"/>
  <c r="L70" i="1"/>
  <c r="K70" i="1"/>
  <c r="F70" i="1"/>
  <c r="F70" i="1" a="1"/>
  <c r="W69" i="1"/>
  <c r="W69" i="1" a="1"/>
  <c r="V69" i="1"/>
  <c r="U69" i="1"/>
  <c r="Q69" i="1"/>
  <c r="O69" i="1"/>
  <c r="M69" i="1"/>
  <c r="L69" i="1"/>
  <c r="K69" i="1"/>
  <c r="F69" i="1"/>
  <c r="F69" i="1" a="1"/>
  <c r="W68" i="1"/>
  <c r="W68" i="1" a="1"/>
  <c r="V68" i="1"/>
  <c r="U68" i="1"/>
  <c r="Q68" i="1"/>
  <c r="O68" i="1"/>
  <c r="M68" i="1"/>
  <c r="L68" i="1"/>
  <c r="K68" i="1"/>
  <c r="F68" i="1"/>
  <c r="F68" i="1" a="1"/>
  <c r="W67" i="1"/>
  <c r="W67" i="1" a="1"/>
  <c r="V67" i="1"/>
  <c r="U67" i="1"/>
  <c r="Q67" i="1"/>
  <c r="O67" i="1"/>
  <c r="M67" i="1"/>
  <c r="L67" i="1"/>
  <c r="K67" i="1"/>
  <c r="F67" i="1"/>
  <c r="F67" i="1" a="1"/>
  <c r="W66" i="1"/>
  <c r="W66" i="1" a="1"/>
  <c r="V66" i="1"/>
  <c r="U66" i="1"/>
  <c r="Q66" i="1"/>
  <c r="O66" i="1"/>
  <c r="M66" i="1"/>
  <c r="L66" i="1"/>
  <c r="K66" i="1"/>
  <c r="F66" i="1"/>
  <c r="F66" i="1" a="1"/>
  <c r="W65" i="1"/>
  <c r="W65" i="1" a="1"/>
  <c r="V65" i="1"/>
  <c r="U65" i="1"/>
  <c r="Q65" i="1"/>
  <c r="O65" i="1"/>
  <c r="M65" i="1"/>
  <c r="L65" i="1"/>
  <c r="K65" i="1"/>
  <c r="F65" i="1"/>
  <c r="F65" i="1" a="1"/>
  <c r="W64" i="1"/>
  <c r="W64" i="1" a="1"/>
  <c r="V64" i="1"/>
  <c r="U64" i="1"/>
  <c r="Q64" i="1"/>
  <c r="O64" i="1"/>
  <c r="M64" i="1"/>
  <c r="L64" i="1"/>
  <c r="K64" i="1"/>
  <c r="F64" i="1"/>
  <c r="F64" i="1" a="1"/>
  <c r="W63" i="1"/>
  <c r="W63" i="1" a="1"/>
  <c r="V63" i="1"/>
  <c r="U63" i="1"/>
  <c r="Q63" i="1"/>
  <c r="O63" i="1"/>
  <c r="M63" i="1"/>
  <c r="L63" i="1"/>
  <c r="K63" i="1"/>
  <c r="F63" i="1"/>
  <c r="F63" i="1" a="1"/>
  <c r="W62" i="1"/>
  <c r="W62" i="1" a="1"/>
  <c r="V62" i="1"/>
  <c r="U62" i="1"/>
  <c r="Q62" i="1"/>
  <c r="O62" i="1"/>
  <c r="M62" i="1"/>
  <c r="L62" i="1"/>
  <c r="K62" i="1"/>
  <c r="F62" i="1"/>
  <c r="F62" i="1" a="1"/>
  <c r="W61" i="1"/>
  <c r="W61" i="1" a="1"/>
  <c r="V61" i="1"/>
  <c r="U61" i="1"/>
  <c r="Q61" i="1"/>
  <c r="O61" i="1"/>
  <c r="M61" i="1"/>
  <c r="L61" i="1"/>
  <c r="K61" i="1"/>
  <c r="F61" i="1"/>
  <c r="F61" i="1" a="1"/>
  <c r="W60" i="1"/>
  <c r="W60" i="1" a="1"/>
  <c r="V60" i="1"/>
  <c r="U60" i="1"/>
  <c r="Q60" i="1"/>
  <c r="O60" i="1"/>
  <c r="M60" i="1"/>
  <c r="L60" i="1"/>
  <c r="K60" i="1"/>
  <c r="F60" i="1"/>
  <c r="F60" i="1" a="1"/>
  <c r="W59" i="1"/>
  <c r="W59" i="1" a="1"/>
  <c r="V59" i="1"/>
  <c r="U59" i="1"/>
  <c r="Q59" i="1"/>
  <c r="O59" i="1"/>
  <c r="M59" i="1"/>
  <c r="L59" i="1"/>
  <c r="K59" i="1"/>
  <c r="F59" i="1"/>
  <c r="F59" i="1" a="1"/>
  <c r="W58" i="1"/>
  <c r="W58" i="1" a="1"/>
  <c r="V58" i="1"/>
  <c r="U58" i="1"/>
  <c r="Q58" i="1"/>
  <c r="O58" i="1"/>
  <c r="M58" i="1"/>
  <c r="L58" i="1"/>
  <c r="K58" i="1"/>
  <c r="F58" i="1"/>
  <c r="F58" i="1" a="1"/>
  <c r="W57" i="1"/>
  <c r="W57" i="1" a="1"/>
  <c r="V57" i="1"/>
  <c r="U57" i="1"/>
  <c r="Q57" i="1"/>
  <c r="O57" i="1"/>
  <c r="M57" i="1"/>
  <c r="L57" i="1"/>
  <c r="K57" i="1"/>
  <c r="F57" i="1"/>
  <c r="F57" i="1" a="1"/>
  <c r="W56" i="1"/>
  <c r="W56" i="1" a="1"/>
  <c r="V56" i="1"/>
  <c r="U56" i="1"/>
  <c r="Q56" i="1"/>
  <c r="O56" i="1"/>
  <c r="M56" i="1"/>
  <c r="L56" i="1"/>
  <c r="K56" i="1"/>
  <c r="F56" i="1"/>
  <c r="F56" i="1" a="1"/>
  <c r="W55" i="1"/>
  <c r="W55" i="1" a="1"/>
  <c r="V55" i="1"/>
  <c r="U55" i="1"/>
  <c r="Q55" i="1"/>
  <c r="O55" i="1"/>
  <c r="M55" i="1"/>
  <c r="L55" i="1"/>
  <c r="K55" i="1"/>
  <c r="F55" i="1"/>
  <c r="F55" i="1" a="1"/>
  <c r="W54" i="1"/>
  <c r="W54" i="1" a="1"/>
  <c r="V54" i="1"/>
  <c r="U54" i="1"/>
  <c r="Q54" i="1"/>
  <c r="O54" i="1"/>
  <c r="M54" i="1"/>
  <c r="L54" i="1"/>
  <c r="K54" i="1"/>
  <c r="F54" i="1"/>
  <c r="F54" i="1" a="1"/>
  <c r="W53" i="1"/>
  <c r="W53" i="1" a="1"/>
  <c r="V53" i="1"/>
  <c r="U53" i="1"/>
  <c r="Q53" i="1"/>
  <c r="O53" i="1"/>
  <c r="M53" i="1"/>
  <c r="L53" i="1"/>
  <c r="K53" i="1"/>
  <c r="F53" i="1"/>
  <c r="F53" i="1" a="1"/>
  <c r="W52" i="1"/>
  <c r="W52" i="1" a="1"/>
  <c r="V52" i="1"/>
  <c r="U52" i="1"/>
  <c r="Q52" i="1"/>
  <c r="O52" i="1"/>
  <c r="M52" i="1"/>
  <c r="L52" i="1"/>
  <c r="K52" i="1"/>
  <c r="F52" i="1"/>
  <c r="F52" i="1" a="1"/>
  <c r="W51" i="1"/>
  <c r="W51" i="1" a="1"/>
  <c r="V51" i="1"/>
  <c r="U51" i="1"/>
  <c r="Q51" i="1"/>
  <c r="O51" i="1"/>
  <c r="M51" i="1"/>
  <c r="L51" i="1"/>
  <c r="K51" i="1"/>
  <c r="F51" i="1"/>
  <c r="F51" i="1" a="1"/>
  <c r="W50" i="1"/>
  <c r="W50" i="1" a="1"/>
  <c r="V50" i="1"/>
  <c r="U50" i="1"/>
  <c r="Q50" i="1"/>
  <c r="O50" i="1"/>
  <c r="M50" i="1"/>
  <c r="L50" i="1"/>
  <c r="K50" i="1"/>
  <c r="F50" i="1"/>
  <c r="F50" i="1" a="1"/>
  <c r="W49" i="1"/>
  <c r="W49" i="1" a="1"/>
  <c r="V49" i="1"/>
  <c r="U49" i="1"/>
  <c r="Q49" i="1"/>
  <c r="O49" i="1"/>
  <c r="M49" i="1"/>
  <c r="L49" i="1"/>
  <c r="K49" i="1"/>
  <c r="F49" i="1"/>
  <c r="F49" i="1" a="1"/>
  <c r="W48" i="1"/>
  <c r="W48" i="1" a="1"/>
  <c r="V48" i="1"/>
  <c r="U48" i="1"/>
  <c r="Q48" i="1"/>
  <c r="O48" i="1"/>
  <c r="M48" i="1"/>
  <c r="L48" i="1"/>
  <c r="K48" i="1"/>
  <c r="F48" i="1"/>
  <c r="F48" i="1" a="1"/>
  <c r="W47" i="1"/>
  <c r="W47" i="1" a="1"/>
  <c r="V47" i="1"/>
  <c r="U47" i="1"/>
  <c r="Q47" i="1"/>
  <c r="O47" i="1"/>
  <c r="M47" i="1"/>
  <c r="L47" i="1"/>
  <c r="K47" i="1"/>
  <c r="F47" i="1"/>
  <c r="F47" i="1" a="1"/>
  <c r="W46" i="1"/>
  <c r="W46" i="1" a="1"/>
  <c r="V46" i="1"/>
  <c r="U46" i="1"/>
  <c r="Q46" i="1"/>
  <c r="O46" i="1"/>
  <c r="M46" i="1"/>
  <c r="L46" i="1"/>
  <c r="K46" i="1"/>
  <c r="F46" i="1"/>
  <c r="F46" i="1" a="1"/>
  <c r="W45" i="1"/>
  <c r="W45" i="1" a="1"/>
  <c r="V45" i="1"/>
  <c r="U45" i="1"/>
  <c r="Q45" i="1"/>
  <c r="O45" i="1"/>
  <c r="M45" i="1"/>
  <c r="L45" i="1"/>
  <c r="K45" i="1"/>
  <c r="F45" i="1"/>
  <c r="F45" i="1" a="1"/>
  <c r="W44" i="1"/>
  <c r="W44" i="1" a="1"/>
  <c r="V44" i="1"/>
  <c r="U44" i="1"/>
  <c r="Q44" i="1"/>
  <c r="O44" i="1"/>
  <c r="M44" i="1"/>
  <c r="L44" i="1"/>
  <c r="K44" i="1"/>
  <c r="F44" i="1"/>
  <c r="F44" i="1" a="1"/>
  <c r="W43" i="1"/>
  <c r="W43" i="1" a="1"/>
  <c r="V43" i="1"/>
  <c r="U43" i="1"/>
  <c r="Q43" i="1"/>
  <c r="O43" i="1"/>
  <c r="M43" i="1"/>
  <c r="L43" i="1"/>
  <c r="K43" i="1"/>
  <c r="F43" i="1"/>
  <c r="F43" i="1" a="1"/>
  <c r="W42" i="1"/>
  <c r="W42" i="1" a="1"/>
  <c r="V42" i="1"/>
  <c r="U42" i="1"/>
  <c r="Q42" i="1"/>
  <c r="O42" i="1"/>
  <c r="M42" i="1"/>
  <c r="L42" i="1"/>
  <c r="K42" i="1"/>
  <c r="F42" i="1"/>
  <c r="F42" i="1" a="1"/>
  <c r="W41" i="1"/>
  <c r="W41" i="1" a="1"/>
  <c r="V41" i="1"/>
  <c r="U41" i="1"/>
  <c r="Q41" i="1"/>
  <c r="O41" i="1"/>
  <c r="M41" i="1"/>
  <c r="L41" i="1"/>
  <c r="K41" i="1"/>
  <c r="F41" i="1"/>
  <c r="F41" i="1" a="1"/>
  <c r="W40" i="1"/>
  <c r="W40" i="1" a="1"/>
  <c r="V40" i="1"/>
  <c r="U40" i="1"/>
  <c r="Q40" i="1"/>
  <c r="O40" i="1"/>
  <c r="M40" i="1"/>
  <c r="L40" i="1"/>
  <c r="K40" i="1"/>
  <c r="F40" i="1"/>
  <c r="F40" i="1" a="1"/>
  <c r="W39" i="1"/>
  <c r="W39" i="1" a="1"/>
  <c r="V39" i="1"/>
  <c r="U39" i="1"/>
  <c r="Q39" i="1"/>
  <c r="O39" i="1"/>
  <c r="M39" i="1"/>
  <c r="L39" i="1"/>
  <c r="K39" i="1"/>
  <c r="F39" i="1"/>
  <c r="F39" i="1" a="1"/>
  <c r="W38" i="1"/>
  <c r="W38" i="1" a="1"/>
  <c r="V38" i="1"/>
  <c r="U38" i="1"/>
  <c r="Q38" i="1"/>
  <c r="O38" i="1"/>
  <c r="M38" i="1"/>
  <c r="L38" i="1"/>
  <c r="K38" i="1"/>
  <c r="F38" i="1"/>
  <c r="F38" i="1" a="1"/>
  <c r="W37" i="1"/>
  <c r="W37" i="1" a="1"/>
  <c r="V37" i="1"/>
  <c r="U37" i="1"/>
  <c r="Q37" i="1"/>
  <c r="O37" i="1"/>
  <c r="M37" i="1"/>
  <c r="L37" i="1"/>
  <c r="K37" i="1"/>
  <c r="F37" i="1"/>
  <c r="F37" i="1" a="1"/>
  <c r="W36" i="1"/>
  <c r="W36" i="1" a="1"/>
  <c r="V36" i="1"/>
  <c r="U36" i="1"/>
  <c r="Q36" i="1"/>
  <c r="O36" i="1"/>
  <c r="M36" i="1"/>
  <c r="L36" i="1"/>
  <c r="K36" i="1"/>
  <c r="F36" i="1"/>
  <c r="F36" i="1" a="1"/>
  <c r="W35" i="1"/>
  <c r="W35" i="1" a="1"/>
  <c r="V35" i="1"/>
  <c r="U35" i="1"/>
  <c r="Q35" i="1"/>
  <c r="O35" i="1"/>
  <c r="M35" i="1"/>
  <c r="L35" i="1"/>
  <c r="K35" i="1"/>
  <c r="F35" i="1"/>
  <c r="F35" i="1" a="1"/>
  <c r="W34" i="1"/>
  <c r="W34" i="1" a="1"/>
  <c r="V34" i="1"/>
  <c r="U34" i="1"/>
  <c r="Q34" i="1"/>
  <c r="O34" i="1"/>
  <c r="M34" i="1"/>
  <c r="L34" i="1"/>
  <c r="K34" i="1"/>
  <c r="F34" i="1"/>
  <c r="F34" i="1" a="1"/>
  <c r="W33" i="1"/>
  <c r="W33" i="1" a="1"/>
  <c r="V33" i="1"/>
  <c r="U33" i="1"/>
  <c r="Q33" i="1"/>
  <c r="O33" i="1"/>
  <c r="M33" i="1"/>
  <c r="L33" i="1"/>
  <c r="K33" i="1"/>
  <c r="F33" i="1"/>
  <c r="F33" i="1" a="1"/>
  <c r="W32" i="1"/>
  <c r="W32" i="1" a="1"/>
  <c r="V32" i="1"/>
  <c r="U32" i="1"/>
  <c r="Q32" i="1"/>
  <c r="O32" i="1"/>
  <c r="M32" i="1"/>
  <c r="L32" i="1"/>
  <c r="K32" i="1"/>
  <c r="F32" i="1"/>
  <c r="F32" i="1" a="1"/>
  <c r="W31" i="1"/>
  <c r="W31" i="1" a="1"/>
  <c r="V31" i="1"/>
  <c r="U31" i="1"/>
  <c r="Q31" i="1"/>
  <c r="O31" i="1"/>
  <c r="M31" i="1"/>
  <c r="L31" i="1"/>
  <c r="K31" i="1"/>
  <c r="F31" i="1"/>
  <c r="F31" i="1" a="1"/>
  <c r="W30" i="1"/>
  <c r="W30" i="1" a="1"/>
  <c r="V30" i="1"/>
  <c r="U30" i="1"/>
  <c r="Q30" i="1"/>
  <c r="O30" i="1"/>
  <c r="M30" i="1"/>
  <c r="L30" i="1"/>
  <c r="K30" i="1"/>
  <c r="F30" i="1"/>
  <c r="F30" i="1" a="1"/>
  <c r="W29" i="1"/>
  <c r="W29" i="1" a="1"/>
  <c r="V29" i="1"/>
  <c r="U29" i="1"/>
  <c r="Q29" i="1"/>
  <c r="O29" i="1"/>
  <c r="M29" i="1"/>
  <c r="L29" i="1"/>
  <c r="K29" i="1"/>
  <c r="F29" i="1"/>
  <c r="F29" i="1" a="1"/>
  <c r="W28" i="1"/>
  <c r="W28" i="1" a="1"/>
  <c r="V28" i="1"/>
  <c r="U28" i="1"/>
  <c r="Q28" i="1"/>
  <c r="O28" i="1"/>
  <c r="M28" i="1"/>
  <c r="L28" i="1"/>
  <c r="K28" i="1"/>
  <c r="F28" i="1"/>
  <c r="F28" i="1" a="1"/>
  <c r="W27" i="1"/>
  <c r="W27" i="1" a="1"/>
  <c r="V27" i="1"/>
  <c r="U27" i="1"/>
  <c r="Q27" i="1"/>
  <c r="O27" i="1"/>
  <c r="M27" i="1"/>
  <c r="L27" i="1"/>
  <c r="K27" i="1"/>
  <c r="F27" i="1"/>
  <c r="F27" i="1" a="1"/>
  <c r="W26" i="1"/>
  <c r="W26" i="1" a="1"/>
  <c r="V26" i="1"/>
  <c r="U26" i="1"/>
  <c r="Q26" i="1"/>
  <c r="O26" i="1"/>
  <c r="M26" i="1"/>
  <c r="L26" i="1"/>
  <c r="K26" i="1"/>
  <c r="F26" i="1"/>
  <c r="F26" i="1" a="1"/>
  <c r="W25" i="1"/>
  <c r="W25" i="1" a="1"/>
  <c r="V25" i="1"/>
  <c r="U25" i="1"/>
  <c r="Q25" i="1"/>
  <c r="O25" i="1"/>
  <c r="M25" i="1"/>
  <c r="L25" i="1"/>
  <c r="K25" i="1"/>
  <c r="F25" i="1"/>
  <c r="F25" i="1" a="1"/>
  <c r="W24" i="1"/>
  <c r="W24" i="1" a="1"/>
  <c r="V24" i="1"/>
  <c r="U24" i="1"/>
  <c r="Q24" i="1"/>
  <c r="O24" i="1"/>
  <c r="M24" i="1"/>
  <c r="L24" i="1"/>
  <c r="K24" i="1"/>
  <c r="F24" i="1"/>
  <c r="F24" i="1" a="1"/>
  <c r="W23" i="1"/>
  <c r="W23" i="1" a="1"/>
  <c r="V23" i="1"/>
  <c r="U23" i="1"/>
  <c r="Q23" i="1"/>
  <c r="O23" i="1"/>
  <c r="M23" i="1"/>
  <c r="L23" i="1"/>
  <c r="K23" i="1"/>
  <c r="F23" i="1"/>
  <c r="F23" i="1" a="1"/>
  <c r="W22" i="1"/>
  <c r="W22" i="1" a="1"/>
  <c r="V22" i="1"/>
  <c r="U22" i="1"/>
  <c r="Q22" i="1"/>
  <c r="O22" i="1"/>
  <c r="M22" i="1"/>
  <c r="L22" i="1"/>
  <c r="K22" i="1"/>
  <c r="F22" i="1"/>
  <c r="F22" i="1" a="1"/>
  <c r="W21" i="1"/>
  <c r="W21" i="1" a="1"/>
  <c r="V21" i="1"/>
  <c r="U21" i="1"/>
  <c r="Q21" i="1"/>
  <c r="O21" i="1"/>
  <c r="M21" i="1"/>
  <c r="L21" i="1"/>
  <c r="K21" i="1"/>
  <c r="F21" i="1"/>
  <c r="F21" i="1" a="1"/>
  <c r="W20" i="1"/>
  <c r="W20" i="1" a="1"/>
  <c r="V20" i="1"/>
  <c r="U20" i="1"/>
  <c r="Q20" i="1"/>
  <c r="O20" i="1"/>
  <c r="M20" i="1"/>
  <c r="L20" i="1"/>
  <c r="K20" i="1"/>
  <c r="F20" i="1"/>
  <c r="F20" i="1" a="1"/>
  <c r="W19" i="1"/>
  <c r="W19" i="1" a="1"/>
  <c r="V19" i="1"/>
  <c r="U19" i="1"/>
  <c r="Q19" i="1"/>
  <c r="O19" i="1"/>
  <c r="M19" i="1"/>
  <c r="L19" i="1"/>
  <c r="K19" i="1"/>
  <c r="F19" i="1"/>
  <c r="F19" i="1" a="1"/>
  <c r="W18" i="1"/>
  <c r="W18" i="1" a="1"/>
  <c r="V18" i="1"/>
  <c r="U18" i="1"/>
  <c r="Q18" i="1"/>
  <c r="O18" i="1"/>
  <c r="M18" i="1"/>
  <c r="L18" i="1"/>
  <c r="K18" i="1"/>
  <c r="F18" i="1"/>
  <c r="F18" i="1" a="1"/>
  <c r="W17" i="1"/>
  <c r="W17" i="1" a="1"/>
  <c r="V17" i="1"/>
  <c r="U17" i="1"/>
  <c r="Q17" i="1"/>
  <c r="O17" i="1"/>
  <c r="M17" i="1"/>
  <c r="L17" i="1"/>
  <c r="K17" i="1"/>
  <c r="F17" i="1"/>
  <c r="F17" i="1" a="1"/>
  <c r="W16" i="1"/>
  <c r="W16" i="1" a="1"/>
  <c r="V16" i="1"/>
  <c r="U16" i="1"/>
  <c r="Q16" i="1"/>
  <c r="O16" i="1"/>
  <c r="M16" i="1"/>
  <c r="L16" i="1"/>
  <c r="K16" i="1"/>
  <c r="F16" i="1"/>
  <c r="F16" i="1" a="1"/>
  <c r="W15" i="1"/>
  <c r="W15" i="1" a="1"/>
  <c r="V15" i="1"/>
  <c r="U15" i="1"/>
  <c r="Q15" i="1"/>
  <c r="O15" i="1"/>
  <c r="M15" i="1"/>
  <c r="L15" i="1"/>
  <c r="K15" i="1"/>
  <c r="F15" i="1"/>
  <c r="F15" i="1" a="1"/>
  <c r="W14" i="1"/>
  <c r="W14" i="1" a="1"/>
  <c r="V14" i="1"/>
  <c r="U14" i="1"/>
  <c r="Q14" i="1"/>
  <c r="O14" i="1"/>
  <c r="M14" i="1"/>
  <c r="L14" i="1"/>
  <c r="K14" i="1"/>
  <c r="F14" i="1"/>
  <c r="F14" i="1" a="1"/>
  <c r="W13" i="1"/>
  <c r="W13" i="1" a="1"/>
  <c r="V13" i="1"/>
  <c r="U13" i="1"/>
  <c r="Q13" i="1"/>
  <c r="O13" i="1"/>
  <c r="M13" i="1"/>
  <c r="L13" i="1"/>
  <c r="K13" i="1"/>
  <c r="F13" i="1"/>
  <c r="F13" i="1" a="1"/>
  <c r="W12" i="1"/>
  <c r="W12" i="1" a="1"/>
  <c r="V12" i="1"/>
  <c r="U12" i="1"/>
  <c r="Q12" i="1"/>
  <c r="O12" i="1"/>
  <c r="M12" i="1"/>
  <c r="L12" i="1"/>
  <c r="K12" i="1"/>
  <c r="F12" i="1"/>
  <c r="F12" i="1" a="1"/>
  <c r="W11" i="1"/>
  <c r="W11" i="1" a="1"/>
  <c r="V11" i="1"/>
  <c r="U11" i="1"/>
  <c r="Q11" i="1"/>
  <c r="O11" i="1"/>
  <c r="M11" i="1"/>
  <c r="L11" i="1"/>
  <c r="K11" i="1"/>
  <c r="F11" i="1"/>
  <c r="F11" i="1" a="1"/>
  <c r="W10" i="1"/>
  <c r="W10" i="1" a="1"/>
  <c r="V10" i="1"/>
  <c r="U10" i="1"/>
  <c r="Q10" i="1"/>
  <c r="O10" i="1"/>
  <c r="M10" i="1"/>
  <c r="L10" i="1"/>
  <c r="K10" i="1"/>
  <c r="F10" i="1"/>
  <c r="F10" i="1" a="1"/>
  <c r="W9" i="1"/>
  <c r="W9" i="1" a="1"/>
  <c r="V9" i="1"/>
  <c r="U9" i="1"/>
  <c r="Q9" i="1"/>
  <c r="O9" i="1"/>
  <c r="M9" i="1"/>
  <c r="L9" i="1"/>
  <c r="K9" i="1"/>
  <c r="F9" i="1"/>
  <c r="F9" i="1" a="1"/>
  <c r="W8" i="1"/>
  <c r="W8" i="1" a="1"/>
  <c r="V8" i="1"/>
  <c r="U8" i="1"/>
  <c r="Q8" i="1"/>
  <c r="O8" i="1"/>
  <c r="M8" i="1"/>
  <c r="L8" i="1"/>
  <c r="K8" i="1"/>
  <c r="F8" i="1"/>
  <c r="F8" i="1" a="1"/>
  <c r="W7" i="1"/>
  <c r="W7" i="1" a="1"/>
  <c r="V7" i="1"/>
  <c r="U7" i="1"/>
  <c r="Q7" i="1"/>
  <c r="O7" i="1"/>
  <c r="M7" i="1"/>
  <c r="L7" i="1"/>
  <c r="K7" i="1"/>
  <c r="F7" i="1"/>
  <c r="F7" i="1" a="1"/>
  <c r="W6" i="1"/>
  <c r="W6" i="1" a="1"/>
  <c r="V6" i="1"/>
  <c r="U6" i="1"/>
  <c r="Q6" i="1"/>
  <c r="O6" i="1"/>
  <c r="M6" i="1"/>
  <c r="L6" i="1"/>
  <c r="K6" i="1"/>
  <c r="F6" i="1"/>
  <c r="F6" i="1" a="1"/>
  <c r="W5" i="1"/>
  <c r="W5" i="1" a="1"/>
  <c r="V5" i="1"/>
  <c r="U5" i="1"/>
  <c r="Q5" i="1"/>
  <c r="O5" i="1"/>
  <c r="M5" i="1"/>
  <c r="L5" i="1"/>
  <c r="K5" i="1"/>
  <c r="F5" i="1"/>
  <c r="F5" i="1" a="1"/>
  <c r="W4" i="1"/>
  <c r="W4" i="1" a="1"/>
  <c r="V4" i="1"/>
  <c r="U4" i="1"/>
  <c r="Q4" i="1"/>
  <c r="O4" i="1"/>
  <c r="M4" i="1"/>
  <c r="L4" i="1"/>
  <c r="K4" i="1"/>
  <c r="F4" i="1"/>
  <c r="F4" i="1" a="1"/>
  <c r="W3" i="1"/>
  <c r="W3" i="1" a="1"/>
  <c r="V3" i="1"/>
  <c r="U3" i="1"/>
  <c r="Q3" i="1"/>
  <c r="O3" i="1"/>
  <c r="M3" i="1"/>
  <c r="L3" i="1"/>
  <c r="K3" i="1"/>
  <c r="F3" i="1"/>
  <c r="F3" i="1" a="1"/>
  <c r="W2" i="1"/>
  <c r="W2" i="1" a="1"/>
  <c r="V2" i="1"/>
  <c r="U2" i="1"/>
  <c r="Q2" i="1"/>
  <c r="O2" i="1"/>
  <c r="M2" i="1"/>
  <c r="L2" i="1"/>
  <c r="K2" i="1"/>
  <c r="F2" i="1"/>
  <c r="F2" i="1" a="1"/>
  <c r="Z5" i="8"/>
  <c r="Z6" i="8"/>
  <c r="Z7" i="8"/>
  <c r="T5" i="8"/>
  <c r="Z8" i="8"/>
  <c r="Z9" i="8"/>
  <c r="AL4" i="8" l="1"/>
  <c r="AK8" i="8" s="1"/>
  <c r="Y9" i="8"/>
  <c r="Y8" i="8"/>
  <c r="Y7" i="8"/>
  <c r="Y6" i="8"/>
  <c r="Y5" i="8"/>
  <c r="AK5" i="8" l="1"/>
  <c r="AK7" i="8"/>
  <c r="AK6"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<sst xmlns="http://schemas.openxmlformats.org/spreadsheetml/2006/main" count="40685" uniqueCount="2427">
  <si>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</si>
  <si>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</si>
  <si>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</si>
  <si>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</si>
  <si>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</si>
  <si>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</si>
  <si>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</si>
  <si>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</si>
  <si>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</si>
  <si>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</si>
  <si>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</si>
  <si>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</si>
  <si>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</si>
  <si>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</si>
  <si>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</si>
  <si>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</si>
  <si>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</si>
  <si>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</si>
  <si>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</si>
  <si>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</si>
  <si>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</si>
  <si>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</si>
  <si>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</si>
  <si>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</si>
  <si>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</si>
  <si>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</si>
  <si>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</si>
  <si>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</si>
  <si>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</si>
  <si>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</si>
  <si>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</si>
  <si>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</si>
  <si>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</si>
  <si>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</si>
  <si>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</si>
  <si>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</si>
  <si>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</si>
  <si>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</si>
  <si>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</si>
  <si>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</si>
  <si>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</si>
  <si>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</si>
  <si>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</si>
  <si>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</si>
  <si>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</si>
  <si>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</si>
  <si>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</si>
  <si>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</si>
  <si>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</si>
  <si>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</si>
  <si>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</si>
  <si>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</si>
  <si>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</si>
  <si>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</si>
  <si>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</si>
  <si>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</si>
  <si>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</si>
  <si>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</si>
  <si>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</si>
  <si>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</si>
  <si>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</si>
  <si>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</si>
  <si>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</si>
  <si>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</si>
  <si>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</si>
  <si>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</si>
  <si>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</si>
  <si>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</si>
  <si>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</si>
  <si>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</si>
  <si>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</si>
  <si>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</si>
  <si>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</si>
  <si>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</si>
  <si>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</si>
  <si>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</si>
  <si>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</si>
  <si>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</si>
  <si>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</si>
  <si>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</si>
  <si>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</si>
  <si>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</si>
  <si>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</si>
  <si>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</si>
  <si>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</si>
  <si>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</si>
  <si>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</si>
  <si>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</si>
  <si>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</si>
  <si>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</si>
  <si>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</si>
  <si>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</si>
  <si>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</si>
  <si>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</si>
  <si>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</si>
  <si>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</si>
  <si>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</si>
  <si>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</si>
  <si>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</si>
  <si>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</si>
  <si>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</si>
  <si>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</si>
  <si>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</si>
  <si>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</si>
  <si>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</si>
  <si>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</si>
  <si>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</si>
  <si>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</si>
  <si>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</si>
  <si>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</si>
  <si>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</si>
  <si>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</si>
  <si>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</si>
  <si>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</si>
  <si>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</si>
  <si>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</si>
  <si>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</si>
  <si>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</si>
  <si>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</si>
  <si>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</si>
  <si>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</si>
  <si>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</si>
  <si>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</si>
  <si>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</si>
  <si>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</si>
  <si>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</si>
  <si>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</si>
  <si>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</si>
  <si>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</si>
  <si>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</si>
  <si>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</si>
  <si>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</si>
  <si>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</si>
  <si>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</si>
  <si>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</si>
  <si>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</si>
  <si>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</si>
  <si>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</si>
  <si>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</si>
  <si>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</si>
  <si>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</si>
  <si>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</si>
  <si>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</si>
  <si>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</si>
  <si>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</si>
  <si>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</si>
  <si>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</si>
  <si>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</si>
  <si>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</si>
  <si>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</si>
  <si>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</si>
  <si>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</si>
  <si>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</si>
  <si>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</si>
  <si>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</si>
  <si>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</si>
  <si>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</si>
  <si>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</si>
  <si>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</si>
  <si>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</si>
  <si>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</si>
  <si>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</si>
  <si>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</si>
  <si>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</si>
  <si>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</si>
  <si>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</si>
  <si>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</si>
  <si>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</si>
  <si>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</si>
  <si>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</si>
  <si>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</si>
  <si>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</si>
  <si>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</si>
  <si>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</si>
  <si>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</si>
  <si>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</si>
  <si>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</si>
  <si>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</si>
  <si>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</si>
  <si>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</si>
  <si>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</si>
  <si>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</si>
  <si>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</si>
  <si>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</si>
  <si>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</si>
  <si>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</si>
  <si>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</si>
  <si>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</si>
  <si>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</si>
  <si>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</si>
  <si>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</si>
  <si>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</si>
  <si>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</si>
  <si>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</si>
  <si>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</si>
  <si>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</si>
  <si>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</si>
  <si>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</si>
  <si>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</si>
  <si>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</si>
  <si>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</si>
  <si>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</si>
  <si>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</si>
  <si>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</si>
  <si>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</si>
  <si>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</si>
  <si>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</si>
  <si>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</si>
  <si>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</si>
  <si>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</si>
  <si>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</si>
  <si>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</si>
  <si>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</si>
  <si>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</si>
  <si>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</si>
  <si>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</si>
  <si>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</si>
  <si>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</si>
  <si>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</si>
  <si>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</si>
  <si>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</si>
  <si>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</si>
  <si>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</si>
  <si>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</si>
  <si>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</si>
  <si>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</si>
  <si>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</si>
  <si>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</si>
  <si>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</si>
  <si>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</si>
  <si>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</si>
  <si>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</si>
  <si>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</si>
  <si>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</si>
  <si>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</si>
  <si>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</si>
  <si>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</si>
  <si>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</si>
  <si>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</si>
  <si>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</si>
  <si>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</si>
  <si>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</si>
  <si>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</si>
  <si>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</si>
  <si>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</si>
  <si>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</si>
  <si>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</si>
  <si>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</si>
  <si>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</si>
  <si>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</si>
  <si>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</si>
  <si>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</si>
  <si>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</si>
  <si>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</si>
  <si>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</si>
  <si>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</si>
  <si>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</si>
  <si>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</si>
  <si>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</si>
  <si>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</si>
  <si>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</si>
  <si>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</si>
  <si>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</si>
  <si>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</si>
  <si>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</si>
  <si>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</si>
  <si>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</si>
  <si>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</si>
  <si>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</si>
  <si>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</si>
  <si>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</si>
  <si>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</si>
  <si>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</si>
  <si>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</si>
  <si>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</si>
  <si>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</si>
  <si>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</si>
  <si>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</si>
  <si>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</si>
  <si>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</si>
  <si>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</si>
  <si>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</si>
  <si>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</si>
  <si>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</si>
  <si>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</si>
  <si>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</si>
  <si>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</si>
  <si>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</si>
  <si>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</si>
  <si>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</si>
  <si>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</si>
  <si>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</si>
  <si>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</si>
  <si>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</si>
  <si>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</si>
  <si>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</si>
  <si>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</si>
  <si>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</si>
  <si>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</si>
  <si>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</si>
  <si>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</si>
  <si>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</si>
  <si>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</si>
  <si>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</si>
  <si>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</si>
  <si>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</si>
  <si>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</si>
  <si>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</si>
  <si>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</si>
  <si>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</si>
  <si>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</si>
  <si>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</si>
  <si>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</si>
  <si>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</si>
  <si>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</si>
  <si>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</si>
  <si>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</si>
  <si>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</si>
  <si>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</si>
  <si>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</si>
  <si>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</si>
  <si>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</si>
  <si>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</si>
  <si>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</si>
  <si>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</si>
  <si>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</si>
  <si>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</si>
  <si>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</si>
  <si>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</si>
  <si>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</si>
  <si>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</si>
  <si>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</si>
  <si>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</si>
  <si>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</si>
  <si>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</si>
  <si>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</si>
  <si>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</si>
  <si>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</si>
  <si>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</si>
  <si>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</si>
  <si>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</si>
  <si>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</si>
  <si>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</si>
  <si>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</si>
  <si>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</si>
  <si>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</si>
  <si>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</si>
  <si>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</si>
  <si>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</si>
  <si>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</si>
  <si>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</si>
  <si>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</si>
  <si>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</si>
  <si>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</si>
  <si>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</si>
  <si>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</si>
  <si>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</si>
  <si>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</si>
  <si>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</si>
  <si>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</si>
  <si>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</si>
  <si>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</si>
  <si>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</si>
  <si>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</si>
  <si>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</si>
  <si>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</si>
  <si>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</si>
  <si>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</si>
  <si>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</si>
  <si>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</si>
  <si>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</si>
  <si>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</si>
  <si>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</si>
  <si>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</si>
  <si>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</si>
  <si>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</si>
  <si>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</si>
  <si>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</si>
  <si>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</si>
  <si>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</si>
  <si>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</si>
  <si>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</si>
  <si>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</si>
  <si>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</si>
  <si>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</si>
  <si>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</si>
  <si>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</si>
  <si>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</si>
  <si>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</si>
  <si>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</si>
  <si>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</si>
  <si>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</si>
  <si>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</si>
  <si>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</si>
  <si>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</si>
  <si>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</si>
  <si>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</si>
  <si>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</si>
  <si>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</si>
  <si>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</si>
  <si>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</si>
  <si>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</si>
  <si>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</si>
  <si>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</si>
  <si>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</si>
  <si>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</si>
  <si>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</si>
  <si>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</si>
  <si>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</si>
  <si>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</si>
  <si>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</si>
  <si>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</si>
  <si>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</si>
  <si>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</si>
  <si>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</si>
  <si>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</si>
  <si>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</si>
  <si>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</si>
  <si>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</si>
  <si>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</si>
  <si>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</si>
  <si>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</si>
  <si>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</si>
  <si>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</si>
  <si>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</si>
  <si>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</si>
  <si>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</si>
  <si>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</si>
  <si>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</si>
  <si>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</si>
  <si>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</si>
  <si>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</si>
  <si>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</si>
  <si>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</si>
  <si>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</si>
  <si>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</si>
  <si>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</si>
  <si>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</si>
  <si>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</si>
  <si>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</si>
  <si>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</si>
  <si>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</si>
  <si>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</si>
  <si>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</si>
  <si>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</si>
  <si>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</si>
  <si>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</si>
  <si>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</si>
  <si>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</si>
  <si>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</si>
  <si>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</si>
  <si>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</si>
  <si>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</si>
  <si>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</si>
  <si>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</si>
  <si>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</si>
  <si>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</si>
  <si>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</si>
  <si>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</si>
  <si>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</si>
  <si>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</si>
  <si>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</si>
  <si>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</si>
  <si>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</si>
  <si>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</si>
  <si>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</si>
  <si>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</si>
  <si>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</si>
  <si>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</si>
  <si>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</si>
  <si>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</si>
  <si>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</si>
  <si>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</si>
  <si>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</si>
  <si>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</si>
  <si>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</si>
  <si>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</si>
  <si>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</si>
  <si>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</si>
  <si>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</si>
  <si>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</si>
  <si>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</si>
  <si>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</si>
  <si>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</si>
  <si>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</si>
  <si>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</si>
  <si>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</si>
  <si>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</si>
  <si>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</si>
  <si>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</si>
  <si>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</si>
  <si>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</si>
  <si>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</si>
  <si>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</si>
  <si>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</si>
  <si>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</si>
  <si>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</si>
  <si>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</si>
  <si>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</si>
  <si>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</si>
  <si>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</si>
  <si>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</si>
  <si>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</si>
  <si>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</si>
  <si>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</si>
  <si>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</si>
  <si>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</si>
  <si>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</si>
  <si>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</si>
  <si>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</si>
  <si>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</si>
  <si>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</si>
  <si>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</si>
  <si>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</si>
  <si>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</si>
  <si>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</si>
  <si>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</si>
  <si>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</si>
  <si>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</si>
  <si>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</si>
  <si>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</si>
  <si>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</si>
  <si>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</si>
  <si>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</si>
  <si>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</si>
  <si>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</si>
  <si>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</si>
  <si>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</si>
  <si>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</si>
  <si>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</si>
  <si>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</si>
  <si>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</si>
  <si>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</si>
  <si>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</si>
  <si>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</si>
  <si>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</si>
  <si>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</si>
  <si>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</si>
  <si>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</si>
  <si>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</si>
  <si>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</si>
  <si>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</si>
  <si>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</si>
  <si>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</si>
  <si>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</si>
  <si>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</si>
  <si>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</si>
  <si>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</si>
  <si>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</si>
  <si>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</si>
  <si>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</si>
  <si>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</si>
  <si>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</si>
  <si>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</si>
  <si>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</si>
  <si>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</si>
  <si>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</si>
  <si>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</si>
  <si>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</si>
  <si>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</si>
  <si>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</si>
  <si>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</si>
  <si>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</si>
  <si>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</si>
  <si>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</si>
  <si>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</si>
  <si>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</si>
  <si>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</si>
  <si>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</si>
  <si>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</si>
  <si>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</si>
  <si>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</si>
  <si>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</si>
  <si>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</si>
  <si>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</si>
  <si>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</si>
  <si>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</si>
  <si>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</si>
  <si>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</si>
  <si>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</si>
  <si>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</si>
  <si>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</si>
  <si>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</si>
  <si>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</si>
  <si>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</si>
  <si>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</si>
  <si>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</si>
  <si>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</si>
  <si>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</si>
  <si>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</si>
  <si>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</si>
  <si>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</si>
  <si>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</si>
  <si>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</si>
  <si>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</si>
  <si>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</si>
  <si>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</si>
  <si>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</si>
  <si>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</si>
  <si>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</si>
  <si>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</si>
  <si>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</si>
  <si>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</si>
  <si>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</si>
  <si>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</si>
  <si>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</si>
  <si>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</si>
  <si>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</si>
  <si>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</si>
  <si>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</si>
  <si>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</si>
  <si>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</si>
  <si>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</si>
  <si>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</si>
  <si>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</si>
  <si>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</si>
  <si>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</si>
  <si>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</si>
  <si>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</si>
  <si>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</si>
  <si>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</si>
  <si>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</si>
  <si>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</si>
  <si>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</si>
  <si>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</si>
  <si>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</si>
  <si>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</si>
  <si>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</si>
  <si>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</si>
  <si>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</si>
  <si>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</si>
  <si>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</si>
  <si>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</si>
  <si>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</si>
  <si>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</si>
  <si>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</si>
  <si>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</si>
  <si>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</si>
  <si>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</si>
  <si>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</si>
  <si>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</si>
  <si>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</si>
  <si>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</si>
  <si>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</si>
  <si>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</si>
  <si>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</si>
  <si>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</si>
  <si>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</si>
  <si>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</si>
  <si>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</si>
  <si>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</si>
  <si>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</si>
  <si>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</si>
  <si>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</si>
  <si>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</si>
  <si>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</si>
  <si>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</si>
  <si>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</si>
  <si>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</si>
  <si>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</si>
  <si>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</si>
  <si>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</si>
  <si>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</si>
  <si>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</si>
  <si>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</si>
  <si>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</si>
  <si>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</si>
  <si>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</si>
  <si>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</si>
  <si>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</si>
  <si>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</si>
  <si>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</si>
  <si>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</si>
  <si>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</si>
  <si>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</si>
  <si>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</si>
  <si>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</si>
  <si>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</si>
  <si>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</si>
  <si>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</si>
  <si>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</si>
  <si>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</si>
  <si>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</si>
  <si>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</si>
  <si>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</si>
  <si>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</si>
  <si>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</si>
  <si>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</si>
  <si>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</si>
  <si>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</si>
  <si>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</si>
  <si>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</si>
  <si>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</si>
  <si>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</si>
  <si>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</si>
  <si>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</si>
  <si>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</si>
  <si>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</si>
  <si>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</si>
  <si>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</si>
  <si>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</si>
  <si>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</si>
  <si>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</si>
  <si>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</si>
  <si>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</si>
  <si>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</si>
  <si>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</si>
  <si>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</si>
  <si>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</si>
  <si>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</si>
  <si>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</si>
  <si>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</si>
  <si>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</si>
  <si>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</si>
  <si>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</si>
  <si>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</si>
  <si>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</si>
  <si>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</si>
  <si>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</si>
  <si>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</si>
  <si>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</si>
  <si>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</si>
  <si>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</si>
  <si>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</si>
  <si>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</si>
  <si>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</si>
  <si>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</si>
  <si>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</si>
  <si>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</si>
  <si>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</si>
  <si>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</si>
  <si>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</si>
  <si>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</si>
  <si>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</si>
  <si>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</si>
  <si>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</si>
  <si>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</si>
  <si>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</si>
  <si>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</si>
  <si>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</si>
  <si>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</si>
  <si>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</si>
  <si>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</si>
  <si>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</si>
  <si>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</si>
  <si>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</si>
  <si>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</si>
  <si>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</si>
  <si>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</si>
  <si>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</si>
  <si>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</si>
  <si>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</si>
  <si>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</si>
  <si>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</si>
  <si>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</si>
  <si>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</si>
  <si>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</si>
  <si>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</si>
  <si>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</si>
  <si>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</si>
  <si>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</si>
  <si>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</si>
  <si>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</si>
  <si>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</si>
  <si>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</si>
  <si>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</si>
  <si>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</si>
  <si>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</si>
  <si>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</si>
  <si>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</si>
  <si>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</si>
  <si>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</si>
  <si>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</si>
  <si>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</si>
  <si>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</si>
  <si>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</si>
  <si>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</si>
  <si>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</si>
  <si>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</si>
  <si>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</si>
  <si>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</si>
  <si>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</si>
  <si>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</si>
  <si>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</si>
  <si>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</si>
  <si>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</si>
  <si>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</si>
  <si>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</si>
  <si>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</si>
  <si>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</si>
  <si>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</si>
  <si>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</si>
  <si>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</si>
  <si>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</si>
  <si>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</si>
  <si>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</si>
  <si>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</si>
  <si>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</si>
  <si>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</si>
  <si>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</si>
  <si>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</si>
  <si>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</si>
  <si>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</si>
  <si>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</si>
  <si>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</si>
  <si>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</si>
  <si>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</si>
  <si>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</si>
  <si>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</si>
  <si>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</si>
  <si>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</si>
  <si>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</si>
  <si>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</si>
  <si>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</si>
  <si>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</si>
  <si>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</si>
  <si>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</si>
  <si>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</si>
  <si>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</si>
  <si>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</si>
  <si>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</si>
  <si>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</si>
  <si>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</si>
  <si>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</si>
  <si>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</si>
  <si>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</si>
  <si>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</si>
  <si>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</si>
  <si>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</si>
  <si>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</si>
  <si>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</si>
  <si>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</si>
  <si>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</si>
  <si>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</si>
  <si>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</si>
  <si>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</si>
  <si>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</si>
  <si>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</si>
  <si>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</si>
  <si>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</si>
  <si>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</si>
  <si>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</si>
  <si>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</si>
  <si>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</si>
  <si>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</si>
  <si>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</si>
  <si>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</si>
  <si>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</si>
  <si>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</si>
  <si>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</si>
  <si>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</si>
  <si>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</si>
  <si>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</si>
  <si>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</si>
  <si>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</si>
  <si>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</si>
  <si>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</si>
  <si>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</si>
  <si>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</si>
  <si>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</si>
  <si>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</si>
  <si>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</si>
  <si>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</si>
  <si>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</si>
  <si>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</si>
  <si>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</si>
  <si>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</si>
  <si>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</si>
  <si>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</si>
  <si>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</si>
  <si>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</si>
  <si>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</si>
  <si>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</si>
  <si>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</si>
  <si>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</si>
  <si>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</si>
  <si>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</si>
  <si>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</si>
  <si>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</si>
  <si>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</si>
  <si>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</si>
  <si>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</si>
  <si>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</si>
  <si>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</si>
  <si>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</si>
  <si>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</si>
  <si>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</si>
  <si>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</si>
  <si>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</si>
  <si>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</si>
  <si>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</si>
  <si>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</si>
  <si>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</si>
  <si>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</si>
  <si>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</si>
  <si>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</si>
  <si>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</si>
  <si>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</si>
  <si>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</si>
  <si>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</si>
  <si>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</si>
  <si>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</si>
  <si>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</si>
  <si>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</si>
  <si>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</si>
  <si>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</si>
  <si>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</si>
  <si>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</si>
  <si>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</si>
  <si>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</si>
  <si>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</si>
  <si>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</si>
  <si>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</si>
  <si>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</si>
  <si>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</si>
  <si>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</si>
  <si>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</si>
  <si>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</si>
  <si>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</si>
  <si>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</si>
  <si>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</si>
  <si>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</si>
  <si>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</si>
  <si>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</si>
  <si>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</si>
  <si>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</si>
  <si>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</si>
  <si>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</si>
  <si>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</si>
  <si>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</si>
  <si>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</si>
  <si>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</si>
  <si>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</si>
  <si>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</si>
  <si>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</si>
  <si>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</si>
  <si>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</si>
  <si>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</si>
  <si>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</si>
  <si>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</si>
  <si>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</si>
  <si>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</si>
  <si>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</si>
  <si>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</si>
  <si>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</si>
  <si>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</si>
  <si>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</si>
  <si>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</si>
  <si>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</si>
  <si>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</si>
  <si>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</si>
  <si>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</si>
  <si>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</si>
  <si>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</si>
  <si>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</si>
  <si>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</si>
  <si>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</si>
  <si>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</si>
  <si>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</si>
  <si>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</si>
  <si>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</si>
  <si>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</si>
  <si>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</si>
  <si>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</si>
  <si>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</si>
  <si>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</si>
  <si>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</si>
  <si>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</si>
  <si>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</si>
  <si>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</si>
  <si>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</si>
  <si>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</si>
  <si>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</si>
  <si>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</si>
  <si>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</si>
  <si>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</si>
  <si>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</si>
  <si>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</si>
  <si>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</si>
  <si>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</si>
  <si>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</si>
  <si>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</si>
  <si>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</si>
  <si>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</si>
  <si>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</si>
  <si>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</si>
  <si>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</si>
  <si>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</si>
  <si>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</si>
  <si>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</si>
  <si>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</si>
  <si>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</si>
  <si>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</si>
  <si>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</si>
  <si>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</si>
  <si>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</si>
  <si>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</si>
  <si>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</si>
  <si>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</si>
  <si>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</si>
  <si>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</si>
  <si>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</si>
  <si>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</si>
  <si>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</si>
  <si>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</si>
  <si>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</si>
  <si>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</si>
  <si>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</si>
  <si>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</si>
  <si>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</si>
  <si>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</si>
  <si>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</si>
  <si>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</si>
  <si>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</si>
  <si>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</si>
  <si>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</si>
  <si>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</si>
  <si>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</si>
  <si>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</si>
  <si>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</si>
  <si>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</si>
  <si>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</si>
  <si>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</si>
  <si>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</si>
  <si>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</si>
  <si>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</si>
  <si>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</si>
  <si>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</si>
  <si>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</si>
  <si>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</si>
  <si>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</si>
  <si>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</si>
  <si>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</si>
  <si>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</si>
  <si>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</si>
  <si>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</si>
  <si>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</si>
  <si>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</si>
  <si>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</si>
  <si>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</si>
  <si>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</si>
  <si>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</si>
  <si>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</si>
  <si>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</si>
  <si>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</si>
  <si>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</si>
  <si>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</si>
  <si>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</si>
  <si>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</si>
  <si>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</si>
  <si>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</si>
  <si>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</si>
  <si>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</si>
  <si>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</si>
  <si>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</si>
  <si>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</si>
  <si>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</si>
  <si>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</si>
  <si>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</si>
  <si>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</si>
  <si>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</si>
  <si>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</si>
  <si>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</si>
  <si>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</si>
  <si>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</si>
  <si>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</si>
  <si>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</si>
  <si>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</si>
  <si>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</si>
  <si>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</si>
  <si>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</si>
  <si>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</si>
  <si>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</si>
  <si>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</si>
  <si>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</si>
  <si>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</si>
  <si>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</si>
  <si>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</si>
  <si>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</si>
  <si>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</si>
  <si>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</si>
  <si>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</si>
  <si>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</si>
  <si>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</si>
  <si>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</si>
  <si>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</si>
  <si>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</si>
  <si>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</si>
  <si>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</si>
  <si>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</si>
  <si>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</si>
  <si>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</si>
  <si>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</si>
  <si>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</si>
  <si>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</si>
  <si>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</si>
  <si>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</si>
  <si>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</si>
  <si>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</si>
  <si>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</si>
  <si>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</si>
  <si>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</si>
  <si>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</si>
  <si>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</si>
  <si>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</si>
  <si>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</si>
  <si>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</si>
  <si>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</si>
  <si>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</si>
  <si>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</si>
  <si>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</si>
  <si>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</si>
  <si>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</si>
  <si>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</si>
  <si>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</si>
  <si>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</si>
  <si>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</si>
  <si>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</si>
  <si>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</si>
  <si>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</si>
  <si>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</si>
  <si>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</si>
  <si>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</si>
  <si>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</si>
  <si>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</si>
  <si>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</si>
  <si>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</si>
  <si>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</si>
  <si>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</si>
  <si>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</si>
  <si>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</si>
  <si>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</si>
  <si>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</si>
  <si>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</si>
  <si>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</si>
  <si>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</si>
  <si>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</si>
  <si>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</si>
  <si>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</si>
  <si>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</si>
  <si>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</si>
  <si>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</si>
  <si>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</si>
  <si>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</si>
  <si>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</si>
  <si>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</si>
  <si>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</si>
  <si>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</si>
  <si>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</si>
  <si>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</si>
  <si>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</si>
  <si>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</si>
  <si>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</si>
  <si>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</si>
  <si>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</si>
  <si>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</si>
  <si>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</si>
  <si>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</si>
  <si>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</si>
  <si>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</si>
  <si>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</si>
  <si>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</si>
  <si>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</si>
  <si>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</si>
  <si>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</si>
  <si>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</si>
  <si>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</si>
  <si>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</si>
  <si>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</si>
  <si>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</si>
  <si>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</si>
  <si>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</si>
  <si>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</si>
  <si>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</si>
  <si>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</si>
  <si>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</si>
  <si>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</si>
  <si>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</si>
  <si>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</si>
  <si>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</si>
  <si>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</si>
  <si>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</si>
  <si>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</si>
  <si>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</si>
  <si>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</si>
  <si>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</si>
  <si>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</si>
  <si>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</si>
  <si>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</si>
  <si>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</si>
  <si>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</si>
  <si>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</si>
  <si>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</si>
  <si>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</si>
  <si>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</si>
  <si>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</si>
  <si>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</si>
  <si>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</si>
  <si>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</si>
  <si>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</si>
  <si>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</si>
  <si>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</si>
  <si>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</si>
  <si>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</si>
  <si>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</si>
  <si>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</si>
  <si>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</si>
  <si>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</si>
  <si>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</si>
  <si>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</si>
  <si>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</si>
  <si>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</si>
  <si>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</si>
  <si>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</si>
  <si>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</si>
  <si>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</si>
  <si>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</si>
  <si>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</si>
  <si>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</si>
  <si>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</si>
  <si>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</si>
  <si>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</si>
  <si>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</si>
  <si>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</si>
  <si>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</si>
  <si>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</si>
  <si>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</si>
  <si>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</si>
  <si>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</si>
  <si>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</si>
  <si>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</si>
  <si>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</si>
  <si>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</si>
  <si>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</si>
  <si>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</si>
  <si>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</si>
  <si>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</si>
  <si>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</si>
  <si>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</si>
  <si>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</si>
  <si>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</si>
  <si>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</si>
  <si>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</si>
  <si>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</si>
  <si>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</si>
  <si>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</si>
  <si>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</si>
  <si>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</si>
  <si>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</si>
  <si>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</si>
  <si>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</si>
  <si>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</si>
  <si>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</si>
  <si>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</si>
  <si>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</si>
  <si>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</si>
  <si>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</si>
  <si>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</si>
  <si>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</si>
  <si>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</si>
  <si>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</si>
  <si>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</si>
  <si>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</si>
  <si>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</si>
  <si>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</si>
  <si>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</si>
  <si>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</si>
  <si>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</si>
  <si>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</si>
  <si>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</si>
  <si>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</si>
  <si>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</si>
  <si>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</si>
  <si>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</si>
  <si>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</si>
  <si>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</si>
  <si>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</si>
  <si>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</si>
  <si>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</si>
  <si>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</si>
  <si>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</si>
  <si>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</si>
  <si>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</si>
  <si>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</si>
  <si>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</si>
  <si>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</si>
  <si>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</si>
  <si>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</si>
  <si>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</si>
  <si>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</si>
  <si>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</si>
  <si>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</si>
  <si>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</si>
  <si>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</si>
  <si>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</si>
  <si>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</si>
  <si>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</si>
  <si>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</si>
  <si>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</si>
  <si>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</si>
  <si>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</si>
  <si>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</si>
  <si>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</si>
  <si>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</si>
  <si>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</si>
  <si>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</si>
  <si>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</si>
  <si>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</si>
  <si>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</si>
  <si>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</si>
  <si>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</si>
  <si>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</si>
  <si>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</si>
  <si>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</si>
  <si>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</si>
  <si>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</si>
  <si>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</si>
  <si>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</si>
  <si>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</si>
  <si>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</si>
  <si>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</si>
  <si>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</si>
  <si>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</si>
  <si>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</si>
  <si>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</si>
  <si>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</si>
  <si>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</si>
  <si>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</si>
  <si>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</si>
  <si>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</si>
  <si>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</si>
  <si>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</si>
  <si>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</si>
  <si>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</si>
  <si>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</si>
  <si>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</si>
  <si>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</si>
  <si>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</si>
  <si>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</si>
  <si>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</si>
  <si>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</si>
  <si>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</si>
  <si>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</si>
  <si>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</si>
  <si>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</si>
  <si>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</si>
  <si>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</si>
  <si>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</si>
  <si>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</si>
  <si>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</si>
  <si>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</si>
  <si>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</si>
  <si>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</si>
  <si>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</si>
  <si>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</si>
  <si>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</si>
  <si>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</si>
  <si>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</si>
  <si>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</si>
  <si>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</si>
  <si>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</si>
  <si>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</si>
  <si>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</si>
  <si>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</si>
  <si>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</si>
  <si>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</si>
  <si>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</si>
  <si>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</si>
  <si>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</si>
  <si>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</si>
  <si>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</si>
  <si>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</si>
  <si>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</si>
  <si>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</si>
  <si>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</si>
  <si>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</si>
  <si>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</si>
  <si>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</si>
  <si>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</si>
  <si>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</si>
  <si>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</si>
  <si>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</si>
  <si>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</si>
  <si>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</si>
  <si>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</si>
  <si>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</si>
  <si>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</si>
  <si>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</si>
  <si>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</si>
  <si>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</si>
  <si>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</si>
  <si>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</si>
  <si>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</si>
  <si>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</si>
  <si>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</si>
  <si>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</si>
  <si>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</si>
  <si>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</si>
  <si>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</si>
  <si>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</si>
  <si>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</si>
  <si>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</si>
  <si>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</si>
  <si>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</si>
  <si>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</si>
  <si>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</si>
  <si>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</si>
  <si>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</si>
  <si>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</si>
  <si>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</si>
  <si>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</si>
  <si>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</si>
  <si>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</si>
  <si>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</si>
  <si>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</si>
  <si>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</si>
  <si>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</si>
  <si>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</si>
  <si>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</si>
  <si>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</si>
  <si>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</si>
  <si>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</si>
  <si>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</si>
  <si>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</si>
  <si>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</si>
  <si>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</si>
  <si>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</si>
  <si>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</si>
  <si>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</si>
  <si>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</si>
  <si>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</si>
  <si>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</si>
  <si>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</si>
  <si>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</si>
  <si>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</si>
  <si>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</si>
  <si>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</si>
  <si>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</si>
  <si>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</si>
  <si>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</si>
  <si>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</si>
  <si>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</si>
  <si>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</si>
  <si>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</si>
  <si>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</si>
  <si>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</si>
  <si>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</si>
  <si>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</si>
  <si>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</si>
  <si>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</si>
  <si>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</si>
  <si>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</si>
  <si>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</si>
  <si>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</si>
  <si>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</si>
  <si>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</si>
  <si>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</si>
  <si>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</si>
  <si>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</si>
  <si>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</si>
  <si>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</si>
  <si>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</si>
  <si>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</si>
  <si>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</si>
  <si>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</si>
  <si>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</si>
  <si>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</si>
  <si>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</si>
  <si>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</si>
  <si>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</si>
  <si>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</si>
  <si>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</si>
  <si>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</si>
  <si>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</si>
  <si>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</si>
  <si>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</si>
  <si>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</si>
  <si>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</si>
  <si>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</si>
  <si>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</si>
  <si>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</si>
  <si>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</si>
  <si>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</si>
  <si>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</si>
  <si>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</si>
  <si>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</si>
  <si>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</si>
  <si>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</si>
  <si>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</si>
  <si>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</si>
  <si>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</si>
  <si>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</si>
  <si>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</si>
  <si>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</si>
  <si>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</si>
  <si>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</si>
  <si>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</si>
  <si>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</si>
  <si>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</si>
  <si>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</si>
  <si>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</si>
  <si>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</si>
  <si>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</si>
  <si>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</si>
  <si>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</si>
  <si>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</si>
  <si>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</si>
  <si>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</si>
  <si>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</si>
  <si>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</si>
  <si>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</si>
  <si>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</si>
  <si>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</si>
  <si>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</si>
  <si>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</si>
  <si>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</si>
  <si>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</si>
  <si>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</si>
  <si>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</si>
  <si>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</si>
  <si>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</si>
  <si>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</si>
  <si>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</si>
  <si>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</si>
  <si>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</si>
  <si>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</si>
  <si>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</si>
  <si>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</si>
  <si>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</si>
  <si>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</si>
  <si>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</si>
  <si>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</si>
  <si>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</si>
  <si>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</si>
  <si>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</si>
  <si>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</si>
  <si>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</si>
  <si>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</si>
  <si>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</si>
  <si>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</si>
  <si>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</si>
  <si>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</si>
  <si>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</si>
  <si>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</si>
  <si>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</si>
  <si>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</si>
  <si>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</si>
  <si>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</si>
  <si>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</si>
  <si>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</si>
  <si>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</si>
  <si>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</si>
  <si>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</si>
  <si>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</si>
  <si>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</si>
  <si>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</si>
  <si>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</si>
  <si>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</si>
  <si>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</si>
  <si>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</si>
  <si>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</si>
  <si>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</si>
  <si>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</si>
  <si>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</si>
  <si>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</si>
  <si>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</si>
  <si>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</si>
  <si>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</si>
  <si>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</si>
  <si>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</si>
  <si>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</si>
  <si>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</si>
  <si>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</si>
  <si>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</si>
  <si>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</si>
  <si>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</si>
  <si>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</si>
  <si>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</si>
  <si>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</si>
  <si>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</si>
  <si>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</si>
  <si>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</si>
  <si>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</si>
  <si>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</si>
  <si>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</si>
  <si>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</si>
  <si>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</si>
  <si>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</si>
  <si>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</si>
  <si>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</si>
  <si>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</si>
  <si>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</si>
  <si>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</si>
  <si>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</si>
  <si>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</si>
  <si>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</si>
  <si>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</si>
  <si>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</si>
  <si>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</si>
  <si>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</si>
  <si>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</si>
  <si>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</si>
  <si>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</si>
  <si>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</si>
  <si>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</si>
  <si>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</si>
  <si>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</si>
  <si>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</si>
  <si>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</si>
  <si>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</si>
  <si>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</si>
  <si>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</si>
  <si>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</si>
  <si>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</si>
  <si>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</si>
  <si>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</si>
  <si>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</si>
  <si>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</si>
  <si>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</si>
  <si>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</si>
  <si>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</si>
  <si>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</si>
  <si>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</si>
  <si>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</si>
  <si>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</si>
  <si>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</si>
  <si>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</si>
  <si>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</si>
  <si>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</si>
  <si>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</si>
  <si>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</si>
  <si>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</si>
  <si>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</si>
  <si>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</si>
  <si>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</si>
  <si>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</si>
  <si>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</si>
  <si>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</si>
  <si>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</si>
  <si>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</si>
  <si>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</si>
  <si>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</si>
  <si>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</si>
  <si>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</si>
  <si>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</si>
  <si>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</si>
  <si>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</si>
  <si>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</si>
  <si>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</si>
  <si>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</si>
  <si>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</si>
  <si>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</si>
  <si>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</si>
  <si>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</si>
  <si>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</si>
  <si>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</si>
  <si>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</si>
  <si>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</si>
  <si>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</si>
  <si>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</si>
  <si>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</si>
  <si>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</si>
  <si>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</si>
  <si>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</si>
  <si>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</si>
  <si>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</si>
  <si>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</si>
  <si>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</si>
  <si>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</si>
  <si>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</si>
  <si>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</si>
  <si>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</si>
  <si>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</si>
  <si>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</si>
  <si>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</si>
  <si>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</si>
  <si>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</si>
  <si>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</si>
  <si>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</si>
  <si>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</si>
  <si>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</si>
  <si>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</si>
  <si>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</si>
  <si>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</si>
  <si>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</si>
  <si>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</si>
  <si>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</si>
  <si>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</si>
  <si>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</si>
  <si>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</si>
  <si>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</si>
  <si>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</si>
  <si>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</si>
  <si>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</si>
  <si>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</si>
  <si>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</si>
  <si>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</si>
  <si>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</si>
  <si>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</si>
  <si>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</si>
  <si>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</si>
  <si>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</si>
  <si>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</si>
  <si>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</si>
  <si>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</si>
  <si>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</si>
  <si>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</si>
  <si>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</si>
  <si>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</si>
  <si>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</si>
  <si>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</si>
  <si>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</si>
  <si>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</si>
  <si>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</si>
  <si>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</si>
  <si>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</si>
  <si>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</si>
  <si>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</si>
  <si>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</si>
  <si>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</si>
  <si>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</si>
  <si>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</si>
  <si>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</si>
  <si>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</si>
  <si>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</si>
  <si>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</si>
  <si>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</si>
  <si>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</si>
  <si>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</si>
  <si>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</si>
  <si>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</si>
  <si>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</si>
  <si>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</si>
  <si>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</si>
  <si>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</si>
  <si>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</si>
  <si>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</si>
  <si>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</si>
  <si>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</si>
  <si>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</si>
  <si>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</si>
  <si>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</si>
  <si>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</si>
  <si>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</si>
  <si>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</si>
  <si>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</si>
  <si>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</si>
  <si>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</si>
  <si>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</si>
  <si>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</si>
  <si>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</si>
  <si>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</si>
  <si>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</si>
  <si>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</si>
  <si>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</si>
  <si>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</si>
  <si>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</si>
  <si>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</si>
  <si>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</si>
  <si>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</si>
  <si>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</si>
  <si>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</si>
  <si>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</si>
  <si>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</si>
  <si>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</si>
  <si>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</si>
  <si>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</si>
  <si>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</si>
  <si>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</si>
  <si>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</si>
  <si>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</si>
  <si>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</si>
  <si>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</si>
  <si>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</si>
  <si>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</si>
  <si>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</si>
  <si>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</si>
  <si>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</si>
  <si>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</si>
  <si>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</si>
  <si>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</si>
  <si>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</si>
  <si>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</si>
  <si>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</si>
  <si>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</si>
  <si>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</si>
  <si>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</si>
  <si>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</si>
  <si>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</si>
  <si>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</si>
  <si>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</si>
  <si>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</si>
  <si>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</si>
  <si>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</si>
  <si>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</si>
  <si>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</si>
  <si>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</si>
  <si>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</si>
  <si>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</si>
  <si>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</si>
  <si>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</si>
  <si>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</si>
  <si>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</si>
  <si>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</si>
  <si>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</si>
  <si>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</si>
  <si>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</si>
  <si>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</si>
  <si>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</si>
  <si>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</si>
  <si>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</si>
  <si>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</si>
  <si>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</si>
  <si>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</si>
  <si>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</si>
  <si>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</si>
  <si>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</si>
  <si>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</si>
  <si>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</si>
  <si>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</si>
  <si>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</si>
  <si>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</si>
  <si>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</si>
  <si>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</si>
  <si>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</si>
  <si>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</si>
  <si>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</si>
  <si>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</si>
  <si>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</si>
  <si>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</si>
  <si>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</si>
  <si>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</si>
  <si>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</si>
  <si>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</si>
  <si>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</si>
  <si>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</si>
  <si>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</si>
  <si>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</si>
  <si>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</si>
  <si>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</si>
  <si>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</si>
  <si>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</si>
  <si>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</si>
  <si>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</si>
  <si>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</si>
  <si>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</si>
  <si>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</si>
  <si>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</si>
  <si>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</si>
  <si>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</si>
  <si>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</si>
  <si>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</si>
  <si>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</si>
  <si>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</si>
  <si>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</si>
  <si>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</si>
  <si>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</si>
  <si>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</si>
  <si>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</si>
  <si>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</si>
  <si>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</si>
  <si>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</si>
  <si>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</si>
  <si>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</si>
  <si>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</si>
  <si>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</si>
  <si>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</si>
  <si>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</si>
  <si>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</si>
  <si>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</si>
  <si>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</si>
  <si>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</si>
  <si>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</si>
  <si>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</si>
  <si>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</si>
  <si>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</si>
  <si>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</si>
  <si>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</si>
  <si>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</si>
  <si>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</si>
  <si>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</si>
  <si>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</si>
  <si>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</si>
  <si>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</si>
  <si>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</si>
  <si>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</si>
  <si>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</si>
  <si>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</si>
  <si>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</si>
  <si>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</si>
  <si>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</si>
  <si>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</si>
  <si>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</si>
  <si>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</si>
  <si>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</si>
  <si>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</si>
  <si>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</si>
  <si>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</si>
  <si>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</si>
  <si>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</si>
  <si>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</si>
  <si>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</si>
  <si>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</si>
  <si>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</si>
  <si>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</si>
  <si>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</si>
  <si>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</si>
  <si>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</si>
  <si>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</si>
  <si>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</si>
  <si>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</si>
  <si>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</si>
  <si>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</si>
  <si>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</si>
  <si>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</si>
  <si>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</si>
  <si>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</si>
  <si>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</si>
  <si>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</si>
  <si>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</si>
  <si>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</si>
  <si>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</si>
  <si>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</si>
  <si>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</si>
  <si>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</si>
  <si>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</si>
  <si>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</si>
  <si>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</si>
  <si>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</si>
  <si>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</si>
  <si>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</si>
  <si>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</si>
  <si>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</si>
  <si>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</si>
  <si>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</si>
  <si>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</si>
  <si>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</si>
  <si>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</si>
  <si>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</si>
  <si>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</si>
  <si>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</si>
  <si>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</si>
  <si>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</si>
  <si>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</si>
  <si>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</si>
  <si>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</si>
  <si>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</si>
  <si>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</si>
  <si>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</si>
  <si>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</si>
  <si>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</si>
  <si>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</si>
  <si>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</si>
  <si>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</si>
  <si>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</si>
  <si>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</si>
  <si>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</si>
  <si>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</si>
  <si>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</si>
  <si>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</si>
  <si>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</si>
  <si>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</si>
  <si>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</si>
  <si>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</si>
  <si>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</si>
  <si>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</si>
  <si>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</si>
  <si>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</si>
  <si>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</si>
  <si>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</si>
  <si>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</si>
  <si>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</si>
  <si>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</si>
  <si>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</si>
  <si>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</si>
  <si>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</si>
  <si>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</si>
  <si>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</si>
  <si>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</si>
  <si>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</si>
  <si>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</si>
  <si>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</si>
  <si>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</si>
  <si>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</si>
  <si>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</si>
  <si>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</si>
  <si>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</si>
  <si>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</si>
  <si>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</si>
  <si>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</si>
  <si>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</si>
  <si>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</si>
  <si>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</si>
  <si>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</si>
  <si>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</si>
  <si>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</si>
  <si>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</si>
  <si>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</si>
  <si>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</si>
  <si>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</si>
  <si>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</si>
  <si>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</si>
  <si>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</si>
  <si>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</si>
  <si>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</si>
  <si>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</si>
  <si>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</si>
  <si>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</si>
  <si>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</si>
  <si>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</si>
  <si>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</si>
  <si>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</si>
  <si>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</si>
  <si>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</si>
  <si>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</si>
  <si>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</si>
  <si>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</si>
  <si>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</si>
  <si>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</si>
  <si>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</si>
  <si>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</si>
  <si>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</si>
  <si>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</si>
  <si>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</si>
  <si>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</si>
  <si>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</si>
  <si>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</si>
  <si>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</si>
  <si>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</si>
  <si>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</si>
  <si>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</si>
  <si>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</si>
  <si>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</si>
  <si>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</si>
  <si>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</si>
  <si>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</si>
  <si>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</si>
  <si>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</si>
  <si>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</si>
  <si>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</si>
  <si>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</si>
  <si>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</si>
  <si>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</si>
  <si>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</si>
  <si>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</si>
  <si>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</si>
  <si>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</si>
  <si>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</si>
  <si>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</si>
  <si>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</si>
  <si>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</si>
  <si>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</si>
  <si>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</si>
  <si>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</si>
  <si>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</si>
  <si>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</si>
  <si>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</si>
  <si>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</si>
  <si>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</si>
  <si>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</si>
  <si>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</si>
  <si>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</si>
  <si>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</si>
  <si>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</si>
  <si>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</si>
  <si>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</si>
  <si>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</si>
  <si>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</si>
  <si>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</si>
  <si>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</si>
  <si>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</si>
  <si>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</si>
  <si>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</si>
  <si>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</si>
  <si>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</si>
  <si>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</si>
  <si>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</si>
  <si>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</si>
  <si>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</si>
  <si>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</si>
  <si>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</si>
  <si>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</si>
  <si>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</si>
  <si>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</si>
  <si>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</si>
  <si>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</si>
  <si>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</si>
  <si>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</si>
  <si>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</si>
  <si>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</si>
  <si>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</si>
  <si>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</si>
  <si>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</si>
  <si>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</si>
  <si>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</si>
  <si>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</si>
  <si>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</si>
  <si>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</si>
  <si>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</si>
  <si>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</si>
  <si>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</si>
  <si>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</si>
  <si>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</si>
  <si>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</si>
  <si>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</si>
  <si>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</si>
  <si>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</si>
  <si>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</si>
  <si>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</si>
  <si>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</si>
  <si>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</si>
  <si>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</si>
  <si>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</si>
  <si>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</si>
  <si>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</si>
  <si>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</si>
  <si>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</si>
  <si>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</si>
  <si>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</si>
  <si>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</si>
  <si>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</si>
  <si>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</si>
  <si>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</si>
  <si>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</si>
  <si>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</si>
  <si>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</si>
  <si>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</si>
  <si>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</si>
  <si>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</si>
  <si>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</si>
  <si>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</si>
  <si>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</si>
  <si>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</si>
  <si>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</si>
  <si>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</si>
  <si>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</si>
  <si>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</si>
  <si>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</si>
  <si>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</si>
  <si>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</si>
  <si>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</si>
  <si>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</si>
  <si>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</si>
  <si>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</si>
  <si>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</si>
  <si>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</si>
  <si>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</si>
  <si>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</si>
  <si>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</si>
  <si>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</si>
  <si>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</si>
  <si>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</si>
  <si>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</si>
  <si>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</si>
  <si>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</si>
  <si>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</si>
  <si>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</si>
  <si>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</si>
  <si>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</si>
  <si>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</si>
  <si>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</si>
  <si>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</si>
  <si>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</si>
  <si>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</si>
  <si>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</si>
  <si>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</si>
  <si>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</si>
  <si>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</si>
  <si>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</si>
  <si>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</si>
  <si>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</si>
  <si>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</si>
  <si>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</si>
  <si>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</si>
  <si>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</si>
  <si>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</si>
  <si>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</si>
  <si>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</si>
  <si>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</si>
  <si>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</si>
  <si>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</si>
  <si>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</si>
  <si>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</si>
  <si>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</si>
  <si>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</si>
  <si>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</si>
  <si>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</si>
  <si>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</si>
  <si>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</si>
  <si>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</si>
  <si>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</si>
  <si>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</si>
  <si>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</si>
  <si>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</si>
  <si>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</si>
  <si>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</si>
  <si>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</si>
  <si>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</si>
  <si>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</si>
  <si>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</si>
  <si>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</si>
  <si>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</si>
  <si>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</si>
  <si>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</si>
  <si>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</si>
  <si>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</si>
  <si>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</si>
  <si>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</si>
  <si>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</si>
  <si>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</si>
  <si>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</si>
  <si>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</si>
  <si>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</si>
  <si>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</si>
  <si>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</si>
  <si>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</si>
  <si>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</si>
  <si>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</si>
  <si>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</si>
  <si>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</si>
  <si>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</si>
  <si>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</si>
  <si>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</si>
  <si>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</si>
  <si>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</si>
  <si>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</si>
  <si>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</si>
  <si>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</si>
  <si>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</si>
  <si>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</si>
  <si>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</si>
  <si>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</si>
  <si>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</si>
  <si>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</si>
  <si>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</si>
  <si>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</si>
  <si>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</si>
  <si>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</si>
  <si>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</si>
  <si>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</si>
  <si>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</si>
  <si>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</si>
  <si>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</si>
  <si>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</si>
  <si>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</si>
  <si>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</si>
  <si>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</si>
  <si>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</si>
  <si>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</si>
  <si>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</si>
  <si>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</si>
  <si>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</si>
  <si>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</si>
  <si>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</si>
  <si>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</si>
  <si>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</si>
  <si>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</si>
  <si>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</si>
  <si>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</si>
  <si>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</si>
  <si>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</si>
  <si>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</si>
  <si>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</si>
  <si>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</si>
  <si>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</si>
  <si>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</si>
  <si>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</si>
  <si>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</si>
  <si>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</si>
  <si>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</si>
  <si>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</si>
  <si>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</si>
  <si>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</si>
  <si>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</si>
  <si>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</si>
  <si>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</si>
  <si>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</si>
  <si>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</si>
  <si>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</si>
  <si>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</si>
  <si>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</si>
  <si>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</si>
  <si>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</si>
  <si>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</si>
  <si>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</si>
  <si>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</si>
  <si>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</si>
  <si>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</si>
  <si>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</si>
  <si>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</si>
  <si>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</si>
  <si>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</si>
  <si>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</si>
  <si>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</si>
  <si>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</si>
  <si>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</si>
  <si>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</si>
  <si>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</si>
  <si>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</si>
  <si>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</si>
  <si>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</si>
  <si>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</si>
  <si>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</si>
  <si>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</si>
  <si>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</si>
  <si>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</si>
  <si>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</si>
  <si>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</si>
  <si>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</si>
  <si>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</si>
  <si>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</si>
  <si>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</si>
  <si>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</si>
  <si>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</si>
  <si>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</si>
  <si>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</si>
  <si>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</si>
  <si>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</si>
  <si>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</si>
  <si>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</si>
  <si>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</si>
  <si>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</si>
  <si>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</si>
  <si>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</si>
  <si>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</si>
  <si>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</si>
  <si>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</si>
  <si>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</si>
  <si>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</si>
  <si>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</si>
  <si>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</si>
  <si>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</si>
  <si>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</si>
  <si>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</si>
  <si>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</si>
  <si>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</si>
  <si>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</si>
  <si>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</si>
  <si>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</si>
  <si>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</si>
  <si>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</si>
  <si>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</si>
  <si>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</si>
  <si>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</si>
  <si>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</si>
  <si>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</si>
  <si>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</si>
  <si>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</si>
  <si>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</si>
  <si>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</si>
  <si>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</si>
  <si>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</si>
  <si>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</si>
  <si>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</si>
  <si>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</si>
  <si>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</si>
  <si>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</si>
  <si>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</si>
  <si>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</si>
  <si>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</si>
  <si>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</si>
  <si>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Latihan</t>
  </si>
  <si>
    <t>Jika kalian adalah pemilik toko sembako dan dengan data yang sudah teman-teman olah selama ini, coba berikan 3 pertanyaan apa yang mau kalian tanyakan dan bisa dijawab oleh data ini.</t>
  </si>
  <si>
    <t>Setelah itu buatlah dashboard di Excel dengan syarat seperti ini:</t>
  </si>
  <si>
    <t>•</t>
  </si>
  <si>
    <t>Minimal ada 1 Scorecard (menunjukkan metrics/kalkulasi utama)</t>
  </si>
  <si>
    <t>Minimal ada 3 grafik visual yang menunjukkan 3 pertanyaan yang sebelumnya telah dibuat (terserah mau warna/visualnya seperti apa, silahkan berkreasi).</t>
  </si>
  <si>
    <t>Minimal 1 slicer (untuk bisa filter data dari semua grafik dan scorecard agar bisa mendapat informasi lain).</t>
  </si>
  <si>
    <t>Tidak ada jawaban benar/salah, silahkan berkreasi. Jika bingung silahkan googling dengan keyword (contoh layout dashboard).</t>
  </si>
  <si>
    <t>Month</t>
  </si>
  <si>
    <t>Year</t>
  </si>
  <si>
    <t>Pada bulan apa penjualan tertinggi?</t>
  </si>
  <si>
    <t>Siapa pelanggan yang paling sering membeli atau memberikan kontribusi terbesar?</t>
  </si>
  <si>
    <t>Produk apa yang menghasilkan penjualan (omzet) paling besar?</t>
  </si>
  <si>
    <t>3 Pertanyaan :</t>
  </si>
  <si>
    <t>Brand</t>
  </si>
  <si>
    <t>Product</t>
  </si>
  <si>
    <t>Brand A</t>
  </si>
  <si>
    <t>Brand B</t>
  </si>
  <si>
    <t>Brand C</t>
  </si>
  <si>
    <t>Product/Brand</t>
  </si>
  <si>
    <t>Sort</t>
  </si>
  <si>
    <t>Total Sale</t>
  </si>
  <si>
    <t>Month/Year</t>
  </si>
  <si>
    <t>Tahun 2024</t>
  </si>
  <si>
    <t>Tahun 2025</t>
  </si>
  <si>
    <t>Nama Cust</t>
  </si>
  <si>
    <t>Transaksi 2024</t>
  </si>
  <si>
    <t>Transaksi 2025</t>
  </si>
  <si>
    <t>Total Transaksi</t>
  </si>
  <si>
    <t>Sale 2024</t>
  </si>
  <si>
    <t>Sale 2025</t>
  </si>
  <si>
    <t>Bawang Merah</t>
  </si>
  <si>
    <t>Beras</t>
  </si>
  <si>
    <t>Daging Ayam</t>
  </si>
  <si>
    <t>Garam</t>
  </si>
  <si>
    <t>Gula Pasir</t>
  </si>
  <si>
    <t>Minyak Goreng</t>
  </si>
  <si>
    <t>Susu Bubuk</t>
  </si>
  <si>
    <t>Telur Ayam</t>
  </si>
  <si>
    <t>Tepung Terigu</t>
  </si>
  <si>
    <t>January</t>
  </si>
  <si>
    <t>February</t>
  </si>
  <si>
    <t>March</t>
  </si>
  <si>
    <t>April</t>
  </si>
  <si>
    <t>May</t>
  </si>
  <si>
    <t>June</t>
  </si>
  <si>
    <t>July</t>
  </si>
  <si>
    <t>August</t>
  </si>
  <si>
    <t>September</t>
  </si>
  <si>
    <t>October</t>
  </si>
  <si>
    <t>November</t>
  </si>
  <si>
    <t>December</t>
  </si>
  <si>
    <t>Total Customer</t>
  </si>
  <si>
    <t>Count of Order ID</t>
  </si>
  <si>
    <t>Row Labels</t>
  </si>
  <si>
    <t>Sum of Total Sales</t>
  </si>
  <si>
    <t>Total Product Sale</t>
  </si>
  <si>
    <t>Sum of Quantity</t>
  </si>
  <si>
    <t>Sale</t>
  </si>
  <si>
    <t>Penjualan Perbulan</t>
  </si>
  <si>
    <t>Product Terlaris</t>
  </si>
  <si>
    <t>Brand Terlaris</t>
  </si>
  <si>
    <t>Jenis Platform</t>
  </si>
  <si>
    <t>Cara Pembayaran</t>
  </si>
  <si>
    <t>15 Cust teratas</t>
  </si>
  <si>
    <t>Penjualan/Tahun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</si>
</sst>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Rp&quot;* #,##0_-;\-&quot;Rp&quot;* #,##0_-;_-&quot;Rp&quot;* &quot;-&quot;_-;_-@_-"/>
    <numFmt numFmtId="41" formatCode="_-* #,##0_-;\-* #,##0_-;_-* &quot;-&quot;_-;_-@_-"/>
    <numFmt numFmtId="164" formatCode="yyyy\-mm\-dd\ hh:mm:ss"/>
  </numFmts>
  <fonts count="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font>
    <font>
      <b/>
      <sz val="11"/>
      <color theme="1"/>
      <name val="Calibri"/>
      <family val="2"/>
      <scheme val="minor"/>
    </font>
    <font>
      <b/>
      <sz val="11"/>
      <color theme="1"/>
      <name val="Calibri"/>
      <family val="2"/>
    </font>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
    <xf numFmtId="0" fontId="0" fillId="0" borderId="0"/>
    <xf numFmtId="41" fontId="8" fillId="0" borderId="0" applyFont="0" applyFill="0" applyBorder="0" applyAlignment="0" applyProtection="0"/>
    <xf numFmtId="9" fontId="8" fillId="0" borderId="0" applyFont="0" applyFill="0" applyBorder="0" applyAlignment="0" applyProtection="0"/>
  </cellStyleXfs>
  <cellXfs count="45">
    <xf numFmtId="0" fontId="0" fillId="0" borderId="0" xfId="0"/>
    <xf numFmtId="0" fontId="3" fillId="0" borderId="1" xfId="0" applyFont="1" applyBorder="1" applyAlignment="1">
      <alignment horizontal="center" vertical="top"/>
    </xf>
    <xf numFmtId="0" fontId="4" fillId="0" borderId="0" xfId="0" applyFont="1"/>
    <xf numFmtId="164" fontId="5" fillId="0" borderId="0" xfId="0" applyNumberFormat="1" applyFont="1"/>
    <xf numFmtId="3" fontId="3" fillId="0" borderId="1" xfId="0" applyNumberFormat="1" applyFont="1" applyBorder="1" applyAlignment="1">
      <alignment horizontal="center" vertical="top"/>
    </xf>
    <xf numFmtId="3" fontId="4" fillId="0" borderId="0" xfId="0" applyNumberFormat="1" applyFont="1"/>
    <xf numFmtId="3" fontId="0" fillId="0" borderId="0" xfId="0" applyNumberFormat="1"/>
    <xf numFmtId="3" fontId="3" fillId="2" borderId="1" xfId="0" applyNumberFormat="1" applyFont="1" applyFill="1" applyBorder="1" applyAlignment="1">
      <alignment horizontal="center" vertical="top"/>
    </xf>
    <xf numFmtId="3" fontId="0" fillId="2" borderId="0" xfId="0" applyNumberFormat="1" applyFill="1"/>
    <xf numFmtId="0" fontId="3" fillId="2" borderId="1" xfId="0" applyFont="1" applyFill="1" applyBorder="1" applyAlignment="1">
      <alignment horizontal="center" vertical="top"/>
    </xf>
    <xf numFmtId="0" fontId="0" fillId="2" borderId="0" xfId="0" applyFill="1"/>
    <xf numFmtId="0" fontId="3" fillId="2" borderId="2" xfId="0" applyFont="1" applyFill="1" applyBorder="1" applyAlignment="1">
      <alignment horizontal="center" vertical="top"/>
    </xf>
    <xf numFmtId="42" fontId="0" fillId="0" borderId="0" xfId="0" applyNumberFormat="1"/>
    <xf numFmtId="0" fontId="7" fillId="0" borderId="1" xfId="0" applyFont="1" applyBorder="1" applyAlignment="1">
      <alignment horizontal="center" vertical="top"/>
    </xf>
    <xf numFmtId="0" fontId="0" fillId="0" borderId="3" xfId="0" applyBorder="1"/>
    <xf numFmtId="42" fontId="0" fillId="0" borderId="3" xfId="0" applyNumberFormat="1" applyBorder="1"/>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0" fillId="0" borderId="7" xfId="0" applyBorder="1"/>
    <xf numFmtId="42" fontId="0" fillId="0" borderId="8" xfId="0" applyNumberFormat="1" applyBorder="1"/>
    <xf numFmtId="0" fontId="0" fillId="0" borderId="9" xfId="0" applyBorder="1"/>
    <xf numFmtId="42" fontId="0" fillId="0" borderId="10" xfId="0" applyNumberFormat="1" applyBorder="1"/>
    <xf numFmtId="42" fontId="0" fillId="0" borderId="11" xfId="0" applyNumberFormat="1" applyBorder="1"/>
    <xf numFmtId="0" fontId="7" fillId="0" borderId="2" xfId="0" applyFont="1" applyBorder="1" applyAlignment="1">
      <alignment horizontal="center" vertical="top"/>
    </xf>
    <xf numFmtId="0" fontId="0" fillId="0" borderId="10" xfId="0" applyBorder="1"/>
    <xf numFmtId="0" fontId="2" fillId="0" borderId="7" xfId="0" applyFont="1" applyBorder="1"/>
    <xf numFmtId="0" fontId="0" fillId="0" borderId="12" xfId="0" applyBorder="1"/>
    <xf numFmtId="0" fontId="0" fillId="0" borderId="13" xfId="0" applyBorder="1"/>
    <xf numFmtId="42" fontId="0" fillId="0" borderId="14" xfId="0" applyNumberFormat="1" applyBorder="1"/>
    <xf numFmtId="0" fontId="0" fillId="0" borderId="8" xfId="0" applyBorder="1"/>
    <xf numFmtId="0" fontId="0" fillId="0" borderId="11" xfId="0" applyBorder="1"/>
    <xf numFmtId="0" fontId="0" fillId="0" borderId="14" xfId="0" applyBorder="1"/>
    <xf numFmtId="0" fontId="6" fillId="0" borderId="0" xfId="0" applyFont="1" applyAlignment="1">
      <alignment horizontal="center" vertical="center"/>
    </xf>
    <xf numFmtId="42" fontId="0" fillId="0" borderId="13" xfId="0" applyNumberFormat="1" applyBorder="1"/>
    <xf numFmtId="0" fontId="1" fillId="0" borderId="0" xfId="0" applyFont="1"/>
    <xf numFmtId="0" fontId="0" fillId="0" borderId="0" xfId="0" applyAlignment="1">
      <alignment horizontal="center" vertic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41" fontId="0" fillId="0" borderId="0" xfId="0" applyNumberFormat="1"/>
    <xf numFmtId="41" fontId="0" fillId="0" borderId="0" xfId="1" applyFont="1"/>
    <xf numFmtId="42" fontId="0" fillId="0" borderId="0" xfId="1" applyNumberFormat="1" applyFont="1"/>
    <xf numFmtId="9" fontId="0" fillId="0" borderId="0" xfId="2" applyFont="1"/>
    <xf numFmtId="0" fontId="0" fillId="0" borderId="0" xfId="0" applyNumberFormat="1"/>
  </cellXfs>
  <cellStyles count="3">
    <cellStyle name="Comma [0]" xfId="1" builtinId="6"/>
    <cellStyle name="Normal" xfId="0" builtinId="0"/>
    <cellStyle name="Percent" xfId="2" builtinId="5"/>
  </cellStyles>
  <dxfs count="287">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3" formatCode="_-* #,##0_-;\-* #,##0_-;_-*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3" formatCode="_-* #,##0_-;\-* #,##0_-;_-*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3" formatCode="_-* #,##0_-;\-* #,##0_-;_-* &quot;-&quot;_-;_-@_-"/>
    </dxf>
  </dxfs>
  <tableStyles count="1" defaultTableStyle="TableStyleMedium2" defaultPivotStyle="PivotStyleLight16">
    <tableStyle name="Slicer Style 1" pivot="0" table="0" count="0" xr9:uid="{C2EBDBF5-C9AB-4777-ABC7-E0BEDB0E71C4}"/>
  </tableStyles>
  <colors>
    <mruColors>
      <color rgb="FFFBAED2"/>
      <color rgb="FFFD6C9E"/>
      <color rgb="FFF8C8D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Omzet By Product Toko</a:t>
            </a:r>
            <a:r>
              <a:rPr lang="en-ID" baseline="0"/>
              <a:t> Sembako Disa</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barChart>
        <c:barDir val="col"/>
        <c:grouping val="clustered"/>
        <c:varyColors val="0"/>
        <c:ser>
          <c:idx val="0"/>
          <c:order val="0"/>
          <c:tx>
            <c:strRef>
              <c:f>Jawab!$C$2</c:f>
              <c:strCache>
                <c:ptCount val="1"/>
                <c:pt idx="0">
                  <c:v>Brand A</c:v>
                </c:pt>
              </c:strCache>
            </c:strRef>
          </c:tx>
          <c:spPr>
            <a:solidFill>
              <a:schemeClr val="accent1"/>
            </a:solidFill>
            <a:ln>
              <a:noFill/>
            </a:ln>
            <a:effectLst/>
          </c:spPr>
          <c:invertIfNegative val="0"/>
          <c:cat>
            <c:strRef>
              <c:f>Jawab!$B$3:$B$11</c:f>
              <c:strCache>
                <c:ptCount val="9"/>
                <c:pt idx="0">
                  <c:v>Bawang Merah</c:v>
                </c:pt>
                <c:pt idx="1">
                  <c:v>Beras</c:v>
                </c:pt>
                <c:pt idx="2">
                  <c:v>Daging Ayam</c:v>
                </c:pt>
                <c:pt idx="3">
                  <c:v>Garam</c:v>
                </c:pt>
                <c:pt idx="4">
                  <c:v>Gula Pasir</c:v>
                </c:pt>
                <c:pt idx="5">
                  <c:v>Minyak Goreng</c:v>
                </c:pt>
                <c:pt idx="6">
                  <c:v>Susu Bubuk</c:v>
                </c:pt>
                <c:pt idx="7">
                  <c:v>Telur Ayam</c:v>
                </c:pt>
                <c:pt idx="8">
                  <c:v>Tepung Terigu</c:v>
                </c:pt>
              </c:strCache>
            </c:strRef>
          </c:cat>
          <c:val>
            <c:numRef>
              <c:f>Jawab!$C$3:$C$11</c:f>
              <c:numCache>
                <c:formatCode>_("Rp"* #,##0_);_("Rp"* \(#,##0\);_("Rp"* "-"_);_(@_)</c:formatCode>
                <c:ptCount val="9"/>
                <c:pt idx="0">
                  <c:v>5319000</c:v>
                </c:pt>
                <c:pt idx="1">
                  <c:v>2762900</c:v>
                </c:pt>
                <c:pt idx="2">
                  <c:v>6650000</c:v>
                </c:pt>
                <c:pt idx="3">
                  <c:v>801000</c:v>
                </c:pt>
                <c:pt idx="4">
                  <c:v>3150400</c:v>
                </c:pt>
                <c:pt idx="5">
                  <c:v>3612000</c:v>
                </c:pt>
                <c:pt idx="6">
                  <c:v>8835750</c:v>
                </c:pt>
                <c:pt idx="7">
                  <c:v>4730000</c:v>
                </c:pt>
                <c:pt idx="8">
                  <c:v>1846000</c:v>
                </c:pt>
              </c:numCache>
            </c:numRef>
          </c:val>
          <c:extLst>
            <c:ext xmlns:c16="http://schemas.microsoft.com/office/drawing/2014/chart" uri="{C3380CC4-5D6E-409C-BE32-E72D297353CC}">
              <c16:uniqueId val="{00000000-A08E-4000-AED8-AA2FCAA01B7F}"/>
            </c:ext>
          </c:extLst>
        </c:ser>
        <c:ser>
          <c:idx val="1"/>
          <c:order val="1"/>
          <c:tx>
            <c:strRef>
              <c:f>Jawab!$D$2</c:f>
              <c:strCache>
                <c:ptCount val="1"/>
                <c:pt idx="0">
                  <c:v>Brand B</c:v>
                </c:pt>
              </c:strCache>
            </c:strRef>
          </c:tx>
          <c:spPr>
            <a:solidFill>
              <a:schemeClr val="accent2"/>
            </a:solidFill>
            <a:ln>
              <a:noFill/>
            </a:ln>
            <a:effectLst/>
          </c:spPr>
          <c:invertIfNegative val="0"/>
          <c:cat>
            <c:strRef>
              <c:f>Jawab!$B$3:$B$11</c:f>
              <c:strCache>
                <c:ptCount val="9"/>
                <c:pt idx="0">
                  <c:v>Bawang Merah</c:v>
                </c:pt>
                <c:pt idx="1">
                  <c:v>Beras</c:v>
                </c:pt>
                <c:pt idx="2">
                  <c:v>Daging Ayam</c:v>
                </c:pt>
                <c:pt idx="3">
                  <c:v>Garam</c:v>
                </c:pt>
                <c:pt idx="4">
                  <c:v>Gula Pasir</c:v>
                </c:pt>
                <c:pt idx="5">
                  <c:v>Minyak Goreng</c:v>
                </c:pt>
                <c:pt idx="6">
                  <c:v>Susu Bubuk</c:v>
                </c:pt>
                <c:pt idx="7">
                  <c:v>Telur Ayam</c:v>
                </c:pt>
                <c:pt idx="8">
                  <c:v>Tepung Terigu</c:v>
                </c:pt>
              </c:strCache>
            </c:strRef>
          </c:cat>
          <c:val>
            <c:numRef>
              <c:f>Jawab!$D$3:$D$11</c:f>
              <c:numCache>
                <c:formatCode>_("Rp"* #,##0_);_("Rp"* \(#,##0\);_("Rp"* "-"_);_(@_)</c:formatCode>
                <c:ptCount val="9"/>
                <c:pt idx="0">
                  <c:v>6672750</c:v>
                </c:pt>
                <c:pt idx="1">
                  <c:v>2838750</c:v>
                </c:pt>
                <c:pt idx="2">
                  <c:v>9480000</c:v>
                </c:pt>
                <c:pt idx="3">
                  <c:v>920250</c:v>
                </c:pt>
                <c:pt idx="4">
                  <c:v>3110150</c:v>
                </c:pt>
                <c:pt idx="5">
                  <c:v>3328600</c:v>
                </c:pt>
                <c:pt idx="6">
                  <c:v>10135000</c:v>
                </c:pt>
                <c:pt idx="7">
                  <c:v>5693750</c:v>
                </c:pt>
                <c:pt idx="8">
                  <c:v>2253600</c:v>
                </c:pt>
              </c:numCache>
            </c:numRef>
          </c:val>
          <c:extLst>
            <c:ext xmlns:c16="http://schemas.microsoft.com/office/drawing/2014/chart" uri="{C3380CC4-5D6E-409C-BE32-E72D297353CC}">
              <c16:uniqueId val="{00000001-A08E-4000-AED8-AA2FCAA01B7F}"/>
            </c:ext>
          </c:extLst>
        </c:ser>
        <c:ser>
          <c:idx val="2"/>
          <c:order val="2"/>
          <c:tx>
            <c:strRef>
              <c:f>Jawab!$E$2</c:f>
              <c:strCache>
                <c:ptCount val="1"/>
                <c:pt idx="0">
                  <c:v>Brand C</c:v>
                </c:pt>
              </c:strCache>
            </c:strRef>
          </c:tx>
          <c:spPr>
            <a:solidFill>
              <a:schemeClr val="accent3"/>
            </a:solidFill>
            <a:ln>
              <a:noFill/>
            </a:ln>
            <a:effectLst/>
          </c:spPr>
          <c:invertIfNegative val="0"/>
          <c:cat>
            <c:strRef>
              <c:f>Jawab!$B$3:$B$11</c:f>
              <c:strCache>
                <c:ptCount val="9"/>
                <c:pt idx="0">
                  <c:v>Bawang Merah</c:v>
                </c:pt>
                <c:pt idx="1">
                  <c:v>Beras</c:v>
                </c:pt>
                <c:pt idx="2">
                  <c:v>Daging Ayam</c:v>
                </c:pt>
                <c:pt idx="3">
                  <c:v>Garam</c:v>
                </c:pt>
                <c:pt idx="4">
                  <c:v>Gula Pasir</c:v>
                </c:pt>
                <c:pt idx="5">
                  <c:v>Minyak Goreng</c:v>
                </c:pt>
                <c:pt idx="6">
                  <c:v>Susu Bubuk</c:v>
                </c:pt>
                <c:pt idx="7">
                  <c:v>Telur Ayam</c:v>
                </c:pt>
                <c:pt idx="8">
                  <c:v>Tepung Terigu</c:v>
                </c:pt>
              </c:strCache>
            </c:strRef>
          </c:cat>
          <c:val>
            <c:numRef>
              <c:f>Jawab!$E$3:$E$11</c:f>
              <c:numCache>
                <c:formatCode>_("Rp"* #,##0_);_("Rp"* \(#,##0\);_("Rp"* "-"_);_(@_)</c:formatCode>
                <c:ptCount val="9"/>
                <c:pt idx="0">
                  <c:v>5310000</c:v>
                </c:pt>
                <c:pt idx="1">
                  <c:v>2801600</c:v>
                </c:pt>
                <c:pt idx="2">
                  <c:v>10075500</c:v>
                </c:pt>
                <c:pt idx="3">
                  <c:v>1436100</c:v>
                </c:pt>
                <c:pt idx="4">
                  <c:v>3887100</c:v>
                </c:pt>
                <c:pt idx="5">
                  <c:v>2772000</c:v>
                </c:pt>
                <c:pt idx="6">
                  <c:v>11200750</c:v>
                </c:pt>
                <c:pt idx="7">
                  <c:v>5640600</c:v>
                </c:pt>
                <c:pt idx="8">
                  <c:v>3223500</c:v>
                </c:pt>
              </c:numCache>
            </c:numRef>
          </c:val>
          <c:extLst>
            <c:ext xmlns:c16="http://schemas.microsoft.com/office/drawing/2014/chart" uri="{C3380CC4-5D6E-409C-BE32-E72D297353CC}">
              <c16:uniqueId val="{00000002-A08E-4000-AED8-AA2FCAA01B7F}"/>
            </c:ext>
          </c:extLst>
        </c:ser>
        <c:dLbls>
          <c:showLegendKey val="0"/>
          <c:showVal val="0"/>
          <c:showCatName val="0"/>
          <c:showSerName val="0"/>
          <c:showPercent val="0"/>
          <c:showBubbleSize val="0"/>
        </c:dLbls>
        <c:gapWidth val="219"/>
        <c:overlap val="-27"/>
        <c:axId val="1822161647"/>
        <c:axId val="1819580223"/>
      </c:barChart>
      <c:catAx>
        <c:axId val="182216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580223"/>
        <c:crosses val="autoZero"/>
        <c:auto val="1"/>
        <c:lblAlgn val="ctr"/>
        <c:lblOffset val="100"/>
        <c:noMultiLvlLbl val="0"/>
      </c:catAx>
      <c:valAx>
        <c:axId val="1819580223"/>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161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a:t>
            </a:r>
            <a:r>
              <a:rPr lang="en-ID" baseline="0"/>
              <a:t> Sale By Month and Year</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lineChart>
        <c:grouping val="standard"/>
        <c:varyColors val="0"/>
        <c:ser>
          <c:idx val="0"/>
          <c:order val="0"/>
          <c:tx>
            <c:strRef>
              <c:f>Jawab!$C$16</c:f>
              <c:strCache>
                <c:ptCount val="1"/>
                <c:pt idx="0">
                  <c:v>Tahun 2024</c:v>
                </c:pt>
              </c:strCache>
            </c:strRef>
          </c:tx>
          <c:spPr>
            <a:ln w="28575" cap="rnd">
              <a:solidFill>
                <a:schemeClr val="accent1"/>
              </a:solidFill>
              <a:round/>
            </a:ln>
            <a:effectLst/>
          </c:spPr>
          <c:marker>
            <c:symbol val="none"/>
          </c:marker>
          <c:cat>
            <c:strRef>
              <c:f>Jawab!$B$17:$B$28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Jawab!$C$17:$C$28</c:f>
              <c:numCache>
                <c:formatCode>_("Rp"* #,##0_);_("Rp"* \(#,##0\);_("Rp"* "-"_);_(@_)</c:formatCode>
                <c:ptCount val="12"/>
                <c:pt idx="0">
                  <c:v>0</c:v>
                </c:pt>
                <c:pt idx="1">
                  <c:v>0</c:v>
                </c:pt>
                <c:pt idx="2">
                  <c:v>0</c:v>
                </c:pt>
                <c:pt idx="3">
                  <c:v>0</c:v>
                </c:pt>
                <c:pt idx="4">
                  <c:v>0</c:v>
                </c:pt>
                <c:pt idx="5">
                  <c:v>0</c:v>
                </c:pt>
                <c:pt idx="6">
                  <c:v>0</c:v>
                </c:pt>
                <c:pt idx="7">
                  <c:v>0</c:v>
                </c:pt>
                <c:pt idx="8">
                  <c:v>6957800</c:v>
                </c:pt>
                <c:pt idx="9">
                  <c:v>10583650</c:v>
                </c:pt>
                <c:pt idx="10">
                  <c:v>10883500</c:v>
                </c:pt>
                <c:pt idx="11">
                  <c:v>8355350</c:v>
                </c:pt>
              </c:numCache>
            </c:numRef>
          </c:val>
          <c:smooth val="0"/>
          <c:extLst>
            <c:ext xmlns:c16="http://schemas.microsoft.com/office/drawing/2014/chart" uri="{C3380CC4-5D6E-409C-BE32-E72D297353CC}">
              <c16:uniqueId val="{00000000-3C9D-4DC5-9E40-74F89F392B4B}"/>
            </c:ext>
          </c:extLst>
        </c:ser>
        <c:ser>
          <c:idx val="1"/>
          <c:order val="1"/>
          <c:tx>
            <c:strRef>
              <c:f>Jawab!$D$16</c:f>
              <c:strCache>
                <c:ptCount val="1"/>
                <c:pt idx="0">
                  <c:v>Tahun 2025</c:v>
                </c:pt>
              </c:strCache>
            </c:strRef>
          </c:tx>
          <c:spPr>
            <a:ln w="28575" cap="rnd">
              <a:solidFill>
                <a:schemeClr val="accent2"/>
              </a:solidFill>
              <a:round/>
            </a:ln>
            <a:effectLst/>
          </c:spPr>
          <c:marker>
            <c:symbol val="none"/>
          </c:marker>
          <c:cat>
            <c:strRef>
              <c:f>Jawab!$B$17:$B$28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Jawab!$D$17:$D$28</c:f>
              <c:numCache>
                <c:formatCode>_("Rp"* #,##0_);_("Rp"* \(#,##0\);_("Rp"* "-"_);_(@_)</c:formatCode>
                <c:ptCount val="12"/>
                <c:pt idx="0">
                  <c:v>10915900</c:v>
                </c:pt>
                <c:pt idx="1">
                  <c:v>8697300</c:v>
                </c:pt>
                <c:pt idx="2">
                  <c:v>10043950</c:v>
                </c:pt>
                <c:pt idx="3">
                  <c:v>10587550</c:v>
                </c:pt>
                <c:pt idx="4">
                  <c:v>11359600</c:v>
                </c:pt>
                <c:pt idx="5">
                  <c:v>11708650</c:v>
                </c:pt>
                <c:pt idx="6">
                  <c:v>12385950</c:v>
                </c:pt>
                <c:pt idx="7">
                  <c:v>11002900</c:v>
                </c:pt>
                <c:pt idx="8">
                  <c:v>5004950</c:v>
                </c:pt>
                <c:pt idx="9">
                  <c:v>0</c:v>
                </c:pt>
                <c:pt idx="10">
                  <c:v>0</c:v>
                </c:pt>
                <c:pt idx="11">
                  <c:v>0</c:v>
                </c:pt>
              </c:numCache>
            </c:numRef>
          </c:val>
          <c:smooth val="0"/>
          <c:extLst>
            <c:ext xmlns:c16="http://schemas.microsoft.com/office/drawing/2014/chart" uri="{C3380CC4-5D6E-409C-BE32-E72D297353CC}">
              <c16:uniqueId val="{00000001-3C9D-4DC5-9E40-74F89F392B4B}"/>
            </c:ext>
          </c:extLst>
        </c:ser>
        <c:dLbls>
          <c:showLegendKey val="0"/>
          <c:showVal val="0"/>
          <c:showCatName val="0"/>
          <c:showSerName val="0"/>
          <c:showPercent val="0"/>
          <c:showBubbleSize val="0"/>
        </c:dLbls>
        <c:smooth val="0"/>
        <c:axId val="1487729295"/>
        <c:axId val="1728347247"/>
      </c:lineChart>
      <c:catAx>
        <c:axId val="148772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47247"/>
        <c:crosses val="autoZero"/>
        <c:auto val="1"/>
        <c:lblAlgn val="ctr"/>
        <c:lblOffset val="100"/>
        <c:noMultiLvlLbl val="0"/>
      </c:catAx>
      <c:valAx>
        <c:axId val="1728347247"/>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729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Transaksi 15 Cust Teratas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Jawab!$E$33</c:f>
              <c:strCache>
                <c:ptCount val="1"/>
                <c:pt idx="0">
                  <c:v>Total Transaksi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Jawab!$B$34:$B$48</c:f>
              <c:strCache>
                <c:ptCount val="15"/>
                <c:pt idx="0">
                  <c:v>Sari Puspita</c:v>
                </c:pt>
                <c:pt idx="1">
                  <c:v>Kartika Saputra</c:v>
                </c:pt>
                <c:pt idx="2">
                  <c:v>Hana Nugroho</c:v>
                </c:pt>
                <c:pt idx="3">
                  <c:v>Ani Fauziah</c:v>
                </c:pt>
                <c:pt idx="4">
                  <c:v>Ani Hidayat</c:v>
                </c:pt>
                <c:pt idx="5">
                  <c:v>Yani Ananda</c:v>
                </c:pt>
                <c:pt idx="6">
                  <c:v>Zahra Budiman</c:v>
                </c:pt>
                <c:pt idx="7">
                  <c:v>Clara Utami</c:v>
                </c:pt>
                <c:pt idx="8">
                  <c:v>Aulia Iskandar</c:v>
                </c:pt>
                <c:pt idx="9">
                  <c:v>Dewi Setiawan</c:v>
                </c:pt>
                <c:pt idx="10">
                  <c:v>Citra Maulana</c:v>
                </c:pt>
                <c:pt idx="11">
                  <c:v>Dewi Hidayat</c:v>
                </c:pt>
                <c:pt idx="12">
                  <c:v>Zahra Santoso</c:v>
                </c:pt>
                <c:pt idx="13">
                  <c:v>Yoga Utami</c:v>
                </c:pt>
                <c:pt idx="14">
                  <c:v>Vina Kurniawan</c:v>
                </c:pt>
              </c:strCache>
            </c:strRef>
          </c:cat>
          <c:val>
            <c:numRef>
              <c:f>Jawab!$E$34:$E$48</c:f>
              <c:numCache>
                <c:formatCode>General</c:formatCode>
                <c:ptCount val="15"/>
                <c:pt idx="0">
                  <c:v>18</c:v>
                </c:pt>
                <c:pt idx="1">
                  <c:v>18</c:v>
                </c:pt>
                <c:pt idx="2">
                  <c:v>17</c:v>
                </c:pt>
                <c:pt idx="3">
                  <c:v>16</c:v>
                </c:pt>
                <c:pt idx="4">
                  <c:v>14</c:v>
                </c:pt>
                <c:pt idx="5">
                  <c:v>13</c:v>
                </c:pt>
                <c:pt idx="6">
                  <c:v>13</c:v>
                </c:pt>
                <c:pt idx="7">
                  <c:v>13</c:v>
                </c:pt>
                <c:pt idx="8">
                  <c:v>12</c:v>
                </c:pt>
                <c:pt idx="9">
                  <c:v>12</c:v>
                </c:pt>
                <c:pt idx="10">
                  <c:v>11</c:v>
                </c:pt>
                <c:pt idx="11">
                  <c:v>11</c:v>
                </c:pt>
                <c:pt idx="12">
                  <c:v>11</c:v>
                </c:pt>
                <c:pt idx="13">
                  <c:v>11</c:v>
                </c:pt>
                <c:pt idx="14">
                  <c:v>11</c:v>
                </c:pt>
              </c:numCache>
            </c:numRef>
          </c:val>
          <c:extLst>
            <c:ext xmlns:c16="http://schemas.microsoft.com/office/drawing/2014/chart" uri="{C3380CC4-5D6E-409C-BE32-E72D297353CC}">
              <c16:uniqueId val="{00000000-B3B9-4EFA-864F-6B570CC4B04F}"/>
            </c:ext>
          </c:extLst>
        </c:ser>
        <c:dLbls>
          <c:showLegendKey val="0"/>
          <c:showVal val="1"/>
          <c:showCatName val="0"/>
          <c:showSerName val="0"/>
          <c:showPercent val="0"/>
          <c:showBubbleSize val="0"/>
        </c:dLbls>
        <c:gapWidth val="150"/>
        <c:axId val="1511484848"/>
        <c:axId val="1511487728"/>
      </c:barChart>
      <c:catAx>
        <c:axId val="151148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87728"/>
        <c:crosses val="autoZero"/>
        <c:auto val="1"/>
        <c:lblAlgn val="ctr"/>
        <c:lblOffset val="100"/>
        <c:noMultiLvlLbl val="0"/>
      </c:catAx>
      <c:valAx>
        <c:axId val="151148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8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15 Cust Teratas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Jawab!$J$33</c:f>
              <c:strCache>
                <c:ptCount val="1"/>
                <c:pt idx="0">
                  <c:v>Total Sale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Jawab!$G$34:$G$48</c:f>
              <c:strCache>
                <c:ptCount val="15"/>
                <c:pt idx="0">
                  <c:v>Citra Maulana</c:v>
                </c:pt>
                <c:pt idx="1">
                  <c:v>Sari Puspita</c:v>
                </c:pt>
                <c:pt idx="2">
                  <c:v>Yani Ananda</c:v>
                </c:pt>
                <c:pt idx="3">
                  <c:v>Hana Nugroho</c:v>
                </c:pt>
                <c:pt idx="4">
                  <c:v>Ani Hidayat</c:v>
                </c:pt>
                <c:pt idx="5">
                  <c:v>Ani Fauziah</c:v>
                </c:pt>
                <c:pt idx="6">
                  <c:v>Zahra Budiman</c:v>
                </c:pt>
                <c:pt idx="7">
                  <c:v>Aulia Iskandar</c:v>
                </c:pt>
                <c:pt idx="8">
                  <c:v>Clara Utami</c:v>
                </c:pt>
                <c:pt idx="9">
                  <c:v>Zahra Kurniawan</c:v>
                </c:pt>
                <c:pt idx="10">
                  <c:v>Nanda Iskandar</c:v>
                </c:pt>
                <c:pt idx="11">
                  <c:v>Dewi Hidayat</c:v>
                </c:pt>
                <c:pt idx="12">
                  <c:v>Zahra Santoso</c:v>
                </c:pt>
                <c:pt idx="13">
                  <c:v>Dewi Setiawan</c:v>
                </c:pt>
                <c:pt idx="14">
                  <c:v>Kartika Saputra</c:v>
                </c:pt>
              </c:strCache>
            </c:strRef>
          </c:cat>
          <c:val>
            <c:numRef>
              <c:f>Jawab!$J$34:$J$48</c:f>
              <c:numCache>
                <c:formatCode>_("Rp"* #,##0_);_("Rp"* \(#,##0\);_("Rp"* "-"_);_(@_)</c:formatCode>
                <c:ptCount val="15"/>
                <c:pt idx="0">
                  <c:v>1206200</c:v>
                </c:pt>
                <c:pt idx="1">
                  <c:v>1197750</c:v>
                </c:pt>
                <c:pt idx="2">
                  <c:v>1136350</c:v>
                </c:pt>
                <c:pt idx="3">
                  <c:v>1067200</c:v>
                </c:pt>
                <c:pt idx="4">
                  <c:v>1006300</c:v>
                </c:pt>
                <c:pt idx="5">
                  <c:v>967300</c:v>
                </c:pt>
                <c:pt idx="6">
                  <c:v>947300</c:v>
                </c:pt>
                <c:pt idx="7">
                  <c:v>897600</c:v>
                </c:pt>
                <c:pt idx="8">
                  <c:v>895900</c:v>
                </c:pt>
                <c:pt idx="9">
                  <c:v>859250</c:v>
                </c:pt>
                <c:pt idx="10">
                  <c:v>846100</c:v>
                </c:pt>
                <c:pt idx="11">
                  <c:v>824800</c:v>
                </c:pt>
                <c:pt idx="12">
                  <c:v>809650</c:v>
                </c:pt>
                <c:pt idx="13">
                  <c:v>806600</c:v>
                </c:pt>
                <c:pt idx="14">
                  <c:v>786800</c:v>
                </c:pt>
              </c:numCache>
            </c:numRef>
          </c:val>
          <c:extLst>
            <c:ext xmlns:c16="http://schemas.microsoft.com/office/drawing/2014/chart" uri="{C3380CC4-5D6E-409C-BE32-E72D297353CC}">
              <c16:uniqueId val="{00000000-ACCD-4318-8654-EFAAEBA1C38A}"/>
            </c:ext>
          </c:extLst>
        </c:ser>
        <c:dLbls>
          <c:dLblPos val="outEnd"/>
          <c:showLegendKey val="0"/>
          <c:showVal val="1"/>
          <c:showCatName val="0"/>
          <c:showSerName val="0"/>
          <c:showPercent val="0"/>
          <c:showBubbleSize val="0"/>
        </c:dLbls>
        <c:gapWidth val="182"/>
        <c:axId val="1791414704"/>
        <c:axId val="1791415664"/>
      </c:barChart>
      <c:catAx>
        <c:axId val="179141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415664"/>
        <c:crosses val="autoZero"/>
        <c:auto val="1"/>
        <c:lblAlgn val="ctr"/>
        <c:lblOffset val="100"/>
        <c:noMultiLvlLbl val="0"/>
      </c:catAx>
      <c:valAx>
        <c:axId val="1791415664"/>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41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76181102362206"/>
          <c:y val="5.0925925925925923E-2"/>
          <c:w val="0.77623818897637797"/>
          <c:h val="0.72106372120151652"/>
        </c:manualLayout>
      </c:layout>
      <c:barChart>
        <c:barDir val="col"/>
        <c:grouping val="clustered"/>
        <c:varyColors val="0"/>
        <c:ser>
          <c:idx val="0"/>
          <c:order val="0"/>
          <c:tx>
            <c:strRef>
              <c:f>Pivot!$I$5</c:f>
              <c:strCache>
                <c:ptCount val="1"/>
                <c:pt idx="0">
                  <c:v>January</c:v>
                </c:pt>
              </c:strCache>
            </c:strRef>
          </c:tx>
          <c:spPr>
            <a:solidFill>
              <a:schemeClr val="accent1"/>
            </a:solidFill>
            <a:ln>
              <a:noFill/>
            </a:ln>
            <a:effectLst/>
          </c:spPr>
          <c:invertIfNegative val="0"/>
          <c:val>
            <c:numRef>
              <c:f>Pivot!$J$5</c:f>
              <c:numCache>
                <c:formatCode>_("Rp"* #,##0_);_("Rp"* \(#,##0\);_("Rp"* "-"_);_(@_)</c:formatCode>
                <c:ptCount val="1"/>
                <c:pt idx="0">
                  <c:v>10915900</c:v>
                </c:pt>
              </c:numCache>
            </c:numRef>
          </c:val>
          <c:extLst>
            <c:ext xmlns:c16="http://schemas.microsoft.com/office/drawing/2014/chart" uri="{C3380CC4-5D6E-409C-BE32-E72D297353CC}">
              <c16:uniqueId val="{00000000-B4BC-4C3C-8BDF-9C2781EF5DB0}"/>
            </c:ext>
          </c:extLst>
        </c:ser>
        <c:ser>
          <c:idx val="1"/>
          <c:order val="1"/>
          <c:tx>
            <c:strRef>
              <c:f>Pivot!$I$6</c:f>
              <c:strCache>
                <c:ptCount val="1"/>
                <c:pt idx="0">
                  <c:v>February</c:v>
                </c:pt>
              </c:strCache>
            </c:strRef>
          </c:tx>
          <c:spPr>
            <a:solidFill>
              <a:schemeClr val="accent2"/>
            </a:solidFill>
            <a:ln>
              <a:noFill/>
            </a:ln>
            <a:effectLst/>
          </c:spPr>
          <c:invertIfNegative val="0"/>
          <c:val>
            <c:numRef>
              <c:f>Pivot!$J$6</c:f>
              <c:numCache>
                <c:formatCode>_("Rp"* #,##0_);_("Rp"* \(#,##0\);_("Rp"* "-"_);_(@_)</c:formatCode>
                <c:ptCount val="1"/>
                <c:pt idx="0">
                  <c:v>8697300</c:v>
                </c:pt>
              </c:numCache>
            </c:numRef>
          </c:val>
          <c:extLst>
            <c:ext xmlns:c16="http://schemas.microsoft.com/office/drawing/2014/chart" uri="{C3380CC4-5D6E-409C-BE32-E72D297353CC}">
              <c16:uniqueId val="{00000001-B4BC-4C3C-8BDF-9C2781EF5DB0}"/>
            </c:ext>
          </c:extLst>
        </c:ser>
        <c:ser>
          <c:idx val="2"/>
          <c:order val="2"/>
          <c:tx>
            <c:strRef>
              <c:f>Pivot!$I$7</c:f>
              <c:strCache>
                <c:ptCount val="1"/>
                <c:pt idx="0">
                  <c:v>March</c:v>
                </c:pt>
              </c:strCache>
            </c:strRef>
          </c:tx>
          <c:spPr>
            <a:solidFill>
              <a:schemeClr val="accent3"/>
            </a:solidFill>
            <a:ln>
              <a:noFill/>
            </a:ln>
            <a:effectLst/>
          </c:spPr>
          <c:invertIfNegative val="0"/>
          <c:val>
            <c:numRef>
              <c:f>Pivot!$J$7</c:f>
              <c:numCache>
                <c:formatCode>_("Rp"* #,##0_);_("Rp"* \(#,##0\);_("Rp"* "-"_);_(@_)</c:formatCode>
                <c:ptCount val="1"/>
                <c:pt idx="0">
                  <c:v>10043950</c:v>
                </c:pt>
              </c:numCache>
            </c:numRef>
          </c:val>
          <c:extLst>
            <c:ext xmlns:c16="http://schemas.microsoft.com/office/drawing/2014/chart" uri="{C3380CC4-5D6E-409C-BE32-E72D297353CC}">
              <c16:uniqueId val="{00000002-B4BC-4C3C-8BDF-9C2781EF5DB0}"/>
            </c:ext>
          </c:extLst>
        </c:ser>
        <c:ser>
          <c:idx val="3"/>
          <c:order val="3"/>
          <c:tx>
            <c:strRef>
              <c:f>Pivot!$I$8</c:f>
              <c:strCache>
                <c:ptCount val="1"/>
                <c:pt idx="0">
                  <c:v>April</c:v>
                </c:pt>
              </c:strCache>
            </c:strRef>
          </c:tx>
          <c:spPr>
            <a:solidFill>
              <a:schemeClr val="accent4"/>
            </a:solidFill>
            <a:ln>
              <a:noFill/>
            </a:ln>
            <a:effectLst/>
          </c:spPr>
          <c:invertIfNegative val="0"/>
          <c:val>
            <c:numRef>
              <c:f>Pivot!$J$8</c:f>
              <c:numCache>
                <c:formatCode>_("Rp"* #,##0_);_("Rp"* \(#,##0\);_("Rp"* "-"_);_(@_)</c:formatCode>
                <c:ptCount val="1"/>
                <c:pt idx="0">
                  <c:v>10587550</c:v>
                </c:pt>
              </c:numCache>
            </c:numRef>
          </c:val>
          <c:extLst>
            <c:ext xmlns:c16="http://schemas.microsoft.com/office/drawing/2014/chart" uri="{C3380CC4-5D6E-409C-BE32-E72D297353CC}">
              <c16:uniqueId val="{00000003-B4BC-4C3C-8BDF-9C2781EF5DB0}"/>
            </c:ext>
          </c:extLst>
        </c:ser>
        <c:ser>
          <c:idx val="4"/>
          <c:order val="4"/>
          <c:tx>
            <c:strRef>
              <c:f>Pivot!$I$9</c:f>
              <c:strCache>
                <c:ptCount val="1"/>
                <c:pt idx="0">
                  <c:v>May</c:v>
                </c:pt>
              </c:strCache>
            </c:strRef>
          </c:tx>
          <c:spPr>
            <a:solidFill>
              <a:schemeClr val="accent5"/>
            </a:solidFill>
            <a:ln>
              <a:noFill/>
            </a:ln>
            <a:effectLst/>
          </c:spPr>
          <c:invertIfNegative val="0"/>
          <c:val>
            <c:numRef>
              <c:f>Pivot!$J$9</c:f>
              <c:numCache>
                <c:formatCode>_("Rp"* #,##0_);_("Rp"* \(#,##0\);_("Rp"* "-"_);_(@_)</c:formatCode>
                <c:ptCount val="1"/>
                <c:pt idx="0">
                  <c:v>11359600</c:v>
                </c:pt>
              </c:numCache>
            </c:numRef>
          </c:val>
          <c:extLst>
            <c:ext xmlns:c16="http://schemas.microsoft.com/office/drawing/2014/chart" uri="{C3380CC4-5D6E-409C-BE32-E72D297353CC}">
              <c16:uniqueId val="{00000004-B4BC-4C3C-8BDF-9C2781EF5DB0}"/>
            </c:ext>
          </c:extLst>
        </c:ser>
        <c:ser>
          <c:idx val="5"/>
          <c:order val="5"/>
          <c:tx>
            <c:strRef>
              <c:f>Pivot!$I$10</c:f>
              <c:strCache>
                <c:ptCount val="1"/>
                <c:pt idx="0">
                  <c:v>June</c:v>
                </c:pt>
              </c:strCache>
            </c:strRef>
          </c:tx>
          <c:spPr>
            <a:solidFill>
              <a:schemeClr val="accent6"/>
            </a:solidFill>
            <a:ln>
              <a:noFill/>
            </a:ln>
            <a:effectLst/>
          </c:spPr>
          <c:invertIfNegative val="0"/>
          <c:val>
            <c:numRef>
              <c:f>Pivot!$J$10</c:f>
              <c:numCache>
                <c:formatCode>_("Rp"* #,##0_);_("Rp"* \(#,##0\);_("Rp"* "-"_);_(@_)</c:formatCode>
                <c:ptCount val="1"/>
                <c:pt idx="0">
                  <c:v>11708650</c:v>
                </c:pt>
              </c:numCache>
            </c:numRef>
          </c:val>
          <c:extLst>
            <c:ext xmlns:c16="http://schemas.microsoft.com/office/drawing/2014/chart" uri="{C3380CC4-5D6E-409C-BE32-E72D297353CC}">
              <c16:uniqueId val="{00000005-B4BC-4C3C-8BDF-9C2781EF5DB0}"/>
            </c:ext>
          </c:extLst>
        </c:ser>
        <c:ser>
          <c:idx val="6"/>
          <c:order val="6"/>
          <c:tx>
            <c:strRef>
              <c:f>Pivot!$I$11</c:f>
              <c:strCache>
                <c:ptCount val="1"/>
                <c:pt idx="0">
                  <c:v>July</c:v>
                </c:pt>
              </c:strCache>
            </c:strRef>
          </c:tx>
          <c:spPr>
            <a:solidFill>
              <a:schemeClr val="accent1">
                <a:lumMod val="60000"/>
              </a:schemeClr>
            </a:solidFill>
            <a:ln>
              <a:noFill/>
            </a:ln>
            <a:effectLst/>
          </c:spPr>
          <c:invertIfNegative val="0"/>
          <c:val>
            <c:numRef>
              <c:f>Pivot!$J$11</c:f>
              <c:numCache>
                <c:formatCode>_("Rp"* #,##0_);_("Rp"* \(#,##0\);_("Rp"* "-"_);_(@_)</c:formatCode>
                <c:ptCount val="1"/>
                <c:pt idx="0">
                  <c:v>12385950</c:v>
                </c:pt>
              </c:numCache>
            </c:numRef>
          </c:val>
          <c:extLst>
            <c:ext xmlns:c16="http://schemas.microsoft.com/office/drawing/2014/chart" uri="{C3380CC4-5D6E-409C-BE32-E72D297353CC}">
              <c16:uniqueId val="{00000006-B4BC-4C3C-8BDF-9C2781EF5DB0}"/>
            </c:ext>
          </c:extLst>
        </c:ser>
        <c:ser>
          <c:idx val="7"/>
          <c:order val="7"/>
          <c:tx>
            <c:strRef>
              <c:f>Pivot!$I$12</c:f>
              <c:strCache>
                <c:ptCount val="1"/>
                <c:pt idx="0">
                  <c:v>August</c:v>
                </c:pt>
              </c:strCache>
            </c:strRef>
          </c:tx>
          <c:spPr>
            <a:solidFill>
              <a:schemeClr val="accent2">
                <a:lumMod val="60000"/>
              </a:schemeClr>
            </a:solidFill>
            <a:ln>
              <a:noFill/>
            </a:ln>
            <a:effectLst/>
          </c:spPr>
          <c:invertIfNegative val="0"/>
          <c:val>
            <c:numRef>
              <c:f>Pivot!$J$12</c:f>
              <c:numCache>
                <c:formatCode>_("Rp"* #,##0_);_("Rp"* \(#,##0\);_("Rp"* "-"_);_(@_)</c:formatCode>
                <c:ptCount val="1"/>
                <c:pt idx="0">
                  <c:v>11002900</c:v>
                </c:pt>
              </c:numCache>
            </c:numRef>
          </c:val>
          <c:extLst>
            <c:ext xmlns:c16="http://schemas.microsoft.com/office/drawing/2014/chart" uri="{C3380CC4-5D6E-409C-BE32-E72D297353CC}">
              <c16:uniqueId val="{00000007-B4BC-4C3C-8BDF-9C2781EF5DB0}"/>
            </c:ext>
          </c:extLst>
        </c:ser>
        <c:ser>
          <c:idx val="8"/>
          <c:order val="8"/>
          <c:tx>
            <c:strRef>
              <c:f>Pivot!$I$13</c:f>
              <c:strCache>
                <c:ptCount val="1"/>
                <c:pt idx="0">
                  <c:v>September</c:v>
                </c:pt>
              </c:strCache>
            </c:strRef>
          </c:tx>
          <c:spPr>
            <a:solidFill>
              <a:schemeClr val="accent3">
                <a:lumMod val="60000"/>
              </a:schemeClr>
            </a:solidFill>
            <a:ln>
              <a:noFill/>
            </a:ln>
            <a:effectLst/>
          </c:spPr>
          <c:invertIfNegative val="0"/>
          <c:val>
            <c:numRef>
              <c:f>Pivot!$J$13</c:f>
              <c:numCache>
                <c:formatCode>_("Rp"* #,##0_);_("Rp"* \(#,##0\);_("Rp"* "-"_);_(@_)</c:formatCode>
                <c:ptCount val="1"/>
                <c:pt idx="0">
                  <c:v>11962750</c:v>
                </c:pt>
              </c:numCache>
            </c:numRef>
          </c:val>
          <c:extLst>
            <c:ext xmlns:c16="http://schemas.microsoft.com/office/drawing/2014/chart" uri="{C3380CC4-5D6E-409C-BE32-E72D297353CC}">
              <c16:uniqueId val="{00000008-B4BC-4C3C-8BDF-9C2781EF5DB0}"/>
            </c:ext>
          </c:extLst>
        </c:ser>
        <c:ser>
          <c:idx val="9"/>
          <c:order val="9"/>
          <c:tx>
            <c:strRef>
              <c:f>Pivot!$I$14</c:f>
              <c:strCache>
                <c:ptCount val="1"/>
                <c:pt idx="0">
                  <c:v>October</c:v>
                </c:pt>
              </c:strCache>
            </c:strRef>
          </c:tx>
          <c:spPr>
            <a:solidFill>
              <a:schemeClr val="accent4">
                <a:lumMod val="60000"/>
              </a:schemeClr>
            </a:solidFill>
            <a:ln>
              <a:noFill/>
            </a:ln>
            <a:effectLst/>
          </c:spPr>
          <c:invertIfNegative val="0"/>
          <c:val>
            <c:numRef>
              <c:f>Pivot!$J$14</c:f>
              <c:numCache>
                <c:formatCode>_("Rp"* #,##0_);_("Rp"* \(#,##0\);_("Rp"* "-"_);_(@_)</c:formatCode>
                <c:ptCount val="1"/>
                <c:pt idx="0">
                  <c:v>10583650</c:v>
                </c:pt>
              </c:numCache>
            </c:numRef>
          </c:val>
          <c:extLst>
            <c:ext xmlns:c16="http://schemas.microsoft.com/office/drawing/2014/chart" uri="{C3380CC4-5D6E-409C-BE32-E72D297353CC}">
              <c16:uniqueId val="{00000009-B4BC-4C3C-8BDF-9C2781EF5DB0}"/>
            </c:ext>
          </c:extLst>
        </c:ser>
        <c:ser>
          <c:idx val="10"/>
          <c:order val="10"/>
          <c:tx>
            <c:strRef>
              <c:f>Pivot!$I$15</c:f>
              <c:strCache>
                <c:ptCount val="1"/>
                <c:pt idx="0">
                  <c:v>November</c:v>
                </c:pt>
              </c:strCache>
            </c:strRef>
          </c:tx>
          <c:spPr>
            <a:solidFill>
              <a:schemeClr val="accent5">
                <a:lumMod val="60000"/>
              </a:schemeClr>
            </a:solidFill>
            <a:ln>
              <a:noFill/>
            </a:ln>
            <a:effectLst/>
          </c:spPr>
          <c:invertIfNegative val="0"/>
          <c:val>
            <c:numRef>
              <c:f>Pivot!$J$15</c:f>
              <c:numCache>
                <c:formatCode>_("Rp"* #,##0_);_("Rp"* \(#,##0\);_("Rp"* "-"_);_(@_)</c:formatCode>
                <c:ptCount val="1"/>
                <c:pt idx="0">
                  <c:v>10883500</c:v>
                </c:pt>
              </c:numCache>
            </c:numRef>
          </c:val>
          <c:extLst>
            <c:ext xmlns:c16="http://schemas.microsoft.com/office/drawing/2014/chart" uri="{C3380CC4-5D6E-409C-BE32-E72D297353CC}">
              <c16:uniqueId val="{0000000A-B4BC-4C3C-8BDF-9C2781EF5DB0}"/>
            </c:ext>
          </c:extLst>
        </c:ser>
        <c:ser>
          <c:idx val="11"/>
          <c:order val="11"/>
          <c:tx>
            <c:strRef>
              <c:f>Pivot!$I$16</c:f>
              <c:strCache>
                <c:ptCount val="1"/>
                <c:pt idx="0">
                  <c:v>December</c:v>
                </c:pt>
              </c:strCache>
            </c:strRef>
          </c:tx>
          <c:spPr>
            <a:solidFill>
              <a:schemeClr val="accent6">
                <a:lumMod val="60000"/>
              </a:schemeClr>
            </a:solidFill>
            <a:ln>
              <a:noFill/>
            </a:ln>
            <a:effectLst/>
          </c:spPr>
          <c:invertIfNegative val="0"/>
          <c:val>
            <c:numRef>
              <c:f>Pivot!$J$16</c:f>
              <c:numCache>
                <c:formatCode>_("Rp"* #,##0_);_("Rp"* \(#,##0\);_("Rp"* "-"_);_(@_)</c:formatCode>
                <c:ptCount val="1"/>
                <c:pt idx="0">
                  <c:v>8355350</c:v>
                </c:pt>
              </c:numCache>
            </c:numRef>
          </c:val>
          <c:extLst>
            <c:ext xmlns:c16="http://schemas.microsoft.com/office/drawing/2014/chart" uri="{C3380CC4-5D6E-409C-BE32-E72D297353CC}">
              <c16:uniqueId val="{0000000B-B4BC-4C3C-8BDF-9C2781EF5DB0}"/>
            </c:ext>
          </c:extLst>
        </c:ser>
        <c:dLbls>
          <c:showLegendKey val="0"/>
          <c:showVal val="0"/>
          <c:showCatName val="0"/>
          <c:showSerName val="0"/>
          <c:showPercent val="0"/>
          <c:showBubbleSize val="0"/>
        </c:dLbls>
        <c:gapWidth val="219"/>
        <c:overlap val="-27"/>
        <c:axId val="1237510799"/>
        <c:axId val="1237514639"/>
      </c:barChart>
      <c:catAx>
        <c:axId val="1237510799"/>
        <c:scaling>
          <c:orientation val="minMax"/>
        </c:scaling>
        <c:delete val="1"/>
        <c:axPos val="b"/>
        <c:numFmt formatCode="General" sourceLinked="1"/>
        <c:majorTickMark val="none"/>
        <c:minorTickMark val="none"/>
        <c:tickLblPos val="nextTo"/>
        <c:crossAx val="1237514639"/>
        <c:crosses val="autoZero"/>
        <c:auto val="1"/>
        <c:lblAlgn val="ctr"/>
        <c:lblOffset val="100"/>
        <c:noMultiLvlLbl val="0"/>
      </c:catAx>
      <c:valAx>
        <c:axId val="1237514639"/>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10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56644699748352"/>
          <c:y val="7.6279509672234791E-2"/>
          <c:w val="0.73295199743019057"/>
          <c:h val="0.7409187874169284"/>
        </c:manualLayout>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26CE-4628-9BC9-B67BCF7F14FA}"/>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26CE-4628-9BC9-B67BCF7F14FA}"/>
              </c:ext>
            </c:extLst>
          </c:dPt>
          <c:dPt>
            <c:idx val="2"/>
            <c:bubble3D val="0"/>
            <c:spPr>
              <a:solidFill>
                <a:schemeClr val="accent3"/>
              </a:solidFill>
              <a:ln w="19050">
                <a:solidFill>
                  <a:schemeClr val="accent3"/>
                </a:solidFill>
              </a:ln>
              <a:effectLst/>
            </c:spPr>
            <c:extLst>
              <c:ext xmlns:c16="http://schemas.microsoft.com/office/drawing/2014/chart" uri="{C3380CC4-5D6E-409C-BE32-E72D297353CC}">
                <c16:uniqueId val="{00000005-26CE-4628-9BC9-B67BCF7F14FA}"/>
              </c:ext>
            </c:extLst>
          </c:dPt>
          <c:dPt>
            <c:idx val="3"/>
            <c:bubble3D val="0"/>
            <c:spPr>
              <a:solidFill>
                <a:schemeClr val="accent4"/>
              </a:solidFill>
              <a:ln w="19050">
                <a:solidFill>
                  <a:schemeClr val="accent4"/>
                </a:solidFill>
              </a:ln>
              <a:effectLst/>
            </c:spPr>
            <c:extLst>
              <c:ext xmlns:c16="http://schemas.microsoft.com/office/drawing/2014/chart" uri="{C3380CC4-5D6E-409C-BE32-E72D297353CC}">
                <c16:uniqueId val="{00000007-26CE-4628-9BC9-B67BCF7F14FA}"/>
              </c:ext>
            </c:extLst>
          </c:dPt>
          <c:dPt>
            <c:idx val="4"/>
            <c:bubble3D val="0"/>
            <c:spPr>
              <a:solidFill>
                <a:schemeClr val="accent5"/>
              </a:solidFill>
              <a:ln w="19050">
                <a:solidFill>
                  <a:schemeClr val="accent5"/>
                </a:solidFill>
              </a:ln>
              <a:effectLst/>
            </c:spPr>
            <c:extLst>
              <c:ext xmlns:c16="http://schemas.microsoft.com/office/drawing/2014/chart" uri="{C3380CC4-5D6E-409C-BE32-E72D297353CC}">
                <c16:uniqueId val="{00000009-26CE-4628-9BC9-B67BCF7F14FA}"/>
              </c:ext>
            </c:extLst>
          </c:dPt>
          <c:dLbls>
            <c:dLbl>
              <c:idx val="0"/>
              <c:layout>
                <c:manualLayout>
                  <c:x val="5.047044816168347E-3"/>
                  <c:y val="-1.52173991188287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CE-4628-9BC9-B67BCF7F14FA}"/>
                </c:ext>
              </c:extLst>
            </c:dLbl>
            <c:dLbl>
              <c:idx val="1"/>
              <c:layout>
                <c:manualLayout>
                  <c:x val="3.5329313713178427E-2"/>
                  <c:y val="1.0144932745885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CE-4628-9BC9-B67BCF7F14FA}"/>
                </c:ext>
              </c:extLst>
            </c:dLbl>
            <c:dLbl>
              <c:idx val="2"/>
              <c:layout>
                <c:manualLayout>
                  <c:x val="1.5141134448505041E-2"/>
                  <c:y val="3.5507264610600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CE-4628-9BC9-B67BCF7F14FA}"/>
                </c:ext>
              </c:extLst>
            </c:dLbl>
            <c:dLbl>
              <c:idx val="3"/>
              <c:layout>
                <c:manualLayout>
                  <c:x val="-2.523522408084173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CE-4628-9BC9-B67BCF7F14FA}"/>
                </c:ext>
              </c:extLst>
            </c:dLbl>
            <c:dLbl>
              <c:idx val="4"/>
              <c:layout>
                <c:manualLayout>
                  <c:x val="-1.0094089632336741E-2"/>
                  <c:y val="-2.324853564025405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CE-4628-9BC9-B67BCF7F14F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Pivot!$X$5:$X$9</c:f>
              <c:strCache>
                <c:ptCount val="5"/>
                <c:pt idx="0">
                  <c:v>Toko Biru</c:v>
                </c:pt>
                <c:pt idx="1">
                  <c:v>Toko Hijau</c:v>
                </c:pt>
                <c:pt idx="2">
                  <c:v>Toko Orange</c:v>
                </c:pt>
                <c:pt idx="3">
                  <c:v>Toko Ungu</c:v>
                </c:pt>
                <c:pt idx="4">
                  <c:v>TokTok</c:v>
                </c:pt>
              </c:strCache>
            </c:strRef>
          </c:cat>
          <c:val>
            <c:numRef>
              <c:f>Pivot!$Y$5:$Y$9</c:f>
              <c:numCache>
                <c:formatCode>0%</c:formatCode>
                <c:ptCount val="5"/>
                <c:pt idx="0">
                  <c:v>0.19802345839522348</c:v>
                </c:pt>
                <c:pt idx="1">
                  <c:v>0.19921540731147613</c:v>
                </c:pt>
                <c:pt idx="2">
                  <c:v>0.19399270198825486</c:v>
                </c:pt>
                <c:pt idx="3">
                  <c:v>0.20127047823107466</c:v>
                </c:pt>
                <c:pt idx="4">
                  <c:v>0.20749795407397087</c:v>
                </c:pt>
              </c:numCache>
            </c:numRef>
          </c:val>
          <c:extLst>
            <c:ext xmlns:c16="http://schemas.microsoft.com/office/drawing/2014/chart" uri="{C3380CC4-5D6E-409C-BE32-E72D297353CC}">
              <c16:uniqueId val="{0000000A-26CE-4628-9BC9-B67BCF7F14FA}"/>
            </c:ext>
          </c:extLst>
        </c:ser>
        <c:ser>
          <c:idx val="1"/>
          <c:order val="1"/>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C-26CE-4628-9BC9-B67BCF7F14FA}"/>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E-26CE-4628-9BC9-B67BCF7F14FA}"/>
              </c:ext>
            </c:extLst>
          </c:dPt>
          <c:dPt>
            <c:idx val="2"/>
            <c:bubble3D val="0"/>
            <c:spPr>
              <a:solidFill>
                <a:schemeClr val="accent3"/>
              </a:solidFill>
              <a:ln w="19050">
                <a:solidFill>
                  <a:schemeClr val="accent3"/>
                </a:solidFill>
              </a:ln>
              <a:effectLst/>
            </c:spPr>
            <c:extLst>
              <c:ext xmlns:c16="http://schemas.microsoft.com/office/drawing/2014/chart" uri="{C3380CC4-5D6E-409C-BE32-E72D297353CC}">
                <c16:uniqueId val="{00000010-26CE-4628-9BC9-B67BCF7F14FA}"/>
              </c:ext>
            </c:extLst>
          </c:dPt>
          <c:dPt>
            <c:idx val="3"/>
            <c:bubble3D val="0"/>
            <c:spPr>
              <a:solidFill>
                <a:schemeClr val="accent4"/>
              </a:solidFill>
              <a:ln w="19050">
                <a:solidFill>
                  <a:schemeClr val="accent4"/>
                </a:solidFill>
              </a:ln>
              <a:effectLst/>
            </c:spPr>
            <c:extLst>
              <c:ext xmlns:c16="http://schemas.microsoft.com/office/drawing/2014/chart" uri="{C3380CC4-5D6E-409C-BE32-E72D297353CC}">
                <c16:uniqueId val="{00000012-26CE-4628-9BC9-B67BCF7F14FA}"/>
              </c:ext>
            </c:extLst>
          </c:dPt>
          <c:dPt>
            <c:idx val="4"/>
            <c:bubble3D val="0"/>
            <c:spPr>
              <a:solidFill>
                <a:schemeClr val="accent5"/>
              </a:solidFill>
              <a:ln w="19050">
                <a:solidFill>
                  <a:schemeClr val="accent5"/>
                </a:solidFill>
              </a:ln>
              <a:effectLst/>
            </c:spPr>
            <c:extLst>
              <c:ext xmlns:c16="http://schemas.microsoft.com/office/drawing/2014/chart" uri="{C3380CC4-5D6E-409C-BE32-E72D297353CC}">
                <c16:uniqueId val="{00000014-26CE-4628-9BC9-B67BCF7F14FA}"/>
              </c:ext>
            </c:extLst>
          </c:dPt>
          <c:dLbls>
            <c:delete val="1"/>
          </c:dLbls>
          <c:val>
            <c:numRef>
              <c:f>Pivot!$Y$5:$Y$9</c:f>
              <c:numCache>
                <c:formatCode>0%</c:formatCode>
                <c:ptCount val="5"/>
                <c:pt idx="0">
                  <c:v>0.19802345839522348</c:v>
                </c:pt>
                <c:pt idx="1">
                  <c:v>0.19921540731147613</c:v>
                </c:pt>
                <c:pt idx="2">
                  <c:v>0.19399270198825486</c:v>
                </c:pt>
                <c:pt idx="3">
                  <c:v>0.20127047823107466</c:v>
                </c:pt>
                <c:pt idx="4">
                  <c:v>0.20749795407397087</c:v>
                </c:pt>
              </c:numCache>
            </c:numRef>
          </c:val>
          <c:extLst>
            <c:ext xmlns:c16="http://schemas.microsoft.com/office/drawing/2014/chart" uri="{C3380CC4-5D6E-409C-BE32-E72D297353CC}">
              <c16:uniqueId val="{00000015-26CE-4628-9BC9-B67BCF7F14FA}"/>
            </c:ext>
          </c:extLst>
        </c:ser>
        <c:ser>
          <c:idx val="2"/>
          <c:order val="2"/>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17-26CE-4628-9BC9-B67BCF7F14FA}"/>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19-26CE-4628-9BC9-B67BCF7F14FA}"/>
              </c:ext>
            </c:extLst>
          </c:dPt>
          <c:dPt>
            <c:idx val="2"/>
            <c:bubble3D val="0"/>
            <c:spPr>
              <a:solidFill>
                <a:schemeClr val="accent3"/>
              </a:solidFill>
              <a:ln w="19050">
                <a:solidFill>
                  <a:schemeClr val="accent3"/>
                </a:solidFill>
              </a:ln>
              <a:effectLst/>
            </c:spPr>
            <c:extLst>
              <c:ext xmlns:c16="http://schemas.microsoft.com/office/drawing/2014/chart" uri="{C3380CC4-5D6E-409C-BE32-E72D297353CC}">
                <c16:uniqueId val="{0000001B-26CE-4628-9BC9-B67BCF7F14FA}"/>
              </c:ext>
            </c:extLst>
          </c:dPt>
          <c:dPt>
            <c:idx val="3"/>
            <c:bubble3D val="0"/>
            <c:spPr>
              <a:solidFill>
                <a:schemeClr val="accent4"/>
              </a:solidFill>
              <a:ln w="19050">
                <a:solidFill>
                  <a:schemeClr val="accent4"/>
                </a:solidFill>
              </a:ln>
              <a:effectLst/>
            </c:spPr>
            <c:extLst>
              <c:ext xmlns:c16="http://schemas.microsoft.com/office/drawing/2014/chart" uri="{C3380CC4-5D6E-409C-BE32-E72D297353CC}">
                <c16:uniqueId val="{0000001D-26CE-4628-9BC9-B67BCF7F14FA}"/>
              </c:ext>
            </c:extLst>
          </c:dPt>
          <c:dPt>
            <c:idx val="4"/>
            <c:bubble3D val="0"/>
            <c:spPr>
              <a:noFill/>
              <a:ln w="19050">
                <a:noFill/>
              </a:ln>
              <a:effectLst/>
            </c:spPr>
            <c:extLst>
              <c:ext xmlns:c16="http://schemas.microsoft.com/office/drawing/2014/chart" uri="{C3380CC4-5D6E-409C-BE32-E72D297353CC}">
                <c16:uniqueId val="{0000001F-26CE-4628-9BC9-B67BCF7F14FA}"/>
              </c:ext>
            </c:extLst>
          </c:dPt>
          <c:dLbls>
            <c:delete val="1"/>
          </c:dLbls>
          <c:val>
            <c:numRef>
              <c:f>Pivot!$Y$5:$Y$9</c:f>
              <c:numCache>
                <c:formatCode>0%</c:formatCode>
                <c:ptCount val="5"/>
                <c:pt idx="0">
                  <c:v>0.19802345839522348</c:v>
                </c:pt>
                <c:pt idx="1">
                  <c:v>0.19921540731147613</c:v>
                </c:pt>
                <c:pt idx="2">
                  <c:v>0.19399270198825486</c:v>
                </c:pt>
                <c:pt idx="3">
                  <c:v>0.20127047823107466</c:v>
                </c:pt>
                <c:pt idx="4">
                  <c:v>0.20749795407397087</c:v>
                </c:pt>
              </c:numCache>
            </c:numRef>
          </c:val>
          <c:extLst>
            <c:ext xmlns:c16="http://schemas.microsoft.com/office/drawing/2014/chart" uri="{C3380CC4-5D6E-409C-BE32-E72D297353CC}">
              <c16:uniqueId val="{00000020-26CE-4628-9BC9-B67BCF7F14FA}"/>
            </c:ext>
          </c:extLst>
        </c:ser>
        <c:ser>
          <c:idx val="3"/>
          <c:order val="3"/>
          <c:dPt>
            <c:idx val="0"/>
            <c:bubble3D val="0"/>
            <c:spPr>
              <a:noFill/>
              <a:ln w="19050">
                <a:solidFill>
                  <a:schemeClr val="lt1"/>
                </a:solidFill>
              </a:ln>
              <a:effectLst/>
            </c:spPr>
            <c:extLst>
              <c:ext xmlns:c16="http://schemas.microsoft.com/office/drawing/2014/chart" uri="{C3380CC4-5D6E-409C-BE32-E72D297353CC}">
                <c16:uniqueId val="{00000022-26CE-4628-9BC9-B67BCF7F14FA}"/>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24-26CE-4628-9BC9-B67BCF7F14FA}"/>
              </c:ext>
            </c:extLst>
          </c:dPt>
          <c:dPt>
            <c:idx val="2"/>
            <c:bubble3D val="0"/>
            <c:spPr>
              <a:solidFill>
                <a:schemeClr val="accent3"/>
              </a:solidFill>
              <a:ln w="19050">
                <a:solidFill>
                  <a:schemeClr val="accent3"/>
                </a:solidFill>
              </a:ln>
              <a:effectLst/>
            </c:spPr>
            <c:extLst>
              <c:ext xmlns:c16="http://schemas.microsoft.com/office/drawing/2014/chart" uri="{C3380CC4-5D6E-409C-BE32-E72D297353CC}">
                <c16:uniqueId val="{00000026-26CE-4628-9BC9-B67BCF7F14FA}"/>
              </c:ext>
            </c:extLst>
          </c:dPt>
          <c:dPt>
            <c:idx val="3"/>
            <c:bubble3D val="0"/>
            <c:spPr>
              <a:solidFill>
                <a:schemeClr val="accent4"/>
              </a:solidFill>
              <a:ln w="19050">
                <a:solidFill>
                  <a:schemeClr val="accent4"/>
                </a:solidFill>
              </a:ln>
              <a:effectLst/>
            </c:spPr>
            <c:extLst>
              <c:ext xmlns:c16="http://schemas.microsoft.com/office/drawing/2014/chart" uri="{C3380CC4-5D6E-409C-BE32-E72D297353CC}">
                <c16:uniqueId val="{00000028-26CE-4628-9BC9-B67BCF7F14FA}"/>
              </c:ext>
            </c:extLst>
          </c:dPt>
          <c:dPt>
            <c:idx val="4"/>
            <c:bubble3D val="0"/>
            <c:spPr>
              <a:noFill/>
              <a:ln w="19050">
                <a:noFill/>
              </a:ln>
              <a:effectLst/>
            </c:spPr>
            <c:extLst>
              <c:ext xmlns:c16="http://schemas.microsoft.com/office/drawing/2014/chart" uri="{C3380CC4-5D6E-409C-BE32-E72D297353CC}">
                <c16:uniqueId val="{0000002A-26CE-4628-9BC9-B67BCF7F14FA}"/>
              </c:ext>
            </c:extLst>
          </c:dPt>
          <c:dLbls>
            <c:delete val="1"/>
          </c:dLbls>
          <c:val>
            <c:numRef>
              <c:f>Pivot!$Y$5:$Y$9</c:f>
              <c:numCache>
                <c:formatCode>0%</c:formatCode>
                <c:ptCount val="5"/>
                <c:pt idx="0">
                  <c:v>0.19802345839522348</c:v>
                </c:pt>
                <c:pt idx="1">
                  <c:v>0.19921540731147613</c:v>
                </c:pt>
                <c:pt idx="2">
                  <c:v>0.19399270198825486</c:v>
                </c:pt>
                <c:pt idx="3">
                  <c:v>0.20127047823107466</c:v>
                </c:pt>
                <c:pt idx="4">
                  <c:v>0.20749795407397087</c:v>
                </c:pt>
              </c:numCache>
            </c:numRef>
          </c:val>
          <c:extLst>
            <c:ext xmlns:c16="http://schemas.microsoft.com/office/drawing/2014/chart" uri="{C3380CC4-5D6E-409C-BE32-E72D297353CC}">
              <c16:uniqueId val="{0000002B-26CE-4628-9BC9-B67BCF7F14FA}"/>
            </c:ext>
          </c:extLst>
        </c:ser>
        <c:ser>
          <c:idx val="4"/>
          <c:order val="4"/>
          <c:dPt>
            <c:idx val="0"/>
            <c:bubble3D val="0"/>
            <c:spPr>
              <a:noFill/>
              <a:ln w="19050">
                <a:solidFill>
                  <a:schemeClr val="lt1"/>
                </a:solidFill>
              </a:ln>
              <a:effectLst/>
            </c:spPr>
            <c:extLst>
              <c:ext xmlns:c16="http://schemas.microsoft.com/office/drawing/2014/chart" uri="{C3380CC4-5D6E-409C-BE32-E72D297353CC}">
                <c16:uniqueId val="{0000002D-26CE-4628-9BC9-B67BCF7F14FA}"/>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2F-26CE-4628-9BC9-B67BCF7F14FA}"/>
              </c:ext>
            </c:extLst>
          </c:dPt>
          <c:dPt>
            <c:idx val="2"/>
            <c:bubble3D val="0"/>
            <c:spPr>
              <a:solidFill>
                <a:schemeClr val="accent3"/>
              </a:solidFill>
              <a:ln w="19050">
                <a:solidFill>
                  <a:schemeClr val="accent3"/>
                </a:solidFill>
              </a:ln>
              <a:effectLst/>
            </c:spPr>
            <c:extLst>
              <c:ext xmlns:c16="http://schemas.microsoft.com/office/drawing/2014/chart" uri="{C3380CC4-5D6E-409C-BE32-E72D297353CC}">
                <c16:uniqueId val="{00000031-26CE-4628-9BC9-B67BCF7F14FA}"/>
              </c:ext>
            </c:extLst>
          </c:dPt>
          <c:dPt>
            <c:idx val="3"/>
            <c:bubble3D val="0"/>
            <c:spPr>
              <a:noFill/>
              <a:ln w="19050">
                <a:solidFill>
                  <a:schemeClr val="lt1"/>
                </a:solidFill>
              </a:ln>
              <a:effectLst/>
            </c:spPr>
            <c:extLst>
              <c:ext xmlns:c16="http://schemas.microsoft.com/office/drawing/2014/chart" uri="{C3380CC4-5D6E-409C-BE32-E72D297353CC}">
                <c16:uniqueId val="{00000033-26CE-4628-9BC9-B67BCF7F14FA}"/>
              </c:ext>
            </c:extLst>
          </c:dPt>
          <c:dPt>
            <c:idx val="4"/>
            <c:bubble3D val="0"/>
            <c:spPr>
              <a:noFill/>
              <a:ln w="19050">
                <a:noFill/>
              </a:ln>
              <a:effectLst/>
            </c:spPr>
            <c:extLst>
              <c:ext xmlns:c16="http://schemas.microsoft.com/office/drawing/2014/chart" uri="{C3380CC4-5D6E-409C-BE32-E72D297353CC}">
                <c16:uniqueId val="{00000035-26CE-4628-9BC9-B67BCF7F14FA}"/>
              </c:ext>
            </c:extLst>
          </c:dPt>
          <c:dLbls>
            <c:delete val="1"/>
          </c:dLbls>
          <c:val>
            <c:numRef>
              <c:f>Pivot!$Y$5:$Y$9</c:f>
              <c:numCache>
                <c:formatCode>0%</c:formatCode>
                <c:ptCount val="5"/>
                <c:pt idx="0">
                  <c:v>0.19802345839522348</c:v>
                </c:pt>
                <c:pt idx="1">
                  <c:v>0.19921540731147613</c:v>
                </c:pt>
                <c:pt idx="2">
                  <c:v>0.19399270198825486</c:v>
                </c:pt>
                <c:pt idx="3">
                  <c:v>0.20127047823107466</c:v>
                </c:pt>
                <c:pt idx="4">
                  <c:v>0.20749795407397087</c:v>
                </c:pt>
              </c:numCache>
            </c:numRef>
          </c:val>
          <c:extLst>
            <c:ext xmlns:c16="http://schemas.microsoft.com/office/drawing/2014/chart" uri="{C3380CC4-5D6E-409C-BE32-E72D297353CC}">
              <c16:uniqueId val="{00000036-26CE-4628-9BC9-B67BCF7F14F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bar"/>
        <c:grouping val="clustered"/>
        <c:varyColors val="0"/>
        <c:ser>
          <c:idx val="0"/>
          <c:order val="0"/>
          <c:spPr>
            <a:solidFill>
              <a:srgbClr val="FD6C9E"/>
            </a:solidFill>
            <a:ln>
              <a:solidFill>
                <a:srgbClr val="FD6C9E"/>
              </a:solidFill>
            </a:ln>
            <a:effectLst/>
          </c:spPr>
          <c:invertIfNegative val="0"/>
          <c:cat>
            <c:strRef>
              <c:f>Pivot!$AE$5:$AE$19</c:f>
              <c:strCache>
                <c:ptCount val="15"/>
                <c:pt idx="0">
                  <c:v>Kartika Saputra</c:v>
                </c:pt>
                <c:pt idx="1">
                  <c:v>Dewi Setiawan</c:v>
                </c:pt>
                <c:pt idx="2">
                  <c:v>Zahra Santoso</c:v>
                </c:pt>
                <c:pt idx="3">
                  <c:v>Dewi Hidayat</c:v>
                </c:pt>
                <c:pt idx="4">
                  <c:v>Nanda Iskandar</c:v>
                </c:pt>
                <c:pt idx="5">
                  <c:v>Zahra Kurniawan</c:v>
                </c:pt>
                <c:pt idx="6">
                  <c:v>Clara Utami</c:v>
                </c:pt>
                <c:pt idx="7">
                  <c:v>Aulia Iskandar</c:v>
                </c:pt>
                <c:pt idx="8">
                  <c:v>Zahra Budiman</c:v>
                </c:pt>
                <c:pt idx="9">
                  <c:v>Ani Fauziah</c:v>
                </c:pt>
                <c:pt idx="10">
                  <c:v>Ani Hidayat</c:v>
                </c:pt>
                <c:pt idx="11">
                  <c:v>Hana Nugroho</c:v>
                </c:pt>
                <c:pt idx="12">
                  <c:v>Yani Ananda</c:v>
                </c:pt>
                <c:pt idx="13">
                  <c:v>Sari Puspita</c:v>
                </c:pt>
                <c:pt idx="14">
                  <c:v>Citra Maulana</c:v>
                </c:pt>
              </c:strCache>
            </c:strRef>
          </c:cat>
          <c:val>
            <c:numRef>
              <c:f>Pivot!$AF$5:$AF$19</c:f>
              <c:numCache>
                <c:formatCode>General</c:formatCode>
                <c:ptCount val="15"/>
                <c:pt idx="0">
                  <c:v>786800</c:v>
                </c:pt>
                <c:pt idx="1">
                  <c:v>806600</c:v>
                </c:pt>
                <c:pt idx="2">
                  <c:v>809650</c:v>
                </c:pt>
                <c:pt idx="3">
                  <c:v>824800</c:v>
                </c:pt>
                <c:pt idx="4">
                  <c:v>846100</c:v>
                </c:pt>
                <c:pt idx="5">
                  <c:v>859250</c:v>
                </c:pt>
                <c:pt idx="6">
                  <c:v>895900</c:v>
                </c:pt>
                <c:pt idx="7">
                  <c:v>897600</c:v>
                </c:pt>
                <c:pt idx="8">
                  <c:v>947300</c:v>
                </c:pt>
                <c:pt idx="9">
                  <c:v>967300</c:v>
                </c:pt>
                <c:pt idx="10">
                  <c:v>1006300</c:v>
                </c:pt>
                <c:pt idx="11">
                  <c:v>1067200</c:v>
                </c:pt>
                <c:pt idx="12">
                  <c:v>1136350</c:v>
                </c:pt>
                <c:pt idx="13">
                  <c:v>1197750</c:v>
                </c:pt>
                <c:pt idx="14">
                  <c:v>1206200</c:v>
                </c:pt>
              </c:numCache>
            </c:numRef>
          </c:val>
          <c:extLst>
            <c:ext xmlns:c16="http://schemas.microsoft.com/office/drawing/2014/chart" uri="{C3380CC4-5D6E-409C-BE32-E72D297353CC}">
              <c16:uniqueId val="{00000000-A9C8-4624-AEE9-22787A8A6ED8}"/>
            </c:ext>
          </c:extLst>
        </c:ser>
        <c:dLbls>
          <c:showLegendKey val="0"/>
          <c:showVal val="0"/>
          <c:showCatName val="0"/>
          <c:showSerName val="0"/>
          <c:showPercent val="0"/>
          <c:showBubbleSize val="0"/>
        </c:dLbls>
        <c:gapWidth val="182"/>
        <c:axId val="1237517999"/>
        <c:axId val="1237503119"/>
      </c:barChart>
      <c:catAx>
        <c:axId val="123751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503119"/>
        <c:crosses val="autoZero"/>
        <c:auto val="1"/>
        <c:lblAlgn val="ctr"/>
        <c:lblOffset val="100"/>
        <c:noMultiLvlLbl val="0"/>
      </c:catAx>
      <c:valAx>
        <c:axId val="123750311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3751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126601326456E-2"/>
          <c:y val="0.15729192675432524"/>
          <c:w val="0.56968376550734856"/>
          <c:h val="0.7890404162186697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6B-4015-B2CE-3475BAFB6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6B-4015-B2CE-3475BAFB65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6B-4015-B2CE-3475BAFB6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6B-4015-B2CE-3475BAFB65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Pivot!$AJ$5:$AJ$8</c:f>
              <c:strCache>
                <c:ptCount val="4"/>
                <c:pt idx="0">
                  <c:v>COD</c:v>
                </c:pt>
                <c:pt idx="1">
                  <c:v>e-Wallet</c:v>
                </c:pt>
                <c:pt idx="2">
                  <c:v>Kartu Kredit</c:v>
                </c:pt>
                <c:pt idx="3">
                  <c:v>Transfer Bank</c:v>
                </c:pt>
              </c:strCache>
            </c:strRef>
          </c:cat>
          <c:val>
            <c:numRef>
              <c:f>Pivot!$AK$5:$AK$8</c:f>
              <c:numCache>
                <c:formatCode>0%</c:formatCode>
                <c:ptCount val="4"/>
                <c:pt idx="0">
                  <c:v>0.25588999046985667</c:v>
                </c:pt>
                <c:pt idx="1">
                  <c:v>0.22964493308858752</c:v>
                </c:pt>
                <c:pt idx="2">
                  <c:v>0.25097315254728003</c:v>
                </c:pt>
                <c:pt idx="3">
                  <c:v>0.26349192389427573</c:v>
                </c:pt>
              </c:numCache>
            </c:numRef>
          </c:val>
          <c:extLst>
            <c:ext xmlns:c16="http://schemas.microsoft.com/office/drawing/2014/chart" uri="{C3380CC4-5D6E-409C-BE32-E72D297353CC}">
              <c16:uniqueId val="{00000008-846B-4015-B2CE-3475BAFB65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 (version 1).xlsx]Pivot!Penjualanan/Tahun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A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BAED2"/>
          </a:solidFill>
          <a:ln>
            <a:noFill/>
          </a:ln>
          <a:effectLst/>
        </c:spPr>
        <c:dLbl>
          <c:idx val="0"/>
          <c:layout>
            <c:manualLayout>
              <c:x val="-0.30148551078928948"/>
              <c:y val="2.879736446520414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64849942451959"/>
                  <c:h val="0.22642158189682476"/>
                </c:manualLayout>
              </c15:layout>
            </c:ext>
          </c:extLst>
        </c:dLbl>
      </c:pivotFmt>
      <c:pivotFmt>
        <c:idx val="4"/>
        <c:spPr>
          <a:solidFill>
            <a:srgbClr val="FBAED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617971898856114"/>
                  <c:h val="0.21910705132266295"/>
                </c:manualLayout>
              </c15:layout>
            </c:ext>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1956101529312408"/>
                  <c:h val="0.26299423476763406"/>
                </c:manualLayout>
              </c15:layout>
            </c:ext>
          </c:extLst>
        </c:dLbl>
      </c:pivotFmt>
    </c:pivotFmts>
    <c:plotArea>
      <c:layout/>
      <c:barChart>
        <c:barDir val="bar"/>
        <c:grouping val="clustered"/>
        <c:varyColors val="0"/>
        <c:ser>
          <c:idx val="0"/>
          <c:order val="0"/>
          <c:tx>
            <c:strRef>
              <c:f>Pivot!$AO$4</c:f>
              <c:strCache>
                <c:ptCount val="1"/>
                <c:pt idx="0">
                  <c:v>Total</c:v>
                </c:pt>
              </c:strCache>
            </c:strRef>
          </c:tx>
          <c:spPr>
            <a:solidFill>
              <a:srgbClr val="FBAED2"/>
            </a:solidFill>
            <a:ln>
              <a:noFill/>
            </a:ln>
            <a:effectLst/>
          </c:spPr>
          <c:invertIfNegative val="0"/>
          <c:dPt>
            <c:idx val="0"/>
            <c:invertIfNegative val="0"/>
            <c:bubble3D val="0"/>
            <c:spPr>
              <a:solidFill>
                <a:srgbClr val="FBAED2"/>
              </a:solidFill>
              <a:ln>
                <a:noFill/>
              </a:ln>
              <a:effectLst/>
            </c:spPr>
            <c:extLst>
              <c:ext xmlns:c16="http://schemas.microsoft.com/office/drawing/2014/chart" uri="{C3380CC4-5D6E-409C-BE32-E72D297353CC}">
                <c16:uniqueId val="{00000002-B6D9-4375-9546-8E7276F6A420}"/>
              </c:ext>
            </c:extLst>
          </c:dPt>
          <c:dPt>
            <c:idx val="1"/>
            <c:invertIfNegative val="0"/>
            <c:bubble3D val="0"/>
            <c:spPr>
              <a:solidFill>
                <a:srgbClr val="FBAED2"/>
              </a:solidFill>
              <a:ln>
                <a:noFill/>
              </a:ln>
              <a:effectLst/>
            </c:spPr>
            <c:extLst>
              <c:ext xmlns:c16="http://schemas.microsoft.com/office/drawing/2014/chart" uri="{C3380CC4-5D6E-409C-BE32-E72D297353CC}">
                <c16:uniqueId val="{00000001-B6D9-4375-9546-8E7276F6A420}"/>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617971898856114"/>
                      <c:h val="0.21910705132266295"/>
                    </c:manualLayout>
                  </c15:layout>
                </c:ext>
                <c:ext xmlns:c16="http://schemas.microsoft.com/office/drawing/2014/chart" uri="{C3380CC4-5D6E-409C-BE32-E72D297353CC}">
                  <c16:uniqueId val="{00000002-B6D9-4375-9546-8E7276F6A420}"/>
                </c:ext>
              </c:extLst>
            </c:dLbl>
            <c:dLbl>
              <c:idx val="1"/>
              <c:layout>
                <c:manualLayout>
                  <c:x val="-0.30148551078928948"/>
                  <c:y val="2.879736446520414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64849942451959"/>
                      <c:h val="0.22642158189682476"/>
                    </c:manualLayout>
                  </c15:layout>
                </c:ext>
                <c:ext xmlns:c16="http://schemas.microsoft.com/office/drawing/2014/chart" uri="{C3380CC4-5D6E-409C-BE32-E72D297353CC}">
                  <c16:uniqueId val="{00000001-B6D9-4375-9546-8E7276F6A4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Pivot!$AN$5:$AN$6</c:f>
              <c:strCache>
                <c:ptCount val="2"/>
                <c:pt idx="0">
                  <c:v>2025</c:v>
                </c:pt>
                <c:pt idx="1">
                  <c:v>2024</c:v>
                </c:pt>
              </c:strCache>
            </c:strRef>
          </c:cat>
          <c:val>
            <c:numRef>
              <c:f>Pivot!$AO$5:$AO$6</c:f>
              <c:numCache>
                <c:formatCode>_("Rp"* #,##0_);_("Rp"* \(#,##0\);_("Rp"* "-"_);_(@_)</c:formatCode>
                <c:ptCount val="2"/>
                <c:pt idx="0">
                  <c:v>91706750</c:v>
                </c:pt>
                <c:pt idx="1">
                  <c:v>36780300</c:v>
                </c:pt>
              </c:numCache>
            </c:numRef>
          </c:val>
          <c:extLst>
            <c:ext xmlns:c16="http://schemas.microsoft.com/office/drawing/2014/chart" uri="{C3380CC4-5D6E-409C-BE32-E72D297353CC}">
              <c16:uniqueId val="{00000000-B6D9-4375-9546-8E7276F6A420}"/>
            </c:ext>
          </c:extLst>
        </c:ser>
        <c:dLbls>
          <c:dLblPos val="inEnd"/>
          <c:showLegendKey val="0"/>
          <c:showVal val="1"/>
          <c:showCatName val="0"/>
          <c:showSerName val="0"/>
          <c:showPercent val="0"/>
          <c:showBubbleSize val="0"/>
        </c:dLbls>
        <c:gapWidth val="182"/>
        <c:axId val="1551122783"/>
        <c:axId val="1551119903"/>
      </c:barChart>
      <c:catAx>
        <c:axId val="155112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119903"/>
        <c:crosses val="autoZero"/>
        <c:auto val="1"/>
        <c:lblAlgn val="ctr"/>
        <c:lblOffset val="100"/>
        <c:noMultiLvlLbl val="0"/>
      </c:catAx>
      <c:valAx>
        <c:axId val="1551119903"/>
        <c:scaling>
          <c:orientation val="minMax"/>
        </c:scaling>
        <c:delete val="1"/>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crossAx val="155112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742950</xdr:colOff>
      <xdr:row>0</xdr:row>
      <xdr:rowOff>66675</xdr:rowOff>
    </xdr:from>
    <xdr:to>
      <xdr:col>10</xdr:col>
      <xdr:colOff>381000</xdr:colOff>
      <xdr:row>13</xdr:row>
      <xdr:rowOff>138112</xdr:rowOff>
    </xdr:to>
    <xdr:graphicFrame macro="">
      <xdr:nvGraphicFramePr>
        <xdr:cNvPr id="2" name="Chart 1">
          <a:extLst>
            <a:ext uri="{FF2B5EF4-FFF2-40B4-BE49-F238E27FC236}">
              <a16:creationId xmlns:a16="http://schemas.microsoft.com/office/drawing/2014/main" id="{A7DC4E07-3483-E237-2328-B317E82A8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757237</xdr:colOff>
      <xdr:row>15</xdr:row>
      <xdr:rowOff>71437</xdr:rowOff>
    </xdr:from>
    <xdr:to>
      <xdr:col>10</xdr:col>
      <xdr:colOff>409575</xdr:colOff>
      <xdr:row>29</xdr:row>
      <xdr:rowOff>138112</xdr:rowOff>
    </xdr:to>
    <xdr:graphicFrame macro="">
      <xdr:nvGraphicFramePr>
        <xdr:cNvPr id="4" name="Chart 3">
          <a:extLst>
            <a:ext uri="{FF2B5EF4-FFF2-40B4-BE49-F238E27FC236}">
              <a16:creationId xmlns:a16="http://schemas.microsoft.com/office/drawing/2014/main" id="{AC591182-EB8E-D945-1D0A-8362CEF50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504825</xdr:colOff>
      <xdr:row>30</xdr:row>
      <xdr:rowOff>147637</xdr:rowOff>
    </xdr:from>
    <xdr:to>
      <xdr:col>18</xdr:col>
      <xdr:colOff>66675</xdr:colOff>
      <xdr:row>48</xdr:row>
      <xdr:rowOff>9525</xdr:rowOff>
    </xdr:to>
    <xdr:graphicFrame macro="">
      <xdr:nvGraphicFramePr>
        <xdr:cNvPr id="5" name="Chart 4">
          <a:extLst>
            <a:ext uri="{FF2B5EF4-FFF2-40B4-BE49-F238E27FC236}">
              <a16:creationId xmlns:a16="http://schemas.microsoft.com/office/drawing/2014/main" id="{1F0F5EF5-2590-AD5B-C391-3A4CF0778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409575</xdr:colOff>
      <xdr:row>50</xdr:row>
      <xdr:rowOff>33336</xdr:rowOff>
    </xdr:from>
    <xdr:to>
      <xdr:col>20</xdr:col>
      <xdr:colOff>533400</xdr:colOff>
      <xdr:row>67</xdr:row>
      <xdr:rowOff>19049</xdr:rowOff>
    </xdr:to>
    <xdr:graphicFrame macro="">
      <xdr:nvGraphicFramePr>
        <xdr:cNvPr id="7" name="Chart 6">
          <a:extLst>
            <a:ext uri="{FF2B5EF4-FFF2-40B4-BE49-F238E27FC236}">
              <a16:creationId xmlns:a16="http://schemas.microsoft.com/office/drawing/2014/main" id="{3A024C0F-5DD1-36CF-8183-F41601410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228596</xdr:colOff>
      <xdr:row>0</xdr:row>
      <xdr:rowOff>0</xdr:rowOff>
    </xdr:from>
    <xdr:to>
      <xdr:col>19</xdr:col>
      <xdr:colOff>347382</xdr:colOff>
      <xdr:row>6</xdr:row>
      <xdr:rowOff>156882</xdr:rowOff>
    </xdr:to>
    <xdr:sp macro="" textlink="">
      <xdr:nvSpPr>
        <xdr:cNvPr id="3" name="Rectangle: Top Corners Rounded 2">
          <a:extLst>
            <a:ext uri="{FF2B5EF4-FFF2-40B4-BE49-F238E27FC236}">
              <a16:creationId xmlns:a16="http://schemas.microsoft.com/office/drawing/2014/main" id="{4458724D-F4B5-CA35-6CA6-A04D7AA774CD}"/>
            </a:ext>
          </a:extLst>
        </xdr:cNvPr>
        <xdr:cNvSpPr/>
      </xdr:nvSpPr>
      <xdr:spPr>
        <a:xfrm rot="10800000">
          <a:off x="3254184" y="0"/>
          <a:ext cx="8590433" cy="1299882"/>
        </a:xfrm>
        <a:prstGeom prst="round2SameRect">
          <a:avLst/>
        </a:prstGeom>
        <a:solidFill>
          <a:srgbClr val="F8C8DC"/>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44823</xdr:colOff>
      <xdr:row>4</xdr:row>
      <xdr:rowOff>44823</xdr:rowOff>
    </xdr:from>
    <xdr:to>
      <xdr:col>9</xdr:col>
      <xdr:colOff>246529</xdr:colOff>
      <xdr:row>9</xdr:row>
      <xdr:rowOff>56029</xdr:rowOff>
    </xdr:to>
    <xdr:sp macro="" textlink="">
      <xdr:nvSpPr>
        <xdr:cNvPr id="4" name="Rectangle: Rounded Corners 3">
          <a:extLst>
            <a:ext uri="{FF2B5EF4-FFF2-40B4-BE49-F238E27FC236}">
              <a16:creationId xmlns:a16="http://schemas.microsoft.com/office/drawing/2014/main" id="{C23BA6CD-A3C2-F645-3791-AC4D4AD1961B}"/>
            </a:ext>
          </a:extLst>
        </xdr:cNvPr>
        <xdr:cNvSpPr/>
      </xdr:nvSpPr>
      <xdr:spPr>
        <a:xfrm>
          <a:off x="3675529" y="806823"/>
          <a:ext cx="2017059" cy="9637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oneCellAnchor>
    <xdr:from>
      <xdr:col>7</xdr:col>
      <xdr:colOff>492040</xdr:colOff>
      <xdr:row>0</xdr:row>
      <xdr:rowOff>145677</xdr:rowOff>
    </xdr:from>
    <xdr:ext cx="4403912" cy="461473"/>
    <xdr:sp macro="" textlink="">
      <xdr:nvSpPr>
        <xdr:cNvPr id="7" name="TextBox 6">
          <a:extLst>
            <a:ext uri="{FF2B5EF4-FFF2-40B4-BE49-F238E27FC236}">
              <a16:creationId xmlns:a16="http://schemas.microsoft.com/office/drawing/2014/main" id="{DE58664B-45AC-0712-AA4F-B7D150F87E38}"/>
            </a:ext>
          </a:extLst>
        </xdr:cNvPr>
        <xdr:cNvSpPr txBox="1"/>
      </xdr:nvSpPr>
      <xdr:spPr>
        <a:xfrm>
          <a:off x="4734995" y="145677"/>
          <a:ext cx="4403912" cy="461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2400">
              <a:solidFill>
                <a:schemeClr val="tx1"/>
              </a:solidFill>
              <a:latin typeface="Bodoni MT" panose="02070603080606020203" pitchFamily="18" charset="0"/>
            </a:rPr>
            <a:t>Dashboard</a:t>
          </a:r>
          <a:r>
            <a:rPr lang="en-ID" sz="2400" baseline="0">
              <a:solidFill>
                <a:schemeClr val="tx1"/>
              </a:solidFill>
              <a:latin typeface="Bodoni MT" panose="02070603080606020203" pitchFamily="18" charset="0"/>
            </a:rPr>
            <a:t> Toko Sembako Disa</a:t>
          </a:r>
          <a:endParaRPr lang="en-ID" sz="2400">
            <a:solidFill>
              <a:schemeClr val="tx1"/>
            </a:solidFill>
            <a:latin typeface="Bodoni MT" panose="02070603080606020203" pitchFamily="18" charset="0"/>
          </a:endParaRPr>
        </a:p>
      </xdr:txBody>
    </xdr:sp>
    <xdr:clientData/>
  </xdr:oneCellAnchor>
  <xdr:oneCellAnchor>
    <xdr:from>
      <xdr:col>6</xdr:col>
      <xdr:colOff>298075</xdr:colOff>
      <xdr:row>4</xdr:row>
      <xdr:rowOff>146288</xdr:rowOff>
    </xdr:from>
    <xdr:ext cx="1494866" cy="307648"/>
    <xdr:sp macro="" textlink="">
      <xdr:nvSpPr>
        <xdr:cNvPr id="8" name="TextBox 7">
          <a:extLst>
            <a:ext uri="{FF2B5EF4-FFF2-40B4-BE49-F238E27FC236}">
              <a16:creationId xmlns:a16="http://schemas.microsoft.com/office/drawing/2014/main" id="{371DBC07-9687-4558-935D-359F3A29B0B0}"/>
            </a:ext>
          </a:extLst>
        </xdr:cNvPr>
        <xdr:cNvSpPr txBox="1"/>
      </xdr:nvSpPr>
      <xdr:spPr>
        <a:xfrm>
          <a:off x="3934893" y="908288"/>
          <a:ext cx="1494866"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Total</a:t>
          </a:r>
          <a:r>
            <a:rPr lang="en-ID" sz="1400" b="1" baseline="0">
              <a:solidFill>
                <a:schemeClr val="tx1"/>
              </a:solidFill>
              <a:latin typeface="Bodoni MT" panose="02070603080606020203" pitchFamily="18" charset="0"/>
            </a:rPr>
            <a:t> Transaksi</a:t>
          </a:r>
          <a:endParaRPr lang="en-ID" sz="1400" b="1">
            <a:solidFill>
              <a:schemeClr val="tx1"/>
            </a:solidFill>
            <a:latin typeface="Bodoni MT" panose="02070603080606020203" pitchFamily="18" charset="0"/>
          </a:endParaRPr>
        </a:p>
      </xdr:txBody>
    </xdr:sp>
    <xdr:clientData/>
  </xdr:oneCellAnchor>
  <xdr:twoCellAnchor>
    <xdr:from>
      <xdr:col>10</xdr:col>
      <xdr:colOff>425824</xdr:colOff>
      <xdr:row>4</xdr:row>
      <xdr:rowOff>44823</xdr:rowOff>
    </xdr:from>
    <xdr:to>
      <xdr:col>14</xdr:col>
      <xdr:colOff>22412</xdr:colOff>
      <xdr:row>9</xdr:row>
      <xdr:rowOff>56029</xdr:rowOff>
    </xdr:to>
    <xdr:sp macro="" textlink="">
      <xdr:nvSpPr>
        <xdr:cNvPr id="12" name="Rectangle: Rounded Corners 11">
          <a:extLst>
            <a:ext uri="{FF2B5EF4-FFF2-40B4-BE49-F238E27FC236}">
              <a16:creationId xmlns:a16="http://schemas.microsoft.com/office/drawing/2014/main" id="{E78E23C8-EC21-82B8-F891-1DD491B6845C}"/>
            </a:ext>
          </a:extLst>
        </xdr:cNvPr>
        <xdr:cNvSpPr/>
      </xdr:nvSpPr>
      <xdr:spPr>
        <a:xfrm>
          <a:off x="6477000" y="806823"/>
          <a:ext cx="2017059" cy="9637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oneCellAnchor>
    <xdr:from>
      <xdr:col>11</xdr:col>
      <xdr:colOff>73958</xdr:colOff>
      <xdr:row>4</xdr:row>
      <xdr:rowOff>146288</xdr:rowOff>
    </xdr:from>
    <xdr:ext cx="1494866" cy="307648"/>
    <xdr:sp macro="" textlink="">
      <xdr:nvSpPr>
        <xdr:cNvPr id="13" name="TextBox 12">
          <a:extLst>
            <a:ext uri="{FF2B5EF4-FFF2-40B4-BE49-F238E27FC236}">
              <a16:creationId xmlns:a16="http://schemas.microsoft.com/office/drawing/2014/main" id="{B2357926-64F0-72C1-E4A0-8683D6EE1ECE}"/>
            </a:ext>
          </a:extLst>
        </xdr:cNvPr>
        <xdr:cNvSpPr txBox="1"/>
      </xdr:nvSpPr>
      <xdr:spPr>
        <a:xfrm>
          <a:off x="6741458" y="908288"/>
          <a:ext cx="1494866"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Total</a:t>
          </a:r>
          <a:r>
            <a:rPr lang="en-ID" sz="1400" b="1" baseline="0">
              <a:solidFill>
                <a:schemeClr val="tx1"/>
              </a:solidFill>
              <a:latin typeface="Bodoni MT" panose="02070603080606020203" pitchFamily="18" charset="0"/>
            </a:rPr>
            <a:t> Sale</a:t>
          </a:r>
          <a:endParaRPr lang="en-ID" sz="1400" b="1">
            <a:solidFill>
              <a:schemeClr val="tx1"/>
            </a:solidFill>
            <a:latin typeface="Bodoni MT" panose="02070603080606020203" pitchFamily="18" charset="0"/>
          </a:endParaRPr>
        </a:p>
      </xdr:txBody>
    </xdr:sp>
    <xdr:clientData/>
  </xdr:oneCellAnchor>
  <xdr:twoCellAnchor>
    <xdr:from>
      <xdr:col>15</xdr:col>
      <xdr:colOff>134470</xdr:colOff>
      <xdr:row>4</xdr:row>
      <xdr:rowOff>44823</xdr:rowOff>
    </xdr:from>
    <xdr:to>
      <xdr:col>18</xdr:col>
      <xdr:colOff>336176</xdr:colOff>
      <xdr:row>9</xdr:row>
      <xdr:rowOff>56029</xdr:rowOff>
    </xdr:to>
    <xdr:sp macro="" textlink="">
      <xdr:nvSpPr>
        <xdr:cNvPr id="15" name="Rectangle: Rounded Corners 14">
          <a:extLst>
            <a:ext uri="{FF2B5EF4-FFF2-40B4-BE49-F238E27FC236}">
              <a16:creationId xmlns:a16="http://schemas.microsoft.com/office/drawing/2014/main" id="{19F41415-CAB8-E495-0646-A85268C32663}"/>
            </a:ext>
          </a:extLst>
        </xdr:cNvPr>
        <xdr:cNvSpPr/>
      </xdr:nvSpPr>
      <xdr:spPr>
        <a:xfrm>
          <a:off x="9211235" y="806823"/>
          <a:ext cx="2017059" cy="9637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oneCellAnchor>
    <xdr:from>
      <xdr:col>15</xdr:col>
      <xdr:colOff>298075</xdr:colOff>
      <xdr:row>4</xdr:row>
      <xdr:rowOff>146288</xdr:rowOff>
    </xdr:from>
    <xdr:ext cx="1707778" cy="307648"/>
    <xdr:sp macro="" textlink="">
      <xdr:nvSpPr>
        <xdr:cNvPr id="16" name="TextBox 15">
          <a:extLst>
            <a:ext uri="{FF2B5EF4-FFF2-40B4-BE49-F238E27FC236}">
              <a16:creationId xmlns:a16="http://schemas.microsoft.com/office/drawing/2014/main" id="{C605A072-7C05-6E83-30B7-1F67BDBB76FC}"/>
            </a:ext>
          </a:extLst>
        </xdr:cNvPr>
        <xdr:cNvSpPr txBox="1"/>
      </xdr:nvSpPr>
      <xdr:spPr>
        <a:xfrm>
          <a:off x="9390120" y="908288"/>
          <a:ext cx="1707778"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Total</a:t>
          </a:r>
          <a:r>
            <a:rPr lang="en-ID" sz="1400" b="1" baseline="0">
              <a:solidFill>
                <a:schemeClr val="tx1"/>
              </a:solidFill>
              <a:latin typeface="Bodoni MT" panose="02070603080606020203" pitchFamily="18" charset="0"/>
            </a:rPr>
            <a:t> Product Sale</a:t>
          </a:r>
          <a:endParaRPr lang="en-ID" sz="1400" b="1">
            <a:solidFill>
              <a:schemeClr val="tx1"/>
            </a:solidFill>
            <a:latin typeface="Bodoni MT" panose="02070603080606020203" pitchFamily="18" charset="0"/>
          </a:endParaRPr>
        </a:p>
      </xdr:txBody>
    </xdr:sp>
    <xdr:clientData/>
  </xdr:oneCellAnchor>
  <xdr:twoCellAnchor>
    <xdr:from>
      <xdr:col>6</xdr:col>
      <xdr:colOff>142253</xdr:colOff>
      <xdr:row>10</xdr:row>
      <xdr:rowOff>0</xdr:rowOff>
    </xdr:from>
    <xdr:to>
      <xdr:col>15</xdr:col>
      <xdr:colOff>476250</xdr:colOff>
      <xdr:row>26</xdr:row>
      <xdr:rowOff>0</xdr:rowOff>
    </xdr:to>
    <xdr:sp macro="" textlink="">
      <xdr:nvSpPr>
        <xdr:cNvPr id="23" name="Rectangle: Rounded Corners 22">
          <a:extLst>
            <a:ext uri="{FF2B5EF4-FFF2-40B4-BE49-F238E27FC236}">
              <a16:creationId xmlns:a16="http://schemas.microsoft.com/office/drawing/2014/main" id="{716A0BAD-CACC-FA11-7005-C879931DB475}"/>
            </a:ext>
          </a:extLst>
        </xdr:cNvPr>
        <xdr:cNvSpPr/>
      </xdr:nvSpPr>
      <xdr:spPr>
        <a:xfrm>
          <a:off x="3816182" y="1905000"/>
          <a:ext cx="5844889" cy="3048000"/>
        </a:xfrm>
        <a:prstGeom prst="roundRect">
          <a:avLst>
            <a:gd name="adj" fmla="val 295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571500</xdr:colOff>
      <xdr:row>23</xdr:row>
      <xdr:rowOff>54433</xdr:rowOff>
    </xdr:from>
    <xdr:to>
      <xdr:col>6</xdr:col>
      <xdr:colOff>14841</xdr:colOff>
      <xdr:row>38</xdr:row>
      <xdr:rowOff>54433</xdr:rowOff>
    </xdr:to>
    <xdr:sp macro="" textlink="">
      <xdr:nvSpPr>
        <xdr:cNvPr id="24" name="Rectangle: Rounded Corners 23">
          <a:extLst>
            <a:ext uri="{FF2B5EF4-FFF2-40B4-BE49-F238E27FC236}">
              <a16:creationId xmlns:a16="http://schemas.microsoft.com/office/drawing/2014/main" id="{8371267E-3614-4F89-B226-5778C2688C99}"/>
            </a:ext>
          </a:extLst>
        </xdr:cNvPr>
        <xdr:cNvSpPr/>
      </xdr:nvSpPr>
      <xdr:spPr>
        <a:xfrm>
          <a:off x="1177636" y="4435933"/>
          <a:ext cx="2474023" cy="2857500"/>
        </a:xfrm>
        <a:prstGeom prst="roundRect">
          <a:avLst>
            <a:gd name="adj" fmla="val 295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16</xdr:col>
      <xdr:colOff>20039</xdr:colOff>
      <xdr:row>10</xdr:row>
      <xdr:rowOff>6679</xdr:rowOff>
    </xdr:from>
    <xdr:to>
      <xdr:col>24</xdr:col>
      <xdr:colOff>138545</xdr:colOff>
      <xdr:row>38</xdr:row>
      <xdr:rowOff>82880</xdr:rowOff>
    </xdr:to>
    <xdr:sp macro="" textlink="">
      <xdr:nvSpPr>
        <xdr:cNvPr id="25" name="Rectangle: Rounded Corners 24">
          <a:extLst>
            <a:ext uri="{FF2B5EF4-FFF2-40B4-BE49-F238E27FC236}">
              <a16:creationId xmlns:a16="http://schemas.microsoft.com/office/drawing/2014/main" id="{C60DC57F-2250-423D-8C38-50CFB35A330D}"/>
            </a:ext>
          </a:extLst>
        </xdr:cNvPr>
        <xdr:cNvSpPr/>
      </xdr:nvSpPr>
      <xdr:spPr>
        <a:xfrm>
          <a:off x="9718221" y="1911679"/>
          <a:ext cx="4967597" cy="5410201"/>
        </a:xfrm>
        <a:prstGeom prst="roundRect">
          <a:avLst>
            <a:gd name="adj" fmla="val 295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6</xdr:col>
      <xdr:colOff>152398</xdr:colOff>
      <xdr:row>26</xdr:row>
      <xdr:rowOff>114301</xdr:rowOff>
    </xdr:from>
    <xdr:to>
      <xdr:col>11</xdr:col>
      <xdr:colOff>13606</xdr:colOff>
      <xdr:row>38</xdr:row>
      <xdr:rowOff>68037</xdr:rowOff>
    </xdr:to>
    <xdr:sp macro="" textlink="">
      <xdr:nvSpPr>
        <xdr:cNvPr id="26" name="Rectangle: Rounded Corners 25">
          <a:extLst>
            <a:ext uri="{FF2B5EF4-FFF2-40B4-BE49-F238E27FC236}">
              <a16:creationId xmlns:a16="http://schemas.microsoft.com/office/drawing/2014/main" id="{BA4EE9BC-BA51-4973-8EC1-DD9FEAD48A97}"/>
            </a:ext>
          </a:extLst>
        </xdr:cNvPr>
        <xdr:cNvSpPr/>
      </xdr:nvSpPr>
      <xdr:spPr>
        <a:xfrm>
          <a:off x="3826327" y="5067301"/>
          <a:ext cx="2922815" cy="2239736"/>
        </a:xfrm>
        <a:prstGeom prst="roundRect">
          <a:avLst>
            <a:gd name="adj" fmla="val 295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11</xdr:col>
      <xdr:colOff>81644</xdr:colOff>
      <xdr:row>26</xdr:row>
      <xdr:rowOff>107373</xdr:rowOff>
    </xdr:from>
    <xdr:to>
      <xdr:col>15</xdr:col>
      <xdr:colOff>484421</xdr:colOff>
      <xdr:row>38</xdr:row>
      <xdr:rowOff>62346</xdr:rowOff>
    </xdr:to>
    <xdr:sp macro="" textlink="">
      <xdr:nvSpPr>
        <xdr:cNvPr id="28" name="Rectangle: Rounded Corners 27">
          <a:extLst>
            <a:ext uri="{FF2B5EF4-FFF2-40B4-BE49-F238E27FC236}">
              <a16:creationId xmlns:a16="http://schemas.microsoft.com/office/drawing/2014/main" id="{78D89D14-13D7-4D02-A556-1EE4BD79127D}"/>
            </a:ext>
          </a:extLst>
        </xdr:cNvPr>
        <xdr:cNvSpPr/>
      </xdr:nvSpPr>
      <xdr:spPr>
        <a:xfrm>
          <a:off x="6817180" y="5060373"/>
          <a:ext cx="2852062" cy="2240973"/>
        </a:xfrm>
        <a:prstGeom prst="roundRect">
          <a:avLst>
            <a:gd name="adj" fmla="val 295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588819</xdr:colOff>
      <xdr:row>10</xdr:row>
      <xdr:rowOff>4</xdr:rowOff>
    </xdr:from>
    <xdr:to>
      <xdr:col>6</xdr:col>
      <xdr:colOff>494</xdr:colOff>
      <xdr:row>16</xdr:row>
      <xdr:rowOff>17323</xdr:rowOff>
    </xdr:to>
    <xdr:sp macro="" textlink="">
      <xdr:nvSpPr>
        <xdr:cNvPr id="29" name="Rectangle: Rounded Corners 28">
          <a:extLst>
            <a:ext uri="{FF2B5EF4-FFF2-40B4-BE49-F238E27FC236}">
              <a16:creationId xmlns:a16="http://schemas.microsoft.com/office/drawing/2014/main" id="{8903D1F0-EA30-4B63-8EBB-734FCA336F3C}"/>
            </a:ext>
          </a:extLst>
        </xdr:cNvPr>
        <xdr:cNvSpPr/>
      </xdr:nvSpPr>
      <xdr:spPr>
        <a:xfrm>
          <a:off x="1194955" y="1905004"/>
          <a:ext cx="2442357" cy="1160319"/>
        </a:xfrm>
        <a:prstGeom prst="roundRect">
          <a:avLst>
            <a:gd name="adj" fmla="val 13624"/>
          </a:avLst>
        </a:prstGeom>
        <a:solidFill>
          <a:srgbClr val="FD6C9E"/>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571501</xdr:colOff>
      <xdr:row>16</xdr:row>
      <xdr:rowOff>135829</xdr:rowOff>
    </xdr:from>
    <xdr:to>
      <xdr:col>6</xdr:col>
      <xdr:colOff>8163</xdr:colOff>
      <xdr:row>22</xdr:row>
      <xdr:rowOff>128901</xdr:rowOff>
    </xdr:to>
    <xdr:sp macro="" textlink="">
      <xdr:nvSpPr>
        <xdr:cNvPr id="31" name="Rectangle: Rounded Corners 30">
          <a:extLst>
            <a:ext uri="{FF2B5EF4-FFF2-40B4-BE49-F238E27FC236}">
              <a16:creationId xmlns:a16="http://schemas.microsoft.com/office/drawing/2014/main" id="{6149EBA9-769D-48AD-9E93-59D7344F3830}"/>
            </a:ext>
          </a:extLst>
        </xdr:cNvPr>
        <xdr:cNvSpPr/>
      </xdr:nvSpPr>
      <xdr:spPr>
        <a:xfrm>
          <a:off x="1177637" y="3183829"/>
          <a:ext cx="2467344" cy="1136072"/>
        </a:xfrm>
        <a:prstGeom prst="roundRect">
          <a:avLst>
            <a:gd name="adj" fmla="val 13624"/>
          </a:avLst>
        </a:prstGeom>
        <a:solidFill>
          <a:srgbClr val="FBAED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oneCellAnchor>
    <xdr:from>
      <xdr:col>2</xdr:col>
      <xdr:colOff>269693</xdr:colOff>
      <xdr:row>10</xdr:row>
      <xdr:rowOff>94337</xdr:rowOff>
    </xdr:from>
    <xdr:ext cx="1494866" cy="307648"/>
    <xdr:sp macro="" textlink="">
      <xdr:nvSpPr>
        <xdr:cNvPr id="33" name="TextBox 32">
          <a:extLst>
            <a:ext uri="{FF2B5EF4-FFF2-40B4-BE49-F238E27FC236}">
              <a16:creationId xmlns:a16="http://schemas.microsoft.com/office/drawing/2014/main" id="{19E6D36C-BF63-4746-9994-28BC73EBB834}"/>
            </a:ext>
          </a:extLst>
        </xdr:cNvPr>
        <xdr:cNvSpPr txBox="1"/>
      </xdr:nvSpPr>
      <xdr:spPr>
        <a:xfrm>
          <a:off x="1494336" y="1999337"/>
          <a:ext cx="1494866"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Produk Terlaris</a:t>
          </a:r>
        </a:p>
      </xdr:txBody>
    </xdr:sp>
    <xdr:clientData/>
  </xdr:oneCellAnchor>
  <xdr:oneCellAnchor>
    <xdr:from>
      <xdr:col>2</xdr:col>
      <xdr:colOff>266230</xdr:colOff>
      <xdr:row>16</xdr:row>
      <xdr:rowOff>188598</xdr:rowOff>
    </xdr:from>
    <xdr:ext cx="1494866" cy="307648"/>
    <xdr:sp macro="" textlink="">
      <xdr:nvSpPr>
        <xdr:cNvPr id="34" name="TextBox 33">
          <a:extLst>
            <a:ext uri="{FF2B5EF4-FFF2-40B4-BE49-F238E27FC236}">
              <a16:creationId xmlns:a16="http://schemas.microsoft.com/office/drawing/2014/main" id="{6BE6DF40-D60F-4953-9B85-119E792CFAED}"/>
            </a:ext>
          </a:extLst>
        </xdr:cNvPr>
        <xdr:cNvSpPr txBox="1"/>
      </xdr:nvSpPr>
      <xdr:spPr>
        <a:xfrm>
          <a:off x="1490873" y="3236598"/>
          <a:ext cx="1494866"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Brand Terlaris</a:t>
          </a:r>
        </a:p>
      </xdr:txBody>
    </xdr:sp>
    <xdr:clientData/>
  </xdr:oneCellAnchor>
  <xdr:oneCellAnchor>
    <xdr:from>
      <xdr:col>6</xdr:col>
      <xdr:colOff>481714</xdr:colOff>
      <xdr:row>10</xdr:row>
      <xdr:rowOff>112146</xdr:rowOff>
    </xdr:from>
    <xdr:ext cx="1494866" cy="307648"/>
    <xdr:sp macro="" textlink="">
      <xdr:nvSpPr>
        <xdr:cNvPr id="36" name="TextBox 35">
          <a:extLst>
            <a:ext uri="{FF2B5EF4-FFF2-40B4-BE49-F238E27FC236}">
              <a16:creationId xmlns:a16="http://schemas.microsoft.com/office/drawing/2014/main" id="{2969A612-3C65-4A43-8883-B8F549FDCAB4}"/>
            </a:ext>
          </a:extLst>
        </xdr:cNvPr>
        <xdr:cNvSpPr txBox="1"/>
      </xdr:nvSpPr>
      <xdr:spPr>
        <a:xfrm>
          <a:off x="4118532" y="2017146"/>
          <a:ext cx="1494866"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Bulanan</a:t>
          </a:r>
        </a:p>
      </xdr:txBody>
    </xdr:sp>
    <xdr:clientData/>
  </xdr:oneCellAnchor>
  <xdr:oneCellAnchor>
    <xdr:from>
      <xdr:col>7</xdr:col>
      <xdr:colOff>91070</xdr:colOff>
      <xdr:row>27</xdr:row>
      <xdr:rowOff>49305</xdr:rowOff>
    </xdr:from>
    <xdr:ext cx="1494866" cy="307648"/>
    <xdr:sp macro="" textlink="">
      <xdr:nvSpPr>
        <xdr:cNvPr id="37" name="TextBox 36">
          <a:extLst>
            <a:ext uri="{FF2B5EF4-FFF2-40B4-BE49-F238E27FC236}">
              <a16:creationId xmlns:a16="http://schemas.microsoft.com/office/drawing/2014/main" id="{A7C9AF00-FFE0-4A27-A25F-26F160A1B8A0}"/>
            </a:ext>
          </a:extLst>
        </xdr:cNvPr>
        <xdr:cNvSpPr txBox="1"/>
      </xdr:nvSpPr>
      <xdr:spPr>
        <a:xfrm>
          <a:off x="4334025" y="5192805"/>
          <a:ext cx="1494866"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Penjualan/Tahun</a:t>
          </a:r>
        </a:p>
      </xdr:txBody>
    </xdr:sp>
    <xdr:clientData/>
  </xdr:oneCellAnchor>
  <xdr:oneCellAnchor>
    <xdr:from>
      <xdr:col>12</xdr:col>
      <xdr:colOff>118350</xdr:colOff>
      <xdr:row>27</xdr:row>
      <xdr:rowOff>25059</xdr:rowOff>
    </xdr:from>
    <xdr:ext cx="1845041" cy="307648"/>
    <xdr:sp macro="" textlink="">
      <xdr:nvSpPr>
        <xdr:cNvPr id="39" name="TextBox 38">
          <a:extLst>
            <a:ext uri="{FF2B5EF4-FFF2-40B4-BE49-F238E27FC236}">
              <a16:creationId xmlns:a16="http://schemas.microsoft.com/office/drawing/2014/main" id="{BCDC624D-4233-424F-9215-8558820F1807}"/>
            </a:ext>
          </a:extLst>
        </xdr:cNvPr>
        <xdr:cNvSpPr txBox="1"/>
      </xdr:nvSpPr>
      <xdr:spPr>
        <a:xfrm>
          <a:off x="7391986" y="5168559"/>
          <a:ext cx="1845041"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Cara Pembayaran</a:t>
          </a:r>
        </a:p>
      </xdr:txBody>
    </xdr:sp>
    <xdr:clientData/>
  </xdr:oneCellAnchor>
  <xdr:oneCellAnchor>
    <xdr:from>
      <xdr:col>2</xdr:col>
      <xdr:colOff>394878</xdr:colOff>
      <xdr:row>24</xdr:row>
      <xdr:rowOff>6756</xdr:rowOff>
    </xdr:from>
    <xdr:ext cx="1730802" cy="307648"/>
    <xdr:sp macro="" textlink="">
      <xdr:nvSpPr>
        <xdr:cNvPr id="40" name="TextBox 39">
          <a:extLst>
            <a:ext uri="{FF2B5EF4-FFF2-40B4-BE49-F238E27FC236}">
              <a16:creationId xmlns:a16="http://schemas.microsoft.com/office/drawing/2014/main" id="{6AF0DEDC-BAE0-4C5B-88CB-D72C46028446}"/>
            </a:ext>
          </a:extLst>
        </xdr:cNvPr>
        <xdr:cNvSpPr txBox="1"/>
      </xdr:nvSpPr>
      <xdr:spPr>
        <a:xfrm>
          <a:off x="1607151" y="4578756"/>
          <a:ext cx="1730802"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Jenis Platform</a:t>
          </a:r>
        </a:p>
      </xdr:txBody>
    </xdr:sp>
    <xdr:clientData/>
  </xdr:oneCellAnchor>
  <xdr:oneCellAnchor>
    <xdr:from>
      <xdr:col>17</xdr:col>
      <xdr:colOff>54948</xdr:colOff>
      <xdr:row>10</xdr:row>
      <xdr:rowOff>187603</xdr:rowOff>
    </xdr:from>
    <xdr:ext cx="1730802" cy="307648"/>
    <xdr:sp macro="" textlink="">
      <xdr:nvSpPr>
        <xdr:cNvPr id="41" name="TextBox 40">
          <a:extLst>
            <a:ext uri="{FF2B5EF4-FFF2-40B4-BE49-F238E27FC236}">
              <a16:creationId xmlns:a16="http://schemas.microsoft.com/office/drawing/2014/main" id="{5335887F-030F-4B9B-8CC1-03E46FBFCAA8}"/>
            </a:ext>
          </a:extLst>
        </xdr:cNvPr>
        <xdr:cNvSpPr txBox="1"/>
      </xdr:nvSpPr>
      <xdr:spPr>
        <a:xfrm>
          <a:off x="10464412" y="2092603"/>
          <a:ext cx="1730802"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1400" b="1">
              <a:solidFill>
                <a:schemeClr val="tx1"/>
              </a:solidFill>
              <a:latin typeface="Bodoni MT" panose="02070603080606020203" pitchFamily="18" charset="0"/>
            </a:rPr>
            <a:t>15</a:t>
          </a:r>
          <a:r>
            <a:rPr lang="en-ID" sz="1400" b="1" baseline="0">
              <a:solidFill>
                <a:schemeClr val="tx1"/>
              </a:solidFill>
              <a:latin typeface="Bodoni MT" panose="02070603080606020203" pitchFamily="18" charset="0"/>
            </a:rPr>
            <a:t> Customer teratas</a:t>
          </a:r>
          <a:endParaRPr lang="en-ID" sz="1400" b="1">
            <a:solidFill>
              <a:schemeClr val="tx1"/>
            </a:solidFill>
            <a:latin typeface="Bodoni MT" panose="02070603080606020203" pitchFamily="18" charset="0"/>
          </a:endParaRPr>
        </a:p>
      </xdr:txBody>
    </xdr:sp>
    <xdr:clientData/>
  </xdr:oneCellAnchor>
  <xdr:twoCellAnchor editAs="oneCell">
    <xdr:from>
      <xdr:col>6</xdr:col>
      <xdr:colOff>359966</xdr:colOff>
      <xdr:row>10</xdr:row>
      <xdr:rowOff>97725</xdr:rowOff>
    </xdr:from>
    <xdr:to>
      <xdr:col>7</xdr:col>
      <xdr:colOff>272966</xdr:colOff>
      <xdr:row>12</xdr:row>
      <xdr:rowOff>11134</xdr:rowOff>
    </xdr:to>
    <xdr:pic>
      <xdr:nvPicPr>
        <xdr:cNvPr id="44" name="Picture 43">
          <a:extLst>
            <a:ext uri="{FF2B5EF4-FFF2-40B4-BE49-F238E27FC236}">
              <a16:creationId xmlns:a16="http://schemas.microsoft.com/office/drawing/2014/main" id="{EB9995ED-DB2E-2418-CADF-08744383E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6784" y="2002725"/>
          <a:ext cx="519137" cy="294409"/>
        </a:xfrm>
        <a:prstGeom prst="rect">
          <a:avLst/>
        </a:prstGeom>
      </xdr:spPr>
    </xdr:pic>
    <xdr:clientData/>
  </xdr:twoCellAnchor>
  <xdr:twoCellAnchor editAs="oneCell">
    <xdr:from>
      <xdr:col>5</xdr:col>
      <xdr:colOff>500190</xdr:colOff>
      <xdr:row>0</xdr:row>
      <xdr:rowOff>67236</xdr:rowOff>
    </xdr:from>
    <xdr:to>
      <xdr:col>7</xdr:col>
      <xdr:colOff>459441</xdr:colOff>
      <xdr:row>4</xdr:row>
      <xdr:rowOff>11496</xdr:rowOff>
    </xdr:to>
    <xdr:pic>
      <xdr:nvPicPr>
        <xdr:cNvPr id="46" name="Picture 45">
          <a:extLst>
            <a:ext uri="{FF2B5EF4-FFF2-40B4-BE49-F238E27FC236}">
              <a16:creationId xmlns:a16="http://schemas.microsoft.com/office/drawing/2014/main" id="{BDB7EAA9-B5F2-6705-A274-D4CC7DF0D7C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764" t="14110" r="24405" b="38385"/>
        <a:stretch>
          <a:fillRect/>
        </a:stretch>
      </xdr:blipFill>
      <xdr:spPr>
        <a:xfrm>
          <a:off x="3525778" y="67236"/>
          <a:ext cx="1169487" cy="706260"/>
        </a:xfrm>
        <a:prstGeom prst="rect">
          <a:avLst/>
        </a:prstGeom>
      </xdr:spPr>
    </xdr:pic>
    <xdr:clientData/>
  </xdr:twoCellAnchor>
  <xdr:twoCellAnchor editAs="oneCell">
    <xdr:from>
      <xdr:col>11</xdr:col>
      <xdr:colOff>355217</xdr:colOff>
      <xdr:row>27</xdr:row>
      <xdr:rowOff>17318</xdr:rowOff>
    </xdr:from>
    <xdr:to>
      <xdr:col>12</xdr:col>
      <xdr:colOff>220064</xdr:colOff>
      <xdr:row>28</xdr:row>
      <xdr:rowOff>155864</xdr:rowOff>
    </xdr:to>
    <xdr:pic>
      <xdr:nvPicPr>
        <xdr:cNvPr id="50" name="Picture 49">
          <a:extLst>
            <a:ext uri="{FF2B5EF4-FFF2-40B4-BE49-F238E27FC236}">
              <a16:creationId xmlns:a16="http://schemas.microsoft.com/office/drawing/2014/main" id="{C96779F7-4B34-EBC4-62D1-D53AC3A34BE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7322" t="7270" r="18649" b="6720"/>
        <a:stretch>
          <a:fillRect/>
        </a:stretch>
      </xdr:blipFill>
      <xdr:spPr>
        <a:xfrm>
          <a:off x="7022717" y="5160818"/>
          <a:ext cx="470983" cy="329046"/>
        </a:xfrm>
        <a:prstGeom prst="rect">
          <a:avLst/>
        </a:prstGeom>
      </xdr:spPr>
    </xdr:pic>
    <xdr:clientData/>
  </xdr:twoCellAnchor>
  <xdr:twoCellAnchor editAs="oneCell">
    <xdr:from>
      <xdr:col>2</xdr:col>
      <xdr:colOff>254552</xdr:colOff>
      <xdr:row>24</xdr:row>
      <xdr:rowOff>5918</xdr:rowOff>
    </xdr:from>
    <xdr:to>
      <xdr:col>2</xdr:col>
      <xdr:colOff>560367</xdr:colOff>
      <xdr:row>25</xdr:row>
      <xdr:rowOff>128811</xdr:rowOff>
    </xdr:to>
    <xdr:pic>
      <xdr:nvPicPr>
        <xdr:cNvPr id="52" name="Picture 51">
          <a:extLst>
            <a:ext uri="{FF2B5EF4-FFF2-40B4-BE49-F238E27FC236}">
              <a16:creationId xmlns:a16="http://schemas.microsoft.com/office/drawing/2014/main" id="{4249EE61-BFF0-5CEB-7148-E5DFCBFAF81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66825" y="4577918"/>
          <a:ext cx="305815" cy="313393"/>
        </a:xfrm>
        <a:prstGeom prst="rect">
          <a:avLst/>
        </a:prstGeom>
      </xdr:spPr>
    </xdr:pic>
    <xdr:clientData/>
  </xdr:twoCellAnchor>
  <xdr:twoCellAnchor editAs="oneCell">
    <xdr:from>
      <xdr:col>4</xdr:col>
      <xdr:colOff>404873</xdr:colOff>
      <xdr:row>18</xdr:row>
      <xdr:rowOff>132365</xdr:rowOff>
    </xdr:from>
    <xdr:to>
      <xdr:col>5</xdr:col>
      <xdr:colOff>439510</xdr:colOff>
      <xdr:row>22</xdr:row>
      <xdr:rowOff>11137</xdr:rowOff>
    </xdr:to>
    <xdr:pic>
      <xdr:nvPicPr>
        <xdr:cNvPr id="56" name="Picture 55">
          <a:extLst>
            <a:ext uri="{FF2B5EF4-FFF2-40B4-BE49-F238E27FC236}">
              <a16:creationId xmlns:a16="http://schemas.microsoft.com/office/drawing/2014/main" id="{284121FB-0038-5C67-081A-074553B0A8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54159" y="3561365"/>
          <a:ext cx="646958" cy="640772"/>
        </a:xfrm>
        <a:prstGeom prst="rect">
          <a:avLst/>
        </a:prstGeom>
      </xdr:spPr>
    </xdr:pic>
    <xdr:clientData/>
  </xdr:twoCellAnchor>
  <xdr:twoCellAnchor editAs="oneCell">
    <xdr:from>
      <xdr:col>4</xdr:col>
      <xdr:colOff>445099</xdr:colOff>
      <xdr:row>12</xdr:row>
      <xdr:rowOff>28232</xdr:rowOff>
    </xdr:from>
    <xdr:to>
      <xdr:col>5</xdr:col>
      <xdr:colOff>417684</xdr:colOff>
      <xdr:row>15</xdr:row>
      <xdr:rowOff>86595</xdr:rowOff>
    </xdr:to>
    <xdr:pic>
      <xdr:nvPicPr>
        <xdr:cNvPr id="60" name="Picture 59">
          <a:extLst>
            <a:ext uri="{FF2B5EF4-FFF2-40B4-BE49-F238E27FC236}">
              <a16:creationId xmlns:a16="http://schemas.microsoft.com/office/drawing/2014/main" id="{25E03470-0E70-0489-9D5E-D183E47F262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94385" y="2314232"/>
          <a:ext cx="584906" cy="629863"/>
        </a:xfrm>
        <a:prstGeom prst="rect">
          <a:avLst/>
        </a:prstGeom>
      </xdr:spPr>
    </xdr:pic>
    <xdr:clientData/>
  </xdr:twoCellAnchor>
  <xdr:twoCellAnchor editAs="oneCell">
    <xdr:from>
      <xdr:col>6</xdr:col>
      <xdr:colOff>363680</xdr:colOff>
      <xdr:row>27</xdr:row>
      <xdr:rowOff>34637</xdr:rowOff>
    </xdr:from>
    <xdr:to>
      <xdr:col>7</xdr:col>
      <xdr:colOff>17318</xdr:colOff>
      <xdr:row>28</xdr:row>
      <xdr:rowOff>181711</xdr:rowOff>
    </xdr:to>
    <xdr:pic>
      <xdr:nvPicPr>
        <xdr:cNvPr id="66" name="Picture 65">
          <a:extLst>
            <a:ext uri="{FF2B5EF4-FFF2-40B4-BE49-F238E27FC236}">
              <a16:creationId xmlns:a16="http://schemas.microsoft.com/office/drawing/2014/main" id="{67866586-E816-3FCA-A6A3-8EA8E79AEB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00498" y="5178137"/>
          <a:ext cx="259775" cy="337574"/>
        </a:xfrm>
        <a:prstGeom prst="rect">
          <a:avLst/>
        </a:prstGeom>
      </xdr:spPr>
    </xdr:pic>
    <xdr:clientData/>
  </xdr:twoCellAnchor>
  <xdr:twoCellAnchor editAs="oneCell">
    <xdr:from>
      <xdr:col>16</xdr:col>
      <xdr:colOff>272145</xdr:colOff>
      <xdr:row>10</xdr:row>
      <xdr:rowOff>169472</xdr:rowOff>
    </xdr:from>
    <xdr:to>
      <xdr:col>17</xdr:col>
      <xdr:colOff>47008</xdr:colOff>
      <xdr:row>12</xdr:row>
      <xdr:rowOff>169471</xdr:rowOff>
    </xdr:to>
    <xdr:pic>
      <xdr:nvPicPr>
        <xdr:cNvPr id="68" name="Picture 67">
          <a:extLst>
            <a:ext uri="{FF2B5EF4-FFF2-40B4-BE49-F238E27FC236}">
              <a16:creationId xmlns:a16="http://schemas.microsoft.com/office/drawing/2014/main" id="{79BAABFE-A740-8A3D-896D-1B140B04FA7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069288" y="2074472"/>
          <a:ext cx="387184" cy="380999"/>
        </a:xfrm>
        <a:prstGeom prst="rect">
          <a:avLst/>
        </a:prstGeom>
      </xdr:spPr>
    </xdr:pic>
    <xdr:clientData/>
  </xdr:twoCellAnchor>
  <xdr:oneCellAnchor>
    <xdr:from>
      <xdr:col>15</xdr:col>
      <xdr:colOff>346362</xdr:colOff>
      <xdr:row>6</xdr:row>
      <xdr:rowOff>40592</xdr:rowOff>
    </xdr:from>
    <xdr:ext cx="1506683" cy="472245"/>
    <xdr:sp macro="" textlink="Pivot!$A$5">
      <xdr:nvSpPr>
        <xdr:cNvPr id="69" name="TextBox 68">
          <a:extLst>
            <a:ext uri="{FF2B5EF4-FFF2-40B4-BE49-F238E27FC236}">
              <a16:creationId xmlns:a16="http://schemas.microsoft.com/office/drawing/2014/main" id="{44698E8E-6EC2-DB4A-F714-6239FA931426}"/>
            </a:ext>
          </a:extLst>
        </xdr:cNvPr>
        <xdr:cNvSpPr txBox="1"/>
      </xdr:nvSpPr>
      <xdr:spPr>
        <a:xfrm>
          <a:off x="9438407" y="1183592"/>
          <a:ext cx="1506683" cy="472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294224A-1CAC-469F-9CAE-E9B35FFFB867}" type="TxLink">
            <a:rPr lang="en-US" sz="2400" b="1" i="0" u="none" strike="noStrike">
              <a:solidFill>
                <a:srgbClr val="000000"/>
              </a:solidFill>
              <a:effectLst/>
              <a:latin typeface="Calibri"/>
              <a:ea typeface="Calibri"/>
              <a:cs typeface="Calibri"/>
            </a:rPr>
            <a:pPr algn="ctr"/>
            <a:t> 5.931 </a:t>
          </a:fld>
          <a:endParaRPr lang="en-ID" sz="3200" b="1">
            <a:effectLst/>
            <a:latin typeface="Bodoni MT" panose="02070603080606020203" pitchFamily="18" charset="0"/>
          </a:endParaRPr>
        </a:p>
      </xdr:txBody>
    </xdr:sp>
    <xdr:clientData/>
  </xdr:oneCellAnchor>
  <xdr:oneCellAnchor>
    <xdr:from>
      <xdr:col>10</xdr:col>
      <xdr:colOff>533399</xdr:colOff>
      <xdr:row>6</xdr:row>
      <xdr:rowOff>65810</xdr:rowOff>
    </xdr:from>
    <xdr:ext cx="1839192" cy="408958"/>
    <xdr:sp macro="" textlink="Pivot!$C$5">
      <xdr:nvSpPr>
        <xdr:cNvPr id="70" name="TextBox 69">
          <a:extLst>
            <a:ext uri="{FF2B5EF4-FFF2-40B4-BE49-F238E27FC236}">
              <a16:creationId xmlns:a16="http://schemas.microsoft.com/office/drawing/2014/main" id="{A2E9248D-D3C3-4FE3-948E-553085401E82}"/>
            </a:ext>
          </a:extLst>
        </xdr:cNvPr>
        <xdr:cNvSpPr txBox="1"/>
      </xdr:nvSpPr>
      <xdr:spPr>
        <a:xfrm>
          <a:off x="6594763" y="1208810"/>
          <a:ext cx="1839192" cy="408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8CBEA75-8ADE-4DF0-9B0A-55788968FD87}" type="TxLink">
            <a:rPr lang="en-US" sz="2000" b="1" i="0" u="none" strike="noStrike">
              <a:solidFill>
                <a:srgbClr val="000000"/>
              </a:solidFill>
              <a:effectLst/>
              <a:latin typeface="Calibri"/>
              <a:ea typeface="Calibri"/>
              <a:cs typeface="Calibri"/>
            </a:rPr>
            <a:pPr/>
            <a:t> Rp128.487.050 </a:t>
          </a:fld>
          <a:r>
            <a:rPr lang="en-US" sz="2000" b="1" i="0" u="none" strike="noStrike">
              <a:solidFill>
                <a:srgbClr val="000000"/>
              </a:solidFill>
              <a:effectLst/>
              <a:latin typeface="Calibri"/>
              <a:ea typeface="Calibri"/>
              <a:cs typeface="Calibri"/>
            </a:rPr>
            <a:t> </a:t>
          </a:r>
          <a:endParaRPr lang="en-ID" sz="2000" b="1">
            <a:effectLst/>
            <a:latin typeface="Bodoni MT" panose="02070603080606020203" pitchFamily="18" charset="0"/>
          </a:endParaRPr>
        </a:p>
      </xdr:txBody>
    </xdr:sp>
    <xdr:clientData/>
  </xdr:oneCellAnchor>
  <xdr:oneCellAnchor>
    <xdr:from>
      <xdr:col>6</xdr:col>
      <xdr:colOff>495301</xdr:colOff>
      <xdr:row>6</xdr:row>
      <xdr:rowOff>27709</xdr:rowOff>
    </xdr:from>
    <xdr:ext cx="1028699" cy="472245"/>
    <xdr:sp macro="" textlink="Pivot!$E$5">
      <xdr:nvSpPr>
        <xdr:cNvPr id="71" name="TextBox 70">
          <a:extLst>
            <a:ext uri="{FF2B5EF4-FFF2-40B4-BE49-F238E27FC236}">
              <a16:creationId xmlns:a16="http://schemas.microsoft.com/office/drawing/2014/main" id="{B8126E23-966A-416E-9572-B98E37CBFCC1}"/>
            </a:ext>
          </a:extLst>
        </xdr:cNvPr>
        <xdr:cNvSpPr txBox="1"/>
      </xdr:nvSpPr>
      <xdr:spPr>
        <a:xfrm>
          <a:off x="4132119" y="1170709"/>
          <a:ext cx="1028699" cy="472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E5302B7-260F-4023-82EE-744E18103A15}" type="TxLink">
            <a:rPr lang="en-US" sz="2400" b="1" i="0" u="none" strike="noStrike">
              <a:solidFill>
                <a:srgbClr val="000000"/>
              </a:solidFill>
              <a:effectLst/>
              <a:latin typeface="Calibri"/>
              <a:ea typeface="Calibri"/>
              <a:cs typeface="Calibri"/>
            </a:rPr>
            <a:pPr/>
            <a:t> 2.000 </a:t>
          </a:fld>
          <a:endParaRPr lang="en-ID" sz="3200" b="1">
            <a:effectLst/>
            <a:latin typeface="Bodoni MT" panose="02070603080606020203" pitchFamily="18" charset="0"/>
          </a:endParaRPr>
        </a:p>
      </xdr:txBody>
    </xdr:sp>
    <xdr:clientData/>
  </xdr:oneCellAnchor>
  <xdr:twoCellAnchor>
    <xdr:from>
      <xdr:col>6</xdr:col>
      <xdr:colOff>138546</xdr:colOff>
      <xdr:row>12</xdr:row>
      <xdr:rowOff>34636</xdr:rowOff>
    </xdr:from>
    <xdr:to>
      <xdr:col>15</xdr:col>
      <xdr:colOff>467591</xdr:colOff>
      <xdr:row>26</xdr:row>
      <xdr:rowOff>51953</xdr:rowOff>
    </xdr:to>
    <xdr:graphicFrame macro="">
      <xdr:nvGraphicFramePr>
        <xdr:cNvPr id="72" name="Chart 71">
          <a:extLst>
            <a:ext uri="{FF2B5EF4-FFF2-40B4-BE49-F238E27FC236}">
              <a16:creationId xmlns:a16="http://schemas.microsoft.com/office/drawing/2014/main" id="{A2EFA1A5-1E87-4F37-AE64-251CCF9A2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xdr:col>
      <xdr:colOff>549256</xdr:colOff>
      <xdr:row>13</xdr:row>
      <xdr:rowOff>121552</xdr:rowOff>
    </xdr:from>
    <xdr:ext cx="1083597" cy="472245"/>
    <xdr:sp macro="" textlink="Pivot!O5">
      <xdr:nvSpPr>
        <xdr:cNvPr id="73" name="TextBox 72">
          <a:extLst>
            <a:ext uri="{FF2B5EF4-FFF2-40B4-BE49-F238E27FC236}">
              <a16:creationId xmlns:a16="http://schemas.microsoft.com/office/drawing/2014/main" id="{6428B560-AEDC-4979-AA1A-ABDF08A469BE}"/>
            </a:ext>
          </a:extLst>
        </xdr:cNvPr>
        <xdr:cNvSpPr txBox="1"/>
      </xdr:nvSpPr>
      <xdr:spPr>
        <a:xfrm>
          <a:off x="1773899" y="2598052"/>
          <a:ext cx="1083597" cy="472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ED300564-AA49-43F7-B60D-EA3948435B69}" type="TxLink">
            <a:rPr lang="en-US" sz="2400" b="1" i="0" u="none" strike="noStrike">
              <a:solidFill>
                <a:srgbClr val="000000"/>
              </a:solidFill>
              <a:latin typeface="Calibri"/>
              <a:ea typeface="Calibri"/>
              <a:cs typeface="Calibri"/>
            </a:rPr>
            <a:pPr algn="l"/>
            <a:t>719</a:t>
          </a:fld>
          <a:endParaRPr lang="en-ID" sz="6000" b="1">
            <a:solidFill>
              <a:schemeClr val="bg2"/>
            </a:solidFill>
            <a:latin typeface="Bodoni MT" panose="02070603080606020203" pitchFamily="18" charset="0"/>
          </a:endParaRPr>
        </a:p>
      </xdr:txBody>
    </xdr:sp>
    <xdr:clientData/>
  </xdr:oneCellAnchor>
  <xdr:oneCellAnchor>
    <xdr:from>
      <xdr:col>2</xdr:col>
      <xdr:colOff>168258</xdr:colOff>
      <xdr:row>11</xdr:row>
      <xdr:rowOff>172269</xdr:rowOff>
    </xdr:from>
    <xdr:ext cx="1598195" cy="345607"/>
    <xdr:sp macro="" textlink="Pivot!N5">
      <xdr:nvSpPr>
        <xdr:cNvPr id="74" name="TextBox 73">
          <a:extLst>
            <a:ext uri="{FF2B5EF4-FFF2-40B4-BE49-F238E27FC236}">
              <a16:creationId xmlns:a16="http://schemas.microsoft.com/office/drawing/2014/main" id="{B7B069EA-F4FB-4AF1-A536-947A258D4851}"/>
            </a:ext>
          </a:extLst>
        </xdr:cNvPr>
        <xdr:cNvSpPr txBox="1"/>
      </xdr:nvSpPr>
      <xdr:spPr>
        <a:xfrm>
          <a:off x="1380531" y="2267769"/>
          <a:ext cx="1598195"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42095398-74F5-4419-91B7-8C2E114CBAA8}" type="TxLink">
            <a:rPr lang="en-US" sz="1600" b="0" i="0" u="none" strike="noStrike">
              <a:solidFill>
                <a:srgbClr val="000000"/>
              </a:solidFill>
              <a:latin typeface="Calibri"/>
              <a:ea typeface="Calibri"/>
              <a:cs typeface="Calibri"/>
            </a:rPr>
            <a:pPr algn="l"/>
            <a:t>Daging Ayam</a:t>
          </a:fld>
          <a:endParaRPr lang="en-ID" sz="2400" b="1">
            <a:solidFill>
              <a:schemeClr val="tx1"/>
            </a:solidFill>
            <a:latin typeface="Bodoni MT" panose="02070603080606020203" pitchFamily="18" charset="0"/>
          </a:endParaRPr>
        </a:p>
      </xdr:txBody>
    </xdr:sp>
    <xdr:clientData/>
  </xdr:oneCellAnchor>
  <xdr:oneCellAnchor>
    <xdr:from>
      <xdr:col>3</xdr:col>
      <xdr:colOff>524771</xdr:colOff>
      <xdr:row>14</xdr:row>
      <xdr:rowOff>151481</xdr:rowOff>
    </xdr:from>
    <xdr:ext cx="482160" cy="270340"/>
    <xdr:sp macro="" textlink="Pivot!#REF!">
      <xdr:nvSpPr>
        <xdr:cNvPr id="75" name="TextBox 74">
          <a:extLst>
            <a:ext uri="{FF2B5EF4-FFF2-40B4-BE49-F238E27FC236}">
              <a16:creationId xmlns:a16="http://schemas.microsoft.com/office/drawing/2014/main" id="{7CE6B1BA-0E6B-4088-9C02-3A1571F946BA}"/>
            </a:ext>
          </a:extLst>
        </xdr:cNvPr>
        <xdr:cNvSpPr txBox="1"/>
      </xdr:nvSpPr>
      <xdr:spPr>
        <a:xfrm>
          <a:off x="2361735" y="2818481"/>
          <a:ext cx="482160" cy="270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D" sz="1100" b="1">
              <a:solidFill>
                <a:schemeClr val="tx1"/>
              </a:solidFill>
              <a:latin typeface="Bodoni MT" panose="02070603080606020203" pitchFamily="18" charset="0"/>
            </a:rPr>
            <a:t>Pcs</a:t>
          </a:r>
        </a:p>
      </xdr:txBody>
    </xdr:sp>
    <xdr:clientData/>
  </xdr:oneCellAnchor>
  <xdr:oneCellAnchor>
    <xdr:from>
      <xdr:col>17</xdr:col>
      <xdr:colOff>251638</xdr:colOff>
      <xdr:row>7</xdr:row>
      <xdr:rowOff>138121</xdr:rowOff>
    </xdr:from>
    <xdr:ext cx="482160" cy="307648"/>
    <xdr:sp macro="" textlink="">
      <xdr:nvSpPr>
        <xdr:cNvPr id="76" name="TextBox 75">
          <a:extLst>
            <a:ext uri="{FF2B5EF4-FFF2-40B4-BE49-F238E27FC236}">
              <a16:creationId xmlns:a16="http://schemas.microsoft.com/office/drawing/2014/main" id="{F9F1B130-9E24-4C0C-B2F2-96F0E8898F71}"/>
            </a:ext>
          </a:extLst>
        </xdr:cNvPr>
        <xdr:cNvSpPr txBox="1"/>
      </xdr:nvSpPr>
      <xdr:spPr>
        <a:xfrm>
          <a:off x="10555956" y="1471621"/>
          <a:ext cx="482160"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D" sz="1400" b="1" i="0" u="none" strike="noStrike">
              <a:solidFill>
                <a:schemeClr val="tx1"/>
              </a:solidFill>
              <a:latin typeface="Bodoni MT" panose="02070603080606020203" pitchFamily="18" charset="0"/>
              <a:ea typeface="Calibri"/>
              <a:cs typeface="Calibri"/>
            </a:rPr>
            <a:t>Pcs</a:t>
          </a:r>
        </a:p>
      </xdr:txBody>
    </xdr:sp>
    <xdr:clientData/>
  </xdr:oneCellAnchor>
  <xdr:oneCellAnchor>
    <xdr:from>
      <xdr:col>8</xdr:col>
      <xdr:colOff>103909</xdr:colOff>
      <xdr:row>7</xdr:row>
      <xdr:rowOff>121227</xdr:rowOff>
    </xdr:from>
    <xdr:ext cx="562101" cy="307648"/>
    <xdr:sp macro="" textlink="">
      <xdr:nvSpPr>
        <xdr:cNvPr id="77" name="TextBox 76">
          <a:extLst>
            <a:ext uri="{FF2B5EF4-FFF2-40B4-BE49-F238E27FC236}">
              <a16:creationId xmlns:a16="http://schemas.microsoft.com/office/drawing/2014/main" id="{4232E784-3AC7-4357-95EE-896B603D5EE8}"/>
            </a:ext>
          </a:extLst>
        </xdr:cNvPr>
        <xdr:cNvSpPr txBox="1"/>
      </xdr:nvSpPr>
      <xdr:spPr>
        <a:xfrm>
          <a:off x="4953000" y="1454727"/>
          <a:ext cx="562101"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D" sz="1400" b="1" i="0" u="none" strike="noStrike">
              <a:solidFill>
                <a:schemeClr val="tx1"/>
              </a:solidFill>
              <a:latin typeface="Bodoni MT" panose="02070603080606020203" pitchFamily="18" charset="0"/>
              <a:ea typeface="Calibri"/>
              <a:cs typeface="Calibri"/>
            </a:rPr>
            <a:t>Tsk</a:t>
          </a:r>
        </a:p>
      </xdr:txBody>
    </xdr:sp>
    <xdr:clientData/>
  </xdr:oneCellAnchor>
  <xdr:oneCellAnchor>
    <xdr:from>
      <xdr:col>2</xdr:col>
      <xdr:colOff>211801</xdr:colOff>
      <xdr:row>18</xdr:row>
      <xdr:rowOff>41395</xdr:rowOff>
    </xdr:from>
    <xdr:ext cx="1260488" cy="377283"/>
    <xdr:sp macro="" textlink="Pivot!S5">
      <xdr:nvSpPr>
        <xdr:cNvPr id="78" name="TextBox 77">
          <a:extLst>
            <a:ext uri="{FF2B5EF4-FFF2-40B4-BE49-F238E27FC236}">
              <a16:creationId xmlns:a16="http://schemas.microsoft.com/office/drawing/2014/main" id="{70DE1365-4378-4D61-AD8F-D5B3AB9DC15D}"/>
            </a:ext>
          </a:extLst>
        </xdr:cNvPr>
        <xdr:cNvSpPr txBox="1"/>
      </xdr:nvSpPr>
      <xdr:spPr>
        <a:xfrm>
          <a:off x="1424074" y="3470395"/>
          <a:ext cx="1260488" cy="377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55FE1DED-DC23-4942-BA4D-17EF63AF28AF}" type="TxLink">
            <a:rPr lang="en-US" sz="1800" b="0" i="0" u="none" strike="noStrike">
              <a:solidFill>
                <a:srgbClr val="000000"/>
              </a:solidFill>
              <a:latin typeface="Calibri"/>
              <a:ea typeface="Calibri"/>
              <a:cs typeface="Calibri"/>
            </a:rPr>
            <a:pPr algn="l"/>
            <a:t>Brand B</a:t>
          </a:fld>
          <a:endParaRPr lang="en-ID" sz="3200" b="1">
            <a:solidFill>
              <a:schemeClr val="tx1"/>
            </a:solidFill>
            <a:latin typeface="Bodoni MT" panose="02070603080606020203" pitchFamily="18" charset="0"/>
          </a:endParaRPr>
        </a:p>
      </xdr:txBody>
    </xdr:sp>
    <xdr:clientData/>
  </xdr:oneCellAnchor>
  <xdr:oneCellAnchor>
    <xdr:from>
      <xdr:col>2</xdr:col>
      <xdr:colOff>279834</xdr:colOff>
      <xdr:row>19</xdr:row>
      <xdr:rowOff>151487</xdr:rowOff>
    </xdr:from>
    <xdr:ext cx="1083597" cy="472245"/>
    <xdr:sp macro="" textlink="Pivot!T5">
      <xdr:nvSpPr>
        <xdr:cNvPr id="79" name="TextBox 78">
          <a:extLst>
            <a:ext uri="{FF2B5EF4-FFF2-40B4-BE49-F238E27FC236}">
              <a16:creationId xmlns:a16="http://schemas.microsoft.com/office/drawing/2014/main" id="{31993D4B-F478-4725-BE08-D082A9F69E64}"/>
            </a:ext>
          </a:extLst>
        </xdr:cNvPr>
        <xdr:cNvSpPr txBox="1"/>
      </xdr:nvSpPr>
      <xdr:spPr>
        <a:xfrm>
          <a:off x="1504477" y="3770987"/>
          <a:ext cx="1083597" cy="472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1ECEA887-325A-4BE8-B3A2-EFCF677ED0A2}" type="TxLink">
            <a:rPr lang="en-US" sz="2400" b="1" i="0" u="none" strike="noStrike">
              <a:solidFill>
                <a:srgbClr val="000000"/>
              </a:solidFill>
              <a:latin typeface="Calibri"/>
              <a:ea typeface="Calibri"/>
              <a:cs typeface="Calibri"/>
            </a:rPr>
            <a:pPr algn="l"/>
            <a:t> 1.994 </a:t>
          </a:fld>
          <a:endParaRPr lang="en-ID" sz="11500" b="1">
            <a:solidFill>
              <a:schemeClr val="bg2"/>
            </a:solidFill>
            <a:latin typeface="Bodoni MT" panose="02070603080606020203" pitchFamily="18" charset="0"/>
          </a:endParaRPr>
        </a:p>
      </xdr:txBody>
    </xdr:sp>
    <xdr:clientData/>
  </xdr:oneCellAnchor>
  <xdr:oneCellAnchor>
    <xdr:from>
      <xdr:col>3</xdr:col>
      <xdr:colOff>541100</xdr:colOff>
      <xdr:row>21</xdr:row>
      <xdr:rowOff>72561</xdr:rowOff>
    </xdr:from>
    <xdr:ext cx="482160" cy="270340"/>
    <xdr:sp macro="" textlink="Pivot!#REF!">
      <xdr:nvSpPr>
        <xdr:cNvPr id="80" name="TextBox 79">
          <a:extLst>
            <a:ext uri="{FF2B5EF4-FFF2-40B4-BE49-F238E27FC236}">
              <a16:creationId xmlns:a16="http://schemas.microsoft.com/office/drawing/2014/main" id="{F110329D-6142-4C9B-A6F2-810F5C0554A1}"/>
            </a:ext>
          </a:extLst>
        </xdr:cNvPr>
        <xdr:cNvSpPr txBox="1"/>
      </xdr:nvSpPr>
      <xdr:spPr>
        <a:xfrm>
          <a:off x="2378064" y="4073061"/>
          <a:ext cx="482160" cy="270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D" sz="1100" b="1">
              <a:solidFill>
                <a:schemeClr val="tx1"/>
              </a:solidFill>
              <a:latin typeface="Bodoni MT" panose="02070603080606020203" pitchFamily="18" charset="0"/>
            </a:rPr>
            <a:t>Pcs</a:t>
          </a:r>
        </a:p>
      </xdr:txBody>
    </xdr:sp>
    <xdr:clientData/>
  </xdr:oneCellAnchor>
  <xdr:twoCellAnchor>
    <xdr:from>
      <xdr:col>2</xdr:col>
      <xdr:colOff>34636</xdr:colOff>
      <xdr:row>24</xdr:row>
      <xdr:rowOff>155864</xdr:rowOff>
    </xdr:from>
    <xdr:to>
      <xdr:col>5</xdr:col>
      <xdr:colOff>557558</xdr:colOff>
      <xdr:row>38</xdr:row>
      <xdr:rowOff>13611</xdr:rowOff>
    </xdr:to>
    <xdr:graphicFrame macro="">
      <xdr:nvGraphicFramePr>
        <xdr:cNvPr id="81" name="Chart 80">
          <a:extLst>
            <a:ext uri="{FF2B5EF4-FFF2-40B4-BE49-F238E27FC236}">
              <a16:creationId xmlns:a16="http://schemas.microsoft.com/office/drawing/2014/main" id="{232EDF3A-53D3-4283-A538-7E2CD2474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150916</xdr:colOff>
      <xdr:row>12</xdr:row>
      <xdr:rowOff>186789</xdr:rowOff>
    </xdr:from>
    <xdr:to>
      <xdr:col>23</xdr:col>
      <xdr:colOff>588819</xdr:colOff>
      <xdr:row>38</xdr:row>
      <xdr:rowOff>30924</xdr:rowOff>
    </xdr:to>
    <xdr:graphicFrame macro="">
      <xdr:nvGraphicFramePr>
        <xdr:cNvPr id="82" name="Chart 81">
          <a:extLst>
            <a:ext uri="{FF2B5EF4-FFF2-40B4-BE49-F238E27FC236}">
              <a16:creationId xmlns:a16="http://schemas.microsoft.com/office/drawing/2014/main" id="{762F05F3-3FF0-4BC0-A1A2-792FF2256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149679</xdr:colOff>
      <xdr:row>27</xdr:row>
      <xdr:rowOff>155864</xdr:rowOff>
    </xdr:from>
    <xdr:to>
      <xdr:col>15</xdr:col>
      <xdr:colOff>477492</xdr:colOff>
      <xdr:row>38</xdr:row>
      <xdr:rowOff>34637</xdr:rowOff>
    </xdr:to>
    <xdr:graphicFrame macro="">
      <xdr:nvGraphicFramePr>
        <xdr:cNvPr id="83" name="Chart 82">
          <a:extLst>
            <a:ext uri="{FF2B5EF4-FFF2-40B4-BE49-F238E27FC236}">
              <a16:creationId xmlns:a16="http://schemas.microsoft.com/office/drawing/2014/main" id="{3D2618F5-FD9D-4300-9DFF-2FAFDC09A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190498</xdr:colOff>
      <xdr:row>28</xdr:row>
      <xdr:rowOff>69272</xdr:rowOff>
    </xdr:from>
    <xdr:to>
      <xdr:col>11</xdr:col>
      <xdr:colOff>34636</xdr:colOff>
      <xdr:row>38</xdr:row>
      <xdr:rowOff>61850</xdr:rowOff>
    </xdr:to>
    <xdr:graphicFrame macro="">
      <xdr:nvGraphicFramePr>
        <xdr:cNvPr id="85" name="Chart 84">
          <a:extLst>
            <a:ext uri="{FF2B5EF4-FFF2-40B4-BE49-F238E27FC236}">
              <a16:creationId xmlns:a16="http://schemas.microsoft.com/office/drawing/2014/main" id="{7250AC85-6288-4FEB-B93C-029ADCB97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430696</xdr:colOff>
      <xdr:row>0</xdr:row>
      <xdr:rowOff>40821</xdr:rowOff>
    </xdr:from>
    <xdr:to>
      <xdr:col>24</xdr:col>
      <xdr:colOff>163227</xdr:colOff>
      <xdr:row>9</xdr:row>
      <xdr:rowOff>122464</xdr:rowOff>
    </xdr:to>
    <mc:AlternateContent xmlns:mc="http://schemas.openxmlformats.org/markup-compatibility/2006" xmlns:a14="http://schemas.microsoft.com/office/drawing/2010/main">
      <mc:Choice Requires="a14">
        <xdr:graphicFrame macro="">
          <xdr:nvGraphicFramePr>
            <xdr:cNvPr id="86" name="Month">
              <a:extLst>
                <a:ext uri="{FF2B5EF4-FFF2-40B4-BE49-F238E27FC236}">
                  <a16:creationId xmlns:a16="http://schemas.microsoft.com/office/drawing/2014/main" id="{307DA1BA-FA1F-4B3B-AFB9-9BE6C4EED17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947287" y="40821"/>
              <a:ext cx="2763213" cy="17961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xdr:row>
      <xdr:rowOff>155862</xdr:rowOff>
    </xdr:from>
    <xdr:to>
      <xdr:col>5</xdr:col>
      <xdr:colOff>165879</xdr:colOff>
      <xdr:row>8</xdr:row>
      <xdr:rowOff>173181</xdr:rowOff>
    </xdr:to>
    <mc:AlternateContent xmlns:mc="http://schemas.openxmlformats.org/markup-compatibility/2006">
      <mc:Choice xmlns:a14="http://schemas.microsoft.com/office/drawing/2010/main" Requires="a14">
        <xdr:graphicFrame macro="">
          <xdr:nvGraphicFramePr>
            <xdr:cNvPr id="5" name="Platform">
              <a:extLst>
                <a:ext uri="{FF2B5EF4-FFF2-40B4-BE49-F238E27FC236}">
                  <a16:creationId xmlns:a16="http://schemas.microsoft.com/office/drawing/2014/main" id="{E73645C5-90EB-4B72-A421-9304BB79F83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212273" y="727362"/>
              <a:ext cx="1984288" cy="9698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4178</xdr:colOff>
      <xdr:row>0</xdr:row>
      <xdr:rowOff>120630</xdr:rowOff>
    </xdr:from>
    <xdr:to>
      <xdr:col>5</xdr:col>
      <xdr:colOff>147502</xdr:colOff>
      <xdr:row>2</xdr:row>
      <xdr:rowOff>165418</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0C077DA0-7561-4144-AA66-57A4178EC9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16451" y="120630"/>
              <a:ext cx="1961733" cy="4257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a" refreshedDate="46071.762534374997" createdVersion="8" refreshedVersion="8" minRefreshableVersion="3" recordCount="2000" xr:uid="{3B4FCED5-D7F8-4ED8-815B-B99A2D539F67}">
  <cacheSource type="worksheet">
    <worksheetSource name="Table2"/>
  </cacheSource>
  <cacheFields count="23">
    <cacheField name="Order ID" numFmtId="0">
      <sharedItems/>
    </cacheField>
    <cacheField name="Order Date" numFmtId="0">
      <sharedItems containsSemiMixedTypes="0" containsString="0" containsNumber="1" minValue="45551.015844907408" maxValue="45916.722824074073"/>
    </cacheField>
    <cacheField name="Customer Name" numFmtId="0">
      <sharedItems count="396">
        <s v="Hana Wijaya"/>
        <s v="Gita Kusuma"/>
        <s v="Aulia Syahputra"/>
        <s v="Vina Maulana"/>
        <s v="Fitri Ramadhani"/>
        <s v="Tono Kurniawan"/>
        <s v="Hendra Syahputra"/>
        <s v="Indra Halim"/>
        <s v="Wahyu Hidayat"/>
        <s v="Zahra Setiawan"/>
        <s v="Yani Ananda"/>
        <s v="Kartika Saputra"/>
        <s v="Zahra Utami"/>
        <s v="Eka Saputra"/>
        <s v="Wahyu Pradipta"/>
        <s v="Fajar Puspita"/>
        <s v="Putri Halim"/>
        <s v="Yani Puspita"/>
        <s v="Sari Kurniawan"/>
        <s v="Fitri Halim"/>
        <s v="Yani Wijaya"/>
        <s v="Qori Utami"/>
        <s v="Dewi Ananda"/>
        <s v="Citra Budiman"/>
        <s v="Clara Iskandar"/>
        <s v="Erna Hidayat"/>
        <s v="Hendra Wijaya"/>
        <s v="Gita Wijaya"/>
        <s v="Citra Maulana"/>
        <s v="Dimas Utami"/>
        <s v="Tono Syahputra"/>
        <s v="Putri Syahputra"/>
        <s v="Qori Fauziah"/>
        <s v="Yani Utami"/>
        <s v="Bella Halim"/>
        <s v="Citra Kusuma"/>
        <s v="Bella Santoso"/>
        <s v="Sari Puspita"/>
        <s v="Tono Ananda"/>
        <s v="Aulia Puspita"/>
        <s v="Gita Saputra"/>
        <s v="Ani Ramadhani"/>
        <s v="Yani Ramadhani"/>
        <s v="Vina Budiman"/>
        <s v="Clara Pradipta"/>
        <s v="Ani Fauziah"/>
        <s v="Hana Nugroho"/>
        <s v="Dewi Maulana"/>
        <s v="Sari Syahputra"/>
        <s v="Zahra Kusuma"/>
        <s v="Dewi Hidayat"/>
        <s v="Zahra Ananda"/>
        <s v="Putri Iskandar"/>
        <s v="Bella Maulana"/>
        <s v="Sari Wijaya"/>
        <s v="Wahyu Santoso"/>
        <s v="Tono Hidayat"/>
        <s v="Lestari Syahputra"/>
        <s v="Joko Maulana"/>
        <s v="Kartika Nugroho"/>
        <s v="Ani Budiman"/>
        <s v="Yani Rahmawati"/>
        <s v="Clara Ananda"/>
        <s v="Dimas Puspita"/>
        <s v="Joko Ananda"/>
        <s v="Erna Fauziah"/>
        <s v="Iwan Budiman"/>
        <s v="Aulia Iskandar"/>
        <s v="Fitri Iskandar"/>
        <s v="Lestari Wijaya"/>
        <s v="Umar Setiawan"/>
        <s v="Hana Puspita"/>
        <s v="Aulia Pradipta"/>
        <s v="Fitri Setiawan"/>
        <s v="Dina Kusuma"/>
        <s v="Lestari Utami"/>
        <s v="Eko Iskandar"/>
        <s v="Wahyu Fauziah"/>
        <s v="Hana Setiawan"/>
        <s v="Dewi Pradipta"/>
        <s v="Fajar Kurniawan"/>
        <s v="Zahra Santoso"/>
        <s v="Oka Kurniawan"/>
        <s v="Lestari Pradipta"/>
        <s v="Indra Setiawan"/>
        <s v="Dina Puspita"/>
        <s v="Bella Utami"/>
        <s v="Dina Wijaya"/>
        <s v="Sari Pradipta"/>
        <s v="Aulia Utami"/>
        <s v="Vina Kurniawan"/>
        <s v="Yani Syahputra"/>
        <s v="Lestari Puspita"/>
        <s v="Aulia Saputra"/>
        <s v="Qori Maulana"/>
        <s v="Qori Pradipta"/>
        <s v="Erna Setiawan"/>
        <s v="Qori Hidayat"/>
        <s v="Dewi Utami"/>
        <s v="Putri Hidayat"/>
        <s v="Erna Maulana"/>
        <s v="Zahra Halim"/>
        <s v="Eka Iskandar"/>
        <s v="Hana Kusuma"/>
        <s v="Rizky Fauziah"/>
        <s v="Clara Kusuma"/>
        <s v="Clara Ramadhani"/>
        <s v="Bayu Ananda"/>
        <s v="Hana Ramadhani"/>
        <s v="Lestari Ramadhani"/>
        <s v="Dewi Syahputra"/>
        <s v="Fitri Kurniawan"/>
        <s v="Lestari Ananda"/>
        <s v="Clara Santoso"/>
        <s v="Zahra Saputra"/>
        <s v="Erna Kurniawan"/>
        <s v="Putri Wijaya"/>
        <s v="Ani Ananda"/>
        <s v="Tono Fauziah"/>
        <s v="Hana Halim"/>
        <s v="Clara Hidayat"/>
        <s v="Qori Setiawan"/>
        <s v="Aulia Wijaya"/>
        <s v="Fajar Fauziah"/>
        <s v="Zahra Pradipta"/>
        <s v="Yani Nugroho"/>
        <s v="Indra Ananda"/>
        <s v="Erna Rahmawati"/>
        <s v="Ani Hidayat"/>
        <s v="Hana Maulana"/>
        <s v="Dimas Budiman"/>
        <s v="Bella Nugroho"/>
        <s v="Eka Ananda"/>
        <s v="Budi Puspita"/>
        <s v="Citra Syahputra"/>
        <s v="Bayu Nugroho"/>
        <s v="Fitri Kusuma"/>
        <s v="Fitri Nugroho"/>
        <s v="Aulia Ramadhani"/>
        <s v="Dewi Halim"/>
        <s v="Hana Utami"/>
        <s v="Budi Hidayat"/>
        <s v="Vina Iskandar"/>
        <s v="Yani Maulana"/>
        <s v="Gita Ananda"/>
        <s v="Clara Halim"/>
        <s v="Andi Syahputra"/>
        <s v="Rizky Budiman"/>
        <s v="Kartika Fauziah"/>
        <s v="Gita Iskandar"/>
        <s v="Fitri Hidayat"/>
        <s v="Ani Utami"/>
        <s v="Hana Budiman"/>
        <s v="Dina Halim"/>
        <s v="Aulia Santoso"/>
        <s v="Eka Pradipta"/>
        <s v="Budi Wijaya"/>
        <s v="Fitri Santoso"/>
        <s v="Dina Maulana"/>
        <s v="Citra Halim"/>
        <s v="Zahra Budiman"/>
        <s v="Yani Hidayat"/>
        <s v="Bella Setiawan"/>
        <s v="Sari Ramadhani"/>
        <s v="Dina Kurniawan"/>
        <s v="Eka Rahmawati"/>
        <s v="Eka Hidayat"/>
        <s v="Gita Santoso"/>
        <s v="Sari Hidayat"/>
        <s v="Eka Halim"/>
        <s v="Sari Iskandar"/>
        <s v="Kartika Halim"/>
        <s v="Dina Ramadhani"/>
        <s v="Ani Halim"/>
        <s v="Zahra Kurniawan"/>
        <s v="Clara Setiawan"/>
        <s v="Erna Kusuma"/>
        <s v="Made Fauziah"/>
        <s v="Kartika Pradipta"/>
        <s v="Erna Santoso"/>
        <s v="Clara Utami"/>
        <s v="Qori Santoso"/>
        <s v="Gita Utami"/>
        <s v="Kartika Santoso"/>
        <s v="Erna Ananda"/>
        <s v="Andi Wijaya"/>
        <s v="Hana Fauziah"/>
        <s v="Dewi Wijaya"/>
        <s v="Iwan Maulana"/>
        <s v="Bella Hidayat"/>
        <s v="Putri Kurniawan"/>
        <s v="Yoga Nugroho"/>
        <s v="Ani Kusuma"/>
        <s v="Gita Nugroho"/>
        <s v="Putri Ramadhani"/>
        <s v="Putri Saputra"/>
        <s v="Dewi Santoso"/>
        <s v="Zahra Wijaya"/>
        <s v="Eka Maulana"/>
        <s v="Citra Saputra"/>
        <s v="Yani Budiman"/>
        <s v="Eka Ramadhani"/>
        <s v="Erna Iskandar"/>
        <s v="Bella Rahmawati"/>
        <s v="Bella Ramadhani"/>
        <s v="Arif Maulana"/>
        <s v="Aulia Fauziah"/>
        <s v="Citra Santoso"/>
        <s v="Eka Kurniawan"/>
        <s v="Citra Rahmawati"/>
        <s v="Citra Hidayat"/>
        <s v="Citra Utami"/>
        <s v="Dewi Budiman"/>
        <s v="Gita Hidayat"/>
        <s v="Galih Iskandar"/>
        <s v="Fitri Maulana"/>
        <s v="Erna Utami"/>
        <s v="Qori Ananda"/>
        <s v="Nanda Setiawan"/>
        <s v="Arif Fauziah"/>
        <s v="Yani Kusuma"/>
        <s v="Bella Fauziah"/>
        <s v="Aulia Maulana"/>
        <s v="Gita Ramadhani"/>
        <s v="Dina Rahmawati"/>
        <s v="Eka Syahputra"/>
        <s v="Erna Halim"/>
        <s v="Kartika Kusuma"/>
        <s v="Indra Rahmawati"/>
        <s v="Vina Hidayat"/>
        <s v="Citra Ananda"/>
        <s v="Dewi Saputra"/>
        <s v="Yoga Utami"/>
        <s v="Vina Ananda"/>
        <s v="Putri Ananda"/>
        <s v="Sari Halim"/>
        <s v="Ani Setiawan"/>
        <s v="Nanda Halim"/>
        <s v="Zahra Iskandar"/>
        <s v="Galih Saputra"/>
        <s v="Yoga Saputra"/>
        <s v="Dewi Setiawan"/>
        <s v="Sari Kusuma"/>
        <s v="Arif Rahmawati"/>
        <s v="Vina Ramadhani"/>
        <s v="Fitri Syahputra"/>
        <s v="Aulia Budiman"/>
        <s v="Sari Saputra"/>
        <s v="Clara Syahputra"/>
        <s v="Qori Budiman"/>
        <s v="Aulia Ananda"/>
        <s v="Lestari Fauziah"/>
        <s v="Qori Saputra"/>
        <s v="Dewi Rahmawati"/>
        <s v="Joko Nugroho"/>
        <s v="Nanda Utami"/>
        <s v="Gita Pradipta"/>
        <s v="Bella Iskandar"/>
        <s v="Ani Puspita"/>
        <s v="Ani Maulana"/>
        <s v="Galih Puspita"/>
        <s v="Fitri Wijaya"/>
        <s v="Made Kusuma"/>
        <s v="Made Santoso"/>
        <s v="Lestari Budiman"/>
        <s v="Gita Syahputra"/>
        <s v="Aulia Hidayat"/>
        <s v="Clara Puspita"/>
        <s v="Wahyu Budiman"/>
        <s v="Citra Kurniawan"/>
        <s v="Qori Halim"/>
        <s v="Erna Pradipta"/>
        <s v="Yani Setiawan"/>
        <s v="Fitri Saputra"/>
        <s v="Rizky Puspita"/>
        <s v="Budi Saputra"/>
        <s v="Bella Budiman"/>
        <s v="Putri Setiawan"/>
        <s v="Zahra Puspita"/>
        <s v="Fitri Ananda"/>
        <s v="Fitri Puspita"/>
        <s v="Bayu Maulana"/>
        <s v="Bella Pradipta"/>
        <s v="Bella Ananda"/>
        <s v="Vina Syahputra"/>
        <s v="Nanda Iskandar"/>
        <s v="Hana Pradipta"/>
        <s v="Clara Budiman"/>
        <s v="Lestari Santoso"/>
        <s v="Putri Santoso"/>
        <s v="Indra Syahputra"/>
        <s v="Sari Budiman"/>
        <s v="Aulia Setiawan"/>
        <s v="Sari Utami"/>
        <s v="Gita Kurniawan"/>
        <s v="Dewi Ramadhani"/>
        <s v="Bayu Fauziah"/>
        <s v="Vina Fauziah"/>
        <s v="Dewi Fauziah"/>
        <s v="Gita Budiman"/>
        <s v="Putri Puspita"/>
        <s v="Lestari Setiawan"/>
        <s v="Dewi Kurniawan"/>
        <s v="Yoga Wijaya"/>
        <s v="Dewi Kusuma"/>
        <s v="Vina Setiawan"/>
        <s v="Dina Setiawan"/>
        <s v="Dina Syahputra"/>
        <s v="Yani Saputra"/>
        <s v="Fitri Budiman"/>
        <s v="Aulia Rahmawati"/>
        <s v="Qori Syahputra"/>
        <s v="Yani Santoso"/>
        <s v="Erna Syahputra"/>
        <s v="Sari Setiawan"/>
        <s v="Dina Ananda"/>
        <s v="Oka Santoso"/>
        <s v="Hana Saputra"/>
        <s v="Dewi Puspita"/>
        <s v="Rizky Ramadhani"/>
        <s v="Andi Iskandar"/>
        <s v="Zahra Nugroho"/>
        <s v="Bayu Syahputra"/>
        <s v="Indra Maulana"/>
        <s v="Eko Pradipta"/>
        <s v="Ani Wijaya"/>
        <s v="Vina Saputra"/>
        <s v="Dina Hidayat"/>
        <s v="Oka Kusuma"/>
        <s v="Citra Fauziah"/>
        <s v="Clara Maulana"/>
        <s v="Kartika Ananda"/>
        <s v="Eka Budiman"/>
        <s v="Tono Saputra"/>
        <s v="Vina Halim"/>
        <s v="Rizky Ananda"/>
        <s v="Made Setiawan"/>
        <s v="Dimas Halim"/>
        <s v="Kartika Hidayat"/>
        <s v="Andi Budiman"/>
        <s v="Bayu Ramadhani"/>
        <s v="Qori Iskandar"/>
        <s v="Bella Saputra"/>
        <s v="Sari Fauziah"/>
        <s v="Joko Halim"/>
        <s v="Vina Puspita"/>
        <s v="Budi Fauziah"/>
        <s v="Dina Budiman"/>
        <s v="Erna Budiman"/>
        <s v="Kartika Utami"/>
        <s v="Hendra Ramadhani"/>
        <s v="Dewi Iskandar"/>
        <s v="Fajar Budiman"/>
        <s v="Lestari Kusuma"/>
        <s v="Zahra Maulana"/>
        <s v="Zahra Hidayat"/>
        <s v="Eka Kusuma"/>
        <s v="Gita Halim"/>
        <s v="Hana Santoso"/>
        <s v="Erna Wijaya"/>
        <s v="Indra Puspita"/>
        <s v="Qori Wijaya"/>
        <s v="Citra Iskandar"/>
        <s v="Tono Puspita"/>
        <s v="Arif Santoso"/>
        <s v="Galih Budiman"/>
        <s v="Qori Ramadhani"/>
        <s v="Made Budiman"/>
        <s v="Sari Ananda"/>
        <s v="Lestari Hidayat"/>
        <s v="Aulia Nugroho"/>
        <s v="Rizky Saputra"/>
        <s v="Andi Utami"/>
        <s v="Eka Puspita"/>
        <s v="Lestari Nugroho"/>
        <s v="Aulia Kusuma"/>
        <s v="Dina Pradipta"/>
        <s v="Kartika Ramadhani"/>
        <s v="Yani Pradipta"/>
        <s v="Zahra Ramadhani"/>
        <s v="Eka Wijaya"/>
        <s v="Dimas Maulana"/>
        <s v="Zahra Rahmawati"/>
        <s v="Andi Setiawan"/>
        <s v="Arif Iskandar"/>
        <s v="Iwan Rahmawati"/>
        <s v="Dina Nugroho"/>
        <s v="Galih Halim"/>
        <s v="Nanda Fauziah"/>
        <s v="Fitri Rahmawati"/>
        <s v="Galih Kusuma"/>
        <s v="Oka Ramadhani"/>
        <s v="Gita Puspita"/>
        <s v="Fitri Utami"/>
        <s v="Dewi Nugroho"/>
        <s v="Hana Syahputra"/>
      </sharedItems>
    </cacheField>
    <cacheField name="City" numFmtId="0">
      <sharedItems/>
    </cacheField>
    <cacheField name="Product Name" numFmtId="0">
      <sharedItems/>
    </cacheField>
    <cacheField name="Product" numFmtId="0">
      <sharedItems count="9">
        <s v="Beras"/>
        <s v="Daging Ayam"/>
        <s v="Tepung Terigu"/>
        <s v="Bawang Merah"/>
        <s v="Telur Ayam"/>
        <s v="Garam"/>
        <s v="Gula Pasir"/>
        <s v="Susu Bubuk"/>
        <s v="Minyak Goreng"/>
      </sharedItems>
    </cacheField>
    <cacheField name="Brand" numFmtId="0">
      <sharedItems count="3">
        <s v="Brand C"/>
        <s v="Brand B"/>
        <s v="Brand A"/>
      </sharedItems>
    </cacheField>
    <cacheField name="Unit Price" numFmtId="0">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acheField>
    <cacheField name="Subtotal" numFmtId="0">
      <sharedItems containsSemiMixedTypes="0" containsString="0" containsNumber="1" containsInteger="1" minValue="4000" maxValue="275000"/>
    </cacheField>
    <cacheField name="Discount Amount" numFmtId="0">
      <sharedItems containsSemiMixedTypes="0" containsString="0" containsNumber="1" containsInteger="1" minValue="0" maxValue="55000"/>
    </cacheField>
    <cacheField name="Total Sales" numFmtId="0">
      <sharedItems containsSemiMixedTypes="0" containsString="0" containsNumber="1" containsInteger="1" minValue="3200" maxValue="261250"/>
    </cacheField>
    <cacheField name="Shipping Fee" numFmtId="0">
      <sharedItems containsSemiMixedTypes="0" containsString="0" containsNumber="1" containsInteger="1" minValue="0" maxValue="97000"/>
    </cacheField>
    <cacheField name="Grand Total" numFmtId="0">
      <sharedItems containsSemiMixedTypes="0" containsString="0" containsNumber="1" containsInteger="1" minValue="3800" maxValue="333250"/>
    </cacheField>
    <cacheField name="Payment Method" numFmtId="0">
      <sharedItems count="4">
        <s v="COD"/>
        <s v="Kartu Kredit"/>
        <s v="e-Wallet"/>
        <s v="Transfer Bank"/>
      </sharedItems>
    </cacheField>
    <cacheField name="Order Status" numFmtId="0">
      <sharedItems/>
    </cacheField>
    <cacheField name="Platform" numFmtId="0">
      <sharedItems count="5">
        <s v="Toko Orange"/>
        <s v="Toko Hijau"/>
        <s v="Toko Ungu"/>
        <s v="Toko Biru"/>
        <s v="TokTok"/>
      </sharedItems>
    </cacheField>
    <cacheField name="Customer Rating" numFmtId="0">
      <sharedItems containsSemiMixedTypes="0" containsString="0" containsNumber="1" containsInteger="1" minValue="1" maxValue="5"/>
    </cacheField>
    <cacheField name="Jenis Kelamin" numFmtId="0">
      <sharedItems/>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4" maxValue="2025" count="2">
        <n v="2025"/>
        <n v="2024"/>
      </sharedItems>
    </cacheField>
    <cacheField name="Sort"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2141782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491"/>
    <n v="45658.068738425929"/>
    <x v="0"/>
    <s v="Sorong"/>
    <s v="Beras - Brand C"/>
    <x v="0"/>
    <x v="0"/>
    <n v="16000"/>
    <n v="5"/>
    <n v="0"/>
    <n v="80000"/>
    <n v="0"/>
    <n v="80000"/>
    <n v="87000"/>
    <n v="167000"/>
    <x v="0"/>
    <s v="Completed"/>
    <x v="0"/>
    <n v="4"/>
    <s v="Perempuan"/>
    <x v="0"/>
    <x v="0"/>
    <n v="1"/>
  </r>
  <r>
    <s v="ORD00442"/>
    <n v="45658.182245370372"/>
    <x v="1"/>
    <s v="Pekanbaru"/>
    <s v="Daging Ayam - Brand B"/>
    <x v="1"/>
    <x v="1"/>
    <n v="40000"/>
    <n v="4"/>
    <n v="20"/>
    <n v="160000"/>
    <n v="32000"/>
    <n v="128000"/>
    <n v="49000"/>
    <n v="177000"/>
    <x v="1"/>
    <s v="Completed"/>
    <x v="1"/>
    <n v="4"/>
    <s v="Perempuan"/>
    <x v="0"/>
    <x v="0"/>
    <n v="1"/>
  </r>
  <r>
    <s v="ORD00223"/>
    <n v="45658.31627314815"/>
    <x v="2"/>
    <s v="Medan"/>
    <s v="Tepung Terigu - Brand B"/>
    <x v="2"/>
    <x v="1"/>
    <n v="12000"/>
    <n v="4"/>
    <n v="20"/>
    <n v="48000"/>
    <n v="9600"/>
    <n v="38400"/>
    <n v="79000"/>
    <n v="117400"/>
    <x v="2"/>
    <s v="Completed"/>
    <x v="2"/>
    <n v="2"/>
    <s v="Perempuan"/>
    <x v="0"/>
    <x v="0"/>
    <n v="1"/>
  </r>
  <r>
    <s v="ORD00724"/>
    <n v="45658.476342592592"/>
    <x v="3"/>
    <s v="Wamena"/>
    <s v="Bawang Merah - Brand A"/>
    <x v="3"/>
    <x v="2"/>
    <n v="30000"/>
    <n v="3"/>
    <n v="20"/>
    <n v="90000"/>
    <n v="18000"/>
    <n v="72000"/>
    <n v="15000"/>
    <n v="87000"/>
    <x v="2"/>
    <s v="Completed"/>
    <x v="3"/>
    <n v="4"/>
    <s v="Perempuan"/>
    <x v="0"/>
    <x v="0"/>
    <n v="1"/>
  </r>
  <r>
    <s v="ORD01549"/>
    <n v="45658.606747685182"/>
    <x v="4"/>
    <s v="Surabaya"/>
    <s v="Telur Ayam - Brand C"/>
    <x v="4"/>
    <x v="0"/>
    <n v="28000"/>
    <n v="5"/>
    <n v="5"/>
    <n v="140000"/>
    <n v="7000"/>
    <n v="133000"/>
    <n v="74000"/>
    <n v="207000"/>
    <x v="0"/>
    <s v="Completed"/>
    <x v="4"/>
    <n v="3"/>
    <s v="Perempuan"/>
    <x v="0"/>
    <x v="0"/>
    <n v="1"/>
  </r>
  <r>
    <s v="ORD01854"/>
    <n v="45658.663425925923"/>
    <x v="5"/>
    <s v="Semarang"/>
    <s v="Garam - Brand C"/>
    <x v="5"/>
    <x v="0"/>
    <n v="6000"/>
    <n v="4"/>
    <n v="10"/>
    <n v="24000"/>
    <n v="2400"/>
    <n v="21600"/>
    <n v="76000"/>
    <n v="97600"/>
    <x v="3"/>
    <s v="Returned"/>
    <x v="0"/>
    <n v="3"/>
    <s v="Laki-laki"/>
    <x v="0"/>
    <x v="0"/>
    <n v="1"/>
  </r>
  <r>
    <s v="ORD00642"/>
    <n v="45658.793900462973"/>
    <x v="6"/>
    <s v="Wamena"/>
    <s v="Telur Ayam - Brand A"/>
    <x v="4"/>
    <x v="2"/>
    <n v="22000"/>
    <n v="1"/>
    <n v="10"/>
    <n v="22000"/>
    <n v="2200"/>
    <n v="19800"/>
    <n v="15000"/>
    <n v="34800"/>
    <x v="0"/>
    <s v="Completed"/>
    <x v="2"/>
    <n v="1"/>
    <s v="Laki-laki"/>
    <x v="0"/>
    <x v="0"/>
    <n v="1"/>
  </r>
  <r>
    <s v="ORD01352"/>
    <n v="45658.815000000002"/>
    <x v="7"/>
    <s v="Tanjung Selor"/>
    <s v="Gula Pasir - Brand C"/>
    <x v="6"/>
    <x v="0"/>
    <n v="18000"/>
    <n v="1"/>
    <n v="5"/>
    <n v="18000"/>
    <n v="900"/>
    <n v="17100"/>
    <n v="26000"/>
    <n v="43100"/>
    <x v="3"/>
    <s v="Completed"/>
    <x v="2"/>
    <n v="5"/>
    <s v="Laki-laki"/>
    <x v="0"/>
    <x v="0"/>
    <n v="1"/>
  </r>
  <r>
    <s v="ORD00616"/>
    <n v="45658.849780092591"/>
    <x v="8"/>
    <s v="Wamena"/>
    <s v="Garam - Brand A"/>
    <x v="5"/>
    <x v="2"/>
    <n v="4000"/>
    <n v="1"/>
    <n v="20"/>
    <n v="4000"/>
    <n v="800"/>
    <n v="3200"/>
    <n v="15000"/>
    <n v="18200"/>
    <x v="2"/>
    <s v="Completed"/>
    <x v="4"/>
    <n v="3"/>
    <s v="Laki-laki"/>
    <x v="0"/>
    <x v="0"/>
    <n v="1"/>
  </r>
  <r>
    <s v="ORD00528"/>
    <n v="45659.141805555562"/>
    <x v="9"/>
    <s v="Banjarbaru"/>
    <s v="Gula Pasir - Brand B"/>
    <x v="6"/>
    <x v="1"/>
    <n v="17000"/>
    <n v="1"/>
    <n v="10"/>
    <n v="17000"/>
    <n v="1700"/>
    <n v="15300"/>
    <n v="55000"/>
    <n v="70300"/>
    <x v="1"/>
    <s v="Returned"/>
    <x v="0"/>
    <n v="2"/>
    <s v="Perempuan"/>
    <x v="0"/>
    <x v="0"/>
    <n v="1"/>
  </r>
  <r>
    <s v="ORD00809"/>
    <n v="45659.260381944441"/>
    <x v="10"/>
    <s v="Mataram"/>
    <s v="Beras - Brand B"/>
    <x v="0"/>
    <x v="1"/>
    <n v="15000"/>
    <n v="2"/>
    <n v="0"/>
    <n v="30000"/>
    <n v="0"/>
    <n v="30000"/>
    <n v="56000"/>
    <n v="86000"/>
    <x v="2"/>
    <s v="Completed"/>
    <x v="1"/>
    <n v="1"/>
    <s v="Perempuan"/>
    <x v="0"/>
    <x v="0"/>
    <n v="1"/>
  </r>
  <r>
    <s v="ORD00413"/>
    <n v="45659.447696759264"/>
    <x v="11"/>
    <s v="Palu"/>
    <s v="Gula Pasir - Brand A"/>
    <x v="6"/>
    <x v="2"/>
    <n v="16000"/>
    <n v="2"/>
    <n v="10"/>
    <n v="32000"/>
    <n v="3200"/>
    <n v="28800"/>
    <n v="67000"/>
    <n v="95800"/>
    <x v="1"/>
    <s v="Completed"/>
    <x v="2"/>
    <n v="3"/>
    <s v="Perempuan"/>
    <x v="0"/>
    <x v="0"/>
    <n v="1"/>
  </r>
  <r>
    <s v="ORD00413"/>
    <n v="45659.447696759264"/>
    <x v="11"/>
    <s v="Palu"/>
    <s v="Daging Ayam - Brand C"/>
    <x v="1"/>
    <x v="0"/>
    <n v="45000"/>
    <n v="1"/>
    <n v="20"/>
    <n v="45000"/>
    <n v="9000"/>
    <n v="36000"/>
    <n v="0"/>
    <n v="36000"/>
    <x v="1"/>
    <s v="Completed"/>
    <x v="2"/>
    <n v="3"/>
    <s v="Perempuan"/>
    <x v="0"/>
    <x v="0"/>
    <n v="1"/>
  </r>
  <r>
    <s v="ORD00677"/>
    <n v="45659.823842592603"/>
    <x v="12"/>
    <s v="Sofifi"/>
    <s v="Bawang Merah - Brand B"/>
    <x v="3"/>
    <x v="1"/>
    <n v="35000"/>
    <n v="4"/>
    <n v="15"/>
    <n v="140000"/>
    <n v="21000"/>
    <n v="119000"/>
    <n v="50000"/>
    <n v="169000"/>
    <x v="0"/>
    <s v="Completed"/>
    <x v="4"/>
    <n v="2"/>
    <s v="Perempuan"/>
    <x v="0"/>
    <x v="0"/>
    <n v="1"/>
  </r>
  <r>
    <s v="ORD00212"/>
    <n v="45659.885300925933"/>
    <x v="13"/>
    <s v="Tanjungpinang"/>
    <s v="Susu Bubuk - Brand C"/>
    <x v="7"/>
    <x v="0"/>
    <n v="55000"/>
    <n v="1"/>
    <n v="10"/>
    <n v="55000"/>
    <n v="5500"/>
    <n v="49500"/>
    <n v="48000"/>
    <n v="97500"/>
    <x v="1"/>
    <s v="Returned"/>
    <x v="3"/>
    <n v="2"/>
    <s v="Perempuan"/>
    <x v="0"/>
    <x v="0"/>
    <n v="1"/>
  </r>
  <r>
    <s v="ORD00670"/>
    <n v="45660.335324074083"/>
    <x v="14"/>
    <s v="Jakarta"/>
    <s v="Gula Pasir - Brand A"/>
    <x v="6"/>
    <x v="2"/>
    <n v="16000"/>
    <n v="1"/>
    <n v="15"/>
    <n v="16000"/>
    <n v="2400"/>
    <n v="13600"/>
    <n v="97000"/>
    <n v="110600"/>
    <x v="2"/>
    <s v="Returned"/>
    <x v="0"/>
    <n v="4"/>
    <s v="Laki-laki"/>
    <x v="0"/>
    <x v="0"/>
    <n v="1"/>
  </r>
  <r>
    <s v="ORD00556"/>
    <n v="45660.382800925923"/>
    <x v="15"/>
    <s v="Denpasar"/>
    <s v="Daging Ayam - Brand B"/>
    <x v="1"/>
    <x v="1"/>
    <n v="40000"/>
    <n v="4"/>
    <n v="15"/>
    <n v="160000"/>
    <n v="24000"/>
    <n v="136000"/>
    <n v="80000"/>
    <n v="216000"/>
    <x v="2"/>
    <s v="Completed"/>
    <x v="3"/>
    <n v="5"/>
    <s v="Laki-laki"/>
    <x v="0"/>
    <x v="0"/>
    <n v="1"/>
  </r>
  <r>
    <s v="ORD00221"/>
    <n v="45660.525092592587"/>
    <x v="16"/>
    <s v="Padang"/>
    <s v="Bawang Merah - Brand B"/>
    <x v="3"/>
    <x v="1"/>
    <n v="35000"/>
    <n v="4"/>
    <n v="15"/>
    <n v="140000"/>
    <n v="21000"/>
    <n v="119000"/>
    <n v="68000"/>
    <n v="187000"/>
    <x v="0"/>
    <s v="Completed"/>
    <x v="2"/>
    <n v="4"/>
    <s v="Perempuan"/>
    <x v="0"/>
    <x v="0"/>
    <n v="1"/>
  </r>
  <r>
    <s v="ORD00221"/>
    <n v="45660.525092592587"/>
    <x v="16"/>
    <s v="Padang"/>
    <s v="Gula Pasir - Brand B"/>
    <x v="6"/>
    <x v="1"/>
    <n v="17000"/>
    <n v="5"/>
    <n v="20"/>
    <n v="85000"/>
    <n v="17000"/>
    <n v="68000"/>
    <n v="0"/>
    <n v="68000"/>
    <x v="0"/>
    <s v="Completed"/>
    <x v="2"/>
    <n v="4"/>
    <s v="Perempuan"/>
    <x v="0"/>
    <x v="0"/>
    <n v="1"/>
  </r>
  <r>
    <s v="ORD01121"/>
    <n v="45660.566180555557"/>
    <x v="17"/>
    <s v="Palembang"/>
    <s v="Susu Bubuk - Brand C"/>
    <x v="7"/>
    <x v="0"/>
    <n v="55000"/>
    <n v="4"/>
    <n v="0"/>
    <n v="220000"/>
    <n v="0"/>
    <n v="220000"/>
    <n v="17000"/>
    <n v="237000"/>
    <x v="0"/>
    <s v="Completed"/>
    <x v="0"/>
    <n v="3"/>
    <s v="Perempuan"/>
    <x v="0"/>
    <x v="0"/>
    <n v="1"/>
  </r>
  <r>
    <s v="ORD01394"/>
    <n v="45660.567129629628"/>
    <x v="18"/>
    <s v="Medan"/>
    <s v="Garam - Brand A"/>
    <x v="5"/>
    <x v="2"/>
    <n v="4000"/>
    <n v="5"/>
    <n v="10"/>
    <n v="20000"/>
    <n v="2000"/>
    <n v="18000"/>
    <n v="79000"/>
    <n v="97000"/>
    <x v="2"/>
    <s v="Completed"/>
    <x v="2"/>
    <n v="2"/>
    <s v="Perempuan"/>
    <x v="0"/>
    <x v="0"/>
    <n v="1"/>
  </r>
  <r>
    <s v="ORD01758"/>
    <n v="45660.773831018523"/>
    <x v="19"/>
    <s v="Denpasar"/>
    <s v="Daging Ayam - Brand A"/>
    <x v="1"/>
    <x v="2"/>
    <n v="35000"/>
    <n v="1"/>
    <n v="5"/>
    <n v="35000"/>
    <n v="1750"/>
    <n v="33250"/>
    <n v="80000"/>
    <n v="113250"/>
    <x v="0"/>
    <s v="Completed"/>
    <x v="4"/>
    <n v="2"/>
    <s v="Perempuan"/>
    <x v="0"/>
    <x v="0"/>
    <n v="1"/>
  </r>
  <r>
    <s v="ORD00184"/>
    <n v="45661.125057870369"/>
    <x v="20"/>
    <s v="Surabaya"/>
    <s v="Garam - Brand A"/>
    <x v="5"/>
    <x v="2"/>
    <n v="4000"/>
    <n v="3"/>
    <n v="15"/>
    <n v="12000"/>
    <n v="1800"/>
    <n v="10200"/>
    <n v="74000"/>
    <n v="84200"/>
    <x v="0"/>
    <s v="Completed"/>
    <x v="1"/>
    <n v="1"/>
    <s v="Perempuan"/>
    <x v="0"/>
    <x v="0"/>
    <n v="1"/>
  </r>
  <r>
    <s v="ORD00184"/>
    <n v="45661.125057870369"/>
    <x v="20"/>
    <s v="Surabaya"/>
    <s v="Gula Pasir - Brand B"/>
    <x v="6"/>
    <x v="1"/>
    <n v="17000"/>
    <n v="2"/>
    <n v="10"/>
    <n v="34000"/>
    <n v="3400"/>
    <n v="30600"/>
    <n v="0"/>
    <n v="30600"/>
    <x v="0"/>
    <s v="Completed"/>
    <x v="1"/>
    <n v="1"/>
    <s v="Perempuan"/>
    <x v="0"/>
    <x v="0"/>
    <n v="1"/>
  </r>
  <r>
    <s v="ORD00656"/>
    <n v="45661.288460648153"/>
    <x v="21"/>
    <s v="Serang"/>
    <s v="Garam - Brand B"/>
    <x v="5"/>
    <x v="1"/>
    <n v="5000"/>
    <n v="5"/>
    <n v="0"/>
    <n v="25000"/>
    <n v="0"/>
    <n v="25000"/>
    <n v="57000"/>
    <n v="82000"/>
    <x v="1"/>
    <s v="Completed"/>
    <x v="3"/>
    <n v="1"/>
    <s v="Perempuan"/>
    <x v="0"/>
    <x v="0"/>
    <n v="1"/>
  </r>
  <r>
    <s v="ORD01520"/>
    <n v="45661.564328703702"/>
    <x v="22"/>
    <s v="Palangka Raya"/>
    <s v="Gula Pasir - Brand A"/>
    <x v="6"/>
    <x v="2"/>
    <n v="16000"/>
    <n v="1"/>
    <n v="5"/>
    <n v="16000"/>
    <n v="800"/>
    <n v="15200"/>
    <n v="50000"/>
    <n v="65200"/>
    <x v="2"/>
    <s v="Completed"/>
    <x v="4"/>
    <n v="1"/>
    <s v="Perempuan"/>
    <x v="0"/>
    <x v="0"/>
    <n v="1"/>
  </r>
  <r>
    <s v="ORD00851"/>
    <n v="45661.673703703702"/>
    <x v="23"/>
    <s v="Bandung"/>
    <s v="Beras - Brand B"/>
    <x v="0"/>
    <x v="1"/>
    <n v="15000"/>
    <n v="1"/>
    <n v="15"/>
    <n v="15000"/>
    <n v="2250"/>
    <n v="12750"/>
    <n v="0"/>
    <n v="12750"/>
    <x v="0"/>
    <s v="Completed"/>
    <x v="1"/>
    <n v="1"/>
    <s v="Perempuan"/>
    <x v="0"/>
    <x v="0"/>
    <n v="1"/>
  </r>
  <r>
    <s v="ORD01433"/>
    <n v="45661.797893518517"/>
    <x v="24"/>
    <s v="Pangkalpinang"/>
    <s v="Tepung Terigu - Brand A"/>
    <x v="2"/>
    <x v="2"/>
    <n v="10000"/>
    <n v="1"/>
    <n v="5"/>
    <n v="10000"/>
    <n v="500"/>
    <n v="9500"/>
    <n v="18000"/>
    <n v="27500"/>
    <x v="1"/>
    <s v="Completed"/>
    <x v="1"/>
    <n v="3"/>
    <s v="Perempuan"/>
    <x v="0"/>
    <x v="0"/>
    <n v="1"/>
  </r>
  <r>
    <s v="ORD01803"/>
    <n v="45661.802129629628"/>
    <x v="25"/>
    <s v="Bandar Lampung"/>
    <s v="Gula Pasir - Brand B"/>
    <x v="6"/>
    <x v="1"/>
    <n v="17000"/>
    <n v="5"/>
    <n v="10"/>
    <n v="85000"/>
    <n v="8500"/>
    <n v="76500"/>
    <n v="28000"/>
    <n v="104500"/>
    <x v="2"/>
    <s v="Returned"/>
    <x v="0"/>
    <n v="5"/>
    <s v="Perempuan"/>
    <x v="0"/>
    <x v="0"/>
    <n v="1"/>
  </r>
  <r>
    <s v="ORD00081"/>
    <n v="45661.808518518519"/>
    <x v="26"/>
    <s v="Wamena"/>
    <s v="Beras - Brand B"/>
    <x v="0"/>
    <x v="1"/>
    <n v="15000"/>
    <n v="3"/>
    <n v="15"/>
    <n v="45000"/>
    <n v="6750"/>
    <n v="38250"/>
    <n v="15000"/>
    <n v="53250"/>
    <x v="3"/>
    <s v="Completed"/>
    <x v="3"/>
    <n v="4"/>
    <s v="Laki-laki"/>
    <x v="0"/>
    <x v="0"/>
    <n v="1"/>
  </r>
  <r>
    <s v="ORD00430"/>
    <n v="45662.358553240738"/>
    <x v="27"/>
    <s v="Sorong"/>
    <s v="Telur Ayam - Brand C"/>
    <x v="4"/>
    <x v="0"/>
    <n v="28000"/>
    <n v="5"/>
    <n v="10"/>
    <n v="140000"/>
    <n v="14000"/>
    <n v="126000"/>
    <n v="87000"/>
    <n v="213000"/>
    <x v="1"/>
    <s v="Returned"/>
    <x v="1"/>
    <n v="5"/>
    <s v="Perempuan"/>
    <x v="0"/>
    <x v="0"/>
    <n v="1"/>
  </r>
  <r>
    <s v="ORD00430"/>
    <n v="45662.358553240738"/>
    <x v="27"/>
    <s v="Sorong"/>
    <s v="Gula Pasir - Brand C"/>
    <x v="6"/>
    <x v="0"/>
    <n v="18000"/>
    <n v="4"/>
    <n v="10"/>
    <n v="72000"/>
    <n v="7200"/>
    <n v="64800"/>
    <n v="0"/>
    <n v="64800"/>
    <x v="1"/>
    <s v="Returned"/>
    <x v="1"/>
    <n v="5"/>
    <s v="Perempuan"/>
    <x v="0"/>
    <x v="0"/>
    <n v="1"/>
  </r>
  <r>
    <s v="ORD01337"/>
    <n v="45662.811562499999"/>
    <x v="28"/>
    <s v="Bengkulu"/>
    <s v="Susu Bubuk - Brand A"/>
    <x v="7"/>
    <x v="2"/>
    <n v="45000"/>
    <n v="4"/>
    <n v="0"/>
    <n v="180000"/>
    <n v="0"/>
    <n v="180000"/>
    <n v="72000"/>
    <n v="252000"/>
    <x v="0"/>
    <s v="Completed"/>
    <x v="0"/>
    <n v="4"/>
    <s v="Perempuan"/>
    <x v="0"/>
    <x v="0"/>
    <n v="1"/>
  </r>
  <r>
    <s v="ORD00951"/>
    <n v="45662.846122685187"/>
    <x v="29"/>
    <s v="Bandung"/>
    <s v="Daging Ayam - Brand A"/>
    <x v="1"/>
    <x v="2"/>
    <n v="35000"/>
    <n v="3"/>
    <n v="15"/>
    <n v="105000"/>
    <n v="15750"/>
    <n v="89250"/>
    <n v="0"/>
    <n v="89250"/>
    <x v="1"/>
    <s v="Completed"/>
    <x v="4"/>
    <n v="1"/>
    <s v="Laki-laki"/>
    <x v="0"/>
    <x v="0"/>
    <n v="1"/>
  </r>
  <r>
    <s v="ORD00009"/>
    <n v="45662.909571759257"/>
    <x v="30"/>
    <s v="Wamena"/>
    <s v="Garam - Brand A"/>
    <x v="5"/>
    <x v="2"/>
    <n v="4000"/>
    <n v="3"/>
    <n v="10"/>
    <n v="12000"/>
    <n v="1200"/>
    <n v="10800"/>
    <n v="15000"/>
    <n v="25800"/>
    <x v="1"/>
    <s v="Completed"/>
    <x v="1"/>
    <n v="4"/>
    <s v="Laki-laki"/>
    <x v="0"/>
    <x v="0"/>
    <n v="1"/>
  </r>
  <r>
    <s v="ORD01054"/>
    <n v="45662.963043981479"/>
    <x v="31"/>
    <s v="Mamuju"/>
    <s v="Minyak Goreng - Brand C"/>
    <x v="8"/>
    <x v="0"/>
    <n v="18000"/>
    <n v="3"/>
    <n v="5"/>
    <n v="54000"/>
    <n v="2700"/>
    <n v="51300"/>
    <n v="46000"/>
    <n v="97300"/>
    <x v="3"/>
    <s v="Completed"/>
    <x v="2"/>
    <n v="2"/>
    <s v="Perempuan"/>
    <x v="0"/>
    <x v="0"/>
    <n v="1"/>
  </r>
  <r>
    <s v="ORD01071"/>
    <n v="45663.178402777783"/>
    <x v="32"/>
    <s v="Surabaya"/>
    <s v="Tepung Terigu - Brand A"/>
    <x v="2"/>
    <x v="2"/>
    <n v="10000"/>
    <n v="2"/>
    <n v="10"/>
    <n v="20000"/>
    <n v="2000"/>
    <n v="18000"/>
    <n v="74000"/>
    <n v="92000"/>
    <x v="0"/>
    <s v="Completed"/>
    <x v="3"/>
    <n v="5"/>
    <s v="Perempuan"/>
    <x v="0"/>
    <x v="0"/>
    <n v="1"/>
  </r>
  <r>
    <s v="ORD00331"/>
    <n v="45663.301747685182"/>
    <x v="33"/>
    <s v="Jambi"/>
    <s v="Beras - Brand B"/>
    <x v="0"/>
    <x v="1"/>
    <n v="15000"/>
    <n v="3"/>
    <n v="20"/>
    <n v="45000"/>
    <n v="9000"/>
    <n v="36000"/>
    <n v="87000"/>
    <n v="123000"/>
    <x v="1"/>
    <s v="Completed"/>
    <x v="4"/>
    <n v="2"/>
    <s v="Perempuan"/>
    <x v="0"/>
    <x v="0"/>
    <n v="1"/>
  </r>
  <r>
    <s v="ORD00704"/>
    <n v="45663.370370370372"/>
    <x v="34"/>
    <s v="Semarang"/>
    <s v="Telur Ayam - Brand A"/>
    <x v="4"/>
    <x v="2"/>
    <n v="22000"/>
    <n v="1"/>
    <n v="10"/>
    <n v="22000"/>
    <n v="2200"/>
    <n v="19800"/>
    <n v="76000"/>
    <n v="95800"/>
    <x v="1"/>
    <s v="Completed"/>
    <x v="3"/>
    <n v="3"/>
    <s v="Perempuan"/>
    <x v="0"/>
    <x v="0"/>
    <n v="1"/>
  </r>
  <r>
    <s v="ORD00445"/>
    <n v="45663.487719907411"/>
    <x v="35"/>
    <s v="Manado"/>
    <s v="Telur Ayam - Brand A"/>
    <x v="4"/>
    <x v="2"/>
    <n v="22000"/>
    <n v="4"/>
    <n v="15"/>
    <n v="88000"/>
    <n v="13200"/>
    <n v="74800"/>
    <n v="93000"/>
    <n v="167800"/>
    <x v="1"/>
    <s v="Completed"/>
    <x v="1"/>
    <n v="2"/>
    <s v="Perempuan"/>
    <x v="0"/>
    <x v="0"/>
    <n v="1"/>
  </r>
  <r>
    <s v="ORD00445"/>
    <n v="45663.487719907411"/>
    <x v="35"/>
    <s v="Manado"/>
    <s v="Susu Bubuk - Brand B"/>
    <x v="7"/>
    <x v="1"/>
    <n v="50000"/>
    <n v="2"/>
    <n v="10"/>
    <n v="100000"/>
    <n v="10000"/>
    <n v="90000"/>
    <n v="0"/>
    <n v="90000"/>
    <x v="1"/>
    <s v="Completed"/>
    <x v="1"/>
    <n v="2"/>
    <s v="Perempuan"/>
    <x v="0"/>
    <x v="0"/>
    <n v="1"/>
  </r>
  <r>
    <s v="ORD01051"/>
    <n v="45663.562696759262"/>
    <x v="36"/>
    <s v="Tanjung Selor"/>
    <s v="Daging Ayam - Brand B"/>
    <x v="1"/>
    <x v="1"/>
    <n v="40000"/>
    <n v="3"/>
    <n v="0"/>
    <n v="120000"/>
    <n v="0"/>
    <n v="120000"/>
    <n v="26000"/>
    <n v="146000"/>
    <x v="3"/>
    <s v="Completed"/>
    <x v="0"/>
    <n v="1"/>
    <s v="Perempuan"/>
    <x v="0"/>
    <x v="0"/>
    <n v="1"/>
  </r>
  <r>
    <s v="ORD00590"/>
    <n v="45663.761481481481"/>
    <x v="37"/>
    <s v="Jakarta"/>
    <s v="Garam - Brand B"/>
    <x v="5"/>
    <x v="1"/>
    <n v="5000"/>
    <n v="2"/>
    <n v="15"/>
    <n v="10000"/>
    <n v="1500"/>
    <n v="8500"/>
    <n v="97000"/>
    <n v="105500"/>
    <x v="2"/>
    <s v="Completed"/>
    <x v="4"/>
    <n v="5"/>
    <s v="Perempuan"/>
    <x v="0"/>
    <x v="0"/>
    <n v="1"/>
  </r>
  <r>
    <s v="ORD00063"/>
    <n v="45664.102361111109"/>
    <x v="38"/>
    <s v="Kendari"/>
    <s v="Telur Ayam - Brand C"/>
    <x v="4"/>
    <x v="0"/>
    <n v="28000"/>
    <n v="4"/>
    <n v="20"/>
    <n v="112000"/>
    <n v="22400"/>
    <n v="89600"/>
    <n v="59000"/>
    <n v="148600"/>
    <x v="3"/>
    <s v="Completed"/>
    <x v="0"/>
    <n v="1"/>
    <s v="Laki-laki"/>
    <x v="0"/>
    <x v="0"/>
    <n v="1"/>
  </r>
  <r>
    <s v="ORD00845"/>
    <n v="45664.147615740738"/>
    <x v="39"/>
    <s v="Tanjungpinang"/>
    <s v="Gula Pasir - Brand B"/>
    <x v="6"/>
    <x v="1"/>
    <n v="17000"/>
    <n v="2"/>
    <n v="5"/>
    <n v="34000"/>
    <n v="1700"/>
    <n v="32300"/>
    <n v="48000"/>
    <n v="80300"/>
    <x v="1"/>
    <s v="Completed"/>
    <x v="4"/>
    <n v="2"/>
    <s v="Perempuan"/>
    <x v="0"/>
    <x v="0"/>
    <n v="1"/>
  </r>
  <r>
    <s v="ORD01022"/>
    <n v="45664.243032407408"/>
    <x v="40"/>
    <s v="Bengkulu"/>
    <s v="Bawang Merah - Brand B"/>
    <x v="3"/>
    <x v="1"/>
    <n v="35000"/>
    <n v="5"/>
    <n v="15"/>
    <n v="175000"/>
    <n v="26250"/>
    <n v="148750"/>
    <n v="72000"/>
    <n v="220750"/>
    <x v="0"/>
    <s v="Completed"/>
    <x v="2"/>
    <n v="3"/>
    <s v="Perempuan"/>
    <x v="0"/>
    <x v="0"/>
    <n v="1"/>
  </r>
  <r>
    <s v="ORD00601"/>
    <n v="45664.35565972222"/>
    <x v="41"/>
    <s v="Sofifi"/>
    <s v="Gula Pasir - Brand C"/>
    <x v="6"/>
    <x v="0"/>
    <n v="18000"/>
    <n v="2"/>
    <n v="0"/>
    <n v="36000"/>
    <n v="0"/>
    <n v="36000"/>
    <n v="50000"/>
    <n v="86000"/>
    <x v="1"/>
    <s v="Completed"/>
    <x v="2"/>
    <n v="3"/>
    <s v="Perempuan"/>
    <x v="0"/>
    <x v="0"/>
    <n v="1"/>
  </r>
  <r>
    <s v="ORD00974"/>
    <n v="45664.535694444443"/>
    <x v="42"/>
    <s v="Kupang"/>
    <s v="Daging Ayam - Brand C"/>
    <x v="1"/>
    <x v="0"/>
    <n v="45000"/>
    <n v="4"/>
    <n v="0"/>
    <n v="180000"/>
    <n v="0"/>
    <n v="180000"/>
    <n v="21000"/>
    <n v="201000"/>
    <x v="2"/>
    <s v="Cancelled"/>
    <x v="3"/>
    <n v="4"/>
    <s v="Perempuan"/>
    <x v="0"/>
    <x v="0"/>
    <n v="1"/>
  </r>
  <r>
    <s v="ORD00393"/>
    <n v="45664.562488425923"/>
    <x v="43"/>
    <s v="Samarinda"/>
    <s v="Daging Ayam - Brand B"/>
    <x v="1"/>
    <x v="1"/>
    <n v="40000"/>
    <n v="1"/>
    <n v="0"/>
    <n v="40000"/>
    <n v="0"/>
    <n v="40000"/>
    <n v="43000"/>
    <n v="83000"/>
    <x v="0"/>
    <s v="Returned"/>
    <x v="4"/>
    <n v="1"/>
    <s v="Perempuan"/>
    <x v="0"/>
    <x v="0"/>
    <n v="1"/>
  </r>
  <r>
    <s v="ORD00393"/>
    <n v="45664.562488425923"/>
    <x v="43"/>
    <s v="Samarinda"/>
    <s v="Minyak Goreng - Brand B"/>
    <x v="8"/>
    <x v="1"/>
    <n v="17000"/>
    <n v="1"/>
    <n v="10"/>
    <n v="17000"/>
    <n v="1700"/>
    <n v="15300"/>
    <n v="0"/>
    <n v="15300"/>
    <x v="0"/>
    <s v="Returned"/>
    <x v="4"/>
    <n v="1"/>
    <s v="Perempuan"/>
    <x v="0"/>
    <x v="0"/>
    <n v="1"/>
  </r>
  <r>
    <s v="ORD00960"/>
    <n v="45664.605219907397"/>
    <x v="44"/>
    <s v="Jakarta"/>
    <s v="Tepung Terigu - Brand C"/>
    <x v="2"/>
    <x v="0"/>
    <n v="14000"/>
    <n v="4"/>
    <n v="10"/>
    <n v="56000"/>
    <n v="5600"/>
    <n v="50400"/>
    <n v="97000"/>
    <n v="147400"/>
    <x v="3"/>
    <s v="Completed"/>
    <x v="1"/>
    <n v="3"/>
    <s v="Perempuan"/>
    <x v="0"/>
    <x v="0"/>
    <n v="1"/>
  </r>
  <r>
    <s v="ORD01133"/>
    <n v="45664.648668981477"/>
    <x v="45"/>
    <s v="Jakarta"/>
    <s v="Telur Ayam - Brand A"/>
    <x v="4"/>
    <x v="2"/>
    <n v="22000"/>
    <n v="5"/>
    <n v="20"/>
    <n v="110000"/>
    <n v="22000"/>
    <n v="88000"/>
    <n v="97000"/>
    <n v="185000"/>
    <x v="3"/>
    <s v="Completed"/>
    <x v="2"/>
    <n v="4"/>
    <s v="Perempuan"/>
    <x v="0"/>
    <x v="0"/>
    <n v="1"/>
  </r>
  <r>
    <s v="ORD01821"/>
    <n v="45664.860509259262"/>
    <x v="46"/>
    <s v="Surabaya"/>
    <s v="Tepung Terigu - Brand B"/>
    <x v="2"/>
    <x v="1"/>
    <n v="12000"/>
    <n v="2"/>
    <n v="10"/>
    <n v="24000"/>
    <n v="2400"/>
    <n v="21600"/>
    <n v="74000"/>
    <n v="95600"/>
    <x v="2"/>
    <s v="Completed"/>
    <x v="2"/>
    <n v="1"/>
    <s v="Perempuan"/>
    <x v="0"/>
    <x v="0"/>
    <n v="1"/>
  </r>
  <r>
    <s v="ORD01675"/>
    <n v="45664.912847222222"/>
    <x v="45"/>
    <s v="Jakarta"/>
    <s v="Tepung Terigu - Brand C"/>
    <x v="2"/>
    <x v="0"/>
    <n v="14000"/>
    <n v="2"/>
    <n v="0"/>
    <n v="28000"/>
    <n v="0"/>
    <n v="28000"/>
    <n v="97000"/>
    <n v="125000"/>
    <x v="0"/>
    <s v="Completed"/>
    <x v="2"/>
    <n v="5"/>
    <s v="Perempuan"/>
    <x v="0"/>
    <x v="0"/>
    <n v="1"/>
  </r>
  <r>
    <s v="ORD00169"/>
    <n v="45664.963333333333"/>
    <x v="47"/>
    <s v="Mataram"/>
    <s v="Minyak Goreng - Brand C"/>
    <x v="8"/>
    <x v="0"/>
    <n v="18000"/>
    <n v="3"/>
    <n v="10"/>
    <n v="54000"/>
    <n v="5400"/>
    <n v="48600"/>
    <n v="56000"/>
    <n v="104600"/>
    <x v="3"/>
    <s v="Completed"/>
    <x v="3"/>
    <n v="3"/>
    <s v="Perempuan"/>
    <x v="0"/>
    <x v="0"/>
    <n v="1"/>
  </r>
  <r>
    <s v="ORD00395"/>
    <n v="45665.305381944447"/>
    <x v="20"/>
    <s v="Surabaya"/>
    <s v="Daging Ayam - Brand A"/>
    <x v="1"/>
    <x v="2"/>
    <n v="35000"/>
    <n v="4"/>
    <n v="15"/>
    <n v="140000"/>
    <n v="21000"/>
    <n v="119000"/>
    <n v="74000"/>
    <n v="193000"/>
    <x v="2"/>
    <s v="Completed"/>
    <x v="3"/>
    <n v="1"/>
    <s v="Perempuan"/>
    <x v="0"/>
    <x v="0"/>
    <n v="1"/>
  </r>
  <r>
    <s v="ORD00395"/>
    <n v="45665.305381944447"/>
    <x v="20"/>
    <s v="Surabaya"/>
    <s v="Beras - Brand A"/>
    <x v="0"/>
    <x v="2"/>
    <n v="14000"/>
    <n v="3"/>
    <n v="10"/>
    <n v="42000"/>
    <n v="4200"/>
    <n v="37800"/>
    <n v="0"/>
    <n v="37800"/>
    <x v="2"/>
    <s v="Completed"/>
    <x v="3"/>
    <n v="1"/>
    <s v="Perempuan"/>
    <x v="0"/>
    <x v="0"/>
    <n v="1"/>
  </r>
  <r>
    <s v="ORD01291"/>
    <n v="45666.095324074071"/>
    <x v="48"/>
    <s v="Merauke"/>
    <s v="Daging Ayam - Brand C"/>
    <x v="1"/>
    <x v="0"/>
    <n v="45000"/>
    <n v="1"/>
    <n v="5"/>
    <n v="45000"/>
    <n v="2250"/>
    <n v="42750"/>
    <n v="59000"/>
    <n v="101750"/>
    <x v="1"/>
    <s v="Returned"/>
    <x v="4"/>
    <n v="4"/>
    <s v="Perempuan"/>
    <x v="0"/>
    <x v="0"/>
    <n v="1"/>
  </r>
  <r>
    <s v="ORD00546"/>
    <n v="45667.553425925929"/>
    <x v="49"/>
    <s v="Tanjung Selor"/>
    <s v="Gula Pasir - Brand B"/>
    <x v="6"/>
    <x v="1"/>
    <n v="17000"/>
    <n v="4"/>
    <n v="5"/>
    <n v="68000"/>
    <n v="3400"/>
    <n v="64600"/>
    <n v="26000"/>
    <n v="90600"/>
    <x v="0"/>
    <s v="Returned"/>
    <x v="1"/>
    <n v="3"/>
    <s v="Perempuan"/>
    <x v="0"/>
    <x v="0"/>
    <n v="1"/>
  </r>
  <r>
    <s v="ORD00362"/>
    <n v="45667.567615740743"/>
    <x v="50"/>
    <s v="Manokwari"/>
    <s v="Telur Ayam - Brand C"/>
    <x v="4"/>
    <x v="0"/>
    <n v="28000"/>
    <n v="5"/>
    <n v="10"/>
    <n v="140000"/>
    <n v="14000"/>
    <n v="126000"/>
    <n v="18000"/>
    <n v="144000"/>
    <x v="2"/>
    <s v="Completed"/>
    <x v="0"/>
    <n v="1"/>
    <s v="Perempuan"/>
    <x v="0"/>
    <x v="0"/>
    <n v="1"/>
  </r>
  <r>
    <s v="ORD00362"/>
    <n v="45667.567615740743"/>
    <x v="50"/>
    <s v="Manokwari"/>
    <s v="Tepung Terigu - Brand B"/>
    <x v="2"/>
    <x v="1"/>
    <n v="12000"/>
    <n v="3"/>
    <n v="5"/>
    <n v="36000"/>
    <n v="1800"/>
    <n v="34200"/>
    <n v="0"/>
    <n v="34200"/>
    <x v="2"/>
    <s v="Completed"/>
    <x v="0"/>
    <n v="1"/>
    <s v="Perempuan"/>
    <x v="0"/>
    <x v="0"/>
    <n v="1"/>
  </r>
  <r>
    <s v="ORD01182"/>
    <n v="45667.742673611108"/>
    <x v="51"/>
    <s v="Bandung"/>
    <s v="Tepung Terigu - Brand A"/>
    <x v="2"/>
    <x v="2"/>
    <n v="10000"/>
    <n v="4"/>
    <n v="15"/>
    <n v="40000"/>
    <n v="6000"/>
    <n v="34000"/>
    <n v="0"/>
    <n v="34000"/>
    <x v="3"/>
    <s v="Completed"/>
    <x v="1"/>
    <n v="3"/>
    <s v="Perempuan"/>
    <x v="0"/>
    <x v="0"/>
    <n v="1"/>
  </r>
  <r>
    <s v="ORD01066"/>
    <n v="45667.815451388888"/>
    <x v="52"/>
    <s v="Tanjungpinang"/>
    <s v="Garam - Brand A"/>
    <x v="5"/>
    <x v="2"/>
    <n v="4000"/>
    <n v="3"/>
    <n v="20"/>
    <n v="12000"/>
    <n v="2400"/>
    <n v="9600"/>
    <n v="48000"/>
    <n v="57600"/>
    <x v="3"/>
    <s v="Completed"/>
    <x v="2"/>
    <n v="3"/>
    <s v="Perempuan"/>
    <x v="0"/>
    <x v="0"/>
    <n v="1"/>
  </r>
  <r>
    <s v="ORD00421"/>
    <n v="45668.026458333326"/>
    <x v="53"/>
    <s v="Pekanbaru"/>
    <s v="Daging Ayam - Brand B"/>
    <x v="1"/>
    <x v="1"/>
    <n v="40000"/>
    <n v="1"/>
    <n v="10"/>
    <n v="40000"/>
    <n v="4000"/>
    <n v="36000"/>
    <n v="49000"/>
    <n v="85000"/>
    <x v="2"/>
    <s v="Returned"/>
    <x v="3"/>
    <n v="1"/>
    <s v="Perempuan"/>
    <x v="0"/>
    <x v="0"/>
    <n v="1"/>
  </r>
  <r>
    <s v="ORD00641"/>
    <n v="45668.094340277778"/>
    <x v="54"/>
    <s v="Samarinda"/>
    <s v="Bawang Merah - Brand A"/>
    <x v="3"/>
    <x v="2"/>
    <n v="30000"/>
    <n v="3"/>
    <n v="10"/>
    <n v="90000"/>
    <n v="9000"/>
    <n v="81000"/>
    <n v="43000"/>
    <n v="124000"/>
    <x v="0"/>
    <s v="Completed"/>
    <x v="4"/>
    <n v="2"/>
    <s v="Perempuan"/>
    <x v="0"/>
    <x v="0"/>
    <n v="1"/>
  </r>
  <r>
    <s v="ORD00977"/>
    <n v="45668.260451388887"/>
    <x v="55"/>
    <s v="Pangkalpinang"/>
    <s v="Bawang Merah - Brand C"/>
    <x v="3"/>
    <x v="0"/>
    <n v="40000"/>
    <n v="2"/>
    <n v="5"/>
    <n v="80000"/>
    <n v="4000"/>
    <n v="76000"/>
    <n v="18000"/>
    <n v="94000"/>
    <x v="0"/>
    <s v="Cancelled"/>
    <x v="3"/>
    <n v="4"/>
    <s v="Laki-laki"/>
    <x v="0"/>
    <x v="0"/>
    <n v="1"/>
  </r>
  <r>
    <s v="ORD01848"/>
    <n v="45668.354583333326"/>
    <x v="50"/>
    <s v="Manokwari"/>
    <s v="Garam - Brand A"/>
    <x v="5"/>
    <x v="2"/>
    <n v="4000"/>
    <n v="3"/>
    <n v="10"/>
    <n v="12000"/>
    <n v="1200"/>
    <n v="10800"/>
    <n v="18000"/>
    <n v="28800"/>
    <x v="3"/>
    <s v="Cancelled"/>
    <x v="0"/>
    <n v="2"/>
    <s v="Perempuan"/>
    <x v="0"/>
    <x v="0"/>
    <n v="1"/>
  </r>
  <r>
    <s v="ORD00035"/>
    <n v="45668.670682870368"/>
    <x v="56"/>
    <s v="Pangkalpinang"/>
    <s v="Bawang Merah - Brand B"/>
    <x v="3"/>
    <x v="1"/>
    <n v="35000"/>
    <n v="2"/>
    <n v="5"/>
    <n v="70000"/>
    <n v="3500"/>
    <n v="66500"/>
    <n v="18000"/>
    <n v="84500"/>
    <x v="0"/>
    <s v="Returned"/>
    <x v="4"/>
    <n v="2"/>
    <s v="Laki-laki"/>
    <x v="0"/>
    <x v="0"/>
    <n v="1"/>
  </r>
  <r>
    <s v="ORD01251"/>
    <n v="45668.785856481481"/>
    <x v="57"/>
    <s v="Banda Aceh"/>
    <s v="Telur Ayam - Brand B"/>
    <x v="4"/>
    <x v="1"/>
    <n v="25000"/>
    <n v="4"/>
    <n v="0"/>
    <n v="100000"/>
    <n v="0"/>
    <n v="100000"/>
    <n v="18000"/>
    <n v="118000"/>
    <x v="1"/>
    <s v="Returned"/>
    <x v="4"/>
    <n v="5"/>
    <s v="Perempuan"/>
    <x v="0"/>
    <x v="0"/>
    <n v="1"/>
  </r>
  <r>
    <s v="ORD01639"/>
    <n v="45668.833958333344"/>
    <x v="58"/>
    <s v="Ambon"/>
    <s v="Tepung Terigu - Brand A"/>
    <x v="2"/>
    <x v="2"/>
    <n v="10000"/>
    <n v="3"/>
    <n v="15"/>
    <n v="30000"/>
    <n v="4500"/>
    <n v="25500"/>
    <n v="49000"/>
    <n v="74500"/>
    <x v="2"/>
    <s v="Completed"/>
    <x v="2"/>
    <n v="3"/>
    <s v="Laki-laki"/>
    <x v="0"/>
    <x v="0"/>
    <n v="1"/>
  </r>
  <r>
    <s v="ORD01451"/>
    <n v="45668.920104166667"/>
    <x v="59"/>
    <s v="Samarinda"/>
    <s v="Daging Ayam - Brand A"/>
    <x v="1"/>
    <x v="2"/>
    <n v="35000"/>
    <n v="3"/>
    <n v="5"/>
    <n v="105000"/>
    <n v="5250"/>
    <n v="99750"/>
    <n v="43000"/>
    <n v="142750"/>
    <x v="3"/>
    <s v="Returned"/>
    <x v="4"/>
    <n v="3"/>
    <s v="Perempuan"/>
    <x v="0"/>
    <x v="0"/>
    <n v="1"/>
  </r>
  <r>
    <s v="ORD00148"/>
    <n v="45669.207800925928"/>
    <x v="60"/>
    <s v="Bengkulu"/>
    <s v="Bawang Merah - Brand A"/>
    <x v="3"/>
    <x v="2"/>
    <n v="30000"/>
    <n v="2"/>
    <n v="10"/>
    <n v="60000"/>
    <n v="6000"/>
    <n v="54000"/>
    <n v="72000"/>
    <n v="126000"/>
    <x v="2"/>
    <s v="Cancelled"/>
    <x v="2"/>
    <n v="5"/>
    <s v="Perempuan"/>
    <x v="0"/>
    <x v="0"/>
    <n v="1"/>
  </r>
  <r>
    <s v="ORD00207"/>
    <n v="45669.40253472222"/>
    <x v="61"/>
    <s v="Ambon"/>
    <s v="Gula Pasir - Brand B"/>
    <x v="6"/>
    <x v="1"/>
    <n v="17000"/>
    <n v="4"/>
    <n v="20"/>
    <n v="68000"/>
    <n v="13600"/>
    <n v="54400"/>
    <n v="49000"/>
    <n v="103400"/>
    <x v="1"/>
    <s v="Completed"/>
    <x v="3"/>
    <n v="1"/>
    <s v="Perempuan"/>
    <x v="0"/>
    <x v="0"/>
    <n v="1"/>
  </r>
  <r>
    <s v="ORD00207"/>
    <n v="45669.40253472222"/>
    <x v="61"/>
    <s v="Ambon"/>
    <s v="Tepung Terigu - Brand A"/>
    <x v="2"/>
    <x v="2"/>
    <n v="10000"/>
    <n v="4"/>
    <n v="10"/>
    <n v="40000"/>
    <n v="4000"/>
    <n v="36000"/>
    <n v="0"/>
    <n v="36000"/>
    <x v="1"/>
    <s v="Completed"/>
    <x v="3"/>
    <n v="1"/>
    <s v="Perempuan"/>
    <x v="0"/>
    <x v="0"/>
    <n v="1"/>
  </r>
  <r>
    <s v="ORD00569"/>
    <n v="45669.504074074073"/>
    <x v="56"/>
    <s v="Pangkalpinang"/>
    <s v="Bawang Merah - Brand A"/>
    <x v="3"/>
    <x v="2"/>
    <n v="30000"/>
    <n v="5"/>
    <n v="5"/>
    <n v="150000"/>
    <n v="7500"/>
    <n v="142500"/>
    <n v="18000"/>
    <n v="160500"/>
    <x v="1"/>
    <s v="Cancelled"/>
    <x v="1"/>
    <n v="4"/>
    <s v="Laki-laki"/>
    <x v="0"/>
    <x v="0"/>
    <n v="1"/>
  </r>
  <r>
    <s v="ORD01805"/>
    <n v="45669.956365740742"/>
    <x v="62"/>
    <s v="Bandung"/>
    <s v="Garam - Brand C"/>
    <x v="5"/>
    <x v="0"/>
    <n v="6000"/>
    <n v="2"/>
    <n v="0"/>
    <n v="12000"/>
    <n v="0"/>
    <n v="12000"/>
    <n v="0"/>
    <n v="12000"/>
    <x v="0"/>
    <s v="Completed"/>
    <x v="4"/>
    <n v="5"/>
    <s v="Perempuan"/>
    <x v="0"/>
    <x v="0"/>
    <n v="1"/>
  </r>
  <r>
    <s v="ORD00599"/>
    <n v="45670.63726851852"/>
    <x v="63"/>
    <s v="Pangkalpinang"/>
    <s v="Gula Pasir - Brand C"/>
    <x v="6"/>
    <x v="0"/>
    <n v="18000"/>
    <n v="4"/>
    <n v="10"/>
    <n v="72000"/>
    <n v="7200"/>
    <n v="64800"/>
    <n v="18000"/>
    <n v="82800"/>
    <x v="1"/>
    <s v="Completed"/>
    <x v="4"/>
    <n v="3"/>
    <s v="Laki-laki"/>
    <x v="0"/>
    <x v="0"/>
    <n v="1"/>
  </r>
  <r>
    <s v="ORD01518"/>
    <n v="45670.812037037038"/>
    <x v="64"/>
    <s v="Makassar"/>
    <s v="Minyak Goreng - Brand A"/>
    <x v="8"/>
    <x v="2"/>
    <n v="16000"/>
    <n v="5"/>
    <n v="0"/>
    <n v="80000"/>
    <n v="0"/>
    <n v="80000"/>
    <n v="84000"/>
    <n v="164000"/>
    <x v="2"/>
    <s v="Completed"/>
    <x v="4"/>
    <n v="3"/>
    <s v="Laki-laki"/>
    <x v="0"/>
    <x v="0"/>
    <n v="1"/>
  </r>
  <r>
    <s v="ORD00199"/>
    <n v="45670.892187500001"/>
    <x v="65"/>
    <s v="Mataram"/>
    <s v="Telur Ayam - Brand B"/>
    <x v="4"/>
    <x v="1"/>
    <n v="25000"/>
    <n v="3"/>
    <n v="0"/>
    <n v="75000"/>
    <n v="0"/>
    <n v="75000"/>
    <n v="56000"/>
    <n v="131000"/>
    <x v="1"/>
    <s v="Completed"/>
    <x v="4"/>
    <n v="3"/>
    <s v="Perempuan"/>
    <x v="0"/>
    <x v="0"/>
    <n v="1"/>
  </r>
  <r>
    <s v="ORD00005"/>
    <n v="45671.350092592591"/>
    <x v="66"/>
    <s v="Semarang"/>
    <s v="Bawang Merah - Brand C"/>
    <x v="3"/>
    <x v="0"/>
    <n v="40000"/>
    <n v="5"/>
    <n v="10"/>
    <n v="200000"/>
    <n v="20000"/>
    <n v="180000"/>
    <n v="76000"/>
    <n v="256000"/>
    <x v="2"/>
    <s v="Cancelled"/>
    <x v="1"/>
    <n v="5"/>
    <s v="Laki-laki"/>
    <x v="0"/>
    <x v="0"/>
    <n v="1"/>
  </r>
  <r>
    <s v="ORD00173"/>
    <n v="45671.418981481482"/>
    <x v="36"/>
    <s v="Tanjung Selor"/>
    <s v="Tepung Terigu - Brand B"/>
    <x v="2"/>
    <x v="1"/>
    <n v="12000"/>
    <n v="4"/>
    <n v="0"/>
    <n v="48000"/>
    <n v="0"/>
    <n v="48000"/>
    <n v="26000"/>
    <n v="74000"/>
    <x v="1"/>
    <s v="Completed"/>
    <x v="0"/>
    <n v="2"/>
    <s v="Perempuan"/>
    <x v="0"/>
    <x v="0"/>
    <n v="1"/>
  </r>
  <r>
    <s v="ORD01715"/>
    <n v="45671.572476851848"/>
    <x v="67"/>
    <s v="Surabaya"/>
    <s v="Susu Bubuk - Brand C"/>
    <x v="7"/>
    <x v="0"/>
    <n v="55000"/>
    <n v="5"/>
    <n v="20"/>
    <n v="275000"/>
    <n v="55000"/>
    <n v="220000"/>
    <n v="74000"/>
    <n v="294000"/>
    <x v="0"/>
    <s v="Completed"/>
    <x v="3"/>
    <n v="4"/>
    <s v="Perempuan"/>
    <x v="0"/>
    <x v="0"/>
    <n v="1"/>
  </r>
  <r>
    <s v="ORD01234"/>
    <n v="45671.795902777783"/>
    <x v="68"/>
    <s v="Kendari"/>
    <s v="Minyak Goreng - Brand A"/>
    <x v="8"/>
    <x v="2"/>
    <n v="16000"/>
    <n v="4"/>
    <n v="0"/>
    <n v="64000"/>
    <n v="0"/>
    <n v="64000"/>
    <n v="59000"/>
    <n v="123000"/>
    <x v="0"/>
    <s v="Completed"/>
    <x v="3"/>
    <n v="2"/>
    <s v="Perempuan"/>
    <x v="0"/>
    <x v="0"/>
    <n v="1"/>
  </r>
  <r>
    <s v="ORD00410"/>
    <n v="45671.801307870373"/>
    <x v="69"/>
    <s v="Bandung"/>
    <s v="Garam - Brand B"/>
    <x v="5"/>
    <x v="1"/>
    <n v="5000"/>
    <n v="4"/>
    <n v="5"/>
    <n v="20000"/>
    <n v="1000"/>
    <n v="19000"/>
    <n v="0"/>
    <n v="19000"/>
    <x v="2"/>
    <s v="Completed"/>
    <x v="4"/>
    <n v="3"/>
    <s v="Perempuan"/>
    <x v="0"/>
    <x v="0"/>
    <n v="1"/>
  </r>
  <r>
    <s v="ORD00623"/>
    <n v="45672.026736111111"/>
    <x v="70"/>
    <s v="Bengkulu"/>
    <s v="Telur Ayam - Brand C"/>
    <x v="4"/>
    <x v="0"/>
    <n v="28000"/>
    <n v="2"/>
    <n v="20"/>
    <n v="56000"/>
    <n v="11200"/>
    <n v="44800"/>
    <n v="72000"/>
    <n v="116800"/>
    <x v="3"/>
    <s v="Completed"/>
    <x v="1"/>
    <n v="2"/>
    <s v="Laki-laki"/>
    <x v="0"/>
    <x v="0"/>
    <n v="1"/>
  </r>
  <r>
    <s v="ORD00980"/>
    <n v="45672.244618055563"/>
    <x v="71"/>
    <s v="Pangkalpinang"/>
    <s v="Telur Ayam - Brand C"/>
    <x v="4"/>
    <x v="0"/>
    <n v="28000"/>
    <n v="3"/>
    <n v="0"/>
    <n v="84000"/>
    <n v="0"/>
    <n v="84000"/>
    <n v="18000"/>
    <n v="102000"/>
    <x v="1"/>
    <s v="Completed"/>
    <x v="3"/>
    <n v="1"/>
    <s v="Perempuan"/>
    <x v="0"/>
    <x v="0"/>
    <n v="1"/>
  </r>
  <r>
    <s v="ORD00226"/>
    <n v="45672.429814814823"/>
    <x v="72"/>
    <s v="Yogyakarta"/>
    <s v="Bawang Merah - Brand C"/>
    <x v="3"/>
    <x v="0"/>
    <n v="40000"/>
    <n v="1"/>
    <n v="0"/>
    <n v="40000"/>
    <n v="0"/>
    <n v="40000"/>
    <n v="78000"/>
    <n v="118000"/>
    <x v="0"/>
    <s v="Completed"/>
    <x v="1"/>
    <n v="5"/>
    <s v="Perempuan"/>
    <x v="0"/>
    <x v="0"/>
    <n v="1"/>
  </r>
  <r>
    <s v="ORD00371"/>
    <n v="45672.551921296297"/>
    <x v="73"/>
    <s v="Pekanbaru"/>
    <s v="Minyak Goreng - Brand A"/>
    <x v="8"/>
    <x v="2"/>
    <n v="16000"/>
    <n v="3"/>
    <n v="0"/>
    <n v="48000"/>
    <n v="0"/>
    <n v="48000"/>
    <n v="49000"/>
    <n v="97000"/>
    <x v="0"/>
    <s v="Completed"/>
    <x v="4"/>
    <n v="3"/>
    <s v="Perempuan"/>
    <x v="0"/>
    <x v="0"/>
    <n v="1"/>
  </r>
  <r>
    <s v="ORD00830"/>
    <n v="45672.572013888886"/>
    <x v="20"/>
    <s v="Surabaya"/>
    <s v="Tepung Terigu - Brand C"/>
    <x v="2"/>
    <x v="0"/>
    <n v="14000"/>
    <n v="5"/>
    <n v="5"/>
    <n v="70000"/>
    <n v="3500"/>
    <n v="66500"/>
    <n v="74000"/>
    <n v="140500"/>
    <x v="1"/>
    <s v="Completed"/>
    <x v="0"/>
    <n v="2"/>
    <s v="Perempuan"/>
    <x v="0"/>
    <x v="0"/>
    <n v="1"/>
  </r>
  <r>
    <s v="ORD00925"/>
    <n v="45672.579664351862"/>
    <x v="74"/>
    <s v="Tanjungpinang"/>
    <s v="Telur Ayam - Brand B"/>
    <x v="4"/>
    <x v="1"/>
    <n v="25000"/>
    <n v="3"/>
    <n v="0"/>
    <n v="75000"/>
    <n v="0"/>
    <n v="75000"/>
    <n v="48000"/>
    <n v="123000"/>
    <x v="1"/>
    <s v="Completed"/>
    <x v="2"/>
    <n v="4"/>
    <s v="Perempuan"/>
    <x v="0"/>
    <x v="0"/>
    <n v="1"/>
  </r>
  <r>
    <s v="ORD00658"/>
    <n v="45672.77065972222"/>
    <x v="75"/>
    <s v="Manado"/>
    <s v="Daging Ayam - Brand A"/>
    <x v="1"/>
    <x v="2"/>
    <n v="35000"/>
    <n v="3"/>
    <n v="10"/>
    <n v="105000"/>
    <n v="10500"/>
    <n v="94500"/>
    <n v="93000"/>
    <n v="187500"/>
    <x v="3"/>
    <s v="Completed"/>
    <x v="2"/>
    <n v="4"/>
    <s v="Perempuan"/>
    <x v="0"/>
    <x v="0"/>
    <n v="1"/>
  </r>
  <r>
    <s v="ORD00170"/>
    <n v="45673.124606481477"/>
    <x v="45"/>
    <s v="Jakarta"/>
    <s v="Bawang Merah - Brand A"/>
    <x v="3"/>
    <x v="2"/>
    <n v="30000"/>
    <n v="3"/>
    <n v="5"/>
    <n v="90000"/>
    <n v="4500"/>
    <n v="85500"/>
    <n v="97000"/>
    <n v="182500"/>
    <x v="3"/>
    <s v="Completed"/>
    <x v="2"/>
    <n v="5"/>
    <s v="Perempuan"/>
    <x v="0"/>
    <x v="0"/>
    <n v="1"/>
  </r>
  <r>
    <s v="ORD00170"/>
    <n v="45673.124606481477"/>
    <x v="45"/>
    <s v="Jakarta"/>
    <s v="Garam - Brand A"/>
    <x v="5"/>
    <x v="2"/>
    <n v="4000"/>
    <n v="2"/>
    <n v="15"/>
    <n v="8000"/>
    <n v="1200"/>
    <n v="6800"/>
    <n v="0"/>
    <n v="6800"/>
    <x v="3"/>
    <s v="Completed"/>
    <x v="2"/>
    <n v="5"/>
    <s v="Perempuan"/>
    <x v="0"/>
    <x v="0"/>
    <n v="1"/>
  </r>
  <r>
    <s v="ORD00006"/>
    <n v="45673.358749999999"/>
    <x v="76"/>
    <s v="Mataram"/>
    <s v="Susu Bubuk - Brand B"/>
    <x v="7"/>
    <x v="1"/>
    <n v="50000"/>
    <n v="2"/>
    <n v="10"/>
    <n v="100000"/>
    <n v="10000"/>
    <n v="90000"/>
    <n v="56000"/>
    <n v="146000"/>
    <x v="3"/>
    <s v="Completed"/>
    <x v="4"/>
    <n v="5"/>
    <s v="Laki-laki"/>
    <x v="0"/>
    <x v="0"/>
    <n v="1"/>
  </r>
  <r>
    <s v="ORD01850"/>
    <n v="45673.649826388893"/>
    <x v="77"/>
    <s v="Medan"/>
    <s v="Telur Ayam - Brand C"/>
    <x v="4"/>
    <x v="0"/>
    <n v="28000"/>
    <n v="2"/>
    <n v="20"/>
    <n v="56000"/>
    <n v="11200"/>
    <n v="44800"/>
    <n v="79000"/>
    <n v="123800"/>
    <x v="2"/>
    <s v="Returned"/>
    <x v="3"/>
    <n v="3"/>
    <s v="Laki-laki"/>
    <x v="0"/>
    <x v="0"/>
    <n v="1"/>
  </r>
  <r>
    <s v="ORD01424"/>
    <n v="45673.654374999998"/>
    <x v="78"/>
    <s v="Mataram"/>
    <s v="Telur Ayam - Brand A"/>
    <x v="4"/>
    <x v="2"/>
    <n v="22000"/>
    <n v="4"/>
    <n v="15"/>
    <n v="88000"/>
    <n v="13200"/>
    <n v="74800"/>
    <n v="56000"/>
    <n v="130800"/>
    <x v="2"/>
    <s v="Completed"/>
    <x v="3"/>
    <n v="4"/>
    <s v="Perempuan"/>
    <x v="0"/>
    <x v="0"/>
    <n v="1"/>
  </r>
  <r>
    <s v="ORD01500"/>
    <n v="45673.704085648147"/>
    <x v="79"/>
    <s v="Pontianak"/>
    <s v="Daging Ayam - Brand C"/>
    <x v="1"/>
    <x v="0"/>
    <n v="45000"/>
    <n v="3"/>
    <n v="10"/>
    <n v="135000"/>
    <n v="13500"/>
    <n v="121500"/>
    <n v="85000"/>
    <n v="206500"/>
    <x v="1"/>
    <s v="Completed"/>
    <x v="2"/>
    <n v="2"/>
    <s v="Perempuan"/>
    <x v="0"/>
    <x v="0"/>
    <n v="1"/>
  </r>
  <r>
    <s v="ORD00050"/>
    <n v="45673.794293981482"/>
    <x v="80"/>
    <s v="Manado"/>
    <s v="Gula Pasir - Brand C"/>
    <x v="6"/>
    <x v="0"/>
    <n v="18000"/>
    <n v="1"/>
    <n v="20"/>
    <n v="18000"/>
    <n v="3600"/>
    <n v="14400"/>
    <n v="93000"/>
    <n v="107400"/>
    <x v="0"/>
    <s v="Cancelled"/>
    <x v="1"/>
    <n v="3"/>
    <s v="Laki-laki"/>
    <x v="0"/>
    <x v="0"/>
    <n v="1"/>
  </r>
  <r>
    <s v="ORD01342"/>
    <n v="45673.907708333332"/>
    <x v="19"/>
    <s v="Denpasar"/>
    <s v="Telur Ayam - Brand C"/>
    <x v="4"/>
    <x v="0"/>
    <n v="28000"/>
    <n v="1"/>
    <n v="5"/>
    <n v="28000"/>
    <n v="1400"/>
    <n v="26600"/>
    <n v="80000"/>
    <n v="106600"/>
    <x v="1"/>
    <s v="Completed"/>
    <x v="4"/>
    <n v="2"/>
    <s v="Perempuan"/>
    <x v="0"/>
    <x v="0"/>
    <n v="1"/>
  </r>
  <r>
    <s v="ORD00256"/>
    <n v="45674.179270833331"/>
    <x v="81"/>
    <s v="Nabire"/>
    <s v="Garam - Brand C"/>
    <x v="5"/>
    <x v="0"/>
    <n v="6000"/>
    <n v="5"/>
    <n v="20"/>
    <n v="30000"/>
    <n v="6000"/>
    <n v="24000"/>
    <n v="89000"/>
    <n v="113000"/>
    <x v="1"/>
    <s v="Completed"/>
    <x v="2"/>
    <n v="5"/>
    <s v="Perempuan"/>
    <x v="0"/>
    <x v="0"/>
    <n v="1"/>
  </r>
  <r>
    <s v="ORD01292"/>
    <n v="45674.37940972222"/>
    <x v="2"/>
    <s v="Medan"/>
    <s v="Tepung Terigu - Brand A"/>
    <x v="2"/>
    <x v="2"/>
    <n v="10000"/>
    <n v="4"/>
    <n v="15"/>
    <n v="40000"/>
    <n v="6000"/>
    <n v="34000"/>
    <n v="79000"/>
    <n v="113000"/>
    <x v="2"/>
    <s v="Completed"/>
    <x v="2"/>
    <n v="2"/>
    <s v="Perempuan"/>
    <x v="0"/>
    <x v="0"/>
    <n v="1"/>
  </r>
  <r>
    <s v="ORD00026"/>
    <n v="45674.63821759259"/>
    <x v="82"/>
    <s v="Sorong"/>
    <s v="Beras - Brand B"/>
    <x v="0"/>
    <x v="1"/>
    <n v="15000"/>
    <n v="1"/>
    <n v="0"/>
    <n v="15000"/>
    <n v="0"/>
    <n v="15000"/>
    <n v="87000"/>
    <n v="102000"/>
    <x v="0"/>
    <s v="Completed"/>
    <x v="2"/>
    <n v="4"/>
    <s v="Laki-laki"/>
    <x v="0"/>
    <x v="0"/>
    <n v="1"/>
  </r>
  <r>
    <s v="ORD00812"/>
    <n v="45674.68172453704"/>
    <x v="83"/>
    <s v="Mataram"/>
    <s v="Tepung Terigu - Brand A"/>
    <x v="2"/>
    <x v="2"/>
    <n v="10000"/>
    <n v="4"/>
    <n v="15"/>
    <n v="40000"/>
    <n v="6000"/>
    <n v="34000"/>
    <n v="56000"/>
    <n v="90000"/>
    <x v="1"/>
    <s v="Completed"/>
    <x v="1"/>
    <n v="2"/>
    <s v="Perempuan"/>
    <x v="0"/>
    <x v="0"/>
    <n v="1"/>
  </r>
  <r>
    <s v="ORD01062"/>
    <n v="45674.723275462973"/>
    <x v="84"/>
    <s v="Mataram"/>
    <s v="Garam - Brand C"/>
    <x v="5"/>
    <x v="0"/>
    <n v="6000"/>
    <n v="1"/>
    <n v="20"/>
    <n v="6000"/>
    <n v="1200"/>
    <n v="4800"/>
    <n v="56000"/>
    <n v="60800"/>
    <x v="3"/>
    <s v="Returned"/>
    <x v="3"/>
    <n v="4"/>
    <s v="Laki-laki"/>
    <x v="0"/>
    <x v="0"/>
    <n v="1"/>
  </r>
  <r>
    <s v="ORD01461"/>
    <n v="45674.734398148154"/>
    <x v="85"/>
    <s v="Bandung"/>
    <s v="Minyak Goreng - Brand A"/>
    <x v="8"/>
    <x v="2"/>
    <n v="16000"/>
    <n v="4"/>
    <n v="5"/>
    <n v="64000"/>
    <n v="3200"/>
    <n v="60800"/>
    <n v="0"/>
    <n v="60800"/>
    <x v="3"/>
    <s v="Completed"/>
    <x v="1"/>
    <n v="5"/>
    <s v="Perempuan"/>
    <x v="0"/>
    <x v="0"/>
    <n v="1"/>
  </r>
  <r>
    <s v="ORD00931"/>
    <n v="45675.224085648151"/>
    <x v="86"/>
    <s v="Padang"/>
    <s v="Tepung Terigu - Brand A"/>
    <x v="2"/>
    <x v="2"/>
    <n v="10000"/>
    <n v="1"/>
    <n v="20"/>
    <n v="10000"/>
    <n v="2000"/>
    <n v="8000"/>
    <n v="68000"/>
    <n v="76000"/>
    <x v="0"/>
    <s v="Completed"/>
    <x v="1"/>
    <n v="5"/>
    <s v="Perempuan"/>
    <x v="0"/>
    <x v="0"/>
    <n v="1"/>
  </r>
  <r>
    <s v="ORD01702"/>
    <n v="45675.290925925918"/>
    <x v="87"/>
    <s v="Palu"/>
    <s v="Garam - Brand A"/>
    <x v="5"/>
    <x v="2"/>
    <n v="4000"/>
    <n v="2"/>
    <n v="5"/>
    <n v="8000"/>
    <n v="400"/>
    <n v="7600"/>
    <n v="67000"/>
    <n v="74600"/>
    <x v="1"/>
    <s v="Returned"/>
    <x v="3"/>
    <n v="2"/>
    <s v="Perempuan"/>
    <x v="0"/>
    <x v="0"/>
    <n v="1"/>
  </r>
  <r>
    <s v="ORD01369"/>
    <n v="45675.588506944441"/>
    <x v="88"/>
    <s v="Banda Aceh"/>
    <s v="Susu Bubuk - Brand B"/>
    <x v="7"/>
    <x v="1"/>
    <n v="50000"/>
    <n v="3"/>
    <n v="20"/>
    <n v="150000"/>
    <n v="30000"/>
    <n v="120000"/>
    <n v="18000"/>
    <n v="138000"/>
    <x v="3"/>
    <s v="Completed"/>
    <x v="1"/>
    <n v="5"/>
    <s v="Perempuan"/>
    <x v="0"/>
    <x v="0"/>
    <n v="1"/>
  </r>
  <r>
    <s v="ORD00523"/>
    <n v="45675.945648148147"/>
    <x v="89"/>
    <s v="Yogyakarta"/>
    <s v="Minyak Goreng - Brand C"/>
    <x v="8"/>
    <x v="0"/>
    <n v="18000"/>
    <n v="4"/>
    <n v="20"/>
    <n v="72000"/>
    <n v="14400"/>
    <n v="57600"/>
    <n v="78000"/>
    <n v="135600"/>
    <x v="1"/>
    <s v="Completed"/>
    <x v="4"/>
    <n v="2"/>
    <s v="Perempuan"/>
    <x v="0"/>
    <x v="0"/>
    <n v="1"/>
  </r>
  <r>
    <s v="ORD00763"/>
    <n v="45676.33221064815"/>
    <x v="90"/>
    <s v="Yogyakarta"/>
    <s v="Telur Ayam - Brand C"/>
    <x v="4"/>
    <x v="0"/>
    <n v="28000"/>
    <n v="5"/>
    <n v="10"/>
    <n v="140000"/>
    <n v="14000"/>
    <n v="126000"/>
    <n v="78000"/>
    <n v="204000"/>
    <x v="2"/>
    <s v="Completed"/>
    <x v="1"/>
    <n v="5"/>
    <s v="Perempuan"/>
    <x v="0"/>
    <x v="0"/>
    <n v="1"/>
  </r>
  <r>
    <s v="ORD00534"/>
    <n v="45676.351226851853"/>
    <x v="91"/>
    <s v="Serang"/>
    <s v="Telur Ayam - Brand C"/>
    <x v="4"/>
    <x v="0"/>
    <n v="28000"/>
    <n v="2"/>
    <n v="20"/>
    <n v="56000"/>
    <n v="11200"/>
    <n v="44800"/>
    <n v="57000"/>
    <n v="101800"/>
    <x v="3"/>
    <s v="Completed"/>
    <x v="3"/>
    <n v="4"/>
    <s v="Perempuan"/>
    <x v="0"/>
    <x v="0"/>
    <n v="1"/>
  </r>
  <r>
    <s v="ORD00281"/>
    <n v="45676.408773148149"/>
    <x v="92"/>
    <s v="Yogyakarta"/>
    <s v="Telur Ayam - Brand C"/>
    <x v="4"/>
    <x v="0"/>
    <n v="28000"/>
    <n v="2"/>
    <n v="15"/>
    <n v="56000"/>
    <n v="8400"/>
    <n v="47600"/>
    <n v="78000"/>
    <n v="125600"/>
    <x v="0"/>
    <s v="Completed"/>
    <x v="1"/>
    <n v="3"/>
    <s v="Perempuan"/>
    <x v="0"/>
    <x v="0"/>
    <n v="1"/>
  </r>
  <r>
    <s v="ORD00102"/>
    <n v="45676.610335648147"/>
    <x v="93"/>
    <s v="Kendari"/>
    <s v="Daging Ayam - Brand C"/>
    <x v="1"/>
    <x v="0"/>
    <n v="45000"/>
    <n v="4"/>
    <n v="15"/>
    <n v="180000"/>
    <n v="27000"/>
    <n v="153000"/>
    <n v="59000"/>
    <n v="212000"/>
    <x v="3"/>
    <s v="Completed"/>
    <x v="1"/>
    <n v="4"/>
    <s v="Perempuan"/>
    <x v="0"/>
    <x v="0"/>
    <n v="1"/>
  </r>
  <r>
    <s v="ORD00102"/>
    <n v="45676.610335648147"/>
    <x v="93"/>
    <s v="Kendari"/>
    <s v="Beras - Brand C"/>
    <x v="0"/>
    <x v="0"/>
    <n v="16000"/>
    <n v="1"/>
    <n v="10"/>
    <n v="16000"/>
    <n v="1600"/>
    <n v="14400"/>
    <n v="0"/>
    <n v="14400"/>
    <x v="3"/>
    <s v="Completed"/>
    <x v="1"/>
    <n v="4"/>
    <s v="Perempuan"/>
    <x v="0"/>
    <x v="0"/>
    <n v="1"/>
  </r>
  <r>
    <s v="ORD01681"/>
    <n v="45676.735034722216"/>
    <x v="86"/>
    <s v="Padang"/>
    <s v="Susu Bubuk - Brand B"/>
    <x v="7"/>
    <x v="1"/>
    <n v="50000"/>
    <n v="5"/>
    <n v="20"/>
    <n v="250000"/>
    <n v="50000"/>
    <n v="200000"/>
    <n v="68000"/>
    <n v="268000"/>
    <x v="2"/>
    <s v="Completed"/>
    <x v="3"/>
    <n v="3"/>
    <s v="Perempuan"/>
    <x v="0"/>
    <x v="0"/>
    <n v="1"/>
  </r>
  <r>
    <s v="ORD01729"/>
    <n v="45676.761990740742"/>
    <x v="94"/>
    <s v="Banda Aceh"/>
    <s v="Tepung Terigu - Brand A"/>
    <x v="2"/>
    <x v="2"/>
    <n v="10000"/>
    <n v="3"/>
    <n v="5"/>
    <n v="30000"/>
    <n v="1500"/>
    <n v="28500"/>
    <n v="18000"/>
    <n v="46500"/>
    <x v="3"/>
    <s v="Completed"/>
    <x v="4"/>
    <n v="3"/>
    <s v="Perempuan"/>
    <x v="0"/>
    <x v="0"/>
    <n v="1"/>
  </r>
  <r>
    <s v="ORD00187"/>
    <n v="45676.824733796297"/>
    <x v="95"/>
    <s v="Tanjung Selor"/>
    <s v="Garam - Brand C"/>
    <x v="5"/>
    <x v="0"/>
    <n v="6000"/>
    <n v="2"/>
    <n v="20"/>
    <n v="12000"/>
    <n v="2400"/>
    <n v="9600"/>
    <n v="26000"/>
    <n v="35600"/>
    <x v="3"/>
    <s v="Completed"/>
    <x v="2"/>
    <n v="1"/>
    <s v="Perempuan"/>
    <x v="0"/>
    <x v="0"/>
    <n v="1"/>
  </r>
  <r>
    <s v="ORD00614"/>
    <n v="45676.858136574083"/>
    <x v="96"/>
    <s v="Denpasar"/>
    <s v="Minyak Goreng - Brand B"/>
    <x v="8"/>
    <x v="1"/>
    <n v="17000"/>
    <n v="2"/>
    <n v="0"/>
    <n v="34000"/>
    <n v="0"/>
    <n v="34000"/>
    <n v="80000"/>
    <n v="114000"/>
    <x v="3"/>
    <s v="Completed"/>
    <x v="0"/>
    <n v="4"/>
    <s v="Perempuan"/>
    <x v="0"/>
    <x v="0"/>
    <n v="1"/>
  </r>
  <r>
    <s v="ORD00337"/>
    <n v="45676.972048611111"/>
    <x v="97"/>
    <s v="Palembang"/>
    <s v="Garam - Brand B"/>
    <x v="5"/>
    <x v="1"/>
    <n v="5000"/>
    <n v="3"/>
    <n v="10"/>
    <n v="15000"/>
    <n v="1500"/>
    <n v="13500"/>
    <n v="17000"/>
    <n v="30500"/>
    <x v="2"/>
    <s v="Completed"/>
    <x v="4"/>
    <n v="4"/>
    <s v="Perempuan"/>
    <x v="0"/>
    <x v="0"/>
    <n v="1"/>
  </r>
  <r>
    <s v="ORD00419"/>
    <n v="45677.306423611109"/>
    <x v="24"/>
    <s v="Pangkalpinang"/>
    <s v="Daging Ayam - Brand C"/>
    <x v="1"/>
    <x v="0"/>
    <n v="45000"/>
    <n v="5"/>
    <n v="15"/>
    <n v="225000"/>
    <n v="33750"/>
    <n v="191250"/>
    <n v="18000"/>
    <n v="209250"/>
    <x v="3"/>
    <s v="Completed"/>
    <x v="2"/>
    <n v="3"/>
    <s v="Perempuan"/>
    <x v="0"/>
    <x v="0"/>
    <n v="1"/>
  </r>
  <r>
    <s v="ORD00419"/>
    <n v="45677.306423611109"/>
    <x v="24"/>
    <s v="Pangkalpinang"/>
    <s v="Gula Pasir - Brand A"/>
    <x v="6"/>
    <x v="2"/>
    <n v="16000"/>
    <n v="4"/>
    <n v="0"/>
    <n v="64000"/>
    <n v="0"/>
    <n v="64000"/>
    <n v="0"/>
    <n v="64000"/>
    <x v="3"/>
    <s v="Completed"/>
    <x v="2"/>
    <n v="3"/>
    <s v="Perempuan"/>
    <x v="0"/>
    <x v="0"/>
    <n v="1"/>
  </r>
  <r>
    <s v="ORD00749"/>
    <n v="45677.359699074077"/>
    <x v="98"/>
    <s v="Bandung"/>
    <s v="Beras - Brand C"/>
    <x v="0"/>
    <x v="0"/>
    <n v="16000"/>
    <n v="1"/>
    <n v="0"/>
    <n v="16000"/>
    <n v="0"/>
    <n v="16000"/>
    <n v="0"/>
    <n v="16000"/>
    <x v="3"/>
    <s v="Returned"/>
    <x v="0"/>
    <n v="4"/>
    <s v="Perempuan"/>
    <x v="0"/>
    <x v="0"/>
    <n v="1"/>
  </r>
  <r>
    <s v="ORD01817"/>
    <n v="45677.636365740742"/>
    <x v="20"/>
    <s v="Surabaya"/>
    <s v="Gula Pasir - Brand C"/>
    <x v="6"/>
    <x v="0"/>
    <n v="18000"/>
    <n v="5"/>
    <n v="0"/>
    <n v="90000"/>
    <n v="0"/>
    <n v="90000"/>
    <n v="74000"/>
    <n v="164000"/>
    <x v="1"/>
    <s v="Completed"/>
    <x v="0"/>
    <n v="1"/>
    <s v="Perempuan"/>
    <x v="0"/>
    <x v="0"/>
    <n v="1"/>
  </r>
  <r>
    <s v="ORD00712"/>
    <n v="45677.75513888889"/>
    <x v="99"/>
    <s v="Padang"/>
    <s v="Beras - Brand B"/>
    <x v="0"/>
    <x v="1"/>
    <n v="15000"/>
    <n v="5"/>
    <n v="5"/>
    <n v="75000"/>
    <n v="3750"/>
    <n v="71250"/>
    <n v="68000"/>
    <n v="139250"/>
    <x v="3"/>
    <s v="Completed"/>
    <x v="4"/>
    <n v="4"/>
    <s v="Perempuan"/>
    <x v="0"/>
    <x v="0"/>
    <n v="1"/>
  </r>
  <r>
    <s v="ORD00531"/>
    <n v="45677.83971064815"/>
    <x v="100"/>
    <s v="Sorong"/>
    <s v="Tepung Terigu - Brand C"/>
    <x v="2"/>
    <x v="0"/>
    <n v="14000"/>
    <n v="3"/>
    <n v="10"/>
    <n v="42000"/>
    <n v="4200"/>
    <n v="37800"/>
    <n v="87000"/>
    <n v="124800"/>
    <x v="0"/>
    <s v="Completed"/>
    <x v="1"/>
    <n v="5"/>
    <s v="Perempuan"/>
    <x v="0"/>
    <x v="0"/>
    <n v="1"/>
  </r>
  <r>
    <s v="ORD00185"/>
    <n v="45678.375023148154"/>
    <x v="101"/>
    <s v="Jayapura"/>
    <s v="Gula Pasir - Brand C"/>
    <x v="6"/>
    <x v="0"/>
    <n v="18000"/>
    <n v="4"/>
    <n v="10"/>
    <n v="72000"/>
    <n v="7200"/>
    <n v="64800"/>
    <n v="30000"/>
    <n v="94800"/>
    <x v="1"/>
    <s v="Completed"/>
    <x v="0"/>
    <n v="5"/>
    <s v="Perempuan"/>
    <x v="0"/>
    <x v="0"/>
    <n v="1"/>
  </r>
  <r>
    <s v="ORD00948"/>
    <n v="45678.638749999998"/>
    <x v="46"/>
    <s v="Surabaya"/>
    <s v="Gula Pasir - Brand A"/>
    <x v="6"/>
    <x v="2"/>
    <n v="16000"/>
    <n v="2"/>
    <n v="20"/>
    <n v="32000"/>
    <n v="6400"/>
    <n v="25600"/>
    <n v="74000"/>
    <n v="99600"/>
    <x v="1"/>
    <s v="Completed"/>
    <x v="0"/>
    <n v="2"/>
    <s v="Perempuan"/>
    <x v="0"/>
    <x v="0"/>
    <n v="1"/>
  </r>
  <r>
    <s v="ORD00480"/>
    <n v="45678.796331018522"/>
    <x v="102"/>
    <s v="Surabaya"/>
    <s v="Bawang Merah - Brand A"/>
    <x v="3"/>
    <x v="2"/>
    <n v="30000"/>
    <n v="4"/>
    <n v="0"/>
    <n v="120000"/>
    <n v="0"/>
    <n v="120000"/>
    <n v="74000"/>
    <n v="194000"/>
    <x v="0"/>
    <s v="Returned"/>
    <x v="0"/>
    <n v="1"/>
    <s v="Perempuan"/>
    <x v="0"/>
    <x v="0"/>
    <n v="1"/>
  </r>
  <r>
    <s v="ORD00129"/>
    <n v="45678.822465277779"/>
    <x v="103"/>
    <s v="Denpasar"/>
    <s v="Susu Bubuk - Brand C"/>
    <x v="7"/>
    <x v="0"/>
    <n v="55000"/>
    <n v="3"/>
    <n v="0"/>
    <n v="165000"/>
    <n v="0"/>
    <n v="165000"/>
    <n v="80000"/>
    <n v="245000"/>
    <x v="0"/>
    <s v="Completed"/>
    <x v="0"/>
    <n v="5"/>
    <s v="Perempuan"/>
    <x v="0"/>
    <x v="0"/>
    <n v="1"/>
  </r>
  <r>
    <s v="ORD01320"/>
    <n v="45678.930277777778"/>
    <x v="96"/>
    <s v="Denpasar"/>
    <s v="Telur Ayam - Brand A"/>
    <x v="4"/>
    <x v="2"/>
    <n v="22000"/>
    <n v="3"/>
    <n v="5"/>
    <n v="66000"/>
    <n v="3300"/>
    <n v="62700"/>
    <n v="80000"/>
    <n v="142700"/>
    <x v="0"/>
    <s v="Completed"/>
    <x v="3"/>
    <n v="4"/>
    <s v="Perempuan"/>
    <x v="0"/>
    <x v="0"/>
    <n v="1"/>
  </r>
  <r>
    <s v="ORD01673"/>
    <n v="45679.285439814812"/>
    <x v="104"/>
    <s v="Sorong"/>
    <s v="Daging Ayam - Brand C"/>
    <x v="1"/>
    <x v="0"/>
    <n v="45000"/>
    <n v="1"/>
    <n v="10"/>
    <n v="45000"/>
    <n v="4500"/>
    <n v="40500"/>
    <n v="87000"/>
    <n v="127500"/>
    <x v="0"/>
    <s v="Returned"/>
    <x v="0"/>
    <n v="2"/>
    <s v="Laki-laki"/>
    <x v="0"/>
    <x v="0"/>
    <n v="1"/>
  </r>
  <r>
    <s v="ORD01053"/>
    <n v="45679.472071759257"/>
    <x v="105"/>
    <s v="Jakarta"/>
    <s v="Gula Pasir - Brand C"/>
    <x v="6"/>
    <x v="0"/>
    <n v="18000"/>
    <n v="1"/>
    <n v="15"/>
    <n v="18000"/>
    <n v="2700"/>
    <n v="15300"/>
    <n v="97000"/>
    <n v="112300"/>
    <x v="0"/>
    <s v="Returned"/>
    <x v="3"/>
    <n v="4"/>
    <s v="Perempuan"/>
    <x v="0"/>
    <x v="0"/>
    <n v="1"/>
  </r>
  <r>
    <s v="ORD01516"/>
    <n v="45679.556388888886"/>
    <x v="106"/>
    <s v="Tanjungpinang"/>
    <s v="Garam - Brand B"/>
    <x v="5"/>
    <x v="1"/>
    <n v="5000"/>
    <n v="3"/>
    <n v="0"/>
    <n v="15000"/>
    <n v="0"/>
    <n v="15000"/>
    <n v="48000"/>
    <n v="63000"/>
    <x v="3"/>
    <s v="Completed"/>
    <x v="0"/>
    <n v="5"/>
    <s v="Perempuan"/>
    <x v="0"/>
    <x v="0"/>
    <n v="1"/>
  </r>
  <r>
    <s v="ORD01569"/>
    <n v="45680.066099537027"/>
    <x v="107"/>
    <s v="Manado"/>
    <s v="Minyak Goreng - Brand B"/>
    <x v="8"/>
    <x v="1"/>
    <n v="17000"/>
    <n v="3"/>
    <n v="20"/>
    <n v="51000"/>
    <n v="10200"/>
    <n v="40800"/>
    <n v="93000"/>
    <n v="133800"/>
    <x v="1"/>
    <s v="Completed"/>
    <x v="1"/>
    <n v="1"/>
    <s v="Laki-laki"/>
    <x v="0"/>
    <x v="0"/>
    <n v="1"/>
  </r>
  <r>
    <s v="ORD00204"/>
    <n v="45680.241643518522"/>
    <x v="108"/>
    <s v="Pekanbaru"/>
    <s v="Gula Pasir - Brand B"/>
    <x v="6"/>
    <x v="1"/>
    <n v="17000"/>
    <n v="2"/>
    <n v="15"/>
    <n v="34000"/>
    <n v="5100"/>
    <n v="28900"/>
    <n v="49000"/>
    <n v="77900"/>
    <x v="1"/>
    <s v="Completed"/>
    <x v="0"/>
    <n v="1"/>
    <s v="Perempuan"/>
    <x v="0"/>
    <x v="0"/>
    <n v="1"/>
  </r>
  <r>
    <s v="ORD01363"/>
    <n v="45680.610115740739"/>
    <x v="109"/>
    <s v="Banda Aceh"/>
    <s v="Garam - Brand A"/>
    <x v="5"/>
    <x v="2"/>
    <n v="4000"/>
    <n v="2"/>
    <n v="15"/>
    <n v="8000"/>
    <n v="1200"/>
    <n v="6800"/>
    <n v="18000"/>
    <n v="24800"/>
    <x v="2"/>
    <s v="Completed"/>
    <x v="1"/>
    <n v="1"/>
    <s v="Perempuan"/>
    <x v="0"/>
    <x v="0"/>
    <n v="1"/>
  </r>
  <r>
    <s v="ORD01008"/>
    <n v="45680.813449074078"/>
    <x v="110"/>
    <s v="Manokwari"/>
    <s v="Beras - Brand B"/>
    <x v="0"/>
    <x v="1"/>
    <n v="15000"/>
    <n v="3"/>
    <n v="15"/>
    <n v="45000"/>
    <n v="6750"/>
    <n v="38250"/>
    <n v="18000"/>
    <n v="56250"/>
    <x v="0"/>
    <s v="Returned"/>
    <x v="3"/>
    <n v="3"/>
    <s v="Perempuan"/>
    <x v="0"/>
    <x v="0"/>
    <n v="1"/>
  </r>
  <r>
    <s v="ORD00968"/>
    <n v="45680.820555555547"/>
    <x v="57"/>
    <s v="Banda Aceh"/>
    <s v="Gula Pasir - Brand C"/>
    <x v="6"/>
    <x v="0"/>
    <n v="18000"/>
    <n v="5"/>
    <n v="20"/>
    <n v="90000"/>
    <n v="18000"/>
    <n v="72000"/>
    <n v="18000"/>
    <n v="90000"/>
    <x v="3"/>
    <s v="Completed"/>
    <x v="1"/>
    <n v="3"/>
    <s v="Perempuan"/>
    <x v="0"/>
    <x v="0"/>
    <n v="1"/>
  </r>
  <r>
    <s v="ORD01239"/>
    <n v="45680.968819444453"/>
    <x v="111"/>
    <s v="Serang"/>
    <s v="Daging Ayam - Brand B"/>
    <x v="1"/>
    <x v="1"/>
    <n v="40000"/>
    <n v="2"/>
    <n v="15"/>
    <n v="80000"/>
    <n v="12000"/>
    <n v="68000"/>
    <n v="57000"/>
    <n v="125000"/>
    <x v="3"/>
    <s v="Returned"/>
    <x v="2"/>
    <n v="1"/>
    <s v="Perempuan"/>
    <x v="0"/>
    <x v="0"/>
    <n v="1"/>
  </r>
  <r>
    <s v="ORD01127"/>
    <n v="45681.229664351849"/>
    <x v="112"/>
    <s v="Semarang"/>
    <s v="Tepung Terigu - Brand C"/>
    <x v="2"/>
    <x v="0"/>
    <n v="14000"/>
    <n v="1"/>
    <n v="5"/>
    <n v="14000"/>
    <n v="700"/>
    <n v="13300"/>
    <n v="76000"/>
    <n v="89300"/>
    <x v="2"/>
    <s v="Completed"/>
    <x v="1"/>
    <n v="5"/>
    <s v="Perempuan"/>
    <x v="0"/>
    <x v="0"/>
    <n v="1"/>
  </r>
  <r>
    <s v="ORD00592"/>
    <n v="45681.394502314812"/>
    <x v="113"/>
    <s v="Palu"/>
    <s v="Daging Ayam - Brand B"/>
    <x v="1"/>
    <x v="1"/>
    <n v="40000"/>
    <n v="3"/>
    <n v="5"/>
    <n v="120000"/>
    <n v="6000"/>
    <n v="114000"/>
    <n v="67000"/>
    <n v="181000"/>
    <x v="0"/>
    <s v="Completed"/>
    <x v="2"/>
    <n v="3"/>
    <s v="Perempuan"/>
    <x v="0"/>
    <x v="0"/>
    <n v="1"/>
  </r>
  <r>
    <s v="ORD00872"/>
    <n v="45681.422662037039"/>
    <x v="114"/>
    <s v="Palembang"/>
    <s v="Susu Bubuk - Brand B"/>
    <x v="7"/>
    <x v="1"/>
    <n v="50000"/>
    <n v="5"/>
    <n v="10"/>
    <n v="250000"/>
    <n v="25000"/>
    <n v="225000"/>
    <n v="17000"/>
    <n v="242000"/>
    <x v="3"/>
    <s v="Completed"/>
    <x v="2"/>
    <n v="1"/>
    <s v="Perempuan"/>
    <x v="0"/>
    <x v="0"/>
    <n v="1"/>
  </r>
  <r>
    <s v="ORD00479"/>
    <n v="45681.651539351849"/>
    <x v="115"/>
    <s v="Tanjung Selor"/>
    <s v="Bawang Merah - Brand B"/>
    <x v="3"/>
    <x v="1"/>
    <n v="35000"/>
    <n v="4"/>
    <n v="20"/>
    <n v="140000"/>
    <n v="28000"/>
    <n v="112000"/>
    <n v="26000"/>
    <n v="138000"/>
    <x v="0"/>
    <s v="Completed"/>
    <x v="2"/>
    <n v="5"/>
    <s v="Perempuan"/>
    <x v="0"/>
    <x v="0"/>
    <n v="1"/>
  </r>
  <r>
    <s v="ORD00477"/>
    <n v="45681.790972222218"/>
    <x v="116"/>
    <s v="Jayapura"/>
    <s v="Beras - Brand B"/>
    <x v="0"/>
    <x v="1"/>
    <n v="15000"/>
    <n v="3"/>
    <n v="15"/>
    <n v="45000"/>
    <n v="6750"/>
    <n v="38250"/>
    <n v="30000"/>
    <n v="68250"/>
    <x v="2"/>
    <s v="Completed"/>
    <x v="0"/>
    <n v="1"/>
    <s v="Perempuan"/>
    <x v="0"/>
    <x v="0"/>
    <n v="1"/>
  </r>
  <r>
    <s v="ORD01288"/>
    <n v="45681.946469907409"/>
    <x v="92"/>
    <s v="Yogyakarta"/>
    <s v="Telur Ayam - Brand A"/>
    <x v="4"/>
    <x v="2"/>
    <n v="22000"/>
    <n v="3"/>
    <n v="15"/>
    <n v="66000"/>
    <n v="9900"/>
    <n v="56100"/>
    <n v="78000"/>
    <n v="134100"/>
    <x v="2"/>
    <s v="Completed"/>
    <x v="2"/>
    <n v="3"/>
    <s v="Perempuan"/>
    <x v="0"/>
    <x v="0"/>
    <n v="1"/>
  </r>
  <r>
    <s v="ORD00124"/>
    <n v="45682.091898148137"/>
    <x v="117"/>
    <s v="Serang"/>
    <s v="Telur Ayam - Brand B"/>
    <x v="4"/>
    <x v="1"/>
    <n v="25000"/>
    <n v="3"/>
    <n v="5"/>
    <n v="75000"/>
    <n v="3750"/>
    <n v="71250"/>
    <n v="57000"/>
    <n v="128250"/>
    <x v="2"/>
    <s v="Completed"/>
    <x v="2"/>
    <n v="4"/>
    <s v="Perempuan"/>
    <x v="0"/>
    <x v="0"/>
    <n v="1"/>
  </r>
  <r>
    <s v="ORD01782"/>
    <n v="45682.285428240742"/>
    <x v="118"/>
    <s v="Serang"/>
    <s v="Susu Bubuk - Brand B"/>
    <x v="7"/>
    <x v="1"/>
    <n v="50000"/>
    <n v="5"/>
    <n v="10"/>
    <n v="250000"/>
    <n v="25000"/>
    <n v="225000"/>
    <n v="57000"/>
    <n v="282000"/>
    <x v="1"/>
    <s v="Completed"/>
    <x v="4"/>
    <n v="3"/>
    <s v="Laki-laki"/>
    <x v="0"/>
    <x v="0"/>
    <n v="1"/>
  </r>
  <r>
    <s v="ORD01077"/>
    <n v="45682.301770833343"/>
    <x v="96"/>
    <s v="Denpasar"/>
    <s v="Gula Pasir - Brand C"/>
    <x v="6"/>
    <x v="0"/>
    <n v="18000"/>
    <n v="5"/>
    <n v="20"/>
    <n v="90000"/>
    <n v="18000"/>
    <n v="72000"/>
    <n v="80000"/>
    <n v="152000"/>
    <x v="3"/>
    <s v="Completed"/>
    <x v="2"/>
    <n v="3"/>
    <s v="Perempuan"/>
    <x v="0"/>
    <x v="0"/>
    <n v="1"/>
  </r>
  <r>
    <s v="ORD01567"/>
    <n v="45682.525972222233"/>
    <x v="11"/>
    <s v="Palu"/>
    <s v="Garam - Brand B"/>
    <x v="5"/>
    <x v="1"/>
    <n v="5000"/>
    <n v="5"/>
    <n v="10"/>
    <n v="25000"/>
    <n v="2500"/>
    <n v="22500"/>
    <n v="67000"/>
    <n v="89500"/>
    <x v="1"/>
    <s v="Completed"/>
    <x v="2"/>
    <n v="4"/>
    <s v="Perempuan"/>
    <x v="0"/>
    <x v="0"/>
    <n v="1"/>
  </r>
  <r>
    <s v="ORD01238"/>
    <n v="45682.660451388889"/>
    <x v="119"/>
    <s v="Sorong"/>
    <s v="Bawang Merah - Brand A"/>
    <x v="3"/>
    <x v="2"/>
    <n v="30000"/>
    <n v="4"/>
    <n v="15"/>
    <n v="120000"/>
    <n v="18000"/>
    <n v="102000"/>
    <n v="87000"/>
    <n v="189000"/>
    <x v="3"/>
    <s v="Completed"/>
    <x v="1"/>
    <n v="5"/>
    <s v="Perempuan"/>
    <x v="0"/>
    <x v="0"/>
    <n v="1"/>
  </r>
  <r>
    <s v="ORD01489"/>
    <n v="45682.917245370372"/>
    <x v="120"/>
    <s v="Mamuju"/>
    <s v="Minyak Goreng - Brand A"/>
    <x v="8"/>
    <x v="2"/>
    <n v="16000"/>
    <n v="3"/>
    <n v="20"/>
    <n v="48000"/>
    <n v="9600"/>
    <n v="38400"/>
    <n v="46000"/>
    <n v="84400"/>
    <x v="1"/>
    <s v="Completed"/>
    <x v="4"/>
    <n v="2"/>
    <s v="Perempuan"/>
    <x v="0"/>
    <x v="0"/>
    <n v="1"/>
  </r>
  <r>
    <s v="ORD01240"/>
    <n v="45683.408587962957"/>
    <x v="39"/>
    <s v="Tanjungpinang"/>
    <s v="Telur Ayam - Brand B"/>
    <x v="4"/>
    <x v="1"/>
    <n v="25000"/>
    <n v="5"/>
    <n v="0"/>
    <n v="125000"/>
    <n v="0"/>
    <n v="125000"/>
    <n v="48000"/>
    <n v="173000"/>
    <x v="0"/>
    <s v="Completed"/>
    <x v="1"/>
    <n v="5"/>
    <s v="Perempuan"/>
    <x v="0"/>
    <x v="0"/>
    <n v="1"/>
  </r>
  <r>
    <s v="ORD01235"/>
    <n v="45683.608252314807"/>
    <x v="121"/>
    <s v="Jambi"/>
    <s v="Tepung Terigu - Brand C"/>
    <x v="2"/>
    <x v="0"/>
    <n v="14000"/>
    <n v="2"/>
    <n v="15"/>
    <n v="28000"/>
    <n v="4200"/>
    <n v="23800"/>
    <n v="87000"/>
    <n v="110800"/>
    <x v="1"/>
    <s v="Completed"/>
    <x v="3"/>
    <n v="3"/>
    <s v="Perempuan"/>
    <x v="0"/>
    <x v="0"/>
    <n v="1"/>
  </r>
  <r>
    <s v="ORD01371"/>
    <n v="45683.758414351847"/>
    <x v="122"/>
    <s v="Palangka Raya"/>
    <s v="Daging Ayam - Brand C"/>
    <x v="1"/>
    <x v="0"/>
    <n v="45000"/>
    <n v="5"/>
    <n v="0"/>
    <n v="225000"/>
    <n v="0"/>
    <n v="225000"/>
    <n v="50000"/>
    <n v="275000"/>
    <x v="3"/>
    <s v="Completed"/>
    <x v="3"/>
    <n v="5"/>
    <s v="Perempuan"/>
    <x v="0"/>
    <x v="0"/>
    <n v="1"/>
  </r>
  <r>
    <s v="ORD01606"/>
    <n v="45683.790763888886"/>
    <x v="33"/>
    <s v="Jambi"/>
    <s v="Minyak Goreng - Brand B"/>
    <x v="8"/>
    <x v="1"/>
    <n v="17000"/>
    <n v="4"/>
    <n v="0"/>
    <n v="68000"/>
    <n v="0"/>
    <n v="68000"/>
    <n v="87000"/>
    <n v="155000"/>
    <x v="2"/>
    <s v="Completed"/>
    <x v="3"/>
    <n v="4"/>
    <s v="Perempuan"/>
    <x v="0"/>
    <x v="0"/>
    <n v="1"/>
  </r>
  <r>
    <s v="ORD01376"/>
    <n v="45684.484722222223"/>
    <x v="81"/>
    <s v="Nabire"/>
    <s v="Garam - Brand C"/>
    <x v="5"/>
    <x v="0"/>
    <n v="6000"/>
    <n v="5"/>
    <n v="10"/>
    <n v="30000"/>
    <n v="3000"/>
    <n v="27000"/>
    <n v="89000"/>
    <n v="116000"/>
    <x v="1"/>
    <s v="Returned"/>
    <x v="0"/>
    <n v="5"/>
    <s v="Perempuan"/>
    <x v="0"/>
    <x v="0"/>
    <n v="1"/>
  </r>
  <r>
    <s v="ORD00061"/>
    <n v="45684.688935185193"/>
    <x v="123"/>
    <s v="Padang"/>
    <s v="Susu Bubuk - Brand B"/>
    <x v="7"/>
    <x v="1"/>
    <n v="50000"/>
    <n v="2"/>
    <n v="10"/>
    <n v="100000"/>
    <n v="10000"/>
    <n v="90000"/>
    <n v="68000"/>
    <n v="158000"/>
    <x v="1"/>
    <s v="Completed"/>
    <x v="2"/>
    <n v="4"/>
    <s v="Laki-laki"/>
    <x v="0"/>
    <x v="0"/>
    <n v="1"/>
  </r>
  <r>
    <s v="ORD01318"/>
    <n v="45685.353761574072"/>
    <x v="124"/>
    <s v="Nabire"/>
    <s v="Daging Ayam - Brand B"/>
    <x v="1"/>
    <x v="1"/>
    <n v="40000"/>
    <n v="1"/>
    <n v="15"/>
    <n v="40000"/>
    <n v="6000"/>
    <n v="34000"/>
    <n v="89000"/>
    <n v="123000"/>
    <x v="3"/>
    <s v="Completed"/>
    <x v="2"/>
    <n v="4"/>
    <s v="Perempuan"/>
    <x v="0"/>
    <x v="0"/>
    <n v="1"/>
  </r>
  <r>
    <s v="ORD00773"/>
    <n v="45685.369444444441"/>
    <x v="125"/>
    <s v="Palembang"/>
    <s v="Beras - Brand A"/>
    <x v="0"/>
    <x v="2"/>
    <n v="14000"/>
    <n v="2"/>
    <n v="15"/>
    <n v="28000"/>
    <n v="4200"/>
    <n v="23800"/>
    <n v="17000"/>
    <n v="40800"/>
    <x v="3"/>
    <s v="Completed"/>
    <x v="1"/>
    <n v="4"/>
    <s v="Perempuan"/>
    <x v="0"/>
    <x v="0"/>
    <n v="1"/>
  </r>
  <r>
    <s v="ORD00254"/>
    <n v="45685.746377314812"/>
    <x v="111"/>
    <s v="Serang"/>
    <s v="Garam - Brand B"/>
    <x v="5"/>
    <x v="1"/>
    <n v="5000"/>
    <n v="1"/>
    <n v="15"/>
    <n v="5000"/>
    <n v="750"/>
    <n v="4250"/>
    <n v="57000"/>
    <n v="61250"/>
    <x v="0"/>
    <s v="Completed"/>
    <x v="0"/>
    <n v="2"/>
    <s v="Perempuan"/>
    <x v="0"/>
    <x v="0"/>
    <n v="1"/>
  </r>
  <r>
    <s v="ORD00999"/>
    <n v="45686.106516203698"/>
    <x v="31"/>
    <s v="Mamuju"/>
    <s v="Telur Ayam - Brand B"/>
    <x v="4"/>
    <x v="1"/>
    <n v="25000"/>
    <n v="4"/>
    <n v="0"/>
    <n v="100000"/>
    <n v="0"/>
    <n v="100000"/>
    <n v="46000"/>
    <n v="146000"/>
    <x v="2"/>
    <s v="Completed"/>
    <x v="2"/>
    <n v="1"/>
    <s v="Perempuan"/>
    <x v="0"/>
    <x v="0"/>
    <n v="1"/>
  </r>
  <r>
    <s v="ORD00586"/>
    <n v="45686.161377314813"/>
    <x v="74"/>
    <s v="Tanjungpinang"/>
    <s v="Beras - Brand A"/>
    <x v="0"/>
    <x v="2"/>
    <n v="14000"/>
    <n v="2"/>
    <n v="10"/>
    <n v="28000"/>
    <n v="2800"/>
    <n v="25200"/>
    <n v="48000"/>
    <n v="73200"/>
    <x v="0"/>
    <s v="Completed"/>
    <x v="1"/>
    <n v="4"/>
    <s v="Perempuan"/>
    <x v="0"/>
    <x v="0"/>
    <n v="1"/>
  </r>
  <r>
    <s v="ORD01335"/>
    <n v="45686.323159722233"/>
    <x v="126"/>
    <s v="Makassar"/>
    <s v="Gula Pasir - Brand A"/>
    <x v="6"/>
    <x v="2"/>
    <n v="16000"/>
    <n v="1"/>
    <n v="10"/>
    <n v="16000"/>
    <n v="1600"/>
    <n v="14400"/>
    <n v="84000"/>
    <n v="98400"/>
    <x v="1"/>
    <s v="Completed"/>
    <x v="3"/>
    <n v="2"/>
    <s v="Laki-laki"/>
    <x v="0"/>
    <x v="0"/>
    <n v="1"/>
  </r>
  <r>
    <s v="ORD00082"/>
    <n v="45686.779074074067"/>
    <x v="64"/>
    <s v="Makassar"/>
    <s v="Garam - Brand B"/>
    <x v="5"/>
    <x v="1"/>
    <n v="5000"/>
    <n v="3"/>
    <n v="15"/>
    <n v="15000"/>
    <n v="2250"/>
    <n v="12750"/>
    <n v="84000"/>
    <n v="96750"/>
    <x v="3"/>
    <s v="Completed"/>
    <x v="0"/>
    <n v="4"/>
    <s v="Laki-laki"/>
    <x v="0"/>
    <x v="0"/>
    <n v="1"/>
  </r>
  <r>
    <s v="ORD00462"/>
    <n v="45687.633761574078"/>
    <x v="49"/>
    <s v="Tanjung Selor"/>
    <s v="Garam - Brand A"/>
    <x v="5"/>
    <x v="2"/>
    <n v="4000"/>
    <n v="2"/>
    <n v="5"/>
    <n v="8000"/>
    <n v="400"/>
    <n v="7600"/>
    <n v="26000"/>
    <n v="33600"/>
    <x v="3"/>
    <s v="Completed"/>
    <x v="0"/>
    <n v="1"/>
    <s v="Perempuan"/>
    <x v="0"/>
    <x v="0"/>
    <n v="1"/>
  </r>
  <r>
    <s v="ORD00462"/>
    <n v="45687.633761574078"/>
    <x v="49"/>
    <s v="Tanjung Selor"/>
    <s v="Garam - Brand C"/>
    <x v="5"/>
    <x v="0"/>
    <n v="6000"/>
    <n v="1"/>
    <n v="20"/>
    <n v="6000"/>
    <n v="1200"/>
    <n v="4800"/>
    <n v="0"/>
    <n v="4800"/>
    <x v="3"/>
    <s v="Completed"/>
    <x v="0"/>
    <n v="1"/>
    <s v="Perempuan"/>
    <x v="0"/>
    <x v="0"/>
    <n v="1"/>
  </r>
  <r>
    <s v="ORD01180"/>
    <n v="45687.905613425923"/>
    <x v="127"/>
    <s v="Banda Aceh"/>
    <s v="Tepung Terigu - Brand C"/>
    <x v="2"/>
    <x v="0"/>
    <n v="14000"/>
    <n v="1"/>
    <n v="15"/>
    <n v="14000"/>
    <n v="2100"/>
    <n v="11900"/>
    <n v="18000"/>
    <n v="29900"/>
    <x v="3"/>
    <s v="Completed"/>
    <x v="3"/>
    <n v="4"/>
    <s v="Perempuan"/>
    <x v="0"/>
    <x v="0"/>
    <n v="1"/>
  </r>
  <r>
    <s v="ORD00803"/>
    <n v="45688.018125000002"/>
    <x v="104"/>
    <s v="Sorong"/>
    <s v="Garam - Brand A"/>
    <x v="5"/>
    <x v="2"/>
    <n v="4000"/>
    <n v="5"/>
    <n v="0"/>
    <n v="20000"/>
    <n v="0"/>
    <n v="20000"/>
    <n v="87000"/>
    <n v="107000"/>
    <x v="1"/>
    <s v="Completed"/>
    <x v="4"/>
    <n v="3"/>
    <s v="Laki-laki"/>
    <x v="0"/>
    <x v="0"/>
    <n v="1"/>
  </r>
  <r>
    <s v="ORD01091"/>
    <n v="45688.090949074067"/>
    <x v="128"/>
    <s v="Samarinda"/>
    <s v="Telur Ayam - Brand A"/>
    <x v="4"/>
    <x v="2"/>
    <n v="22000"/>
    <n v="5"/>
    <n v="10"/>
    <n v="110000"/>
    <n v="11000"/>
    <n v="99000"/>
    <n v="43000"/>
    <n v="142000"/>
    <x v="0"/>
    <s v="Completed"/>
    <x v="4"/>
    <n v="4"/>
    <s v="Perempuan"/>
    <x v="0"/>
    <x v="0"/>
    <n v="1"/>
  </r>
  <r>
    <s v="ORD01762"/>
    <n v="45688.387233796297"/>
    <x v="10"/>
    <s v="Mataram"/>
    <s v="Susu Bubuk - Brand C"/>
    <x v="7"/>
    <x v="0"/>
    <n v="55000"/>
    <n v="5"/>
    <n v="10"/>
    <n v="275000"/>
    <n v="27500"/>
    <n v="247500"/>
    <n v="56000"/>
    <n v="303500"/>
    <x v="3"/>
    <s v="Completed"/>
    <x v="0"/>
    <n v="1"/>
    <s v="Perempuan"/>
    <x v="0"/>
    <x v="0"/>
    <n v="1"/>
  </r>
  <r>
    <s v="ORD00166"/>
    <n v="45688.695543981477"/>
    <x v="129"/>
    <s v="Nabire"/>
    <s v="Gula Pasir - Brand B"/>
    <x v="6"/>
    <x v="1"/>
    <n v="17000"/>
    <n v="4"/>
    <n v="10"/>
    <n v="68000"/>
    <n v="6800"/>
    <n v="61200"/>
    <n v="89000"/>
    <n v="150200"/>
    <x v="2"/>
    <s v="Cancelled"/>
    <x v="2"/>
    <n v="1"/>
    <s v="Perempuan"/>
    <x v="0"/>
    <x v="0"/>
    <n v="1"/>
  </r>
  <r>
    <s v="ORD00609"/>
    <n v="45688.908587962957"/>
    <x v="130"/>
    <s v="Jakarta"/>
    <s v="Bawang Merah - Brand C"/>
    <x v="3"/>
    <x v="0"/>
    <n v="40000"/>
    <n v="3"/>
    <n v="5"/>
    <n v="120000"/>
    <n v="6000"/>
    <n v="114000"/>
    <n v="97000"/>
    <n v="211000"/>
    <x v="0"/>
    <s v="Completed"/>
    <x v="1"/>
    <n v="3"/>
    <s v="Laki-laki"/>
    <x v="0"/>
    <x v="0"/>
    <n v="1"/>
  </r>
  <r>
    <s v="ORD00264"/>
    <n v="45689.01189814815"/>
    <x v="131"/>
    <s v="Banjarbaru"/>
    <s v="Garam - Brand C"/>
    <x v="5"/>
    <x v="0"/>
    <n v="6000"/>
    <n v="1"/>
    <n v="20"/>
    <n v="6000"/>
    <n v="1200"/>
    <n v="4800"/>
    <n v="55000"/>
    <n v="59800"/>
    <x v="2"/>
    <s v="Completed"/>
    <x v="0"/>
    <n v="3"/>
    <s v="Perempuan"/>
    <x v="1"/>
    <x v="0"/>
    <n v="2"/>
  </r>
  <r>
    <s v="ORD00976"/>
    <n v="45689.021377314813"/>
    <x v="132"/>
    <s v="Makassar"/>
    <s v="Daging Ayam - Brand A"/>
    <x v="1"/>
    <x v="2"/>
    <n v="35000"/>
    <n v="3"/>
    <n v="0"/>
    <n v="105000"/>
    <n v="0"/>
    <n v="105000"/>
    <n v="84000"/>
    <n v="189000"/>
    <x v="0"/>
    <s v="Completed"/>
    <x v="0"/>
    <n v="2"/>
    <s v="Perempuan"/>
    <x v="1"/>
    <x v="0"/>
    <n v="2"/>
  </r>
  <r>
    <s v="ORD00045"/>
    <n v="45689.042731481481"/>
    <x v="133"/>
    <s v="Banjarbaru"/>
    <s v="Gula Pasir - Brand B"/>
    <x v="6"/>
    <x v="1"/>
    <n v="17000"/>
    <n v="1"/>
    <n v="5"/>
    <n v="17000"/>
    <n v="850"/>
    <n v="16150"/>
    <n v="55000"/>
    <n v="71150"/>
    <x v="0"/>
    <s v="Completed"/>
    <x v="2"/>
    <n v="2"/>
    <s v="Laki-laki"/>
    <x v="1"/>
    <x v="0"/>
    <n v="2"/>
  </r>
  <r>
    <s v="ORD00206"/>
    <n v="45689.339363425926"/>
    <x v="134"/>
    <s v="Mamuju"/>
    <s v="Susu Bubuk - Brand C"/>
    <x v="7"/>
    <x v="0"/>
    <n v="55000"/>
    <n v="2"/>
    <n v="20"/>
    <n v="110000"/>
    <n v="22000"/>
    <n v="88000"/>
    <n v="46000"/>
    <n v="134000"/>
    <x v="1"/>
    <s v="Cancelled"/>
    <x v="2"/>
    <n v="2"/>
    <s v="Perempuan"/>
    <x v="1"/>
    <x v="0"/>
    <n v="2"/>
  </r>
  <r>
    <s v="ORD01407"/>
    <n v="45689.554756944453"/>
    <x v="21"/>
    <s v="Serang"/>
    <s v="Gula Pasir - Brand C"/>
    <x v="6"/>
    <x v="0"/>
    <n v="18000"/>
    <n v="5"/>
    <n v="20"/>
    <n v="90000"/>
    <n v="18000"/>
    <n v="72000"/>
    <n v="57000"/>
    <n v="129000"/>
    <x v="1"/>
    <s v="Completed"/>
    <x v="2"/>
    <n v="3"/>
    <s v="Perempuan"/>
    <x v="1"/>
    <x v="0"/>
    <n v="2"/>
  </r>
  <r>
    <s v="ORD01168"/>
    <n v="45689.659432870372"/>
    <x v="135"/>
    <s v="Jayapura"/>
    <s v="Susu Bubuk - Brand B"/>
    <x v="7"/>
    <x v="1"/>
    <n v="50000"/>
    <n v="1"/>
    <n v="15"/>
    <n v="50000"/>
    <n v="7500"/>
    <n v="42500"/>
    <n v="30000"/>
    <n v="72500"/>
    <x v="3"/>
    <s v="Completed"/>
    <x v="4"/>
    <n v="3"/>
    <s v="Laki-laki"/>
    <x v="1"/>
    <x v="0"/>
    <n v="2"/>
  </r>
  <r>
    <s v="ORD01691"/>
    <n v="45689.713287037041"/>
    <x v="46"/>
    <s v="Surabaya"/>
    <s v="Telur Ayam - Brand A"/>
    <x v="4"/>
    <x v="2"/>
    <n v="22000"/>
    <n v="4"/>
    <n v="20"/>
    <n v="88000"/>
    <n v="17600"/>
    <n v="70400"/>
    <n v="74000"/>
    <n v="144400"/>
    <x v="3"/>
    <s v="Completed"/>
    <x v="4"/>
    <n v="2"/>
    <s v="Perempuan"/>
    <x v="1"/>
    <x v="0"/>
    <n v="2"/>
  </r>
  <r>
    <s v="ORD00494"/>
    <n v="45689.952928240738"/>
    <x v="136"/>
    <s v="Makassar"/>
    <s v="Minyak Goreng - Brand C"/>
    <x v="8"/>
    <x v="0"/>
    <n v="18000"/>
    <n v="1"/>
    <n v="10"/>
    <n v="18000"/>
    <n v="1800"/>
    <n v="16200"/>
    <n v="84000"/>
    <n v="100200"/>
    <x v="2"/>
    <s v="Returned"/>
    <x v="3"/>
    <n v="1"/>
    <s v="Perempuan"/>
    <x v="1"/>
    <x v="0"/>
    <n v="2"/>
  </r>
  <r>
    <s v="ORD01341"/>
    <n v="45690.020752314813"/>
    <x v="45"/>
    <s v="Jakarta"/>
    <s v="Tepung Terigu - Brand B"/>
    <x v="2"/>
    <x v="1"/>
    <n v="12000"/>
    <n v="5"/>
    <n v="20"/>
    <n v="60000"/>
    <n v="12000"/>
    <n v="48000"/>
    <n v="97000"/>
    <n v="145000"/>
    <x v="3"/>
    <s v="Completed"/>
    <x v="0"/>
    <n v="3"/>
    <s v="Perempuan"/>
    <x v="1"/>
    <x v="0"/>
    <n v="2"/>
  </r>
  <r>
    <s v="ORD01189"/>
    <n v="45690.148148148153"/>
    <x v="137"/>
    <s v="Ambon"/>
    <s v="Gula Pasir - Brand A"/>
    <x v="6"/>
    <x v="2"/>
    <n v="16000"/>
    <n v="4"/>
    <n v="15"/>
    <n v="64000"/>
    <n v="9600"/>
    <n v="54400"/>
    <n v="49000"/>
    <n v="103400"/>
    <x v="2"/>
    <s v="Completed"/>
    <x v="1"/>
    <n v="4"/>
    <s v="Perempuan"/>
    <x v="1"/>
    <x v="0"/>
    <n v="2"/>
  </r>
  <r>
    <s v="ORD00464"/>
    <n v="45690.70416666667"/>
    <x v="138"/>
    <s v="Semarang"/>
    <s v="Daging Ayam - Brand C"/>
    <x v="1"/>
    <x v="0"/>
    <n v="45000"/>
    <n v="4"/>
    <n v="15"/>
    <n v="180000"/>
    <n v="27000"/>
    <n v="153000"/>
    <n v="76000"/>
    <n v="229000"/>
    <x v="0"/>
    <s v="Returned"/>
    <x v="4"/>
    <n v="4"/>
    <s v="Perempuan"/>
    <x v="1"/>
    <x v="0"/>
    <n v="2"/>
  </r>
  <r>
    <s v="ORD00464"/>
    <n v="45690.70416666667"/>
    <x v="138"/>
    <s v="Semarang"/>
    <s v="Minyak Goreng - Brand C"/>
    <x v="8"/>
    <x v="0"/>
    <n v="18000"/>
    <n v="5"/>
    <n v="10"/>
    <n v="90000"/>
    <n v="9000"/>
    <n v="81000"/>
    <n v="0"/>
    <n v="81000"/>
    <x v="0"/>
    <s v="Returned"/>
    <x v="4"/>
    <n v="4"/>
    <s v="Perempuan"/>
    <x v="1"/>
    <x v="0"/>
    <n v="2"/>
  </r>
  <r>
    <s v="ORD00988"/>
    <n v="45691.065671296303"/>
    <x v="139"/>
    <s v="Tanjungpinang"/>
    <s v="Tepung Terigu - Brand C"/>
    <x v="2"/>
    <x v="0"/>
    <n v="14000"/>
    <n v="2"/>
    <n v="0"/>
    <n v="28000"/>
    <n v="0"/>
    <n v="28000"/>
    <n v="48000"/>
    <n v="76000"/>
    <x v="2"/>
    <s v="Completed"/>
    <x v="1"/>
    <n v="4"/>
    <s v="Perempuan"/>
    <x v="1"/>
    <x v="0"/>
    <n v="2"/>
  </r>
  <r>
    <s v="ORD00224"/>
    <n v="45691.805914351848"/>
    <x v="140"/>
    <s v="Mamuju"/>
    <s v="Daging Ayam - Brand B"/>
    <x v="1"/>
    <x v="1"/>
    <n v="40000"/>
    <n v="1"/>
    <n v="15"/>
    <n v="40000"/>
    <n v="6000"/>
    <n v="34000"/>
    <n v="46000"/>
    <n v="80000"/>
    <x v="1"/>
    <s v="Completed"/>
    <x v="4"/>
    <n v="1"/>
    <s v="Perempuan"/>
    <x v="1"/>
    <x v="0"/>
    <n v="2"/>
  </r>
  <r>
    <s v="ORD01504"/>
    <n v="45692.066134259258"/>
    <x v="141"/>
    <s v="Wamena"/>
    <s v="Daging Ayam - Brand A"/>
    <x v="1"/>
    <x v="2"/>
    <n v="35000"/>
    <n v="3"/>
    <n v="5"/>
    <n v="105000"/>
    <n v="5250"/>
    <n v="99750"/>
    <n v="15000"/>
    <n v="114750"/>
    <x v="3"/>
    <s v="Completed"/>
    <x v="2"/>
    <n v="3"/>
    <s v="Laki-laki"/>
    <x v="1"/>
    <x v="0"/>
    <n v="2"/>
  </r>
  <r>
    <s v="ORD00574"/>
    <n v="45692.273553240739"/>
    <x v="142"/>
    <s v="Manokwari"/>
    <s v="Tepung Terigu - Brand A"/>
    <x v="2"/>
    <x v="2"/>
    <n v="10000"/>
    <n v="5"/>
    <n v="20"/>
    <n v="50000"/>
    <n v="10000"/>
    <n v="40000"/>
    <n v="18000"/>
    <n v="58000"/>
    <x v="1"/>
    <s v="Completed"/>
    <x v="4"/>
    <n v="4"/>
    <s v="Perempuan"/>
    <x v="1"/>
    <x v="0"/>
    <n v="2"/>
  </r>
  <r>
    <s v="ORD01480"/>
    <n v="45692.610300925917"/>
    <x v="143"/>
    <s v="Yogyakarta"/>
    <s v="Susu Bubuk - Brand C"/>
    <x v="7"/>
    <x v="0"/>
    <n v="55000"/>
    <n v="5"/>
    <n v="20"/>
    <n v="275000"/>
    <n v="55000"/>
    <n v="220000"/>
    <n v="78000"/>
    <n v="298000"/>
    <x v="0"/>
    <s v="Completed"/>
    <x v="3"/>
    <n v="2"/>
    <s v="Perempuan"/>
    <x v="1"/>
    <x v="0"/>
    <n v="2"/>
  </r>
  <r>
    <s v="ORD01778"/>
    <n v="45692.876574074071"/>
    <x v="20"/>
    <s v="Surabaya"/>
    <s v="Gula Pasir - Brand B"/>
    <x v="6"/>
    <x v="1"/>
    <n v="17000"/>
    <n v="5"/>
    <n v="15"/>
    <n v="85000"/>
    <n v="12750"/>
    <n v="72250"/>
    <n v="74000"/>
    <n v="146250"/>
    <x v="2"/>
    <s v="Completed"/>
    <x v="1"/>
    <n v="1"/>
    <s v="Perempuan"/>
    <x v="1"/>
    <x v="0"/>
    <n v="2"/>
  </r>
  <r>
    <s v="ORD00311"/>
    <n v="45692.893854166658"/>
    <x v="144"/>
    <s v="Surabaya"/>
    <s v="Beras - Brand A"/>
    <x v="0"/>
    <x v="2"/>
    <n v="14000"/>
    <n v="5"/>
    <n v="15"/>
    <n v="70000"/>
    <n v="10500"/>
    <n v="59500"/>
    <n v="74000"/>
    <n v="133500"/>
    <x v="0"/>
    <s v="Completed"/>
    <x v="4"/>
    <n v="5"/>
    <s v="Perempuan"/>
    <x v="1"/>
    <x v="0"/>
    <n v="2"/>
  </r>
  <r>
    <s v="ORD01266"/>
    <n v="45692.917812500003"/>
    <x v="70"/>
    <s v="Bengkulu"/>
    <s v="Susu Bubuk - Brand B"/>
    <x v="7"/>
    <x v="1"/>
    <n v="50000"/>
    <n v="4"/>
    <n v="5"/>
    <n v="200000"/>
    <n v="10000"/>
    <n v="190000"/>
    <n v="72000"/>
    <n v="262000"/>
    <x v="3"/>
    <s v="Completed"/>
    <x v="0"/>
    <n v="3"/>
    <s v="Laki-laki"/>
    <x v="1"/>
    <x v="0"/>
    <n v="2"/>
  </r>
  <r>
    <s v="ORD01573"/>
    <n v="45692.964780092603"/>
    <x v="145"/>
    <s v="Sorong"/>
    <s v="Gula Pasir - Brand C"/>
    <x v="6"/>
    <x v="0"/>
    <n v="18000"/>
    <n v="5"/>
    <n v="15"/>
    <n v="90000"/>
    <n v="13500"/>
    <n v="76500"/>
    <n v="87000"/>
    <n v="163500"/>
    <x v="2"/>
    <s v="Completed"/>
    <x v="4"/>
    <n v="1"/>
    <s v="Perempuan"/>
    <x v="1"/>
    <x v="0"/>
    <n v="2"/>
  </r>
  <r>
    <s v="ORD00244"/>
    <n v="45693.053726851853"/>
    <x v="49"/>
    <s v="Tanjung Selor"/>
    <s v="Beras - Brand B"/>
    <x v="0"/>
    <x v="1"/>
    <n v="15000"/>
    <n v="1"/>
    <n v="15"/>
    <n v="15000"/>
    <n v="2250"/>
    <n v="12750"/>
    <n v="26000"/>
    <n v="38750"/>
    <x v="3"/>
    <s v="Cancelled"/>
    <x v="2"/>
    <n v="1"/>
    <s v="Perempuan"/>
    <x v="1"/>
    <x v="0"/>
    <n v="2"/>
  </r>
  <r>
    <s v="ORD00244"/>
    <n v="45693.053726851853"/>
    <x v="49"/>
    <s v="Tanjung Selor"/>
    <s v="Minyak Goreng - Brand C"/>
    <x v="8"/>
    <x v="0"/>
    <n v="18000"/>
    <n v="1"/>
    <n v="0"/>
    <n v="18000"/>
    <n v="0"/>
    <n v="18000"/>
    <n v="0"/>
    <n v="18000"/>
    <x v="3"/>
    <s v="Cancelled"/>
    <x v="2"/>
    <n v="1"/>
    <s v="Perempuan"/>
    <x v="1"/>
    <x v="0"/>
    <n v="2"/>
  </r>
  <r>
    <s v="ORD00675"/>
    <n v="45693.254884259259"/>
    <x v="146"/>
    <s v="Banda Aceh"/>
    <s v="Susu Bubuk - Brand A"/>
    <x v="7"/>
    <x v="2"/>
    <n v="45000"/>
    <n v="1"/>
    <n v="20"/>
    <n v="45000"/>
    <n v="9000"/>
    <n v="36000"/>
    <n v="18000"/>
    <n v="54000"/>
    <x v="0"/>
    <s v="Completed"/>
    <x v="4"/>
    <n v="3"/>
    <s v="Laki-laki"/>
    <x v="1"/>
    <x v="0"/>
    <n v="2"/>
  </r>
  <r>
    <s v="ORD01081"/>
    <n v="45693.429791666669"/>
    <x v="134"/>
    <s v="Mamuju"/>
    <s v="Susu Bubuk - Brand A"/>
    <x v="7"/>
    <x v="2"/>
    <n v="45000"/>
    <n v="2"/>
    <n v="20"/>
    <n v="90000"/>
    <n v="18000"/>
    <n v="72000"/>
    <n v="46000"/>
    <n v="118000"/>
    <x v="2"/>
    <s v="Completed"/>
    <x v="0"/>
    <n v="2"/>
    <s v="Perempuan"/>
    <x v="1"/>
    <x v="0"/>
    <n v="2"/>
  </r>
  <r>
    <s v="ORD01126"/>
    <n v="45693.457546296297"/>
    <x v="147"/>
    <s v="Gorontalo"/>
    <s v="Garam - Brand C"/>
    <x v="5"/>
    <x v="0"/>
    <n v="6000"/>
    <n v="2"/>
    <n v="15"/>
    <n v="12000"/>
    <n v="1800"/>
    <n v="10200"/>
    <n v="80000"/>
    <n v="90200"/>
    <x v="3"/>
    <s v="Completed"/>
    <x v="2"/>
    <n v="3"/>
    <s v="Laki-laki"/>
    <x v="1"/>
    <x v="0"/>
    <n v="2"/>
  </r>
  <r>
    <s v="ORD00486"/>
    <n v="45693.717557870368"/>
    <x v="148"/>
    <s v="Mataram"/>
    <s v="Tepung Terigu - Brand B"/>
    <x v="2"/>
    <x v="1"/>
    <n v="12000"/>
    <n v="3"/>
    <n v="0"/>
    <n v="36000"/>
    <n v="0"/>
    <n v="36000"/>
    <n v="56000"/>
    <n v="92000"/>
    <x v="1"/>
    <s v="Completed"/>
    <x v="2"/>
    <n v="5"/>
    <s v="Perempuan"/>
    <x v="1"/>
    <x v="0"/>
    <n v="2"/>
  </r>
  <r>
    <s v="ORD01476"/>
    <n v="45693.829722222217"/>
    <x v="149"/>
    <s v="Banjarbaru"/>
    <s v="Bawang Merah - Brand B"/>
    <x v="3"/>
    <x v="1"/>
    <n v="35000"/>
    <n v="5"/>
    <n v="20"/>
    <n v="175000"/>
    <n v="35000"/>
    <n v="140000"/>
    <n v="55000"/>
    <n v="195000"/>
    <x v="0"/>
    <s v="Completed"/>
    <x v="3"/>
    <n v="1"/>
    <s v="Perempuan"/>
    <x v="1"/>
    <x v="0"/>
    <n v="2"/>
  </r>
  <r>
    <s v="ORD00043"/>
    <n v="45694.074432870373"/>
    <x v="77"/>
    <s v="Medan"/>
    <s v="Susu Bubuk - Brand A"/>
    <x v="7"/>
    <x v="2"/>
    <n v="45000"/>
    <n v="2"/>
    <n v="5"/>
    <n v="90000"/>
    <n v="4500"/>
    <n v="85500"/>
    <n v="79000"/>
    <n v="164500"/>
    <x v="1"/>
    <s v="Returned"/>
    <x v="4"/>
    <n v="3"/>
    <s v="Laki-laki"/>
    <x v="1"/>
    <x v="0"/>
    <n v="2"/>
  </r>
  <r>
    <s v="ORD01541"/>
    <n v="45694.231400462973"/>
    <x v="150"/>
    <s v="Bengkulu"/>
    <s v="Daging Ayam - Brand C"/>
    <x v="1"/>
    <x v="0"/>
    <n v="45000"/>
    <n v="1"/>
    <n v="15"/>
    <n v="45000"/>
    <n v="6750"/>
    <n v="38250"/>
    <n v="72000"/>
    <n v="110250"/>
    <x v="0"/>
    <s v="Completed"/>
    <x v="1"/>
    <n v="3"/>
    <s v="Perempuan"/>
    <x v="1"/>
    <x v="0"/>
    <n v="2"/>
  </r>
  <r>
    <s v="ORD01300"/>
    <n v="45694.304247685177"/>
    <x v="12"/>
    <s v="Sofifi"/>
    <s v="Bawang Merah - Brand A"/>
    <x v="3"/>
    <x v="2"/>
    <n v="30000"/>
    <n v="2"/>
    <n v="20"/>
    <n v="60000"/>
    <n v="12000"/>
    <n v="48000"/>
    <n v="50000"/>
    <n v="98000"/>
    <x v="3"/>
    <s v="Completed"/>
    <x v="4"/>
    <n v="1"/>
    <s v="Perempuan"/>
    <x v="1"/>
    <x v="0"/>
    <n v="2"/>
  </r>
  <r>
    <s v="ORD01548"/>
    <n v="45694.367881944447"/>
    <x v="151"/>
    <s v="Banjarbaru"/>
    <s v="Gula Pasir - Brand C"/>
    <x v="6"/>
    <x v="0"/>
    <n v="18000"/>
    <n v="1"/>
    <n v="15"/>
    <n v="18000"/>
    <n v="2700"/>
    <n v="15300"/>
    <n v="55000"/>
    <n v="70300"/>
    <x v="3"/>
    <s v="Returned"/>
    <x v="1"/>
    <n v="1"/>
    <s v="Perempuan"/>
    <x v="1"/>
    <x v="0"/>
    <n v="2"/>
  </r>
  <r>
    <s v="ORD00826"/>
    <n v="45694.565115740741"/>
    <x v="37"/>
    <s v="Jakarta"/>
    <s v="Telur Ayam - Brand C"/>
    <x v="4"/>
    <x v="0"/>
    <n v="28000"/>
    <n v="1"/>
    <n v="5"/>
    <n v="28000"/>
    <n v="1400"/>
    <n v="26600"/>
    <n v="97000"/>
    <n v="123600"/>
    <x v="1"/>
    <s v="Completed"/>
    <x v="3"/>
    <n v="3"/>
    <s v="Perempuan"/>
    <x v="1"/>
    <x v="0"/>
    <n v="2"/>
  </r>
  <r>
    <s v="ORD00854"/>
    <n v="45694.859965277778"/>
    <x v="54"/>
    <s v="Samarinda"/>
    <s v="Susu Bubuk - Brand A"/>
    <x v="7"/>
    <x v="2"/>
    <n v="45000"/>
    <n v="3"/>
    <n v="15"/>
    <n v="135000"/>
    <n v="20250"/>
    <n v="114750"/>
    <n v="43000"/>
    <n v="157750"/>
    <x v="1"/>
    <s v="Completed"/>
    <x v="1"/>
    <n v="4"/>
    <s v="Perempuan"/>
    <x v="1"/>
    <x v="0"/>
    <n v="2"/>
  </r>
  <r>
    <s v="ORD01447"/>
    <n v="45695.20621527778"/>
    <x v="152"/>
    <s v="Jakarta"/>
    <s v="Telur Ayam - Brand B"/>
    <x v="4"/>
    <x v="1"/>
    <n v="25000"/>
    <n v="2"/>
    <n v="0"/>
    <n v="50000"/>
    <n v="0"/>
    <n v="50000"/>
    <n v="97000"/>
    <n v="147000"/>
    <x v="3"/>
    <s v="Completed"/>
    <x v="1"/>
    <n v="1"/>
    <s v="Perempuan"/>
    <x v="1"/>
    <x v="0"/>
    <n v="2"/>
  </r>
  <r>
    <s v="ORD01706"/>
    <n v="45695.245104166657"/>
    <x v="153"/>
    <s v="Wamena"/>
    <s v="Daging Ayam - Brand B"/>
    <x v="1"/>
    <x v="1"/>
    <n v="40000"/>
    <n v="5"/>
    <n v="5"/>
    <n v="200000"/>
    <n v="10000"/>
    <n v="190000"/>
    <n v="15000"/>
    <n v="205000"/>
    <x v="0"/>
    <s v="Completed"/>
    <x v="1"/>
    <n v="4"/>
    <s v="Perempuan"/>
    <x v="1"/>
    <x v="0"/>
    <n v="2"/>
  </r>
  <r>
    <s v="ORD01653"/>
    <n v="45695.398715277777"/>
    <x v="154"/>
    <s v="Bandar Lampung"/>
    <s v="Telur Ayam - Brand B"/>
    <x v="4"/>
    <x v="1"/>
    <n v="25000"/>
    <n v="3"/>
    <n v="0"/>
    <n v="75000"/>
    <n v="0"/>
    <n v="75000"/>
    <n v="28000"/>
    <n v="103000"/>
    <x v="3"/>
    <s v="Completed"/>
    <x v="4"/>
    <n v="1"/>
    <s v="Perempuan"/>
    <x v="1"/>
    <x v="0"/>
    <n v="2"/>
  </r>
  <r>
    <s v="ORD01095"/>
    <n v="45695.789201388892"/>
    <x v="97"/>
    <s v="Palembang"/>
    <s v="Susu Bubuk - Brand B"/>
    <x v="7"/>
    <x v="1"/>
    <n v="50000"/>
    <n v="5"/>
    <n v="15"/>
    <n v="250000"/>
    <n v="37500"/>
    <n v="212500"/>
    <n v="17000"/>
    <n v="229500"/>
    <x v="1"/>
    <s v="Completed"/>
    <x v="0"/>
    <n v="3"/>
    <s v="Perempuan"/>
    <x v="1"/>
    <x v="0"/>
    <n v="2"/>
  </r>
  <r>
    <s v="ORD00907"/>
    <n v="45695.963761574072"/>
    <x v="132"/>
    <s v="Makassar"/>
    <s v="Beras - Brand B"/>
    <x v="0"/>
    <x v="1"/>
    <n v="15000"/>
    <n v="3"/>
    <n v="10"/>
    <n v="45000"/>
    <n v="4500"/>
    <n v="40500"/>
    <n v="84000"/>
    <n v="124500"/>
    <x v="1"/>
    <s v="Returned"/>
    <x v="2"/>
    <n v="5"/>
    <s v="Perempuan"/>
    <x v="1"/>
    <x v="0"/>
    <n v="2"/>
  </r>
  <r>
    <s v="ORD01810"/>
    <n v="45696.170405092591"/>
    <x v="11"/>
    <s v="Palu"/>
    <s v="Beras - Brand A"/>
    <x v="0"/>
    <x v="2"/>
    <n v="14000"/>
    <n v="1"/>
    <n v="10"/>
    <n v="14000"/>
    <n v="1400"/>
    <n v="12600"/>
    <n v="67000"/>
    <n v="79600"/>
    <x v="1"/>
    <s v="Completed"/>
    <x v="3"/>
    <n v="1"/>
    <s v="Perempuan"/>
    <x v="1"/>
    <x v="0"/>
    <n v="2"/>
  </r>
  <r>
    <s v="ORD01173"/>
    <n v="45696.373900462961"/>
    <x v="155"/>
    <s v="Bandung"/>
    <s v="Tepung Terigu - Brand A"/>
    <x v="2"/>
    <x v="2"/>
    <n v="10000"/>
    <n v="4"/>
    <n v="20"/>
    <n v="40000"/>
    <n v="8000"/>
    <n v="32000"/>
    <n v="0"/>
    <n v="32000"/>
    <x v="1"/>
    <s v="Completed"/>
    <x v="3"/>
    <n v="1"/>
    <s v="Perempuan"/>
    <x v="1"/>
    <x v="0"/>
    <n v="2"/>
  </r>
  <r>
    <s v="ORD01430"/>
    <n v="45696.560844907413"/>
    <x v="156"/>
    <s v="Gorontalo"/>
    <s v="Telur Ayam - Brand A"/>
    <x v="4"/>
    <x v="2"/>
    <n v="22000"/>
    <n v="3"/>
    <n v="0"/>
    <n v="66000"/>
    <n v="0"/>
    <n v="66000"/>
    <n v="80000"/>
    <n v="146000"/>
    <x v="3"/>
    <s v="Completed"/>
    <x v="0"/>
    <n v="3"/>
    <s v="Laki-laki"/>
    <x v="1"/>
    <x v="0"/>
    <n v="2"/>
  </r>
  <r>
    <s v="ORD01306"/>
    <n v="45696.675034722219"/>
    <x v="157"/>
    <s v="Pekanbaru"/>
    <s v="Gula Pasir - Brand C"/>
    <x v="6"/>
    <x v="0"/>
    <n v="18000"/>
    <n v="2"/>
    <n v="20"/>
    <n v="36000"/>
    <n v="7200"/>
    <n v="28800"/>
    <n v="49000"/>
    <n v="77800"/>
    <x v="2"/>
    <s v="Returned"/>
    <x v="3"/>
    <n v="3"/>
    <s v="Perempuan"/>
    <x v="1"/>
    <x v="0"/>
    <n v="2"/>
  </r>
  <r>
    <s v="ORD01823"/>
    <n v="45696.889548611107"/>
    <x v="66"/>
    <s v="Semarang"/>
    <s v="Telur Ayam - Brand C"/>
    <x v="4"/>
    <x v="0"/>
    <n v="28000"/>
    <n v="2"/>
    <n v="0"/>
    <n v="56000"/>
    <n v="0"/>
    <n v="56000"/>
    <n v="76000"/>
    <n v="132000"/>
    <x v="3"/>
    <s v="Completed"/>
    <x v="4"/>
    <n v="2"/>
    <s v="Laki-laki"/>
    <x v="1"/>
    <x v="0"/>
    <n v="2"/>
  </r>
  <r>
    <s v="ORD00291"/>
    <n v="45696.894375000003"/>
    <x v="110"/>
    <s v="Manokwari"/>
    <s v="Susu Bubuk - Brand C"/>
    <x v="7"/>
    <x v="0"/>
    <n v="55000"/>
    <n v="3"/>
    <n v="5"/>
    <n v="165000"/>
    <n v="8250"/>
    <n v="156750"/>
    <n v="18000"/>
    <n v="174750"/>
    <x v="2"/>
    <s v="Cancelled"/>
    <x v="0"/>
    <n v="3"/>
    <s v="Perempuan"/>
    <x v="1"/>
    <x v="0"/>
    <n v="2"/>
  </r>
  <r>
    <s v="ORD00526"/>
    <n v="45697.154942129629"/>
    <x v="158"/>
    <s v="Kupang"/>
    <s v="Beras - Brand C"/>
    <x v="0"/>
    <x v="0"/>
    <n v="16000"/>
    <n v="3"/>
    <n v="5"/>
    <n v="48000"/>
    <n v="2400"/>
    <n v="45600"/>
    <n v="21000"/>
    <n v="66600"/>
    <x v="2"/>
    <s v="Completed"/>
    <x v="1"/>
    <n v="5"/>
    <s v="Perempuan"/>
    <x v="1"/>
    <x v="0"/>
    <n v="2"/>
  </r>
  <r>
    <s v="ORD01832"/>
    <n v="45697.373240740737"/>
    <x v="28"/>
    <s v="Bengkulu"/>
    <s v="Susu Bubuk - Brand B"/>
    <x v="7"/>
    <x v="1"/>
    <n v="50000"/>
    <n v="5"/>
    <n v="10"/>
    <n v="250000"/>
    <n v="25000"/>
    <n v="225000"/>
    <n v="72000"/>
    <n v="297000"/>
    <x v="2"/>
    <s v="Completed"/>
    <x v="4"/>
    <n v="3"/>
    <s v="Perempuan"/>
    <x v="1"/>
    <x v="0"/>
    <n v="2"/>
  </r>
  <r>
    <s v="ORD00248"/>
    <n v="45698.16673611111"/>
    <x v="99"/>
    <s v="Padang"/>
    <s v="Minyak Goreng - Brand C"/>
    <x v="8"/>
    <x v="0"/>
    <n v="18000"/>
    <n v="3"/>
    <n v="15"/>
    <n v="54000"/>
    <n v="8100"/>
    <n v="45900"/>
    <n v="68000"/>
    <n v="113900"/>
    <x v="2"/>
    <s v="Completed"/>
    <x v="3"/>
    <n v="4"/>
    <s v="Perempuan"/>
    <x v="1"/>
    <x v="0"/>
    <n v="2"/>
  </r>
  <r>
    <s v="ORD01660"/>
    <n v="45698.298506944448"/>
    <x v="159"/>
    <s v="Merauke"/>
    <s v="Garam - Brand B"/>
    <x v="5"/>
    <x v="1"/>
    <n v="5000"/>
    <n v="1"/>
    <n v="10"/>
    <n v="5000"/>
    <n v="500"/>
    <n v="4500"/>
    <n v="59000"/>
    <n v="63500"/>
    <x v="2"/>
    <s v="Completed"/>
    <x v="0"/>
    <n v="4"/>
    <s v="Perempuan"/>
    <x v="1"/>
    <x v="0"/>
    <n v="2"/>
  </r>
  <r>
    <s v="ORD01521"/>
    <n v="45698.61142361111"/>
    <x v="160"/>
    <s v="Ambon"/>
    <s v="Daging Ayam - Brand C"/>
    <x v="1"/>
    <x v="0"/>
    <n v="45000"/>
    <n v="5"/>
    <n v="20"/>
    <n v="225000"/>
    <n v="45000"/>
    <n v="180000"/>
    <n v="49000"/>
    <n v="229000"/>
    <x v="0"/>
    <s v="Returned"/>
    <x v="1"/>
    <n v="3"/>
    <s v="Perempuan"/>
    <x v="1"/>
    <x v="0"/>
    <n v="2"/>
  </r>
  <r>
    <s v="ORD01171"/>
    <n v="45698.775995370372"/>
    <x v="49"/>
    <s v="Tanjung Selor"/>
    <s v="Gula Pasir - Brand B"/>
    <x v="6"/>
    <x v="1"/>
    <n v="17000"/>
    <n v="1"/>
    <n v="20"/>
    <n v="17000"/>
    <n v="3400"/>
    <n v="13600"/>
    <n v="26000"/>
    <n v="39600"/>
    <x v="0"/>
    <s v="Completed"/>
    <x v="2"/>
    <n v="3"/>
    <s v="Perempuan"/>
    <x v="1"/>
    <x v="0"/>
    <n v="2"/>
  </r>
  <r>
    <s v="ORD00110"/>
    <n v="45698.947395833333"/>
    <x v="161"/>
    <s v="Gorontalo"/>
    <s v="Tepung Terigu - Brand A"/>
    <x v="2"/>
    <x v="2"/>
    <n v="10000"/>
    <n v="2"/>
    <n v="10"/>
    <n v="20000"/>
    <n v="2000"/>
    <n v="18000"/>
    <n v="80000"/>
    <n v="98000"/>
    <x v="3"/>
    <s v="Completed"/>
    <x v="4"/>
    <n v="1"/>
    <s v="Perempuan"/>
    <x v="1"/>
    <x v="0"/>
    <n v="2"/>
  </r>
  <r>
    <s v="ORD01191"/>
    <n v="45699.032824074071"/>
    <x v="68"/>
    <s v="Kendari"/>
    <s v="Minyak Goreng - Brand C"/>
    <x v="8"/>
    <x v="0"/>
    <n v="18000"/>
    <n v="1"/>
    <n v="0"/>
    <n v="18000"/>
    <n v="0"/>
    <n v="18000"/>
    <n v="59000"/>
    <n v="77000"/>
    <x v="0"/>
    <s v="Completed"/>
    <x v="1"/>
    <n v="5"/>
    <s v="Perempuan"/>
    <x v="1"/>
    <x v="0"/>
    <n v="2"/>
  </r>
  <r>
    <s v="ORD00551"/>
    <n v="45699.038425925923"/>
    <x v="162"/>
    <s v="Kupang"/>
    <s v="Minyak Goreng - Brand A"/>
    <x v="8"/>
    <x v="2"/>
    <n v="16000"/>
    <n v="1"/>
    <n v="10"/>
    <n v="16000"/>
    <n v="1600"/>
    <n v="14400"/>
    <n v="21000"/>
    <n v="35400"/>
    <x v="0"/>
    <s v="Completed"/>
    <x v="3"/>
    <n v="2"/>
    <s v="Perempuan"/>
    <x v="1"/>
    <x v="0"/>
    <n v="2"/>
  </r>
  <r>
    <s v="ORD00375"/>
    <n v="45699.473240740743"/>
    <x v="163"/>
    <s v="Mamuju"/>
    <s v="Tepung Terigu - Brand A"/>
    <x v="2"/>
    <x v="2"/>
    <n v="10000"/>
    <n v="1"/>
    <n v="15"/>
    <n v="10000"/>
    <n v="1500"/>
    <n v="8500"/>
    <n v="46000"/>
    <n v="54500"/>
    <x v="0"/>
    <s v="Completed"/>
    <x v="3"/>
    <n v="2"/>
    <s v="Perempuan"/>
    <x v="1"/>
    <x v="0"/>
    <n v="2"/>
  </r>
  <r>
    <s v="ORD00975"/>
    <n v="45699.704618055563"/>
    <x v="164"/>
    <s v="Sorong"/>
    <s v="Gula Pasir - Brand C"/>
    <x v="6"/>
    <x v="0"/>
    <n v="18000"/>
    <n v="3"/>
    <n v="15"/>
    <n v="54000"/>
    <n v="8100"/>
    <n v="45900"/>
    <n v="87000"/>
    <n v="132900"/>
    <x v="1"/>
    <s v="Cancelled"/>
    <x v="1"/>
    <n v="1"/>
    <s v="Perempuan"/>
    <x v="1"/>
    <x v="0"/>
    <n v="2"/>
  </r>
  <r>
    <s v="ORD00427"/>
    <n v="45700.082442129627"/>
    <x v="21"/>
    <s v="Serang"/>
    <s v="Garam - Brand C"/>
    <x v="5"/>
    <x v="0"/>
    <n v="6000"/>
    <n v="3"/>
    <n v="15"/>
    <n v="18000"/>
    <n v="2700"/>
    <n v="15300"/>
    <n v="57000"/>
    <n v="72300"/>
    <x v="1"/>
    <s v="Completed"/>
    <x v="1"/>
    <n v="5"/>
    <s v="Perempuan"/>
    <x v="1"/>
    <x v="0"/>
    <n v="2"/>
  </r>
  <r>
    <s v="ORD00919"/>
    <n v="45700.28434027778"/>
    <x v="165"/>
    <s v="Samarinda"/>
    <s v="Beras - Brand A"/>
    <x v="0"/>
    <x v="2"/>
    <n v="14000"/>
    <n v="2"/>
    <n v="5"/>
    <n v="28000"/>
    <n v="1400"/>
    <n v="26600"/>
    <n v="43000"/>
    <n v="69600"/>
    <x v="3"/>
    <s v="Returned"/>
    <x v="3"/>
    <n v="4"/>
    <s v="Perempuan"/>
    <x v="1"/>
    <x v="0"/>
    <n v="2"/>
  </r>
  <r>
    <s v="ORD00138"/>
    <n v="45700.710787037038"/>
    <x v="166"/>
    <s v="Samarinda"/>
    <s v="Tepung Terigu - Brand A"/>
    <x v="2"/>
    <x v="2"/>
    <n v="10000"/>
    <n v="5"/>
    <n v="20"/>
    <n v="50000"/>
    <n v="10000"/>
    <n v="40000"/>
    <n v="43000"/>
    <n v="83000"/>
    <x v="1"/>
    <s v="Cancelled"/>
    <x v="3"/>
    <n v="2"/>
    <s v="Perempuan"/>
    <x v="1"/>
    <x v="0"/>
    <n v="2"/>
  </r>
  <r>
    <s v="ORD00138"/>
    <n v="45700.710787037038"/>
    <x v="166"/>
    <s v="Samarinda"/>
    <s v="Tepung Terigu - Brand A"/>
    <x v="2"/>
    <x v="2"/>
    <n v="10000"/>
    <n v="2"/>
    <n v="5"/>
    <n v="20000"/>
    <n v="1000"/>
    <n v="19000"/>
    <n v="0"/>
    <n v="19000"/>
    <x v="1"/>
    <s v="Cancelled"/>
    <x v="3"/>
    <n v="2"/>
    <s v="Perempuan"/>
    <x v="1"/>
    <x v="0"/>
    <n v="2"/>
  </r>
  <r>
    <s v="ORD00517"/>
    <n v="45700.962106481478"/>
    <x v="167"/>
    <s v="Mamuju"/>
    <s v="Daging Ayam - Brand B"/>
    <x v="1"/>
    <x v="1"/>
    <n v="40000"/>
    <n v="1"/>
    <n v="0"/>
    <n v="40000"/>
    <n v="0"/>
    <n v="40000"/>
    <n v="46000"/>
    <n v="86000"/>
    <x v="3"/>
    <s v="Completed"/>
    <x v="1"/>
    <n v="2"/>
    <s v="Perempuan"/>
    <x v="1"/>
    <x v="0"/>
    <n v="2"/>
  </r>
  <r>
    <s v="ORD00727"/>
    <n v="45701.299745370372"/>
    <x v="59"/>
    <s v="Samarinda"/>
    <s v="Daging Ayam - Brand C"/>
    <x v="1"/>
    <x v="0"/>
    <n v="45000"/>
    <n v="2"/>
    <n v="20"/>
    <n v="90000"/>
    <n v="18000"/>
    <n v="72000"/>
    <n v="43000"/>
    <n v="115000"/>
    <x v="1"/>
    <s v="Returned"/>
    <x v="2"/>
    <n v="3"/>
    <s v="Perempuan"/>
    <x v="1"/>
    <x v="0"/>
    <n v="2"/>
  </r>
  <r>
    <s v="ORD00588"/>
    <n v="45701.335729166669"/>
    <x v="123"/>
    <s v="Padang"/>
    <s v="Tepung Terigu - Brand C"/>
    <x v="2"/>
    <x v="0"/>
    <n v="14000"/>
    <n v="3"/>
    <n v="10"/>
    <n v="42000"/>
    <n v="4200"/>
    <n v="37800"/>
    <n v="68000"/>
    <n v="105800"/>
    <x v="0"/>
    <s v="Completed"/>
    <x v="4"/>
    <n v="5"/>
    <s v="Laki-laki"/>
    <x v="1"/>
    <x v="0"/>
    <n v="2"/>
  </r>
  <r>
    <s v="ORD00702"/>
    <n v="45701.521331018521"/>
    <x v="168"/>
    <s v="Semarang"/>
    <s v="Tepung Terigu - Brand C"/>
    <x v="2"/>
    <x v="0"/>
    <n v="14000"/>
    <n v="4"/>
    <n v="10"/>
    <n v="56000"/>
    <n v="5600"/>
    <n v="50400"/>
    <n v="76000"/>
    <n v="126400"/>
    <x v="1"/>
    <s v="Completed"/>
    <x v="2"/>
    <n v="2"/>
    <s v="Perempuan"/>
    <x v="1"/>
    <x v="0"/>
    <n v="2"/>
  </r>
  <r>
    <s v="ORD00276"/>
    <n v="45701.57744212963"/>
    <x v="19"/>
    <s v="Denpasar"/>
    <s v="Tepung Terigu - Brand C"/>
    <x v="2"/>
    <x v="0"/>
    <n v="14000"/>
    <n v="4"/>
    <n v="10"/>
    <n v="56000"/>
    <n v="5600"/>
    <n v="50400"/>
    <n v="80000"/>
    <n v="130400"/>
    <x v="1"/>
    <s v="Completed"/>
    <x v="1"/>
    <n v="1"/>
    <s v="Perempuan"/>
    <x v="1"/>
    <x v="0"/>
    <n v="2"/>
  </r>
  <r>
    <s v="ORD01223"/>
    <n v="45701.792673611111"/>
    <x v="169"/>
    <s v="Manado"/>
    <s v="Beras - Brand A"/>
    <x v="0"/>
    <x v="2"/>
    <n v="14000"/>
    <n v="2"/>
    <n v="15"/>
    <n v="28000"/>
    <n v="4200"/>
    <n v="23800"/>
    <n v="93000"/>
    <n v="116800"/>
    <x v="1"/>
    <s v="Cancelled"/>
    <x v="4"/>
    <n v="2"/>
    <s v="Perempuan"/>
    <x v="1"/>
    <x v="0"/>
    <n v="2"/>
  </r>
  <r>
    <s v="ORD00107"/>
    <n v="45702.395196759258"/>
    <x v="170"/>
    <s v="Bengkulu"/>
    <s v="Tepung Terigu - Brand B"/>
    <x v="2"/>
    <x v="1"/>
    <n v="12000"/>
    <n v="1"/>
    <n v="5"/>
    <n v="12000"/>
    <n v="600"/>
    <n v="11400"/>
    <n v="72000"/>
    <n v="83400"/>
    <x v="0"/>
    <s v="Completed"/>
    <x v="0"/>
    <n v="2"/>
    <s v="Perempuan"/>
    <x v="1"/>
    <x v="0"/>
    <n v="2"/>
  </r>
  <r>
    <s v="ORD00432"/>
    <n v="45702.578518518523"/>
    <x v="171"/>
    <s v="Kupang"/>
    <s v="Telur Ayam - Brand C"/>
    <x v="4"/>
    <x v="0"/>
    <n v="28000"/>
    <n v="3"/>
    <n v="5"/>
    <n v="84000"/>
    <n v="4200"/>
    <n v="79800"/>
    <n v="21000"/>
    <n v="100800"/>
    <x v="0"/>
    <s v="Completed"/>
    <x v="2"/>
    <n v="4"/>
    <s v="Perempuan"/>
    <x v="1"/>
    <x v="0"/>
    <n v="2"/>
  </r>
  <r>
    <s v="ORD00133"/>
    <n v="45702.711562500001"/>
    <x v="172"/>
    <s v="Sofifi"/>
    <s v="Tepung Terigu - Brand C"/>
    <x v="2"/>
    <x v="0"/>
    <n v="14000"/>
    <n v="4"/>
    <n v="5"/>
    <n v="56000"/>
    <n v="2800"/>
    <n v="53200"/>
    <n v="50000"/>
    <n v="103200"/>
    <x v="0"/>
    <s v="Completed"/>
    <x v="1"/>
    <n v="3"/>
    <s v="Perempuan"/>
    <x v="1"/>
    <x v="0"/>
    <n v="2"/>
  </r>
  <r>
    <s v="ORD01004"/>
    <n v="45703.613344907397"/>
    <x v="173"/>
    <s v="Sofifi"/>
    <s v="Minyak Goreng - Brand C"/>
    <x v="8"/>
    <x v="0"/>
    <n v="18000"/>
    <n v="2"/>
    <n v="5"/>
    <n v="36000"/>
    <n v="1800"/>
    <n v="34200"/>
    <n v="50000"/>
    <n v="84200"/>
    <x v="3"/>
    <s v="Completed"/>
    <x v="2"/>
    <n v="2"/>
    <s v="Perempuan"/>
    <x v="1"/>
    <x v="0"/>
    <n v="2"/>
  </r>
  <r>
    <s v="ORD01475"/>
    <n v="45703.764722222222"/>
    <x v="11"/>
    <s v="Palu"/>
    <s v="Garam - Brand A"/>
    <x v="5"/>
    <x v="2"/>
    <n v="4000"/>
    <n v="4"/>
    <n v="20"/>
    <n v="16000"/>
    <n v="3200"/>
    <n v="12800"/>
    <n v="67000"/>
    <n v="79800"/>
    <x v="3"/>
    <s v="Completed"/>
    <x v="1"/>
    <n v="5"/>
    <s v="Perempuan"/>
    <x v="1"/>
    <x v="0"/>
    <n v="2"/>
  </r>
  <r>
    <s v="ORD01761"/>
    <n v="45703.924745370372"/>
    <x v="174"/>
    <s v="Wamena"/>
    <s v="Telur Ayam - Brand C"/>
    <x v="4"/>
    <x v="0"/>
    <n v="28000"/>
    <n v="1"/>
    <n v="5"/>
    <n v="28000"/>
    <n v="1400"/>
    <n v="26600"/>
    <n v="15000"/>
    <n v="41600"/>
    <x v="0"/>
    <s v="Completed"/>
    <x v="2"/>
    <n v="3"/>
    <s v="Perempuan"/>
    <x v="1"/>
    <x v="0"/>
    <n v="2"/>
  </r>
  <r>
    <s v="ORD00775"/>
    <n v="45704.347256944442"/>
    <x v="175"/>
    <s v="Manokwari"/>
    <s v="Bawang Merah - Brand C"/>
    <x v="3"/>
    <x v="0"/>
    <n v="40000"/>
    <n v="2"/>
    <n v="5"/>
    <n v="80000"/>
    <n v="4000"/>
    <n v="76000"/>
    <n v="18000"/>
    <n v="94000"/>
    <x v="1"/>
    <s v="Cancelled"/>
    <x v="1"/>
    <n v="2"/>
    <s v="Perempuan"/>
    <x v="1"/>
    <x v="0"/>
    <n v="2"/>
  </r>
  <r>
    <s v="ORD00734"/>
    <n v="45704.779814814807"/>
    <x v="90"/>
    <s v="Yogyakarta"/>
    <s v="Beras - Brand B"/>
    <x v="0"/>
    <x v="1"/>
    <n v="15000"/>
    <n v="1"/>
    <n v="20"/>
    <n v="15000"/>
    <n v="3000"/>
    <n v="12000"/>
    <n v="78000"/>
    <n v="90000"/>
    <x v="0"/>
    <s v="Completed"/>
    <x v="1"/>
    <n v="2"/>
    <s v="Perempuan"/>
    <x v="1"/>
    <x v="0"/>
    <n v="2"/>
  </r>
  <r>
    <s v="ORD01557"/>
    <n v="45704.955081018517"/>
    <x v="176"/>
    <s v="Bandung"/>
    <s v="Tepung Terigu - Brand C"/>
    <x v="2"/>
    <x v="0"/>
    <n v="14000"/>
    <n v="5"/>
    <n v="10"/>
    <n v="70000"/>
    <n v="7000"/>
    <n v="63000"/>
    <n v="0"/>
    <n v="63000"/>
    <x v="0"/>
    <s v="Completed"/>
    <x v="1"/>
    <n v="1"/>
    <s v="Perempuan"/>
    <x v="1"/>
    <x v="0"/>
    <n v="2"/>
  </r>
  <r>
    <s v="ORD00895"/>
    <n v="45705.520138888889"/>
    <x v="41"/>
    <s v="Sofifi"/>
    <s v="Bawang Merah - Brand C"/>
    <x v="3"/>
    <x v="0"/>
    <n v="40000"/>
    <n v="1"/>
    <n v="10"/>
    <n v="40000"/>
    <n v="4000"/>
    <n v="36000"/>
    <n v="50000"/>
    <n v="86000"/>
    <x v="3"/>
    <s v="Returned"/>
    <x v="1"/>
    <n v="1"/>
    <s v="Perempuan"/>
    <x v="1"/>
    <x v="0"/>
    <n v="2"/>
  </r>
  <r>
    <s v="ORD00015"/>
    <n v="45705.598402777781"/>
    <x v="118"/>
    <s v="Serang"/>
    <s v="Tepung Terigu - Brand B"/>
    <x v="2"/>
    <x v="1"/>
    <n v="12000"/>
    <n v="3"/>
    <n v="5"/>
    <n v="36000"/>
    <n v="1800"/>
    <n v="34200"/>
    <n v="57000"/>
    <n v="91200"/>
    <x v="2"/>
    <s v="Cancelled"/>
    <x v="3"/>
    <n v="4"/>
    <s v="Laki-laki"/>
    <x v="1"/>
    <x v="0"/>
    <n v="2"/>
  </r>
  <r>
    <s v="ORD00850"/>
    <n v="45705.628761574073"/>
    <x v="108"/>
    <s v="Pekanbaru"/>
    <s v="Telur Ayam - Brand C"/>
    <x v="4"/>
    <x v="0"/>
    <n v="28000"/>
    <n v="1"/>
    <n v="10"/>
    <n v="28000"/>
    <n v="2800"/>
    <n v="25200"/>
    <n v="49000"/>
    <n v="74200"/>
    <x v="1"/>
    <s v="Returned"/>
    <x v="4"/>
    <n v="1"/>
    <s v="Perempuan"/>
    <x v="1"/>
    <x v="0"/>
    <n v="2"/>
  </r>
  <r>
    <s v="ORD00074"/>
    <n v="45705.915300925917"/>
    <x v="177"/>
    <s v="Kendari"/>
    <s v="Gula Pasir - Brand C"/>
    <x v="6"/>
    <x v="0"/>
    <n v="18000"/>
    <n v="4"/>
    <n v="5"/>
    <n v="72000"/>
    <n v="3600"/>
    <n v="68400"/>
    <n v="59000"/>
    <n v="127400"/>
    <x v="0"/>
    <s v="Returned"/>
    <x v="3"/>
    <n v="1"/>
    <s v="Laki-laki"/>
    <x v="1"/>
    <x v="0"/>
    <n v="2"/>
  </r>
  <r>
    <s v="ORD00152"/>
    <n v="45706.043124999997"/>
    <x v="178"/>
    <s v="Kupang"/>
    <s v="Daging Ayam - Brand A"/>
    <x v="1"/>
    <x v="2"/>
    <n v="35000"/>
    <n v="3"/>
    <n v="0"/>
    <n v="105000"/>
    <n v="0"/>
    <n v="105000"/>
    <n v="21000"/>
    <n v="126000"/>
    <x v="1"/>
    <s v="Returned"/>
    <x v="0"/>
    <n v="5"/>
    <s v="Perempuan"/>
    <x v="1"/>
    <x v="0"/>
    <n v="2"/>
  </r>
  <r>
    <s v="ORD01122"/>
    <n v="45706.288402777784"/>
    <x v="168"/>
    <s v="Semarang"/>
    <s v="Garam - Brand C"/>
    <x v="5"/>
    <x v="0"/>
    <n v="6000"/>
    <n v="2"/>
    <n v="10"/>
    <n v="12000"/>
    <n v="1200"/>
    <n v="10800"/>
    <n v="76000"/>
    <n v="86800"/>
    <x v="1"/>
    <s v="Completed"/>
    <x v="3"/>
    <n v="5"/>
    <s v="Perempuan"/>
    <x v="1"/>
    <x v="0"/>
    <n v="2"/>
  </r>
  <r>
    <s v="ORD00525"/>
    <n v="45706.851782407408"/>
    <x v="179"/>
    <s v="Samarinda"/>
    <s v="Telur Ayam - Brand A"/>
    <x v="4"/>
    <x v="2"/>
    <n v="22000"/>
    <n v="4"/>
    <n v="20"/>
    <n v="88000"/>
    <n v="17600"/>
    <n v="70400"/>
    <n v="43000"/>
    <n v="113400"/>
    <x v="1"/>
    <s v="Completed"/>
    <x v="4"/>
    <n v="3"/>
    <s v="Perempuan"/>
    <x v="1"/>
    <x v="0"/>
    <n v="2"/>
  </r>
  <r>
    <s v="ORD00837"/>
    <n v="45707.281608796293"/>
    <x v="1"/>
    <s v="Pekanbaru"/>
    <s v="Garam - Brand C"/>
    <x v="5"/>
    <x v="0"/>
    <n v="6000"/>
    <n v="1"/>
    <n v="10"/>
    <n v="6000"/>
    <n v="600"/>
    <n v="5400"/>
    <n v="49000"/>
    <n v="54400"/>
    <x v="0"/>
    <s v="Returned"/>
    <x v="3"/>
    <n v="3"/>
    <s v="Perempuan"/>
    <x v="1"/>
    <x v="0"/>
    <n v="2"/>
  </r>
  <r>
    <s v="ORD00235"/>
    <n v="45707.320428240739"/>
    <x v="180"/>
    <s v="Pangkalpinang"/>
    <s v="Daging Ayam - Brand C"/>
    <x v="1"/>
    <x v="0"/>
    <n v="45000"/>
    <n v="5"/>
    <n v="5"/>
    <n v="225000"/>
    <n v="11250"/>
    <n v="213750"/>
    <n v="18000"/>
    <n v="231750"/>
    <x v="3"/>
    <s v="Completed"/>
    <x v="4"/>
    <n v="5"/>
    <s v="Perempuan"/>
    <x v="1"/>
    <x v="0"/>
    <n v="2"/>
  </r>
  <r>
    <s v="ORD00235"/>
    <n v="45707.320428240739"/>
    <x v="180"/>
    <s v="Pangkalpinang"/>
    <s v="Tepung Terigu - Brand A"/>
    <x v="2"/>
    <x v="2"/>
    <n v="10000"/>
    <n v="4"/>
    <n v="5"/>
    <n v="40000"/>
    <n v="2000"/>
    <n v="38000"/>
    <n v="0"/>
    <n v="38000"/>
    <x v="3"/>
    <s v="Completed"/>
    <x v="4"/>
    <n v="5"/>
    <s v="Perempuan"/>
    <x v="1"/>
    <x v="0"/>
    <n v="2"/>
  </r>
  <r>
    <s v="ORD00443"/>
    <n v="45707.330289351848"/>
    <x v="181"/>
    <s v="Wamena"/>
    <s v="Susu Bubuk - Brand C"/>
    <x v="7"/>
    <x v="0"/>
    <n v="55000"/>
    <n v="3"/>
    <n v="15"/>
    <n v="165000"/>
    <n v="24750"/>
    <n v="140250"/>
    <n v="15000"/>
    <n v="155250"/>
    <x v="2"/>
    <s v="Completed"/>
    <x v="1"/>
    <n v="5"/>
    <s v="Perempuan"/>
    <x v="1"/>
    <x v="0"/>
    <n v="2"/>
  </r>
  <r>
    <s v="ORD01626"/>
    <n v="45707.727094907408"/>
    <x v="182"/>
    <s v="Pangkalpinang"/>
    <s v="Bawang Merah - Brand A"/>
    <x v="3"/>
    <x v="2"/>
    <n v="30000"/>
    <n v="3"/>
    <n v="5"/>
    <n v="90000"/>
    <n v="4500"/>
    <n v="85500"/>
    <n v="18000"/>
    <n v="103500"/>
    <x v="0"/>
    <s v="Completed"/>
    <x v="0"/>
    <n v="5"/>
    <s v="Perempuan"/>
    <x v="1"/>
    <x v="0"/>
    <n v="2"/>
  </r>
  <r>
    <s v="ORD01540"/>
    <n v="45708.040451388893"/>
    <x v="73"/>
    <s v="Pekanbaru"/>
    <s v="Daging Ayam - Brand B"/>
    <x v="1"/>
    <x v="1"/>
    <n v="40000"/>
    <n v="5"/>
    <n v="10"/>
    <n v="200000"/>
    <n v="20000"/>
    <n v="180000"/>
    <n v="49000"/>
    <n v="229000"/>
    <x v="0"/>
    <s v="Completed"/>
    <x v="4"/>
    <n v="5"/>
    <s v="Perempuan"/>
    <x v="1"/>
    <x v="0"/>
    <n v="2"/>
  </r>
  <r>
    <s v="ORD01067"/>
    <n v="45708.093530092592"/>
    <x v="183"/>
    <s v="Jambi"/>
    <s v="Garam - Brand B"/>
    <x v="5"/>
    <x v="1"/>
    <n v="5000"/>
    <n v="5"/>
    <n v="0"/>
    <n v="25000"/>
    <n v="0"/>
    <n v="25000"/>
    <n v="87000"/>
    <n v="112000"/>
    <x v="3"/>
    <s v="Completed"/>
    <x v="1"/>
    <n v="3"/>
    <s v="Perempuan"/>
    <x v="1"/>
    <x v="0"/>
    <n v="2"/>
  </r>
  <r>
    <s v="ORD01349"/>
    <n v="45708.313923611109"/>
    <x v="161"/>
    <s v="Gorontalo"/>
    <s v="Bawang Merah - Brand A"/>
    <x v="3"/>
    <x v="2"/>
    <n v="30000"/>
    <n v="4"/>
    <n v="0"/>
    <n v="120000"/>
    <n v="0"/>
    <n v="120000"/>
    <n v="80000"/>
    <n v="200000"/>
    <x v="2"/>
    <s v="Completed"/>
    <x v="1"/>
    <n v="4"/>
    <s v="Perempuan"/>
    <x v="1"/>
    <x v="0"/>
    <n v="2"/>
  </r>
  <r>
    <s v="ORD00457"/>
    <n v="45708.372812499998"/>
    <x v="184"/>
    <s v="Manokwari"/>
    <s v="Bawang Merah - Brand C"/>
    <x v="3"/>
    <x v="0"/>
    <n v="40000"/>
    <n v="4"/>
    <n v="5"/>
    <n v="160000"/>
    <n v="8000"/>
    <n v="152000"/>
    <n v="18000"/>
    <n v="170000"/>
    <x v="3"/>
    <s v="Returned"/>
    <x v="4"/>
    <n v="3"/>
    <s v="Perempuan"/>
    <x v="1"/>
    <x v="0"/>
    <n v="2"/>
  </r>
  <r>
    <s v="ORD00507"/>
    <n v="45708.462071759262"/>
    <x v="185"/>
    <s v="Kupang"/>
    <s v="Minyak Goreng - Brand A"/>
    <x v="8"/>
    <x v="2"/>
    <n v="16000"/>
    <n v="1"/>
    <n v="15"/>
    <n v="16000"/>
    <n v="2400"/>
    <n v="13600"/>
    <n v="21000"/>
    <n v="34600"/>
    <x v="2"/>
    <s v="Completed"/>
    <x v="1"/>
    <n v="3"/>
    <s v="Laki-laki"/>
    <x v="1"/>
    <x v="0"/>
    <n v="2"/>
  </r>
  <r>
    <s v="ORD00353"/>
    <n v="45710.038969907408"/>
    <x v="186"/>
    <s v="Pontianak"/>
    <s v="Beras - Brand B"/>
    <x v="0"/>
    <x v="1"/>
    <n v="15000"/>
    <n v="2"/>
    <n v="5"/>
    <n v="30000"/>
    <n v="1500"/>
    <n v="28500"/>
    <n v="85000"/>
    <n v="113500"/>
    <x v="1"/>
    <s v="Completed"/>
    <x v="3"/>
    <n v="1"/>
    <s v="Perempuan"/>
    <x v="1"/>
    <x v="0"/>
    <n v="2"/>
  </r>
  <r>
    <s v="ORD00643"/>
    <n v="45710.237928240742"/>
    <x v="187"/>
    <s v="Jayapura"/>
    <s v="Daging Ayam - Brand A"/>
    <x v="1"/>
    <x v="2"/>
    <n v="35000"/>
    <n v="3"/>
    <n v="10"/>
    <n v="105000"/>
    <n v="10500"/>
    <n v="94500"/>
    <n v="30000"/>
    <n v="124500"/>
    <x v="3"/>
    <s v="Returned"/>
    <x v="1"/>
    <n v="1"/>
    <s v="Perempuan"/>
    <x v="1"/>
    <x v="0"/>
    <n v="2"/>
  </r>
  <r>
    <s v="ORD00966"/>
    <n v="45710.321087962962"/>
    <x v="81"/>
    <s v="Nabire"/>
    <s v="Susu Bubuk - Brand B"/>
    <x v="7"/>
    <x v="1"/>
    <n v="50000"/>
    <n v="5"/>
    <n v="15"/>
    <n v="250000"/>
    <n v="37500"/>
    <n v="212500"/>
    <n v="89000"/>
    <n v="301500"/>
    <x v="0"/>
    <s v="Completed"/>
    <x v="1"/>
    <n v="4"/>
    <s v="Perempuan"/>
    <x v="1"/>
    <x v="0"/>
    <n v="2"/>
  </r>
  <r>
    <s v="ORD00075"/>
    <n v="45710.368113425917"/>
    <x v="188"/>
    <s v="Pontianak"/>
    <s v="Telur Ayam - Brand C"/>
    <x v="4"/>
    <x v="0"/>
    <n v="28000"/>
    <n v="2"/>
    <n v="15"/>
    <n v="56000"/>
    <n v="8400"/>
    <n v="47600"/>
    <n v="85000"/>
    <n v="132600"/>
    <x v="2"/>
    <s v="Cancelled"/>
    <x v="3"/>
    <n v="5"/>
    <s v="Laki-laki"/>
    <x v="1"/>
    <x v="0"/>
    <n v="2"/>
  </r>
  <r>
    <s v="ORD01596"/>
    <n v="45710.415034722217"/>
    <x v="121"/>
    <s v="Jambi"/>
    <s v="Beras - Brand A"/>
    <x v="0"/>
    <x v="2"/>
    <n v="14000"/>
    <n v="2"/>
    <n v="0"/>
    <n v="28000"/>
    <n v="0"/>
    <n v="28000"/>
    <n v="87000"/>
    <n v="115000"/>
    <x v="3"/>
    <s v="Completed"/>
    <x v="1"/>
    <n v="5"/>
    <s v="Perempuan"/>
    <x v="1"/>
    <x v="0"/>
    <n v="2"/>
  </r>
  <r>
    <s v="ORD01311"/>
    <n v="45710.959374999999"/>
    <x v="71"/>
    <s v="Pangkalpinang"/>
    <s v="Beras - Brand A"/>
    <x v="0"/>
    <x v="2"/>
    <n v="14000"/>
    <n v="1"/>
    <n v="5"/>
    <n v="14000"/>
    <n v="700"/>
    <n v="13300"/>
    <n v="18000"/>
    <n v="31300"/>
    <x v="2"/>
    <s v="Completed"/>
    <x v="4"/>
    <n v="2"/>
    <s v="Perempuan"/>
    <x v="1"/>
    <x v="0"/>
    <n v="2"/>
  </r>
  <r>
    <s v="ORD01735"/>
    <n v="45711.086180555547"/>
    <x v="189"/>
    <s v="Medan"/>
    <s v="Daging Ayam - Brand A"/>
    <x v="1"/>
    <x v="2"/>
    <n v="35000"/>
    <n v="4"/>
    <n v="5"/>
    <n v="140000"/>
    <n v="7000"/>
    <n v="133000"/>
    <n v="79000"/>
    <n v="212000"/>
    <x v="3"/>
    <s v="Completed"/>
    <x v="0"/>
    <n v="2"/>
    <s v="Perempuan"/>
    <x v="1"/>
    <x v="0"/>
    <n v="2"/>
  </r>
  <r>
    <s v="ORD01799"/>
    <n v="45711.112835648149"/>
    <x v="161"/>
    <s v="Gorontalo"/>
    <s v="Bawang Merah - Brand C"/>
    <x v="3"/>
    <x v="0"/>
    <n v="40000"/>
    <n v="3"/>
    <n v="0"/>
    <n v="120000"/>
    <n v="0"/>
    <n v="120000"/>
    <n v="80000"/>
    <n v="200000"/>
    <x v="2"/>
    <s v="Returned"/>
    <x v="3"/>
    <n v="5"/>
    <s v="Perempuan"/>
    <x v="1"/>
    <x v="0"/>
    <n v="2"/>
  </r>
  <r>
    <s v="ORD00149"/>
    <n v="45711.125011574077"/>
    <x v="190"/>
    <s v="Nabire"/>
    <s v="Tepung Terigu - Brand C"/>
    <x v="2"/>
    <x v="0"/>
    <n v="14000"/>
    <n v="5"/>
    <n v="10"/>
    <n v="70000"/>
    <n v="7000"/>
    <n v="63000"/>
    <n v="89000"/>
    <n v="152000"/>
    <x v="3"/>
    <s v="Returned"/>
    <x v="1"/>
    <n v="4"/>
    <s v="Perempuan"/>
    <x v="1"/>
    <x v="0"/>
    <n v="2"/>
  </r>
  <r>
    <s v="ORD00042"/>
    <n v="45711.494050925918"/>
    <x v="191"/>
    <s v="Banda Aceh"/>
    <s v="Daging Ayam - Brand A"/>
    <x v="1"/>
    <x v="2"/>
    <n v="35000"/>
    <n v="5"/>
    <n v="15"/>
    <n v="175000"/>
    <n v="26250"/>
    <n v="148750"/>
    <n v="18000"/>
    <n v="166750"/>
    <x v="1"/>
    <s v="Completed"/>
    <x v="2"/>
    <n v="4"/>
    <s v="Laki-laki"/>
    <x v="1"/>
    <x v="0"/>
    <n v="2"/>
  </r>
  <r>
    <s v="ORD00449"/>
    <n v="45711.808391203696"/>
    <x v="74"/>
    <s v="Tanjungpinang"/>
    <s v="Tepung Terigu - Brand B"/>
    <x v="2"/>
    <x v="1"/>
    <n v="12000"/>
    <n v="2"/>
    <n v="5"/>
    <n v="24000"/>
    <n v="1200"/>
    <n v="22800"/>
    <n v="48000"/>
    <n v="70800"/>
    <x v="0"/>
    <s v="Completed"/>
    <x v="2"/>
    <n v="2"/>
    <s v="Perempuan"/>
    <x v="1"/>
    <x v="0"/>
    <n v="2"/>
  </r>
  <r>
    <s v="ORD01657"/>
    <n v="45711.86005787037"/>
    <x v="13"/>
    <s v="Tanjungpinang"/>
    <s v="Gula Pasir - Brand A"/>
    <x v="6"/>
    <x v="2"/>
    <n v="16000"/>
    <n v="3"/>
    <n v="5"/>
    <n v="48000"/>
    <n v="2400"/>
    <n v="45600"/>
    <n v="48000"/>
    <n v="93600"/>
    <x v="1"/>
    <s v="Completed"/>
    <x v="4"/>
    <n v="4"/>
    <s v="Perempuan"/>
    <x v="1"/>
    <x v="0"/>
    <n v="2"/>
  </r>
  <r>
    <s v="ORD01471"/>
    <n v="45711.942013888889"/>
    <x v="192"/>
    <s v="Tanjungpinang"/>
    <s v="Tepung Terigu - Brand C"/>
    <x v="2"/>
    <x v="0"/>
    <n v="14000"/>
    <n v="2"/>
    <n v="5"/>
    <n v="28000"/>
    <n v="1400"/>
    <n v="26600"/>
    <n v="48000"/>
    <n v="74600"/>
    <x v="0"/>
    <s v="Completed"/>
    <x v="1"/>
    <n v="1"/>
    <s v="Perempuan"/>
    <x v="1"/>
    <x v="0"/>
    <n v="2"/>
  </r>
  <r>
    <s v="ORD01281"/>
    <n v="45712.076365740737"/>
    <x v="122"/>
    <s v="Palangka Raya"/>
    <s v="Minyak Goreng - Brand C"/>
    <x v="8"/>
    <x v="0"/>
    <n v="18000"/>
    <n v="1"/>
    <n v="20"/>
    <n v="18000"/>
    <n v="3600"/>
    <n v="14400"/>
    <n v="50000"/>
    <n v="64400"/>
    <x v="1"/>
    <s v="Completed"/>
    <x v="0"/>
    <n v="2"/>
    <s v="Perempuan"/>
    <x v="1"/>
    <x v="0"/>
    <n v="2"/>
  </r>
  <r>
    <s v="ORD01617"/>
    <n v="45712.117476851847"/>
    <x v="186"/>
    <s v="Pontianak"/>
    <s v="Daging Ayam - Brand B"/>
    <x v="1"/>
    <x v="1"/>
    <n v="40000"/>
    <n v="1"/>
    <n v="10"/>
    <n v="40000"/>
    <n v="4000"/>
    <n v="36000"/>
    <n v="85000"/>
    <n v="121000"/>
    <x v="2"/>
    <s v="Completed"/>
    <x v="2"/>
    <n v="4"/>
    <s v="Perempuan"/>
    <x v="1"/>
    <x v="0"/>
    <n v="2"/>
  </r>
  <r>
    <s v="ORD01662"/>
    <n v="45712.22797453704"/>
    <x v="193"/>
    <s v="Semarang"/>
    <s v="Garam - Brand A"/>
    <x v="5"/>
    <x v="2"/>
    <n v="4000"/>
    <n v="4"/>
    <n v="15"/>
    <n v="16000"/>
    <n v="2400"/>
    <n v="13600"/>
    <n v="76000"/>
    <n v="89600"/>
    <x v="1"/>
    <s v="Completed"/>
    <x v="3"/>
    <n v="4"/>
    <s v="Perempuan"/>
    <x v="1"/>
    <x v="0"/>
    <n v="2"/>
  </r>
  <r>
    <s v="ORD01087"/>
    <n v="45712.513819444437"/>
    <x v="194"/>
    <s v="Pangkalpinang"/>
    <s v="Beras - Brand C"/>
    <x v="0"/>
    <x v="0"/>
    <n v="16000"/>
    <n v="1"/>
    <n v="10"/>
    <n v="16000"/>
    <n v="1600"/>
    <n v="14400"/>
    <n v="18000"/>
    <n v="32400"/>
    <x v="3"/>
    <s v="Completed"/>
    <x v="0"/>
    <n v="4"/>
    <s v="Perempuan"/>
    <x v="1"/>
    <x v="0"/>
    <n v="2"/>
  </r>
  <r>
    <s v="ORD01244"/>
    <n v="45712.65587962963"/>
    <x v="155"/>
    <s v="Bandung"/>
    <s v="Minyak Goreng - Brand B"/>
    <x v="8"/>
    <x v="1"/>
    <n v="17000"/>
    <n v="1"/>
    <n v="5"/>
    <n v="17000"/>
    <n v="850"/>
    <n v="16150"/>
    <n v="0"/>
    <n v="16150"/>
    <x v="2"/>
    <s v="Completed"/>
    <x v="0"/>
    <n v="3"/>
    <s v="Perempuan"/>
    <x v="1"/>
    <x v="0"/>
    <n v="2"/>
  </r>
  <r>
    <s v="ORD01209"/>
    <n v="45712.691458333327"/>
    <x v="3"/>
    <s v="Wamena"/>
    <s v="Daging Ayam - Brand A"/>
    <x v="1"/>
    <x v="2"/>
    <n v="35000"/>
    <n v="2"/>
    <n v="0"/>
    <n v="70000"/>
    <n v="0"/>
    <n v="70000"/>
    <n v="15000"/>
    <n v="85000"/>
    <x v="3"/>
    <s v="Cancelled"/>
    <x v="0"/>
    <n v="2"/>
    <s v="Perempuan"/>
    <x v="1"/>
    <x v="0"/>
    <n v="2"/>
  </r>
  <r>
    <s v="ORD00450"/>
    <n v="45712.874178240738"/>
    <x v="154"/>
    <s v="Bandar Lampung"/>
    <s v="Bawang Merah - Brand C"/>
    <x v="3"/>
    <x v="0"/>
    <n v="40000"/>
    <n v="4"/>
    <n v="0"/>
    <n v="160000"/>
    <n v="0"/>
    <n v="160000"/>
    <n v="28000"/>
    <n v="188000"/>
    <x v="2"/>
    <s v="Completed"/>
    <x v="0"/>
    <n v="4"/>
    <s v="Perempuan"/>
    <x v="1"/>
    <x v="0"/>
    <n v="2"/>
  </r>
  <r>
    <s v="ORD00926"/>
    <n v="45712.878692129627"/>
    <x v="195"/>
    <s v="Pontianak"/>
    <s v="Minyak Goreng - Brand C"/>
    <x v="8"/>
    <x v="0"/>
    <n v="18000"/>
    <n v="3"/>
    <n v="0"/>
    <n v="54000"/>
    <n v="0"/>
    <n v="54000"/>
    <n v="85000"/>
    <n v="139000"/>
    <x v="1"/>
    <s v="Completed"/>
    <x v="3"/>
    <n v="5"/>
    <s v="Perempuan"/>
    <x v="1"/>
    <x v="0"/>
    <n v="2"/>
  </r>
  <r>
    <s v="ORD01575"/>
    <n v="45713.314629629633"/>
    <x v="196"/>
    <s v="Mamuju"/>
    <s v="Tepung Terigu - Brand B"/>
    <x v="2"/>
    <x v="1"/>
    <n v="12000"/>
    <n v="4"/>
    <n v="10"/>
    <n v="48000"/>
    <n v="4800"/>
    <n v="43200"/>
    <n v="46000"/>
    <n v="89200"/>
    <x v="1"/>
    <s v="Returned"/>
    <x v="2"/>
    <n v="3"/>
    <s v="Perempuan"/>
    <x v="1"/>
    <x v="0"/>
    <n v="2"/>
  </r>
  <r>
    <s v="ORD01731"/>
    <n v="45713.316724537042"/>
    <x v="160"/>
    <s v="Ambon"/>
    <s v="Garam - Brand C"/>
    <x v="5"/>
    <x v="0"/>
    <n v="6000"/>
    <n v="1"/>
    <n v="0"/>
    <n v="6000"/>
    <n v="0"/>
    <n v="6000"/>
    <n v="49000"/>
    <n v="55000"/>
    <x v="2"/>
    <s v="Completed"/>
    <x v="4"/>
    <n v="1"/>
    <s v="Perempuan"/>
    <x v="1"/>
    <x v="0"/>
    <n v="2"/>
  </r>
  <r>
    <s v="ORD01275"/>
    <n v="45713.395243055558"/>
    <x v="197"/>
    <s v="Jayapura"/>
    <s v="Telur Ayam - Brand B"/>
    <x v="4"/>
    <x v="1"/>
    <n v="25000"/>
    <n v="5"/>
    <n v="0"/>
    <n v="125000"/>
    <n v="0"/>
    <n v="125000"/>
    <n v="30000"/>
    <n v="155000"/>
    <x v="1"/>
    <s v="Completed"/>
    <x v="2"/>
    <n v="1"/>
    <s v="Perempuan"/>
    <x v="1"/>
    <x v="0"/>
    <n v="2"/>
  </r>
  <r>
    <s v="ORD01462"/>
    <n v="45713.818136574067"/>
    <x v="198"/>
    <s v="Semarang"/>
    <s v="Bawang Merah - Brand C"/>
    <x v="3"/>
    <x v="0"/>
    <n v="40000"/>
    <n v="2"/>
    <n v="20"/>
    <n v="80000"/>
    <n v="16000"/>
    <n v="64000"/>
    <n v="76000"/>
    <n v="140000"/>
    <x v="1"/>
    <s v="Returned"/>
    <x v="4"/>
    <n v="4"/>
    <s v="Perempuan"/>
    <x v="1"/>
    <x v="0"/>
    <n v="2"/>
  </r>
  <r>
    <s v="ORD01545"/>
    <n v="45714.135601851849"/>
    <x v="17"/>
    <s v="Palembang"/>
    <s v="Beras - Brand B"/>
    <x v="0"/>
    <x v="1"/>
    <n v="15000"/>
    <n v="1"/>
    <n v="0"/>
    <n v="15000"/>
    <n v="0"/>
    <n v="15000"/>
    <n v="17000"/>
    <n v="32000"/>
    <x v="0"/>
    <s v="Completed"/>
    <x v="1"/>
    <n v="4"/>
    <s v="Perempuan"/>
    <x v="1"/>
    <x v="0"/>
    <n v="2"/>
  </r>
  <r>
    <s v="ORD00217"/>
    <n v="45714.195416666669"/>
    <x v="199"/>
    <s v="Surabaya"/>
    <s v="Minyak Goreng - Brand A"/>
    <x v="8"/>
    <x v="2"/>
    <n v="16000"/>
    <n v="2"/>
    <n v="0"/>
    <n v="32000"/>
    <n v="0"/>
    <n v="32000"/>
    <n v="74000"/>
    <n v="106000"/>
    <x v="0"/>
    <s v="Completed"/>
    <x v="0"/>
    <n v="4"/>
    <s v="Perempuan"/>
    <x v="1"/>
    <x v="0"/>
    <n v="2"/>
  </r>
  <r>
    <s v="ORD00217"/>
    <n v="45714.195416666669"/>
    <x v="199"/>
    <s v="Surabaya"/>
    <s v="Beras - Brand A"/>
    <x v="0"/>
    <x v="2"/>
    <n v="14000"/>
    <n v="3"/>
    <n v="20"/>
    <n v="42000"/>
    <n v="8400"/>
    <n v="33600"/>
    <n v="0"/>
    <n v="33600"/>
    <x v="0"/>
    <s v="Completed"/>
    <x v="0"/>
    <n v="4"/>
    <s v="Perempuan"/>
    <x v="1"/>
    <x v="0"/>
    <n v="2"/>
  </r>
  <r>
    <s v="ORD00793"/>
    <n v="45714.426736111112"/>
    <x v="200"/>
    <s v="Sofifi"/>
    <s v="Bawang Merah - Brand C"/>
    <x v="3"/>
    <x v="0"/>
    <n v="40000"/>
    <n v="5"/>
    <n v="0"/>
    <n v="200000"/>
    <n v="0"/>
    <n v="200000"/>
    <n v="50000"/>
    <n v="250000"/>
    <x v="0"/>
    <s v="Completed"/>
    <x v="2"/>
    <n v="4"/>
    <s v="Perempuan"/>
    <x v="1"/>
    <x v="0"/>
    <n v="2"/>
  </r>
  <r>
    <s v="ORD00435"/>
    <n v="45714.548750000002"/>
    <x v="83"/>
    <s v="Mataram"/>
    <s v="Beras - Brand B"/>
    <x v="0"/>
    <x v="1"/>
    <n v="15000"/>
    <n v="5"/>
    <n v="15"/>
    <n v="75000"/>
    <n v="11250"/>
    <n v="63750"/>
    <n v="56000"/>
    <n v="119750"/>
    <x v="3"/>
    <s v="Completed"/>
    <x v="3"/>
    <n v="1"/>
    <s v="Perempuan"/>
    <x v="1"/>
    <x v="0"/>
    <n v="2"/>
  </r>
  <r>
    <s v="ORD00153"/>
    <n v="45714.591539351852"/>
    <x v="73"/>
    <s v="Pekanbaru"/>
    <s v="Tepung Terigu - Brand A"/>
    <x v="2"/>
    <x v="2"/>
    <n v="10000"/>
    <n v="2"/>
    <n v="0"/>
    <n v="20000"/>
    <n v="0"/>
    <n v="20000"/>
    <n v="49000"/>
    <n v="69000"/>
    <x v="3"/>
    <s v="Completed"/>
    <x v="0"/>
    <n v="1"/>
    <s v="Perempuan"/>
    <x v="1"/>
    <x v="0"/>
    <n v="2"/>
  </r>
  <r>
    <s v="ORD00420"/>
    <n v="45714.638622685183"/>
    <x v="150"/>
    <s v="Bengkulu"/>
    <s v="Daging Ayam - Brand B"/>
    <x v="1"/>
    <x v="1"/>
    <n v="40000"/>
    <n v="4"/>
    <n v="0"/>
    <n v="160000"/>
    <n v="0"/>
    <n v="160000"/>
    <n v="72000"/>
    <n v="232000"/>
    <x v="0"/>
    <s v="Returned"/>
    <x v="1"/>
    <n v="3"/>
    <s v="Perempuan"/>
    <x v="1"/>
    <x v="0"/>
    <n v="2"/>
  </r>
  <r>
    <s v="ORD01147"/>
    <n v="45714.876273148147"/>
    <x v="11"/>
    <s v="Palu"/>
    <s v="Garam - Brand C"/>
    <x v="5"/>
    <x v="0"/>
    <n v="6000"/>
    <n v="2"/>
    <n v="15"/>
    <n v="12000"/>
    <n v="1800"/>
    <n v="10200"/>
    <n v="67000"/>
    <n v="77200"/>
    <x v="0"/>
    <s v="Completed"/>
    <x v="0"/>
    <n v="4"/>
    <s v="Perempuan"/>
    <x v="1"/>
    <x v="0"/>
    <n v="2"/>
  </r>
  <r>
    <s v="ORD00405"/>
    <n v="45715.039212962962"/>
    <x v="92"/>
    <s v="Yogyakarta"/>
    <s v="Daging Ayam - Brand A"/>
    <x v="1"/>
    <x v="2"/>
    <n v="35000"/>
    <n v="1"/>
    <n v="5"/>
    <n v="35000"/>
    <n v="1750"/>
    <n v="33250"/>
    <n v="78000"/>
    <n v="111250"/>
    <x v="1"/>
    <s v="Completed"/>
    <x v="1"/>
    <n v="5"/>
    <s v="Perempuan"/>
    <x v="1"/>
    <x v="0"/>
    <n v="2"/>
  </r>
  <r>
    <s v="ORD00474"/>
    <n v="45715.534409722219"/>
    <x v="96"/>
    <s v="Denpasar"/>
    <s v="Beras - Brand B"/>
    <x v="0"/>
    <x v="1"/>
    <n v="15000"/>
    <n v="4"/>
    <n v="15"/>
    <n v="60000"/>
    <n v="9000"/>
    <n v="51000"/>
    <n v="80000"/>
    <n v="131000"/>
    <x v="1"/>
    <s v="Completed"/>
    <x v="1"/>
    <n v="2"/>
    <s v="Perempuan"/>
    <x v="1"/>
    <x v="0"/>
    <n v="2"/>
  </r>
  <r>
    <s v="ORD01829"/>
    <n v="45715.552372685182"/>
    <x v="201"/>
    <s v="Sorong"/>
    <s v="Daging Ayam - Brand A"/>
    <x v="1"/>
    <x v="2"/>
    <n v="35000"/>
    <n v="5"/>
    <n v="10"/>
    <n v="175000"/>
    <n v="17500"/>
    <n v="157500"/>
    <n v="87000"/>
    <n v="244500"/>
    <x v="0"/>
    <s v="Completed"/>
    <x v="2"/>
    <n v="4"/>
    <s v="Perempuan"/>
    <x v="1"/>
    <x v="0"/>
    <n v="2"/>
  </r>
  <r>
    <s v="ORD00889"/>
    <n v="45715.583726851852"/>
    <x v="143"/>
    <s v="Yogyakarta"/>
    <s v="Minyak Goreng - Brand B"/>
    <x v="8"/>
    <x v="1"/>
    <n v="17000"/>
    <n v="1"/>
    <n v="20"/>
    <n v="17000"/>
    <n v="3400"/>
    <n v="13600"/>
    <n v="78000"/>
    <n v="91600"/>
    <x v="1"/>
    <s v="Completed"/>
    <x v="1"/>
    <n v="5"/>
    <s v="Perempuan"/>
    <x v="1"/>
    <x v="0"/>
    <n v="2"/>
  </r>
  <r>
    <s v="ORD01696"/>
    <n v="45715.597060185188"/>
    <x v="60"/>
    <s v="Bengkulu"/>
    <s v="Telur Ayam - Brand C"/>
    <x v="4"/>
    <x v="0"/>
    <n v="28000"/>
    <n v="1"/>
    <n v="0"/>
    <n v="28000"/>
    <n v="0"/>
    <n v="28000"/>
    <n v="72000"/>
    <n v="100000"/>
    <x v="3"/>
    <s v="Completed"/>
    <x v="1"/>
    <n v="1"/>
    <s v="Perempuan"/>
    <x v="1"/>
    <x v="0"/>
    <n v="2"/>
  </r>
  <r>
    <s v="ORD00892"/>
    <n v="45716.261458333327"/>
    <x v="202"/>
    <s v="Bengkulu"/>
    <s v="Minyak Goreng - Brand A"/>
    <x v="8"/>
    <x v="2"/>
    <n v="16000"/>
    <n v="2"/>
    <n v="20"/>
    <n v="32000"/>
    <n v="6400"/>
    <n v="25600"/>
    <n v="72000"/>
    <n v="97600"/>
    <x v="2"/>
    <s v="Cancelled"/>
    <x v="1"/>
    <n v="4"/>
    <s v="Perempuan"/>
    <x v="1"/>
    <x v="0"/>
    <n v="2"/>
  </r>
  <r>
    <s v="ORD01073"/>
    <n v="45716.313310185193"/>
    <x v="203"/>
    <s v="Kendari"/>
    <s v="Garam - Brand B"/>
    <x v="5"/>
    <x v="1"/>
    <n v="5000"/>
    <n v="1"/>
    <n v="0"/>
    <n v="5000"/>
    <n v="0"/>
    <n v="5000"/>
    <n v="59000"/>
    <n v="64000"/>
    <x v="3"/>
    <s v="Completed"/>
    <x v="1"/>
    <n v="1"/>
    <s v="Perempuan"/>
    <x v="1"/>
    <x v="0"/>
    <n v="2"/>
  </r>
  <r>
    <s v="ORD01493"/>
    <n v="45716.335428240738"/>
    <x v="16"/>
    <s v="Padang"/>
    <s v="Daging Ayam - Brand B"/>
    <x v="1"/>
    <x v="1"/>
    <n v="40000"/>
    <n v="4"/>
    <n v="5"/>
    <n v="160000"/>
    <n v="8000"/>
    <n v="152000"/>
    <n v="68000"/>
    <n v="220000"/>
    <x v="1"/>
    <s v="Completed"/>
    <x v="0"/>
    <n v="1"/>
    <s v="Perempuan"/>
    <x v="1"/>
    <x v="0"/>
    <n v="2"/>
  </r>
  <r>
    <s v="ORD00524"/>
    <n v="45716.615949074083"/>
    <x v="204"/>
    <s v="Pontianak"/>
    <s v="Beras - Brand B"/>
    <x v="0"/>
    <x v="1"/>
    <n v="15000"/>
    <n v="5"/>
    <n v="15"/>
    <n v="75000"/>
    <n v="11250"/>
    <n v="63750"/>
    <n v="85000"/>
    <n v="148750"/>
    <x v="2"/>
    <s v="Completed"/>
    <x v="3"/>
    <n v="2"/>
    <s v="Perempuan"/>
    <x v="1"/>
    <x v="0"/>
    <n v="2"/>
  </r>
  <r>
    <s v="ORD00287"/>
    <n v="45716.807546296302"/>
    <x v="54"/>
    <s v="Samarinda"/>
    <s v="Minyak Goreng - Brand A"/>
    <x v="8"/>
    <x v="2"/>
    <n v="16000"/>
    <n v="5"/>
    <n v="5"/>
    <n v="80000"/>
    <n v="4000"/>
    <n v="76000"/>
    <n v="43000"/>
    <n v="119000"/>
    <x v="1"/>
    <s v="Completed"/>
    <x v="1"/>
    <n v="1"/>
    <s v="Perempuan"/>
    <x v="1"/>
    <x v="0"/>
    <n v="2"/>
  </r>
  <r>
    <s v="ORD01282"/>
    <n v="45716.868668981479"/>
    <x v="205"/>
    <s v="Jakarta"/>
    <s v="Minyak Goreng - Brand A"/>
    <x v="8"/>
    <x v="2"/>
    <n v="16000"/>
    <n v="5"/>
    <n v="15"/>
    <n v="80000"/>
    <n v="12000"/>
    <n v="68000"/>
    <n v="97000"/>
    <n v="165000"/>
    <x v="0"/>
    <s v="Completed"/>
    <x v="1"/>
    <n v="4"/>
    <s v="Laki-laki"/>
    <x v="1"/>
    <x v="0"/>
    <n v="2"/>
  </r>
  <r>
    <s v="ORD01055"/>
    <n v="45716.888009259259"/>
    <x v="206"/>
    <s v="Padang"/>
    <s v="Beras - Brand C"/>
    <x v="0"/>
    <x v="0"/>
    <n v="16000"/>
    <n v="2"/>
    <n v="0"/>
    <n v="32000"/>
    <n v="0"/>
    <n v="32000"/>
    <n v="68000"/>
    <n v="100000"/>
    <x v="1"/>
    <s v="Completed"/>
    <x v="2"/>
    <n v="2"/>
    <s v="Perempuan"/>
    <x v="1"/>
    <x v="0"/>
    <n v="2"/>
  </r>
  <r>
    <s v="ORD00313"/>
    <n v="45716.935740740737"/>
    <x v="207"/>
    <s v="Pontianak"/>
    <s v="Garam - Brand C"/>
    <x v="5"/>
    <x v="0"/>
    <n v="6000"/>
    <n v="4"/>
    <n v="0"/>
    <n v="24000"/>
    <n v="0"/>
    <n v="24000"/>
    <n v="85000"/>
    <n v="109000"/>
    <x v="1"/>
    <s v="Returned"/>
    <x v="4"/>
    <n v="3"/>
    <s v="Perempuan"/>
    <x v="1"/>
    <x v="0"/>
    <n v="2"/>
  </r>
  <r>
    <s v="ORD01389"/>
    <n v="45717.145219907397"/>
    <x v="208"/>
    <s v="Palu"/>
    <s v="Daging Ayam - Brand A"/>
    <x v="1"/>
    <x v="2"/>
    <n v="35000"/>
    <n v="1"/>
    <n v="5"/>
    <n v="35000"/>
    <n v="1750"/>
    <n v="33250"/>
    <n v="67000"/>
    <n v="100250"/>
    <x v="1"/>
    <s v="Completed"/>
    <x v="1"/>
    <n v="3"/>
    <s v="Perempuan"/>
    <x v="2"/>
    <x v="0"/>
    <n v="3"/>
  </r>
  <r>
    <s v="ORD01427"/>
    <n v="45717.271678240737"/>
    <x v="209"/>
    <s v="Sofifi"/>
    <s v="Daging Ayam - Brand B"/>
    <x v="1"/>
    <x v="1"/>
    <n v="40000"/>
    <n v="5"/>
    <n v="15"/>
    <n v="200000"/>
    <n v="30000"/>
    <n v="170000"/>
    <n v="50000"/>
    <n v="220000"/>
    <x v="0"/>
    <s v="Completed"/>
    <x v="2"/>
    <n v="5"/>
    <s v="Perempuan"/>
    <x v="2"/>
    <x v="0"/>
    <n v="3"/>
  </r>
  <r>
    <s v="ORD00970"/>
    <n v="45717.567476851851"/>
    <x v="126"/>
    <s v="Makassar"/>
    <s v="Daging Ayam - Brand A"/>
    <x v="1"/>
    <x v="2"/>
    <n v="35000"/>
    <n v="2"/>
    <n v="15"/>
    <n v="70000"/>
    <n v="10500"/>
    <n v="59500"/>
    <n v="84000"/>
    <n v="143500"/>
    <x v="1"/>
    <s v="Completed"/>
    <x v="1"/>
    <n v="4"/>
    <s v="Laki-laki"/>
    <x v="2"/>
    <x v="0"/>
    <n v="3"/>
  </r>
  <r>
    <s v="ORD00982"/>
    <n v="45717.747175925928"/>
    <x v="210"/>
    <s v="Merauke"/>
    <s v="Garam - Brand B"/>
    <x v="5"/>
    <x v="1"/>
    <n v="5000"/>
    <n v="4"/>
    <n v="0"/>
    <n v="20000"/>
    <n v="0"/>
    <n v="20000"/>
    <n v="59000"/>
    <n v="79000"/>
    <x v="0"/>
    <s v="Completed"/>
    <x v="0"/>
    <n v="4"/>
    <s v="Perempuan"/>
    <x v="2"/>
    <x v="0"/>
    <n v="3"/>
  </r>
  <r>
    <s v="ORD01220"/>
    <n v="45717.831157407411"/>
    <x v="102"/>
    <s v="Surabaya"/>
    <s v="Susu Bubuk - Brand C"/>
    <x v="7"/>
    <x v="0"/>
    <n v="55000"/>
    <n v="4"/>
    <n v="15"/>
    <n v="220000"/>
    <n v="33000"/>
    <n v="187000"/>
    <n v="74000"/>
    <n v="261000"/>
    <x v="2"/>
    <s v="Completed"/>
    <x v="1"/>
    <n v="2"/>
    <s v="Perempuan"/>
    <x v="2"/>
    <x v="0"/>
    <n v="3"/>
  </r>
  <r>
    <s v="ORD00011"/>
    <n v="45717.837037037039"/>
    <x v="126"/>
    <s v="Makassar"/>
    <s v="Susu Bubuk - Brand C"/>
    <x v="7"/>
    <x v="0"/>
    <n v="55000"/>
    <n v="1"/>
    <n v="20"/>
    <n v="55000"/>
    <n v="11000"/>
    <n v="44000"/>
    <n v="84000"/>
    <n v="128000"/>
    <x v="0"/>
    <s v="Completed"/>
    <x v="0"/>
    <n v="4"/>
    <s v="Laki-laki"/>
    <x v="2"/>
    <x v="0"/>
    <n v="3"/>
  </r>
  <r>
    <s v="ORD01789"/>
    <n v="45718.266932870371"/>
    <x v="211"/>
    <s v="Tanjungpinang"/>
    <s v="Telur Ayam - Brand A"/>
    <x v="4"/>
    <x v="2"/>
    <n v="22000"/>
    <n v="3"/>
    <n v="15"/>
    <n v="66000"/>
    <n v="9900"/>
    <n v="56100"/>
    <n v="48000"/>
    <n v="104100"/>
    <x v="3"/>
    <s v="Completed"/>
    <x v="0"/>
    <n v="3"/>
    <s v="Perempuan"/>
    <x v="2"/>
    <x v="0"/>
    <n v="3"/>
  </r>
  <r>
    <s v="ORD00174"/>
    <n v="45718.775312500002"/>
    <x v="212"/>
    <s v="Kupang"/>
    <s v="Tepung Terigu - Brand A"/>
    <x v="2"/>
    <x v="2"/>
    <n v="10000"/>
    <n v="2"/>
    <n v="15"/>
    <n v="20000"/>
    <n v="3000"/>
    <n v="17000"/>
    <n v="21000"/>
    <n v="38000"/>
    <x v="3"/>
    <s v="Completed"/>
    <x v="2"/>
    <n v="3"/>
    <s v="Perempuan"/>
    <x v="2"/>
    <x v="0"/>
    <n v="3"/>
  </r>
  <r>
    <s v="ORD01392"/>
    <n v="45718.805578703701"/>
    <x v="180"/>
    <s v="Pangkalpinang"/>
    <s v="Tepung Terigu - Brand C"/>
    <x v="2"/>
    <x v="0"/>
    <n v="14000"/>
    <n v="1"/>
    <n v="5"/>
    <n v="14000"/>
    <n v="700"/>
    <n v="13300"/>
    <n v="18000"/>
    <n v="31300"/>
    <x v="3"/>
    <s v="Completed"/>
    <x v="2"/>
    <n v="4"/>
    <s v="Perempuan"/>
    <x v="2"/>
    <x v="0"/>
    <n v="3"/>
  </r>
  <r>
    <s v="ORD01633"/>
    <n v="45719.348402777781"/>
    <x v="213"/>
    <s v="Jayapura"/>
    <s v="Beras - Brand A"/>
    <x v="0"/>
    <x v="2"/>
    <n v="14000"/>
    <n v="1"/>
    <n v="10"/>
    <n v="14000"/>
    <n v="1400"/>
    <n v="12600"/>
    <n v="30000"/>
    <n v="42600"/>
    <x v="2"/>
    <s v="Completed"/>
    <x v="1"/>
    <n v="5"/>
    <s v="Perempuan"/>
    <x v="2"/>
    <x v="0"/>
    <n v="3"/>
  </r>
  <r>
    <s v="ORD01401"/>
    <n v="45719.554074074083"/>
    <x v="39"/>
    <s v="Tanjungpinang"/>
    <s v="Garam - Brand A"/>
    <x v="5"/>
    <x v="2"/>
    <n v="4000"/>
    <n v="1"/>
    <n v="10"/>
    <n v="4000"/>
    <n v="400"/>
    <n v="3600"/>
    <n v="48000"/>
    <n v="51600"/>
    <x v="2"/>
    <s v="Returned"/>
    <x v="4"/>
    <n v="1"/>
    <s v="Perempuan"/>
    <x v="2"/>
    <x v="0"/>
    <n v="3"/>
  </r>
  <r>
    <s v="ORD00094"/>
    <n v="45719.600648148153"/>
    <x v="214"/>
    <s v="Ambon"/>
    <s v="Telur Ayam - Brand C"/>
    <x v="4"/>
    <x v="0"/>
    <n v="28000"/>
    <n v="1"/>
    <n v="15"/>
    <n v="28000"/>
    <n v="4200"/>
    <n v="23800"/>
    <n v="49000"/>
    <n v="72800"/>
    <x v="0"/>
    <s v="Completed"/>
    <x v="1"/>
    <n v="3"/>
    <s v="Laki-laki"/>
    <x v="2"/>
    <x v="0"/>
    <n v="3"/>
  </r>
  <r>
    <s v="ORD00302"/>
    <n v="45719.933981481481"/>
    <x v="215"/>
    <s v="Palangka Raya"/>
    <s v="Susu Bubuk - Brand B"/>
    <x v="7"/>
    <x v="1"/>
    <n v="50000"/>
    <n v="1"/>
    <n v="0"/>
    <n v="50000"/>
    <n v="0"/>
    <n v="50000"/>
    <n v="50000"/>
    <n v="100000"/>
    <x v="2"/>
    <s v="Completed"/>
    <x v="0"/>
    <n v="3"/>
    <s v="Perempuan"/>
    <x v="2"/>
    <x v="0"/>
    <n v="3"/>
  </r>
  <r>
    <s v="ORD01647"/>
    <n v="45719.946967592587"/>
    <x v="216"/>
    <s v="Jambi"/>
    <s v="Beras - Brand B"/>
    <x v="0"/>
    <x v="1"/>
    <n v="15000"/>
    <n v="1"/>
    <n v="10"/>
    <n v="15000"/>
    <n v="1500"/>
    <n v="13500"/>
    <n v="87000"/>
    <n v="100500"/>
    <x v="3"/>
    <s v="Returned"/>
    <x v="3"/>
    <n v="1"/>
    <s v="Perempuan"/>
    <x v="2"/>
    <x v="0"/>
    <n v="3"/>
  </r>
  <r>
    <s v="ORD00900"/>
    <n v="45720.108634259261"/>
    <x v="60"/>
    <s v="Bengkulu"/>
    <s v="Daging Ayam - Brand B"/>
    <x v="1"/>
    <x v="1"/>
    <n v="40000"/>
    <n v="4"/>
    <n v="0"/>
    <n v="160000"/>
    <n v="0"/>
    <n v="160000"/>
    <n v="72000"/>
    <n v="232000"/>
    <x v="3"/>
    <s v="Completed"/>
    <x v="1"/>
    <n v="4"/>
    <s v="Perempuan"/>
    <x v="2"/>
    <x v="0"/>
    <n v="3"/>
  </r>
  <r>
    <s v="ORD01154"/>
    <n v="45720.173634259263"/>
    <x v="123"/>
    <s v="Padang"/>
    <s v="Garam - Brand A"/>
    <x v="5"/>
    <x v="2"/>
    <n v="4000"/>
    <n v="1"/>
    <n v="5"/>
    <n v="4000"/>
    <n v="200"/>
    <n v="3800"/>
    <n v="68000"/>
    <n v="71800"/>
    <x v="0"/>
    <s v="Completed"/>
    <x v="1"/>
    <n v="4"/>
    <s v="Laki-laki"/>
    <x v="2"/>
    <x v="0"/>
    <n v="3"/>
  </r>
  <r>
    <s v="ORD01490"/>
    <n v="45720.294849537036"/>
    <x v="173"/>
    <s v="Sofifi"/>
    <s v="Beras - Brand B"/>
    <x v="0"/>
    <x v="1"/>
    <n v="15000"/>
    <n v="2"/>
    <n v="10"/>
    <n v="30000"/>
    <n v="3000"/>
    <n v="27000"/>
    <n v="50000"/>
    <n v="77000"/>
    <x v="3"/>
    <s v="Completed"/>
    <x v="2"/>
    <n v="2"/>
    <s v="Perempuan"/>
    <x v="2"/>
    <x v="0"/>
    <n v="3"/>
  </r>
  <r>
    <s v="ORD01572"/>
    <n v="45720.448784722219"/>
    <x v="51"/>
    <s v="Bandung"/>
    <s v="Gula Pasir - Brand C"/>
    <x v="6"/>
    <x v="0"/>
    <n v="18000"/>
    <n v="4"/>
    <n v="5"/>
    <n v="72000"/>
    <n v="3600"/>
    <n v="68400"/>
    <n v="0"/>
    <n v="68400"/>
    <x v="2"/>
    <s v="Completed"/>
    <x v="3"/>
    <n v="1"/>
    <s v="Perempuan"/>
    <x v="2"/>
    <x v="0"/>
    <n v="3"/>
  </r>
  <r>
    <s v="ORD00260"/>
    <n v="45720.509108796286"/>
    <x v="128"/>
    <s v="Samarinda"/>
    <s v="Daging Ayam - Brand C"/>
    <x v="1"/>
    <x v="0"/>
    <n v="45000"/>
    <n v="1"/>
    <n v="5"/>
    <n v="45000"/>
    <n v="2250"/>
    <n v="42750"/>
    <n v="43000"/>
    <n v="85750"/>
    <x v="0"/>
    <s v="Completed"/>
    <x v="4"/>
    <n v="5"/>
    <s v="Perempuan"/>
    <x v="2"/>
    <x v="0"/>
    <n v="3"/>
  </r>
  <r>
    <s v="ORD00260"/>
    <n v="45720.509108796286"/>
    <x v="128"/>
    <s v="Samarinda"/>
    <s v="Bawang Merah - Brand A"/>
    <x v="3"/>
    <x v="2"/>
    <n v="30000"/>
    <n v="2"/>
    <n v="0"/>
    <n v="60000"/>
    <n v="0"/>
    <n v="60000"/>
    <n v="0"/>
    <n v="60000"/>
    <x v="0"/>
    <s v="Completed"/>
    <x v="4"/>
    <n v="5"/>
    <s v="Perempuan"/>
    <x v="2"/>
    <x v="0"/>
    <n v="3"/>
  </r>
  <r>
    <s v="ORD00283"/>
    <n v="45720.880462962959"/>
    <x v="217"/>
    <s v="Sofifi"/>
    <s v="Minyak Goreng - Brand C"/>
    <x v="8"/>
    <x v="0"/>
    <n v="18000"/>
    <n v="2"/>
    <n v="5"/>
    <n v="36000"/>
    <n v="1800"/>
    <n v="34200"/>
    <n v="50000"/>
    <n v="84200"/>
    <x v="3"/>
    <s v="Completed"/>
    <x v="3"/>
    <n v="4"/>
    <s v="Perempuan"/>
    <x v="2"/>
    <x v="0"/>
    <n v="3"/>
  </r>
  <r>
    <s v="ORD01237"/>
    <n v="45721.00445601852"/>
    <x v="218"/>
    <s v="Sorong"/>
    <s v="Minyak Goreng - Brand B"/>
    <x v="8"/>
    <x v="1"/>
    <n v="17000"/>
    <n v="1"/>
    <n v="0"/>
    <n v="17000"/>
    <n v="0"/>
    <n v="17000"/>
    <n v="87000"/>
    <n v="104000"/>
    <x v="3"/>
    <s v="Cancelled"/>
    <x v="2"/>
    <n v="2"/>
    <s v="Laki-laki"/>
    <x v="2"/>
    <x v="0"/>
    <n v="3"/>
  </r>
  <r>
    <s v="ORD01819"/>
    <n v="45721.068078703713"/>
    <x v="160"/>
    <s v="Ambon"/>
    <s v="Telur Ayam - Brand A"/>
    <x v="4"/>
    <x v="2"/>
    <n v="22000"/>
    <n v="4"/>
    <n v="0"/>
    <n v="88000"/>
    <n v="0"/>
    <n v="88000"/>
    <n v="49000"/>
    <n v="137000"/>
    <x v="1"/>
    <s v="Completed"/>
    <x v="3"/>
    <n v="3"/>
    <s v="Perempuan"/>
    <x v="2"/>
    <x v="0"/>
    <n v="3"/>
  </r>
  <r>
    <s v="ORD01669"/>
    <n v="45721.158819444441"/>
    <x v="189"/>
    <s v="Medan"/>
    <s v="Gula Pasir - Brand A"/>
    <x v="6"/>
    <x v="2"/>
    <n v="16000"/>
    <n v="5"/>
    <n v="5"/>
    <n v="80000"/>
    <n v="4000"/>
    <n v="76000"/>
    <n v="79000"/>
    <n v="155000"/>
    <x v="3"/>
    <s v="Completed"/>
    <x v="0"/>
    <n v="3"/>
    <s v="Perempuan"/>
    <x v="2"/>
    <x v="0"/>
    <n v="3"/>
  </r>
  <r>
    <s v="ORD00496"/>
    <n v="45721.439282407409"/>
    <x v="187"/>
    <s v="Jayapura"/>
    <s v="Daging Ayam - Brand C"/>
    <x v="1"/>
    <x v="0"/>
    <n v="45000"/>
    <n v="2"/>
    <n v="20"/>
    <n v="90000"/>
    <n v="18000"/>
    <n v="72000"/>
    <n v="30000"/>
    <n v="102000"/>
    <x v="0"/>
    <s v="Completed"/>
    <x v="2"/>
    <n v="1"/>
    <s v="Perempuan"/>
    <x v="2"/>
    <x v="0"/>
    <n v="3"/>
  </r>
  <r>
    <s v="ORD01583"/>
    <n v="45721.613692129627"/>
    <x v="219"/>
    <s v="Denpasar"/>
    <s v="Gula Pasir - Brand A"/>
    <x v="6"/>
    <x v="2"/>
    <n v="16000"/>
    <n v="1"/>
    <n v="10"/>
    <n v="16000"/>
    <n v="1600"/>
    <n v="14400"/>
    <n v="80000"/>
    <n v="94400"/>
    <x v="0"/>
    <s v="Completed"/>
    <x v="0"/>
    <n v="1"/>
    <s v="Laki-laki"/>
    <x v="2"/>
    <x v="0"/>
    <n v="3"/>
  </r>
  <r>
    <s v="ORD00798"/>
    <n v="45721.627256944441"/>
    <x v="220"/>
    <s v="Kendari"/>
    <s v="Tepung Terigu - Brand B"/>
    <x v="2"/>
    <x v="1"/>
    <n v="12000"/>
    <n v="1"/>
    <n v="0"/>
    <n v="12000"/>
    <n v="0"/>
    <n v="12000"/>
    <n v="59000"/>
    <n v="71000"/>
    <x v="2"/>
    <s v="Completed"/>
    <x v="4"/>
    <n v="3"/>
    <s v="Perempuan"/>
    <x v="2"/>
    <x v="0"/>
    <n v="3"/>
  </r>
  <r>
    <s v="ORD01415"/>
    <n v="45721.824803240743"/>
    <x v="221"/>
    <s v="Manado"/>
    <s v="Garam - Brand C"/>
    <x v="5"/>
    <x v="0"/>
    <n v="6000"/>
    <n v="3"/>
    <n v="0"/>
    <n v="18000"/>
    <n v="0"/>
    <n v="18000"/>
    <n v="93000"/>
    <n v="111000"/>
    <x v="0"/>
    <s v="Completed"/>
    <x v="0"/>
    <n v="2"/>
    <s v="Perempuan"/>
    <x v="2"/>
    <x v="0"/>
    <n v="3"/>
  </r>
  <r>
    <s v="ORD00327"/>
    <n v="45722.83053240741"/>
    <x v="32"/>
    <s v="Surabaya"/>
    <s v="Telur Ayam - Brand C"/>
    <x v="4"/>
    <x v="0"/>
    <n v="28000"/>
    <n v="2"/>
    <n v="5"/>
    <n v="56000"/>
    <n v="2800"/>
    <n v="53200"/>
    <n v="74000"/>
    <n v="127200"/>
    <x v="1"/>
    <s v="Returned"/>
    <x v="0"/>
    <n v="2"/>
    <s v="Perempuan"/>
    <x v="2"/>
    <x v="0"/>
    <n v="3"/>
  </r>
  <r>
    <s v="ORD00441"/>
    <n v="45723.094317129631"/>
    <x v="37"/>
    <s v="Jakarta"/>
    <s v="Beras - Brand A"/>
    <x v="0"/>
    <x v="2"/>
    <n v="14000"/>
    <n v="4"/>
    <n v="10"/>
    <n v="56000"/>
    <n v="5600"/>
    <n v="50400"/>
    <n v="97000"/>
    <n v="147400"/>
    <x v="0"/>
    <s v="Cancelled"/>
    <x v="1"/>
    <n v="5"/>
    <s v="Perempuan"/>
    <x v="2"/>
    <x v="0"/>
    <n v="3"/>
  </r>
  <r>
    <s v="ORD00441"/>
    <n v="45723.094317129631"/>
    <x v="37"/>
    <s v="Jakarta"/>
    <s v="Telur Ayam - Brand B"/>
    <x v="4"/>
    <x v="1"/>
    <n v="25000"/>
    <n v="5"/>
    <n v="0"/>
    <n v="125000"/>
    <n v="0"/>
    <n v="125000"/>
    <n v="0"/>
    <n v="125000"/>
    <x v="0"/>
    <s v="Cancelled"/>
    <x v="1"/>
    <n v="5"/>
    <s v="Perempuan"/>
    <x v="2"/>
    <x v="0"/>
    <n v="3"/>
  </r>
  <r>
    <s v="ORD01453"/>
    <n v="45723.156400462962"/>
    <x v="44"/>
    <s v="Jakarta"/>
    <s v="Daging Ayam - Brand A"/>
    <x v="1"/>
    <x v="2"/>
    <n v="35000"/>
    <n v="3"/>
    <n v="15"/>
    <n v="105000"/>
    <n v="15750"/>
    <n v="89250"/>
    <n v="97000"/>
    <n v="186250"/>
    <x v="3"/>
    <s v="Completed"/>
    <x v="1"/>
    <n v="2"/>
    <s v="Perempuan"/>
    <x v="2"/>
    <x v="0"/>
    <n v="3"/>
  </r>
  <r>
    <s v="ORD00495"/>
    <n v="45723.228993055563"/>
    <x v="37"/>
    <s v="Jakarta"/>
    <s v="Minyak Goreng - Brand B"/>
    <x v="8"/>
    <x v="1"/>
    <n v="17000"/>
    <n v="2"/>
    <n v="10"/>
    <n v="34000"/>
    <n v="3400"/>
    <n v="30600"/>
    <n v="97000"/>
    <n v="127600"/>
    <x v="1"/>
    <s v="Returned"/>
    <x v="1"/>
    <n v="2"/>
    <s v="Perempuan"/>
    <x v="2"/>
    <x v="0"/>
    <n v="3"/>
  </r>
  <r>
    <s v="ORD00495"/>
    <n v="45723.228993055563"/>
    <x v="37"/>
    <s v="Jakarta"/>
    <s v="Garam - Brand A"/>
    <x v="5"/>
    <x v="2"/>
    <n v="4000"/>
    <n v="4"/>
    <n v="0"/>
    <n v="16000"/>
    <n v="0"/>
    <n v="16000"/>
    <n v="0"/>
    <n v="16000"/>
    <x v="1"/>
    <s v="Returned"/>
    <x v="1"/>
    <n v="2"/>
    <s v="Perempuan"/>
    <x v="2"/>
    <x v="0"/>
    <n v="3"/>
  </r>
  <r>
    <s v="ORD00529"/>
    <n v="45723.521898148138"/>
    <x v="104"/>
    <s v="Sorong"/>
    <s v="Bawang Merah - Brand A"/>
    <x v="3"/>
    <x v="2"/>
    <n v="30000"/>
    <n v="3"/>
    <n v="5"/>
    <n v="90000"/>
    <n v="4500"/>
    <n v="85500"/>
    <n v="87000"/>
    <n v="172500"/>
    <x v="1"/>
    <s v="Cancelled"/>
    <x v="3"/>
    <n v="3"/>
    <s v="Laki-laki"/>
    <x v="2"/>
    <x v="0"/>
    <n v="3"/>
  </r>
  <r>
    <s v="ORD00139"/>
    <n v="45723.540567129632"/>
    <x v="222"/>
    <s v="Pangkalpinang"/>
    <s v="Telur Ayam - Brand A"/>
    <x v="4"/>
    <x v="2"/>
    <n v="22000"/>
    <n v="3"/>
    <n v="0"/>
    <n v="66000"/>
    <n v="0"/>
    <n v="66000"/>
    <n v="18000"/>
    <n v="84000"/>
    <x v="2"/>
    <s v="Completed"/>
    <x v="2"/>
    <n v="3"/>
    <s v="Perempuan"/>
    <x v="2"/>
    <x v="0"/>
    <n v="3"/>
  </r>
  <r>
    <s v="ORD00231"/>
    <n v="45723.839074074072"/>
    <x v="153"/>
    <s v="Wamena"/>
    <s v="Beras - Brand B"/>
    <x v="0"/>
    <x v="1"/>
    <n v="15000"/>
    <n v="4"/>
    <n v="10"/>
    <n v="60000"/>
    <n v="6000"/>
    <n v="54000"/>
    <n v="15000"/>
    <n v="69000"/>
    <x v="1"/>
    <s v="Completed"/>
    <x v="3"/>
    <n v="1"/>
    <s v="Perempuan"/>
    <x v="2"/>
    <x v="0"/>
    <n v="3"/>
  </r>
  <r>
    <s v="ORD01437"/>
    <n v="45724.429675925923"/>
    <x v="223"/>
    <s v="Palangka Raya"/>
    <s v="Susu Bubuk - Brand B"/>
    <x v="7"/>
    <x v="1"/>
    <n v="50000"/>
    <n v="3"/>
    <n v="15"/>
    <n v="150000"/>
    <n v="22500"/>
    <n v="127500"/>
    <n v="50000"/>
    <n v="177500"/>
    <x v="1"/>
    <s v="Completed"/>
    <x v="0"/>
    <n v="1"/>
    <s v="Perempuan"/>
    <x v="2"/>
    <x v="0"/>
    <n v="3"/>
  </r>
  <r>
    <s v="ORD00514"/>
    <n v="45724.549745370372"/>
    <x v="37"/>
    <s v="Jakarta"/>
    <s v="Beras - Brand B"/>
    <x v="0"/>
    <x v="1"/>
    <n v="15000"/>
    <n v="1"/>
    <n v="5"/>
    <n v="15000"/>
    <n v="750"/>
    <n v="14250"/>
    <n v="97000"/>
    <n v="111250"/>
    <x v="1"/>
    <s v="Completed"/>
    <x v="3"/>
    <n v="5"/>
    <s v="Perempuan"/>
    <x v="2"/>
    <x v="0"/>
    <n v="3"/>
  </r>
  <r>
    <s v="ORD00777"/>
    <n v="45724.994201388887"/>
    <x v="29"/>
    <s v="Bandung"/>
    <s v="Telur Ayam - Brand A"/>
    <x v="4"/>
    <x v="2"/>
    <n v="22000"/>
    <n v="4"/>
    <n v="5"/>
    <n v="88000"/>
    <n v="4400"/>
    <n v="83600"/>
    <n v="0"/>
    <n v="83600"/>
    <x v="1"/>
    <s v="Completed"/>
    <x v="1"/>
    <n v="2"/>
    <s v="Laki-laki"/>
    <x v="2"/>
    <x v="0"/>
    <n v="3"/>
  </r>
  <r>
    <s v="ORD00799"/>
    <n v="45725.128101851849"/>
    <x v="16"/>
    <s v="Padang"/>
    <s v="Minyak Goreng - Brand A"/>
    <x v="8"/>
    <x v="2"/>
    <n v="16000"/>
    <n v="3"/>
    <n v="20"/>
    <n v="48000"/>
    <n v="9600"/>
    <n v="38400"/>
    <n v="68000"/>
    <n v="106400"/>
    <x v="2"/>
    <s v="Completed"/>
    <x v="2"/>
    <n v="2"/>
    <s v="Perempuan"/>
    <x v="2"/>
    <x v="0"/>
    <n v="3"/>
  </r>
  <r>
    <s v="ORD01135"/>
    <n v="45725.204328703701"/>
    <x v="77"/>
    <s v="Medan"/>
    <s v="Minyak Goreng - Brand A"/>
    <x v="8"/>
    <x v="2"/>
    <n v="16000"/>
    <n v="1"/>
    <n v="5"/>
    <n v="16000"/>
    <n v="800"/>
    <n v="15200"/>
    <n v="79000"/>
    <n v="94200"/>
    <x v="1"/>
    <s v="Completed"/>
    <x v="2"/>
    <n v="4"/>
    <s v="Laki-laki"/>
    <x v="2"/>
    <x v="0"/>
    <n v="3"/>
  </r>
  <r>
    <s v="ORD01537"/>
    <n v="45725.31523148148"/>
    <x v="224"/>
    <s v="Merauke"/>
    <s v="Telur Ayam - Brand C"/>
    <x v="4"/>
    <x v="0"/>
    <n v="28000"/>
    <n v="5"/>
    <n v="5"/>
    <n v="140000"/>
    <n v="7000"/>
    <n v="133000"/>
    <n v="59000"/>
    <n v="192000"/>
    <x v="1"/>
    <s v="Completed"/>
    <x v="3"/>
    <n v="2"/>
    <s v="Perempuan"/>
    <x v="2"/>
    <x v="0"/>
    <n v="3"/>
  </r>
  <r>
    <s v="ORD00964"/>
    <n v="45725.410868055558"/>
    <x v="225"/>
    <s v="Jakarta"/>
    <s v="Gula Pasir - Brand B"/>
    <x v="6"/>
    <x v="1"/>
    <n v="17000"/>
    <n v="1"/>
    <n v="20"/>
    <n v="17000"/>
    <n v="3400"/>
    <n v="13600"/>
    <n v="97000"/>
    <n v="110600"/>
    <x v="3"/>
    <s v="Completed"/>
    <x v="4"/>
    <n v="2"/>
    <s v="Perempuan"/>
    <x v="2"/>
    <x v="0"/>
    <n v="3"/>
  </r>
  <r>
    <s v="ORD01028"/>
    <n v="45725.501157407409"/>
    <x v="174"/>
    <s v="Wamena"/>
    <s v="Daging Ayam - Brand C"/>
    <x v="1"/>
    <x v="0"/>
    <n v="45000"/>
    <n v="2"/>
    <n v="20"/>
    <n v="90000"/>
    <n v="18000"/>
    <n v="72000"/>
    <n v="15000"/>
    <n v="87000"/>
    <x v="2"/>
    <s v="Completed"/>
    <x v="4"/>
    <n v="5"/>
    <s v="Perempuan"/>
    <x v="2"/>
    <x v="0"/>
    <n v="3"/>
  </r>
  <r>
    <s v="ORD00788"/>
    <n v="45725.740613425929"/>
    <x v="226"/>
    <s v="Samarinda"/>
    <s v="Daging Ayam - Brand B"/>
    <x v="1"/>
    <x v="1"/>
    <n v="40000"/>
    <n v="4"/>
    <n v="10"/>
    <n v="160000"/>
    <n v="16000"/>
    <n v="144000"/>
    <n v="43000"/>
    <n v="187000"/>
    <x v="0"/>
    <s v="Completed"/>
    <x v="2"/>
    <n v="2"/>
    <s v="Perempuan"/>
    <x v="2"/>
    <x v="0"/>
    <n v="3"/>
  </r>
  <r>
    <s v="ORD01738"/>
    <n v="45725.995694444442"/>
    <x v="227"/>
    <s v="Pontianak"/>
    <s v="Susu Bubuk - Brand A"/>
    <x v="7"/>
    <x v="2"/>
    <n v="45000"/>
    <n v="5"/>
    <n v="5"/>
    <n v="225000"/>
    <n v="11250"/>
    <n v="213750"/>
    <n v="85000"/>
    <n v="298750"/>
    <x v="0"/>
    <s v="Returned"/>
    <x v="1"/>
    <n v="2"/>
    <s v="Perempuan"/>
    <x v="2"/>
    <x v="0"/>
    <n v="3"/>
  </r>
  <r>
    <s v="ORD01118"/>
    <n v="45726.032893518517"/>
    <x v="93"/>
    <s v="Kendari"/>
    <s v="Daging Ayam - Brand C"/>
    <x v="1"/>
    <x v="0"/>
    <n v="45000"/>
    <n v="4"/>
    <n v="15"/>
    <n v="180000"/>
    <n v="27000"/>
    <n v="153000"/>
    <n v="59000"/>
    <n v="212000"/>
    <x v="3"/>
    <s v="Completed"/>
    <x v="1"/>
    <n v="1"/>
    <s v="Perempuan"/>
    <x v="2"/>
    <x v="0"/>
    <n v="3"/>
  </r>
  <r>
    <s v="ORD01058"/>
    <n v="45726.272233796299"/>
    <x v="154"/>
    <s v="Bandar Lampung"/>
    <s v="Gula Pasir - Brand A"/>
    <x v="6"/>
    <x v="2"/>
    <n v="16000"/>
    <n v="3"/>
    <n v="10"/>
    <n v="48000"/>
    <n v="4800"/>
    <n v="43200"/>
    <n v="28000"/>
    <n v="71200"/>
    <x v="3"/>
    <s v="Completed"/>
    <x v="2"/>
    <n v="4"/>
    <s v="Perempuan"/>
    <x v="2"/>
    <x v="0"/>
    <n v="3"/>
  </r>
  <r>
    <s v="ORD00008"/>
    <n v="45726.737812500003"/>
    <x v="228"/>
    <s v="Manokwari"/>
    <s v="Susu Bubuk - Brand B"/>
    <x v="7"/>
    <x v="1"/>
    <n v="50000"/>
    <n v="3"/>
    <n v="15"/>
    <n v="150000"/>
    <n v="22500"/>
    <n v="127500"/>
    <n v="18000"/>
    <n v="145500"/>
    <x v="0"/>
    <s v="Returned"/>
    <x v="3"/>
    <n v="2"/>
    <s v="Laki-laki"/>
    <x v="2"/>
    <x v="0"/>
    <n v="3"/>
  </r>
  <r>
    <s v="ORD00713"/>
    <n v="45726.9840625"/>
    <x v="229"/>
    <s v="Nabire"/>
    <s v="Garam - Brand C"/>
    <x v="5"/>
    <x v="0"/>
    <n v="6000"/>
    <n v="4"/>
    <n v="0"/>
    <n v="24000"/>
    <n v="0"/>
    <n v="24000"/>
    <n v="89000"/>
    <n v="113000"/>
    <x v="0"/>
    <s v="Completed"/>
    <x v="2"/>
    <n v="1"/>
    <s v="Perempuan"/>
    <x v="2"/>
    <x v="0"/>
    <n v="3"/>
  </r>
  <r>
    <s v="ORD00500"/>
    <n v="45727.215324074074"/>
    <x v="39"/>
    <s v="Tanjungpinang"/>
    <s v="Beras - Brand C"/>
    <x v="0"/>
    <x v="0"/>
    <n v="16000"/>
    <n v="5"/>
    <n v="20"/>
    <n v="80000"/>
    <n v="16000"/>
    <n v="64000"/>
    <n v="48000"/>
    <n v="112000"/>
    <x v="3"/>
    <s v="Completed"/>
    <x v="3"/>
    <n v="1"/>
    <s v="Perempuan"/>
    <x v="2"/>
    <x v="0"/>
    <n v="3"/>
  </r>
  <r>
    <s v="ORD00500"/>
    <n v="45727.215324074074"/>
    <x v="39"/>
    <s v="Tanjungpinang"/>
    <s v="Tepung Terigu - Brand C"/>
    <x v="2"/>
    <x v="0"/>
    <n v="14000"/>
    <n v="3"/>
    <n v="20"/>
    <n v="42000"/>
    <n v="8400"/>
    <n v="33600"/>
    <n v="0"/>
    <n v="33600"/>
    <x v="3"/>
    <s v="Completed"/>
    <x v="3"/>
    <n v="1"/>
    <s v="Perempuan"/>
    <x v="2"/>
    <x v="0"/>
    <n v="3"/>
  </r>
  <r>
    <s v="ORD01734"/>
    <n v="45727.299363425933"/>
    <x v="230"/>
    <s v="Manokwari"/>
    <s v="Susu Bubuk - Brand A"/>
    <x v="7"/>
    <x v="2"/>
    <n v="45000"/>
    <n v="5"/>
    <n v="5"/>
    <n v="225000"/>
    <n v="11250"/>
    <n v="213750"/>
    <n v="18000"/>
    <n v="231750"/>
    <x v="2"/>
    <s v="Completed"/>
    <x v="4"/>
    <n v="4"/>
    <s v="Perempuan"/>
    <x v="2"/>
    <x v="0"/>
    <n v="3"/>
  </r>
  <r>
    <s v="ORD00208"/>
    <n v="45727.602858796286"/>
    <x v="231"/>
    <s v="Jambi"/>
    <s v="Tepung Terigu - Brand A"/>
    <x v="2"/>
    <x v="2"/>
    <n v="10000"/>
    <n v="5"/>
    <n v="20"/>
    <n v="50000"/>
    <n v="10000"/>
    <n v="40000"/>
    <n v="87000"/>
    <n v="127000"/>
    <x v="0"/>
    <s v="Completed"/>
    <x v="1"/>
    <n v="5"/>
    <s v="Perempuan"/>
    <x v="2"/>
    <x v="0"/>
    <n v="3"/>
  </r>
  <r>
    <s v="ORD00068"/>
    <n v="45727.7344212963"/>
    <x v="232"/>
    <s v="Banjarbaru"/>
    <s v="Gula Pasir - Brand B"/>
    <x v="6"/>
    <x v="1"/>
    <n v="17000"/>
    <n v="3"/>
    <n v="20"/>
    <n v="51000"/>
    <n v="10200"/>
    <n v="40800"/>
    <n v="55000"/>
    <n v="95800"/>
    <x v="1"/>
    <s v="Completed"/>
    <x v="0"/>
    <n v="2"/>
    <s v="Laki-laki"/>
    <x v="2"/>
    <x v="0"/>
    <n v="3"/>
  </r>
  <r>
    <s v="ORD00866"/>
    <n v="45728.049456018518"/>
    <x v="196"/>
    <s v="Mamuju"/>
    <s v="Telur Ayam - Brand C"/>
    <x v="4"/>
    <x v="0"/>
    <n v="28000"/>
    <n v="2"/>
    <n v="5"/>
    <n v="56000"/>
    <n v="2800"/>
    <n v="53200"/>
    <n v="46000"/>
    <n v="99200"/>
    <x v="1"/>
    <s v="Completed"/>
    <x v="1"/>
    <n v="5"/>
    <s v="Perempuan"/>
    <x v="2"/>
    <x v="0"/>
    <n v="3"/>
  </r>
  <r>
    <s v="ORD00222"/>
    <n v="45728.865740740737"/>
    <x v="233"/>
    <s v="Jayapura"/>
    <s v="Bawang Merah - Brand B"/>
    <x v="3"/>
    <x v="1"/>
    <n v="35000"/>
    <n v="3"/>
    <n v="0"/>
    <n v="105000"/>
    <n v="0"/>
    <n v="105000"/>
    <n v="30000"/>
    <n v="135000"/>
    <x v="1"/>
    <s v="Completed"/>
    <x v="1"/>
    <n v="3"/>
    <s v="Perempuan"/>
    <x v="2"/>
    <x v="0"/>
    <n v="3"/>
  </r>
  <r>
    <s v="ORD01581"/>
    <n v="45729.184178240743"/>
    <x v="166"/>
    <s v="Samarinda"/>
    <s v="Minyak Goreng - Brand A"/>
    <x v="8"/>
    <x v="2"/>
    <n v="16000"/>
    <n v="2"/>
    <n v="5"/>
    <n v="32000"/>
    <n v="1600"/>
    <n v="30400"/>
    <n v="43000"/>
    <n v="73400"/>
    <x v="0"/>
    <s v="Completed"/>
    <x v="1"/>
    <n v="2"/>
    <s v="Perempuan"/>
    <x v="2"/>
    <x v="0"/>
    <n v="3"/>
  </r>
  <r>
    <s v="ORD00605"/>
    <n v="45729.425821759258"/>
    <x v="10"/>
    <s v="Mataram"/>
    <s v="Minyak Goreng - Brand A"/>
    <x v="8"/>
    <x v="2"/>
    <n v="16000"/>
    <n v="4"/>
    <n v="0"/>
    <n v="64000"/>
    <n v="0"/>
    <n v="64000"/>
    <n v="56000"/>
    <n v="120000"/>
    <x v="2"/>
    <s v="Completed"/>
    <x v="2"/>
    <n v="1"/>
    <s v="Perempuan"/>
    <x v="2"/>
    <x v="0"/>
    <n v="3"/>
  </r>
  <r>
    <s v="ORD00211"/>
    <n v="45729.67701388889"/>
    <x v="137"/>
    <s v="Ambon"/>
    <s v="Tepung Terigu - Brand A"/>
    <x v="2"/>
    <x v="2"/>
    <n v="10000"/>
    <n v="5"/>
    <n v="5"/>
    <n v="50000"/>
    <n v="2500"/>
    <n v="47500"/>
    <n v="49000"/>
    <n v="96500"/>
    <x v="3"/>
    <s v="Completed"/>
    <x v="4"/>
    <n v="3"/>
    <s v="Perempuan"/>
    <x v="2"/>
    <x v="0"/>
    <n v="3"/>
  </r>
  <r>
    <s v="ORD01703"/>
    <n v="45730.104768518519"/>
    <x v="234"/>
    <s v="Tanjung Selor"/>
    <s v="Tepung Terigu - Brand C"/>
    <x v="2"/>
    <x v="0"/>
    <n v="14000"/>
    <n v="2"/>
    <n v="5"/>
    <n v="28000"/>
    <n v="1400"/>
    <n v="26600"/>
    <n v="26000"/>
    <n v="52600"/>
    <x v="3"/>
    <s v="Cancelled"/>
    <x v="1"/>
    <n v="4"/>
    <s v="Perempuan"/>
    <x v="2"/>
    <x v="0"/>
    <n v="3"/>
  </r>
  <r>
    <s v="ORD00957"/>
    <n v="45730.133055555547"/>
    <x v="46"/>
    <s v="Surabaya"/>
    <s v="Telur Ayam - Brand C"/>
    <x v="4"/>
    <x v="0"/>
    <n v="28000"/>
    <n v="5"/>
    <n v="15"/>
    <n v="140000"/>
    <n v="21000"/>
    <n v="119000"/>
    <n v="74000"/>
    <n v="193000"/>
    <x v="1"/>
    <s v="Completed"/>
    <x v="3"/>
    <n v="4"/>
    <s v="Perempuan"/>
    <x v="2"/>
    <x v="0"/>
    <n v="3"/>
  </r>
  <r>
    <s v="ORD00171"/>
    <n v="45730.175393518519"/>
    <x v="200"/>
    <s v="Sofifi"/>
    <s v="Telur Ayam - Brand A"/>
    <x v="4"/>
    <x v="2"/>
    <n v="22000"/>
    <n v="3"/>
    <n v="0"/>
    <n v="66000"/>
    <n v="0"/>
    <n v="66000"/>
    <n v="50000"/>
    <n v="116000"/>
    <x v="2"/>
    <s v="Completed"/>
    <x v="1"/>
    <n v="2"/>
    <s v="Perempuan"/>
    <x v="2"/>
    <x v="0"/>
    <n v="3"/>
  </r>
  <r>
    <s v="ORD00171"/>
    <n v="45730.175393518519"/>
    <x v="200"/>
    <s v="Sofifi"/>
    <s v="Bawang Merah - Brand A"/>
    <x v="3"/>
    <x v="2"/>
    <n v="30000"/>
    <n v="1"/>
    <n v="0"/>
    <n v="30000"/>
    <n v="0"/>
    <n v="30000"/>
    <n v="0"/>
    <n v="30000"/>
    <x v="2"/>
    <s v="Completed"/>
    <x v="1"/>
    <n v="2"/>
    <s v="Perempuan"/>
    <x v="2"/>
    <x v="0"/>
    <n v="3"/>
  </r>
  <r>
    <s v="ORD00398"/>
    <n v="45730.360902777778"/>
    <x v="235"/>
    <s v="Banjarbaru"/>
    <s v="Susu Bubuk - Brand A"/>
    <x v="7"/>
    <x v="2"/>
    <n v="45000"/>
    <n v="3"/>
    <n v="0"/>
    <n v="135000"/>
    <n v="0"/>
    <n v="135000"/>
    <n v="55000"/>
    <n v="190000"/>
    <x v="3"/>
    <s v="Completed"/>
    <x v="2"/>
    <n v="3"/>
    <s v="Perempuan"/>
    <x v="2"/>
    <x v="0"/>
    <n v="3"/>
  </r>
  <r>
    <s v="ORD01603"/>
    <n v="45730.645069444443"/>
    <x v="236"/>
    <s v="Mamuju"/>
    <s v="Bawang Merah - Brand A"/>
    <x v="3"/>
    <x v="2"/>
    <n v="30000"/>
    <n v="1"/>
    <n v="10"/>
    <n v="30000"/>
    <n v="3000"/>
    <n v="27000"/>
    <n v="46000"/>
    <n v="73000"/>
    <x v="0"/>
    <s v="Cancelled"/>
    <x v="4"/>
    <n v="5"/>
    <s v="Perempuan"/>
    <x v="2"/>
    <x v="0"/>
    <n v="3"/>
  </r>
  <r>
    <s v="ORD00083"/>
    <n v="45730.962870370371"/>
    <x v="237"/>
    <s v="Pekanbaru"/>
    <s v="Beras - Brand C"/>
    <x v="0"/>
    <x v="0"/>
    <n v="16000"/>
    <n v="3"/>
    <n v="5"/>
    <n v="48000"/>
    <n v="2400"/>
    <n v="45600"/>
    <n v="49000"/>
    <n v="94600"/>
    <x v="2"/>
    <s v="Completed"/>
    <x v="3"/>
    <n v="2"/>
    <s v="Laki-laki"/>
    <x v="2"/>
    <x v="0"/>
    <n v="3"/>
  </r>
  <r>
    <s v="ORD01483"/>
    <n v="45731.213993055557"/>
    <x v="172"/>
    <s v="Sofifi"/>
    <s v="Beras - Brand A"/>
    <x v="0"/>
    <x v="2"/>
    <n v="14000"/>
    <n v="4"/>
    <n v="0"/>
    <n v="56000"/>
    <n v="0"/>
    <n v="56000"/>
    <n v="50000"/>
    <n v="106000"/>
    <x v="3"/>
    <s v="Returned"/>
    <x v="3"/>
    <n v="5"/>
    <s v="Perempuan"/>
    <x v="2"/>
    <x v="0"/>
    <n v="3"/>
  </r>
  <r>
    <s v="ORD00790"/>
    <n v="45731.278726851851"/>
    <x v="122"/>
    <s v="Palangka Raya"/>
    <s v="Daging Ayam - Brand A"/>
    <x v="1"/>
    <x v="2"/>
    <n v="35000"/>
    <n v="1"/>
    <n v="5"/>
    <n v="35000"/>
    <n v="1750"/>
    <n v="33250"/>
    <n v="50000"/>
    <n v="83250"/>
    <x v="1"/>
    <s v="Completed"/>
    <x v="3"/>
    <n v="5"/>
    <s v="Perempuan"/>
    <x v="2"/>
    <x v="0"/>
    <n v="3"/>
  </r>
  <r>
    <s v="ORD00994"/>
    <n v="45731.311550925922"/>
    <x v="238"/>
    <s v="Manokwari"/>
    <s v="Susu Bubuk - Brand A"/>
    <x v="7"/>
    <x v="2"/>
    <n v="45000"/>
    <n v="2"/>
    <n v="0"/>
    <n v="90000"/>
    <n v="0"/>
    <n v="90000"/>
    <n v="18000"/>
    <n v="108000"/>
    <x v="3"/>
    <s v="Completed"/>
    <x v="3"/>
    <n v="3"/>
    <s v="Perempuan"/>
    <x v="2"/>
    <x v="0"/>
    <n v="3"/>
  </r>
  <r>
    <s v="ORD00095"/>
    <n v="45731.37128472222"/>
    <x v="239"/>
    <s v="Jakarta"/>
    <s v="Garam - Brand A"/>
    <x v="5"/>
    <x v="2"/>
    <n v="4000"/>
    <n v="3"/>
    <n v="10"/>
    <n v="12000"/>
    <n v="1200"/>
    <n v="10800"/>
    <n v="97000"/>
    <n v="107800"/>
    <x v="3"/>
    <s v="Cancelled"/>
    <x v="1"/>
    <n v="5"/>
    <s v="Laki-laki"/>
    <x v="2"/>
    <x v="0"/>
    <n v="3"/>
  </r>
  <r>
    <s v="ORD01536"/>
    <n v="45731.530219907407"/>
    <x v="240"/>
    <s v="Wamena"/>
    <s v="Susu Bubuk - Brand B"/>
    <x v="7"/>
    <x v="1"/>
    <n v="50000"/>
    <n v="1"/>
    <n v="15"/>
    <n v="50000"/>
    <n v="7500"/>
    <n v="42500"/>
    <n v="15000"/>
    <n v="57500"/>
    <x v="1"/>
    <s v="Completed"/>
    <x v="0"/>
    <n v="3"/>
    <s v="Laki-laki"/>
    <x v="2"/>
    <x v="0"/>
    <n v="3"/>
  </r>
  <r>
    <s v="ORD01271"/>
    <n v="45731.567349537043"/>
    <x v="241"/>
    <s v="Jakarta"/>
    <s v="Bawang Merah - Brand C"/>
    <x v="3"/>
    <x v="0"/>
    <n v="40000"/>
    <n v="5"/>
    <n v="5"/>
    <n v="200000"/>
    <n v="10000"/>
    <n v="190000"/>
    <n v="97000"/>
    <n v="287000"/>
    <x v="1"/>
    <s v="Completed"/>
    <x v="3"/>
    <n v="4"/>
    <s v="Perempuan"/>
    <x v="2"/>
    <x v="0"/>
    <n v="3"/>
  </r>
  <r>
    <s v="ORD00194"/>
    <n v="45731.654363425929"/>
    <x v="158"/>
    <s v="Kupang"/>
    <s v="Daging Ayam - Brand C"/>
    <x v="1"/>
    <x v="0"/>
    <n v="45000"/>
    <n v="5"/>
    <n v="20"/>
    <n v="225000"/>
    <n v="45000"/>
    <n v="180000"/>
    <n v="21000"/>
    <n v="201000"/>
    <x v="1"/>
    <s v="Completed"/>
    <x v="3"/>
    <n v="2"/>
    <s v="Perempuan"/>
    <x v="2"/>
    <x v="0"/>
    <n v="3"/>
  </r>
  <r>
    <s v="ORD01795"/>
    <n v="45731.982557870368"/>
    <x v="84"/>
    <s v="Mataram"/>
    <s v="Minyak Goreng - Brand A"/>
    <x v="8"/>
    <x v="2"/>
    <n v="16000"/>
    <n v="5"/>
    <n v="15"/>
    <n v="80000"/>
    <n v="12000"/>
    <n v="68000"/>
    <n v="56000"/>
    <n v="124000"/>
    <x v="1"/>
    <s v="Completed"/>
    <x v="4"/>
    <n v="4"/>
    <s v="Laki-laki"/>
    <x v="2"/>
    <x v="0"/>
    <n v="3"/>
  </r>
  <r>
    <s v="ORD01578"/>
    <n v="45732.265682870369"/>
    <x v="203"/>
    <s v="Kendari"/>
    <s v="Tepung Terigu - Brand A"/>
    <x v="2"/>
    <x v="2"/>
    <n v="10000"/>
    <n v="2"/>
    <n v="15"/>
    <n v="20000"/>
    <n v="3000"/>
    <n v="17000"/>
    <n v="59000"/>
    <n v="76000"/>
    <x v="2"/>
    <s v="Completed"/>
    <x v="2"/>
    <n v="4"/>
    <s v="Perempuan"/>
    <x v="2"/>
    <x v="0"/>
    <n v="3"/>
  </r>
  <r>
    <s v="ORD00275"/>
    <n v="45732.344641203701"/>
    <x v="242"/>
    <s v="Medan"/>
    <s v="Telur Ayam - Brand C"/>
    <x v="4"/>
    <x v="0"/>
    <n v="28000"/>
    <n v="2"/>
    <n v="10"/>
    <n v="56000"/>
    <n v="5600"/>
    <n v="50400"/>
    <n v="79000"/>
    <n v="129400"/>
    <x v="3"/>
    <s v="Returned"/>
    <x v="2"/>
    <n v="3"/>
    <s v="Perempuan"/>
    <x v="2"/>
    <x v="0"/>
    <n v="3"/>
  </r>
  <r>
    <s v="ORD00053"/>
    <n v="45732.50613425926"/>
    <x v="185"/>
    <s v="Kupang"/>
    <s v="Bawang Merah - Brand B"/>
    <x v="3"/>
    <x v="1"/>
    <n v="35000"/>
    <n v="3"/>
    <n v="5"/>
    <n v="105000"/>
    <n v="5250"/>
    <n v="99750"/>
    <n v="21000"/>
    <n v="120750"/>
    <x v="3"/>
    <s v="Completed"/>
    <x v="3"/>
    <n v="5"/>
    <s v="Laki-laki"/>
    <x v="2"/>
    <x v="0"/>
    <n v="3"/>
  </r>
  <r>
    <s v="ORD01132"/>
    <n v="45732.608958333331"/>
    <x v="88"/>
    <s v="Banda Aceh"/>
    <s v="Beras - Brand B"/>
    <x v="0"/>
    <x v="1"/>
    <n v="15000"/>
    <n v="4"/>
    <n v="10"/>
    <n v="60000"/>
    <n v="6000"/>
    <n v="54000"/>
    <n v="18000"/>
    <n v="72000"/>
    <x v="0"/>
    <s v="Cancelled"/>
    <x v="1"/>
    <n v="1"/>
    <s v="Perempuan"/>
    <x v="2"/>
    <x v="0"/>
    <n v="3"/>
  </r>
  <r>
    <s v="ORD00040"/>
    <n v="45733.356956018521"/>
    <x v="5"/>
    <s v="Semarang"/>
    <s v="Daging Ayam - Brand C"/>
    <x v="1"/>
    <x v="0"/>
    <n v="45000"/>
    <n v="3"/>
    <n v="5"/>
    <n v="135000"/>
    <n v="6750"/>
    <n v="128250"/>
    <n v="76000"/>
    <n v="204250"/>
    <x v="3"/>
    <s v="Completed"/>
    <x v="2"/>
    <n v="2"/>
    <s v="Laki-laki"/>
    <x v="2"/>
    <x v="0"/>
    <n v="3"/>
  </r>
  <r>
    <s v="ORD00893"/>
    <n v="45734.148993055547"/>
    <x v="188"/>
    <s v="Pontianak"/>
    <s v="Susu Bubuk - Brand B"/>
    <x v="7"/>
    <x v="1"/>
    <n v="50000"/>
    <n v="4"/>
    <n v="15"/>
    <n v="200000"/>
    <n v="30000"/>
    <n v="170000"/>
    <n v="85000"/>
    <n v="255000"/>
    <x v="3"/>
    <s v="Completed"/>
    <x v="3"/>
    <n v="1"/>
    <s v="Laki-laki"/>
    <x v="2"/>
    <x v="0"/>
    <n v="3"/>
  </r>
  <r>
    <s v="ORD00232"/>
    <n v="45734.5075"/>
    <x v="136"/>
    <s v="Makassar"/>
    <s v="Susu Bubuk - Brand A"/>
    <x v="7"/>
    <x v="2"/>
    <n v="45000"/>
    <n v="5"/>
    <n v="10"/>
    <n v="225000"/>
    <n v="22500"/>
    <n v="202500"/>
    <n v="84000"/>
    <n v="286500"/>
    <x v="0"/>
    <s v="Completed"/>
    <x v="2"/>
    <n v="1"/>
    <s v="Perempuan"/>
    <x v="2"/>
    <x v="0"/>
    <n v="3"/>
  </r>
  <r>
    <s v="ORD01374"/>
    <n v="45734.971296296288"/>
    <x v="243"/>
    <s v="Palangka Raya"/>
    <s v="Bawang Merah - Brand B"/>
    <x v="3"/>
    <x v="1"/>
    <n v="35000"/>
    <n v="5"/>
    <n v="10"/>
    <n v="175000"/>
    <n v="17500"/>
    <n v="157500"/>
    <n v="50000"/>
    <n v="207500"/>
    <x v="1"/>
    <s v="Completed"/>
    <x v="3"/>
    <n v="5"/>
    <s v="Laki-laki"/>
    <x v="2"/>
    <x v="0"/>
    <n v="3"/>
  </r>
  <r>
    <s v="ORD00240"/>
    <n v="45735.488240740742"/>
    <x v="244"/>
    <s v="Jambi"/>
    <s v="Beras - Brand C"/>
    <x v="0"/>
    <x v="0"/>
    <n v="16000"/>
    <n v="2"/>
    <n v="10"/>
    <n v="32000"/>
    <n v="3200"/>
    <n v="28800"/>
    <n v="87000"/>
    <n v="115800"/>
    <x v="2"/>
    <s v="Completed"/>
    <x v="1"/>
    <n v="4"/>
    <s v="Perempuan"/>
    <x v="2"/>
    <x v="0"/>
    <n v="3"/>
  </r>
  <r>
    <s v="ORD01361"/>
    <n v="45735.5234837963"/>
    <x v="160"/>
    <s v="Ambon"/>
    <s v="Minyak Goreng - Brand C"/>
    <x v="8"/>
    <x v="0"/>
    <n v="18000"/>
    <n v="3"/>
    <n v="0"/>
    <n v="54000"/>
    <n v="0"/>
    <n v="54000"/>
    <n v="49000"/>
    <n v="103000"/>
    <x v="1"/>
    <s v="Completed"/>
    <x v="2"/>
    <n v="3"/>
    <s v="Perempuan"/>
    <x v="2"/>
    <x v="0"/>
    <n v="3"/>
  </r>
  <r>
    <s v="ORD01364"/>
    <n v="45735.684131944443"/>
    <x v="135"/>
    <s v="Jayapura"/>
    <s v="Tepung Terigu - Brand C"/>
    <x v="2"/>
    <x v="0"/>
    <n v="14000"/>
    <n v="3"/>
    <n v="15"/>
    <n v="42000"/>
    <n v="6300"/>
    <n v="35700"/>
    <n v="30000"/>
    <n v="65700"/>
    <x v="1"/>
    <s v="Completed"/>
    <x v="4"/>
    <n v="5"/>
    <s v="Laki-laki"/>
    <x v="2"/>
    <x v="0"/>
    <n v="3"/>
  </r>
  <r>
    <s v="ORD00182"/>
    <n v="45735.826261574082"/>
    <x v="245"/>
    <s v="Kupang"/>
    <s v="Gula Pasir - Brand A"/>
    <x v="6"/>
    <x v="2"/>
    <n v="16000"/>
    <n v="5"/>
    <n v="0"/>
    <n v="80000"/>
    <n v="0"/>
    <n v="80000"/>
    <n v="21000"/>
    <n v="101000"/>
    <x v="1"/>
    <s v="Completed"/>
    <x v="1"/>
    <n v="5"/>
    <s v="Perempuan"/>
    <x v="2"/>
    <x v="0"/>
    <n v="3"/>
  </r>
  <r>
    <s v="ORD01025"/>
    <n v="45736.021226851852"/>
    <x v="10"/>
    <s v="Mataram"/>
    <s v="Tepung Terigu - Brand B"/>
    <x v="2"/>
    <x v="1"/>
    <n v="12000"/>
    <n v="2"/>
    <n v="10"/>
    <n v="24000"/>
    <n v="2400"/>
    <n v="21600"/>
    <n v="56000"/>
    <n v="77600"/>
    <x v="3"/>
    <s v="Completed"/>
    <x v="4"/>
    <n v="5"/>
    <s v="Perempuan"/>
    <x v="2"/>
    <x v="0"/>
    <n v="3"/>
  </r>
  <r>
    <s v="ORD00620"/>
    <n v="45736.038449074083"/>
    <x v="165"/>
    <s v="Samarinda"/>
    <s v="Gula Pasir - Brand B"/>
    <x v="6"/>
    <x v="1"/>
    <n v="17000"/>
    <n v="4"/>
    <n v="10"/>
    <n v="68000"/>
    <n v="6800"/>
    <n v="61200"/>
    <n v="43000"/>
    <n v="104200"/>
    <x v="1"/>
    <s v="Completed"/>
    <x v="4"/>
    <n v="3"/>
    <s v="Perempuan"/>
    <x v="2"/>
    <x v="0"/>
    <n v="3"/>
  </r>
  <r>
    <s v="ORD00412"/>
    <n v="45736.070740740739"/>
    <x v="246"/>
    <s v="Jakarta"/>
    <s v="Daging Ayam - Brand B"/>
    <x v="1"/>
    <x v="1"/>
    <n v="40000"/>
    <n v="3"/>
    <n v="15"/>
    <n v="120000"/>
    <n v="18000"/>
    <n v="102000"/>
    <n v="97000"/>
    <n v="199000"/>
    <x v="0"/>
    <s v="Completed"/>
    <x v="1"/>
    <n v="3"/>
    <s v="Perempuan"/>
    <x v="2"/>
    <x v="0"/>
    <n v="3"/>
  </r>
  <r>
    <s v="ORD00077"/>
    <n v="45736.211562500001"/>
    <x v="219"/>
    <s v="Denpasar"/>
    <s v="Telur Ayam - Brand C"/>
    <x v="4"/>
    <x v="0"/>
    <n v="28000"/>
    <n v="3"/>
    <n v="5"/>
    <n v="84000"/>
    <n v="4200"/>
    <n v="79800"/>
    <n v="80000"/>
    <n v="159800"/>
    <x v="3"/>
    <s v="Cancelled"/>
    <x v="1"/>
    <n v="3"/>
    <s v="Laki-laki"/>
    <x v="2"/>
    <x v="0"/>
    <n v="3"/>
  </r>
  <r>
    <s v="ORD00805"/>
    <n v="45736.284513888888"/>
    <x v="247"/>
    <s v="Gorontalo"/>
    <s v="Garam - Brand C"/>
    <x v="5"/>
    <x v="0"/>
    <n v="6000"/>
    <n v="5"/>
    <n v="0"/>
    <n v="30000"/>
    <n v="0"/>
    <n v="30000"/>
    <n v="80000"/>
    <n v="110000"/>
    <x v="2"/>
    <s v="Returned"/>
    <x v="1"/>
    <n v="5"/>
    <s v="Perempuan"/>
    <x v="2"/>
    <x v="0"/>
    <n v="3"/>
  </r>
  <r>
    <s v="ORD00759"/>
    <n v="45736.322326388887"/>
    <x v="248"/>
    <s v="Makassar"/>
    <s v="Telur Ayam - Brand A"/>
    <x v="4"/>
    <x v="2"/>
    <n v="22000"/>
    <n v="1"/>
    <n v="0"/>
    <n v="22000"/>
    <n v="0"/>
    <n v="22000"/>
    <n v="84000"/>
    <n v="106000"/>
    <x v="3"/>
    <s v="Completed"/>
    <x v="2"/>
    <n v="1"/>
    <s v="Perempuan"/>
    <x v="2"/>
    <x v="0"/>
    <n v="3"/>
  </r>
  <r>
    <s v="ORD01794"/>
    <n v="45736.34652777778"/>
    <x v="98"/>
    <s v="Bandung"/>
    <s v="Minyak Goreng - Brand A"/>
    <x v="8"/>
    <x v="2"/>
    <n v="16000"/>
    <n v="3"/>
    <n v="0"/>
    <n v="48000"/>
    <n v="0"/>
    <n v="48000"/>
    <n v="0"/>
    <n v="48000"/>
    <x v="0"/>
    <s v="Completed"/>
    <x v="0"/>
    <n v="4"/>
    <s v="Perempuan"/>
    <x v="2"/>
    <x v="0"/>
    <n v="3"/>
  </r>
  <r>
    <s v="ORD00151"/>
    <n v="45736.6719212963"/>
    <x v="203"/>
    <s v="Kendari"/>
    <s v="Daging Ayam - Brand A"/>
    <x v="1"/>
    <x v="2"/>
    <n v="35000"/>
    <n v="4"/>
    <n v="10"/>
    <n v="140000"/>
    <n v="14000"/>
    <n v="126000"/>
    <n v="59000"/>
    <n v="185000"/>
    <x v="1"/>
    <s v="Completed"/>
    <x v="2"/>
    <n v="2"/>
    <s v="Perempuan"/>
    <x v="2"/>
    <x v="0"/>
    <n v="3"/>
  </r>
  <r>
    <s v="ORD01226"/>
    <n v="45736.679571759261"/>
    <x v="249"/>
    <s v="Tanjungpinang"/>
    <s v="Susu Bubuk - Brand C"/>
    <x v="7"/>
    <x v="0"/>
    <n v="55000"/>
    <n v="2"/>
    <n v="10"/>
    <n v="110000"/>
    <n v="11000"/>
    <n v="99000"/>
    <n v="48000"/>
    <n v="147000"/>
    <x v="0"/>
    <s v="Completed"/>
    <x v="4"/>
    <n v="3"/>
    <s v="Perempuan"/>
    <x v="2"/>
    <x v="0"/>
    <n v="3"/>
  </r>
  <r>
    <s v="ORD00216"/>
    <n v="45736.849074074067"/>
    <x v="250"/>
    <s v="Pontianak"/>
    <s v="Tepung Terigu - Brand A"/>
    <x v="2"/>
    <x v="2"/>
    <n v="10000"/>
    <n v="4"/>
    <n v="20"/>
    <n v="40000"/>
    <n v="8000"/>
    <n v="32000"/>
    <n v="85000"/>
    <n v="117000"/>
    <x v="3"/>
    <s v="Completed"/>
    <x v="2"/>
    <n v="4"/>
    <s v="Perempuan"/>
    <x v="2"/>
    <x v="0"/>
    <n v="3"/>
  </r>
  <r>
    <s v="ORD01255"/>
    <n v="45737.027592592603"/>
    <x v="74"/>
    <s v="Tanjungpinang"/>
    <s v="Daging Ayam - Brand C"/>
    <x v="1"/>
    <x v="0"/>
    <n v="45000"/>
    <n v="3"/>
    <n v="20"/>
    <n v="135000"/>
    <n v="27000"/>
    <n v="108000"/>
    <n v="48000"/>
    <n v="156000"/>
    <x v="1"/>
    <s v="Completed"/>
    <x v="1"/>
    <n v="1"/>
    <s v="Perempuan"/>
    <x v="2"/>
    <x v="0"/>
    <n v="3"/>
  </r>
  <r>
    <s v="ORD00473"/>
    <n v="45737.09814814815"/>
    <x v="251"/>
    <s v="Banjarbaru"/>
    <s v="Susu Bubuk - Brand C"/>
    <x v="7"/>
    <x v="0"/>
    <n v="55000"/>
    <n v="4"/>
    <n v="5"/>
    <n v="220000"/>
    <n v="11000"/>
    <n v="209000"/>
    <n v="55000"/>
    <n v="264000"/>
    <x v="1"/>
    <s v="Completed"/>
    <x v="3"/>
    <n v="2"/>
    <s v="Perempuan"/>
    <x v="2"/>
    <x v="0"/>
    <n v="3"/>
  </r>
  <r>
    <s v="ORD00473"/>
    <n v="45737.09814814815"/>
    <x v="251"/>
    <s v="Banjarbaru"/>
    <s v="Bawang Merah - Brand A"/>
    <x v="3"/>
    <x v="2"/>
    <n v="30000"/>
    <n v="3"/>
    <n v="5"/>
    <n v="90000"/>
    <n v="4500"/>
    <n v="85500"/>
    <n v="0"/>
    <n v="85500"/>
    <x v="1"/>
    <s v="Completed"/>
    <x v="3"/>
    <n v="2"/>
    <s v="Perempuan"/>
    <x v="2"/>
    <x v="0"/>
    <n v="3"/>
  </r>
  <r>
    <s v="ORD01178"/>
    <n v="45737.182812500003"/>
    <x v="252"/>
    <s v="Palembang"/>
    <s v="Susu Bubuk - Brand C"/>
    <x v="7"/>
    <x v="0"/>
    <n v="55000"/>
    <n v="4"/>
    <n v="20"/>
    <n v="220000"/>
    <n v="44000"/>
    <n v="176000"/>
    <n v="17000"/>
    <n v="193000"/>
    <x v="3"/>
    <s v="Returned"/>
    <x v="4"/>
    <n v="1"/>
    <s v="Perempuan"/>
    <x v="2"/>
    <x v="0"/>
    <n v="3"/>
  </r>
  <r>
    <s v="ORD01175"/>
    <n v="45737.262083333328"/>
    <x v="153"/>
    <s v="Wamena"/>
    <s v="Bawang Merah - Brand B"/>
    <x v="3"/>
    <x v="1"/>
    <n v="35000"/>
    <n v="1"/>
    <n v="15"/>
    <n v="35000"/>
    <n v="5250"/>
    <n v="29750"/>
    <n v="15000"/>
    <n v="44750"/>
    <x v="3"/>
    <s v="Completed"/>
    <x v="2"/>
    <n v="2"/>
    <s v="Perempuan"/>
    <x v="2"/>
    <x v="0"/>
    <n v="3"/>
  </r>
  <r>
    <s v="ORD00021"/>
    <n v="45737.274826388893"/>
    <x v="29"/>
    <s v="Bandung"/>
    <s v="Telur Ayam - Brand B"/>
    <x v="4"/>
    <x v="1"/>
    <n v="25000"/>
    <n v="2"/>
    <n v="0"/>
    <n v="50000"/>
    <n v="0"/>
    <n v="50000"/>
    <n v="0"/>
    <n v="50000"/>
    <x v="0"/>
    <s v="Completed"/>
    <x v="1"/>
    <n v="1"/>
    <s v="Laki-laki"/>
    <x v="2"/>
    <x v="0"/>
    <n v="3"/>
  </r>
  <r>
    <s v="ORD00915"/>
    <n v="45737.416400462957"/>
    <x v="253"/>
    <s v="Tanjung Selor"/>
    <s v="Garam - Brand A"/>
    <x v="5"/>
    <x v="2"/>
    <n v="4000"/>
    <n v="1"/>
    <n v="15"/>
    <n v="4000"/>
    <n v="600"/>
    <n v="3400"/>
    <n v="26000"/>
    <n v="29400"/>
    <x v="1"/>
    <s v="Returned"/>
    <x v="3"/>
    <n v="1"/>
    <s v="Perempuan"/>
    <x v="2"/>
    <x v="0"/>
    <n v="3"/>
  </r>
  <r>
    <s v="ORD01834"/>
    <n v="45737.589224537027"/>
    <x v="254"/>
    <s v="Bandar Lampung"/>
    <s v="Gula Pasir - Brand C"/>
    <x v="6"/>
    <x v="0"/>
    <n v="18000"/>
    <n v="3"/>
    <n v="0"/>
    <n v="54000"/>
    <n v="0"/>
    <n v="54000"/>
    <n v="28000"/>
    <n v="82000"/>
    <x v="1"/>
    <s v="Completed"/>
    <x v="0"/>
    <n v="4"/>
    <s v="Laki-laki"/>
    <x v="2"/>
    <x v="0"/>
    <n v="3"/>
  </r>
  <r>
    <s v="ORD01849"/>
    <n v="45738.016157407408"/>
    <x v="182"/>
    <s v="Pangkalpinang"/>
    <s v="Garam - Brand B"/>
    <x v="5"/>
    <x v="1"/>
    <n v="5000"/>
    <n v="2"/>
    <n v="10"/>
    <n v="10000"/>
    <n v="1000"/>
    <n v="9000"/>
    <n v="18000"/>
    <n v="27000"/>
    <x v="0"/>
    <s v="Completed"/>
    <x v="2"/>
    <n v="4"/>
    <s v="Perempuan"/>
    <x v="2"/>
    <x v="0"/>
    <n v="3"/>
  </r>
  <r>
    <s v="ORD01841"/>
    <n v="45738.317511574067"/>
    <x v="255"/>
    <s v="Manado"/>
    <s v="Bawang Merah - Brand B"/>
    <x v="3"/>
    <x v="1"/>
    <n v="35000"/>
    <n v="1"/>
    <n v="5"/>
    <n v="35000"/>
    <n v="1750"/>
    <n v="33250"/>
    <n v="93000"/>
    <n v="126250"/>
    <x v="0"/>
    <s v="Completed"/>
    <x v="4"/>
    <n v="3"/>
    <s v="Laki-laki"/>
    <x v="2"/>
    <x v="0"/>
    <n v="3"/>
  </r>
  <r>
    <s v="ORD00608"/>
    <n v="45738.897222222222"/>
    <x v="56"/>
    <s v="Pangkalpinang"/>
    <s v="Garam - Brand A"/>
    <x v="5"/>
    <x v="2"/>
    <n v="4000"/>
    <n v="4"/>
    <n v="0"/>
    <n v="16000"/>
    <n v="0"/>
    <n v="16000"/>
    <n v="18000"/>
    <n v="34000"/>
    <x v="1"/>
    <s v="Completed"/>
    <x v="4"/>
    <n v="3"/>
    <s v="Laki-laki"/>
    <x v="2"/>
    <x v="0"/>
    <n v="3"/>
  </r>
  <r>
    <s v="ORD01568"/>
    <n v="45739.073599537027"/>
    <x v="256"/>
    <s v="Jambi"/>
    <s v="Telur Ayam - Brand B"/>
    <x v="4"/>
    <x v="1"/>
    <n v="25000"/>
    <n v="5"/>
    <n v="5"/>
    <n v="125000"/>
    <n v="6250"/>
    <n v="118750"/>
    <n v="87000"/>
    <n v="205750"/>
    <x v="3"/>
    <s v="Completed"/>
    <x v="2"/>
    <n v="1"/>
    <s v="Perempuan"/>
    <x v="2"/>
    <x v="0"/>
    <n v="3"/>
  </r>
  <r>
    <s v="ORD00141"/>
    <n v="45739.2190625"/>
    <x v="40"/>
    <s v="Bengkulu"/>
    <s v="Bawang Merah - Brand A"/>
    <x v="3"/>
    <x v="2"/>
    <n v="30000"/>
    <n v="3"/>
    <n v="10"/>
    <n v="90000"/>
    <n v="9000"/>
    <n v="81000"/>
    <n v="72000"/>
    <n v="153000"/>
    <x v="3"/>
    <s v="Completed"/>
    <x v="1"/>
    <n v="3"/>
    <s v="Perempuan"/>
    <x v="2"/>
    <x v="0"/>
    <n v="3"/>
  </r>
  <r>
    <s v="ORD00784"/>
    <n v="45739.852824074071"/>
    <x v="232"/>
    <s v="Banjarbaru"/>
    <s v="Gula Pasir - Brand C"/>
    <x v="6"/>
    <x v="0"/>
    <n v="18000"/>
    <n v="3"/>
    <n v="20"/>
    <n v="54000"/>
    <n v="10800"/>
    <n v="43200"/>
    <n v="55000"/>
    <n v="98200"/>
    <x v="1"/>
    <s v="Cancelled"/>
    <x v="1"/>
    <n v="1"/>
    <s v="Laki-laki"/>
    <x v="2"/>
    <x v="0"/>
    <n v="3"/>
  </r>
  <r>
    <s v="ORD01656"/>
    <n v="45740.333715277768"/>
    <x v="51"/>
    <s v="Bandung"/>
    <s v="Telur Ayam - Brand B"/>
    <x v="4"/>
    <x v="1"/>
    <n v="25000"/>
    <n v="4"/>
    <n v="15"/>
    <n v="100000"/>
    <n v="15000"/>
    <n v="85000"/>
    <n v="0"/>
    <n v="85000"/>
    <x v="0"/>
    <s v="Completed"/>
    <x v="0"/>
    <n v="4"/>
    <s v="Perempuan"/>
    <x v="2"/>
    <x v="0"/>
    <n v="3"/>
  </r>
  <r>
    <s v="ORD00565"/>
    <n v="45741.51085648148"/>
    <x v="67"/>
    <s v="Surabaya"/>
    <s v="Minyak Goreng - Brand C"/>
    <x v="8"/>
    <x v="0"/>
    <n v="18000"/>
    <n v="2"/>
    <n v="10"/>
    <n v="36000"/>
    <n v="3600"/>
    <n v="32400"/>
    <n v="74000"/>
    <n v="106400"/>
    <x v="2"/>
    <s v="Completed"/>
    <x v="1"/>
    <n v="4"/>
    <s v="Perempuan"/>
    <x v="2"/>
    <x v="0"/>
    <n v="3"/>
  </r>
  <r>
    <s v="ORD01217"/>
    <n v="45741.629004629627"/>
    <x v="138"/>
    <s v="Semarang"/>
    <s v="Tepung Terigu - Brand B"/>
    <x v="2"/>
    <x v="1"/>
    <n v="12000"/>
    <n v="4"/>
    <n v="5"/>
    <n v="48000"/>
    <n v="2400"/>
    <n v="45600"/>
    <n v="76000"/>
    <n v="121600"/>
    <x v="1"/>
    <s v="Completed"/>
    <x v="2"/>
    <n v="4"/>
    <s v="Perempuan"/>
    <x v="2"/>
    <x v="0"/>
    <n v="3"/>
  </r>
  <r>
    <s v="ORD00265"/>
    <n v="45741.712824074071"/>
    <x v="210"/>
    <s v="Merauke"/>
    <s v="Tepung Terigu - Brand B"/>
    <x v="2"/>
    <x v="1"/>
    <n v="12000"/>
    <n v="5"/>
    <n v="5"/>
    <n v="60000"/>
    <n v="3000"/>
    <n v="57000"/>
    <n v="59000"/>
    <n v="116000"/>
    <x v="0"/>
    <s v="Completed"/>
    <x v="1"/>
    <n v="1"/>
    <s v="Perempuan"/>
    <x v="2"/>
    <x v="0"/>
    <n v="3"/>
  </r>
  <r>
    <s v="ORD00003"/>
    <n v="45741.821875000001"/>
    <x v="107"/>
    <s v="Manado"/>
    <s v="Minyak Goreng - Brand C"/>
    <x v="8"/>
    <x v="0"/>
    <n v="18000"/>
    <n v="3"/>
    <n v="15"/>
    <n v="54000"/>
    <n v="8100"/>
    <n v="45900"/>
    <n v="93000"/>
    <n v="138900"/>
    <x v="2"/>
    <s v="Returned"/>
    <x v="0"/>
    <n v="4"/>
    <s v="Laki-laki"/>
    <x v="2"/>
    <x v="0"/>
    <n v="3"/>
  </r>
  <r>
    <s v="ORD00651"/>
    <n v="45741.848124999997"/>
    <x v="257"/>
    <s v="Kendari"/>
    <s v="Garam - Brand A"/>
    <x v="5"/>
    <x v="2"/>
    <n v="4000"/>
    <n v="5"/>
    <n v="15"/>
    <n v="20000"/>
    <n v="3000"/>
    <n v="17000"/>
    <n v="59000"/>
    <n v="76000"/>
    <x v="1"/>
    <s v="Completed"/>
    <x v="1"/>
    <n v="5"/>
    <s v="Perempuan"/>
    <x v="2"/>
    <x v="0"/>
    <n v="3"/>
  </r>
  <r>
    <s v="ORD00955"/>
    <n v="45741.960219907407"/>
    <x v="92"/>
    <s v="Yogyakarta"/>
    <s v="Minyak Goreng - Brand B"/>
    <x v="8"/>
    <x v="1"/>
    <n v="17000"/>
    <n v="2"/>
    <n v="5"/>
    <n v="34000"/>
    <n v="1700"/>
    <n v="32300"/>
    <n v="78000"/>
    <n v="110300"/>
    <x v="1"/>
    <s v="Completed"/>
    <x v="3"/>
    <n v="4"/>
    <s v="Perempuan"/>
    <x v="2"/>
    <x v="0"/>
    <n v="3"/>
  </r>
  <r>
    <s v="ORD00196"/>
    <n v="45741.97420138889"/>
    <x v="71"/>
    <s v="Pangkalpinang"/>
    <s v="Bawang Merah - Brand C"/>
    <x v="3"/>
    <x v="0"/>
    <n v="40000"/>
    <n v="2"/>
    <n v="0"/>
    <n v="80000"/>
    <n v="0"/>
    <n v="80000"/>
    <n v="18000"/>
    <n v="98000"/>
    <x v="3"/>
    <s v="Completed"/>
    <x v="4"/>
    <n v="5"/>
    <s v="Perempuan"/>
    <x v="2"/>
    <x v="0"/>
    <n v="3"/>
  </r>
  <r>
    <s v="ORD01459"/>
    <n v="45742.000601851847"/>
    <x v="102"/>
    <s v="Surabaya"/>
    <s v="Tepung Terigu - Brand B"/>
    <x v="2"/>
    <x v="1"/>
    <n v="12000"/>
    <n v="3"/>
    <n v="5"/>
    <n v="36000"/>
    <n v="1800"/>
    <n v="34200"/>
    <n v="74000"/>
    <n v="108200"/>
    <x v="2"/>
    <s v="Returned"/>
    <x v="4"/>
    <n v="5"/>
    <s v="Perempuan"/>
    <x v="2"/>
    <x v="0"/>
    <n v="3"/>
  </r>
  <r>
    <s v="ORD00414"/>
    <n v="45742.223946759259"/>
    <x v="189"/>
    <s v="Medan"/>
    <s v="Tepung Terigu - Brand C"/>
    <x v="2"/>
    <x v="0"/>
    <n v="14000"/>
    <n v="5"/>
    <n v="0"/>
    <n v="70000"/>
    <n v="0"/>
    <n v="70000"/>
    <n v="79000"/>
    <n v="149000"/>
    <x v="1"/>
    <s v="Returned"/>
    <x v="3"/>
    <n v="4"/>
    <s v="Perempuan"/>
    <x v="2"/>
    <x v="0"/>
    <n v="3"/>
  </r>
  <r>
    <s v="ORD00414"/>
    <n v="45742.223946759259"/>
    <x v="189"/>
    <s v="Medan"/>
    <s v="Garam - Brand A"/>
    <x v="5"/>
    <x v="2"/>
    <n v="4000"/>
    <n v="1"/>
    <n v="5"/>
    <n v="4000"/>
    <n v="200"/>
    <n v="3800"/>
    <n v="0"/>
    <n v="3800"/>
    <x v="1"/>
    <s v="Returned"/>
    <x v="3"/>
    <n v="4"/>
    <s v="Perempuan"/>
    <x v="2"/>
    <x v="0"/>
    <n v="3"/>
  </r>
  <r>
    <s v="ORD01488"/>
    <n v="45742.256909722222"/>
    <x v="258"/>
    <s v="Palu"/>
    <s v="Tepung Terigu - Brand C"/>
    <x v="2"/>
    <x v="0"/>
    <n v="14000"/>
    <n v="4"/>
    <n v="0"/>
    <n v="56000"/>
    <n v="0"/>
    <n v="56000"/>
    <n v="67000"/>
    <n v="123000"/>
    <x v="3"/>
    <s v="Completed"/>
    <x v="3"/>
    <n v="1"/>
    <s v="Perempuan"/>
    <x v="2"/>
    <x v="0"/>
    <n v="3"/>
  </r>
  <r>
    <s v="ORD00172"/>
    <n v="45742.446446759262"/>
    <x v="208"/>
    <s v="Palu"/>
    <s v="Daging Ayam - Brand B"/>
    <x v="1"/>
    <x v="1"/>
    <n v="40000"/>
    <n v="2"/>
    <n v="10"/>
    <n v="80000"/>
    <n v="8000"/>
    <n v="72000"/>
    <n v="67000"/>
    <n v="139000"/>
    <x v="0"/>
    <s v="Completed"/>
    <x v="4"/>
    <n v="2"/>
    <s v="Perempuan"/>
    <x v="2"/>
    <x v="0"/>
    <n v="3"/>
  </r>
  <r>
    <s v="ORD01388"/>
    <n v="45742.488703703697"/>
    <x v="44"/>
    <s v="Jakarta"/>
    <s v="Daging Ayam - Brand C"/>
    <x v="1"/>
    <x v="0"/>
    <n v="45000"/>
    <n v="1"/>
    <n v="15"/>
    <n v="45000"/>
    <n v="6750"/>
    <n v="38250"/>
    <n v="97000"/>
    <n v="135250"/>
    <x v="1"/>
    <s v="Completed"/>
    <x v="0"/>
    <n v="1"/>
    <s v="Perempuan"/>
    <x v="2"/>
    <x v="0"/>
    <n v="3"/>
  </r>
  <r>
    <s v="ORD00323"/>
    <n v="45743.070451388892"/>
    <x v="259"/>
    <s v="Nabire"/>
    <s v="Bawang Merah - Brand A"/>
    <x v="3"/>
    <x v="2"/>
    <n v="30000"/>
    <n v="2"/>
    <n v="10"/>
    <n v="60000"/>
    <n v="6000"/>
    <n v="54000"/>
    <n v="89000"/>
    <n v="143000"/>
    <x v="0"/>
    <s v="Completed"/>
    <x v="2"/>
    <n v="1"/>
    <s v="Perempuan"/>
    <x v="2"/>
    <x v="0"/>
    <n v="3"/>
  </r>
  <r>
    <s v="ORD01016"/>
    <n v="45743.113888888889"/>
    <x v="72"/>
    <s v="Yogyakarta"/>
    <s v="Bawang Merah - Brand B"/>
    <x v="3"/>
    <x v="1"/>
    <n v="35000"/>
    <n v="4"/>
    <n v="20"/>
    <n v="140000"/>
    <n v="28000"/>
    <n v="112000"/>
    <n v="78000"/>
    <n v="190000"/>
    <x v="1"/>
    <s v="Returned"/>
    <x v="3"/>
    <n v="5"/>
    <s v="Perempuan"/>
    <x v="2"/>
    <x v="0"/>
    <n v="3"/>
  </r>
  <r>
    <s v="ORD01806"/>
    <n v="45743.153726851851"/>
    <x v="3"/>
    <s v="Wamena"/>
    <s v="Telur Ayam - Brand B"/>
    <x v="4"/>
    <x v="1"/>
    <n v="25000"/>
    <n v="1"/>
    <n v="20"/>
    <n v="25000"/>
    <n v="5000"/>
    <n v="20000"/>
    <n v="15000"/>
    <n v="35000"/>
    <x v="1"/>
    <s v="Completed"/>
    <x v="2"/>
    <n v="5"/>
    <s v="Perempuan"/>
    <x v="2"/>
    <x v="0"/>
    <n v="3"/>
  </r>
  <r>
    <s v="ORD01776"/>
    <n v="45743.156956018523"/>
    <x v="260"/>
    <s v="Manado"/>
    <s v="Telur Ayam - Brand C"/>
    <x v="4"/>
    <x v="0"/>
    <n v="28000"/>
    <n v="2"/>
    <n v="20"/>
    <n v="56000"/>
    <n v="11200"/>
    <n v="44800"/>
    <n v="93000"/>
    <n v="137800"/>
    <x v="2"/>
    <s v="Completed"/>
    <x v="1"/>
    <n v="1"/>
    <s v="Laki-laki"/>
    <x v="2"/>
    <x v="0"/>
    <n v="3"/>
  </r>
  <r>
    <s v="ORD00306"/>
    <n v="45743.376828703702"/>
    <x v="261"/>
    <s v="Serang"/>
    <s v="Susu Bubuk - Brand A"/>
    <x v="7"/>
    <x v="2"/>
    <n v="45000"/>
    <n v="3"/>
    <n v="15"/>
    <n v="135000"/>
    <n v="20250"/>
    <n v="114750"/>
    <n v="57000"/>
    <n v="171750"/>
    <x v="3"/>
    <s v="Completed"/>
    <x v="2"/>
    <n v="3"/>
    <s v="Perempuan"/>
    <x v="2"/>
    <x v="0"/>
    <n v="3"/>
  </r>
  <r>
    <s v="ORD00306"/>
    <n v="45743.376828703702"/>
    <x v="261"/>
    <s v="Serang"/>
    <s v="Garam - Brand A"/>
    <x v="5"/>
    <x v="2"/>
    <n v="4000"/>
    <n v="2"/>
    <n v="0"/>
    <n v="8000"/>
    <n v="0"/>
    <n v="8000"/>
    <n v="0"/>
    <n v="8000"/>
    <x v="3"/>
    <s v="Completed"/>
    <x v="2"/>
    <n v="3"/>
    <s v="Perempuan"/>
    <x v="2"/>
    <x v="0"/>
    <n v="3"/>
  </r>
  <r>
    <s v="ORD01211"/>
    <n v="45743.42528935185"/>
    <x v="182"/>
    <s v="Pangkalpinang"/>
    <s v="Daging Ayam - Brand B"/>
    <x v="1"/>
    <x v="1"/>
    <n v="40000"/>
    <n v="1"/>
    <n v="15"/>
    <n v="40000"/>
    <n v="6000"/>
    <n v="34000"/>
    <n v="18000"/>
    <n v="52000"/>
    <x v="0"/>
    <s v="Completed"/>
    <x v="4"/>
    <n v="5"/>
    <s v="Perempuan"/>
    <x v="2"/>
    <x v="0"/>
    <n v="3"/>
  </r>
  <r>
    <s v="ORD01254"/>
    <n v="45743.454618055563"/>
    <x v="60"/>
    <s v="Bengkulu"/>
    <s v="Beras - Brand C"/>
    <x v="0"/>
    <x v="0"/>
    <n v="16000"/>
    <n v="1"/>
    <n v="5"/>
    <n v="16000"/>
    <n v="800"/>
    <n v="15200"/>
    <n v="72000"/>
    <n v="87200"/>
    <x v="3"/>
    <s v="Returned"/>
    <x v="2"/>
    <n v="5"/>
    <s v="Perempuan"/>
    <x v="2"/>
    <x v="0"/>
    <n v="3"/>
  </r>
  <r>
    <s v="ORD00537"/>
    <n v="45743.784884259258"/>
    <x v="90"/>
    <s v="Yogyakarta"/>
    <s v="Susu Bubuk - Brand A"/>
    <x v="7"/>
    <x v="2"/>
    <n v="45000"/>
    <n v="3"/>
    <n v="15"/>
    <n v="135000"/>
    <n v="20250"/>
    <n v="114750"/>
    <n v="78000"/>
    <n v="192750"/>
    <x v="1"/>
    <s v="Returned"/>
    <x v="2"/>
    <n v="5"/>
    <s v="Perempuan"/>
    <x v="2"/>
    <x v="0"/>
    <n v="3"/>
  </r>
  <r>
    <s v="ORD01009"/>
    <n v="45743.863807870373"/>
    <x v="262"/>
    <s v="Makassar"/>
    <s v="Garam - Brand B"/>
    <x v="5"/>
    <x v="1"/>
    <n v="5000"/>
    <n v="2"/>
    <n v="10"/>
    <n v="10000"/>
    <n v="1000"/>
    <n v="9000"/>
    <n v="84000"/>
    <n v="93000"/>
    <x v="1"/>
    <s v="Completed"/>
    <x v="1"/>
    <n v="1"/>
    <s v="Laki-laki"/>
    <x v="2"/>
    <x v="0"/>
    <n v="3"/>
  </r>
  <r>
    <s v="ORD01502"/>
    <n v="45743.934872685182"/>
    <x v="11"/>
    <s v="Palu"/>
    <s v="Tepung Terigu - Brand A"/>
    <x v="2"/>
    <x v="2"/>
    <n v="10000"/>
    <n v="3"/>
    <n v="20"/>
    <n v="30000"/>
    <n v="6000"/>
    <n v="24000"/>
    <n v="67000"/>
    <n v="91000"/>
    <x v="2"/>
    <s v="Returned"/>
    <x v="4"/>
    <n v="1"/>
    <s v="Perempuan"/>
    <x v="2"/>
    <x v="0"/>
    <n v="3"/>
  </r>
  <r>
    <s v="ORD00856"/>
    <n v="45744.346817129634"/>
    <x v="263"/>
    <s v="Medan"/>
    <s v="Minyak Goreng - Brand A"/>
    <x v="8"/>
    <x v="2"/>
    <n v="16000"/>
    <n v="5"/>
    <n v="15"/>
    <n v="80000"/>
    <n v="12000"/>
    <n v="68000"/>
    <n v="79000"/>
    <n v="147000"/>
    <x v="2"/>
    <s v="Completed"/>
    <x v="0"/>
    <n v="4"/>
    <s v="Laki-laki"/>
    <x v="2"/>
    <x v="0"/>
    <n v="3"/>
  </r>
  <r>
    <s v="ORD01188"/>
    <n v="45744.659861111111"/>
    <x v="153"/>
    <s v="Wamena"/>
    <s v="Garam - Brand C"/>
    <x v="5"/>
    <x v="0"/>
    <n v="6000"/>
    <n v="2"/>
    <n v="10"/>
    <n v="12000"/>
    <n v="1200"/>
    <n v="10800"/>
    <n v="15000"/>
    <n v="25800"/>
    <x v="3"/>
    <s v="Completed"/>
    <x v="1"/>
    <n v="5"/>
    <s v="Perempuan"/>
    <x v="2"/>
    <x v="0"/>
    <n v="3"/>
  </r>
  <r>
    <s v="ORD01040"/>
    <n v="45744.885023148148"/>
    <x v="264"/>
    <s v="Pontianak"/>
    <s v="Bawang Merah - Brand B"/>
    <x v="3"/>
    <x v="1"/>
    <n v="35000"/>
    <n v="1"/>
    <n v="20"/>
    <n v="35000"/>
    <n v="7000"/>
    <n v="28000"/>
    <n v="85000"/>
    <n v="113000"/>
    <x v="3"/>
    <s v="Completed"/>
    <x v="4"/>
    <n v="4"/>
    <s v="Perempuan"/>
    <x v="2"/>
    <x v="0"/>
    <n v="3"/>
  </r>
  <r>
    <s v="ORD01721"/>
    <n v="45744.981238425928"/>
    <x v="168"/>
    <s v="Semarang"/>
    <s v="Bawang Merah - Brand B"/>
    <x v="3"/>
    <x v="1"/>
    <n v="35000"/>
    <n v="4"/>
    <n v="15"/>
    <n v="140000"/>
    <n v="21000"/>
    <n v="119000"/>
    <n v="76000"/>
    <n v="195000"/>
    <x v="0"/>
    <s v="Completed"/>
    <x v="1"/>
    <n v="1"/>
    <s v="Perempuan"/>
    <x v="2"/>
    <x v="0"/>
    <n v="3"/>
  </r>
  <r>
    <s v="ORD00163"/>
    <n v="45745.021608796298"/>
    <x v="265"/>
    <s v="Merauke"/>
    <s v="Tepung Terigu - Brand A"/>
    <x v="2"/>
    <x v="2"/>
    <n v="10000"/>
    <n v="5"/>
    <n v="0"/>
    <n v="50000"/>
    <n v="0"/>
    <n v="50000"/>
    <n v="59000"/>
    <n v="109000"/>
    <x v="2"/>
    <s v="Completed"/>
    <x v="0"/>
    <n v="4"/>
    <s v="Perempuan"/>
    <x v="2"/>
    <x v="0"/>
    <n v="3"/>
  </r>
  <r>
    <s v="ORD00163"/>
    <n v="45745.021608796298"/>
    <x v="265"/>
    <s v="Merauke"/>
    <s v="Daging Ayam - Brand B"/>
    <x v="1"/>
    <x v="1"/>
    <n v="40000"/>
    <n v="3"/>
    <n v="20"/>
    <n v="120000"/>
    <n v="24000"/>
    <n v="96000"/>
    <n v="0"/>
    <n v="96000"/>
    <x v="2"/>
    <s v="Completed"/>
    <x v="0"/>
    <n v="4"/>
    <s v="Perempuan"/>
    <x v="2"/>
    <x v="0"/>
    <n v="3"/>
  </r>
  <r>
    <s v="ORD01843"/>
    <n v="45745.218368055554"/>
    <x v="189"/>
    <s v="Medan"/>
    <s v="Susu Bubuk - Brand C"/>
    <x v="7"/>
    <x v="0"/>
    <n v="55000"/>
    <n v="5"/>
    <n v="10"/>
    <n v="275000"/>
    <n v="27500"/>
    <n v="247500"/>
    <n v="79000"/>
    <n v="326500"/>
    <x v="0"/>
    <s v="Completed"/>
    <x v="3"/>
    <n v="4"/>
    <s v="Perempuan"/>
    <x v="2"/>
    <x v="0"/>
    <n v="3"/>
  </r>
  <r>
    <s v="ORD00886"/>
    <n v="45745.329351851848"/>
    <x v="214"/>
    <s v="Ambon"/>
    <s v="Beras - Brand C"/>
    <x v="0"/>
    <x v="0"/>
    <n v="16000"/>
    <n v="4"/>
    <n v="20"/>
    <n v="64000"/>
    <n v="12800"/>
    <n v="51200"/>
    <n v="49000"/>
    <n v="100200"/>
    <x v="1"/>
    <s v="Completed"/>
    <x v="2"/>
    <n v="2"/>
    <s v="Laki-laki"/>
    <x v="2"/>
    <x v="0"/>
    <n v="3"/>
  </r>
  <r>
    <s v="ORD01478"/>
    <n v="45745.366122685176"/>
    <x v="110"/>
    <s v="Manokwari"/>
    <s v="Tepung Terigu - Brand A"/>
    <x v="2"/>
    <x v="2"/>
    <n v="10000"/>
    <n v="3"/>
    <n v="5"/>
    <n v="30000"/>
    <n v="1500"/>
    <n v="28500"/>
    <n v="18000"/>
    <n v="46500"/>
    <x v="2"/>
    <s v="Completed"/>
    <x v="1"/>
    <n v="3"/>
    <s v="Perempuan"/>
    <x v="2"/>
    <x v="0"/>
    <n v="3"/>
  </r>
  <r>
    <s v="ORD01150"/>
    <n v="45745.597604166673"/>
    <x v="266"/>
    <s v="Pangkalpinang"/>
    <s v="Tepung Terigu - Brand A"/>
    <x v="2"/>
    <x v="2"/>
    <n v="10000"/>
    <n v="4"/>
    <n v="5"/>
    <n v="40000"/>
    <n v="2000"/>
    <n v="38000"/>
    <n v="18000"/>
    <n v="56000"/>
    <x v="3"/>
    <s v="Completed"/>
    <x v="3"/>
    <n v="4"/>
    <s v="Perempuan"/>
    <x v="2"/>
    <x v="0"/>
    <n v="3"/>
  </r>
  <r>
    <s v="ORD00596"/>
    <n v="45745.640833333331"/>
    <x v="106"/>
    <s v="Tanjungpinang"/>
    <s v="Beras - Brand C"/>
    <x v="0"/>
    <x v="0"/>
    <n v="16000"/>
    <n v="2"/>
    <n v="20"/>
    <n v="32000"/>
    <n v="6400"/>
    <n v="25600"/>
    <n v="48000"/>
    <n v="73600"/>
    <x v="2"/>
    <s v="Completed"/>
    <x v="0"/>
    <n v="2"/>
    <s v="Perempuan"/>
    <x v="2"/>
    <x v="0"/>
    <n v="3"/>
  </r>
  <r>
    <s v="ORD01276"/>
    <n v="45746.238703703697"/>
    <x v="209"/>
    <s v="Sofifi"/>
    <s v="Beras - Brand A"/>
    <x v="0"/>
    <x v="2"/>
    <n v="14000"/>
    <n v="2"/>
    <n v="5"/>
    <n v="28000"/>
    <n v="1400"/>
    <n v="26600"/>
    <n v="50000"/>
    <n v="76600"/>
    <x v="1"/>
    <s v="Completed"/>
    <x v="0"/>
    <n v="3"/>
    <s v="Perempuan"/>
    <x v="2"/>
    <x v="0"/>
    <n v="3"/>
  </r>
  <r>
    <s v="ORD01632"/>
    <n v="45746.490671296298"/>
    <x v="237"/>
    <s v="Pekanbaru"/>
    <s v="Garam - Brand A"/>
    <x v="5"/>
    <x v="2"/>
    <n v="4000"/>
    <n v="3"/>
    <n v="10"/>
    <n v="12000"/>
    <n v="1200"/>
    <n v="10800"/>
    <n v="49000"/>
    <n v="59800"/>
    <x v="0"/>
    <s v="Returned"/>
    <x v="4"/>
    <n v="4"/>
    <s v="Laki-laki"/>
    <x v="2"/>
    <x v="0"/>
    <n v="3"/>
  </r>
  <r>
    <s v="ORD00813"/>
    <n v="45746.511157407411"/>
    <x v="164"/>
    <s v="Sorong"/>
    <s v="Beras - Brand B"/>
    <x v="0"/>
    <x v="1"/>
    <n v="15000"/>
    <n v="5"/>
    <n v="10"/>
    <n v="75000"/>
    <n v="7500"/>
    <n v="67500"/>
    <n v="87000"/>
    <n v="154500"/>
    <x v="2"/>
    <s v="Completed"/>
    <x v="0"/>
    <n v="4"/>
    <s v="Perempuan"/>
    <x v="2"/>
    <x v="0"/>
    <n v="3"/>
  </r>
  <r>
    <s v="ORD01301"/>
    <n v="45746.834351851852"/>
    <x v="267"/>
    <s v="Medan"/>
    <s v="Susu Bubuk - Brand A"/>
    <x v="7"/>
    <x v="2"/>
    <n v="45000"/>
    <n v="1"/>
    <n v="20"/>
    <n v="45000"/>
    <n v="9000"/>
    <n v="36000"/>
    <n v="79000"/>
    <n v="115000"/>
    <x v="3"/>
    <s v="Completed"/>
    <x v="4"/>
    <n v="3"/>
    <s v="Perempuan"/>
    <x v="2"/>
    <x v="0"/>
    <n v="3"/>
  </r>
  <r>
    <s v="ORD01402"/>
    <n v="45747.215324074074"/>
    <x v="56"/>
    <s v="Pangkalpinang"/>
    <s v="Garam - Brand B"/>
    <x v="5"/>
    <x v="1"/>
    <n v="5000"/>
    <n v="1"/>
    <n v="0"/>
    <n v="5000"/>
    <n v="0"/>
    <n v="5000"/>
    <n v="18000"/>
    <n v="23000"/>
    <x v="1"/>
    <s v="Completed"/>
    <x v="4"/>
    <n v="1"/>
    <s v="Laki-laki"/>
    <x v="2"/>
    <x v="0"/>
    <n v="3"/>
  </r>
  <r>
    <s v="ORD00750"/>
    <n v="45747.776400462957"/>
    <x v="96"/>
    <s v="Denpasar"/>
    <s v="Daging Ayam - Brand A"/>
    <x v="1"/>
    <x v="2"/>
    <n v="35000"/>
    <n v="3"/>
    <n v="20"/>
    <n v="105000"/>
    <n v="21000"/>
    <n v="84000"/>
    <n v="80000"/>
    <n v="164000"/>
    <x v="3"/>
    <s v="Completed"/>
    <x v="3"/>
    <n v="1"/>
    <s v="Perempuan"/>
    <x v="2"/>
    <x v="0"/>
    <n v="3"/>
  </r>
  <r>
    <s v="ORD01317"/>
    <n v="45747.794293981482"/>
    <x v="228"/>
    <s v="Manokwari"/>
    <s v="Bawang Merah - Brand B"/>
    <x v="3"/>
    <x v="1"/>
    <n v="35000"/>
    <n v="4"/>
    <n v="5"/>
    <n v="140000"/>
    <n v="7000"/>
    <n v="133000"/>
    <n v="18000"/>
    <n v="151000"/>
    <x v="2"/>
    <s v="Completed"/>
    <x v="3"/>
    <n v="3"/>
    <s v="Laki-laki"/>
    <x v="2"/>
    <x v="0"/>
    <n v="3"/>
  </r>
  <r>
    <s v="ORD01279"/>
    <n v="45748.173981481479"/>
    <x v="268"/>
    <s v="Tanjungpinang"/>
    <s v="Bawang Merah - Brand A"/>
    <x v="3"/>
    <x v="2"/>
    <n v="30000"/>
    <n v="5"/>
    <n v="20"/>
    <n v="150000"/>
    <n v="30000"/>
    <n v="120000"/>
    <n v="48000"/>
    <n v="168000"/>
    <x v="0"/>
    <s v="Completed"/>
    <x v="0"/>
    <n v="2"/>
    <s v="Laki-laki"/>
    <x v="3"/>
    <x v="0"/>
    <n v="4"/>
  </r>
  <r>
    <s v="ORD01083"/>
    <n v="45748.177071759259"/>
    <x v="209"/>
    <s v="Sofifi"/>
    <s v="Daging Ayam - Brand C"/>
    <x v="1"/>
    <x v="0"/>
    <n v="45000"/>
    <n v="5"/>
    <n v="15"/>
    <n v="225000"/>
    <n v="33750"/>
    <n v="191250"/>
    <n v="50000"/>
    <n v="241250"/>
    <x v="3"/>
    <s v="Completed"/>
    <x v="1"/>
    <n v="1"/>
    <s v="Perempuan"/>
    <x v="3"/>
    <x v="0"/>
    <n v="4"/>
  </r>
  <r>
    <s v="ORD00341"/>
    <n v="45748.264421296299"/>
    <x v="269"/>
    <s v="Merauke"/>
    <s v="Bawang Merah - Brand B"/>
    <x v="3"/>
    <x v="1"/>
    <n v="35000"/>
    <n v="1"/>
    <n v="20"/>
    <n v="35000"/>
    <n v="7000"/>
    <n v="28000"/>
    <n v="59000"/>
    <n v="87000"/>
    <x v="2"/>
    <s v="Completed"/>
    <x v="2"/>
    <n v="1"/>
    <s v="Perempuan"/>
    <x v="3"/>
    <x v="0"/>
    <n v="4"/>
  </r>
  <r>
    <s v="ORD00363"/>
    <n v="45748.499374999999"/>
    <x v="270"/>
    <s v="Pekanbaru"/>
    <s v="Garam - Brand B"/>
    <x v="5"/>
    <x v="1"/>
    <n v="5000"/>
    <n v="1"/>
    <n v="20"/>
    <n v="5000"/>
    <n v="1000"/>
    <n v="4000"/>
    <n v="49000"/>
    <n v="53000"/>
    <x v="0"/>
    <s v="Completed"/>
    <x v="2"/>
    <n v="1"/>
    <s v="Perempuan"/>
    <x v="3"/>
    <x v="0"/>
    <n v="4"/>
  </r>
  <r>
    <s v="ORD01348"/>
    <n v="45748.5153587963"/>
    <x v="143"/>
    <s v="Yogyakarta"/>
    <s v="Beras - Brand A"/>
    <x v="0"/>
    <x v="2"/>
    <n v="14000"/>
    <n v="3"/>
    <n v="15"/>
    <n v="42000"/>
    <n v="6300"/>
    <n v="35700"/>
    <n v="78000"/>
    <n v="113700"/>
    <x v="3"/>
    <s v="Cancelled"/>
    <x v="2"/>
    <n v="4"/>
    <s v="Perempuan"/>
    <x v="3"/>
    <x v="0"/>
    <n v="4"/>
  </r>
  <r>
    <s v="ORD00436"/>
    <n v="45749.739803240736"/>
    <x v="47"/>
    <s v="Mataram"/>
    <s v="Daging Ayam - Brand B"/>
    <x v="1"/>
    <x v="1"/>
    <n v="40000"/>
    <n v="4"/>
    <n v="10"/>
    <n v="160000"/>
    <n v="16000"/>
    <n v="144000"/>
    <n v="56000"/>
    <n v="200000"/>
    <x v="2"/>
    <s v="Returned"/>
    <x v="2"/>
    <n v="1"/>
    <s v="Perempuan"/>
    <x v="3"/>
    <x v="0"/>
    <n v="4"/>
  </r>
  <r>
    <s v="ORD01076"/>
    <n v="45750.04550925926"/>
    <x v="56"/>
    <s v="Pangkalpinang"/>
    <s v="Tepung Terigu - Brand B"/>
    <x v="2"/>
    <x v="1"/>
    <n v="12000"/>
    <n v="4"/>
    <n v="0"/>
    <n v="48000"/>
    <n v="0"/>
    <n v="48000"/>
    <n v="18000"/>
    <n v="66000"/>
    <x v="2"/>
    <s v="Completed"/>
    <x v="0"/>
    <n v="1"/>
    <s v="Laki-laki"/>
    <x v="3"/>
    <x v="0"/>
    <n v="4"/>
  </r>
  <r>
    <s v="ORD00160"/>
    <n v="45750.168321759258"/>
    <x v="271"/>
    <s v="Bandung"/>
    <s v="Minyak Goreng - Brand B"/>
    <x v="8"/>
    <x v="1"/>
    <n v="17000"/>
    <n v="2"/>
    <n v="15"/>
    <n v="34000"/>
    <n v="5100"/>
    <n v="28900"/>
    <n v="0"/>
    <n v="28900"/>
    <x v="2"/>
    <s v="Completed"/>
    <x v="3"/>
    <n v="2"/>
    <s v="Perempuan"/>
    <x v="3"/>
    <x v="0"/>
    <n v="4"/>
  </r>
  <r>
    <s v="ORD00806"/>
    <n v="45750.200752314813"/>
    <x v="272"/>
    <s v="Semarang"/>
    <s v="Garam - Brand B"/>
    <x v="5"/>
    <x v="1"/>
    <n v="5000"/>
    <n v="1"/>
    <n v="10"/>
    <n v="5000"/>
    <n v="500"/>
    <n v="4500"/>
    <n v="76000"/>
    <n v="80500"/>
    <x v="2"/>
    <s v="Completed"/>
    <x v="2"/>
    <n v="1"/>
    <s v="Perempuan"/>
    <x v="3"/>
    <x v="0"/>
    <n v="4"/>
  </r>
  <r>
    <s v="ORD00470"/>
    <n v="45750.217245370368"/>
    <x v="259"/>
    <s v="Nabire"/>
    <s v="Minyak Goreng - Brand B"/>
    <x v="8"/>
    <x v="1"/>
    <n v="17000"/>
    <n v="2"/>
    <n v="20"/>
    <n v="34000"/>
    <n v="6800"/>
    <n v="27200"/>
    <n v="89000"/>
    <n v="116200"/>
    <x v="1"/>
    <s v="Completed"/>
    <x v="1"/>
    <n v="5"/>
    <s v="Perempuan"/>
    <x v="3"/>
    <x v="0"/>
    <n v="4"/>
  </r>
  <r>
    <s v="ORD01274"/>
    <n v="45750.277291666673"/>
    <x v="273"/>
    <s v="Jakarta"/>
    <s v="Minyak Goreng - Brand B"/>
    <x v="8"/>
    <x v="1"/>
    <n v="17000"/>
    <n v="4"/>
    <n v="10"/>
    <n v="68000"/>
    <n v="6800"/>
    <n v="61200"/>
    <n v="97000"/>
    <n v="158200"/>
    <x v="3"/>
    <s v="Cancelled"/>
    <x v="0"/>
    <n v="1"/>
    <s v="Perempuan"/>
    <x v="3"/>
    <x v="0"/>
    <n v="4"/>
  </r>
  <r>
    <s v="ORD01527"/>
    <n v="45750.577199074083"/>
    <x v="124"/>
    <s v="Nabire"/>
    <s v="Daging Ayam - Brand A"/>
    <x v="1"/>
    <x v="2"/>
    <n v="35000"/>
    <n v="4"/>
    <n v="10"/>
    <n v="140000"/>
    <n v="14000"/>
    <n v="126000"/>
    <n v="89000"/>
    <n v="215000"/>
    <x v="1"/>
    <s v="Completed"/>
    <x v="4"/>
    <n v="4"/>
    <s v="Perempuan"/>
    <x v="3"/>
    <x v="0"/>
    <n v="4"/>
  </r>
  <r>
    <s v="ORD01219"/>
    <n v="45750.997083333343"/>
    <x v="197"/>
    <s v="Jayapura"/>
    <s v="Daging Ayam - Brand C"/>
    <x v="1"/>
    <x v="0"/>
    <n v="45000"/>
    <n v="1"/>
    <n v="10"/>
    <n v="45000"/>
    <n v="4500"/>
    <n v="40500"/>
    <n v="30000"/>
    <n v="70500"/>
    <x v="1"/>
    <s v="Completed"/>
    <x v="3"/>
    <n v="4"/>
    <s v="Perempuan"/>
    <x v="3"/>
    <x v="0"/>
    <n v="4"/>
  </r>
  <r>
    <s v="ORD01445"/>
    <n v="45751.136388888888"/>
    <x v="191"/>
    <s v="Banda Aceh"/>
    <s v="Daging Ayam - Brand C"/>
    <x v="1"/>
    <x v="0"/>
    <n v="45000"/>
    <n v="3"/>
    <n v="10"/>
    <n v="135000"/>
    <n v="13500"/>
    <n v="121500"/>
    <n v="18000"/>
    <n v="139500"/>
    <x v="3"/>
    <s v="Completed"/>
    <x v="4"/>
    <n v="3"/>
    <s v="Laki-laki"/>
    <x v="3"/>
    <x v="0"/>
    <n v="4"/>
  </r>
  <r>
    <s v="ORD00349"/>
    <n v="45751.214456018519"/>
    <x v="251"/>
    <s v="Banjarbaru"/>
    <s v="Gula Pasir - Brand B"/>
    <x v="6"/>
    <x v="1"/>
    <n v="17000"/>
    <n v="4"/>
    <n v="15"/>
    <n v="68000"/>
    <n v="10200"/>
    <n v="57800"/>
    <n v="55000"/>
    <n v="112800"/>
    <x v="3"/>
    <s v="Completed"/>
    <x v="0"/>
    <n v="2"/>
    <s v="Perempuan"/>
    <x v="3"/>
    <x v="0"/>
    <n v="4"/>
  </r>
  <r>
    <s v="ORD00349"/>
    <n v="45751.214456018519"/>
    <x v="251"/>
    <s v="Banjarbaru"/>
    <s v="Telur Ayam - Brand B"/>
    <x v="4"/>
    <x v="1"/>
    <n v="25000"/>
    <n v="5"/>
    <n v="10"/>
    <n v="125000"/>
    <n v="12500"/>
    <n v="112500"/>
    <n v="0"/>
    <n v="112500"/>
    <x v="3"/>
    <s v="Completed"/>
    <x v="0"/>
    <n v="2"/>
    <s v="Perempuan"/>
    <x v="3"/>
    <x v="0"/>
    <n v="4"/>
  </r>
  <r>
    <s v="ORD01450"/>
    <n v="45751.327152777783"/>
    <x v="274"/>
    <s v="Medan"/>
    <s v="Susu Bubuk - Brand C"/>
    <x v="7"/>
    <x v="0"/>
    <n v="55000"/>
    <n v="1"/>
    <n v="5"/>
    <n v="55000"/>
    <n v="2750"/>
    <n v="52250"/>
    <n v="79000"/>
    <n v="131250"/>
    <x v="3"/>
    <s v="Completed"/>
    <x v="2"/>
    <n v="2"/>
    <s v="Laki-laki"/>
    <x v="3"/>
    <x v="0"/>
    <n v="4"/>
  </r>
  <r>
    <s v="ORD01577"/>
    <n v="45751.547349537039"/>
    <x v="212"/>
    <s v="Kupang"/>
    <s v="Tepung Terigu - Brand C"/>
    <x v="2"/>
    <x v="0"/>
    <n v="14000"/>
    <n v="2"/>
    <n v="10"/>
    <n v="28000"/>
    <n v="2800"/>
    <n v="25200"/>
    <n v="21000"/>
    <n v="46200"/>
    <x v="0"/>
    <s v="Completed"/>
    <x v="3"/>
    <n v="2"/>
    <s v="Perempuan"/>
    <x v="3"/>
    <x v="0"/>
    <n v="4"/>
  </r>
  <r>
    <s v="ORD01772"/>
    <n v="45751.882256944453"/>
    <x v="125"/>
    <s v="Palembang"/>
    <s v="Minyak Goreng - Brand B"/>
    <x v="8"/>
    <x v="1"/>
    <n v="17000"/>
    <n v="5"/>
    <n v="10"/>
    <n v="85000"/>
    <n v="8500"/>
    <n v="76500"/>
    <n v="17000"/>
    <n v="93500"/>
    <x v="2"/>
    <s v="Completed"/>
    <x v="1"/>
    <n v="1"/>
    <s v="Perempuan"/>
    <x v="3"/>
    <x v="0"/>
    <n v="4"/>
  </r>
  <r>
    <s v="ORD01484"/>
    <n v="45751.964918981481"/>
    <x v="128"/>
    <s v="Samarinda"/>
    <s v="Susu Bubuk - Brand A"/>
    <x v="7"/>
    <x v="2"/>
    <n v="45000"/>
    <n v="4"/>
    <n v="15"/>
    <n v="180000"/>
    <n v="27000"/>
    <n v="153000"/>
    <n v="43000"/>
    <n v="196000"/>
    <x v="0"/>
    <s v="Completed"/>
    <x v="2"/>
    <n v="4"/>
    <s v="Perempuan"/>
    <x v="3"/>
    <x v="0"/>
    <n v="4"/>
  </r>
  <r>
    <s v="ORD01416"/>
    <n v="45752.093229166669"/>
    <x v="49"/>
    <s v="Tanjung Selor"/>
    <s v="Bawang Merah - Brand C"/>
    <x v="3"/>
    <x v="0"/>
    <n v="40000"/>
    <n v="2"/>
    <n v="15"/>
    <n v="80000"/>
    <n v="12000"/>
    <n v="68000"/>
    <n v="26000"/>
    <n v="94000"/>
    <x v="1"/>
    <s v="Returned"/>
    <x v="0"/>
    <n v="3"/>
    <s v="Perempuan"/>
    <x v="3"/>
    <x v="0"/>
    <n v="4"/>
  </r>
  <r>
    <s v="ORD00949"/>
    <n v="45752.300821759258"/>
    <x v="261"/>
    <s v="Serang"/>
    <s v="Daging Ayam - Brand B"/>
    <x v="1"/>
    <x v="1"/>
    <n v="40000"/>
    <n v="5"/>
    <n v="0"/>
    <n v="200000"/>
    <n v="0"/>
    <n v="200000"/>
    <n v="57000"/>
    <n v="257000"/>
    <x v="3"/>
    <s v="Completed"/>
    <x v="4"/>
    <n v="5"/>
    <s v="Perempuan"/>
    <x v="3"/>
    <x v="0"/>
    <n v="4"/>
  </r>
  <r>
    <s v="ORD01818"/>
    <n v="45752.329907407409"/>
    <x v="67"/>
    <s v="Surabaya"/>
    <s v="Gula Pasir - Brand A"/>
    <x v="6"/>
    <x v="2"/>
    <n v="16000"/>
    <n v="4"/>
    <n v="5"/>
    <n v="64000"/>
    <n v="3200"/>
    <n v="60800"/>
    <n v="74000"/>
    <n v="134800"/>
    <x v="0"/>
    <s v="Completed"/>
    <x v="1"/>
    <n v="5"/>
    <s v="Perempuan"/>
    <x v="3"/>
    <x v="0"/>
    <n v="4"/>
  </r>
  <r>
    <s v="ORD01021"/>
    <n v="45752.344236111108"/>
    <x v="174"/>
    <s v="Wamena"/>
    <s v="Daging Ayam - Brand A"/>
    <x v="1"/>
    <x v="2"/>
    <n v="35000"/>
    <n v="2"/>
    <n v="0"/>
    <n v="70000"/>
    <n v="0"/>
    <n v="70000"/>
    <n v="15000"/>
    <n v="85000"/>
    <x v="1"/>
    <s v="Completed"/>
    <x v="4"/>
    <n v="1"/>
    <s v="Perempuan"/>
    <x v="3"/>
    <x v="0"/>
    <n v="4"/>
  </r>
  <r>
    <s v="ORD00606"/>
    <n v="45752.705439814818"/>
    <x v="223"/>
    <s v="Palangka Raya"/>
    <s v="Garam - Brand C"/>
    <x v="5"/>
    <x v="0"/>
    <n v="6000"/>
    <n v="3"/>
    <n v="20"/>
    <n v="18000"/>
    <n v="3600"/>
    <n v="14400"/>
    <n v="50000"/>
    <n v="64400"/>
    <x v="2"/>
    <s v="Completed"/>
    <x v="1"/>
    <n v="1"/>
    <s v="Perempuan"/>
    <x v="3"/>
    <x v="0"/>
    <n v="4"/>
  </r>
  <r>
    <s v="ORD01296"/>
    <n v="45753.030462962961"/>
    <x v="175"/>
    <s v="Manokwari"/>
    <s v="Telur Ayam - Brand B"/>
    <x v="4"/>
    <x v="1"/>
    <n v="25000"/>
    <n v="2"/>
    <n v="5"/>
    <n v="50000"/>
    <n v="2500"/>
    <n v="47500"/>
    <n v="18000"/>
    <n v="65500"/>
    <x v="0"/>
    <s v="Completed"/>
    <x v="1"/>
    <n v="4"/>
    <s v="Perempuan"/>
    <x v="3"/>
    <x v="0"/>
    <n v="4"/>
  </r>
  <r>
    <s v="ORD00838"/>
    <n v="45753.605590277781"/>
    <x v="275"/>
    <s v="Mataram"/>
    <s v="Telur Ayam - Brand A"/>
    <x v="4"/>
    <x v="2"/>
    <n v="22000"/>
    <n v="1"/>
    <n v="10"/>
    <n v="22000"/>
    <n v="2200"/>
    <n v="19800"/>
    <n v="56000"/>
    <n v="75800"/>
    <x v="3"/>
    <s v="Completed"/>
    <x v="3"/>
    <n v="3"/>
    <s v="Laki-laki"/>
    <x v="3"/>
    <x v="0"/>
    <n v="4"/>
  </r>
  <r>
    <s v="ORD01194"/>
    <n v="45753.93849537037"/>
    <x v="126"/>
    <s v="Makassar"/>
    <s v="Gula Pasir - Brand A"/>
    <x v="6"/>
    <x v="2"/>
    <n v="16000"/>
    <n v="4"/>
    <n v="0"/>
    <n v="64000"/>
    <n v="0"/>
    <n v="64000"/>
    <n v="84000"/>
    <n v="148000"/>
    <x v="1"/>
    <s v="Completed"/>
    <x v="0"/>
    <n v="1"/>
    <s v="Laki-laki"/>
    <x v="3"/>
    <x v="0"/>
    <n v="4"/>
  </r>
  <r>
    <s v="ORD00728"/>
    <n v="45754.109212962961"/>
    <x v="217"/>
    <s v="Sofifi"/>
    <s v="Telur Ayam - Brand A"/>
    <x v="4"/>
    <x v="2"/>
    <n v="22000"/>
    <n v="1"/>
    <n v="10"/>
    <n v="22000"/>
    <n v="2200"/>
    <n v="19800"/>
    <n v="50000"/>
    <n v="69800"/>
    <x v="2"/>
    <s v="Completed"/>
    <x v="4"/>
    <n v="4"/>
    <s v="Perempuan"/>
    <x v="3"/>
    <x v="0"/>
    <n v="4"/>
  </r>
  <r>
    <s v="ORD01608"/>
    <n v="45754.119652777779"/>
    <x v="131"/>
    <s v="Banjarbaru"/>
    <s v="Beras - Brand C"/>
    <x v="0"/>
    <x v="0"/>
    <n v="16000"/>
    <n v="2"/>
    <n v="15"/>
    <n v="32000"/>
    <n v="4800"/>
    <n v="27200"/>
    <n v="55000"/>
    <n v="82200"/>
    <x v="3"/>
    <s v="Completed"/>
    <x v="0"/>
    <n v="4"/>
    <s v="Perempuan"/>
    <x v="3"/>
    <x v="0"/>
    <n v="4"/>
  </r>
  <r>
    <s v="ORD00603"/>
    <n v="45754.476412037038"/>
    <x v="276"/>
    <s v="Palembang"/>
    <s v="Bawang Merah - Brand B"/>
    <x v="3"/>
    <x v="1"/>
    <n v="35000"/>
    <n v="3"/>
    <n v="5"/>
    <n v="105000"/>
    <n v="5250"/>
    <n v="99750"/>
    <n v="17000"/>
    <n v="116750"/>
    <x v="0"/>
    <s v="Completed"/>
    <x v="2"/>
    <n v="5"/>
    <s v="Perempuan"/>
    <x v="3"/>
    <x v="0"/>
    <n v="4"/>
  </r>
  <r>
    <s v="ORD00251"/>
    <n v="45754.760428240741"/>
    <x v="195"/>
    <s v="Pontianak"/>
    <s v="Gula Pasir - Brand A"/>
    <x v="6"/>
    <x v="2"/>
    <n v="16000"/>
    <n v="2"/>
    <n v="0"/>
    <n v="32000"/>
    <n v="0"/>
    <n v="32000"/>
    <n v="85000"/>
    <n v="117000"/>
    <x v="1"/>
    <s v="Completed"/>
    <x v="1"/>
    <n v="1"/>
    <s v="Perempuan"/>
    <x v="3"/>
    <x v="0"/>
    <n v="4"/>
  </r>
  <r>
    <s v="ORD00787"/>
    <n v="45755.042569444442"/>
    <x v="10"/>
    <s v="Mataram"/>
    <s v="Bawang Merah - Brand B"/>
    <x v="3"/>
    <x v="1"/>
    <n v="35000"/>
    <n v="3"/>
    <n v="0"/>
    <n v="105000"/>
    <n v="0"/>
    <n v="105000"/>
    <n v="56000"/>
    <n v="161000"/>
    <x v="1"/>
    <s v="Returned"/>
    <x v="0"/>
    <n v="1"/>
    <s v="Perempuan"/>
    <x v="3"/>
    <x v="0"/>
    <n v="4"/>
  </r>
  <r>
    <s v="ORD01107"/>
    <n v="45755.104618055557"/>
    <x v="118"/>
    <s v="Serang"/>
    <s v="Garam - Brand A"/>
    <x v="5"/>
    <x v="2"/>
    <n v="4000"/>
    <n v="1"/>
    <n v="10"/>
    <n v="4000"/>
    <n v="400"/>
    <n v="3600"/>
    <n v="57000"/>
    <n v="60600"/>
    <x v="2"/>
    <s v="Completed"/>
    <x v="3"/>
    <n v="3"/>
    <s v="Laki-laki"/>
    <x v="3"/>
    <x v="0"/>
    <n v="4"/>
  </r>
  <r>
    <s v="ORD00159"/>
    <n v="45755.135312500002"/>
    <x v="10"/>
    <s v="Mataram"/>
    <s v="Daging Ayam - Brand B"/>
    <x v="1"/>
    <x v="1"/>
    <n v="40000"/>
    <n v="4"/>
    <n v="5"/>
    <n v="160000"/>
    <n v="8000"/>
    <n v="152000"/>
    <n v="56000"/>
    <n v="208000"/>
    <x v="2"/>
    <s v="Completed"/>
    <x v="4"/>
    <n v="1"/>
    <s v="Perempuan"/>
    <x v="3"/>
    <x v="0"/>
    <n v="4"/>
  </r>
  <r>
    <s v="ORD00159"/>
    <n v="45755.135312500002"/>
    <x v="10"/>
    <s v="Mataram"/>
    <s v="Beras - Brand B"/>
    <x v="0"/>
    <x v="1"/>
    <n v="15000"/>
    <n v="2"/>
    <n v="10"/>
    <n v="30000"/>
    <n v="3000"/>
    <n v="27000"/>
    <n v="0"/>
    <n v="27000"/>
    <x v="2"/>
    <s v="Completed"/>
    <x v="4"/>
    <n v="1"/>
    <s v="Perempuan"/>
    <x v="3"/>
    <x v="0"/>
    <n v="4"/>
  </r>
  <r>
    <s v="ORD00296"/>
    <n v="45755.440636574072"/>
    <x v="202"/>
    <s v="Bengkulu"/>
    <s v="Beras - Brand B"/>
    <x v="0"/>
    <x v="1"/>
    <n v="15000"/>
    <n v="1"/>
    <n v="10"/>
    <n v="15000"/>
    <n v="1500"/>
    <n v="13500"/>
    <n v="72000"/>
    <n v="85500"/>
    <x v="2"/>
    <s v="Completed"/>
    <x v="2"/>
    <n v="2"/>
    <s v="Perempuan"/>
    <x v="3"/>
    <x v="0"/>
    <n v="4"/>
  </r>
  <r>
    <s v="ORD00841"/>
    <n v="45755.90111111111"/>
    <x v="277"/>
    <s v="Merauke"/>
    <s v="Minyak Goreng - Brand A"/>
    <x v="8"/>
    <x v="2"/>
    <n v="16000"/>
    <n v="1"/>
    <n v="15"/>
    <n v="16000"/>
    <n v="2400"/>
    <n v="13600"/>
    <n v="59000"/>
    <n v="72600"/>
    <x v="1"/>
    <s v="Completed"/>
    <x v="4"/>
    <n v="3"/>
    <s v="Perempuan"/>
    <x v="3"/>
    <x v="0"/>
    <n v="4"/>
  </r>
  <r>
    <s v="ORD01258"/>
    <n v="45756.402337962973"/>
    <x v="278"/>
    <s v="Yogyakarta"/>
    <s v="Garam - Brand C"/>
    <x v="5"/>
    <x v="0"/>
    <n v="6000"/>
    <n v="5"/>
    <n v="5"/>
    <n v="30000"/>
    <n v="1500"/>
    <n v="28500"/>
    <n v="78000"/>
    <n v="106500"/>
    <x v="0"/>
    <s v="Completed"/>
    <x v="1"/>
    <n v="1"/>
    <s v="Perempuan"/>
    <x v="3"/>
    <x v="0"/>
    <n v="4"/>
  </r>
  <r>
    <s v="ORD00625"/>
    <n v="45756.60083333333"/>
    <x v="187"/>
    <s v="Jayapura"/>
    <s v="Telur Ayam - Brand A"/>
    <x v="4"/>
    <x v="2"/>
    <n v="22000"/>
    <n v="4"/>
    <n v="20"/>
    <n v="88000"/>
    <n v="17600"/>
    <n v="70400"/>
    <n v="30000"/>
    <n v="100400"/>
    <x v="1"/>
    <s v="Completed"/>
    <x v="4"/>
    <n v="1"/>
    <s v="Perempuan"/>
    <x v="3"/>
    <x v="0"/>
    <n v="4"/>
  </r>
  <r>
    <s v="ORD01355"/>
    <n v="45756.609548611108"/>
    <x v="279"/>
    <s v="Palembang"/>
    <s v="Daging Ayam - Brand C"/>
    <x v="1"/>
    <x v="0"/>
    <n v="45000"/>
    <n v="3"/>
    <n v="20"/>
    <n v="135000"/>
    <n v="27000"/>
    <n v="108000"/>
    <n v="17000"/>
    <n v="125000"/>
    <x v="2"/>
    <s v="Completed"/>
    <x v="1"/>
    <n v="2"/>
    <s v="Perempuan"/>
    <x v="3"/>
    <x v="0"/>
    <n v="4"/>
  </r>
  <r>
    <s v="ORD01759"/>
    <n v="45756.907071759262"/>
    <x v="3"/>
    <s v="Wamena"/>
    <s v="Tepung Terigu - Brand C"/>
    <x v="2"/>
    <x v="0"/>
    <n v="14000"/>
    <n v="5"/>
    <n v="0"/>
    <n v="70000"/>
    <n v="0"/>
    <n v="70000"/>
    <n v="15000"/>
    <n v="85000"/>
    <x v="3"/>
    <s v="Completed"/>
    <x v="4"/>
    <n v="4"/>
    <s v="Perempuan"/>
    <x v="3"/>
    <x v="0"/>
    <n v="4"/>
  </r>
  <r>
    <s v="ORD01686"/>
    <n v="45757.279039351852"/>
    <x v="8"/>
    <s v="Wamena"/>
    <s v="Gula Pasir - Brand C"/>
    <x v="6"/>
    <x v="0"/>
    <n v="18000"/>
    <n v="3"/>
    <n v="5"/>
    <n v="54000"/>
    <n v="2700"/>
    <n v="51300"/>
    <n v="15000"/>
    <n v="66300"/>
    <x v="0"/>
    <s v="Completed"/>
    <x v="1"/>
    <n v="2"/>
    <s v="Laki-laki"/>
    <x v="3"/>
    <x v="0"/>
    <n v="4"/>
  </r>
  <r>
    <s v="ORD00772"/>
    <n v="45757.298391203702"/>
    <x v="132"/>
    <s v="Makassar"/>
    <s v="Bawang Merah - Brand C"/>
    <x v="3"/>
    <x v="0"/>
    <n v="40000"/>
    <n v="3"/>
    <n v="5"/>
    <n v="120000"/>
    <n v="6000"/>
    <n v="114000"/>
    <n v="84000"/>
    <n v="198000"/>
    <x v="2"/>
    <s v="Completed"/>
    <x v="3"/>
    <n v="5"/>
    <s v="Perempuan"/>
    <x v="3"/>
    <x v="0"/>
    <n v="4"/>
  </r>
  <r>
    <s v="ORD01705"/>
    <n v="45757.344097222223"/>
    <x v="280"/>
    <s v="Yogyakarta"/>
    <s v="Telur Ayam - Brand C"/>
    <x v="4"/>
    <x v="0"/>
    <n v="28000"/>
    <n v="3"/>
    <n v="0"/>
    <n v="84000"/>
    <n v="0"/>
    <n v="84000"/>
    <n v="78000"/>
    <n v="162000"/>
    <x v="2"/>
    <s v="Completed"/>
    <x v="4"/>
    <n v="2"/>
    <s v="Perempuan"/>
    <x v="3"/>
    <x v="0"/>
    <n v="4"/>
  </r>
  <r>
    <s v="ORD01024"/>
    <n v="45757.552777777782"/>
    <x v="40"/>
    <s v="Bengkulu"/>
    <s v="Gula Pasir - Brand C"/>
    <x v="6"/>
    <x v="0"/>
    <n v="18000"/>
    <n v="1"/>
    <n v="20"/>
    <n v="18000"/>
    <n v="3600"/>
    <n v="14400"/>
    <n v="72000"/>
    <n v="86400"/>
    <x v="1"/>
    <s v="Completed"/>
    <x v="2"/>
    <n v="3"/>
    <s v="Perempuan"/>
    <x v="3"/>
    <x v="0"/>
    <n v="4"/>
  </r>
  <r>
    <s v="ORD01563"/>
    <n v="45757.577997685177"/>
    <x v="194"/>
    <s v="Pangkalpinang"/>
    <s v="Garam - Brand C"/>
    <x v="5"/>
    <x v="0"/>
    <n v="6000"/>
    <n v="1"/>
    <n v="15"/>
    <n v="6000"/>
    <n v="900"/>
    <n v="5100"/>
    <n v="18000"/>
    <n v="23100"/>
    <x v="0"/>
    <s v="Returned"/>
    <x v="4"/>
    <n v="3"/>
    <s v="Perempuan"/>
    <x v="3"/>
    <x v="0"/>
    <n v="4"/>
  </r>
  <r>
    <s v="ORD00085"/>
    <n v="45757.587118055562"/>
    <x v="274"/>
    <s v="Medan"/>
    <s v="Gula Pasir - Brand C"/>
    <x v="6"/>
    <x v="0"/>
    <n v="18000"/>
    <n v="1"/>
    <n v="20"/>
    <n v="18000"/>
    <n v="3600"/>
    <n v="14400"/>
    <n v="79000"/>
    <n v="93400"/>
    <x v="3"/>
    <s v="Completed"/>
    <x v="0"/>
    <n v="2"/>
    <s v="Laki-laki"/>
    <x v="3"/>
    <x v="0"/>
    <n v="4"/>
  </r>
  <r>
    <s v="ORD01526"/>
    <n v="45757.787037037036"/>
    <x v="281"/>
    <s v="Nabire"/>
    <s v="Bawang Merah - Brand C"/>
    <x v="3"/>
    <x v="0"/>
    <n v="40000"/>
    <n v="2"/>
    <n v="5"/>
    <n v="80000"/>
    <n v="4000"/>
    <n v="76000"/>
    <n v="89000"/>
    <n v="165000"/>
    <x v="1"/>
    <s v="Cancelled"/>
    <x v="1"/>
    <n v="1"/>
    <s v="Laki-laki"/>
    <x v="3"/>
    <x v="0"/>
    <n v="4"/>
  </r>
  <r>
    <s v="ORD01752"/>
    <n v="45757.930636574078"/>
    <x v="270"/>
    <s v="Pekanbaru"/>
    <s v="Telur Ayam - Brand B"/>
    <x v="4"/>
    <x v="1"/>
    <n v="25000"/>
    <n v="4"/>
    <n v="5"/>
    <n v="100000"/>
    <n v="5000"/>
    <n v="95000"/>
    <n v="49000"/>
    <n v="144000"/>
    <x v="2"/>
    <s v="Completed"/>
    <x v="1"/>
    <n v="1"/>
    <s v="Perempuan"/>
    <x v="3"/>
    <x v="0"/>
    <n v="4"/>
  </r>
  <r>
    <s v="ORD01269"/>
    <n v="45758.120034722233"/>
    <x v="206"/>
    <s v="Padang"/>
    <s v="Minyak Goreng - Brand A"/>
    <x v="8"/>
    <x v="2"/>
    <n v="16000"/>
    <n v="1"/>
    <n v="10"/>
    <n v="16000"/>
    <n v="1600"/>
    <n v="14400"/>
    <n v="68000"/>
    <n v="82400"/>
    <x v="2"/>
    <s v="Completed"/>
    <x v="2"/>
    <n v="3"/>
    <s v="Perempuan"/>
    <x v="3"/>
    <x v="0"/>
    <n v="4"/>
  </r>
  <r>
    <s v="ORD01336"/>
    <n v="45758.285497685189"/>
    <x v="21"/>
    <s v="Serang"/>
    <s v="Gula Pasir - Brand A"/>
    <x v="6"/>
    <x v="2"/>
    <n v="16000"/>
    <n v="4"/>
    <n v="20"/>
    <n v="64000"/>
    <n v="12800"/>
    <n v="51200"/>
    <n v="57000"/>
    <n v="108200"/>
    <x v="1"/>
    <s v="Completed"/>
    <x v="4"/>
    <n v="3"/>
    <s v="Perempuan"/>
    <x v="3"/>
    <x v="0"/>
    <n v="4"/>
  </r>
  <r>
    <s v="ORD01473"/>
    <n v="45758.358599537038"/>
    <x v="282"/>
    <s v="Banjarbaru"/>
    <s v="Garam - Brand B"/>
    <x v="5"/>
    <x v="1"/>
    <n v="5000"/>
    <n v="4"/>
    <n v="15"/>
    <n v="20000"/>
    <n v="3000"/>
    <n v="17000"/>
    <n v="55000"/>
    <n v="72000"/>
    <x v="1"/>
    <s v="Completed"/>
    <x v="4"/>
    <n v="2"/>
    <s v="Perempuan"/>
    <x v="3"/>
    <x v="0"/>
    <n v="4"/>
  </r>
  <r>
    <s v="ORD01792"/>
    <n v="45758.379479166673"/>
    <x v="283"/>
    <s v="Samarinda"/>
    <s v="Garam - Brand A"/>
    <x v="5"/>
    <x v="2"/>
    <n v="4000"/>
    <n v="4"/>
    <n v="10"/>
    <n v="16000"/>
    <n v="1600"/>
    <n v="14400"/>
    <n v="43000"/>
    <n v="57400"/>
    <x v="1"/>
    <s v="Returned"/>
    <x v="1"/>
    <n v="2"/>
    <s v="Perempuan"/>
    <x v="3"/>
    <x v="0"/>
    <n v="4"/>
  </r>
  <r>
    <s v="ORD00549"/>
    <n v="45758.631840277783"/>
    <x v="165"/>
    <s v="Samarinda"/>
    <s v="Gula Pasir - Brand A"/>
    <x v="6"/>
    <x v="2"/>
    <n v="16000"/>
    <n v="1"/>
    <n v="5"/>
    <n v="16000"/>
    <n v="800"/>
    <n v="15200"/>
    <n v="43000"/>
    <n v="58200"/>
    <x v="1"/>
    <s v="Completed"/>
    <x v="0"/>
    <n v="3"/>
    <s v="Perempuan"/>
    <x v="3"/>
    <x v="0"/>
    <n v="4"/>
  </r>
  <r>
    <s v="ORD01499"/>
    <n v="45758.780046296299"/>
    <x v="269"/>
    <s v="Merauke"/>
    <s v="Tepung Terigu - Brand C"/>
    <x v="2"/>
    <x v="0"/>
    <n v="14000"/>
    <n v="2"/>
    <n v="20"/>
    <n v="28000"/>
    <n v="5600"/>
    <n v="22400"/>
    <n v="59000"/>
    <n v="81400"/>
    <x v="1"/>
    <s v="Returned"/>
    <x v="3"/>
    <n v="5"/>
    <s v="Perempuan"/>
    <x v="3"/>
    <x v="0"/>
    <n v="4"/>
  </r>
  <r>
    <s v="ORD00530"/>
    <n v="45758.829409722217"/>
    <x v="73"/>
    <s v="Pekanbaru"/>
    <s v="Minyak Goreng - Brand C"/>
    <x v="8"/>
    <x v="0"/>
    <n v="18000"/>
    <n v="1"/>
    <n v="20"/>
    <n v="18000"/>
    <n v="3600"/>
    <n v="14400"/>
    <n v="49000"/>
    <n v="63400"/>
    <x v="1"/>
    <s v="Completed"/>
    <x v="0"/>
    <n v="3"/>
    <s v="Perempuan"/>
    <x v="3"/>
    <x v="0"/>
    <n v="4"/>
  </r>
  <r>
    <s v="ORD01221"/>
    <n v="45759.326747685183"/>
    <x v="159"/>
    <s v="Merauke"/>
    <s v="Tepung Terigu - Brand C"/>
    <x v="2"/>
    <x v="0"/>
    <n v="14000"/>
    <n v="4"/>
    <n v="5"/>
    <n v="56000"/>
    <n v="2800"/>
    <n v="53200"/>
    <n v="59000"/>
    <n v="112200"/>
    <x v="3"/>
    <s v="Completed"/>
    <x v="3"/>
    <n v="3"/>
    <s v="Perempuan"/>
    <x v="3"/>
    <x v="0"/>
    <n v="4"/>
  </r>
  <r>
    <s v="ORD00354"/>
    <n v="45759.435787037037"/>
    <x v="284"/>
    <s v="Pekanbaru"/>
    <s v="Gula Pasir - Brand C"/>
    <x v="6"/>
    <x v="0"/>
    <n v="18000"/>
    <n v="1"/>
    <n v="5"/>
    <n v="18000"/>
    <n v="900"/>
    <n v="17100"/>
    <n v="49000"/>
    <n v="66100"/>
    <x v="1"/>
    <s v="Cancelled"/>
    <x v="0"/>
    <n v="4"/>
    <s v="Perempuan"/>
    <x v="3"/>
    <x v="0"/>
    <n v="4"/>
  </r>
  <r>
    <s v="ORD00354"/>
    <n v="45759.435787037037"/>
    <x v="284"/>
    <s v="Pekanbaru"/>
    <s v="Tepung Terigu - Brand C"/>
    <x v="2"/>
    <x v="0"/>
    <n v="14000"/>
    <n v="4"/>
    <n v="5"/>
    <n v="56000"/>
    <n v="2800"/>
    <n v="53200"/>
    <n v="0"/>
    <n v="53200"/>
    <x v="1"/>
    <s v="Cancelled"/>
    <x v="0"/>
    <n v="4"/>
    <s v="Perempuan"/>
    <x v="3"/>
    <x v="0"/>
    <n v="4"/>
  </r>
  <r>
    <s v="ORD01074"/>
    <n v="45759.465162037042"/>
    <x v="285"/>
    <s v="Pontianak"/>
    <s v="Daging Ayam - Brand B"/>
    <x v="1"/>
    <x v="1"/>
    <n v="40000"/>
    <n v="4"/>
    <n v="0"/>
    <n v="160000"/>
    <n v="0"/>
    <n v="160000"/>
    <n v="85000"/>
    <n v="245000"/>
    <x v="3"/>
    <s v="Completed"/>
    <x v="4"/>
    <n v="4"/>
    <s v="Laki-laki"/>
    <x v="3"/>
    <x v="0"/>
    <n v="4"/>
  </r>
  <r>
    <s v="ORD00852"/>
    <n v="45759.633217592593"/>
    <x v="142"/>
    <s v="Manokwari"/>
    <s v="Gula Pasir - Brand B"/>
    <x v="6"/>
    <x v="1"/>
    <n v="17000"/>
    <n v="5"/>
    <n v="20"/>
    <n v="85000"/>
    <n v="17000"/>
    <n v="68000"/>
    <n v="18000"/>
    <n v="86000"/>
    <x v="2"/>
    <s v="Completed"/>
    <x v="3"/>
    <n v="3"/>
    <s v="Perempuan"/>
    <x v="3"/>
    <x v="0"/>
    <n v="4"/>
  </r>
  <r>
    <s v="ORD01141"/>
    <n v="45760.088553240741"/>
    <x v="286"/>
    <s v="Jayapura"/>
    <s v="Telur Ayam - Brand A"/>
    <x v="4"/>
    <x v="2"/>
    <n v="22000"/>
    <n v="2"/>
    <n v="0"/>
    <n v="44000"/>
    <n v="0"/>
    <n v="44000"/>
    <n v="30000"/>
    <n v="74000"/>
    <x v="2"/>
    <s v="Returned"/>
    <x v="4"/>
    <n v="5"/>
    <s v="Perempuan"/>
    <x v="3"/>
    <x v="0"/>
    <n v="4"/>
  </r>
  <r>
    <s v="ORD00971"/>
    <n v="45760.089467592603"/>
    <x v="38"/>
    <s v="Kendari"/>
    <s v="Telur Ayam - Brand A"/>
    <x v="4"/>
    <x v="2"/>
    <n v="22000"/>
    <n v="5"/>
    <n v="5"/>
    <n v="110000"/>
    <n v="5500"/>
    <n v="104500"/>
    <n v="59000"/>
    <n v="163500"/>
    <x v="1"/>
    <s v="Completed"/>
    <x v="3"/>
    <n v="1"/>
    <s v="Laki-laki"/>
    <x v="3"/>
    <x v="0"/>
    <n v="4"/>
  </r>
  <r>
    <s v="ORD00834"/>
    <n v="45760.267974537041"/>
    <x v="287"/>
    <s v="Manado"/>
    <s v="Minyak Goreng - Brand C"/>
    <x v="8"/>
    <x v="0"/>
    <n v="18000"/>
    <n v="1"/>
    <n v="20"/>
    <n v="18000"/>
    <n v="3600"/>
    <n v="14400"/>
    <n v="93000"/>
    <n v="107400"/>
    <x v="0"/>
    <s v="Completed"/>
    <x v="1"/>
    <n v="3"/>
    <s v="Perempuan"/>
    <x v="3"/>
    <x v="0"/>
    <n v="4"/>
  </r>
  <r>
    <s v="ORD00257"/>
    <n v="45760.287974537037"/>
    <x v="11"/>
    <s v="Palu"/>
    <s v="Bawang Merah - Brand C"/>
    <x v="3"/>
    <x v="0"/>
    <n v="40000"/>
    <n v="5"/>
    <n v="20"/>
    <n v="200000"/>
    <n v="40000"/>
    <n v="160000"/>
    <n v="67000"/>
    <n v="227000"/>
    <x v="0"/>
    <s v="Completed"/>
    <x v="1"/>
    <n v="5"/>
    <s v="Perempuan"/>
    <x v="3"/>
    <x v="0"/>
    <n v="4"/>
  </r>
  <r>
    <s v="ORD00257"/>
    <n v="45760.287974537037"/>
    <x v="11"/>
    <s v="Palu"/>
    <s v="Minyak Goreng - Brand B"/>
    <x v="8"/>
    <x v="1"/>
    <n v="17000"/>
    <n v="5"/>
    <n v="20"/>
    <n v="85000"/>
    <n v="17000"/>
    <n v="68000"/>
    <n v="0"/>
    <n v="68000"/>
    <x v="0"/>
    <s v="Completed"/>
    <x v="1"/>
    <n v="5"/>
    <s v="Perempuan"/>
    <x v="3"/>
    <x v="0"/>
    <n v="4"/>
  </r>
  <r>
    <s v="ORD01774"/>
    <n v="45760.309490740743"/>
    <x v="204"/>
    <s v="Pontianak"/>
    <s v="Gula Pasir - Brand B"/>
    <x v="6"/>
    <x v="1"/>
    <n v="17000"/>
    <n v="5"/>
    <n v="5"/>
    <n v="85000"/>
    <n v="4250"/>
    <n v="80750"/>
    <n v="85000"/>
    <n v="165750"/>
    <x v="2"/>
    <s v="Returned"/>
    <x v="4"/>
    <n v="2"/>
    <s v="Perempuan"/>
    <x v="3"/>
    <x v="0"/>
    <n v="4"/>
  </r>
  <r>
    <s v="ORD00374"/>
    <n v="45760.381064814806"/>
    <x v="11"/>
    <s v="Palu"/>
    <s v="Telur Ayam - Brand A"/>
    <x v="4"/>
    <x v="2"/>
    <n v="22000"/>
    <n v="1"/>
    <n v="15"/>
    <n v="22000"/>
    <n v="3300"/>
    <n v="18700"/>
    <n v="67000"/>
    <n v="85700"/>
    <x v="0"/>
    <s v="Completed"/>
    <x v="4"/>
    <n v="3"/>
    <s v="Perempuan"/>
    <x v="3"/>
    <x v="0"/>
    <n v="4"/>
  </r>
  <r>
    <s v="ORD00374"/>
    <n v="45760.381064814806"/>
    <x v="11"/>
    <s v="Palu"/>
    <s v="Minyak Goreng - Brand C"/>
    <x v="8"/>
    <x v="0"/>
    <n v="18000"/>
    <n v="1"/>
    <n v="10"/>
    <n v="18000"/>
    <n v="1800"/>
    <n v="16200"/>
    <n v="0"/>
    <n v="16200"/>
    <x v="0"/>
    <s v="Completed"/>
    <x v="4"/>
    <n v="3"/>
    <s v="Perempuan"/>
    <x v="3"/>
    <x v="0"/>
    <n v="4"/>
  </r>
  <r>
    <s v="ORD01692"/>
    <n v="45760.54241898148"/>
    <x v="244"/>
    <s v="Jambi"/>
    <s v="Bawang Merah - Brand B"/>
    <x v="3"/>
    <x v="1"/>
    <n v="35000"/>
    <n v="2"/>
    <n v="0"/>
    <n v="70000"/>
    <n v="0"/>
    <n v="70000"/>
    <n v="87000"/>
    <n v="157000"/>
    <x v="0"/>
    <s v="Completed"/>
    <x v="3"/>
    <n v="2"/>
    <s v="Perempuan"/>
    <x v="3"/>
    <x v="0"/>
    <n v="4"/>
  </r>
  <r>
    <s v="ORD01313"/>
    <n v="45760.649143518523"/>
    <x v="104"/>
    <s v="Sorong"/>
    <s v="Susu Bubuk - Brand A"/>
    <x v="7"/>
    <x v="2"/>
    <n v="45000"/>
    <n v="4"/>
    <n v="5"/>
    <n v="180000"/>
    <n v="9000"/>
    <n v="171000"/>
    <n v="87000"/>
    <n v="258000"/>
    <x v="3"/>
    <s v="Completed"/>
    <x v="0"/>
    <n v="1"/>
    <s v="Laki-laki"/>
    <x v="3"/>
    <x v="0"/>
    <n v="4"/>
  </r>
  <r>
    <s v="ORD00771"/>
    <n v="45760.714467592603"/>
    <x v="270"/>
    <s v="Pekanbaru"/>
    <s v="Beras - Brand B"/>
    <x v="0"/>
    <x v="1"/>
    <n v="15000"/>
    <n v="5"/>
    <n v="10"/>
    <n v="75000"/>
    <n v="7500"/>
    <n v="67500"/>
    <n v="49000"/>
    <n v="116500"/>
    <x v="3"/>
    <s v="Cancelled"/>
    <x v="3"/>
    <n v="4"/>
    <s v="Perempuan"/>
    <x v="3"/>
    <x v="0"/>
    <n v="4"/>
  </r>
  <r>
    <s v="ORD01552"/>
    <n v="45760.76048611111"/>
    <x v="214"/>
    <s v="Ambon"/>
    <s v="Minyak Goreng - Brand A"/>
    <x v="8"/>
    <x v="2"/>
    <n v="16000"/>
    <n v="1"/>
    <n v="5"/>
    <n v="16000"/>
    <n v="800"/>
    <n v="15200"/>
    <n v="49000"/>
    <n v="64200"/>
    <x v="3"/>
    <s v="Completed"/>
    <x v="2"/>
    <n v="2"/>
    <s v="Laki-laki"/>
    <x v="3"/>
    <x v="0"/>
    <n v="4"/>
  </r>
  <r>
    <s v="ORD01383"/>
    <n v="45760.78162037037"/>
    <x v="288"/>
    <s v="Pangkalpinang"/>
    <s v="Minyak Goreng - Brand A"/>
    <x v="8"/>
    <x v="2"/>
    <n v="16000"/>
    <n v="2"/>
    <n v="15"/>
    <n v="32000"/>
    <n v="4800"/>
    <n v="27200"/>
    <n v="18000"/>
    <n v="45200"/>
    <x v="3"/>
    <s v="Returned"/>
    <x v="0"/>
    <n v="5"/>
    <s v="Perempuan"/>
    <x v="3"/>
    <x v="0"/>
    <n v="4"/>
  </r>
  <r>
    <s v="ORD01102"/>
    <n v="45761.031817129631"/>
    <x v="155"/>
    <s v="Bandung"/>
    <s v="Bawang Merah - Brand A"/>
    <x v="3"/>
    <x v="2"/>
    <n v="30000"/>
    <n v="1"/>
    <n v="0"/>
    <n v="30000"/>
    <n v="0"/>
    <n v="30000"/>
    <n v="0"/>
    <n v="30000"/>
    <x v="1"/>
    <s v="Completed"/>
    <x v="0"/>
    <n v="5"/>
    <s v="Perempuan"/>
    <x v="3"/>
    <x v="0"/>
    <n v="4"/>
  </r>
  <r>
    <s v="ORD01172"/>
    <n v="45761.144421296303"/>
    <x v="67"/>
    <s v="Surabaya"/>
    <s v="Daging Ayam - Brand C"/>
    <x v="1"/>
    <x v="0"/>
    <n v="45000"/>
    <n v="5"/>
    <n v="0"/>
    <n v="225000"/>
    <n v="0"/>
    <n v="225000"/>
    <n v="74000"/>
    <n v="299000"/>
    <x v="3"/>
    <s v="Completed"/>
    <x v="0"/>
    <n v="1"/>
    <s v="Perempuan"/>
    <x v="3"/>
    <x v="0"/>
    <n v="4"/>
  </r>
  <r>
    <s v="ORD00921"/>
    <n v="45761.204641203702"/>
    <x v="189"/>
    <s v="Medan"/>
    <s v="Minyak Goreng - Brand B"/>
    <x v="8"/>
    <x v="1"/>
    <n v="17000"/>
    <n v="1"/>
    <n v="0"/>
    <n v="17000"/>
    <n v="0"/>
    <n v="17000"/>
    <n v="79000"/>
    <n v="96000"/>
    <x v="3"/>
    <s v="Completed"/>
    <x v="3"/>
    <n v="3"/>
    <s v="Perempuan"/>
    <x v="3"/>
    <x v="0"/>
    <n v="4"/>
  </r>
  <r>
    <s v="ORD01294"/>
    <n v="45761.648240740738"/>
    <x v="253"/>
    <s v="Tanjung Selor"/>
    <s v="Susu Bubuk - Brand A"/>
    <x v="7"/>
    <x v="2"/>
    <n v="45000"/>
    <n v="5"/>
    <n v="5"/>
    <n v="225000"/>
    <n v="11250"/>
    <n v="213750"/>
    <n v="26000"/>
    <n v="239750"/>
    <x v="2"/>
    <s v="Completed"/>
    <x v="4"/>
    <n v="5"/>
    <s v="Perempuan"/>
    <x v="3"/>
    <x v="0"/>
    <n v="4"/>
  </r>
  <r>
    <s v="ORD01072"/>
    <n v="45762.365925925929"/>
    <x v="185"/>
    <s v="Kupang"/>
    <s v="Susu Bubuk - Brand B"/>
    <x v="7"/>
    <x v="1"/>
    <n v="50000"/>
    <n v="5"/>
    <n v="0"/>
    <n v="250000"/>
    <n v="0"/>
    <n v="250000"/>
    <n v="21000"/>
    <n v="271000"/>
    <x v="2"/>
    <s v="Completed"/>
    <x v="2"/>
    <n v="5"/>
    <s v="Laki-laki"/>
    <x v="3"/>
    <x v="0"/>
    <n v="4"/>
  </r>
  <r>
    <s v="ORD00744"/>
    <n v="45762.45076388889"/>
    <x v="165"/>
    <s v="Samarinda"/>
    <s v="Daging Ayam - Brand B"/>
    <x v="1"/>
    <x v="1"/>
    <n v="40000"/>
    <n v="4"/>
    <n v="5"/>
    <n v="160000"/>
    <n v="8000"/>
    <n v="152000"/>
    <n v="43000"/>
    <n v="195000"/>
    <x v="1"/>
    <s v="Returned"/>
    <x v="1"/>
    <n v="2"/>
    <s v="Perempuan"/>
    <x v="3"/>
    <x v="0"/>
    <n v="4"/>
  </r>
  <r>
    <s v="ORD00202"/>
    <n v="45762.508668981478"/>
    <x v="277"/>
    <s v="Merauke"/>
    <s v="Garam - Brand B"/>
    <x v="5"/>
    <x v="1"/>
    <n v="5000"/>
    <n v="1"/>
    <n v="0"/>
    <n v="5000"/>
    <n v="0"/>
    <n v="5000"/>
    <n v="59000"/>
    <n v="64000"/>
    <x v="3"/>
    <s v="Completed"/>
    <x v="1"/>
    <n v="2"/>
    <s v="Perempuan"/>
    <x v="3"/>
    <x v="0"/>
    <n v="4"/>
  </r>
  <r>
    <s v="ORD01005"/>
    <n v="45762.786064814813"/>
    <x v="12"/>
    <s v="Sofifi"/>
    <s v="Bawang Merah - Brand A"/>
    <x v="3"/>
    <x v="2"/>
    <n v="30000"/>
    <n v="3"/>
    <n v="10"/>
    <n v="90000"/>
    <n v="9000"/>
    <n v="81000"/>
    <n v="50000"/>
    <n v="131000"/>
    <x v="1"/>
    <s v="Completed"/>
    <x v="0"/>
    <n v="4"/>
    <s v="Perempuan"/>
    <x v="3"/>
    <x v="0"/>
    <n v="4"/>
  </r>
  <r>
    <s v="ORD00497"/>
    <n v="45763.144907407397"/>
    <x v="289"/>
    <s v="Yogyakarta"/>
    <s v="Tepung Terigu - Brand C"/>
    <x v="2"/>
    <x v="0"/>
    <n v="14000"/>
    <n v="4"/>
    <n v="10"/>
    <n v="56000"/>
    <n v="5600"/>
    <n v="50400"/>
    <n v="78000"/>
    <n v="128400"/>
    <x v="0"/>
    <s v="Returned"/>
    <x v="0"/>
    <n v="1"/>
    <s v="Perempuan"/>
    <x v="3"/>
    <x v="0"/>
    <n v="4"/>
  </r>
  <r>
    <s v="ORD00992"/>
    <n v="45763.149722222217"/>
    <x v="290"/>
    <s v="Semarang"/>
    <s v="Beras - Brand C"/>
    <x v="0"/>
    <x v="0"/>
    <n v="16000"/>
    <n v="4"/>
    <n v="0"/>
    <n v="64000"/>
    <n v="0"/>
    <n v="64000"/>
    <n v="76000"/>
    <n v="140000"/>
    <x v="2"/>
    <s v="Completed"/>
    <x v="2"/>
    <n v="1"/>
    <s v="Laki-laki"/>
    <x v="3"/>
    <x v="0"/>
    <n v="4"/>
  </r>
  <r>
    <s v="ORD01847"/>
    <n v="45763.371516203697"/>
    <x v="23"/>
    <s v="Bandung"/>
    <s v="Beras - Brand A"/>
    <x v="0"/>
    <x v="2"/>
    <n v="14000"/>
    <n v="5"/>
    <n v="15"/>
    <n v="70000"/>
    <n v="10500"/>
    <n v="59500"/>
    <n v="0"/>
    <n v="59500"/>
    <x v="2"/>
    <s v="Completed"/>
    <x v="2"/>
    <n v="1"/>
    <s v="Perempuan"/>
    <x v="3"/>
    <x v="0"/>
    <n v="4"/>
  </r>
  <r>
    <s v="ORD00227"/>
    <n v="45763.471747685187"/>
    <x v="90"/>
    <s v="Yogyakarta"/>
    <s v="Minyak Goreng - Brand C"/>
    <x v="8"/>
    <x v="0"/>
    <n v="18000"/>
    <n v="2"/>
    <n v="5"/>
    <n v="36000"/>
    <n v="1800"/>
    <n v="34200"/>
    <n v="78000"/>
    <n v="112200"/>
    <x v="3"/>
    <s v="Completed"/>
    <x v="3"/>
    <n v="3"/>
    <s v="Perempuan"/>
    <x v="3"/>
    <x v="0"/>
    <n v="4"/>
  </r>
  <r>
    <s v="ORD01319"/>
    <n v="45763.515949074077"/>
    <x v="243"/>
    <s v="Palangka Raya"/>
    <s v="Tepung Terigu - Brand C"/>
    <x v="2"/>
    <x v="0"/>
    <n v="14000"/>
    <n v="4"/>
    <n v="20"/>
    <n v="56000"/>
    <n v="11200"/>
    <n v="44800"/>
    <n v="50000"/>
    <n v="94800"/>
    <x v="3"/>
    <s v="Completed"/>
    <x v="0"/>
    <n v="5"/>
    <s v="Laki-laki"/>
    <x v="3"/>
    <x v="0"/>
    <n v="4"/>
  </r>
  <r>
    <s v="ORD01746"/>
    <n v="45763.700844907413"/>
    <x v="34"/>
    <s v="Semarang"/>
    <s v="Susu Bubuk - Brand A"/>
    <x v="7"/>
    <x v="2"/>
    <n v="45000"/>
    <n v="2"/>
    <n v="5"/>
    <n v="90000"/>
    <n v="4500"/>
    <n v="85500"/>
    <n v="76000"/>
    <n v="161500"/>
    <x v="0"/>
    <s v="Completed"/>
    <x v="0"/>
    <n v="5"/>
    <s v="Perempuan"/>
    <x v="3"/>
    <x v="0"/>
    <n v="4"/>
  </r>
  <r>
    <s v="ORD01286"/>
    <n v="45764.046620370369"/>
    <x v="253"/>
    <s v="Tanjung Selor"/>
    <s v="Garam - Brand B"/>
    <x v="5"/>
    <x v="1"/>
    <n v="5000"/>
    <n v="2"/>
    <n v="5"/>
    <n v="10000"/>
    <n v="500"/>
    <n v="9500"/>
    <n v="26000"/>
    <n v="35500"/>
    <x v="1"/>
    <s v="Completed"/>
    <x v="4"/>
    <n v="2"/>
    <s v="Perempuan"/>
    <x v="3"/>
    <x v="0"/>
    <n v="4"/>
  </r>
  <r>
    <s v="ORD00973"/>
    <n v="45764.619722222233"/>
    <x v="5"/>
    <s v="Semarang"/>
    <s v="Daging Ayam - Brand B"/>
    <x v="1"/>
    <x v="1"/>
    <n v="40000"/>
    <n v="3"/>
    <n v="0"/>
    <n v="120000"/>
    <n v="0"/>
    <n v="120000"/>
    <n v="76000"/>
    <n v="196000"/>
    <x v="0"/>
    <s v="Completed"/>
    <x v="0"/>
    <n v="5"/>
    <s v="Laki-laki"/>
    <x v="3"/>
    <x v="0"/>
    <n v="4"/>
  </r>
  <r>
    <s v="ORD00280"/>
    <n v="45764.76189814815"/>
    <x v="112"/>
    <s v="Semarang"/>
    <s v="Minyak Goreng - Brand A"/>
    <x v="8"/>
    <x v="2"/>
    <n v="16000"/>
    <n v="5"/>
    <n v="10"/>
    <n v="80000"/>
    <n v="8000"/>
    <n v="72000"/>
    <n v="76000"/>
    <n v="148000"/>
    <x v="0"/>
    <s v="Completed"/>
    <x v="1"/>
    <n v="2"/>
    <s v="Perempuan"/>
    <x v="3"/>
    <x v="0"/>
    <n v="4"/>
  </r>
  <r>
    <s v="ORD01417"/>
    <n v="45764.911377314813"/>
    <x v="124"/>
    <s v="Nabire"/>
    <s v="Daging Ayam - Brand B"/>
    <x v="1"/>
    <x v="1"/>
    <n v="40000"/>
    <n v="3"/>
    <n v="0"/>
    <n v="120000"/>
    <n v="0"/>
    <n v="120000"/>
    <n v="89000"/>
    <n v="209000"/>
    <x v="2"/>
    <s v="Completed"/>
    <x v="0"/>
    <n v="4"/>
    <s v="Perempuan"/>
    <x v="3"/>
    <x v="0"/>
    <n v="4"/>
  </r>
  <r>
    <s v="ORD00891"/>
    <n v="45764.948333333326"/>
    <x v="291"/>
    <s v="Sorong"/>
    <s v="Tepung Terigu - Brand A"/>
    <x v="2"/>
    <x v="2"/>
    <n v="10000"/>
    <n v="3"/>
    <n v="20"/>
    <n v="30000"/>
    <n v="6000"/>
    <n v="24000"/>
    <n v="87000"/>
    <n v="111000"/>
    <x v="3"/>
    <s v="Completed"/>
    <x v="2"/>
    <n v="2"/>
    <s v="Perempuan"/>
    <x v="3"/>
    <x v="0"/>
    <n v="4"/>
  </r>
  <r>
    <s v="ORD01826"/>
    <n v="45765.371145833327"/>
    <x v="89"/>
    <s v="Yogyakarta"/>
    <s v="Minyak Goreng - Brand A"/>
    <x v="8"/>
    <x v="2"/>
    <n v="16000"/>
    <n v="2"/>
    <n v="0"/>
    <n v="32000"/>
    <n v="0"/>
    <n v="32000"/>
    <n v="78000"/>
    <n v="110000"/>
    <x v="2"/>
    <s v="Completed"/>
    <x v="3"/>
    <n v="5"/>
    <s v="Perempuan"/>
    <x v="3"/>
    <x v="0"/>
    <n v="4"/>
  </r>
  <r>
    <s v="ORD01015"/>
    <n v="45765.387916666667"/>
    <x v="88"/>
    <s v="Banda Aceh"/>
    <s v="Gula Pasir - Brand A"/>
    <x v="6"/>
    <x v="2"/>
    <n v="16000"/>
    <n v="5"/>
    <n v="15"/>
    <n v="80000"/>
    <n v="12000"/>
    <n v="68000"/>
    <n v="18000"/>
    <n v="86000"/>
    <x v="2"/>
    <s v="Completed"/>
    <x v="2"/>
    <n v="4"/>
    <s v="Perempuan"/>
    <x v="3"/>
    <x v="0"/>
    <n v="4"/>
  </r>
  <r>
    <s v="ORD01512"/>
    <n v="45765.740231481483"/>
    <x v="292"/>
    <s v="Pekanbaru"/>
    <s v="Garam - Brand B"/>
    <x v="5"/>
    <x v="1"/>
    <n v="5000"/>
    <n v="1"/>
    <n v="10"/>
    <n v="5000"/>
    <n v="500"/>
    <n v="4500"/>
    <n v="49000"/>
    <n v="53500"/>
    <x v="2"/>
    <s v="Completed"/>
    <x v="2"/>
    <n v="4"/>
    <s v="Perempuan"/>
    <x v="3"/>
    <x v="0"/>
    <n v="4"/>
  </r>
  <r>
    <s v="ORD00969"/>
    <n v="45766.156759259262"/>
    <x v="208"/>
    <s v="Palu"/>
    <s v="Minyak Goreng - Brand B"/>
    <x v="8"/>
    <x v="1"/>
    <n v="17000"/>
    <n v="4"/>
    <n v="0"/>
    <n v="68000"/>
    <n v="0"/>
    <n v="68000"/>
    <n v="67000"/>
    <n v="135000"/>
    <x v="0"/>
    <s v="Completed"/>
    <x v="2"/>
    <n v="2"/>
    <s v="Perempuan"/>
    <x v="3"/>
    <x v="0"/>
    <n v="4"/>
  </r>
  <r>
    <s v="ORD00407"/>
    <n v="45766.712314814817"/>
    <x v="89"/>
    <s v="Yogyakarta"/>
    <s v="Telur Ayam - Brand C"/>
    <x v="4"/>
    <x v="0"/>
    <n v="28000"/>
    <n v="4"/>
    <n v="5"/>
    <n v="112000"/>
    <n v="5600"/>
    <n v="106400"/>
    <n v="78000"/>
    <n v="184400"/>
    <x v="1"/>
    <s v="Completed"/>
    <x v="1"/>
    <n v="1"/>
    <s v="Perempuan"/>
    <x v="3"/>
    <x v="0"/>
    <n v="4"/>
  </r>
  <r>
    <s v="ORD00831"/>
    <n v="45767.189675925933"/>
    <x v="270"/>
    <s v="Pekanbaru"/>
    <s v="Daging Ayam - Brand C"/>
    <x v="1"/>
    <x v="0"/>
    <n v="45000"/>
    <n v="2"/>
    <n v="20"/>
    <n v="90000"/>
    <n v="18000"/>
    <n v="72000"/>
    <n v="49000"/>
    <n v="121000"/>
    <x v="0"/>
    <s v="Cancelled"/>
    <x v="0"/>
    <n v="1"/>
    <s v="Perempuan"/>
    <x v="3"/>
    <x v="0"/>
    <n v="4"/>
  </r>
  <r>
    <s v="ORD01592"/>
    <n v="45767.371342592603"/>
    <x v="293"/>
    <s v="Kendari"/>
    <s v="Susu Bubuk - Brand B"/>
    <x v="7"/>
    <x v="1"/>
    <n v="50000"/>
    <n v="1"/>
    <n v="0"/>
    <n v="50000"/>
    <n v="0"/>
    <n v="50000"/>
    <n v="59000"/>
    <n v="109000"/>
    <x v="0"/>
    <s v="Completed"/>
    <x v="3"/>
    <n v="1"/>
    <s v="Perempuan"/>
    <x v="3"/>
    <x v="0"/>
    <n v="4"/>
  </r>
  <r>
    <s v="ORD00855"/>
    <n v="45767.893483796302"/>
    <x v="7"/>
    <s v="Tanjung Selor"/>
    <s v="Daging Ayam - Brand C"/>
    <x v="1"/>
    <x v="0"/>
    <n v="45000"/>
    <n v="5"/>
    <n v="5"/>
    <n v="225000"/>
    <n v="11250"/>
    <n v="213750"/>
    <n v="26000"/>
    <n v="239750"/>
    <x v="3"/>
    <s v="Completed"/>
    <x v="1"/>
    <n v="5"/>
    <s v="Laki-laki"/>
    <x v="3"/>
    <x v="0"/>
    <n v="4"/>
  </r>
  <r>
    <s v="ORD01441"/>
    <n v="45767.8983912037"/>
    <x v="294"/>
    <s v="Yogyakarta"/>
    <s v="Gula Pasir - Brand B"/>
    <x v="6"/>
    <x v="1"/>
    <n v="17000"/>
    <n v="2"/>
    <n v="5"/>
    <n v="34000"/>
    <n v="1700"/>
    <n v="32300"/>
    <n v="78000"/>
    <n v="110300"/>
    <x v="2"/>
    <s v="Returned"/>
    <x v="2"/>
    <n v="2"/>
    <s v="Perempuan"/>
    <x v="3"/>
    <x v="0"/>
    <n v="4"/>
  </r>
  <r>
    <s v="ORD00985"/>
    <n v="45768.227905092594"/>
    <x v="262"/>
    <s v="Makassar"/>
    <s v="Susu Bubuk - Brand C"/>
    <x v="7"/>
    <x v="0"/>
    <n v="55000"/>
    <n v="5"/>
    <n v="15"/>
    <n v="275000"/>
    <n v="41250"/>
    <n v="233750"/>
    <n v="84000"/>
    <n v="317750"/>
    <x v="2"/>
    <s v="Returned"/>
    <x v="4"/>
    <n v="1"/>
    <s v="Laki-laki"/>
    <x v="3"/>
    <x v="0"/>
    <n v="4"/>
  </r>
  <r>
    <s v="ORD01020"/>
    <n v="45768.234861111108"/>
    <x v="295"/>
    <s v="Yogyakarta"/>
    <s v="Telur Ayam - Brand A"/>
    <x v="4"/>
    <x v="2"/>
    <n v="22000"/>
    <n v="4"/>
    <n v="0"/>
    <n v="88000"/>
    <n v="0"/>
    <n v="88000"/>
    <n v="78000"/>
    <n v="166000"/>
    <x v="3"/>
    <s v="Completed"/>
    <x v="1"/>
    <n v="3"/>
    <s v="Perempuan"/>
    <x v="3"/>
    <x v="0"/>
    <n v="4"/>
  </r>
  <r>
    <s v="ORD00157"/>
    <n v="45768.241712962961"/>
    <x v="132"/>
    <s v="Makassar"/>
    <s v="Daging Ayam - Brand C"/>
    <x v="1"/>
    <x v="0"/>
    <n v="45000"/>
    <n v="2"/>
    <n v="10"/>
    <n v="90000"/>
    <n v="9000"/>
    <n v="81000"/>
    <n v="84000"/>
    <n v="165000"/>
    <x v="2"/>
    <s v="Completed"/>
    <x v="0"/>
    <n v="5"/>
    <s v="Perempuan"/>
    <x v="3"/>
    <x v="0"/>
    <n v="4"/>
  </r>
  <r>
    <s v="ORD01534"/>
    <n v="45769.019166666672"/>
    <x v="296"/>
    <s v="Surabaya"/>
    <s v="Gula Pasir - Brand B"/>
    <x v="6"/>
    <x v="1"/>
    <n v="17000"/>
    <n v="5"/>
    <n v="15"/>
    <n v="85000"/>
    <n v="12750"/>
    <n v="72250"/>
    <n v="74000"/>
    <n v="146250"/>
    <x v="0"/>
    <s v="Cancelled"/>
    <x v="4"/>
    <n v="2"/>
    <s v="Laki-laki"/>
    <x v="3"/>
    <x v="0"/>
    <n v="4"/>
  </r>
  <r>
    <s v="ORD01448"/>
    <n v="45769.240497685183"/>
    <x v="202"/>
    <s v="Bengkulu"/>
    <s v="Susu Bubuk - Brand C"/>
    <x v="7"/>
    <x v="0"/>
    <n v="55000"/>
    <n v="5"/>
    <n v="5"/>
    <n v="275000"/>
    <n v="13750"/>
    <n v="261250"/>
    <n v="72000"/>
    <n v="333250"/>
    <x v="2"/>
    <s v="Completed"/>
    <x v="0"/>
    <n v="5"/>
    <s v="Perempuan"/>
    <x v="3"/>
    <x v="0"/>
    <n v="4"/>
  </r>
  <r>
    <s v="ORD00437"/>
    <n v="45769.297523148147"/>
    <x v="266"/>
    <s v="Pangkalpinang"/>
    <s v="Telur Ayam - Brand A"/>
    <x v="4"/>
    <x v="2"/>
    <n v="22000"/>
    <n v="4"/>
    <n v="10"/>
    <n v="88000"/>
    <n v="8800"/>
    <n v="79200"/>
    <n v="18000"/>
    <n v="97200"/>
    <x v="3"/>
    <s v="Completed"/>
    <x v="1"/>
    <n v="5"/>
    <s v="Perempuan"/>
    <x v="3"/>
    <x v="0"/>
    <n v="4"/>
  </r>
  <r>
    <s v="ORD01452"/>
    <n v="45769.384467592587"/>
    <x v="50"/>
    <s v="Manokwari"/>
    <s v="Beras - Brand B"/>
    <x v="0"/>
    <x v="1"/>
    <n v="15000"/>
    <n v="1"/>
    <n v="10"/>
    <n v="15000"/>
    <n v="1500"/>
    <n v="13500"/>
    <n v="18000"/>
    <n v="31500"/>
    <x v="1"/>
    <s v="Completed"/>
    <x v="2"/>
    <n v="3"/>
    <s v="Perempuan"/>
    <x v="3"/>
    <x v="0"/>
    <n v="4"/>
  </r>
  <r>
    <s v="ORD00941"/>
    <n v="45769.62190972222"/>
    <x v="242"/>
    <s v="Medan"/>
    <s v="Bawang Merah - Brand B"/>
    <x v="3"/>
    <x v="1"/>
    <n v="35000"/>
    <n v="5"/>
    <n v="15"/>
    <n v="175000"/>
    <n v="26250"/>
    <n v="148750"/>
    <n v="79000"/>
    <n v="227750"/>
    <x v="2"/>
    <s v="Completed"/>
    <x v="1"/>
    <n v="4"/>
    <s v="Perempuan"/>
    <x v="3"/>
    <x v="0"/>
    <n v="4"/>
  </r>
  <r>
    <s v="ORD00983"/>
    <n v="45770.014398148152"/>
    <x v="235"/>
    <s v="Banjarbaru"/>
    <s v="Daging Ayam - Brand B"/>
    <x v="1"/>
    <x v="1"/>
    <n v="40000"/>
    <n v="3"/>
    <n v="10"/>
    <n v="120000"/>
    <n v="12000"/>
    <n v="108000"/>
    <n v="55000"/>
    <n v="163000"/>
    <x v="3"/>
    <s v="Completed"/>
    <x v="0"/>
    <n v="2"/>
    <s v="Perempuan"/>
    <x v="3"/>
    <x v="0"/>
    <n v="4"/>
  </r>
  <r>
    <s v="ORD01372"/>
    <n v="45770.167627314811"/>
    <x v="141"/>
    <s v="Wamena"/>
    <s v="Susu Bubuk - Brand C"/>
    <x v="7"/>
    <x v="0"/>
    <n v="55000"/>
    <n v="4"/>
    <n v="5"/>
    <n v="220000"/>
    <n v="11000"/>
    <n v="209000"/>
    <n v="15000"/>
    <n v="224000"/>
    <x v="1"/>
    <s v="Completed"/>
    <x v="3"/>
    <n v="2"/>
    <s v="Laki-laki"/>
    <x v="3"/>
    <x v="0"/>
    <n v="4"/>
  </r>
  <r>
    <s v="ORD00840"/>
    <n v="45770.4606712963"/>
    <x v="297"/>
    <s v="Merauke"/>
    <s v="Beras - Brand A"/>
    <x v="0"/>
    <x v="2"/>
    <n v="14000"/>
    <n v="1"/>
    <n v="10"/>
    <n v="14000"/>
    <n v="1400"/>
    <n v="12600"/>
    <n v="59000"/>
    <n v="71600"/>
    <x v="1"/>
    <s v="Returned"/>
    <x v="4"/>
    <n v="5"/>
    <s v="Perempuan"/>
    <x v="3"/>
    <x v="0"/>
    <n v="4"/>
  </r>
  <r>
    <s v="ORD00714"/>
    <n v="45770.479027777779"/>
    <x v="219"/>
    <s v="Denpasar"/>
    <s v="Bawang Merah - Brand C"/>
    <x v="3"/>
    <x v="0"/>
    <n v="40000"/>
    <n v="3"/>
    <n v="0"/>
    <n v="120000"/>
    <n v="0"/>
    <n v="120000"/>
    <n v="80000"/>
    <n v="200000"/>
    <x v="2"/>
    <s v="Completed"/>
    <x v="0"/>
    <n v="5"/>
    <s v="Laki-laki"/>
    <x v="3"/>
    <x v="0"/>
    <n v="4"/>
  </r>
  <r>
    <s v="ORD01679"/>
    <n v="45770.734953703701"/>
    <x v="46"/>
    <s v="Surabaya"/>
    <s v="Daging Ayam - Brand A"/>
    <x v="1"/>
    <x v="2"/>
    <n v="35000"/>
    <n v="2"/>
    <n v="15"/>
    <n v="70000"/>
    <n v="10500"/>
    <n v="59500"/>
    <n v="74000"/>
    <n v="133500"/>
    <x v="2"/>
    <s v="Cancelled"/>
    <x v="3"/>
    <n v="1"/>
    <s v="Perempuan"/>
    <x v="3"/>
    <x v="0"/>
    <n v="4"/>
  </r>
  <r>
    <s v="ORD01509"/>
    <n v="45770.838750000003"/>
    <x v="241"/>
    <s v="Jakarta"/>
    <s v="Susu Bubuk - Brand B"/>
    <x v="7"/>
    <x v="1"/>
    <n v="50000"/>
    <n v="2"/>
    <n v="20"/>
    <n v="100000"/>
    <n v="20000"/>
    <n v="80000"/>
    <n v="97000"/>
    <n v="177000"/>
    <x v="3"/>
    <s v="Completed"/>
    <x v="2"/>
    <n v="1"/>
    <s v="Perempuan"/>
    <x v="3"/>
    <x v="0"/>
    <n v="4"/>
  </r>
  <r>
    <s v="ORD00109"/>
    <n v="45771.602141203701"/>
    <x v="273"/>
    <s v="Jakarta"/>
    <s v="Telur Ayam - Brand B"/>
    <x v="4"/>
    <x v="1"/>
    <n v="25000"/>
    <n v="1"/>
    <n v="5"/>
    <n v="25000"/>
    <n v="1250"/>
    <n v="23750"/>
    <n v="97000"/>
    <n v="120750"/>
    <x v="1"/>
    <s v="Completed"/>
    <x v="0"/>
    <n v="3"/>
    <s v="Perempuan"/>
    <x v="3"/>
    <x v="0"/>
    <n v="4"/>
  </r>
  <r>
    <s v="ORD00666"/>
    <n v="45771.613807870373"/>
    <x v="25"/>
    <s v="Bandar Lampung"/>
    <s v="Tepung Terigu - Brand C"/>
    <x v="2"/>
    <x v="0"/>
    <n v="14000"/>
    <n v="5"/>
    <n v="15"/>
    <n v="70000"/>
    <n v="10500"/>
    <n v="59500"/>
    <n v="28000"/>
    <n v="87500"/>
    <x v="1"/>
    <s v="Completed"/>
    <x v="1"/>
    <n v="4"/>
    <s v="Perempuan"/>
    <x v="3"/>
    <x v="0"/>
    <n v="4"/>
  </r>
  <r>
    <s v="ORD01069"/>
    <n v="45771.835046296299"/>
    <x v="182"/>
    <s v="Pangkalpinang"/>
    <s v="Garam - Brand C"/>
    <x v="5"/>
    <x v="0"/>
    <n v="6000"/>
    <n v="2"/>
    <n v="15"/>
    <n v="12000"/>
    <n v="1800"/>
    <n v="10200"/>
    <n v="18000"/>
    <n v="28200"/>
    <x v="0"/>
    <s v="Completed"/>
    <x v="3"/>
    <n v="4"/>
    <s v="Perempuan"/>
    <x v="3"/>
    <x v="0"/>
    <n v="4"/>
  </r>
  <r>
    <s v="ORD01090"/>
    <n v="45772.230312500003"/>
    <x v="128"/>
    <s v="Samarinda"/>
    <s v="Garam - Brand C"/>
    <x v="5"/>
    <x v="0"/>
    <n v="6000"/>
    <n v="4"/>
    <n v="20"/>
    <n v="24000"/>
    <n v="4800"/>
    <n v="19200"/>
    <n v="43000"/>
    <n v="62200"/>
    <x v="1"/>
    <s v="Returned"/>
    <x v="2"/>
    <n v="3"/>
    <s v="Perempuan"/>
    <x v="3"/>
    <x v="0"/>
    <n v="4"/>
  </r>
  <r>
    <s v="ORD00729"/>
    <n v="45772.276921296303"/>
    <x v="98"/>
    <s v="Bandung"/>
    <s v="Telur Ayam - Brand B"/>
    <x v="4"/>
    <x v="1"/>
    <n v="25000"/>
    <n v="3"/>
    <n v="15"/>
    <n v="75000"/>
    <n v="11250"/>
    <n v="63750"/>
    <n v="0"/>
    <n v="63750"/>
    <x v="3"/>
    <s v="Completed"/>
    <x v="4"/>
    <n v="3"/>
    <s v="Perempuan"/>
    <x v="3"/>
    <x v="0"/>
    <n v="4"/>
  </r>
  <r>
    <s v="ORD01650"/>
    <n v="45772.479386574072"/>
    <x v="252"/>
    <s v="Palembang"/>
    <s v="Daging Ayam - Brand C"/>
    <x v="1"/>
    <x v="0"/>
    <n v="45000"/>
    <n v="3"/>
    <n v="20"/>
    <n v="135000"/>
    <n v="27000"/>
    <n v="108000"/>
    <n v="17000"/>
    <n v="125000"/>
    <x v="2"/>
    <s v="Completed"/>
    <x v="2"/>
    <n v="1"/>
    <s v="Perempuan"/>
    <x v="3"/>
    <x v="0"/>
    <n v="4"/>
  </r>
  <r>
    <s v="ORD00883"/>
    <n v="45772.542812500003"/>
    <x v="256"/>
    <s v="Jambi"/>
    <s v="Daging Ayam - Brand A"/>
    <x v="1"/>
    <x v="2"/>
    <n v="35000"/>
    <n v="2"/>
    <n v="15"/>
    <n v="70000"/>
    <n v="10500"/>
    <n v="59500"/>
    <n v="87000"/>
    <n v="146500"/>
    <x v="3"/>
    <s v="Completed"/>
    <x v="0"/>
    <n v="3"/>
    <s v="Perempuan"/>
    <x v="3"/>
    <x v="0"/>
    <n v="4"/>
  </r>
  <r>
    <s v="ORD01562"/>
    <n v="45772.635474537034"/>
    <x v="194"/>
    <s v="Pangkalpinang"/>
    <s v="Bawang Merah - Brand A"/>
    <x v="3"/>
    <x v="2"/>
    <n v="30000"/>
    <n v="1"/>
    <n v="15"/>
    <n v="30000"/>
    <n v="4500"/>
    <n v="25500"/>
    <n v="18000"/>
    <n v="43500"/>
    <x v="1"/>
    <s v="Returned"/>
    <x v="0"/>
    <n v="4"/>
    <s v="Perempuan"/>
    <x v="3"/>
    <x v="0"/>
    <n v="4"/>
  </r>
  <r>
    <s v="ORD01370"/>
    <n v="45772.678842592592"/>
    <x v="14"/>
    <s v="Jakarta"/>
    <s v="Bawang Merah - Brand B"/>
    <x v="3"/>
    <x v="1"/>
    <n v="35000"/>
    <n v="3"/>
    <n v="0"/>
    <n v="105000"/>
    <n v="0"/>
    <n v="105000"/>
    <n v="97000"/>
    <n v="202000"/>
    <x v="0"/>
    <s v="Returned"/>
    <x v="0"/>
    <n v="3"/>
    <s v="Laki-laki"/>
    <x v="3"/>
    <x v="0"/>
    <n v="4"/>
  </r>
  <r>
    <s v="ORD00250"/>
    <n v="45772.681875000002"/>
    <x v="264"/>
    <s v="Pontianak"/>
    <s v="Gula Pasir - Brand B"/>
    <x v="6"/>
    <x v="1"/>
    <n v="17000"/>
    <n v="1"/>
    <n v="0"/>
    <n v="17000"/>
    <n v="0"/>
    <n v="17000"/>
    <n v="85000"/>
    <n v="102000"/>
    <x v="1"/>
    <s v="Returned"/>
    <x v="2"/>
    <n v="5"/>
    <s v="Perempuan"/>
    <x v="3"/>
    <x v="0"/>
    <n v="4"/>
  </r>
  <r>
    <s v="ORD01492"/>
    <n v="45773.230671296304"/>
    <x v="275"/>
    <s v="Mataram"/>
    <s v="Beras - Brand B"/>
    <x v="0"/>
    <x v="1"/>
    <n v="15000"/>
    <n v="2"/>
    <n v="0"/>
    <n v="30000"/>
    <n v="0"/>
    <n v="30000"/>
    <n v="56000"/>
    <n v="86000"/>
    <x v="0"/>
    <s v="Completed"/>
    <x v="0"/>
    <n v="3"/>
    <s v="Laki-laki"/>
    <x v="3"/>
    <x v="0"/>
    <n v="4"/>
  </r>
  <r>
    <s v="ORD01312"/>
    <n v="45773.302499999998"/>
    <x v="298"/>
    <s v="Samarinda"/>
    <s v="Tepung Terigu - Brand C"/>
    <x v="2"/>
    <x v="0"/>
    <n v="14000"/>
    <n v="5"/>
    <n v="0"/>
    <n v="70000"/>
    <n v="0"/>
    <n v="70000"/>
    <n v="43000"/>
    <n v="113000"/>
    <x v="0"/>
    <s v="Completed"/>
    <x v="4"/>
    <n v="3"/>
    <s v="Perempuan"/>
    <x v="3"/>
    <x v="0"/>
    <n v="4"/>
  </r>
  <r>
    <s v="ORD01165"/>
    <n v="45773.45144675926"/>
    <x v="65"/>
    <s v="Mataram"/>
    <s v="Garam - Brand C"/>
    <x v="5"/>
    <x v="0"/>
    <n v="6000"/>
    <n v="2"/>
    <n v="5"/>
    <n v="12000"/>
    <n v="600"/>
    <n v="11400"/>
    <n v="56000"/>
    <n v="67400"/>
    <x v="0"/>
    <s v="Completed"/>
    <x v="0"/>
    <n v="3"/>
    <s v="Perempuan"/>
    <x v="3"/>
    <x v="0"/>
    <n v="4"/>
  </r>
  <r>
    <s v="ORD01755"/>
    <n v="45773.462199074071"/>
    <x v="150"/>
    <s v="Bengkulu"/>
    <s v="Gula Pasir - Brand C"/>
    <x v="6"/>
    <x v="0"/>
    <n v="18000"/>
    <n v="3"/>
    <n v="0"/>
    <n v="54000"/>
    <n v="0"/>
    <n v="54000"/>
    <n v="72000"/>
    <n v="126000"/>
    <x v="0"/>
    <s v="Completed"/>
    <x v="4"/>
    <n v="5"/>
    <s v="Perempuan"/>
    <x v="3"/>
    <x v="0"/>
    <n v="4"/>
  </r>
  <r>
    <s v="ORD01524"/>
    <n v="45773.655370370368"/>
    <x v="89"/>
    <s v="Yogyakarta"/>
    <s v="Gula Pasir - Brand A"/>
    <x v="6"/>
    <x v="2"/>
    <n v="16000"/>
    <n v="4"/>
    <n v="10"/>
    <n v="64000"/>
    <n v="6400"/>
    <n v="57600"/>
    <n v="78000"/>
    <n v="135600"/>
    <x v="2"/>
    <s v="Completed"/>
    <x v="0"/>
    <n v="2"/>
    <s v="Perempuan"/>
    <x v="3"/>
    <x v="0"/>
    <n v="4"/>
  </r>
  <r>
    <s v="ORD01793"/>
    <n v="45773.874652777777"/>
    <x v="299"/>
    <s v="Padang"/>
    <s v="Telur Ayam - Brand B"/>
    <x v="4"/>
    <x v="1"/>
    <n v="25000"/>
    <n v="4"/>
    <n v="20"/>
    <n v="100000"/>
    <n v="20000"/>
    <n v="80000"/>
    <n v="68000"/>
    <n v="148000"/>
    <x v="2"/>
    <s v="Completed"/>
    <x v="2"/>
    <n v="4"/>
    <s v="Perempuan"/>
    <x v="3"/>
    <x v="0"/>
    <n v="4"/>
  </r>
  <r>
    <s v="ORD00364"/>
    <n v="45774.049467592587"/>
    <x v="300"/>
    <s v="Kendari"/>
    <s v="Bawang Merah - Brand C"/>
    <x v="3"/>
    <x v="0"/>
    <n v="40000"/>
    <n v="2"/>
    <n v="5"/>
    <n v="80000"/>
    <n v="4000"/>
    <n v="76000"/>
    <n v="59000"/>
    <n v="135000"/>
    <x v="0"/>
    <s v="Completed"/>
    <x v="4"/>
    <n v="4"/>
    <s v="Perempuan"/>
    <x v="3"/>
    <x v="0"/>
    <n v="4"/>
  </r>
  <r>
    <s v="ORD00364"/>
    <n v="45774.049467592587"/>
    <x v="300"/>
    <s v="Kendari"/>
    <s v="Bawang Merah - Brand B"/>
    <x v="3"/>
    <x v="1"/>
    <n v="35000"/>
    <n v="2"/>
    <n v="15"/>
    <n v="70000"/>
    <n v="10500"/>
    <n v="59500"/>
    <n v="0"/>
    <n v="59500"/>
    <x v="0"/>
    <s v="Completed"/>
    <x v="4"/>
    <n v="4"/>
    <s v="Perempuan"/>
    <x v="3"/>
    <x v="0"/>
    <n v="4"/>
  </r>
  <r>
    <s v="ORD00945"/>
    <n v="45774.154432870368"/>
    <x v="100"/>
    <s v="Sorong"/>
    <s v="Gula Pasir - Brand C"/>
    <x v="6"/>
    <x v="0"/>
    <n v="18000"/>
    <n v="2"/>
    <n v="0"/>
    <n v="36000"/>
    <n v="0"/>
    <n v="36000"/>
    <n v="87000"/>
    <n v="123000"/>
    <x v="1"/>
    <s v="Completed"/>
    <x v="1"/>
    <n v="3"/>
    <s v="Perempuan"/>
    <x v="3"/>
    <x v="0"/>
    <n v="4"/>
  </r>
  <r>
    <s v="ORD00705"/>
    <n v="45774.19327546296"/>
    <x v="61"/>
    <s v="Ambon"/>
    <s v="Minyak Goreng - Brand B"/>
    <x v="8"/>
    <x v="1"/>
    <n v="17000"/>
    <n v="3"/>
    <n v="15"/>
    <n v="51000"/>
    <n v="7650"/>
    <n v="43350"/>
    <n v="49000"/>
    <n v="92350"/>
    <x v="1"/>
    <s v="Completed"/>
    <x v="2"/>
    <n v="1"/>
    <s v="Perempuan"/>
    <x v="3"/>
    <x v="0"/>
    <n v="4"/>
  </r>
  <r>
    <s v="ORD00461"/>
    <n v="45774.265497685177"/>
    <x v="0"/>
    <s v="Sorong"/>
    <s v="Daging Ayam - Brand A"/>
    <x v="1"/>
    <x v="2"/>
    <n v="35000"/>
    <n v="2"/>
    <n v="0"/>
    <n v="70000"/>
    <n v="0"/>
    <n v="70000"/>
    <n v="87000"/>
    <n v="157000"/>
    <x v="1"/>
    <s v="Completed"/>
    <x v="3"/>
    <n v="5"/>
    <s v="Perempuan"/>
    <x v="3"/>
    <x v="0"/>
    <n v="4"/>
  </r>
  <r>
    <s v="ORD00388"/>
    <n v="45774.329456018517"/>
    <x v="301"/>
    <s v="Tanjung Selor"/>
    <s v="Bawang Merah - Brand B"/>
    <x v="3"/>
    <x v="1"/>
    <n v="35000"/>
    <n v="1"/>
    <n v="5"/>
    <n v="35000"/>
    <n v="1750"/>
    <n v="33250"/>
    <n v="26000"/>
    <n v="59250"/>
    <x v="3"/>
    <s v="Completed"/>
    <x v="4"/>
    <n v="1"/>
    <s v="Perempuan"/>
    <x v="3"/>
    <x v="0"/>
    <n v="4"/>
  </r>
  <r>
    <s v="ORD00388"/>
    <n v="45774.329456018517"/>
    <x v="301"/>
    <s v="Tanjung Selor"/>
    <s v="Daging Ayam - Brand C"/>
    <x v="1"/>
    <x v="0"/>
    <n v="45000"/>
    <n v="4"/>
    <n v="5"/>
    <n v="180000"/>
    <n v="9000"/>
    <n v="171000"/>
    <n v="0"/>
    <n v="171000"/>
    <x v="3"/>
    <s v="Completed"/>
    <x v="4"/>
    <n v="1"/>
    <s v="Perempuan"/>
    <x v="3"/>
    <x v="0"/>
    <n v="4"/>
  </r>
  <r>
    <s v="ORD00901"/>
    <n v="45774.371990740743"/>
    <x v="253"/>
    <s v="Tanjung Selor"/>
    <s v="Gula Pasir - Brand B"/>
    <x v="6"/>
    <x v="1"/>
    <n v="17000"/>
    <n v="1"/>
    <n v="20"/>
    <n v="17000"/>
    <n v="3400"/>
    <n v="13600"/>
    <n v="26000"/>
    <n v="39600"/>
    <x v="2"/>
    <s v="Completed"/>
    <x v="4"/>
    <n v="5"/>
    <s v="Perempuan"/>
    <x v="3"/>
    <x v="0"/>
    <n v="4"/>
  </r>
  <r>
    <s v="ORD01800"/>
    <n v="45774.540324074071"/>
    <x v="14"/>
    <s v="Jakarta"/>
    <s v="Gula Pasir - Brand B"/>
    <x v="6"/>
    <x v="1"/>
    <n v="17000"/>
    <n v="1"/>
    <n v="20"/>
    <n v="17000"/>
    <n v="3400"/>
    <n v="13600"/>
    <n v="97000"/>
    <n v="110600"/>
    <x v="2"/>
    <s v="Completed"/>
    <x v="0"/>
    <n v="3"/>
    <s v="Laki-laki"/>
    <x v="3"/>
    <x v="0"/>
    <n v="4"/>
  </r>
  <r>
    <s v="ORD01611"/>
    <n v="45774.959687499999"/>
    <x v="269"/>
    <s v="Merauke"/>
    <s v="Bawang Merah - Brand B"/>
    <x v="3"/>
    <x v="1"/>
    <n v="35000"/>
    <n v="2"/>
    <n v="15"/>
    <n v="70000"/>
    <n v="10500"/>
    <n v="59500"/>
    <n v="59000"/>
    <n v="118500"/>
    <x v="0"/>
    <s v="Cancelled"/>
    <x v="0"/>
    <n v="3"/>
    <s v="Perempuan"/>
    <x v="3"/>
    <x v="0"/>
    <n v="4"/>
  </r>
  <r>
    <s v="ORD00732"/>
    <n v="45775.081689814811"/>
    <x v="267"/>
    <s v="Medan"/>
    <s v="Minyak Goreng - Brand B"/>
    <x v="8"/>
    <x v="1"/>
    <n v="17000"/>
    <n v="1"/>
    <n v="20"/>
    <n v="17000"/>
    <n v="3400"/>
    <n v="13600"/>
    <n v="79000"/>
    <n v="92600"/>
    <x v="2"/>
    <s v="Completed"/>
    <x v="3"/>
    <n v="4"/>
    <s v="Perempuan"/>
    <x v="3"/>
    <x v="0"/>
    <n v="4"/>
  </r>
  <r>
    <s v="ORD00532"/>
    <n v="45775.093043981477"/>
    <x v="128"/>
    <s v="Samarinda"/>
    <s v="Daging Ayam - Brand C"/>
    <x v="1"/>
    <x v="0"/>
    <n v="45000"/>
    <n v="1"/>
    <n v="15"/>
    <n v="45000"/>
    <n v="6750"/>
    <n v="38250"/>
    <n v="43000"/>
    <n v="81250"/>
    <x v="1"/>
    <s v="Completed"/>
    <x v="4"/>
    <n v="2"/>
    <s v="Perempuan"/>
    <x v="3"/>
    <x v="0"/>
    <n v="4"/>
  </r>
  <r>
    <s v="ORD01640"/>
    <n v="45775.306168981479"/>
    <x v="241"/>
    <s v="Jakarta"/>
    <s v="Minyak Goreng - Brand A"/>
    <x v="8"/>
    <x v="2"/>
    <n v="16000"/>
    <n v="5"/>
    <n v="10"/>
    <n v="80000"/>
    <n v="8000"/>
    <n v="72000"/>
    <n v="97000"/>
    <n v="169000"/>
    <x v="1"/>
    <s v="Completed"/>
    <x v="1"/>
    <n v="4"/>
    <s v="Perempuan"/>
    <x v="3"/>
    <x v="0"/>
    <n v="4"/>
  </r>
  <r>
    <s v="ORD01157"/>
    <n v="45775.459733796299"/>
    <x v="302"/>
    <s v="Semarang"/>
    <s v="Minyak Goreng - Brand A"/>
    <x v="8"/>
    <x v="2"/>
    <n v="16000"/>
    <n v="2"/>
    <n v="20"/>
    <n v="32000"/>
    <n v="6400"/>
    <n v="25600"/>
    <n v="76000"/>
    <n v="101600"/>
    <x v="0"/>
    <s v="Completed"/>
    <x v="0"/>
    <n v="3"/>
    <s v="Perempuan"/>
    <x v="3"/>
    <x v="0"/>
    <n v="4"/>
  </r>
  <r>
    <s v="ORD00210"/>
    <n v="45775.59988425926"/>
    <x v="301"/>
    <s v="Tanjung Selor"/>
    <s v="Gula Pasir - Brand B"/>
    <x v="6"/>
    <x v="1"/>
    <n v="17000"/>
    <n v="1"/>
    <n v="15"/>
    <n v="17000"/>
    <n v="2550"/>
    <n v="14450"/>
    <n v="26000"/>
    <n v="40450"/>
    <x v="0"/>
    <s v="Completed"/>
    <x v="4"/>
    <n v="3"/>
    <s v="Perempuan"/>
    <x v="3"/>
    <x v="0"/>
    <n v="4"/>
  </r>
  <r>
    <s v="ORD00210"/>
    <n v="45775.59988425926"/>
    <x v="301"/>
    <s v="Tanjung Selor"/>
    <s v="Beras - Brand A"/>
    <x v="0"/>
    <x v="2"/>
    <n v="14000"/>
    <n v="1"/>
    <n v="15"/>
    <n v="14000"/>
    <n v="2100"/>
    <n v="11900"/>
    <n v="0"/>
    <n v="11900"/>
    <x v="0"/>
    <s v="Completed"/>
    <x v="4"/>
    <n v="3"/>
    <s v="Perempuan"/>
    <x v="3"/>
    <x v="0"/>
    <n v="4"/>
  </r>
  <r>
    <s v="ORD00979"/>
    <n v="45775.69017361111"/>
    <x v="193"/>
    <s v="Semarang"/>
    <s v="Telur Ayam - Brand C"/>
    <x v="4"/>
    <x v="0"/>
    <n v="28000"/>
    <n v="1"/>
    <n v="0"/>
    <n v="28000"/>
    <n v="0"/>
    <n v="28000"/>
    <n v="76000"/>
    <n v="104000"/>
    <x v="3"/>
    <s v="Completed"/>
    <x v="1"/>
    <n v="2"/>
    <s v="Perempuan"/>
    <x v="3"/>
    <x v="0"/>
    <n v="4"/>
  </r>
  <r>
    <s v="ORD00099"/>
    <n v="45775.777465277781"/>
    <x v="268"/>
    <s v="Tanjungpinang"/>
    <s v="Susu Bubuk - Brand B"/>
    <x v="7"/>
    <x v="1"/>
    <n v="50000"/>
    <n v="2"/>
    <n v="0"/>
    <n v="100000"/>
    <n v="0"/>
    <n v="100000"/>
    <n v="48000"/>
    <n v="148000"/>
    <x v="0"/>
    <s v="Completed"/>
    <x v="0"/>
    <n v="4"/>
    <s v="Laki-laki"/>
    <x v="3"/>
    <x v="0"/>
    <n v="4"/>
  </r>
  <r>
    <s v="ORD00942"/>
    <n v="45776.06050925926"/>
    <x v="79"/>
    <s v="Pontianak"/>
    <s v="Minyak Goreng - Brand B"/>
    <x v="8"/>
    <x v="1"/>
    <n v="17000"/>
    <n v="5"/>
    <n v="5"/>
    <n v="85000"/>
    <n v="4250"/>
    <n v="80750"/>
    <n v="85000"/>
    <n v="165750"/>
    <x v="2"/>
    <s v="Completed"/>
    <x v="2"/>
    <n v="4"/>
    <s v="Perempuan"/>
    <x v="3"/>
    <x v="0"/>
    <n v="4"/>
  </r>
  <r>
    <s v="ORD01170"/>
    <n v="45776.3515162037"/>
    <x v="303"/>
    <s v="Medan"/>
    <s v="Daging Ayam - Brand C"/>
    <x v="1"/>
    <x v="0"/>
    <n v="45000"/>
    <n v="5"/>
    <n v="15"/>
    <n v="225000"/>
    <n v="33750"/>
    <n v="191250"/>
    <n v="79000"/>
    <n v="270250"/>
    <x v="1"/>
    <s v="Completed"/>
    <x v="1"/>
    <n v="3"/>
    <s v="Laki-laki"/>
    <x v="3"/>
    <x v="0"/>
    <n v="4"/>
  </r>
  <r>
    <s v="ORD00817"/>
    <n v="45776.844780092593"/>
    <x v="59"/>
    <s v="Samarinda"/>
    <s v="Minyak Goreng - Brand A"/>
    <x v="8"/>
    <x v="2"/>
    <n v="16000"/>
    <n v="5"/>
    <n v="20"/>
    <n v="80000"/>
    <n v="16000"/>
    <n v="64000"/>
    <n v="43000"/>
    <n v="107000"/>
    <x v="1"/>
    <s v="Completed"/>
    <x v="3"/>
    <n v="2"/>
    <s v="Perempuan"/>
    <x v="3"/>
    <x v="0"/>
    <n v="4"/>
  </r>
  <r>
    <s v="ORD00764"/>
    <n v="45776.924502314818"/>
    <x v="304"/>
    <s v="Surabaya"/>
    <s v="Garam - Brand A"/>
    <x v="5"/>
    <x v="2"/>
    <n v="4000"/>
    <n v="2"/>
    <n v="20"/>
    <n v="8000"/>
    <n v="1600"/>
    <n v="6400"/>
    <n v="74000"/>
    <n v="80400"/>
    <x v="2"/>
    <s v="Cancelled"/>
    <x v="0"/>
    <n v="5"/>
    <s v="Perempuan"/>
    <x v="3"/>
    <x v="0"/>
    <n v="4"/>
  </r>
  <r>
    <s v="ORD00751"/>
    <n v="45777.205011574071"/>
    <x v="169"/>
    <s v="Manado"/>
    <s v="Susu Bubuk - Brand A"/>
    <x v="7"/>
    <x v="2"/>
    <n v="45000"/>
    <n v="3"/>
    <n v="15"/>
    <n v="135000"/>
    <n v="20250"/>
    <n v="114750"/>
    <n v="93000"/>
    <n v="207750"/>
    <x v="3"/>
    <s v="Completed"/>
    <x v="1"/>
    <n v="5"/>
    <s v="Perempuan"/>
    <x v="3"/>
    <x v="0"/>
    <n v="4"/>
  </r>
  <r>
    <s v="ORD01859"/>
    <n v="45778.036087962973"/>
    <x v="269"/>
    <s v="Merauke"/>
    <s v="Bawang Merah - Brand C"/>
    <x v="3"/>
    <x v="0"/>
    <n v="40000"/>
    <n v="3"/>
    <n v="10"/>
    <n v="120000"/>
    <n v="12000"/>
    <n v="108000"/>
    <n v="59000"/>
    <n v="167000"/>
    <x v="0"/>
    <s v="Completed"/>
    <x v="3"/>
    <n v="1"/>
    <s v="Perempuan"/>
    <x v="4"/>
    <x v="0"/>
    <n v="5"/>
  </r>
  <r>
    <s v="ORD00137"/>
    <n v="45778.390381944453"/>
    <x v="305"/>
    <s v="Bandung"/>
    <s v="Telur Ayam - Brand C"/>
    <x v="4"/>
    <x v="0"/>
    <n v="28000"/>
    <n v="3"/>
    <n v="15"/>
    <n v="84000"/>
    <n v="12600"/>
    <n v="71400"/>
    <n v="0"/>
    <n v="71400"/>
    <x v="0"/>
    <s v="Completed"/>
    <x v="3"/>
    <n v="4"/>
    <s v="Perempuan"/>
    <x v="4"/>
    <x v="0"/>
    <n v="5"/>
  </r>
  <r>
    <s v="ORD00137"/>
    <n v="45778.390381944453"/>
    <x v="305"/>
    <s v="Bandung"/>
    <s v="Gula Pasir - Brand B"/>
    <x v="6"/>
    <x v="1"/>
    <n v="17000"/>
    <n v="4"/>
    <n v="20"/>
    <n v="68000"/>
    <n v="13600"/>
    <n v="54400"/>
    <n v="0"/>
    <n v="54400"/>
    <x v="0"/>
    <s v="Completed"/>
    <x v="3"/>
    <n v="4"/>
    <s v="Perempuan"/>
    <x v="4"/>
    <x v="0"/>
    <n v="5"/>
  </r>
  <r>
    <s v="ORD01757"/>
    <n v="45778.748715277783"/>
    <x v="289"/>
    <s v="Yogyakarta"/>
    <s v="Bawang Merah - Brand A"/>
    <x v="3"/>
    <x v="2"/>
    <n v="30000"/>
    <n v="1"/>
    <n v="0"/>
    <n v="30000"/>
    <n v="0"/>
    <n v="30000"/>
    <n v="78000"/>
    <n v="108000"/>
    <x v="2"/>
    <s v="Completed"/>
    <x v="4"/>
    <n v="5"/>
    <s v="Perempuan"/>
    <x v="4"/>
    <x v="0"/>
    <n v="5"/>
  </r>
  <r>
    <s v="ORD00325"/>
    <n v="45778.814942129633"/>
    <x v="142"/>
    <s v="Manokwari"/>
    <s v="Telur Ayam - Brand A"/>
    <x v="4"/>
    <x v="2"/>
    <n v="22000"/>
    <n v="1"/>
    <n v="10"/>
    <n v="22000"/>
    <n v="2200"/>
    <n v="19800"/>
    <n v="18000"/>
    <n v="37800"/>
    <x v="0"/>
    <s v="Completed"/>
    <x v="2"/>
    <n v="2"/>
    <s v="Perempuan"/>
    <x v="4"/>
    <x v="0"/>
    <n v="5"/>
  </r>
  <r>
    <s v="ORD00325"/>
    <n v="45778.814942129633"/>
    <x v="142"/>
    <s v="Manokwari"/>
    <s v="Garam - Brand A"/>
    <x v="5"/>
    <x v="2"/>
    <n v="4000"/>
    <n v="1"/>
    <n v="5"/>
    <n v="4000"/>
    <n v="200"/>
    <n v="3800"/>
    <n v="0"/>
    <n v="3800"/>
    <x v="0"/>
    <s v="Completed"/>
    <x v="2"/>
    <n v="2"/>
    <s v="Perempuan"/>
    <x v="4"/>
    <x v="0"/>
    <n v="5"/>
  </r>
  <r>
    <s v="ORD01302"/>
    <n v="45779.01703703704"/>
    <x v="306"/>
    <s v="Mamuju"/>
    <s v="Tepung Terigu - Brand C"/>
    <x v="2"/>
    <x v="0"/>
    <n v="14000"/>
    <n v="5"/>
    <n v="0"/>
    <n v="70000"/>
    <n v="0"/>
    <n v="70000"/>
    <n v="46000"/>
    <n v="116000"/>
    <x v="2"/>
    <s v="Completed"/>
    <x v="0"/>
    <n v="1"/>
    <s v="Perempuan"/>
    <x v="4"/>
    <x v="0"/>
    <n v="5"/>
  </r>
  <r>
    <s v="ORD01431"/>
    <n v="45779.146724537037"/>
    <x v="158"/>
    <s v="Kupang"/>
    <s v="Daging Ayam - Brand B"/>
    <x v="1"/>
    <x v="1"/>
    <n v="40000"/>
    <n v="5"/>
    <n v="0"/>
    <n v="200000"/>
    <n v="0"/>
    <n v="200000"/>
    <n v="21000"/>
    <n v="221000"/>
    <x v="1"/>
    <s v="Completed"/>
    <x v="2"/>
    <n v="3"/>
    <s v="Perempuan"/>
    <x v="4"/>
    <x v="0"/>
    <n v="5"/>
  </r>
  <r>
    <s v="ORD00897"/>
    <n v="45779.363807870373"/>
    <x v="11"/>
    <s v="Palu"/>
    <s v="Telur Ayam - Brand A"/>
    <x v="4"/>
    <x v="2"/>
    <n v="22000"/>
    <n v="2"/>
    <n v="5"/>
    <n v="44000"/>
    <n v="2200"/>
    <n v="41800"/>
    <n v="67000"/>
    <n v="108800"/>
    <x v="1"/>
    <s v="Completed"/>
    <x v="1"/>
    <n v="3"/>
    <s v="Perempuan"/>
    <x v="4"/>
    <x v="0"/>
    <n v="5"/>
  </r>
  <r>
    <s v="ORD01714"/>
    <n v="45779.48777777778"/>
    <x v="214"/>
    <s v="Ambon"/>
    <s v="Susu Bubuk - Brand B"/>
    <x v="7"/>
    <x v="1"/>
    <n v="50000"/>
    <n v="4"/>
    <n v="0"/>
    <n v="200000"/>
    <n v="0"/>
    <n v="200000"/>
    <n v="49000"/>
    <n v="249000"/>
    <x v="1"/>
    <s v="Completed"/>
    <x v="3"/>
    <n v="4"/>
    <s v="Laki-laki"/>
    <x v="4"/>
    <x v="0"/>
    <n v="5"/>
  </r>
  <r>
    <s v="ORD00073"/>
    <n v="45779.547106481477"/>
    <x v="6"/>
    <s v="Wamena"/>
    <s v="Minyak Goreng - Brand A"/>
    <x v="8"/>
    <x v="2"/>
    <n v="16000"/>
    <n v="1"/>
    <n v="0"/>
    <n v="16000"/>
    <n v="0"/>
    <n v="16000"/>
    <n v="15000"/>
    <n v="31000"/>
    <x v="1"/>
    <s v="Completed"/>
    <x v="4"/>
    <n v="4"/>
    <s v="Laki-laki"/>
    <x v="4"/>
    <x v="0"/>
    <n v="5"/>
  </r>
  <r>
    <s v="ORD00073"/>
    <n v="45779.547106481477"/>
    <x v="6"/>
    <s v="Wamena"/>
    <s v="Bawang Merah - Brand C"/>
    <x v="3"/>
    <x v="0"/>
    <n v="40000"/>
    <n v="5"/>
    <n v="20"/>
    <n v="200000"/>
    <n v="40000"/>
    <n v="160000"/>
    <n v="0"/>
    <n v="160000"/>
    <x v="1"/>
    <s v="Completed"/>
    <x v="4"/>
    <n v="4"/>
    <s v="Laki-laki"/>
    <x v="4"/>
    <x v="0"/>
    <n v="5"/>
  </r>
  <r>
    <s v="ORD00730"/>
    <n v="45780.730775462973"/>
    <x v="242"/>
    <s v="Medan"/>
    <s v="Gula Pasir - Brand B"/>
    <x v="6"/>
    <x v="1"/>
    <n v="17000"/>
    <n v="2"/>
    <n v="0"/>
    <n v="34000"/>
    <n v="0"/>
    <n v="34000"/>
    <n v="79000"/>
    <n v="113000"/>
    <x v="1"/>
    <s v="Completed"/>
    <x v="2"/>
    <n v="4"/>
    <s v="Perempuan"/>
    <x v="4"/>
    <x v="0"/>
    <n v="5"/>
  </r>
  <r>
    <s v="ORD00743"/>
    <n v="45781.263715277782"/>
    <x v="85"/>
    <s v="Bandung"/>
    <s v="Garam - Brand B"/>
    <x v="5"/>
    <x v="1"/>
    <n v="5000"/>
    <n v="2"/>
    <n v="10"/>
    <n v="10000"/>
    <n v="1000"/>
    <n v="9000"/>
    <n v="0"/>
    <n v="9000"/>
    <x v="2"/>
    <s v="Completed"/>
    <x v="2"/>
    <n v="5"/>
    <s v="Perempuan"/>
    <x v="4"/>
    <x v="0"/>
    <n v="5"/>
  </r>
  <r>
    <s v="ORD01594"/>
    <n v="45781.320289351846"/>
    <x v="183"/>
    <s v="Jambi"/>
    <s v="Tepung Terigu - Brand B"/>
    <x v="2"/>
    <x v="1"/>
    <n v="12000"/>
    <n v="2"/>
    <n v="20"/>
    <n v="24000"/>
    <n v="4800"/>
    <n v="19200"/>
    <n v="87000"/>
    <n v="106200"/>
    <x v="2"/>
    <s v="Returned"/>
    <x v="1"/>
    <n v="3"/>
    <s v="Perempuan"/>
    <x v="4"/>
    <x v="0"/>
    <n v="5"/>
  </r>
  <r>
    <s v="ORD00132"/>
    <n v="45781.498402777783"/>
    <x v="307"/>
    <s v="Mataram"/>
    <s v="Daging Ayam - Brand C"/>
    <x v="1"/>
    <x v="0"/>
    <n v="45000"/>
    <n v="5"/>
    <n v="5"/>
    <n v="225000"/>
    <n v="11250"/>
    <n v="213750"/>
    <n v="56000"/>
    <n v="269750"/>
    <x v="2"/>
    <s v="Completed"/>
    <x v="2"/>
    <n v="4"/>
    <s v="Perempuan"/>
    <x v="4"/>
    <x v="0"/>
    <n v="5"/>
  </r>
  <r>
    <s v="ORD01830"/>
    <n v="45781.657546296286"/>
    <x v="33"/>
    <s v="Jambi"/>
    <s v="Bawang Merah - Brand A"/>
    <x v="3"/>
    <x v="2"/>
    <n v="30000"/>
    <n v="3"/>
    <n v="20"/>
    <n v="90000"/>
    <n v="18000"/>
    <n v="72000"/>
    <n v="87000"/>
    <n v="159000"/>
    <x v="0"/>
    <s v="Completed"/>
    <x v="2"/>
    <n v="2"/>
    <s v="Perempuan"/>
    <x v="4"/>
    <x v="0"/>
    <n v="5"/>
  </r>
  <r>
    <s v="ORD01303"/>
    <n v="45781.945763888893"/>
    <x v="214"/>
    <s v="Ambon"/>
    <s v="Minyak Goreng - Brand C"/>
    <x v="8"/>
    <x v="0"/>
    <n v="18000"/>
    <n v="5"/>
    <n v="20"/>
    <n v="90000"/>
    <n v="18000"/>
    <n v="72000"/>
    <n v="49000"/>
    <n v="121000"/>
    <x v="0"/>
    <s v="Completed"/>
    <x v="1"/>
    <n v="4"/>
    <s v="Laki-laki"/>
    <x v="4"/>
    <x v="0"/>
    <n v="5"/>
  </r>
  <r>
    <s v="ORD00487"/>
    <n v="45782.263657407413"/>
    <x v="97"/>
    <s v="Palembang"/>
    <s v="Garam - Brand B"/>
    <x v="5"/>
    <x v="1"/>
    <n v="5000"/>
    <n v="3"/>
    <n v="15"/>
    <n v="15000"/>
    <n v="2250"/>
    <n v="12750"/>
    <n v="17000"/>
    <n v="29750"/>
    <x v="0"/>
    <s v="Completed"/>
    <x v="1"/>
    <n v="3"/>
    <s v="Perempuan"/>
    <x v="4"/>
    <x v="0"/>
    <n v="5"/>
  </r>
  <r>
    <s v="ORD01295"/>
    <n v="45782.472997685189"/>
    <x v="46"/>
    <s v="Surabaya"/>
    <s v="Beras - Brand A"/>
    <x v="0"/>
    <x v="2"/>
    <n v="14000"/>
    <n v="4"/>
    <n v="5"/>
    <n v="56000"/>
    <n v="2800"/>
    <n v="53200"/>
    <n v="74000"/>
    <n v="127200"/>
    <x v="1"/>
    <s v="Completed"/>
    <x v="4"/>
    <n v="3"/>
    <s v="Perempuan"/>
    <x v="4"/>
    <x v="0"/>
    <n v="5"/>
  </r>
  <r>
    <s v="ORD00709"/>
    <n v="45782.481724537043"/>
    <x v="116"/>
    <s v="Jayapura"/>
    <s v="Beras - Brand C"/>
    <x v="0"/>
    <x v="0"/>
    <n v="16000"/>
    <n v="2"/>
    <n v="5"/>
    <n v="32000"/>
    <n v="1600"/>
    <n v="30400"/>
    <n v="30000"/>
    <n v="60400"/>
    <x v="0"/>
    <s v="Completed"/>
    <x v="1"/>
    <n v="1"/>
    <s v="Perempuan"/>
    <x v="4"/>
    <x v="0"/>
    <n v="5"/>
  </r>
  <r>
    <s v="ORD00698"/>
    <n v="45782.513668981483"/>
    <x v="275"/>
    <s v="Mataram"/>
    <s v="Bawang Merah - Brand A"/>
    <x v="3"/>
    <x v="2"/>
    <n v="30000"/>
    <n v="1"/>
    <n v="15"/>
    <n v="30000"/>
    <n v="4500"/>
    <n v="25500"/>
    <n v="56000"/>
    <n v="81500"/>
    <x v="3"/>
    <s v="Completed"/>
    <x v="2"/>
    <n v="4"/>
    <s v="Laki-laki"/>
    <x v="4"/>
    <x v="0"/>
    <n v="5"/>
  </r>
  <r>
    <s v="ORD00177"/>
    <n v="45782.594050925924"/>
    <x v="194"/>
    <s v="Pangkalpinang"/>
    <s v="Garam - Brand C"/>
    <x v="5"/>
    <x v="0"/>
    <n v="6000"/>
    <n v="5"/>
    <n v="20"/>
    <n v="30000"/>
    <n v="6000"/>
    <n v="24000"/>
    <n v="18000"/>
    <n v="42000"/>
    <x v="3"/>
    <s v="Completed"/>
    <x v="4"/>
    <n v="3"/>
    <s v="Perempuan"/>
    <x v="4"/>
    <x v="0"/>
    <n v="5"/>
  </r>
  <r>
    <s v="ORD00863"/>
    <n v="45782.730474537027"/>
    <x v="83"/>
    <s v="Mataram"/>
    <s v="Telur Ayam - Brand C"/>
    <x v="4"/>
    <x v="0"/>
    <n v="28000"/>
    <n v="5"/>
    <n v="5"/>
    <n v="140000"/>
    <n v="7000"/>
    <n v="133000"/>
    <n v="56000"/>
    <n v="189000"/>
    <x v="1"/>
    <s v="Completed"/>
    <x v="0"/>
    <n v="2"/>
    <s v="Perempuan"/>
    <x v="4"/>
    <x v="0"/>
    <n v="5"/>
  </r>
  <r>
    <s v="ORD00127"/>
    <n v="45783.00677083333"/>
    <x v="98"/>
    <s v="Bandung"/>
    <s v="Garam - Brand A"/>
    <x v="5"/>
    <x v="2"/>
    <n v="4000"/>
    <n v="4"/>
    <n v="20"/>
    <n v="16000"/>
    <n v="3200"/>
    <n v="12800"/>
    <n v="0"/>
    <n v="12800"/>
    <x v="2"/>
    <s v="Completed"/>
    <x v="0"/>
    <n v="3"/>
    <s v="Perempuan"/>
    <x v="4"/>
    <x v="0"/>
    <n v="5"/>
  </r>
  <r>
    <s v="ORD00489"/>
    <n v="45783.035254629627"/>
    <x v="308"/>
    <s v="Jayapura"/>
    <s v="Bawang Merah - Brand A"/>
    <x v="3"/>
    <x v="2"/>
    <n v="30000"/>
    <n v="2"/>
    <n v="0"/>
    <n v="60000"/>
    <n v="0"/>
    <n v="60000"/>
    <n v="30000"/>
    <n v="90000"/>
    <x v="3"/>
    <s v="Completed"/>
    <x v="1"/>
    <n v="2"/>
    <s v="Perempuan"/>
    <x v="4"/>
    <x v="0"/>
    <n v="5"/>
  </r>
  <r>
    <s v="ORD00489"/>
    <n v="45783.035254629627"/>
    <x v="308"/>
    <s v="Jayapura"/>
    <s v="Tepung Terigu - Brand A"/>
    <x v="2"/>
    <x v="2"/>
    <n v="10000"/>
    <n v="3"/>
    <n v="15"/>
    <n v="30000"/>
    <n v="4500"/>
    <n v="25500"/>
    <n v="0"/>
    <n v="25500"/>
    <x v="3"/>
    <s v="Completed"/>
    <x v="1"/>
    <n v="2"/>
    <s v="Perempuan"/>
    <x v="4"/>
    <x v="0"/>
    <n v="5"/>
  </r>
  <r>
    <s v="ORD01161"/>
    <n v="45783.286585648151"/>
    <x v="238"/>
    <s v="Manokwari"/>
    <s v="Bawang Merah - Brand C"/>
    <x v="3"/>
    <x v="0"/>
    <n v="40000"/>
    <n v="5"/>
    <n v="20"/>
    <n v="200000"/>
    <n v="40000"/>
    <n v="160000"/>
    <n v="18000"/>
    <n v="178000"/>
    <x v="0"/>
    <s v="Completed"/>
    <x v="4"/>
    <n v="4"/>
    <s v="Perempuan"/>
    <x v="4"/>
    <x v="0"/>
    <n v="5"/>
  </r>
  <r>
    <s v="ORD01379"/>
    <n v="45783.322337962964"/>
    <x v="309"/>
    <s v="Manokwari"/>
    <s v="Garam - Brand C"/>
    <x v="5"/>
    <x v="0"/>
    <n v="6000"/>
    <n v="5"/>
    <n v="0"/>
    <n v="30000"/>
    <n v="0"/>
    <n v="30000"/>
    <n v="18000"/>
    <n v="48000"/>
    <x v="0"/>
    <s v="Completed"/>
    <x v="2"/>
    <n v="1"/>
    <s v="Perempuan"/>
    <x v="4"/>
    <x v="0"/>
    <n v="5"/>
  </r>
  <r>
    <s v="ORD01111"/>
    <n v="45783.414594907408"/>
    <x v="310"/>
    <s v="Jambi"/>
    <s v="Beras - Brand B"/>
    <x v="0"/>
    <x v="1"/>
    <n v="15000"/>
    <n v="3"/>
    <n v="5"/>
    <n v="45000"/>
    <n v="2250"/>
    <n v="42750"/>
    <n v="87000"/>
    <n v="129750"/>
    <x v="0"/>
    <s v="Completed"/>
    <x v="2"/>
    <n v="2"/>
    <s v="Perempuan"/>
    <x v="4"/>
    <x v="0"/>
    <n v="5"/>
  </r>
  <r>
    <s v="ORD01164"/>
    <n v="45783.724490740737"/>
    <x v="311"/>
    <s v="Jayapura"/>
    <s v="Daging Ayam - Brand A"/>
    <x v="1"/>
    <x v="2"/>
    <n v="35000"/>
    <n v="5"/>
    <n v="10"/>
    <n v="175000"/>
    <n v="17500"/>
    <n v="157500"/>
    <n v="30000"/>
    <n v="187500"/>
    <x v="3"/>
    <s v="Completed"/>
    <x v="0"/>
    <n v="5"/>
    <s v="Perempuan"/>
    <x v="4"/>
    <x v="0"/>
    <n v="5"/>
  </r>
  <r>
    <s v="ORD00396"/>
    <n v="45783.753206018519"/>
    <x v="127"/>
    <s v="Banda Aceh"/>
    <s v="Beras - Brand B"/>
    <x v="0"/>
    <x v="1"/>
    <n v="15000"/>
    <n v="3"/>
    <n v="0"/>
    <n v="45000"/>
    <n v="0"/>
    <n v="45000"/>
    <n v="18000"/>
    <n v="63000"/>
    <x v="0"/>
    <s v="Completed"/>
    <x v="4"/>
    <n v="1"/>
    <s v="Perempuan"/>
    <x v="4"/>
    <x v="0"/>
    <n v="5"/>
  </r>
  <r>
    <s v="ORD01629"/>
    <n v="45783.977777777778"/>
    <x v="204"/>
    <s v="Pontianak"/>
    <s v="Tepung Terigu - Brand A"/>
    <x v="2"/>
    <x v="2"/>
    <n v="10000"/>
    <n v="2"/>
    <n v="15"/>
    <n v="20000"/>
    <n v="3000"/>
    <n v="17000"/>
    <n v="85000"/>
    <n v="102000"/>
    <x v="2"/>
    <s v="Returned"/>
    <x v="4"/>
    <n v="3"/>
    <s v="Perempuan"/>
    <x v="4"/>
    <x v="0"/>
    <n v="5"/>
  </r>
  <r>
    <s v="ORD00079"/>
    <n v="45784.302152777767"/>
    <x v="263"/>
    <s v="Medan"/>
    <s v="Telur Ayam - Brand C"/>
    <x v="4"/>
    <x v="0"/>
    <n v="28000"/>
    <n v="5"/>
    <n v="0"/>
    <n v="140000"/>
    <n v="0"/>
    <n v="140000"/>
    <n v="79000"/>
    <n v="219000"/>
    <x v="1"/>
    <s v="Completed"/>
    <x v="4"/>
    <n v="3"/>
    <s v="Laki-laki"/>
    <x v="4"/>
    <x v="0"/>
    <n v="5"/>
  </r>
  <r>
    <s v="ORD00079"/>
    <n v="45784.302152777767"/>
    <x v="263"/>
    <s v="Medan"/>
    <s v="Telur Ayam - Brand B"/>
    <x v="4"/>
    <x v="1"/>
    <n v="25000"/>
    <n v="4"/>
    <n v="0"/>
    <n v="100000"/>
    <n v="0"/>
    <n v="100000"/>
    <n v="0"/>
    <n v="100000"/>
    <x v="1"/>
    <s v="Completed"/>
    <x v="4"/>
    <n v="3"/>
    <s v="Laki-laki"/>
    <x v="4"/>
    <x v="0"/>
    <n v="5"/>
  </r>
  <r>
    <s v="ORD00965"/>
    <n v="45784.679629629631"/>
    <x v="260"/>
    <s v="Manado"/>
    <s v="Susu Bubuk - Brand C"/>
    <x v="7"/>
    <x v="0"/>
    <n v="55000"/>
    <n v="3"/>
    <n v="10"/>
    <n v="165000"/>
    <n v="16500"/>
    <n v="148500"/>
    <n v="93000"/>
    <n v="241500"/>
    <x v="2"/>
    <s v="Completed"/>
    <x v="3"/>
    <n v="2"/>
    <s v="Laki-laki"/>
    <x v="4"/>
    <x v="0"/>
    <n v="5"/>
  </r>
  <r>
    <s v="ORD00492"/>
    <n v="45784.88071759259"/>
    <x v="312"/>
    <s v="Pontianak"/>
    <s v="Beras - Brand A"/>
    <x v="0"/>
    <x v="2"/>
    <n v="14000"/>
    <n v="3"/>
    <n v="5"/>
    <n v="42000"/>
    <n v="2100"/>
    <n v="39900"/>
    <n v="85000"/>
    <n v="124900"/>
    <x v="0"/>
    <s v="Completed"/>
    <x v="4"/>
    <n v="3"/>
    <s v="Perempuan"/>
    <x v="4"/>
    <x v="0"/>
    <n v="5"/>
  </r>
  <r>
    <s v="ORD01378"/>
    <n v="45785.124386574083"/>
    <x v="198"/>
    <s v="Semarang"/>
    <s v="Gula Pasir - Brand C"/>
    <x v="6"/>
    <x v="0"/>
    <n v="18000"/>
    <n v="1"/>
    <n v="20"/>
    <n v="18000"/>
    <n v="3600"/>
    <n v="14400"/>
    <n v="76000"/>
    <n v="90400"/>
    <x v="0"/>
    <s v="Completed"/>
    <x v="0"/>
    <n v="4"/>
    <s v="Perempuan"/>
    <x v="4"/>
    <x v="0"/>
    <n v="5"/>
  </r>
  <r>
    <s v="ORD00639"/>
    <n v="45785.138206018521"/>
    <x v="313"/>
    <s v="Banda Aceh"/>
    <s v="Beras - Brand A"/>
    <x v="0"/>
    <x v="2"/>
    <n v="14000"/>
    <n v="5"/>
    <n v="0"/>
    <n v="70000"/>
    <n v="0"/>
    <n v="70000"/>
    <n v="18000"/>
    <n v="88000"/>
    <x v="1"/>
    <s v="Returned"/>
    <x v="2"/>
    <n v="4"/>
    <s v="Perempuan"/>
    <x v="4"/>
    <x v="0"/>
    <n v="5"/>
  </r>
  <r>
    <s v="ORD01339"/>
    <n v="45785.758344907408"/>
    <x v="253"/>
    <s v="Tanjung Selor"/>
    <s v="Tepung Terigu - Brand B"/>
    <x v="2"/>
    <x v="1"/>
    <n v="12000"/>
    <n v="1"/>
    <n v="15"/>
    <n v="12000"/>
    <n v="1800"/>
    <n v="10200"/>
    <n v="26000"/>
    <n v="36200"/>
    <x v="3"/>
    <s v="Completed"/>
    <x v="0"/>
    <n v="1"/>
    <s v="Perempuan"/>
    <x v="4"/>
    <x v="0"/>
    <n v="5"/>
  </r>
  <r>
    <s v="ORD00368"/>
    <n v="45785.785474537042"/>
    <x v="314"/>
    <s v="Jayapura"/>
    <s v="Susu Bubuk - Brand A"/>
    <x v="7"/>
    <x v="2"/>
    <n v="45000"/>
    <n v="4"/>
    <n v="10"/>
    <n v="180000"/>
    <n v="18000"/>
    <n v="162000"/>
    <n v="30000"/>
    <n v="192000"/>
    <x v="1"/>
    <s v="Completed"/>
    <x v="1"/>
    <n v="1"/>
    <s v="Perempuan"/>
    <x v="4"/>
    <x v="0"/>
    <n v="5"/>
  </r>
  <r>
    <s v="ORD00351"/>
    <n v="45785.834872685176"/>
    <x v="278"/>
    <s v="Yogyakarta"/>
    <s v="Tepung Terigu - Brand C"/>
    <x v="2"/>
    <x v="0"/>
    <n v="14000"/>
    <n v="2"/>
    <n v="15"/>
    <n v="28000"/>
    <n v="4200"/>
    <n v="23800"/>
    <n v="78000"/>
    <n v="101800"/>
    <x v="0"/>
    <s v="Completed"/>
    <x v="0"/>
    <n v="4"/>
    <s v="Perempuan"/>
    <x v="4"/>
    <x v="0"/>
    <n v="5"/>
  </r>
  <r>
    <s v="ORD00351"/>
    <n v="45785.834872685176"/>
    <x v="278"/>
    <s v="Yogyakarta"/>
    <s v="Garam - Brand C"/>
    <x v="5"/>
    <x v="0"/>
    <n v="6000"/>
    <n v="3"/>
    <n v="10"/>
    <n v="18000"/>
    <n v="1800"/>
    <n v="16200"/>
    <n v="0"/>
    <n v="16200"/>
    <x v="0"/>
    <s v="Completed"/>
    <x v="0"/>
    <n v="4"/>
    <s v="Perempuan"/>
    <x v="4"/>
    <x v="0"/>
    <n v="5"/>
  </r>
  <r>
    <s v="ORD01719"/>
    <n v="45785.866412037038"/>
    <x v="10"/>
    <s v="Mataram"/>
    <s v="Daging Ayam - Brand A"/>
    <x v="1"/>
    <x v="2"/>
    <n v="35000"/>
    <n v="1"/>
    <n v="5"/>
    <n v="35000"/>
    <n v="1750"/>
    <n v="33250"/>
    <n v="56000"/>
    <n v="89250"/>
    <x v="1"/>
    <s v="Completed"/>
    <x v="2"/>
    <n v="2"/>
    <s v="Perempuan"/>
    <x v="4"/>
    <x v="0"/>
    <n v="5"/>
  </r>
  <r>
    <s v="ORD00896"/>
    <n v="45785.898449074077"/>
    <x v="315"/>
    <s v="Semarang"/>
    <s v="Susu Bubuk - Brand A"/>
    <x v="7"/>
    <x v="2"/>
    <n v="45000"/>
    <n v="3"/>
    <n v="10"/>
    <n v="135000"/>
    <n v="13500"/>
    <n v="121500"/>
    <n v="76000"/>
    <n v="197500"/>
    <x v="0"/>
    <s v="Completed"/>
    <x v="2"/>
    <n v="2"/>
    <s v="Perempuan"/>
    <x v="4"/>
    <x v="0"/>
    <n v="5"/>
  </r>
  <r>
    <s v="ORD01687"/>
    <n v="45786.137766203698"/>
    <x v="316"/>
    <s v="Manokwari"/>
    <s v="Susu Bubuk - Brand A"/>
    <x v="7"/>
    <x v="2"/>
    <n v="45000"/>
    <n v="3"/>
    <n v="10"/>
    <n v="135000"/>
    <n v="13500"/>
    <n v="121500"/>
    <n v="18000"/>
    <n v="139500"/>
    <x v="2"/>
    <s v="Completed"/>
    <x v="0"/>
    <n v="1"/>
    <s v="Laki-laki"/>
    <x v="4"/>
    <x v="0"/>
    <n v="5"/>
  </r>
  <r>
    <s v="ORD00505"/>
    <n v="45786.397569444453"/>
    <x v="25"/>
    <s v="Bandar Lampung"/>
    <s v="Beras - Brand B"/>
    <x v="0"/>
    <x v="1"/>
    <n v="15000"/>
    <n v="2"/>
    <n v="15"/>
    <n v="30000"/>
    <n v="4500"/>
    <n v="25500"/>
    <n v="28000"/>
    <n v="53500"/>
    <x v="1"/>
    <s v="Returned"/>
    <x v="3"/>
    <n v="5"/>
    <s v="Perempuan"/>
    <x v="4"/>
    <x v="0"/>
    <n v="5"/>
  </r>
  <r>
    <s v="ORD01204"/>
    <n v="45786.459502314807"/>
    <x v="214"/>
    <s v="Ambon"/>
    <s v="Daging Ayam - Brand A"/>
    <x v="1"/>
    <x v="2"/>
    <n v="35000"/>
    <n v="2"/>
    <n v="10"/>
    <n v="70000"/>
    <n v="7000"/>
    <n v="63000"/>
    <n v="49000"/>
    <n v="112000"/>
    <x v="3"/>
    <s v="Completed"/>
    <x v="3"/>
    <n v="2"/>
    <s v="Laki-laki"/>
    <x v="4"/>
    <x v="0"/>
    <n v="5"/>
  </r>
  <r>
    <s v="ORD00502"/>
    <n v="45786.465185185189"/>
    <x v="198"/>
    <s v="Semarang"/>
    <s v="Daging Ayam - Brand A"/>
    <x v="1"/>
    <x v="2"/>
    <n v="35000"/>
    <n v="5"/>
    <n v="20"/>
    <n v="175000"/>
    <n v="35000"/>
    <n v="140000"/>
    <n v="76000"/>
    <n v="216000"/>
    <x v="0"/>
    <s v="Completed"/>
    <x v="2"/>
    <n v="4"/>
    <s v="Perempuan"/>
    <x v="4"/>
    <x v="0"/>
    <n v="5"/>
  </r>
  <r>
    <s v="ORD00258"/>
    <n v="45786.621874999997"/>
    <x v="282"/>
    <s v="Banjarbaru"/>
    <s v="Daging Ayam - Brand B"/>
    <x v="1"/>
    <x v="1"/>
    <n v="40000"/>
    <n v="4"/>
    <n v="20"/>
    <n v="160000"/>
    <n v="32000"/>
    <n v="128000"/>
    <n v="55000"/>
    <n v="183000"/>
    <x v="2"/>
    <s v="Completed"/>
    <x v="1"/>
    <n v="4"/>
    <s v="Perempuan"/>
    <x v="4"/>
    <x v="0"/>
    <n v="5"/>
  </r>
  <r>
    <s v="ORD00881"/>
    <n v="45786.793541666673"/>
    <x v="317"/>
    <s v="Bengkulu"/>
    <s v="Gula Pasir - Brand C"/>
    <x v="6"/>
    <x v="0"/>
    <n v="18000"/>
    <n v="1"/>
    <n v="15"/>
    <n v="18000"/>
    <n v="2700"/>
    <n v="15300"/>
    <n v="72000"/>
    <n v="87300"/>
    <x v="1"/>
    <s v="Completed"/>
    <x v="2"/>
    <n v="4"/>
    <s v="Perempuan"/>
    <x v="4"/>
    <x v="0"/>
    <n v="5"/>
  </r>
  <r>
    <s v="ORD00899"/>
    <n v="45786.961157407408"/>
    <x v="173"/>
    <s v="Sofifi"/>
    <s v="Susu Bubuk - Brand B"/>
    <x v="7"/>
    <x v="1"/>
    <n v="50000"/>
    <n v="2"/>
    <n v="5"/>
    <n v="100000"/>
    <n v="5000"/>
    <n v="95000"/>
    <n v="50000"/>
    <n v="145000"/>
    <x v="2"/>
    <s v="Completed"/>
    <x v="2"/>
    <n v="5"/>
    <s v="Perempuan"/>
    <x v="4"/>
    <x v="0"/>
    <n v="5"/>
  </r>
  <r>
    <s v="ORD00456"/>
    <n v="45787.08699074074"/>
    <x v="44"/>
    <s v="Jakarta"/>
    <s v="Tepung Terigu - Brand C"/>
    <x v="2"/>
    <x v="0"/>
    <n v="14000"/>
    <n v="1"/>
    <n v="20"/>
    <n v="14000"/>
    <n v="2800"/>
    <n v="11200"/>
    <n v="97000"/>
    <n v="108200"/>
    <x v="2"/>
    <s v="Completed"/>
    <x v="0"/>
    <n v="4"/>
    <s v="Perempuan"/>
    <x v="4"/>
    <x v="0"/>
    <n v="5"/>
  </r>
  <r>
    <s v="ORD00456"/>
    <n v="45787.08699074074"/>
    <x v="44"/>
    <s v="Jakarta"/>
    <s v="Minyak Goreng - Brand B"/>
    <x v="8"/>
    <x v="1"/>
    <n v="17000"/>
    <n v="4"/>
    <n v="5"/>
    <n v="68000"/>
    <n v="3400"/>
    <n v="64600"/>
    <n v="0"/>
    <n v="64600"/>
    <x v="2"/>
    <s v="Completed"/>
    <x v="0"/>
    <n v="4"/>
    <s v="Perempuan"/>
    <x v="4"/>
    <x v="0"/>
    <n v="5"/>
  </r>
  <r>
    <s v="ORD00688"/>
    <n v="45787.290150462963"/>
    <x v="318"/>
    <s v="Jayapura"/>
    <s v="Minyak Goreng - Brand B"/>
    <x v="8"/>
    <x v="1"/>
    <n v="17000"/>
    <n v="5"/>
    <n v="5"/>
    <n v="85000"/>
    <n v="4250"/>
    <n v="80750"/>
    <n v="30000"/>
    <n v="110750"/>
    <x v="3"/>
    <s v="Returned"/>
    <x v="0"/>
    <n v="4"/>
    <s v="Perempuan"/>
    <x v="4"/>
    <x v="0"/>
    <n v="5"/>
  </r>
  <r>
    <s v="ORD00329"/>
    <n v="45787.356238425928"/>
    <x v="270"/>
    <s v="Pekanbaru"/>
    <s v="Beras - Brand A"/>
    <x v="0"/>
    <x v="2"/>
    <n v="14000"/>
    <n v="3"/>
    <n v="20"/>
    <n v="42000"/>
    <n v="8400"/>
    <n v="33600"/>
    <n v="49000"/>
    <n v="82600"/>
    <x v="2"/>
    <s v="Returned"/>
    <x v="0"/>
    <n v="3"/>
    <s v="Perempuan"/>
    <x v="4"/>
    <x v="0"/>
    <n v="5"/>
  </r>
  <r>
    <s v="ORD00797"/>
    <n v="45787.442708333343"/>
    <x v="191"/>
    <s v="Banda Aceh"/>
    <s v="Beras - Brand A"/>
    <x v="0"/>
    <x v="2"/>
    <n v="14000"/>
    <n v="5"/>
    <n v="15"/>
    <n v="70000"/>
    <n v="10500"/>
    <n v="59500"/>
    <n v="18000"/>
    <n v="77500"/>
    <x v="3"/>
    <s v="Returned"/>
    <x v="2"/>
    <n v="3"/>
    <s v="Laki-laki"/>
    <x v="4"/>
    <x v="0"/>
    <n v="5"/>
  </r>
  <r>
    <s v="ORD00032"/>
    <n v="45787.513912037037"/>
    <x v="146"/>
    <s v="Banda Aceh"/>
    <s v="Susu Bubuk - Brand B"/>
    <x v="7"/>
    <x v="1"/>
    <n v="50000"/>
    <n v="1"/>
    <n v="20"/>
    <n v="50000"/>
    <n v="10000"/>
    <n v="40000"/>
    <n v="18000"/>
    <n v="58000"/>
    <x v="3"/>
    <s v="Completed"/>
    <x v="2"/>
    <n v="3"/>
    <s v="Laki-laki"/>
    <x v="4"/>
    <x v="0"/>
    <n v="5"/>
  </r>
  <r>
    <s v="ORD00579"/>
    <n v="45787.592395833337"/>
    <x v="258"/>
    <s v="Palu"/>
    <s v="Garam - Brand A"/>
    <x v="5"/>
    <x v="2"/>
    <n v="4000"/>
    <n v="4"/>
    <n v="5"/>
    <n v="16000"/>
    <n v="800"/>
    <n v="15200"/>
    <n v="67000"/>
    <n v="82200"/>
    <x v="3"/>
    <s v="Completed"/>
    <x v="3"/>
    <n v="3"/>
    <s v="Perempuan"/>
    <x v="4"/>
    <x v="0"/>
    <n v="5"/>
  </r>
  <r>
    <s v="ORD01862"/>
    <n v="45787.920972222222"/>
    <x v="127"/>
    <s v="Banda Aceh"/>
    <s v="Minyak Goreng - Brand A"/>
    <x v="8"/>
    <x v="2"/>
    <n v="16000"/>
    <n v="4"/>
    <n v="0"/>
    <n v="64000"/>
    <n v="0"/>
    <n v="64000"/>
    <n v="18000"/>
    <n v="82000"/>
    <x v="3"/>
    <s v="Completed"/>
    <x v="1"/>
    <n v="3"/>
    <s v="Perempuan"/>
    <x v="4"/>
    <x v="0"/>
    <n v="5"/>
  </r>
  <r>
    <s v="ORD01812"/>
    <n v="45787.959178240737"/>
    <x v="230"/>
    <s v="Manokwari"/>
    <s v="Daging Ayam - Brand A"/>
    <x v="1"/>
    <x v="2"/>
    <n v="35000"/>
    <n v="2"/>
    <n v="20"/>
    <n v="70000"/>
    <n v="14000"/>
    <n v="56000"/>
    <n v="18000"/>
    <n v="74000"/>
    <x v="2"/>
    <s v="Completed"/>
    <x v="4"/>
    <n v="1"/>
    <s v="Perempuan"/>
    <x v="4"/>
    <x v="0"/>
    <n v="5"/>
  </r>
  <r>
    <s v="ORD00385"/>
    <n v="45788.053587962961"/>
    <x v="230"/>
    <s v="Manokwari"/>
    <s v="Beras - Brand B"/>
    <x v="0"/>
    <x v="1"/>
    <n v="15000"/>
    <n v="5"/>
    <n v="20"/>
    <n v="75000"/>
    <n v="15000"/>
    <n v="60000"/>
    <n v="18000"/>
    <n v="78000"/>
    <x v="1"/>
    <s v="Completed"/>
    <x v="4"/>
    <n v="1"/>
    <s v="Perempuan"/>
    <x v="4"/>
    <x v="0"/>
    <n v="5"/>
  </r>
  <r>
    <s v="ORD01446"/>
    <n v="45788.124224537038"/>
    <x v="237"/>
    <s v="Pekanbaru"/>
    <s v="Telur Ayam - Brand B"/>
    <x v="4"/>
    <x v="1"/>
    <n v="25000"/>
    <n v="4"/>
    <n v="20"/>
    <n v="100000"/>
    <n v="20000"/>
    <n v="80000"/>
    <n v="49000"/>
    <n v="129000"/>
    <x v="0"/>
    <s v="Completed"/>
    <x v="0"/>
    <n v="1"/>
    <s v="Laki-laki"/>
    <x v="4"/>
    <x v="0"/>
    <n v="5"/>
  </r>
  <r>
    <s v="ORD00384"/>
    <n v="45788.335069444453"/>
    <x v="180"/>
    <s v="Pangkalpinang"/>
    <s v="Minyak Goreng - Brand B"/>
    <x v="8"/>
    <x v="1"/>
    <n v="17000"/>
    <n v="3"/>
    <n v="15"/>
    <n v="51000"/>
    <n v="7650"/>
    <n v="43350"/>
    <n v="18000"/>
    <n v="61350"/>
    <x v="0"/>
    <s v="Returned"/>
    <x v="1"/>
    <n v="5"/>
    <s v="Perempuan"/>
    <x v="4"/>
    <x v="0"/>
    <n v="5"/>
  </r>
  <r>
    <s v="ORD00384"/>
    <n v="45788.335069444453"/>
    <x v="180"/>
    <s v="Pangkalpinang"/>
    <s v="Susu Bubuk - Brand A"/>
    <x v="7"/>
    <x v="2"/>
    <n v="45000"/>
    <n v="3"/>
    <n v="10"/>
    <n v="135000"/>
    <n v="13500"/>
    <n v="121500"/>
    <n v="0"/>
    <n v="121500"/>
    <x v="0"/>
    <s v="Returned"/>
    <x v="1"/>
    <n v="5"/>
    <s v="Perempuan"/>
    <x v="4"/>
    <x v="0"/>
    <n v="5"/>
  </r>
  <r>
    <s v="ORD00630"/>
    <n v="45788.349826388891"/>
    <x v="319"/>
    <s v="Pangkalpinang"/>
    <s v="Susu Bubuk - Brand B"/>
    <x v="7"/>
    <x v="1"/>
    <n v="50000"/>
    <n v="4"/>
    <n v="10"/>
    <n v="200000"/>
    <n v="20000"/>
    <n v="180000"/>
    <n v="18000"/>
    <n v="198000"/>
    <x v="1"/>
    <s v="Completed"/>
    <x v="4"/>
    <n v="1"/>
    <s v="Laki-laki"/>
    <x v="4"/>
    <x v="0"/>
    <n v="5"/>
  </r>
  <r>
    <s v="ORD00848"/>
    <n v="45788.352199074077"/>
    <x v="118"/>
    <s v="Serang"/>
    <s v="Minyak Goreng - Brand B"/>
    <x v="8"/>
    <x v="1"/>
    <n v="17000"/>
    <n v="4"/>
    <n v="15"/>
    <n v="68000"/>
    <n v="10200"/>
    <n v="57800"/>
    <n v="57000"/>
    <n v="114800"/>
    <x v="1"/>
    <s v="Completed"/>
    <x v="2"/>
    <n v="4"/>
    <s v="Laki-laki"/>
    <x v="4"/>
    <x v="0"/>
    <n v="5"/>
  </r>
  <r>
    <s v="ORD01663"/>
    <n v="45789.496990740743"/>
    <x v="83"/>
    <s v="Mataram"/>
    <s v="Gula Pasir - Brand A"/>
    <x v="6"/>
    <x v="2"/>
    <n v="16000"/>
    <n v="2"/>
    <n v="20"/>
    <n v="32000"/>
    <n v="6400"/>
    <n v="25600"/>
    <n v="56000"/>
    <n v="81600"/>
    <x v="1"/>
    <s v="Completed"/>
    <x v="0"/>
    <n v="4"/>
    <s v="Perempuan"/>
    <x v="4"/>
    <x v="0"/>
    <n v="5"/>
  </r>
  <r>
    <s v="ORD01486"/>
    <n v="45789.524062500001"/>
    <x v="32"/>
    <s v="Surabaya"/>
    <s v="Susu Bubuk - Brand B"/>
    <x v="7"/>
    <x v="1"/>
    <n v="50000"/>
    <n v="2"/>
    <n v="15"/>
    <n v="100000"/>
    <n v="15000"/>
    <n v="85000"/>
    <n v="74000"/>
    <n v="159000"/>
    <x v="2"/>
    <s v="Returned"/>
    <x v="1"/>
    <n v="2"/>
    <s v="Perempuan"/>
    <x v="4"/>
    <x v="0"/>
    <n v="5"/>
  </r>
  <r>
    <s v="ORD00673"/>
    <n v="45789.529050925928"/>
    <x v="232"/>
    <s v="Banjarbaru"/>
    <s v="Garam - Brand B"/>
    <x v="5"/>
    <x v="1"/>
    <n v="5000"/>
    <n v="2"/>
    <n v="20"/>
    <n v="10000"/>
    <n v="2000"/>
    <n v="8000"/>
    <n v="55000"/>
    <n v="63000"/>
    <x v="1"/>
    <s v="Returned"/>
    <x v="3"/>
    <n v="5"/>
    <s v="Laki-laki"/>
    <x v="4"/>
    <x v="0"/>
    <n v="5"/>
  </r>
  <r>
    <s v="ORD00491"/>
    <n v="45789.548402777778"/>
    <x v="283"/>
    <s v="Samarinda"/>
    <s v="Telur Ayam - Brand C"/>
    <x v="4"/>
    <x v="0"/>
    <n v="28000"/>
    <n v="4"/>
    <n v="0"/>
    <n v="112000"/>
    <n v="0"/>
    <n v="112000"/>
    <n v="43000"/>
    <n v="155000"/>
    <x v="3"/>
    <s v="Returned"/>
    <x v="4"/>
    <n v="4"/>
    <s v="Perempuan"/>
    <x v="4"/>
    <x v="0"/>
    <n v="5"/>
  </r>
  <r>
    <s v="ORD00672"/>
    <n v="45789.681458333333"/>
    <x v="235"/>
    <s v="Banjarbaru"/>
    <s v="Beras - Brand C"/>
    <x v="0"/>
    <x v="0"/>
    <n v="16000"/>
    <n v="5"/>
    <n v="5"/>
    <n v="80000"/>
    <n v="4000"/>
    <n v="76000"/>
    <n v="55000"/>
    <n v="131000"/>
    <x v="3"/>
    <s v="Returned"/>
    <x v="4"/>
    <n v="3"/>
    <s v="Perempuan"/>
    <x v="4"/>
    <x v="0"/>
    <n v="5"/>
  </r>
  <r>
    <s v="ORD01779"/>
    <n v="45789.765416666669"/>
    <x v="0"/>
    <s v="Sorong"/>
    <s v="Bawang Merah - Brand B"/>
    <x v="3"/>
    <x v="1"/>
    <n v="35000"/>
    <n v="3"/>
    <n v="15"/>
    <n v="105000"/>
    <n v="15750"/>
    <n v="89250"/>
    <n v="87000"/>
    <n v="176250"/>
    <x v="2"/>
    <s v="Returned"/>
    <x v="2"/>
    <n v="2"/>
    <s v="Perempuan"/>
    <x v="4"/>
    <x v="0"/>
    <n v="5"/>
  </r>
  <r>
    <s v="ORD00060"/>
    <n v="45789.803368055553"/>
    <x v="156"/>
    <s v="Gorontalo"/>
    <s v="Gula Pasir - Brand A"/>
    <x v="6"/>
    <x v="2"/>
    <n v="16000"/>
    <n v="5"/>
    <n v="20"/>
    <n v="80000"/>
    <n v="16000"/>
    <n v="64000"/>
    <n v="80000"/>
    <n v="144000"/>
    <x v="2"/>
    <s v="Completed"/>
    <x v="0"/>
    <n v="3"/>
    <s v="Laki-laki"/>
    <x v="4"/>
    <x v="0"/>
    <n v="5"/>
  </r>
  <r>
    <s v="ORD00990"/>
    <n v="45790.20107638889"/>
    <x v="4"/>
    <s v="Surabaya"/>
    <s v="Daging Ayam - Brand C"/>
    <x v="1"/>
    <x v="0"/>
    <n v="45000"/>
    <n v="3"/>
    <n v="0"/>
    <n v="135000"/>
    <n v="0"/>
    <n v="135000"/>
    <n v="74000"/>
    <n v="209000"/>
    <x v="1"/>
    <s v="Completed"/>
    <x v="3"/>
    <n v="4"/>
    <s v="Perempuan"/>
    <x v="4"/>
    <x v="0"/>
    <n v="5"/>
  </r>
  <r>
    <s v="ORD00648"/>
    <n v="45790.235763888893"/>
    <x v="320"/>
    <s v="Jambi"/>
    <s v="Daging Ayam - Brand C"/>
    <x v="1"/>
    <x v="0"/>
    <n v="45000"/>
    <n v="3"/>
    <n v="10"/>
    <n v="135000"/>
    <n v="13500"/>
    <n v="121500"/>
    <n v="87000"/>
    <n v="208500"/>
    <x v="0"/>
    <s v="Returned"/>
    <x v="3"/>
    <n v="5"/>
    <s v="Laki-laki"/>
    <x v="4"/>
    <x v="0"/>
    <n v="5"/>
  </r>
  <r>
    <s v="ORD01140"/>
    <n v="45790.341597222221"/>
    <x v="275"/>
    <s v="Mataram"/>
    <s v="Tepung Terigu - Brand A"/>
    <x v="2"/>
    <x v="2"/>
    <n v="10000"/>
    <n v="3"/>
    <n v="0"/>
    <n v="30000"/>
    <n v="0"/>
    <n v="30000"/>
    <n v="56000"/>
    <n v="86000"/>
    <x v="2"/>
    <s v="Completed"/>
    <x v="1"/>
    <n v="5"/>
    <s v="Laki-laki"/>
    <x v="4"/>
    <x v="0"/>
    <n v="5"/>
  </r>
  <r>
    <s v="ORD01333"/>
    <n v="45790.422546296293"/>
    <x v="89"/>
    <s v="Yogyakarta"/>
    <s v="Daging Ayam - Brand A"/>
    <x v="1"/>
    <x v="2"/>
    <n v="35000"/>
    <n v="4"/>
    <n v="10"/>
    <n v="140000"/>
    <n v="14000"/>
    <n v="126000"/>
    <n v="78000"/>
    <n v="204000"/>
    <x v="1"/>
    <s v="Cancelled"/>
    <x v="0"/>
    <n v="5"/>
    <s v="Perempuan"/>
    <x v="4"/>
    <x v="0"/>
    <n v="5"/>
  </r>
  <r>
    <s v="ORD00582"/>
    <n v="45790.43476851852"/>
    <x v="285"/>
    <s v="Pontianak"/>
    <s v="Garam - Brand C"/>
    <x v="5"/>
    <x v="0"/>
    <n v="6000"/>
    <n v="4"/>
    <n v="10"/>
    <n v="24000"/>
    <n v="2400"/>
    <n v="21600"/>
    <n v="85000"/>
    <n v="106600"/>
    <x v="0"/>
    <s v="Completed"/>
    <x v="3"/>
    <n v="2"/>
    <s v="Laki-laki"/>
    <x v="4"/>
    <x v="0"/>
    <n v="5"/>
  </r>
  <r>
    <s v="ORD00209"/>
    <n v="45790.56994212963"/>
    <x v="85"/>
    <s v="Bandung"/>
    <s v="Gula Pasir - Brand B"/>
    <x v="6"/>
    <x v="1"/>
    <n v="17000"/>
    <n v="1"/>
    <n v="10"/>
    <n v="17000"/>
    <n v="1700"/>
    <n v="15300"/>
    <n v="0"/>
    <n v="15300"/>
    <x v="2"/>
    <s v="Returned"/>
    <x v="1"/>
    <n v="2"/>
    <s v="Perempuan"/>
    <x v="4"/>
    <x v="0"/>
    <n v="5"/>
  </r>
  <r>
    <s v="ORD00209"/>
    <n v="45790.56994212963"/>
    <x v="85"/>
    <s v="Bandung"/>
    <s v="Gula Pasir - Brand C"/>
    <x v="6"/>
    <x v="0"/>
    <n v="18000"/>
    <n v="2"/>
    <n v="5"/>
    <n v="36000"/>
    <n v="1800"/>
    <n v="34200"/>
    <n v="0"/>
    <n v="34200"/>
    <x v="2"/>
    <s v="Returned"/>
    <x v="1"/>
    <n v="2"/>
    <s v="Perempuan"/>
    <x v="4"/>
    <x v="0"/>
    <n v="5"/>
  </r>
  <r>
    <s v="ORD00802"/>
    <n v="45790.58525462963"/>
    <x v="321"/>
    <s v="Yogyakarta"/>
    <s v="Tepung Terigu - Brand B"/>
    <x v="2"/>
    <x v="1"/>
    <n v="12000"/>
    <n v="5"/>
    <n v="5"/>
    <n v="60000"/>
    <n v="3000"/>
    <n v="57000"/>
    <n v="78000"/>
    <n v="135000"/>
    <x v="2"/>
    <s v="Completed"/>
    <x v="3"/>
    <n v="1"/>
    <s v="Perempuan"/>
    <x v="4"/>
    <x v="0"/>
    <n v="5"/>
  </r>
  <r>
    <s v="ORD00350"/>
    <n v="45790.722812499997"/>
    <x v="221"/>
    <s v="Manado"/>
    <s v="Gula Pasir - Brand A"/>
    <x v="6"/>
    <x v="2"/>
    <n v="16000"/>
    <n v="2"/>
    <n v="20"/>
    <n v="32000"/>
    <n v="6400"/>
    <n v="25600"/>
    <n v="93000"/>
    <n v="118600"/>
    <x v="3"/>
    <s v="Completed"/>
    <x v="3"/>
    <n v="5"/>
    <s v="Perempuan"/>
    <x v="4"/>
    <x v="0"/>
    <n v="5"/>
  </r>
  <r>
    <s v="ORD01362"/>
    <n v="45790.800150462957"/>
    <x v="259"/>
    <s v="Nabire"/>
    <s v="Telur Ayam - Brand A"/>
    <x v="4"/>
    <x v="2"/>
    <n v="22000"/>
    <n v="3"/>
    <n v="0"/>
    <n v="66000"/>
    <n v="0"/>
    <n v="66000"/>
    <n v="89000"/>
    <n v="155000"/>
    <x v="3"/>
    <s v="Returned"/>
    <x v="1"/>
    <n v="4"/>
    <s v="Perempuan"/>
    <x v="4"/>
    <x v="0"/>
    <n v="5"/>
  </r>
  <r>
    <s v="ORD01408"/>
    <n v="45791.034675925926"/>
    <x v="158"/>
    <s v="Kupang"/>
    <s v="Minyak Goreng - Brand C"/>
    <x v="8"/>
    <x v="0"/>
    <n v="18000"/>
    <n v="3"/>
    <n v="10"/>
    <n v="54000"/>
    <n v="5400"/>
    <n v="48600"/>
    <n v="21000"/>
    <n v="69600"/>
    <x v="2"/>
    <s v="Returned"/>
    <x v="4"/>
    <n v="5"/>
    <s v="Perempuan"/>
    <x v="4"/>
    <x v="0"/>
    <n v="5"/>
  </r>
  <r>
    <s v="ORD01075"/>
    <n v="45791.093263888892"/>
    <x v="322"/>
    <s v="Jakarta"/>
    <s v="Susu Bubuk - Brand B"/>
    <x v="7"/>
    <x v="1"/>
    <n v="50000"/>
    <n v="3"/>
    <n v="10"/>
    <n v="150000"/>
    <n v="15000"/>
    <n v="135000"/>
    <n v="97000"/>
    <n v="232000"/>
    <x v="1"/>
    <s v="Completed"/>
    <x v="0"/>
    <n v="2"/>
    <s v="Laki-laki"/>
    <x v="4"/>
    <x v="0"/>
    <n v="5"/>
  </r>
  <r>
    <s v="ORD00309"/>
    <n v="45791.246180555558"/>
    <x v="189"/>
    <s v="Medan"/>
    <s v="Minyak Goreng - Brand A"/>
    <x v="8"/>
    <x v="2"/>
    <n v="16000"/>
    <n v="1"/>
    <n v="0"/>
    <n v="16000"/>
    <n v="0"/>
    <n v="16000"/>
    <n v="79000"/>
    <n v="95000"/>
    <x v="2"/>
    <s v="Completed"/>
    <x v="0"/>
    <n v="4"/>
    <s v="Perempuan"/>
    <x v="4"/>
    <x v="0"/>
    <n v="5"/>
  </r>
  <r>
    <s v="ORD00309"/>
    <n v="45791.246180555558"/>
    <x v="189"/>
    <s v="Medan"/>
    <s v="Tepung Terigu - Brand A"/>
    <x v="2"/>
    <x v="2"/>
    <n v="10000"/>
    <n v="1"/>
    <n v="5"/>
    <n v="10000"/>
    <n v="500"/>
    <n v="9500"/>
    <n v="0"/>
    <n v="9500"/>
    <x v="2"/>
    <s v="Completed"/>
    <x v="0"/>
    <n v="4"/>
    <s v="Perempuan"/>
    <x v="4"/>
    <x v="0"/>
    <n v="5"/>
  </r>
  <r>
    <s v="ORD00742"/>
    <n v="45791.257627314822"/>
    <x v="323"/>
    <s v="Medan"/>
    <s v="Beras - Brand C"/>
    <x v="0"/>
    <x v="0"/>
    <n v="16000"/>
    <n v="5"/>
    <n v="20"/>
    <n v="80000"/>
    <n v="16000"/>
    <n v="64000"/>
    <n v="79000"/>
    <n v="143000"/>
    <x v="2"/>
    <s v="Completed"/>
    <x v="3"/>
    <n v="2"/>
    <s v="Laki-laki"/>
    <x v="4"/>
    <x v="0"/>
    <n v="5"/>
  </r>
  <r>
    <s v="ORD00195"/>
    <n v="45791.301724537043"/>
    <x v="248"/>
    <s v="Makassar"/>
    <s v="Gula Pasir - Brand A"/>
    <x v="6"/>
    <x v="2"/>
    <n v="16000"/>
    <n v="1"/>
    <n v="15"/>
    <n v="16000"/>
    <n v="2400"/>
    <n v="13600"/>
    <n v="84000"/>
    <n v="97600"/>
    <x v="3"/>
    <s v="Completed"/>
    <x v="2"/>
    <n v="4"/>
    <s v="Perempuan"/>
    <x v="4"/>
    <x v="0"/>
    <n v="5"/>
  </r>
  <r>
    <s v="ORD01112"/>
    <n v="45791.439097222217"/>
    <x v="77"/>
    <s v="Medan"/>
    <s v="Garam - Brand C"/>
    <x v="5"/>
    <x v="0"/>
    <n v="6000"/>
    <n v="2"/>
    <n v="20"/>
    <n v="12000"/>
    <n v="2400"/>
    <n v="9600"/>
    <n v="79000"/>
    <n v="88600"/>
    <x v="3"/>
    <s v="Completed"/>
    <x v="2"/>
    <n v="3"/>
    <s v="Laki-laki"/>
    <x v="4"/>
    <x v="0"/>
    <n v="5"/>
  </r>
  <r>
    <s v="ORD01354"/>
    <n v="45791.512048611112"/>
    <x v="73"/>
    <s v="Pekanbaru"/>
    <s v="Beras - Brand C"/>
    <x v="0"/>
    <x v="0"/>
    <n v="16000"/>
    <n v="5"/>
    <n v="0"/>
    <n v="80000"/>
    <n v="0"/>
    <n v="80000"/>
    <n v="49000"/>
    <n v="129000"/>
    <x v="1"/>
    <s v="Completed"/>
    <x v="1"/>
    <n v="4"/>
    <s v="Perempuan"/>
    <x v="4"/>
    <x v="0"/>
    <n v="5"/>
  </r>
  <r>
    <s v="ORD00048"/>
    <n v="45791.52002314815"/>
    <x v="324"/>
    <s v="Samarinda"/>
    <s v="Tepung Terigu - Brand B"/>
    <x v="2"/>
    <x v="1"/>
    <n v="12000"/>
    <n v="5"/>
    <n v="5"/>
    <n v="60000"/>
    <n v="3000"/>
    <n v="57000"/>
    <n v="43000"/>
    <n v="100000"/>
    <x v="0"/>
    <s v="Cancelled"/>
    <x v="2"/>
    <n v="5"/>
    <s v="Laki-laki"/>
    <x v="4"/>
    <x v="0"/>
    <n v="5"/>
  </r>
  <r>
    <s v="ORD00998"/>
    <n v="45791.562789351847"/>
    <x v="231"/>
    <s v="Jambi"/>
    <s v="Gula Pasir - Brand C"/>
    <x v="6"/>
    <x v="0"/>
    <n v="18000"/>
    <n v="5"/>
    <n v="5"/>
    <n v="90000"/>
    <n v="4500"/>
    <n v="85500"/>
    <n v="87000"/>
    <n v="172500"/>
    <x v="1"/>
    <s v="Completed"/>
    <x v="3"/>
    <n v="3"/>
    <s v="Perempuan"/>
    <x v="4"/>
    <x v="0"/>
    <n v="5"/>
  </r>
  <r>
    <s v="ORD01203"/>
    <n v="45791.686967592592"/>
    <x v="219"/>
    <s v="Denpasar"/>
    <s v="Tepung Terigu - Brand C"/>
    <x v="2"/>
    <x v="0"/>
    <n v="14000"/>
    <n v="2"/>
    <n v="15"/>
    <n v="28000"/>
    <n v="4200"/>
    <n v="23800"/>
    <n v="80000"/>
    <n v="103800"/>
    <x v="2"/>
    <s v="Completed"/>
    <x v="1"/>
    <n v="5"/>
    <s v="Laki-laki"/>
    <x v="4"/>
    <x v="0"/>
    <n v="5"/>
  </r>
  <r>
    <s v="ORD01130"/>
    <n v="45791.735127314823"/>
    <x v="285"/>
    <s v="Pontianak"/>
    <s v="Minyak Goreng - Brand B"/>
    <x v="8"/>
    <x v="1"/>
    <n v="17000"/>
    <n v="5"/>
    <n v="10"/>
    <n v="85000"/>
    <n v="8500"/>
    <n v="76500"/>
    <n v="85000"/>
    <n v="161500"/>
    <x v="0"/>
    <s v="Completed"/>
    <x v="3"/>
    <n v="3"/>
    <s v="Laki-laki"/>
    <x v="4"/>
    <x v="0"/>
    <n v="5"/>
  </r>
  <r>
    <s v="ORD01784"/>
    <n v="45792.079675925917"/>
    <x v="37"/>
    <s v="Jakarta"/>
    <s v="Bawang Merah - Brand B"/>
    <x v="3"/>
    <x v="1"/>
    <n v="35000"/>
    <n v="4"/>
    <n v="20"/>
    <n v="140000"/>
    <n v="28000"/>
    <n v="112000"/>
    <n v="97000"/>
    <n v="209000"/>
    <x v="2"/>
    <s v="Completed"/>
    <x v="1"/>
    <n v="3"/>
    <s v="Perempuan"/>
    <x v="4"/>
    <x v="0"/>
    <n v="5"/>
  </r>
  <r>
    <s v="ORD01080"/>
    <n v="45792.082291666673"/>
    <x v="55"/>
    <s v="Pangkalpinang"/>
    <s v="Telur Ayam - Brand A"/>
    <x v="4"/>
    <x v="2"/>
    <n v="22000"/>
    <n v="3"/>
    <n v="10"/>
    <n v="66000"/>
    <n v="6600"/>
    <n v="59400"/>
    <n v="18000"/>
    <n v="77400"/>
    <x v="1"/>
    <s v="Completed"/>
    <x v="0"/>
    <n v="3"/>
    <s v="Laki-laki"/>
    <x v="4"/>
    <x v="0"/>
    <n v="5"/>
  </r>
  <r>
    <s v="ORD01717"/>
    <n v="45792.312106481477"/>
    <x v="38"/>
    <s v="Kendari"/>
    <s v="Garam - Brand B"/>
    <x v="5"/>
    <x v="1"/>
    <n v="5000"/>
    <n v="5"/>
    <n v="5"/>
    <n v="25000"/>
    <n v="1250"/>
    <n v="23750"/>
    <n v="59000"/>
    <n v="82750"/>
    <x v="3"/>
    <s v="Completed"/>
    <x v="3"/>
    <n v="4"/>
    <s v="Laki-laki"/>
    <x v="4"/>
    <x v="0"/>
    <n v="5"/>
  </r>
  <r>
    <s v="ORD00417"/>
    <n v="45792.342673611107"/>
    <x v="174"/>
    <s v="Wamena"/>
    <s v="Gula Pasir - Brand A"/>
    <x v="6"/>
    <x v="2"/>
    <n v="16000"/>
    <n v="3"/>
    <n v="15"/>
    <n v="48000"/>
    <n v="7200"/>
    <n v="40800"/>
    <n v="15000"/>
    <n v="55800"/>
    <x v="0"/>
    <s v="Completed"/>
    <x v="3"/>
    <n v="2"/>
    <s v="Perempuan"/>
    <x v="4"/>
    <x v="0"/>
    <n v="5"/>
  </r>
  <r>
    <s v="ORD00417"/>
    <n v="45792.342673611107"/>
    <x v="174"/>
    <s v="Wamena"/>
    <s v="Susu Bubuk - Brand C"/>
    <x v="7"/>
    <x v="0"/>
    <n v="55000"/>
    <n v="3"/>
    <n v="10"/>
    <n v="165000"/>
    <n v="16500"/>
    <n v="148500"/>
    <n v="0"/>
    <n v="148500"/>
    <x v="0"/>
    <s v="Completed"/>
    <x v="3"/>
    <n v="2"/>
    <s v="Perempuan"/>
    <x v="4"/>
    <x v="0"/>
    <n v="5"/>
  </r>
  <r>
    <s v="ORD00158"/>
    <n v="45792.569108796299"/>
    <x v="165"/>
    <s v="Samarinda"/>
    <s v="Daging Ayam - Brand A"/>
    <x v="1"/>
    <x v="2"/>
    <n v="35000"/>
    <n v="4"/>
    <n v="0"/>
    <n v="140000"/>
    <n v="0"/>
    <n v="140000"/>
    <n v="43000"/>
    <n v="183000"/>
    <x v="2"/>
    <s v="Completed"/>
    <x v="2"/>
    <n v="3"/>
    <s v="Perempuan"/>
    <x v="4"/>
    <x v="0"/>
    <n v="5"/>
  </r>
  <r>
    <s v="ORD00924"/>
    <n v="45792.624212962961"/>
    <x v="234"/>
    <s v="Tanjung Selor"/>
    <s v="Tepung Terigu - Brand A"/>
    <x v="2"/>
    <x v="2"/>
    <n v="10000"/>
    <n v="1"/>
    <n v="5"/>
    <n v="10000"/>
    <n v="500"/>
    <n v="9500"/>
    <n v="26000"/>
    <n v="35500"/>
    <x v="3"/>
    <s v="Completed"/>
    <x v="3"/>
    <n v="4"/>
    <s v="Perempuan"/>
    <x v="4"/>
    <x v="0"/>
    <n v="5"/>
  </r>
  <r>
    <s v="ORD00122"/>
    <n v="45792.682291666657"/>
    <x v="325"/>
    <s v="Tanjungpinang"/>
    <s v="Daging Ayam - Brand C"/>
    <x v="1"/>
    <x v="0"/>
    <n v="45000"/>
    <n v="4"/>
    <n v="10"/>
    <n v="180000"/>
    <n v="18000"/>
    <n v="162000"/>
    <n v="48000"/>
    <n v="210000"/>
    <x v="0"/>
    <s v="Completed"/>
    <x v="4"/>
    <n v="3"/>
    <s v="Perempuan"/>
    <x v="4"/>
    <x v="0"/>
    <n v="5"/>
  </r>
  <r>
    <s v="ORD00122"/>
    <n v="45792.682291666657"/>
    <x v="325"/>
    <s v="Tanjungpinang"/>
    <s v="Bawang Merah - Brand A"/>
    <x v="3"/>
    <x v="2"/>
    <n v="30000"/>
    <n v="1"/>
    <n v="10"/>
    <n v="30000"/>
    <n v="3000"/>
    <n v="27000"/>
    <n v="0"/>
    <n v="27000"/>
    <x v="0"/>
    <s v="Completed"/>
    <x v="4"/>
    <n v="3"/>
    <s v="Perempuan"/>
    <x v="4"/>
    <x v="0"/>
    <n v="5"/>
  </r>
  <r>
    <s v="ORD01393"/>
    <n v="45792.786874999998"/>
    <x v="87"/>
    <s v="Palu"/>
    <s v="Minyak Goreng - Brand A"/>
    <x v="8"/>
    <x v="2"/>
    <n v="16000"/>
    <n v="1"/>
    <n v="10"/>
    <n v="16000"/>
    <n v="1600"/>
    <n v="14400"/>
    <n v="67000"/>
    <n v="81400"/>
    <x v="3"/>
    <s v="Completed"/>
    <x v="1"/>
    <n v="2"/>
    <s v="Perempuan"/>
    <x v="4"/>
    <x v="0"/>
    <n v="5"/>
  </r>
  <r>
    <s v="ORD01469"/>
    <n v="45793.144826388889"/>
    <x v="81"/>
    <s v="Nabire"/>
    <s v="Minyak Goreng - Brand A"/>
    <x v="8"/>
    <x v="2"/>
    <n v="16000"/>
    <n v="1"/>
    <n v="0"/>
    <n v="16000"/>
    <n v="0"/>
    <n v="16000"/>
    <n v="89000"/>
    <n v="105000"/>
    <x v="1"/>
    <s v="Completed"/>
    <x v="0"/>
    <n v="5"/>
    <s v="Perempuan"/>
    <x v="4"/>
    <x v="0"/>
    <n v="5"/>
  </r>
  <r>
    <s v="ORD01195"/>
    <n v="45793.158506944441"/>
    <x v="308"/>
    <s v="Jayapura"/>
    <s v="Beras - Brand B"/>
    <x v="0"/>
    <x v="1"/>
    <n v="15000"/>
    <n v="3"/>
    <n v="5"/>
    <n v="45000"/>
    <n v="2250"/>
    <n v="42750"/>
    <n v="30000"/>
    <n v="72750"/>
    <x v="1"/>
    <s v="Completed"/>
    <x v="3"/>
    <n v="2"/>
    <s v="Perempuan"/>
    <x v="4"/>
    <x v="0"/>
    <n v="5"/>
  </r>
  <r>
    <s v="ORD01754"/>
    <n v="45793.745891203696"/>
    <x v="269"/>
    <s v="Merauke"/>
    <s v="Gula Pasir - Brand C"/>
    <x v="6"/>
    <x v="0"/>
    <n v="18000"/>
    <n v="4"/>
    <n v="15"/>
    <n v="72000"/>
    <n v="10800"/>
    <n v="61200"/>
    <n v="59000"/>
    <n v="120200"/>
    <x v="2"/>
    <s v="Returned"/>
    <x v="2"/>
    <n v="4"/>
    <s v="Perempuan"/>
    <x v="4"/>
    <x v="0"/>
    <n v="5"/>
  </r>
  <r>
    <s v="ORD01609"/>
    <n v="45793.898761574077"/>
    <x v="25"/>
    <s v="Bandar Lampung"/>
    <s v="Bawang Merah - Brand B"/>
    <x v="3"/>
    <x v="1"/>
    <n v="35000"/>
    <n v="1"/>
    <n v="15"/>
    <n v="35000"/>
    <n v="5250"/>
    <n v="29750"/>
    <n v="28000"/>
    <n v="57750"/>
    <x v="1"/>
    <s v="Completed"/>
    <x v="1"/>
    <n v="4"/>
    <s v="Perempuan"/>
    <x v="4"/>
    <x v="0"/>
    <n v="5"/>
  </r>
  <r>
    <s v="ORD00877"/>
    <n v="45793.992638888893"/>
    <x v="326"/>
    <s v="Gorontalo"/>
    <s v="Susu Bubuk - Brand C"/>
    <x v="7"/>
    <x v="0"/>
    <n v="55000"/>
    <n v="4"/>
    <n v="15"/>
    <n v="220000"/>
    <n v="33000"/>
    <n v="187000"/>
    <n v="80000"/>
    <n v="267000"/>
    <x v="0"/>
    <s v="Completed"/>
    <x v="3"/>
    <n v="2"/>
    <s v="Perempuan"/>
    <x v="4"/>
    <x v="0"/>
    <n v="5"/>
  </r>
  <r>
    <s v="ORD00707"/>
    <n v="45794.427870370368"/>
    <x v="203"/>
    <s v="Kendari"/>
    <s v="Gula Pasir - Brand C"/>
    <x v="6"/>
    <x v="0"/>
    <n v="18000"/>
    <n v="1"/>
    <n v="10"/>
    <n v="18000"/>
    <n v="1800"/>
    <n v="16200"/>
    <n v="59000"/>
    <n v="75200"/>
    <x v="2"/>
    <s v="Completed"/>
    <x v="4"/>
    <n v="2"/>
    <s v="Perempuan"/>
    <x v="4"/>
    <x v="0"/>
    <n v="5"/>
  </r>
  <r>
    <s v="ORD00554"/>
    <n v="45794.592037037037"/>
    <x v="51"/>
    <s v="Bandung"/>
    <s v="Daging Ayam - Brand A"/>
    <x v="1"/>
    <x v="2"/>
    <n v="35000"/>
    <n v="4"/>
    <n v="20"/>
    <n v="140000"/>
    <n v="28000"/>
    <n v="112000"/>
    <n v="0"/>
    <n v="112000"/>
    <x v="1"/>
    <s v="Returned"/>
    <x v="2"/>
    <n v="1"/>
    <s v="Perempuan"/>
    <x v="4"/>
    <x v="0"/>
    <n v="5"/>
  </r>
  <r>
    <s v="ORD00484"/>
    <n v="45794.908113425918"/>
    <x v="327"/>
    <s v="Pekanbaru"/>
    <s v="Susu Bubuk - Brand A"/>
    <x v="7"/>
    <x v="2"/>
    <n v="45000"/>
    <n v="4"/>
    <n v="15"/>
    <n v="180000"/>
    <n v="27000"/>
    <n v="153000"/>
    <n v="49000"/>
    <n v="202000"/>
    <x v="3"/>
    <s v="Cancelled"/>
    <x v="2"/>
    <n v="3"/>
    <s v="Perempuan"/>
    <x v="4"/>
    <x v="0"/>
    <n v="5"/>
  </r>
  <r>
    <s v="ORD00097"/>
    <n v="45795.023715277777"/>
    <x v="323"/>
    <s v="Medan"/>
    <s v="Susu Bubuk - Brand B"/>
    <x v="7"/>
    <x v="1"/>
    <n v="50000"/>
    <n v="1"/>
    <n v="20"/>
    <n v="50000"/>
    <n v="10000"/>
    <n v="40000"/>
    <n v="79000"/>
    <n v="119000"/>
    <x v="0"/>
    <s v="Returned"/>
    <x v="4"/>
    <n v="4"/>
    <s v="Laki-laki"/>
    <x v="4"/>
    <x v="0"/>
    <n v="5"/>
  </r>
  <r>
    <s v="ORD00804"/>
    <n v="45795.204236111109"/>
    <x v="120"/>
    <s v="Mamuju"/>
    <s v="Minyak Goreng - Brand A"/>
    <x v="8"/>
    <x v="2"/>
    <n v="16000"/>
    <n v="2"/>
    <n v="15"/>
    <n v="32000"/>
    <n v="4800"/>
    <n v="27200"/>
    <n v="46000"/>
    <n v="73200"/>
    <x v="2"/>
    <s v="Completed"/>
    <x v="4"/>
    <n v="3"/>
    <s v="Perempuan"/>
    <x v="4"/>
    <x v="0"/>
    <n v="5"/>
  </r>
  <r>
    <s v="ORD01733"/>
    <n v="45795.617013888892"/>
    <x v="204"/>
    <s v="Pontianak"/>
    <s v="Minyak Goreng - Brand B"/>
    <x v="8"/>
    <x v="1"/>
    <n v="17000"/>
    <n v="2"/>
    <n v="5"/>
    <n v="34000"/>
    <n v="1700"/>
    <n v="32300"/>
    <n v="85000"/>
    <n v="117300"/>
    <x v="3"/>
    <s v="Completed"/>
    <x v="2"/>
    <n v="3"/>
    <s v="Perempuan"/>
    <x v="4"/>
    <x v="0"/>
    <n v="5"/>
  </r>
  <r>
    <s v="ORD01839"/>
    <n v="45795.916666666657"/>
    <x v="195"/>
    <s v="Pontianak"/>
    <s v="Minyak Goreng - Brand C"/>
    <x v="8"/>
    <x v="0"/>
    <n v="18000"/>
    <n v="3"/>
    <n v="5"/>
    <n v="54000"/>
    <n v="2700"/>
    <n v="51300"/>
    <n v="85000"/>
    <n v="136300"/>
    <x v="3"/>
    <s v="Completed"/>
    <x v="2"/>
    <n v="5"/>
    <s v="Perempuan"/>
    <x v="4"/>
    <x v="0"/>
    <n v="5"/>
  </r>
  <r>
    <s v="ORD01425"/>
    <n v="45795.935960648138"/>
    <x v="161"/>
    <s v="Gorontalo"/>
    <s v="Minyak Goreng - Brand B"/>
    <x v="8"/>
    <x v="1"/>
    <n v="17000"/>
    <n v="4"/>
    <n v="15"/>
    <n v="68000"/>
    <n v="10200"/>
    <n v="57800"/>
    <n v="80000"/>
    <n v="137800"/>
    <x v="3"/>
    <s v="Completed"/>
    <x v="1"/>
    <n v="4"/>
    <s v="Perempuan"/>
    <x v="4"/>
    <x v="0"/>
    <n v="5"/>
  </r>
  <r>
    <s v="ORD01174"/>
    <n v="45795.995428240742"/>
    <x v="83"/>
    <s v="Mataram"/>
    <s v="Susu Bubuk - Brand C"/>
    <x v="7"/>
    <x v="0"/>
    <n v="55000"/>
    <n v="3"/>
    <n v="5"/>
    <n v="165000"/>
    <n v="8250"/>
    <n v="156750"/>
    <n v="56000"/>
    <n v="212750"/>
    <x v="1"/>
    <s v="Completed"/>
    <x v="4"/>
    <n v="2"/>
    <s v="Perempuan"/>
    <x v="4"/>
    <x v="0"/>
    <n v="5"/>
  </r>
  <r>
    <s v="ORD00778"/>
    <n v="45796.087268518517"/>
    <x v="125"/>
    <s v="Palembang"/>
    <s v="Tepung Terigu - Brand C"/>
    <x v="2"/>
    <x v="0"/>
    <n v="14000"/>
    <n v="2"/>
    <n v="20"/>
    <n v="28000"/>
    <n v="5600"/>
    <n v="22400"/>
    <n v="17000"/>
    <n v="39400"/>
    <x v="1"/>
    <s v="Completed"/>
    <x v="3"/>
    <n v="3"/>
    <s v="Perempuan"/>
    <x v="4"/>
    <x v="0"/>
    <n v="5"/>
  </r>
  <r>
    <s v="ORD00637"/>
    <n v="45796.263101851851"/>
    <x v="56"/>
    <s v="Pangkalpinang"/>
    <s v="Daging Ayam - Brand B"/>
    <x v="1"/>
    <x v="1"/>
    <n v="40000"/>
    <n v="2"/>
    <n v="5"/>
    <n v="80000"/>
    <n v="4000"/>
    <n v="76000"/>
    <n v="18000"/>
    <n v="94000"/>
    <x v="2"/>
    <s v="Returned"/>
    <x v="3"/>
    <n v="5"/>
    <s v="Laki-laki"/>
    <x v="4"/>
    <x v="0"/>
    <n v="5"/>
  </r>
  <r>
    <s v="ORD01411"/>
    <n v="45796.744629629633"/>
    <x v="27"/>
    <s v="Sorong"/>
    <s v="Daging Ayam - Brand B"/>
    <x v="1"/>
    <x v="1"/>
    <n v="40000"/>
    <n v="1"/>
    <n v="0"/>
    <n v="40000"/>
    <n v="0"/>
    <n v="40000"/>
    <n v="87000"/>
    <n v="127000"/>
    <x v="1"/>
    <s v="Completed"/>
    <x v="3"/>
    <n v="2"/>
    <s v="Perempuan"/>
    <x v="4"/>
    <x v="0"/>
    <n v="5"/>
  </r>
  <r>
    <s v="ORD00116"/>
    <n v="45797.032719907409"/>
    <x v="310"/>
    <s v="Jambi"/>
    <s v="Garam - Brand A"/>
    <x v="5"/>
    <x v="2"/>
    <n v="4000"/>
    <n v="3"/>
    <n v="10"/>
    <n v="12000"/>
    <n v="1200"/>
    <n v="10800"/>
    <n v="87000"/>
    <n v="97800"/>
    <x v="3"/>
    <s v="Returned"/>
    <x v="4"/>
    <n v="5"/>
    <s v="Perempuan"/>
    <x v="4"/>
    <x v="0"/>
    <n v="5"/>
  </r>
  <r>
    <s v="ORD00459"/>
    <n v="45797.425219907411"/>
    <x v="224"/>
    <s v="Merauke"/>
    <s v="Tepung Terigu - Brand A"/>
    <x v="2"/>
    <x v="2"/>
    <n v="10000"/>
    <n v="3"/>
    <n v="0"/>
    <n v="30000"/>
    <n v="0"/>
    <n v="30000"/>
    <n v="59000"/>
    <n v="89000"/>
    <x v="0"/>
    <s v="Completed"/>
    <x v="4"/>
    <n v="3"/>
    <s v="Perempuan"/>
    <x v="4"/>
    <x v="0"/>
    <n v="5"/>
  </r>
  <r>
    <s v="ORD01326"/>
    <n v="45797.735833333332"/>
    <x v="69"/>
    <s v="Bandung"/>
    <s v="Bawang Merah - Brand B"/>
    <x v="3"/>
    <x v="1"/>
    <n v="35000"/>
    <n v="2"/>
    <n v="20"/>
    <n v="70000"/>
    <n v="14000"/>
    <n v="56000"/>
    <n v="0"/>
    <n v="56000"/>
    <x v="0"/>
    <s v="Returned"/>
    <x v="2"/>
    <n v="4"/>
    <s v="Perempuan"/>
    <x v="4"/>
    <x v="0"/>
    <n v="5"/>
  </r>
  <r>
    <s v="ORD00066"/>
    <n v="45797.861261574071"/>
    <x v="328"/>
    <s v="Palembang"/>
    <s v="Bawang Merah - Brand C"/>
    <x v="3"/>
    <x v="0"/>
    <n v="40000"/>
    <n v="1"/>
    <n v="15"/>
    <n v="40000"/>
    <n v="6000"/>
    <n v="34000"/>
    <n v="17000"/>
    <n v="51000"/>
    <x v="2"/>
    <s v="Completed"/>
    <x v="2"/>
    <n v="4"/>
    <s v="Laki-laki"/>
    <x v="4"/>
    <x v="0"/>
    <n v="5"/>
  </r>
  <r>
    <s v="ORD00501"/>
    <n v="45797.981851851851"/>
    <x v="314"/>
    <s v="Jayapura"/>
    <s v="Gula Pasir - Brand B"/>
    <x v="6"/>
    <x v="1"/>
    <n v="17000"/>
    <n v="3"/>
    <n v="15"/>
    <n v="51000"/>
    <n v="7650"/>
    <n v="43350"/>
    <n v="30000"/>
    <n v="73350"/>
    <x v="0"/>
    <s v="Completed"/>
    <x v="1"/>
    <n v="1"/>
    <s v="Perempuan"/>
    <x v="4"/>
    <x v="0"/>
    <n v="5"/>
  </r>
  <r>
    <s v="ORD01421"/>
    <n v="45798.410138888888"/>
    <x v="28"/>
    <s v="Bengkulu"/>
    <s v="Gula Pasir - Brand A"/>
    <x v="6"/>
    <x v="2"/>
    <n v="16000"/>
    <n v="3"/>
    <n v="20"/>
    <n v="48000"/>
    <n v="9600"/>
    <n v="38400"/>
    <n v="72000"/>
    <n v="110400"/>
    <x v="3"/>
    <s v="Returned"/>
    <x v="2"/>
    <n v="1"/>
    <s v="Perempuan"/>
    <x v="4"/>
    <x v="0"/>
    <n v="5"/>
  </r>
  <r>
    <s v="ORD00317"/>
    <n v="45798.515902777777"/>
    <x v="329"/>
    <s v="Ambon"/>
    <s v="Tepung Terigu - Brand B"/>
    <x v="2"/>
    <x v="1"/>
    <n v="12000"/>
    <n v="4"/>
    <n v="0"/>
    <n v="48000"/>
    <n v="0"/>
    <n v="48000"/>
    <n v="49000"/>
    <n v="97000"/>
    <x v="3"/>
    <s v="Completed"/>
    <x v="2"/>
    <n v="5"/>
    <s v="Perempuan"/>
    <x v="4"/>
    <x v="0"/>
    <n v="5"/>
  </r>
  <r>
    <s v="ORD01068"/>
    <n v="45798.735196759262"/>
    <x v="292"/>
    <s v="Pekanbaru"/>
    <s v="Telur Ayam - Brand B"/>
    <x v="4"/>
    <x v="1"/>
    <n v="25000"/>
    <n v="1"/>
    <n v="10"/>
    <n v="25000"/>
    <n v="2500"/>
    <n v="22500"/>
    <n v="49000"/>
    <n v="71500"/>
    <x v="0"/>
    <s v="Returned"/>
    <x v="2"/>
    <n v="1"/>
    <s v="Perempuan"/>
    <x v="4"/>
    <x v="0"/>
    <n v="5"/>
  </r>
  <r>
    <s v="ORD01747"/>
    <n v="45799.302233796298"/>
    <x v="134"/>
    <s v="Mamuju"/>
    <s v="Gula Pasir - Brand B"/>
    <x v="6"/>
    <x v="1"/>
    <n v="17000"/>
    <n v="4"/>
    <n v="5"/>
    <n v="68000"/>
    <n v="3400"/>
    <n v="64600"/>
    <n v="46000"/>
    <n v="110600"/>
    <x v="0"/>
    <s v="Completed"/>
    <x v="1"/>
    <n v="2"/>
    <s v="Perempuan"/>
    <x v="4"/>
    <x v="0"/>
    <n v="5"/>
  </r>
  <r>
    <s v="ORD01641"/>
    <n v="45799.39261574074"/>
    <x v="49"/>
    <s v="Tanjung Selor"/>
    <s v="Bawang Merah - Brand B"/>
    <x v="3"/>
    <x v="1"/>
    <n v="35000"/>
    <n v="4"/>
    <n v="10"/>
    <n v="140000"/>
    <n v="14000"/>
    <n v="126000"/>
    <n v="26000"/>
    <n v="152000"/>
    <x v="0"/>
    <s v="Cancelled"/>
    <x v="4"/>
    <n v="4"/>
    <s v="Perempuan"/>
    <x v="4"/>
    <x v="0"/>
    <n v="5"/>
  </r>
  <r>
    <s v="ORD00130"/>
    <n v="45799.662685185183"/>
    <x v="122"/>
    <s v="Palangka Raya"/>
    <s v="Tepung Terigu - Brand C"/>
    <x v="2"/>
    <x v="0"/>
    <n v="14000"/>
    <n v="5"/>
    <n v="5"/>
    <n v="70000"/>
    <n v="3500"/>
    <n v="66500"/>
    <n v="50000"/>
    <n v="116500"/>
    <x v="3"/>
    <s v="Completed"/>
    <x v="0"/>
    <n v="1"/>
    <s v="Perempuan"/>
    <x v="4"/>
    <x v="0"/>
    <n v="5"/>
  </r>
  <r>
    <s v="ORD00423"/>
    <n v="45799.76903935185"/>
    <x v="248"/>
    <s v="Makassar"/>
    <s v="Garam - Brand B"/>
    <x v="5"/>
    <x v="1"/>
    <n v="5000"/>
    <n v="4"/>
    <n v="5"/>
    <n v="20000"/>
    <n v="1000"/>
    <n v="19000"/>
    <n v="84000"/>
    <n v="103000"/>
    <x v="1"/>
    <s v="Completed"/>
    <x v="0"/>
    <n v="4"/>
    <s v="Perempuan"/>
    <x v="4"/>
    <x v="0"/>
    <n v="5"/>
  </r>
  <r>
    <s v="ORD00774"/>
    <n v="45799.893622685187"/>
    <x v="179"/>
    <s v="Samarinda"/>
    <s v="Beras - Brand A"/>
    <x v="0"/>
    <x v="2"/>
    <n v="14000"/>
    <n v="4"/>
    <n v="10"/>
    <n v="56000"/>
    <n v="5600"/>
    <n v="50400"/>
    <n v="43000"/>
    <n v="93400"/>
    <x v="2"/>
    <s v="Completed"/>
    <x v="4"/>
    <n v="2"/>
    <s v="Perempuan"/>
    <x v="4"/>
    <x v="0"/>
    <n v="5"/>
  </r>
  <r>
    <s v="ORD01709"/>
    <n v="45800.171909722223"/>
    <x v="159"/>
    <s v="Merauke"/>
    <s v="Gula Pasir - Brand B"/>
    <x v="6"/>
    <x v="1"/>
    <n v="17000"/>
    <n v="5"/>
    <n v="5"/>
    <n v="85000"/>
    <n v="4250"/>
    <n v="80750"/>
    <n v="59000"/>
    <n v="139750"/>
    <x v="3"/>
    <s v="Completed"/>
    <x v="4"/>
    <n v="3"/>
    <s v="Perempuan"/>
    <x v="4"/>
    <x v="0"/>
    <n v="5"/>
  </r>
  <r>
    <s v="ORD00636"/>
    <n v="45800.360254629632"/>
    <x v="199"/>
    <s v="Surabaya"/>
    <s v="Tepung Terigu - Brand C"/>
    <x v="2"/>
    <x v="0"/>
    <n v="14000"/>
    <n v="1"/>
    <n v="0"/>
    <n v="14000"/>
    <n v="0"/>
    <n v="14000"/>
    <n v="74000"/>
    <n v="88000"/>
    <x v="2"/>
    <s v="Completed"/>
    <x v="0"/>
    <n v="5"/>
    <s v="Perempuan"/>
    <x v="4"/>
    <x v="0"/>
    <n v="5"/>
  </r>
  <r>
    <s v="ORD00259"/>
    <n v="45800.374293981477"/>
    <x v="46"/>
    <s v="Surabaya"/>
    <s v="Gula Pasir - Brand C"/>
    <x v="6"/>
    <x v="0"/>
    <n v="18000"/>
    <n v="5"/>
    <n v="15"/>
    <n v="90000"/>
    <n v="13500"/>
    <n v="76500"/>
    <n v="74000"/>
    <n v="150500"/>
    <x v="1"/>
    <s v="Completed"/>
    <x v="1"/>
    <n v="5"/>
    <s v="Perempuan"/>
    <x v="4"/>
    <x v="0"/>
    <n v="5"/>
  </r>
  <r>
    <s v="ORD00259"/>
    <n v="45800.374293981477"/>
    <x v="46"/>
    <s v="Surabaya"/>
    <s v="Minyak Goreng - Brand A"/>
    <x v="8"/>
    <x v="2"/>
    <n v="16000"/>
    <n v="4"/>
    <n v="20"/>
    <n v="64000"/>
    <n v="12800"/>
    <n v="51200"/>
    <n v="0"/>
    <n v="51200"/>
    <x v="1"/>
    <s v="Completed"/>
    <x v="1"/>
    <n v="5"/>
    <s v="Perempuan"/>
    <x v="4"/>
    <x v="0"/>
    <n v="5"/>
  </r>
  <r>
    <s v="ORD01213"/>
    <n v="45800.840011574073"/>
    <x v="92"/>
    <s v="Yogyakarta"/>
    <s v="Beras - Brand C"/>
    <x v="0"/>
    <x v="0"/>
    <n v="16000"/>
    <n v="5"/>
    <n v="5"/>
    <n v="80000"/>
    <n v="4000"/>
    <n v="76000"/>
    <n v="78000"/>
    <n v="154000"/>
    <x v="1"/>
    <s v="Completed"/>
    <x v="3"/>
    <n v="5"/>
    <s v="Perempuan"/>
    <x v="4"/>
    <x v="0"/>
    <n v="5"/>
  </r>
  <r>
    <s v="ORD00319"/>
    <n v="45801.033738425933"/>
    <x v="330"/>
    <s v="Pontianak"/>
    <s v="Tepung Terigu - Brand C"/>
    <x v="2"/>
    <x v="0"/>
    <n v="14000"/>
    <n v="1"/>
    <n v="15"/>
    <n v="14000"/>
    <n v="2100"/>
    <n v="11900"/>
    <n v="85000"/>
    <n v="96900"/>
    <x v="1"/>
    <s v="Returned"/>
    <x v="3"/>
    <n v="1"/>
    <s v="Perempuan"/>
    <x v="4"/>
    <x v="0"/>
    <n v="5"/>
  </r>
  <r>
    <s v="ORD00319"/>
    <n v="45801.033738425933"/>
    <x v="330"/>
    <s v="Pontianak"/>
    <s v="Beras - Brand C"/>
    <x v="0"/>
    <x v="0"/>
    <n v="16000"/>
    <n v="4"/>
    <n v="10"/>
    <n v="64000"/>
    <n v="6400"/>
    <n v="57600"/>
    <n v="0"/>
    <n v="57600"/>
    <x v="1"/>
    <s v="Returned"/>
    <x v="3"/>
    <n v="1"/>
    <s v="Perempuan"/>
    <x v="4"/>
    <x v="0"/>
    <n v="5"/>
  </r>
  <r>
    <s v="ORD01227"/>
    <n v="45801.037743055553"/>
    <x v="3"/>
    <s v="Wamena"/>
    <s v="Tepung Terigu - Brand C"/>
    <x v="2"/>
    <x v="0"/>
    <n v="14000"/>
    <n v="1"/>
    <n v="10"/>
    <n v="14000"/>
    <n v="1400"/>
    <n v="12600"/>
    <n v="15000"/>
    <n v="27600"/>
    <x v="3"/>
    <s v="Completed"/>
    <x v="1"/>
    <n v="4"/>
    <s v="Perempuan"/>
    <x v="4"/>
    <x v="0"/>
    <n v="5"/>
  </r>
  <r>
    <s v="ORD01210"/>
    <n v="45801.344710648147"/>
    <x v="14"/>
    <s v="Jakarta"/>
    <s v="Garam - Brand B"/>
    <x v="5"/>
    <x v="1"/>
    <n v="5000"/>
    <n v="3"/>
    <n v="10"/>
    <n v="15000"/>
    <n v="1500"/>
    <n v="13500"/>
    <n v="97000"/>
    <n v="110500"/>
    <x v="0"/>
    <s v="Completed"/>
    <x v="3"/>
    <n v="2"/>
    <s v="Laki-laki"/>
    <x v="4"/>
    <x v="0"/>
    <n v="5"/>
  </r>
  <r>
    <s v="ORD01167"/>
    <n v="45801.76462962963"/>
    <x v="284"/>
    <s v="Pekanbaru"/>
    <s v="Gula Pasir - Brand B"/>
    <x v="6"/>
    <x v="1"/>
    <n v="17000"/>
    <n v="3"/>
    <n v="0"/>
    <n v="51000"/>
    <n v="0"/>
    <n v="51000"/>
    <n v="49000"/>
    <n v="100000"/>
    <x v="3"/>
    <s v="Returned"/>
    <x v="3"/>
    <n v="5"/>
    <s v="Perempuan"/>
    <x v="4"/>
    <x v="0"/>
    <n v="5"/>
  </r>
  <r>
    <s v="ORD01231"/>
    <n v="45801.808657407397"/>
    <x v="271"/>
    <s v="Bandung"/>
    <s v="Beras - Brand C"/>
    <x v="0"/>
    <x v="0"/>
    <n v="16000"/>
    <n v="5"/>
    <n v="0"/>
    <n v="80000"/>
    <n v="0"/>
    <n v="80000"/>
    <n v="0"/>
    <n v="80000"/>
    <x v="3"/>
    <s v="Completed"/>
    <x v="0"/>
    <n v="5"/>
    <s v="Perempuan"/>
    <x v="4"/>
    <x v="0"/>
    <n v="5"/>
  </r>
  <r>
    <s v="ORD01351"/>
    <n v="45801.997141203698"/>
    <x v="109"/>
    <s v="Banda Aceh"/>
    <s v="Tepung Terigu - Brand C"/>
    <x v="2"/>
    <x v="0"/>
    <n v="14000"/>
    <n v="5"/>
    <n v="15"/>
    <n v="70000"/>
    <n v="10500"/>
    <n v="59500"/>
    <n v="18000"/>
    <n v="77500"/>
    <x v="0"/>
    <s v="Completed"/>
    <x v="1"/>
    <n v="4"/>
    <s v="Perempuan"/>
    <x v="4"/>
    <x v="0"/>
    <n v="5"/>
  </r>
  <r>
    <s v="ORD00685"/>
    <n v="45802.425787037027"/>
    <x v="53"/>
    <s v="Pekanbaru"/>
    <s v="Gula Pasir - Brand C"/>
    <x v="6"/>
    <x v="0"/>
    <n v="18000"/>
    <n v="3"/>
    <n v="0"/>
    <n v="54000"/>
    <n v="0"/>
    <n v="54000"/>
    <n v="49000"/>
    <n v="103000"/>
    <x v="2"/>
    <s v="Returned"/>
    <x v="3"/>
    <n v="2"/>
    <s v="Perempuan"/>
    <x v="4"/>
    <x v="0"/>
    <n v="5"/>
  </r>
  <r>
    <s v="ORD00595"/>
    <n v="45802.638159722221"/>
    <x v="86"/>
    <s v="Padang"/>
    <s v="Daging Ayam - Brand C"/>
    <x v="1"/>
    <x v="0"/>
    <n v="45000"/>
    <n v="5"/>
    <n v="15"/>
    <n v="225000"/>
    <n v="33750"/>
    <n v="191250"/>
    <n v="68000"/>
    <n v="259250"/>
    <x v="3"/>
    <s v="Completed"/>
    <x v="1"/>
    <n v="4"/>
    <s v="Perempuan"/>
    <x v="4"/>
    <x v="0"/>
    <n v="5"/>
  </r>
  <r>
    <s v="ORD00518"/>
    <n v="45802.656712962962"/>
    <x v="69"/>
    <s v="Bandung"/>
    <s v="Garam - Brand C"/>
    <x v="5"/>
    <x v="0"/>
    <n v="6000"/>
    <n v="5"/>
    <n v="10"/>
    <n v="30000"/>
    <n v="3000"/>
    <n v="27000"/>
    <n v="0"/>
    <n v="27000"/>
    <x v="1"/>
    <s v="Completed"/>
    <x v="1"/>
    <n v="3"/>
    <s v="Perempuan"/>
    <x v="4"/>
    <x v="0"/>
    <n v="5"/>
  </r>
  <r>
    <s v="ORD00752"/>
    <n v="45802.660081018519"/>
    <x v="75"/>
    <s v="Manado"/>
    <s v="Tepung Terigu - Brand A"/>
    <x v="2"/>
    <x v="2"/>
    <n v="10000"/>
    <n v="1"/>
    <n v="10"/>
    <n v="10000"/>
    <n v="1000"/>
    <n v="9000"/>
    <n v="93000"/>
    <n v="102000"/>
    <x v="0"/>
    <s v="Returned"/>
    <x v="4"/>
    <n v="5"/>
    <s v="Perempuan"/>
    <x v="4"/>
    <x v="0"/>
    <n v="5"/>
  </r>
  <r>
    <s v="ORD01532"/>
    <n v="45802.77516203704"/>
    <x v="331"/>
    <s v="Pekanbaru"/>
    <s v="Susu Bubuk - Brand B"/>
    <x v="7"/>
    <x v="1"/>
    <n v="50000"/>
    <n v="1"/>
    <n v="20"/>
    <n v="50000"/>
    <n v="10000"/>
    <n v="40000"/>
    <n v="49000"/>
    <n v="89000"/>
    <x v="3"/>
    <s v="Returned"/>
    <x v="0"/>
    <n v="4"/>
    <s v="Perempuan"/>
    <x v="4"/>
    <x v="0"/>
    <n v="5"/>
  </r>
  <r>
    <s v="ORD00343"/>
    <n v="45802.920034722221"/>
    <x v="246"/>
    <s v="Jakarta"/>
    <s v="Tepung Terigu - Brand B"/>
    <x v="2"/>
    <x v="1"/>
    <n v="12000"/>
    <n v="3"/>
    <n v="0"/>
    <n v="36000"/>
    <n v="0"/>
    <n v="36000"/>
    <n v="97000"/>
    <n v="133000"/>
    <x v="1"/>
    <s v="Completed"/>
    <x v="4"/>
    <n v="1"/>
    <s v="Perempuan"/>
    <x v="4"/>
    <x v="0"/>
    <n v="5"/>
  </r>
  <r>
    <s v="ORD00682"/>
    <n v="45802.923831018517"/>
    <x v="13"/>
    <s v="Tanjungpinang"/>
    <s v="Tepung Terigu - Brand B"/>
    <x v="2"/>
    <x v="1"/>
    <n v="12000"/>
    <n v="1"/>
    <n v="10"/>
    <n v="12000"/>
    <n v="1200"/>
    <n v="10800"/>
    <n v="48000"/>
    <n v="58800"/>
    <x v="2"/>
    <s v="Completed"/>
    <x v="3"/>
    <n v="2"/>
    <s v="Perempuan"/>
    <x v="4"/>
    <x v="0"/>
    <n v="5"/>
  </r>
  <r>
    <s v="ORD01064"/>
    <n v="45803.088113425933"/>
    <x v="221"/>
    <s v="Manado"/>
    <s v="Gula Pasir - Brand A"/>
    <x v="6"/>
    <x v="2"/>
    <n v="16000"/>
    <n v="2"/>
    <n v="5"/>
    <n v="32000"/>
    <n v="1600"/>
    <n v="30400"/>
    <n v="93000"/>
    <n v="123400"/>
    <x v="2"/>
    <s v="Completed"/>
    <x v="3"/>
    <n v="1"/>
    <s v="Perempuan"/>
    <x v="4"/>
    <x v="0"/>
    <n v="5"/>
  </r>
  <r>
    <s v="ORD00057"/>
    <n v="45803.117256944453"/>
    <x v="147"/>
    <s v="Gorontalo"/>
    <s v="Garam - Brand C"/>
    <x v="5"/>
    <x v="0"/>
    <n v="6000"/>
    <n v="4"/>
    <n v="0"/>
    <n v="24000"/>
    <n v="0"/>
    <n v="24000"/>
    <n v="80000"/>
    <n v="104000"/>
    <x v="1"/>
    <s v="Cancelled"/>
    <x v="0"/>
    <n v="1"/>
    <s v="Laki-laki"/>
    <x v="4"/>
    <x v="0"/>
    <n v="5"/>
  </r>
  <r>
    <s v="ORD00057"/>
    <n v="45803.117256944453"/>
    <x v="147"/>
    <s v="Gorontalo"/>
    <s v="Susu Bubuk - Brand B"/>
    <x v="7"/>
    <x v="1"/>
    <n v="50000"/>
    <n v="3"/>
    <n v="10"/>
    <n v="150000"/>
    <n v="15000"/>
    <n v="135000"/>
    <n v="0"/>
    <n v="135000"/>
    <x v="1"/>
    <s v="Cancelled"/>
    <x v="0"/>
    <n v="1"/>
    <s v="Laki-laki"/>
    <x v="4"/>
    <x v="0"/>
    <n v="5"/>
  </r>
  <r>
    <s v="ORD00135"/>
    <n v="45803.139768518522"/>
    <x v="182"/>
    <s v="Pangkalpinang"/>
    <s v="Gula Pasir - Brand A"/>
    <x v="6"/>
    <x v="2"/>
    <n v="16000"/>
    <n v="5"/>
    <n v="15"/>
    <n v="80000"/>
    <n v="12000"/>
    <n v="68000"/>
    <n v="18000"/>
    <n v="86000"/>
    <x v="2"/>
    <s v="Completed"/>
    <x v="2"/>
    <n v="5"/>
    <s v="Perempuan"/>
    <x v="4"/>
    <x v="0"/>
    <n v="5"/>
  </r>
  <r>
    <s v="ORD01267"/>
    <n v="45803.195162037038"/>
    <x v="29"/>
    <s v="Bandung"/>
    <s v="Tepung Terigu - Brand C"/>
    <x v="2"/>
    <x v="0"/>
    <n v="14000"/>
    <n v="1"/>
    <n v="10"/>
    <n v="14000"/>
    <n v="1400"/>
    <n v="12600"/>
    <n v="0"/>
    <n v="12600"/>
    <x v="3"/>
    <s v="Completed"/>
    <x v="4"/>
    <n v="4"/>
    <s v="Laki-laki"/>
    <x v="4"/>
    <x v="0"/>
    <n v="5"/>
  </r>
  <r>
    <s v="ORD00247"/>
    <n v="45803.279699074083"/>
    <x v="21"/>
    <s v="Serang"/>
    <s v="Minyak Goreng - Brand B"/>
    <x v="8"/>
    <x v="1"/>
    <n v="17000"/>
    <n v="2"/>
    <n v="10"/>
    <n v="34000"/>
    <n v="3400"/>
    <n v="30600"/>
    <n v="57000"/>
    <n v="87600"/>
    <x v="3"/>
    <s v="Completed"/>
    <x v="1"/>
    <n v="3"/>
    <s v="Perempuan"/>
    <x v="4"/>
    <x v="0"/>
    <n v="5"/>
  </r>
  <r>
    <s v="ORD01086"/>
    <n v="45803.584502314807"/>
    <x v="163"/>
    <s v="Mamuju"/>
    <s v="Daging Ayam - Brand B"/>
    <x v="1"/>
    <x v="1"/>
    <n v="40000"/>
    <n v="4"/>
    <n v="20"/>
    <n v="160000"/>
    <n v="32000"/>
    <n v="128000"/>
    <n v="46000"/>
    <n v="174000"/>
    <x v="1"/>
    <s v="Returned"/>
    <x v="4"/>
    <n v="2"/>
    <s v="Perempuan"/>
    <x v="4"/>
    <x v="0"/>
    <n v="5"/>
  </r>
  <r>
    <s v="ORD01155"/>
    <n v="45803.98578703704"/>
    <x v="264"/>
    <s v="Pontianak"/>
    <s v="Minyak Goreng - Brand A"/>
    <x v="8"/>
    <x v="2"/>
    <n v="16000"/>
    <n v="4"/>
    <n v="5"/>
    <n v="64000"/>
    <n v="3200"/>
    <n v="60800"/>
    <n v="85000"/>
    <n v="145800"/>
    <x v="3"/>
    <s v="Completed"/>
    <x v="0"/>
    <n v="4"/>
    <s v="Perempuan"/>
    <x v="4"/>
    <x v="0"/>
    <n v="5"/>
  </r>
  <r>
    <s v="ORD01595"/>
    <n v="45804.007256944453"/>
    <x v="34"/>
    <s v="Semarang"/>
    <s v="Minyak Goreng - Brand A"/>
    <x v="8"/>
    <x v="2"/>
    <n v="16000"/>
    <n v="3"/>
    <n v="15"/>
    <n v="48000"/>
    <n v="7200"/>
    <n v="40800"/>
    <n v="76000"/>
    <n v="116800"/>
    <x v="0"/>
    <s v="Completed"/>
    <x v="0"/>
    <n v="2"/>
    <s v="Perempuan"/>
    <x v="4"/>
    <x v="0"/>
    <n v="5"/>
  </r>
  <r>
    <s v="ORD00267"/>
    <n v="45804.123182870368"/>
    <x v="175"/>
    <s v="Manokwari"/>
    <s v="Daging Ayam - Brand B"/>
    <x v="1"/>
    <x v="1"/>
    <n v="40000"/>
    <n v="1"/>
    <n v="5"/>
    <n v="40000"/>
    <n v="2000"/>
    <n v="38000"/>
    <n v="18000"/>
    <n v="56000"/>
    <x v="1"/>
    <s v="Completed"/>
    <x v="2"/>
    <n v="1"/>
    <s v="Perempuan"/>
    <x v="4"/>
    <x v="0"/>
    <n v="5"/>
  </r>
  <r>
    <s v="ORD00570"/>
    <n v="45804.200624999998"/>
    <x v="307"/>
    <s v="Mataram"/>
    <s v="Tepung Terigu - Brand B"/>
    <x v="2"/>
    <x v="1"/>
    <n v="12000"/>
    <n v="3"/>
    <n v="0"/>
    <n v="36000"/>
    <n v="0"/>
    <n v="36000"/>
    <n v="56000"/>
    <n v="92000"/>
    <x v="0"/>
    <s v="Completed"/>
    <x v="3"/>
    <n v="5"/>
    <s v="Perempuan"/>
    <x v="4"/>
    <x v="0"/>
    <n v="5"/>
  </r>
  <r>
    <s v="ORD01682"/>
    <n v="45804.696400462963"/>
    <x v="34"/>
    <s v="Semarang"/>
    <s v="Minyak Goreng - Brand B"/>
    <x v="8"/>
    <x v="1"/>
    <n v="17000"/>
    <n v="5"/>
    <n v="0"/>
    <n v="85000"/>
    <n v="0"/>
    <n v="85000"/>
    <n v="76000"/>
    <n v="161000"/>
    <x v="0"/>
    <s v="Completed"/>
    <x v="1"/>
    <n v="4"/>
    <s v="Perempuan"/>
    <x v="4"/>
    <x v="0"/>
    <n v="5"/>
  </r>
  <r>
    <s v="ORD01419"/>
    <n v="45805.642951388887"/>
    <x v="332"/>
    <s v="Manado"/>
    <s v="Bawang Merah - Brand B"/>
    <x v="3"/>
    <x v="1"/>
    <n v="35000"/>
    <n v="2"/>
    <n v="0"/>
    <n v="70000"/>
    <n v="0"/>
    <n v="70000"/>
    <n v="93000"/>
    <n v="163000"/>
    <x v="2"/>
    <s v="Returned"/>
    <x v="0"/>
    <n v="5"/>
    <s v="Perempuan"/>
    <x v="4"/>
    <x v="0"/>
    <n v="5"/>
  </r>
  <r>
    <s v="ORD00864"/>
    <n v="45805.645462962973"/>
    <x v="159"/>
    <s v="Merauke"/>
    <s v="Susu Bubuk - Brand C"/>
    <x v="7"/>
    <x v="0"/>
    <n v="55000"/>
    <n v="1"/>
    <n v="10"/>
    <n v="55000"/>
    <n v="5500"/>
    <n v="49500"/>
    <n v="59000"/>
    <n v="108500"/>
    <x v="1"/>
    <s v="Returned"/>
    <x v="2"/>
    <n v="2"/>
    <s v="Perempuan"/>
    <x v="4"/>
    <x v="0"/>
    <n v="5"/>
  </r>
  <r>
    <s v="ORD01426"/>
    <n v="45805.911238425928"/>
    <x v="294"/>
    <s v="Yogyakarta"/>
    <s v="Garam - Brand A"/>
    <x v="5"/>
    <x v="2"/>
    <n v="4000"/>
    <n v="5"/>
    <n v="0"/>
    <n v="20000"/>
    <n v="0"/>
    <n v="20000"/>
    <n v="78000"/>
    <n v="98000"/>
    <x v="3"/>
    <s v="Returned"/>
    <x v="1"/>
    <n v="4"/>
    <s v="Perempuan"/>
    <x v="4"/>
    <x v="0"/>
    <n v="5"/>
  </r>
  <r>
    <s v="ORD01604"/>
    <n v="45806.661747685182"/>
    <x v="32"/>
    <s v="Surabaya"/>
    <s v="Tepung Terigu - Brand A"/>
    <x v="2"/>
    <x v="2"/>
    <n v="10000"/>
    <n v="3"/>
    <n v="10"/>
    <n v="30000"/>
    <n v="3000"/>
    <n v="27000"/>
    <n v="74000"/>
    <n v="101000"/>
    <x v="0"/>
    <s v="Completed"/>
    <x v="4"/>
    <n v="1"/>
    <s v="Perempuan"/>
    <x v="4"/>
    <x v="0"/>
    <n v="5"/>
  </r>
  <r>
    <s v="ORD01152"/>
    <n v="45806.868321759262"/>
    <x v="215"/>
    <s v="Palangka Raya"/>
    <s v="Telur Ayam - Brand C"/>
    <x v="4"/>
    <x v="0"/>
    <n v="28000"/>
    <n v="4"/>
    <n v="15"/>
    <n v="112000"/>
    <n v="16800"/>
    <n v="95200"/>
    <n v="50000"/>
    <n v="145200"/>
    <x v="2"/>
    <s v="Completed"/>
    <x v="1"/>
    <n v="4"/>
    <s v="Perempuan"/>
    <x v="4"/>
    <x v="0"/>
    <n v="5"/>
  </r>
  <r>
    <s v="ORD00092"/>
    <n v="45807.260497685187"/>
    <x v="333"/>
    <s v="Serang"/>
    <s v="Beras - Brand A"/>
    <x v="0"/>
    <x v="2"/>
    <n v="14000"/>
    <n v="5"/>
    <n v="5"/>
    <n v="70000"/>
    <n v="3500"/>
    <n v="66500"/>
    <n v="57000"/>
    <n v="123500"/>
    <x v="3"/>
    <s v="Completed"/>
    <x v="4"/>
    <n v="1"/>
    <s v="Laki-laki"/>
    <x v="4"/>
    <x v="0"/>
    <n v="5"/>
  </r>
  <r>
    <s v="ORD01750"/>
    <n v="45807.876099537039"/>
    <x v="105"/>
    <s v="Jakarta"/>
    <s v="Beras - Brand C"/>
    <x v="0"/>
    <x v="0"/>
    <n v="16000"/>
    <n v="3"/>
    <n v="0"/>
    <n v="48000"/>
    <n v="0"/>
    <n v="48000"/>
    <n v="97000"/>
    <n v="145000"/>
    <x v="2"/>
    <s v="Returned"/>
    <x v="2"/>
    <n v="2"/>
    <s v="Perempuan"/>
    <x v="4"/>
    <x v="0"/>
    <n v="5"/>
  </r>
  <r>
    <s v="ORD01665"/>
    <n v="45807.93608796296"/>
    <x v="306"/>
    <s v="Mamuju"/>
    <s v="Gula Pasir - Brand A"/>
    <x v="6"/>
    <x v="2"/>
    <n v="16000"/>
    <n v="4"/>
    <n v="10"/>
    <n v="64000"/>
    <n v="6400"/>
    <n v="57600"/>
    <n v="46000"/>
    <n v="103600"/>
    <x v="0"/>
    <s v="Completed"/>
    <x v="4"/>
    <n v="5"/>
    <s v="Perempuan"/>
    <x v="4"/>
    <x v="0"/>
    <n v="5"/>
  </r>
  <r>
    <s v="ORD01713"/>
    <n v="45808.147893518522"/>
    <x v="40"/>
    <s v="Bengkulu"/>
    <s v="Gula Pasir - Brand C"/>
    <x v="6"/>
    <x v="0"/>
    <n v="18000"/>
    <n v="2"/>
    <n v="10"/>
    <n v="36000"/>
    <n v="3600"/>
    <n v="32400"/>
    <n v="72000"/>
    <n v="104400"/>
    <x v="3"/>
    <s v="Completed"/>
    <x v="0"/>
    <n v="2"/>
    <s v="Perempuan"/>
    <x v="4"/>
    <x v="0"/>
    <n v="5"/>
  </r>
  <r>
    <s v="ORD00934"/>
    <n v="45808.278726851851"/>
    <x v="204"/>
    <s v="Pontianak"/>
    <s v="Gula Pasir - Brand C"/>
    <x v="6"/>
    <x v="0"/>
    <n v="18000"/>
    <n v="1"/>
    <n v="10"/>
    <n v="18000"/>
    <n v="1800"/>
    <n v="16200"/>
    <n v="85000"/>
    <n v="101200"/>
    <x v="1"/>
    <s v="Completed"/>
    <x v="1"/>
    <n v="1"/>
    <s v="Perempuan"/>
    <x v="4"/>
    <x v="0"/>
    <n v="5"/>
  </r>
  <r>
    <s v="ORD00165"/>
    <n v="45808.335034722222"/>
    <x v="241"/>
    <s v="Jakarta"/>
    <s v="Telur Ayam - Brand C"/>
    <x v="4"/>
    <x v="0"/>
    <n v="28000"/>
    <n v="3"/>
    <n v="10"/>
    <n v="84000"/>
    <n v="8400"/>
    <n v="75600"/>
    <n v="97000"/>
    <n v="172600"/>
    <x v="2"/>
    <s v="Completed"/>
    <x v="1"/>
    <n v="5"/>
    <s v="Perempuan"/>
    <x v="4"/>
    <x v="0"/>
    <n v="5"/>
  </r>
  <r>
    <s v="ORD00165"/>
    <n v="45808.335034722222"/>
    <x v="241"/>
    <s v="Jakarta"/>
    <s v="Garam - Brand A"/>
    <x v="5"/>
    <x v="2"/>
    <n v="4000"/>
    <n v="5"/>
    <n v="0"/>
    <n v="20000"/>
    <n v="0"/>
    <n v="20000"/>
    <n v="0"/>
    <n v="20000"/>
    <x v="2"/>
    <s v="Completed"/>
    <x v="1"/>
    <n v="5"/>
    <s v="Perempuan"/>
    <x v="4"/>
    <x v="0"/>
    <n v="5"/>
  </r>
  <r>
    <s v="ORD01272"/>
    <n v="45808.48159722222"/>
    <x v="257"/>
    <s v="Kendari"/>
    <s v="Beras - Brand C"/>
    <x v="0"/>
    <x v="0"/>
    <n v="16000"/>
    <n v="5"/>
    <n v="0"/>
    <n v="80000"/>
    <n v="0"/>
    <n v="80000"/>
    <n v="59000"/>
    <n v="139000"/>
    <x v="2"/>
    <s v="Completed"/>
    <x v="4"/>
    <n v="2"/>
    <s v="Perempuan"/>
    <x v="4"/>
    <x v="0"/>
    <n v="5"/>
  </r>
  <r>
    <s v="ORD01082"/>
    <n v="45808.593981481477"/>
    <x v="50"/>
    <s v="Manokwari"/>
    <s v="Susu Bubuk - Brand C"/>
    <x v="7"/>
    <x v="0"/>
    <n v="55000"/>
    <n v="4"/>
    <n v="0"/>
    <n v="220000"/>
    <n v="0"/>
    <n v="220000"/>
    <n v="18000"/>
    <n v="238000"/>
    <x v="1"/>
    <s v="Completed"/>
    <x v="2"/>
    <n v="1"/>
    <s v="Perempuan"/>
    <x v="4"/>
    <x v="0"/>
    <n v="5"/>
  </r>
  <r>
    <s v="ORD01457"/>
    <n v="45809.02171296296"/>
    <x v="334"/>
    <s v="Jambi"/>
    <s v="Bawang Merah - Brand B"/>
    <x v="3"/>
    <x v="1"/>
    <n v="35000"/>
    <n v="2"/>
    <n v="10"/>
    <n v="70000"/>
    <n v="7000"/>
    <n v="63000"/>
    <n v="87000"/>
    <n v="150000"/>
    <x v="3"/>
    <s v="Completed"/>
    <x v="3"/>
    <n v="2"/>
    <s v="Perempuan"/>
    <x v="5"/>
    <x v="0"/>
    <n v="6"/>
  </r>
  <r>
    <s v="ORD01602"/>
    <n v="45809.438032407408"/>
    <x v="97"/>
    <s v="Palembang"/>
    <s v="Beras - Brand C"/>
    <x v="0"/>
    <x v="0"/>
    <n v="16000"/>
    <n v="1"/>
    <n v="0"/>
    <n v="16000"/>
    <n v="0"/>
    <n v="16000"/>
    <n v="17000"/>
    <n v="33000"/>
    <x v="3"/>
    <s v="Completed"/>
    <x v="4"/>
    <n v="3"/>
    <s v="Perempuan"/>
    <x v="5"/>
    <x v="0"/>
    <n v="6"/>
  </r>
  <r>
    <s v="ORD01474"/>
    <n v="45809.503657407397"/>
    <x v="335"/>
    <s v="Jambi"/>
    <s v="Daging Ayam - Brand C"/>
    <x v="1"/>
    <x v="0"/>
    <n v="45000"/>
    <n v="3"/>
    <n v="15"/>
    <n v="135000"/>
    <n v="20250"/>
    <n v="114750"/>
    <n v="87000"/>
    <n v="201750"/>
    <x v="1"/>
    <s v="Completed"/>
    <x v="2"/>
    <n v="3"/>
    <s v="Laki-laki"/>
    <x v="5"/>
    <x v="0"/>
    <n v="6"/>
  </r>
  <r>
    <s v="ORD01807"/>
    <n v="45809.878032407411"/>
    <x v="36"/>
    <s v="Tanjung Selor"/>
    <s v="Garam - Brand C"/>
    <x v="5"/>
    <x v="0"/>
    <n v="6000"/>
    <n v="1"/>
    <n v="0"/>
    <n v="6000"/>
    <n v="0"/>
    <n v="6000"/>
    <n v="26000"/>
    <n v="32000"/>
    <x v="2"/>
    <s v="Returned"/>
    <x v="3"/>
    <n v="3"/>
    <s v="Perempuan"/>
    <x v="5"/>
    <x v="0"/>
    <n v="6"/>
  </r>
  <r>
    <s v="ORD00065"/>
    <n v="45810.018136574072"/>
    <x v="70"/>
    <s v="Bengkulu"/>
    <s v="Beras - Brand B"/>
    <x v="0"/>
    <x v="1"/>
    <n v="15000"/>
    <n v="5"/>
    <n v="0"/>
    <n v="75000"/>
    <n v="0"/>
    <n v="75000"/>
    <n v="72000"/>
    <n v="147000"/>
    <x v="0"/>
    <s v="Completed"/>
    <x v="2"/>
    <n v="4"/>
    <s v="Laki-laki"/>
    <x v="5"/>
    <x v="0"/>
    <n v="6"/>
  </r>
  <r>
    <s v="ORD00065"/>
    <n v="45810.018136574072"/>
    <x v="70"/>
    <s v="Bengkulu"/>
    <s v="Bawang Merah - Brand A"/>
    <x v="3"/>
    <x v="2"/>
    <n v="30000"/>
    <n v="1"/>
    <n v="10"/>
    <n v="30000"/>
    <n v="3000"/>
    <n v="27000"/>
    <n v="0"/>
    <n v="27000"/>
    <x v="0"/>
    <s v="Completed"/>
    <x v="2"/>
    <n v="4"/>
    <s v="Laki-laki"/>
    <x v="5"/>
    <x v="0"/>
    <n v="6"/>
  </r>
  <r>
    <s v="ORD01179"/>
    <n v="45810.365717592591"/>
    <x v="193"/>
    <s v="Semarang"/>
    <s v="Gula Pasir - Brand B"/>
    <x v="6"/>
    <x v="1"/>
    <n v="17000"/>
    <n v="4"/>
    <n v="10"/>
    <n v="68000"/>
    <n v="6800"/>
    <n v="61200"/>
    <n v="76000"/>
    <n v="137200"/>
    <x v="3"/>
    <s v="Completed"/>
    <x v="2"/>
    <n v="3"/>
    <s v="Perempuan"/>
    <x v="5"/>
    <x v="0"/>
    <n v="6"/>
  </r>
  <r>
    <s v="ORD00715"/>
    <n v="45810.574479166673"/>
    <x v="302"/>
    <s v="Semarang"/>
    <s v="Tepung Terigu - Brand C"/>
    <x v="2"/>
    <x v="0"/>
    <n v="14000"/>
    <n v="4"/>
    <n v="15"/>
    <n v="56000"/>
    <n v="8400"/>
    <n v="47600"/>
    <n v="76000"/>
    <n v="123600"/>
    <x v="0"/>
    <s v="Completed"/>
    <x v="1"/>
    <n v="5"/>
    <s v="Perempuan"/>
    <x v="5"/>
    <x v="0"/>
    <n v="6"/>
  </r>
  <r>
    <s v="ORD00188"/>
    <n v="45810.617997685193"/>
    <x v="308"/>
    <s v="Jayapura"/>
    <s v="Garam - Brand C"/>
    <x v="5"/>
    <x v="0"/>
    <n v="6000"/>
    <n v="5"/>
    <n v="10"/>
    <n v="30000"/>
    <n v="3000"/>
    <n v="27000"/>
    <n v="30000"/>
    <n v="57000"/>
    <x v="1"/>
    <s v="Cancelled"/>
    <x v="0"/>
    <n v="3"/>
    <s v="Perempuan"/>
    <x v="5"/>
    <x v="0"/>
    <n v="6"/>
  </r>
  <r>
    <s v="ORD00188"/>
    <n v="45810.617997685193"/>
    <x v="308"/>
    <s v="Jayapura"/>
    <s v="Garam - Brand B"/>
    <x v="5"/>
    <x v="1"/>
    <n v="5000"/>
    <n v="5"/>
    <n v="10"/>
    <n v="25000"/>
    <n v="2500"/>
    <n v="22500"/>
    <n v="0"/>
    <n v="22500"/>
    <x v="1"/>
    <s v="Cancelled"/>
    <x v="0"/>
    <n v="3"/>
    <s v="Perempuan"/>
    <x v="5"/>
    <x v="0"/>
    <n v="6"/>
  </r>
  <r>
    <s v="ORD00766"/>
    <n v="45810.663715277777"/>
    <x v="120"/>
    <s v="Mamuju"/>
    <s v="Susu Bubuk - Brand A"/>
    <x v="7"/>
    <x v="2"/>
    <n v="45000"/>
    <n v="3"/>
    <n v="5"/>
    <n v="135000"/>
    <n v="6750"/>
    <n v="128250"/>
    <n v="46000"/>
    <n v="174250"/>
    <x v="2"/>
    <s v="Returned"/>
    <x v="4"/>
    <n v="5"/>
    <s v="Perempuan"/>
    <x v="5"/>
    <x v="0"/>
    <n v="6"/>
  </r>
  <r>
    <s v="ORD01264"/>
    <n v="45810.887094907397"/>
    <x v="229"/>
    <s v="Nabire"/>
    <s v="Telur Ayam - Brand B"/>
    <x v="4"/>
    <x v="1"/>
    <n v="25000"/>
    <n v="2"/>
    <n v="10"/>
    <n v="50000"/>
    <n v="5000"/>
    <n v="45000"/>
    <n v="89000"/>
    <n v="134000"/>
    <x v="2"/>
    <s v="Returned"/>
    <x v="1"/>
    <n v="2"/>
    <s v="Perempuan"/>
    <x v="5"/>
    <x v="0"/>
    <n v="6"/>
  </r>
  <r>
    <s v="ORD01027"/>
    <n v="45810.92324074074"/>
    <x v="64"/>
    <s v="Makassar"/>
    <s v="Daging Ayam - Brand B"/>
    <x v="1"/>
    <x v="1"/>
    <n v="40000"/>
    <n v="2"/>
    <n v="0"/>
    <n v="80000"/>
    <n v="0"/>
    <n v="80000"/>
    <n v="84000"/>
    <n v="164000"/>
    <x v="3"/>
    <s v="Completed"/>
    <x v="3"/>
    <n v="1"/>
    <s v="Laki-laki"/>
    <x v="5"/>
    <x v="0"/>
    <n v="6"/>
  </r>
  <r>
    <s v="ORD01252"/>
    <n v="45810.987210648149"/>
    <x v="100"/>
    <s v="Sorong"/>
    <s v="Tepung Terigu - Brand A"/>
    <x v="2"/>
    <x v="2"/>
    <n v="10000"/>
    <n v="1"/>
    <n v="0"/>
    <n v="10000"/>
    <n v="0"/>
    <n v="10000"/>
    <n v="87000"/>
    <n v="97000"/>
    <x v="3"/>
    <s v="Completed"/>
    <x v="1"/>
    <n v="5"/>
    <s v="Perempuan"/>
    <x v="5"/>
    <x v="0"/>
    <n v="6"/>
  </r>
  <r>
    <s v="ORD01865"/>
    <n v="45811.243773148148"/>
    <x v="317"/>
    <s v="Bengkulu"/>
    <s v="Minyak Goreng - Brand B"/>
    <x v="8"/>
    <x v="1"/>
    <n v="17000"/>
    <n v="5"/>
    <n v="0"/>
    <n v="85000"/>
    <n v="0"/>
    <n v="85000"/>
    <n v="72000"/>
    <n v="157000"/>
    <x v="1"/>
    <s v="Completed"/>
    <x v="2"/>
    <n v="1"/>
    <s v="Perempuan"/>
    <x v="5"/>
    <x v="0"/>
    <n v="6"/>
  </r>
  <r>
    <s v="ORD00161"/>
    <n v="45811.304328703707"/>
    <x v="198"/>
    <s v="Semarang"/>
    <s v="Garam - Brand C"/>
    <x v="5"/>
    <x v="0"/>
    <n v="6000"/>
    <n v="5"/>
    <n v="5"/>
    <n v="30000"/>
    <n v="1500"/>
    <n v="28500"/>
    <n v="76000"/>
    <n v="104500"/>
    <x v="2"/>
    <s v="Completed"/>
    <x v="0"/>
    <n v="1"/>
    <s v="Perempuan"/>
    <x v="5"/>
    <x v="0"/>
    <n v="6"/>
  </r>
  <r>
    <s v="ORD00161"/>
    <n v="45811.304328703707"/>
    <x v="198"/>
    <s v="Semarang"/>
    <s v="Minyak Goreng - Brand A"/>
    <x v="8"/>
    <x v="2"/>
    <n v="16000"/>
    <n v="3"/>
    <n v="15"/>
    <n v="48000"/>
    <n v="7200"/>
    <n v="40800"/>
    <n v="0"/>
    <n v="40800"/>
    <x v="2"/>
    <s v="Completed"/>
    <x v="0"/>
    <n v="1"/>
    <s v="Perempuan"/>
    <x v="5"/>
    <x v="0"/>
    <n v="6"/>
  </r>
  <r>
    <s v="ORD00571"/>
    <n v="45812.047696759262"/>
    <x v="272"/>
    <s v="Semarang"/>
    <s v="Bawang Merah - Brand A"/>
    <x v="3"/>
    <x v="2"/>
    <n v="30000"/>
    <n v="4"/>
    <n v="10"/>
    <n v="120000"/>
    <n v="12000"/>
    <n v="108000"/>
    <n v="76000"/>
    <n v="184000"/>
    <x v="2"/>
    <s v="Completed"/>
    <x v="4"/>
    <n v="5"/>
    <s v="Perempuan"/>
    <x v="5"/>
    <x v="0"/>
    <n v="6"/>
  </r>
  <r>
    <s v="ORD01225"/>
    <n v="45812.250324074077"/>
    <x v="81"/>
    <s v="Nabire"/>
    <s v="Beras - Brand C"/>
    <x v="0"/>
    <x v="0"/>
    <n v="16000"/>
    <n v="3"/>
    <n v="10"/>
    <n v="48000"/>
    <n v="4800"/>
    <n v="43200"/>
    <n v="89000"/>
    <n v="132200"/>
    <x v="2"/>
    <s v="Completed"/>
    <x v="0"/>
    <n v="1"/>
    <s v="Perempuan"/>
    <x v="5"/>
    <x v="0"/>
    <n v="6"/>
  </r>
  <r>
    <s v="ORD01134"/>
    <n v="45812.405717592592"/>
    <x v="14"/>
    <s v="Jakarta"/>
    <s v="Susu Bubuk - Brand C"/>
    <x v="7"/>
    <x v="0"/>
    <n v="55000"/>
    <n v="1"/>
    <n v="20"/>
    <n v="55000"/>
    <n v="11000"/>
    <n v="44000"/>
    <n v="97000"/>
    <n v="141000"/>
    <x v="0"/>
    <s v="Completed"/>
    <x v="2"/>
    <n v="1"/>
    <s v="Laki-laki"/>
    <x v="5"/>
    <x v="0"/>
    <n v="6"/>
  </r>
  <r>
    <s v="ORD00019"/>
    <n v="45812.512685185182"/>
    <x v="254"/>
    <s v="Bandar Lampung"/>
    <s v="Gula Pasir - Brand A"/>
    <x v="6"/>
    <x v="2"/>
    <n v="16000"/>
    <n v="1"/>
    <n v="10"/>
    <n v="16000"/>
    <n v="1600"/>
    <n v="14400"/>
    <n v="28000"/>
    <n v="42400"/>
    <x v="0"/>
    <s v="Completed"/>
    <x v="2"/>
    <n v="3"/>
    <s v="Laki-laki"/>
    <x v="5"/>
    <x v="0"/>
    <n v="6"/>
  </r>
  <r>
    <s v="ORD01777"/>
    <n v="45812.691886574074"/>
    <x v="336"/>
    <s v="Denpasar"/>
    <s v="Beras - Brand C"/>
    <x v="0"/>
    <x v="0"/>
    <n v="16000"/>
    <n v="2"/>
    <n v="0"/>
    <n v="32000"/>
    <n v="0"/>
    <n v="32000"/>
    <n v="80000"/>
    <n v="112000"/>
    <x v="1"/>
    <s v="Completed"/>
    <x v="4"/>
    <n v="4"/>
    <s v="Laki-laki"/>
    <x v="5"/>
    <x v="0"/>
    <n v="6"/>
  </r>
  <r>
    <s v="ORD00348"/>
    <n v="45813.03224537037"/>
    <x v="287"/>
    <s v="Manado"/>
    <s v="Minyak Goreng - Brand A"/>
    <x v="8"/>
    <x v="2"/>
    <n v="16000"/>
    <n v="1"/>
    <n v="0"/>
    <n v="16000"/>
    <n v="0"/>
    <n v="16000"/>
    <n v="93000"/>
    <n v="109000"/>
    <x v="1"/>
    <s v="Cancelled"/>
    <x v="3"/>
    <n v="4"/>
    <s v="Perempuan"/>
    <x v="5"/>
    <x v="0"/>
    <n v="6"/>
  </r>
  <r>
    <s v="ORD00348"/>
    <n v="45813.03224537037"/>
    <x v="287"/>
    <s v="Manado"/>
    <s v="Susu Bubuk - Brand A"/>
    <x v="7"/>
    <x v="2"/>
    <n v="45000"/>
    <n v="4"/>
    <n v="20"/>
    <n v="180000"/>
    <n v="36000"/>
    <n v="144000"/>
    <n v="0"/>
    <n v="144000"/>
    <x v="1"/>
    <s v="Cancelled"/>
    <x v="3"/>
    <n v="4"/>
    <s v="Perempuan"/>
    <x v="5"/>
    <x v="0"/>
    <n v="6"/>
  </r>
  <r>
    <s v="ORD01722"/>
    <n v="45813.291944444441"/>
    <x v="282"/>
    <s v="Banjarbaru"/>
    <s v="Gula Pasir - Brand A"/>
    <x v="6"/>
    <x v="2"/>
    <n v="16000"/>
    <n v="4"/>
    <n v="5"/>
    <n v="64000"/>
    <n v="3200"/>
    <n v="60800"/>
    <n v="55000"/>
    <n v="115800"/>
    <x v="2"/>
    <s v="Completed"/>
    <x v="3"/>
    <n v="1"/>
    <s v="Perempuan"/>
    <x v="5"/>
    <x v="0"/>
    <n v="6"/>
  </r>
  <r>
    <s v="ORD01780"/>
    <n v="45813.315138888887"/>
    <x v="337"/>
    <s v="Palangka Raya"/>
    <s v="Bawang Merah - Brand B"/>
    <x v="3"/>
    <x v="1"/>
    <n v="35000"/>
    <n v="4"/>
    <n v="10"/>
    <n v="140000"/>
    <n v="14000"/>
    <n v="126000"/>
    <n v="50000"/>
    <n v="176000"/>
    <x v="3"/>
    <s v="Completed"/>
    <x v="2"/>
    <n v="5"/>
    <s v="Laki-laki"/>
    <x v="5"/>
    <x v="0"/>
    <n v="6"/>
  </r>
  <r>
    <s v="ORD00819"/>
    <n v="45813.554722222223"/>
    <x v="52"/>
    <s v="Tanjungpinang"/>
    <s v="Gula Pasir - Brand C"/>
    <x v="6"/>
    <x v="0"/>
    <n v="18000"/>
    <n v="5"/>
    <n v="0"/>
    <n v="90000"/>
    <n v="0"/>
    <n v="90000"/>
    <n v="48000"/>
    <n v="138000"/>
    <x v="1"/>
    <s v="Returned"/>
    <x v="2"/>
    <n v="4"/>
    <s v="Perempuan"/>
    <x v="5"/>
    <x v="0"/>
    <n v="6"/>
  </r>
  <r>
    <s v="ORD01418"/>
    <n v="45814.017523148148"/>
    <x v="73"/>
    <s v="Pekanbaru"/>
    <s v="Telur Ayam - Brand C"/>
    <x v="4"/>
    <x v="0"/>
    <n v="28000"/>
    <n v="1"/>
    <n v="5"/>
    <n v="28000"/>
    <n v="1400"/>
    <n v="26600"/>
    <n v="49000"/>
    <n v="75600"/>
    <x v="3"/>
    <s v="Completed"/>
    <x v="4"/>
    <n v="1"/>
    <s v="Perempuan"/>
    <x v="5"/>
    <x v="0"/>
    <n v="6"/>
  </r>
  <r>
    <s v="ORD01866"/>
    <n v="45814.048356481479"/>
    <x v="283"/>
    <s v="Samarinda"/>
    <s v="Minyak Goreng - Brand B"/>
    <x v="8"/>
    <x v="1"/>
    <n v="17000"/>
    <n v="4"/>
    <n v="5"/>
    <n v="68000"/>
    <n v="3400"/>
    <n v="64600"/>
    <n v="43000"/>
    <n v="107600"/>
    <x v="3"/>
    <s v="Completed"/>
    <x v="1"/>
    <n v="3"/>
    <s v="Perempuan"/>
    <x v="5"/>
    <x v="0"/>
    <n v="6"/>
  </r>
  <r>
    <s v="ORD00758"/>
    <n v="45814.414872685193"/>
    <x v="241"/>
    <s v="Jakarta"/>
    <s v="Beras - Brand C"/>
    <x v="0"/>
    <x v="0"/>
    <n v="16000"/>
    <n v="4"/>
    <n v="20"/>
    <n v="64000"/>
    <n v="12800"/>
    <n v="51200"/>
    <n v="97000"/>
    <n v="148200"/>
    <x v="3"/>
    <s v="Completed"/>
    <x v="4"/>
    <n v="4"/>
    <s v="Perempuan"/>
    <x v="5"/>
    <x v="0"/>
    <n v="6"/>
  </r>
  <r>
    <s v="ORD01224"/>
    <n v="45814.436238425929"/>
    <x v="179"/>
    <s v="Samarinda"/>
    <s v="Gula Pasir - Brand C"/>
    <x v="6"/>
    <x v="0"/>
    <n v="18000"/>
    <n v="4"/>
    <n v="5"/>
    <n v="72000"/>
    <n v="3600"/>
    <n v="68400"/>
    <n v="43000"/>
    <n v="111400"/>
    <x v="1"/>
    <s v="Completed"/>
    <x v="1"/>
    <n v="2"/>
    <s v="Perempuan"/>
    <x v="5"/>
    <x v="0"/>
    <n v="6"/>
  </r>
  <r>
    <s v="ORD01387"/>
    <n v="45814.713622685187"/>
    <x v="312"/>
    <s v="Pontianak"/>
    <s v="Minyak Goreng - Brand A"/>
    <x v="8"/>
    <x v="2"/>
    <n v="16000"/>
    <n v="5"/>
    <n v="20"/>
    <n v="80000"/>
    <n v="16000"/>
    <n v="64000"/>
    <n v="85000"/>
    <n v="149000"/>
    <x v="2"/>
    <s v="Completed"/>
    <x v="1"/>
    <n v="2"/>
    <s v="Perempuan"/>
    <x v="5"/>
    <x v="0"/>
    <n v="6"/>
  </r>
  <r>
    <s v="ORD01531"/>
    <n v="45815.187141203707"/>
    <x v="338"/>
    <s v="Makassar"/>
    <s v="Minyak Goreng - Brand A"/>
    <x v="8"/>
    <x v="2"/>
    <n v="16000"/>
    <n v="1"/>
    <n v="20"/>
    <n v="16000"/>
    <n v="3200"/>
    <n v="12800"/>
    <n v="84000"/>
    <n v="96800"/>
    <x v="3"/>
    <s v="Completed"/>
    <x v="4"/>
    <n v="1"/>
    <s v="Perempuan"/>
    <x v="5"/>
    <x v="0"/>
    <n v="6"/>
  </r>
  <r>
    <s v="ORD01654"/>
    <n v="45815.30265046296"/>
    <x v="318"/>
    <s v="Jayapura"/>
    <s v="Gula Pasir - Brand C"/>
    <x v="6"/>
    <x v="0"/>
    <n v="18000"/>
    <n v="3"/>
    <n v="10"/>
    <n v="54000"/>
    <n v="5400"/>
    <n v="48600"/>
    <n v="30000"/>
    <n v="78600"/>
    <x v="3"/>
    <s v="Completed"/>
    <x v="1"/>
    <n v="1"/>
    <s v="Perempuan"/>
    <x v="5"/>
    <x v="0"/>
    <n v="6"/>
  </r>
  <r>
    <s v="ORD01026"/>
    <n v="45815.65730324074"/>
    <x v="65"/>
    <s v="Mataram"/>
    <s v="Gula Pasir - Brand B"/>
    <x v="6"/>
    <x v="1"/>
    <n v="17000"/>
    <n v="4"/>
    <n v="20"/>
    <n v="68000"/>
    <n v="13600"/>
    <n v="54400"/>
    <n v="56000"/>
    <n v="110400"/>
    <x v="2"/>
    <s v="Completed"/>
    <x v="2"/>
    <n v="3"/>
    <s v="Perempuan"/>
    <x v="5"/>
    <x v="0"/>
    <n v="6"/>
  </r>
  <r>
    <s v="ORD00488"/>
    <n v="45815.708148148151"/>
    <x v="187"/>
    <s v="Jayapura"/>
    <s v="Tepung Terigu - Brand C"/>
    <x v="2"/>
    <x v="0"/>
    <n v="14000"/>
    <n v="3"/>
    <n v="5"/>
    <n v="42000"/>
    <n v="2100"/>
    <n v="39900"/>
    <n v="30000"/>
    <n v="69900"/>
    <x v="1"/>
    <s v="Completed"/>
    <x v="2"/>
    <n v="5"/>
    <s v="Perempuan"/>
    <x v="5"/>
    <x v="0"/>
    <n v="6"/>
  </r>
  <r>
    <s v="ORD01698"/>
    <n v="45815.729583333326"/>
    <x v="234"/>
    <s v="Tanjung Selor"/>
    <s v="Telur Ayam - Brand C"/>
    <x v="4"/>
    <x v="0"/>
    <n v="28000"/>
    <n v="1"/>
    <n v="20"/>
    <n v="28000"/>
    <n v="5600"/>
    <n v="22400"/>
    <n v="26000"/>
    <n v="48400"/>
    <x v="3"/>
    <s v="Completed"/>
    <x v="3"/>
    <n v="4"/>
    <s v="Perempuan"/>
    <x v="5"/>
    <x v="0"/>
    <n v="6"/>
  </r>
  <r>
    <s v="ORD01620"/>
    <n v="45816.723530092589"/>
    <x v="137"/>
    <s v="Ambon"/>
    <s v="Daging Ayam - Brand B"/>
    <x v="1"/>
    <x v="1"/>
    <n v="40000"/>
    <n v="1"/>
    <n v="15"/>
    <n v="40000"/>
    <n v="6000"/>
    <n v="34000"/>
    <n v="49000"/>
    <n v="83000"/>
    <x v="2"/>
    <s v="Completed"/>
    <x v="2"/>
    <n v="4"/>
    <s v="Perempuan"/>
    <x v="5"/>
    <x v="0"/>
    <n v="6"/>
  </r>
  <r>
    <s v="ORD01635"/>
    <n v="45816.769236111111"/>
    <x v="39"/>
    <s v="Tanjungpinang"/>
    <s v="Susu Bubuk - Brand B"/>
    <x v="7"/>
    <x v="1"/>
    <n v="50000"/>
    <n v="3"/>
    <n v="0"/>
    <n v="150000"/>
    <n v="0"/>
    <n v="150000"/>
    <n v="48000"/>
    <n v="198000"/>
    <x v="0"/>
    <s v="Completed"/>
    <x v="0"/>
    <n v="1"/>
    <s v="Perempuan"/>
    <x v="5"/>
    <x v="0"/>
    <n v="6"/>
  </r>
  <r>
    <s v="ORD01861"/>
    <n v="45816.932210648149"/>
    <x v="311"/>
    <s v="Jayapura"/>
    <s v="Tepung Terigu - Brand C"/>
    <x v="2"/>
    <x v="0"/>
    <n v="14000"/>
    <n v="1"/>
    <n v="10"/>
    <n v="14000"/>
    <n v="1400"/>
    <n v="12600"/>
    <n v="30000"/>
    <n v="42600"/>
    <x v="2"/>
    <s v="Completed"/>
    <x v="2"/>
    <n v="3"/>
    <s v="Perempuan"/>
    <x v="5"/>
    <x v="0"/>
    <n v="6"/>
  </r>
  <r>
    <s v="ORD00607"/>
    <n v="45816.956643518519"/>
    <x v="339"/>
    <s v="Samarinda"/>
    <s v="Susu Bubuk - Brand C"/>
    <x v="7"/>
    <x v="0"/>
    <n v="55000"/>
    <n v="5"/>
    <n v="5"/>
    <n v="275000"/>
    <n v="13750"/>
    <n v="261250"/>
    <n v="43000"/>
    <n v="304250"/>
    <x v="1"/>
    <s v="Completed"/>
    <x v="0"/>
    <n v="2"/>
    <s v="Laki-laki"/>
    <x v="5"/>
    <x v="0"/>
    <n v="6"/>
  </r>
  <r>
    <s v="ORD00055"/>
    <n v="45817.117569444446"/>
    <x v="340"/>
    <s v="Sorong"/>
    <s v="Telur Ayam - Brand C"/>
    <x v="4"/>
    <x v="0"/>
    <n v="28000"/>
    <n v="4"/>
    <n v="5"/>
    <n v="112000"/>
    <n v="5600"/>
    <n v="106400"/>
    <n v="87000"/>
    <n v="193400"/>
    <x v="0"/>
    <s v="Completed"/>
    <x v="1"/>
    <n v="5"/>
    <s v="Laki-laki"/>
    <x v="5"/>
    <x v="0"/>
    <n v="6"/>
  </r>
  <r>
    <s v="ORD00055"/>
    <n v="45817.117569444446"/>
    <x v="340"/>
    <s v="Sorong"/>
    <s v="Garam - Brand C"/>
    <x v="5"/>
    <x v="0"/>
    <n v="6000"/>
    <n v="5"/>
    <n v="5"/>
    <n v="30000"/>
    <n v="1500"/>
    <n v="28500"/>
    <n v="0"/>
    <n v="28500"/>
    <x v="0"/>
    <s v="Completed"/>
    <x v="1"/>
    <n v="5"/>
    <s v="Laki-laki"/>
    <x v="5"/>
    <x v="0"/>
    <n v="6"/>
  </r>
  <r>
    <s v="ORD00635"/>
    <n v="45817.224178240736"/>
    <x v="239"/>
    <s v="Jakarta"/>
    <s v="Gula Pasir - Brand C"/>
    <x v="6"/>
    <x v="0"/>
    <n v="18000"/>
    <n v="3"/>
    <n v="20"/>
    <n v="54000"/>
    <n v="10800"/>
    <n v="43200"/>
    <n v="97000"/>
    <n v="140200"/>
    <x v="1"/>
    <s v="Cancelled"/>
    <x v="1"/>
    <n v="2"/>
    <s v="Laki-laki"/>
    <x v="5"/>
    <x v="0"/>
    <n v="6"/>
  </r>
  <r>
    <s v="ORD01396"/>
    <n v="45817.542569444442"/>
    <x v="128"/>
    <s v="Samarinda"/>
    <s v="Daging Ayam - Brand A"/>
    <x v="1"/>
    <x v="2"/>
    <n v="35000"/>
    <n v="4"/>
    <n v="20"/>
    <n v="140000"/>
    <n v="28000"/>
    <n v="112000"/>
    <n v="43000"/>
    <n v="155000"/>
    <x v="0"/>
    <s v="Returned"/>
    <x v="2"/>
    <n v="4"/>
    <s v="Perempuan"/>
    <x v="5"/>
    <x v="0"/>
    <n v="6"/>
  </r>
  <r>
    <s v="ORD01247"/>
    <n v="45817.726168981477"/>
    <x v="58"/>
    <s v="Ambon"/>
    <s v="Tepung Terigu - Brand B"/>
    <x v="2"/>
    <x v="1"/>
    <n v="12000"/>
    <n v="1"/>
    <n v="15"/>
    <n v="12000"/>
    <n v="1800"/>
    <n v="10200"/>
    <n v="49000"/>
    <n v="59200"/>
    <x v="0"/>
    <s v="Returned"/>
    <x v="1"/>
    <n v="1"/>
    <s v="Laki-laki"/>
    <x v="5"/>
    <x v="0"/>
    <n v="6"/>
  </r>
  <r>
    <s v="ORD00253"/>
    <n v="45817.732604166667"/>
    <x v="148"/>
    <s v="Mataram"/>
    <s v="Bawang Merah - Brand A"/>
    <x v="3"/>
    <x v="2"/>
    <n v="30000"/>
    <n v="5"/>
    <n v="20"/>
    <n v="150000"/>
    <n v="30000"/>
    <n v="120000"/>
    <n v="56000"/>
    <n v="176000"/>
    <x v="0"/>
    <s v="Completed"/>
    <x v="3"/>
    <n v="2"/>
    <s v="Perempuan"/>
    <x v="5"/>
    <x v="0"/>
    <n v="6"/>
  </r>
  <r>
    <s v="ORD01623"/>
    <n v="45817.784768518519"/>
    <x v="258"/>
    <s v="Palu"/>
    <s v="Beras - Brand B"/>
    <x v="0"/>
    <x v="1"/>
    <n v="15000"/>
    <n v="2"/>
    <n v="15"/>
    <n v="30000"/>
    <n v="4500"/>
    <n v="25500"/>
    <n v="67000"/>
    <n v="92500"/>
    <x v="1"/>
    <s v="Completed"/>
    <x v="0"/>
    <n v="4"/>
    <s v="Perempuan"/>
    <x v="5"/>
    <x v="0"/>
    <n v="6"/>
  </r>
  <r>
    <s v="ORD00950"/>
    <n v="45818.309340277781"/>
    <x v="219"/>
    <s v="Denpasar"/>
    <s v="Tepung Terigu - Brand C"/>
    <x v="2"/>
    <x v="0"/>
    <n v="14000"/>
    <n v="1"/>
    <n v="15"/>
    <n v="14000"/>
    <n v="2100"/>
    <n v="11900"/>
    <n v="80000"/>
    <n v="91900"/>
    <x v="3"/>
    <s v="Completed"/>
    <x v="1"/>
    <n v="1"/>
    <s v="Laki-laki"/>
    <x v="5"/>
    <x v="0"/>
    <n v="6"/>
  </r>
  <r>
    <s v="ORD00415"/>
    <n v="45818.31212962963"/>
    <x v="51"/>
    <s v="Bandung"/>
    <s v="Telur Ayam - Brand A"/>
    <x v="4"/>
    <x v="2"/>
    <n v="22000"/>
    <n v="1"/>
    <n v="15"/>
    <n v="22000"/>
    <n v="3300"/>
    <n v="18700"/>
    <n v="0"/>
    <n v="18700"/>
    <x v="1"/>
    <s v="Completed"/>
    <x v="3"/>
    <n v="3"/>
    <s v="Perempuan"/>
    <x v="5"/>
    <x v="0"/>
    <n v="6"/>
  </r>
  <r>
    <s v="ORD00314"/>
    <n v="45818.331041666657"/>
    <x v="124"/>
    <s v="Nabire"/>
    <s v="Gula Pasir - Brand A"/>
    <x v="6"/>
    <x v="2"/>
    <n v="16000"/>
    <n v="1"/>
    <n v="20"/>
    <n v="16000"/>
    <n v="3200"/>
    <n v="12800"/>
    <n v="89000"/>
    <n v="101800"/>
    <x v="0"/>
    <s v="Completed"/>
    <x v="4"/>
    <n v="5"/>
    <s v="Perempuan"/>
    <x v="5"/>
    <x v="0"/>
    <n v="6"/>
  </r>
  <r>
    <s v="ORD00056"/>
    <n v="45818.379444444443"/>
    <x v="339"/>
    <s v="Samarinda"/>
    <s v="Susu Bubuk - Brand B"/>
    <x v="7"/>
    <x v="1"/>
    <n v="50000"/>
    <n v="1"/>
    <n v="0"/>
    <n v="50000"/>
    <n v="0"/>
    <n v="50000"/>
    <n v="43000"/>
    <n v="93000"/>
    <x v="3"/>
    <s v="Completed"/>
    <x v="1"/>
    <n v="3"/>
    <s v="Laki-laki"/>
    <x v="5"/>
    <x v="0"/>
    <n v="6"/>
  </r>
  <r>
    <s v="ORD01110"/>
    <n v="45818.464212962957"/>
    <x v="10"/>
    <s v="Mataram"/>
    <s v="Minyak Goreng - Brand B"/>
    <x v="8"/>
    <x v="1"/>
    <n v="17000"/>
    <n v="2"/>
    <n v="0"/>
    <n v="34000"/>
    <n v="0"/>
    <n v="34000"/>
    <n v="56000"/>
    <n v="90000"/>
    <x v="3"/>
    <s v="Completed"/>
    <x v="0"/>
    <n v="2"/>
    <s v="Perempuan"/>
    <x v="5"/>
    <x v="0"/>
    <n v="6"/>
  </r>
  <r>
    <s v="ORD01838"/>
    <n v="45818.487604166658"/>
    <x v="256"/>
    <s v="Jambi"/>
    <s v="Telur Ayam - Brand B"/>
    <x v="4"/>
    <x v="1"/>
    <n v="25000"/>
    <n v="4"/>
    <n v="5"/>
    <n v="100000"/>
    <n v="5000"/>
    <n v="95000"/>
    <n v="87000"/>
    <n v="182000"/>
    <x v="3"/>
    <s v="Completed"/>
    <x v="2"/>
    <n v="3"/>
    <s v="Perempuan"/>
    <x v="5"/>
    <x v="0"/>
    <n v="6"/>
  </r>
  <r>
    <s v="ORD00690"/>
    <n v="45818.517754629633"/>
    <x v="228"/>
    <s v="Manokwari"/>
    <s v="Daging Ayam - Brand A"/>
    <x v="1"/>
    <x v="2"/>
    <n v="35000"/>
    <n v="1"/>
    <n v="10"/>
    <n v="35000"/>
    <n v="3500"/>
    <n v="31500"/>
    <n v="18000"/>
    <n v="49500"/>
    <x v="3"/>
    <s v="Completed"/>
    <x v="0"/>
    <n v="5"/>
    <s v="Laki-laki"/>
    <x v="5"/>
    <x v="0"/>
    <n v="6"/>
  </r>
  <r>
    <s v="ORD00468"/>
    <n v="45818.542754629627"/>
    <x v="341"/>
    <s v="Surabaya"/>
    <s v="Beras - Brand B"/>
    <x v="0"/>
    <x v="1"/>
    <n v="15000"/>
    <n v="5"/>
    <n v="10"/>
    <n v="75000"/>
    <n v="7500"/>
    <n v="67500"/>
    <n v="74000"/>
    <n v="141500"/>
    <x v="1"/>
    <s v="Completed"/>
    <x v="1"/>
    <n v="3"/>
    <s v="Perempuan"/>
    <x v="5"/>
    <x v="0"/>
    <n v="6"/>
  </r>
  <r>
    <s v="ORD00468"/>
    <n v="45818.542754629627"/>
    <x v="341"/>
    <s v="Surabaya"/>
    <s v="Telur Ayam - Brand B"/>
    <x v="4"/>
    <x v="1"/>
    <n v="25000"/>
    <n v="4"/>
    <n v="20"/>
    <n v="100000"/>
    <n v="20000"/>
    <n v="80000"/>
    <n v="0"/>
    <n v="80000"/>
    <x v="1"/>
    <s v="Completed"/>
    <x v="1"/>
    <n v="3"/>
    <s v="Perempuan"/>
    <x v="5"/>
    <x v="0"/>
    <n v="6"/>
  </r>
  <r>
    <s v="ORD00252"/>
    <n v="45819.572233796287"/>
    <x v="192"/>
    <s v="Tanjungpinang"/>
    <s v="Gula Pasir - Brand B"/>
    <x v="6"/>
    <x v="1"/>
    <n v="17000"/>
    <n v="5"/>
    <n v="5"/>
    <n v="85000"/>
    <n v="4250"/>
    <n v="80750"/>
    <n v="48000"/>
    <n v="128750"/>
    <x v="2"/>
    <s v="Returned"/>
    <x v="4"/>
    <n v="2"/>
    <s v="Perempuan"/>
    <x v="5"/>
    <x v="0"/>
    <n v="6"/>
  </r>
  <r>
    <s v="ORD01744"/>
    <n v="45819.749537037038"/>
    <x v="90"/>
    <s v="Yogyakarta"/>
    <s v="Beras - Brand A"/>
    <x v="0"/>
    <x v="2"/>
    <n v="14000"/>
    <n v="2"/>
    <n v="10"/>
    <n v="28000"/>
    <n v="2800"/>
    <n v="25200"/>
    <n v="78000"/>
    <n v="103200"/>
    <x v="2"/>
    <s v="Completed"/>
    <x v="4"/>
    <n v="4"/>
    <s v="Perempuan"/>
    <x v="5"/>
    <x v="0"/>
    <n v="6"/>
  </r>
  <r>
    <s v="ORD00440"/>
    <n v="45819.857245370367"/>
    <x v="294"/>
    <s v="Yogyakarta"/>
    <s v="Susu Bubuk - Brand B"/>
    <x v="7"/>
    <x v="1"/>
    <n v="50000"/>
    <n v="3"/>
    <n v="20"/>
    <n v="150000"/>
    <n v="30000"/>
    <n v="120000"/>
    <n v="78000"/>
    <n v="198000"/>
    <x v="1"/>
    <s v="Completed"/>
    <x v="4"/>
    <n v="4"/>
    <s v="Perempuan"/>
    <x v="5"/>
    <x v="0"/>
    <n v="6"/>
  </r>
  <r>
    <s v="ORD01181"/>
    <n v="45820.31050925926"/>
    <x v="283"/>
    <s v="Samarinda"/>
    <s v="Minyak Goreng - Brand B"/>
    <x v="8"/>
    <x v="1"/>
    <n v="17000"/>
    <n v="1"/>
    <n v="5"/>
    <n v="17000"/>
    <n v="850"/>
    <n v="16150"/>
    <n v="43000"/>
    <n v="59150"/>
    <x v="1"/>
    <s v="Completed"/>
    <x v="0"/>
    <n v="5"/>
    <s v="Perempuan"/>
    <x v="5"/>
    <x v="0"/>
    <n v="6"/>
  </r>
  <r>
    <s v="ORD01115"/>
    <n v="45820.340925925928"/>
    <x v="312"/>
    <s v="Pontianak"/>
    <s v="Minyak Goreng - Brand A"/>
    <x v="8"/>
    <x v="2"/>
    <n v="16000"/>
    <n v="3"/>
    <n v="5"/>
    <n v="48000"/>
    <n v="2400"/>
    <n v="45600"/>
    <n v="85000"/>
    <n v="130600"/>
    <x v="1"/>
    <s v="Cancelled"/>
    <x v="0"/>
    <n v="4"/>
    <s v="Perempuan"/>
    <x v="5"/>
    <x v="0"/>
    <n v="6"/>
  </r>
  <r>
    <s v="ORD00693"/>
    <n v="45820.356620370367"/>
    <x v="179"/>
    <s v="Samarinda"/>
    <s v="Minyak Goreng - Brand A"/>
    <x v="8"/>
    <x v="2"/>
    <n v="16000"/>
    <n v="4"/>
    <n v="10"/>
    <n v="64000"/>
    <n v="6400"/>
    <n v="57600"/>
    <n v="43000"/>
    <n v="100600"/>
    <x v="0"/>
    <s v="Completed"/>
    <x v="0"/>
    <n v="3"/>
    <s v="Perempuan"/>
    <x v="5"/>
    <x v="0"/>
    <n v="6"/>
  </r>
  <r>
    <s v="ORD01384"/>
    <n v="45820.480416666673"/>
    <x v="342"/>
    <s v="Banda Aceh"/>
    <s v="Bawang Merah - Brand B"/>
    <x v="3"/>
    <x v="1"/>
    <n v="35000"/>
    <n v="2"/>
    <n v="20"/>
    <n v="70000"/>
    <n v="14000"/>
    <n v="56000"/>
    <n v="18000"/>
    <n v="74000"/>
    <x v="3"/>
    <s v="Completed"/>
    <x v="1"/>
    <n v="2"/>
    <s v="Perempuan"/>
    <x v="5"/>
    <x v="0"/>
    <n v="6"/>
  </r>
  <r>
    <s v="ORD00768"/>
    <n v="45820.572245370371"/>
    <x v="38"/>
    <s v="Kendari"/>
    <s v="Telur Ayam - Brand C"/>
    <x v="4"/>
    <x v="0"/>
    <n v="28000"/>
    <n v="5"/>
    <n v="20"/>
    <n v="140000"/>
    <n v="28000"/>
    <n v="112000"/>
    <n v="59000"/>
    <n v="171000"/>
    <x v="3"/>
    <s v="Completed"/>
    <x v="2"/>
    <n v="3"/>
    <s v="Laki-laki"/>
    <x v="5"/>
    <x v="0"/>
    <n v="6"/>
  </r>
  <r>
    <s v="ORD00917"/>
    <n v="45820.794479166667"/>
    <x v="183"/>
    <s v="Jambi"/>
    <s v="Susu Bubuk - Brand A"/>
    <x v="7"/>
    <x v="2"/>
    <n v="45000"/>
    <n v="1"/>
    <n v="15"/>
    <n v="45000"/>
    <n v="6750"/>
    <n v="38250"/>
    <n v="87000"/>
    <n v="125250"/>
    <x v="3"/>
    <s v="Completed"/>
    <x v="1"/>
    <n v="5"/>
    <s v="Perempuan"/>
    <x v="5"/>
    <x v="0"/>
    <n v="6"/>
  </r>
  <r>
    <s v="ORD00683"/>
    <n v="45820.796851851846"/>
    <x v="153"/>
    <s v="Wamena"/>
    <s v="Garam - Brand A"/>
    <x v="5"/>
    <x v="2"/>
    <n v="4000"/>
    <n v="1"/>
    <n v="10"/>
    <n v="4000"/>
    <n v="400"/>
    <n v="3600"/>
    <n v="15000"/>
    <n v="18600"/>
    <x v="1"/>
    <s v="Completed"/>
    <x v="3"/>
    <n v="1"/>
    <s v="Perempuan"/>
    <x v="5"/>
    <x v="0"/>
    <n v="6"/>
  </r>
  <r>
    <s v="ORD01651"/>
    <n v="45820.921006944453"/>
    <x v="101"/>
    <s v="Jayapura"/>
    <s v="Tepung Terigu - Brand B"/>
    <x v="2"/>
    <x v="1"/>
    <n v="12000"/>
    <n v="3"/>
    <n v="20"/>
    <n v="36000"/>
    <n v="7200"/>
    <n v="28800"/>
    <n v="30000"/>
    <n v="58800"/>
    <x v="1"/>
    <s v="Completed"/>
    <x v="0"/>
    <n v="5"/>
    <s v="Perempuan"/>
    <x v="5"/>
    <x v="0"/>
    <n v="6"/>
  </r>
  <r>
    <s v="ORD01207"/>
    <n v="45820.929259259261"/>
    <x v="228"/>
    <s v="Manokwari"/>
    <s v="Telur Ayam - Brand C"/>
    <x v="4"/>
    <x v="0"/>
    <n v="28000"/>
    <n v="4"/>
    <n v="5"/>
    <n v="112000"/>
    <n v="5600"/>
    <n v="106400"/>
    <n v="18000"/>
    <n v="124400"/>
    <x v="2"/>
    <s v="Completed"/>
    <x v="4"/>
    <n v="2"/>
    <s v="Laki-laki"/>
    <x v="5"/>
    <x v="0"/>
    <n v="6"/>
  </r>
  <r>
    <s v="ORD00101"/>
    <n v="45821.155428240738"/>
    <x v="143"/>
    <s v="Yogyakarta"/>
    <s v="Telur Ayam - Brand C"/>
    <x v="4"/>
    <x v="0"/>
    <n v="28000"/>
    <n v="5"/>
    <n v="5"/>
    <n v="140000"/>
    <n v="7000"/>
    <n v="133000"/>
    <n v="78000"/>
    <n v="211000"/>
    <x v="3"/>
    <s v="Completed"/>
    <x v="2"/>
    <n v="2"/>
    <s v="Perempuan"/>
    <x v="5"/>
    <x v="0"/>
    <n v="6"/>
  </r>
  <r>
    <s v="ORD00101"/>
    <n v="45821.155428240738"/>
    <x v="143"/>
    <s v="Yogyakarta"/>
    <s v="Telur Ayam - Brand C"/>
    <x v="4"/>
    <x v="0"/>
    <n v="28000"/>
    <n v="4"/>
    <n v="20"/>
    <n v="112000"/>
    <n v="22400"/>
    <n v="89600"/>
    <n v="0"/>
    <n v="89600"/>
    <x v="3"/>
    <s v="Completed"/>
    <x v="2"/>
    <n v="2"/>
    <s v="Perempuan"/>
    <x v="5"/>
    <x v="0"/>
    <n v="6"/>
  </r>
  <r>
    <s v="ORD00290"/>
    <n v="45821.395208333342"/>
    <x v="197"/>
    <s v="Jayapura"/>
    <s v="Bawang Merah - Brand B"/>
    <x v="3"/>
    <x v="1"/>
    <n v="35000"/>
    <n v="2"/>
    <n v="10"/>
    <n v="70000"/>
    <n v="7000"/>
    <n v="63000"/>
    <n v="30000"/>
    <n v="93000"/>
    <x v="1"/>
    <s v="Returned"/>
    <x v="3"/>
    <n v="2"/>
    <s v="Perempuan"/>
    <x v="5"/>
    <x v="0"/>
    <n v="6"/>
  </r>
  <r>
    <s v="ORD01100"/>
    <n v="45821.481944444437"/>
    <x v="299"/>
    <s v="Padang"/>
    <s v="Tepung Terigu - Brand C"/>
    <x v="2"/>
    <x v="0"/>
    <n v="14000"/>
    <n v="4"/>
    <n v="0"/>
    <n v="56000"/>
    <n v="0"/>
    <n v="56000"/>
    <n v="68000"/>
    <n v="124000"/>
    <x v="0"/>
    <s v="Completed"/>
    <x v="3"/>
    <n v="1"/>
    <s v="Perempuan"/>
    <x v="5"/>
    <x v="0"/>
    <n v="6"/>
  </r>
  <r>
    <s v="ORD00318"/>
    <n v="45821.530115740738"/>
    <x v="193"/>
    <s v="Semarang"/>
    <s v="Telur Ayam - Brand C"/>
    <x v="4"/>
    <x v="0"/>
    <n v="28000"/>
    <n v="2"/>
    <n v="20"/>
    <n v="56000"/>
    <n v="11200"/>
    <n v="44800"/>
    <n v="76000"/>
    <n v="120800"/>
    <x v="3"/>
    <s v="Completed"/>
    <x v="0"/>
    <n v="2"/>
    <s v="Perempuan"/>
    <x v="5"/>
    <x v="0"/>
    <n v="6"/>
  </r>
  <r>
    <s v="ORD00318"/>
    <n v="45821.530115740738"/>
    <x v="193"/>
    <s v="Semarang"/>
    <s v="Tepung Terigu - Brand A"/>
    <x v="2"/>
    <x v="2"/>
    <n v="10000"/>
    <n v="5"/>
    <n v="10"/>
    <n v="50000"/>
    <n v="5000"/>
    <n v="45000"/>
    <n v="0"/>
    <n v="45000"/>
    <x v="3"/>
    <s v="Completed"/>
    <x v="0"/>
    <n v="2"/>
    <s v="Perempuan"/>
    <x v="5"/>
    <x v="0"/>
    <n v="6"/>
  </r>
  <r>
    <s v="ORD00829"/>
    <n v="45821.599606481483"/>
    <x v="232"/>
    <s v="Banjarbaru"/>
    <s v="Minyak Goreng - Brand C"/>
    <x v="8"/>
    <x v="0"/>
    <n v="18000"/>
    <n v="5"/>
    <n v="10"/>
    <n v="90000"/>
    <n v="9000"/>
    <n v="81000"/>
    <n v="55000"/>
    <n v="136000"/>
    <x v="1"/>
    <s v="Returned"/>
    <x v="0"/>
    <n v="5"/>
    <s v="Laki-laki"/>
    <x v="5"/>
    <x v="0"/>
    <n v="6"/>
  </r>
  <r>
    <s v="ORD01523"/>
    <n v="45821.869247685187"/>
    <x v="223"/>
    <s v="Palangka Raya"/>
    <s v="Garam - Brand A"/>
    <x v="5"/>
    <x v="2"/>
    <n v="4000"/>
    <n v="2"/>
    <n v="15"/>
    <n v="8000"/>
    <n v="1200"/>
    <n v="6800"/>
    <n v="50000"/>
    <n v="56800"/>
    <x v="0"/>
    <s v="Completed"/>
    <x v="2"/>
    <n v="4"/>
    <s v="Perempuan"/>
    <x v="5"/>
    <x v="0"/>
    <n v="6"/>
  </r>
  <r>
    <s v="ORD00692"/>
    <n v="45821.971087962957"/>
    <x v="324"/>
    <s v="Samarinda"/>
    <s v="Daging Ayam - Brand C"/>
    <x v="1"/>
    <x v="0"/>
    <n v="45000"/>
    <n v="5"/>
    <n v="10"/>
    <n v="225000"/>
    <n v="22500"/>
    <n v="202500"/>
    <n v="43000"/>
    <n v="245500"/>
    <x v="1"/>
    <s v="Completed"/>
    <x v="1"/>
    <n v="2"/>
    <s v="Laki-laki"/>
    <x v="5"/>
    <x v="0"/>
    <n v="6"/>
  </r>
  <r>
    <s v="ORD01176"/>
    <n v="45822.033310185187"/>
    <x v="312"/>
    <s v="Pontianak"/>
    <s v="Telur Ayam - Brand B"/>
    <x v="4"/>
    <x v="1"/>
    <n v="25000"/>
    <n v="1"/>
    <n v="15"/>
    <n v="25000"/>
    <n v="3750"/>
    <n v="21250"/>
    <n v="85000"/>
    <n v="106250"/>
    <x v="0"/>
    <s v="Completed"/>
    <x v="4"/>
    <n v="1"/>
    <s v="Perempuan"/>
    <x v="5"/>
    <x v="0"/>
    <n v="6"/>
  </r>
  <r>
    <s v="ORD01570"/>
    <n v="45822.203634259262"/>
    <x v="116"/>
    <s v="Jayapura"/>
    <s v="Gula Pasir - Brand C"/>
    <x v="6"/>
    <x v="0"/>
    <n v="18000"/>
    <n v="4"/>
    <n v="5"/>
    <n v="72000"/>
    <n v="3600"/>
    <n v="68400"/>
    <n v="30000"/>
    <n v="98400"/>
    <x v="2"/>
    <s v="Cancelled"/>
    <x v="0"/>
    <n v="4"/>
    <s v="Perempuan"/>
    <x v="5"/>
    <x v="0"/>
    <n v="6"/>
  </r>
  <r>
    <s v="ORD00002"/>
    <n v="45822.294039351851"/>
    <x v="240"/>
    <s v="Wamena"/>
    <s v="Minyak Goreng - Brand B"/>
    <x v="8"/>
    <x v="1"/>
    <n v="17000"/>
    <n v="2"/>
    <n v="5"/>
    <n v="34000"/>
    <n v="1700"/>
    <n v="32300"/>
    <n v="15000"/>
    <n v="47300"/>
    <x v="3"/>
    <s v="Completed"/>
    <x v="2"/>
    <n v="4"/>
    <s v="Laki-laki"/>
    <x v="5"/>
    <x v="0"/>
    <n v="6"/>
  </r>
  <r>
    <s v="ORD00002"/>
    <n v="45822.294039351851"/>
    <x v="240"/>
    <s v="Wamena"/>
    <s v="Susu Bubuk - Brand A"/>
    <x v="7"/>
    <x v="2"/>
    <n v="45000"/>
    <n v="3"/>
    <n v="15"/>
    <n v="135000"/>
    <n v="20250"/>
    <n v="114750"/>
    <n v="0"/>
    <n v="114750"/>
    <x v="3"/>
    <s v="Completed"/>
    <x v="2"/>
    <n v="4"/>
    <s v="Laki-laki"/>
    <x v="5"/>
    <x v="0"/>
    <n v="6"/>
  </r>
  <r>
    <s v="ORD01038"/>
    <n v="45822.71671296296"/>
    <x v="159"/>
    <s v="Merauke"/>
    <s v="Telur Ayam - Brand B"/>
    <x v="4"/>
    <x v="1"/>
    <n v="25000"/>
    <n v="5"/>
    <n v="10"/>
    <n v="125000"/>
    <n v="12500"/>
    <n v="112500"/>
    <n v="59000"/>
    <n v="171500"/>
    <x v="2"/>
    <s v="Returned"/>
    <x v="0"/>
    <n v="5"/>
    <s v="Perempuan"/>
    <x v="5"/>
    <x v="0"/>
    <n v="6"/>
  </r>
  <r>
    <s v="ORD01517"/>
    <n v="45823.010370370372"/>
    <x v="119"/>
    <s v="Sorong"/>
    <s v="Telur Ayam - Brand B"/>
    <x v="4"/>
    <x v="1"/>
    <n v="25000"/>
    <n v="1"/>
    <n v="0"/>
    <n v="25000"/>
    <n v="0"/>
    <n v="25000"/>
    <n v="87000"/>
    <n v="112000"/>
    <x v="1"/>
    <s v="Completed"/>
    <x v="4"/>
    <n v="1"/>
    <s v="Perempuan"/>
    <x v="5"/>
    <x v="0"/>
    <n v="6"/>
  </r>
  <r>
    <s v="ORD00947"/>
    <n v="45823.082731481481"/>
    <x v="13"/>
    <s v="Tanjungpinang"/>
    <s v="Bawang Merah - Brand B"/>
    <x v="3"/>
    <x v="1"/>
    <n v="35000"/>
    <n v="3"/>
    <n v="10"/>
    <n v="105000"/>
    <n v="10500"/>
    <n v="94500"/>
    <n v="48000"/>
    <n v="142500"/>
    <x v="1"/>
    <s v="Completed"/>
    <x v="2"/>
    <n v="4"/>
    <s v="Perempuan"/>
    <x v="5"/>
    <x v="0"/>
    <n v="6"/>
  </r>
  <r>
    <s v="ORD01740"/>
    <n v="45823.111273148148"/>
    <x v="77"/>
    <s v="Medan"/>
    <s v="Gula Pasir - Brand C"/>
    <x v="6"/>
    <x v="0"/>
    <n v="18000"/>
    <n v="1"/>
    <n v="0"/>
    <n v="18000"/>
    <n v="0"/>
    <n v="18000"/>
    <n v="79000"/>
    <n v="97000"/>
    <x v="2"/>
    <s v="Completed"/>
    <x v="1"/>
    <n v="3"/>
    <s v="Laki-laki"/>
    <x v="5"/>
    <x v="0"/>
    <n v="6"/>
  </r>
  <r>
    <s v="ORD01000"/>
    <n v="45823.283379629633"/>
    <x v="162"/>
    <s v="Kupang"/>
    <s v="Tepung Terigu - Brand B"/>
    <x v="2"/>
    <x v="1"/>
    <n v="12000"/>
    <n v="3"/>
    <n v="10"/>
    <n v="36000"/>
    <n v="3600"/>
    <n v="32400"/>
    <n v="21000"/>
    <n v="53400"/>
    <x v="2"/>
    <s v="Completed"/>
    <x v="3"/>
    <n v="5"/>
    <s v="Perempuan"/>
    <x v="5"/>
    <x v="0"/>
    <n v="6"/>
  </r>
  <r>
    <s v="ORD01766"/>
    <n v="45823.440046296288"/>
    <x v="226"/>
    <s v="Samarinda"/>
    <s v="Tepung Terigu - Brand B"/>
    <x v="2"/>
    <x v="1"/>
    <n v="12000"/>
    <n v="3"/>
    <n v="10"/>
    <n v="36000"/>
    <n v="3600"/>
    <n v="32400"/>
    <n v="43000"/>
    <n v="75400"/>
    <x v="0"/>
    <s v="Completed"/>
    <x v="3"/>
    <n v="4"/>
    <s v="Perempuan"/>
    <x v="5"/>
    <x v="0"/>
    <n v="6"/>
  </r>
  <r>
    <s v="ORD01382"/>
    <n v="45823.496724537043"/>
    <x v="38"/>
    <s v="Kendari"/>
    <s v="Susu Bubuk - Brand C"/>
    <x v="7"/>
    <x v="0"/>
    <n v="55000"/>
    <n v="4"/>
    <n v="5"/>
    <n v="220000"/>
    <n v="11000"/>
    <n v="209000"/>
    <n v="59000"/>
    <n v="268000"/>
    <x v="2"/>
    <s v="Cancelled"/>
    <x v="4"/>
    <n v="4"/>
    <s v="Laki-laki"/>
    <x v="5"/>
    <x v="0"/>
    <n v="6"/>
  </r>
  <r>
    <s v="ORD01423"/>
    <n v="45823.572916666657"/>
    <x v="128"/>
    <s v="Samarinda"/>
    <s v="Gula Pasir - Brand A"/>
    <x v="6"/>
    <x v="2"/>
    <n v="16000"/>
    <n v="5"/>
    <n v="15"/>
    <n v="80000"/>
    <n v="12000"/>
    <n v="68000"/>
    <n v="43000"/>
    <n v="111000"/>
    <x v="0"/>
    <s v="Returned"/>
    <x v="4"/>
    <n v="4"/>
    <s v="Perempuan"/>
    <x v="5"/>
    <x v="0"/>
    <n v="6"/>
  </r>
  <r>
    <s v="ORD01148"/>
    <n v="45823.580659722233"/>
    <x v="161"/>
    <s v="Gorontalo"/>
    <s v="Telur Ayam - Brand C"/>
    <x v="4"/>
    <x v="0"/>
    <n v="28000"/>
    <n v="2"/>
    <n v="15"/>
    <n v="56000"/>
    <n v="8400"/>
    <n v="47600"/>
    <n v="80000"/>
    <n v="127600"/>
    <x v="2"/>
    <s v="Completed"/>
    <x v="1"/>
    <n v="1"/>
    <s v="Perempuan"/>
    <x v="5"/>
    <x v="0"/>
    <n v="6"/>
  </r>
  <r>
    <s v="ORD00694"/>
    <n v="45824.059537037043"/>
    <x v="90"/>
    <s v="Yogyakarta"/>
    <s v="Garam - Brand B"/>
    <x v="5"/>
    <x v="1"/>
    <n v="5000"/>
    <n v="1"/>
    <n v="20"/>
    <n v="5000"/>
    <n v="1000"/>
    <n v="4000"/>
    <n v="78000"/>
    <n v="82000"/>
    <x v="3"/>
    <s v="Completed"/>
    <x v="0"/>
    <n v="1"/>
    <s v="Perempuan"/>
    <x v="5"/>
    <x v="0"/>
    <n v="6"/>
  </r>
  <r>
    <s v="ORD00890"/>
    <n v="45824.182256944441"/>
    <x v="109"/>
    <s v="Banda Aceh"/>
    <s v="Beras - Brand A"/>
    <x v="0"/>
    <x v="2"/>
    <n v="14000"/>
    <n v="2"/>
    <n v="5"/>
    <n v="28000"/>
    <n v="1400"/>
    <n v="26600"/>
    <n v="18000"/>
    <n v="44600"/>
    <x v="1"/>
    <s v="Completed"/>
    <x v="1"/>
    <n v="1"/>
    <s v="Perempuan"/>
    <x v="5"/>
    <x v="0"/>
    <n v="6"/>
  </r>
  <r>
    <s v="ORD01590"/>
    <n v="45824.325555555559"/>
    <x v="159"/>
    <s v="Merauke"/>
    <s v="Gula Pasir - Brand B"/>
    <x v="6"/>
    <x v="1"/>
    <n v="17000"/>
    <n v="2"/>
    <n v="20"/>
    <n v="34000"/>
    <n v="6800"/>
    <n v="27200"/>
    <n v="59000"/>
    <n v="86200"/>
    <x v="2"/>
    <s v="Completed"/>
    <x v="0"/>
    <n v="5"/>
    <s v="Perempuan"/>
    <x v="5"/>
    <x v="0"/>
    <n v="6"/>
  </r>
  <r>
    <s v="ORD01230"/>
    <n v="45824.400405092587"/>
    <x v="81"/>
    <s v="Nabire"/>
    <s v="Susu Bubuk - Brand C"/>
    <x v="7"/>
    <x v="0"/>
    <n v="55000"/>
    <n v="3"/>
    <n v="5"/>
    <n v="165000"/>
    <n v="8250"/>
    <n v="156750"/>
    <n v="89000"/>
    <n v="245750"/>
    <x v="0"/>
    <s v="Completed"/>
    <x v="2"/>
    <n v="3"/>
    <s v="Perempuan"/>
    <x v="5"/>
    <x v="0"/>
    <n v="6"/>
  </r>
  <r>
    <s v="ORD01463"/>
    <n v="45824.791226851848"/>
    <x v="230"/>
    <s v="Manokwari"/>
    <s v="Telur Ayam - Brand B"/>
    <x v="4"/>
    <x v="1"/>
    <n v="25000"/>
    <n v="4"/>
    <n v="10"/>
    <n v="100000"/>
    <n v="10000"/>
    <n v="90000"/>
    <n v="18000"/>
    <n v="108000"/>
    <x v="3"/>
    <s v="Completed"/>
    <x v="4"/>
    <n v="5"/>
    <s v="Perempuan"/>
    <x v="5"/>
    <x v="0"/>
    <n v="6"/>
  </r>
  <r>
    <s v="ORD00740"/>
    <n v="45824.819444444453"/>
    <x v="235"/>
    <s v="Banjarbaru"/>
    <s v="Susu Bubuk - Brand A"/>
    <x v="7"/>
    <x v="2"/>
    <n v="45000"/>
    <n v="3"/>
    <n v="10"/>
    <n v="135000"/>
    <n v="13500"/>
    <n v="121500"/>
    <n v="55000"/>
    <n v="176500"/>
    <x v="0"/>
    <s v="Completed"/>
    <x v="0"/>
    <n v="1"/>
    <s v="Perempuan"/>
    <x v="5"/>
    <x v="0"/>
    <n v="6"/>
  </r>
  <r>
    <s v="ORD01018"/>
    <n v="45824.867627314823"/>
    <x v="48"/>
    <s v="Merauke"/>
    <s v="Garam - Brand C"/>
    <x v="5"/>
    <x v="0"/>
    <n v="6000"/>
    <n v="4"/>
    <n v="10"/>
    <n v="24000"/>
    <n v="2400"/>
    <n v="21600"/>
    <n v="59000"/>
    <n v="80600"/>
    <x v="2"/>
    <s v="Returned"/>
    <x v="0"/>
    <n v="4"/>
    <s v="Perempuan"/>
    <x v="5"/>
    <x v="0"/>
    <n v="6"/>
  </r>
  <r>
    <s v="ORD01621"/>
    <n v="45824.869571759264"/>
    <x v="32"/>
    <s v="Surabaya"/>
    <s v="Minyak Goreng - Brand C"/>
    <x v="8"/>
    <x v="0"/>
    <n v="18000"/>
    <n v="1"/>
    <n v="15"/>
    <n v="18000"/>
    <n v="2700"/>
    <n v="15300"/>
    <n v="74000"/>
    <n v="89300"/>
    <x v="3"/>
    <s v="Returned"/>
    <x v="4"/>
    <n v="2"/>
    <s v="Perempuan"/>
    <x v="5"/>
    <x v="0"/>
    <n v="6"/>
  </r>
  <r>
    <s v="ORD00242"/>
    <n v="45824.939189814817"/>
    <x v="343"/>
    <s v="Bandar Lampung"/>
    <s v="Daging Ayam - Brand A"/>
    <x v="1"/>
    <x v="2"/>
    <n v="35000"/>
    <n v="5"/>
    <n v="5"/>
    <n v="175000"/>
    <n v="8750"/>
    <n v="166250"/>
    <n v="28000"/>
    <n v="194250"/>
    <x v="2"/>
    <s v="Completed"/>
    <x v="2"/>
    <n v="5"/>
    <s v="Perempuan"/>
    <x v="5"/>
    <x v="0"/>
    <n v="6"/>
  </r>
  <r>
    <s v="ORD00426"/>
    <n v="45825.124027777783"/>
    <x v="34"/>
    <s v="Semarang"/>
    <s v="Beras - Brand B"/>
    <x v="0"/>
    <x v="1"/>
    <n v="15000"/>
    <n v="4"/>
    <n v="5"/>
    <n v="60000"/>
    <n v="3000"/>
    <n v="57000"/>
    <n v="76000"/>
    <n v="133000"/>
    <x v="1"/>
    <s v="Completed"/>
    <x v="3"/>
    <n v="5"/>
    <s v="Perempuan"/>
    <x v="5"/>
    <x v="0"/>
    <n v="6"/>
  </r>
  <r>
    <s v="ORD00426"/>
    <n v="45825.124027777783"/>
    <x v="34"/>
    <s v="Semarang"/>
    <s v="Daging Ayam - Brand B"/>
    <x v="1"/>
    <x v="1"/>
    <n v="40000"/>
    <n v="5"/>
    <n v="10"/>
    <n v="200000"/>
    <n v="20000"/>
    <n v="180000"/>
    <n v="0"/>
    <n v="180000"/>
    <x v="1"/>
    <s v="Completed"/>
    <x v="3"/>
    <n v="5"/>
    <s v="Perempuan"/>
    <x v="5"/>
    <x v="0"/>
    <n v="6"/>
  </r>
  <r>
    <s v="ORD01039"/>
    <n v="45825.14534722222"/>
    <x v="181"/>
    <s v="Wamena"/>
    <s v="Tepung Terigu - Brand B"/>
    <x v="2"/>
    <x v="1"/>
    <n v="12000"/>
    <n v="5"/>
    <n v="20"/>
    <n v="60000"/>
    <n v="12000"/>
    <n v="48000"/>
    <n v="15000"/>
    <n v="63000"/>
    <x v="0"/>
    <s v="Completed"/>
    <x v="0"/>
    <n v="3"/>
    <s v="Perempuan"/>
    <x v="5"/>
    <x v="0"/>
    <n v="6"/>
  </r>
  <r>
    <s v="ORD00825"/>
    <n v="45825.189467592587"/>
    <x v="272"/>
    <s v="Semarang"/>
    <s v="Beras - Brand C"/>
    <x v="0"/>
    <x v="0"/>
    <n v="16000"/>
    <n v="5"/>
    <n v="20"/>
    <n v="80000"/>
    <n v="16000"/>
    <n v="64000"/>
    <n v="76000"/>
    <n v="140000"/>
    <x v="3"/>
    <s v="Completed"/>
    <x v="1"/>
    <n v="5"/>
    <s v="Perempuan"/>
    <x v="5"/>
    <x v="0"/>
    <n v="6"/>
  </r>
  <r>
    <s v="ORD01041"/>
    <n v="45825.263229166667"/>
    <x v="143"/>
    <s v="Yogyakarta"/>
    <s v="Bawang Merah - Brand C"/>
    <x v="3"/>
    <x v="0"/>
    <n v="40000"/>
    <n v="5"/>
    <n v="20"/>
    <n v="200000"/>
    <n v="40000"/>
    <n v="160000"/>
    <n v="78000"/>
    <n v="238000"/>
    <x v="2"/>
    <s v="Completed"/>
    <x v="4"/>
    <n v="3"/>
    <s v="Perempuan"/>
    <x v="5"/>
    <x v="0"/>
    <n v="6"/>
  </r>
  <r>
    <s v="ORD01513"/>
    <n v="45825.270729166667"/>
    <x v="139"/>
    <s v="Tanjungpinang"/>
    <s v="Telur Ayam - Brand B"/>
    <x v="4"/>
    <x v="1"/>
    <n v="25000"/>
    <n v="5"/>
    <n v="0"/>
    <n v="125000"/>
    <n v="0"/>
    <n v="125000"/>
    <n v="48000"/>
    <n v="173000"/>
    <x v="2"/>
    <s v="Completed"/>
    <x v="1"/>
    <n v="4"/>
    <s v="Perempuan"/>
    <x v="5"/>
    <x v="0"/>
    <n v="6"/>
  </r>
  <r>
    <s v="ORD00115"/>
    <n v="45825.375011574077"/>
    <x v="94"/>
    <s v="Banda Aceh"/>
    <s v="Susu Bubuk - Brand A"/>
    <x v="7"/>
    <x v="2"/>
    <n v="45000"/>
    <n v="2"/>
    <n v="10"/>
    <n v="90000"/>
    <n v="9000"/>
    <n v="81000"/>
    <n v="18000"/>
    <n v="99000"/>
    <x v="0"/>
    <s v="Completed"/>
    <x v="4"/>
    <n v="3"/>
    <s v="Perempuan"/>
    <x v="5"/>
    <x v="0"/>
    <n v="6"/>
  </r>
  <r>
    <s v="ORD01466"/>
    <n v="45825.424328703702"/>
    <x v="12"/>
    <s v="Sofifi"/>
    <s v="Gula Pasir - Brand A"/>
    <x v="6"/>
    <x v="2"/>
    <n v="16000"/>
    <n v="5"/>
    <n v="20"/>
    <n v="80000"/>
    <n v="16000"/>
    <n v="64000"/>
    <n v="50000"/>
    <n v="114000"/>
    <x v="1"/>
    <s v="Completed"/>
    <x v="2"/>
    <n v="4"/>
    <s v="Perempuan"/>
    <x v="5"/>
    <x v="0"/>
    <n v="6"/>
  </r>
  <r>
    <s v="ORD00613"/>
    <n v="45825.580231481479"/>
    <x v="285"/>
    <s v="Pontianak"/>
    <s v="Gula Pasir - Brand C"/>
    <x v="6"/>
    <x v="0"/>
    <n v="18000"/>
    <n v="5"/>
    <n v="5"/>
    <n v="90000"/>
    <n v="4500"/>
    <n v="85500"/>
    <n v="85000"/>
    <n v="170500"/>
    <x v="3"/>
    <s v="Returned"/>
    <x v="1"/>
    <n v="5"/>
    <s v="Laki-laki"/>
    <x v="5"/>
    <x v="0"/>
    <n v="6"/>
  </r>
  <r>
    <s v="ORD01689"/>
    <n v="45825.66238425926"/>
    <x v="30"/>
    <s v="Wamena"/>
    <s v="Telur Ayam - Brand B"/>
    <x v="4"/>
    <x v="1"/>
    <n v="25000"/>
    <n v="4"/>
    <n v="15"/>
    <n v="100000"/>
    <n v="15000"/>
    <n v="85000"/>
    <n v="15000"/>
    <n v="100000"/>
    <x v="1"/>
    <s v="Completed"/>
    <x v="1"/>
    <n v="2"/>
    <s v="Laki-laki"/>
    <x v="5"/>
    <x v="0"/>
    <n v="6"/>
  </r>
  <r>
    <s v="ORD01277"/>
    <n v="45826.315011574072"/>
    <x v="310"/>
    <s v="Jambi"/>
    <s v="Bawang Merah - Brand A"/>
    <x v="3"/>
    <x v="2"/>
    <n v="30000"/>
    <n v="5"/>
    <n v="5"/>
    <n v="150000"/>
    <n v="7500"/>
    <n v="142500"/>
    <n v="87000"/>
    <n v="229500"/>
    <x v="2"/>
    <s v="Completed"/>
    <x v="2"/>
    <n v="4"/>
    <s v="Perempuan"/>
    <x v="5"/>
    <x v="0"/>
    <n v="6"/>
  </r>
  <r>
    <s v="ORD00241"/>
    <n v="45826.42459490741"/>
    <x v="226"/>
    <s v="Samarinda"/>
    <s v="Garam - Brand A"/>
    <x v="5"/>
    <x v="2"/>
    <n v="4000"/>
    <n v="5"/>
    <n v="5"/>
    <n v="20000"/>
    <n v="1000"/>
    <n v="19000"/>
    <n v="43000"/>
    <n v="62000"/>
    <x v="3"/>
    <s v="Completed"/>
    <x v="1"/>
    <n v="3"/>
    <s v="Perempuan"/>
    <x v="5"/>
    <x v="0"/>
    <n v="6"/>
  </r>
  <r>
    <s v="ORD00091"/>
    <n v="45826.569467592592"/>
    <x v="275"/>
    <s v="Mataram"/>
    <s v="Minyak Goreng - Brand A"/>
    <x v="8"/>
    <x v="2"/>
    <n v="16000"/>
    <n v="2"/>
    <n v="0"/>
    <n v="32000"/>
    <n v="0"/>
    <n v="32000"/>
    <n v="56000"/>
    <n v="88000"/>
    <x v="1"/>
    <s v="Completed"/>
    <x v="0"/>
    <n v="3"/>
    <s v="Laki-laki"/>
    <x v="5"/>
    <x v="0"/>
    <n v="6"/>
  </r>
  <r>
    <s v="ORD00847"/>
    <n v="45826.58625"/>
    <x v="344"/>
    <s v="Kendari"/>
    <s v="Telur Ayam - Brand B"/>
    <x v="4"/>
    <x v="1"/>
    <n v="25000"/>
    <n v="4"/>
    <n v="0"/>
    <n v="100000"/>
    <n v="0"/>
    <n v="100000"/>
    <n v="59000"/>
    <n v="159000"/>
    <x v="1"/>
    <s v="Completed"/>
    <x v="3"/>
    <n v="4"/>
    <s v="Laki-laki"/>
    <x v="5"/>
    <x v="0"/>
    <n v="6"/>
  </r>
  <r>
    <s v="ORD01229"/>
    <n v="45826.623067129629"/>
    <x v="284"/>
    <s v="Pekanbaru"/>
    <s v="Garam - Brand C"/>
    <x v="5"/>
    <x v="0"/>
    <n v="6000"/>
    <n v="5"/>
    <n v="0"/>
    <n v="30000"/>
    <n v="0"/>
    <n v="30000"/>
    <n v="49000"/>
    <n v="79000"/>
    <x v="2"/>
    <s v="Completed"/>
    <x v="0"/>
    <n v="1"/>
    <s v="Perempuan"/>
    <x v="5"/>
    <x v="0"/>
    <n v="6"/>
  </r>
  <r>
    <s v="ORD00650"/>
    <n v="45826.692928240736"/>
    <x v="93"/>
    <s v="Kendari"/>
    <s v="Gula Pasir - Brand A"/>
    <x v="6"/>
    <x v="2"/>
    <n v="16000"/>
    <n v="5"/>
    <n v="20"/>
    <n v="80000"/>
    <n v="16000"/>
    <n v="64000"/>
    <n v="59000"/>
    <n v="123000"/>
    <x v="2"/>
    <s v="Completed"/>
    <x v="2"/>
    <n v="3"/>
    <s v="Perempuan"/>
    <x v="5"/>
    <x v="0"/>
    <n v="6"/>
  </r>
  <r>
    <s v="ORD01443"/>
    <n v="45826.736527777779"/>
    <x v="108"/>
    <s v="Pekanbaru"/>
    <s v="Beras - Brand C"/>
    <x v="0"/>
    <x v="0"/>
    <n v="16000"/>
    <n v="5"/>
    <n v="20"/>
    <n v="80000"/>
    <n v="16000"/>
    <n v="64000"/>
    <n v="49000"/>
    <n v="113000"/>
    <x v="2"/>
    <s v="Completed"/>
    <x v="2"/>
    <n v="3"/>
    <s v="Perempuan"/>
    <x v="5"/>
    <x v="0"/>
    <n v="6"/>
  </r>
  <r>
    <s v="ORD01432"/>
    <n v="45826.87427083333"/>
    <x v="139"/>
    <s v="Tanjungpinang"/>
    <s v="Beras - Brand C"/>
    <x v="0"/>
    <x v="0"/>
    <n v="16000"/>
    <n v="4"/>
    <n v="0"/>
    <n v="64000"/>
    <n v="0"/>
    <n v="64000"/>
    <n v="48000"/>
    <n v="112000"/>
    <x v="0"/>
    <s v="Completed"/>
    <x v="0"/>
    <n v="4"/>
    <s v="Perempuan"/>
    <x v="5"/>
    <x v="0"/>
    <n v="6"/>
  </r>
  <r>
    <s v="ORD00146"/>
    <n v="45827.169039351851"/>
    <x v="284"/>
    <s v="Pekanbaru"/>
    <s v="Beras - Brand A"/>
    <x v="0"/>
    <x v="2"/>
    <n v="14000"/>
    <n v="5"/>
    <n v="20"/>
    <n v="70000"/>
    <n v="14000"/>
    <n v="56000"/>
    <n v="49000"/>
    <n v="105000"/>
    <x v="0"/>
    <s v="Completed"/>
    <x v="4"/>
    <n v="2"/>
    <s v="Perempuan"/>
    <x v="5"/>
    <x v="0"/>
    <n v="6"/>
  </r>
  <r>
    <s v="ORD00146"/>
    <n v="45827.169039351851"/>
    <x v="284"/>
    <s v="Pekanbaru"/>
    <s v="Garam - Brand C"/>
    <x v="5"/>
    <x v="0"/>
    <n v="6000"/>
    <n v="4"/>
    <n v="5"/>
    <n v="24000"/>
    <n v="1200"/>
    <n v="22800"/>
    <n v="0"/>
    <n v="22800"/>
    <x v="0"/>
    <s v="Completed"/>
    <x v="4"/>
    <n v="2"/>
    <s v="Perempuan"/>
    <x v="5"/>
    <x v="0"/>
    <n v="6"/>
  </r>
  <r>
    <s v="ORD00719"/>
    <n v="45827.70103009259"/>
    <x v="176"/>
    <s v="Bandung"/>
    <s v="Telur Ayam - Brand C"/>
    <x v="4"/>
    <x v="0"/>
    <n v="28000"/>
    <n v="4"/>
    <n v="15"/>
    <n v="112000"/>
    <n v="16800"/>
    <n v="95200"/>
    <n v="0"/>
    <n v="95200"/>
    <x v="3"/>
    <s v="Completed"/>
    <x v="0"/>
    <n v="3"/>
    <s v="Perempuan"/>
    <x v="5"/>
    <x v="0"/>
    <n v="6"/>
  </r>
  <r>
    <s v="ORD01033"/>
    <n v="45828.014074074083"/>
    <x v="37"/>
    <s v="Jakarta"/>
    <s v="Minyak Goreng - Brand A"/>
    <x v="8"/>
    <x v="2"/>
    <n v="16000"/>
    <n v="1"/>
    <n v="15"/>
    <n v="16000"/>
    <n v="2400"/>
    <n v="13600"/>
    <n v="97000"/>
    <n v="110600"/>
    <x v="2"/>
    <s v="Completed"/>
    <x v="2"/>
    <n v="3"/>
    <s v="Perempuan"/>
    <x v="5"/>
    <x v="0"/>
    <n v="6"/>
  </r>
  <r>
    <s v="ORD00944"/>
    <n v="45828.168564814812"/>
    <x v="180"/>
    <s v="Pangkalpinang"/>
    <s v="Telur Ayam - Brand A"/>
    <x v="4"/>
    <x v="2"/>
    <n v="22000"/>
    <n v="5"/>
    <n v="0"/>
    <n v="110000"/>
    <n v="0"/>
    <n v="110000"/>
    <n v="18000"/>
    <n v="128000"/>
    <x v="3"/>
    <s v="Completed"/>
    <x v="2"/>
    <n v="4"/>
    <s v="Perempuan"/>
    <x v="5"/>
    <x v="0"/>
    <n v="6"/>
  </r>
  <r>
    <s v="ORD01801"/>
    <n v="45828.297627314823"/>
    <x v="345"/>
    <s v="Manokwari"/>
    <s v="Telur Ayam - Brand C"/>
    <x v="4"/>
    <x v="0"/>
    <n v="28000"/>
    <n v="3"/>
    <n v="20"/>
    <n v="84000"/>
    <n v="16800"/>
    <n v="67200"/>
    <n v="18000"/>
    <n v="85200"/>
    <x v="0"/>
    <s v="Returned"/>
    <x v="4"/>
    <n v="3"/>
    <s v="Perempuan"/>
    <x v="5"/>
    <x v="0"/>
    <n v="6"/>
  </r>
  <r>
    <s v="ORD00578"/>
    <n v="45828.358946759261"/>
    <x v="58"/>
    <s v="Ambon"/>
    <s v="Tepung Terigu - Brand B"/>
    <x v="2"/>
    <x v="1"/>
    <n v="12000"/>
    <n v="4"/>
    <n v="15"/>
    <n v="48000"/>
    <n v="7200"/>
    <n v="40800"/>
    <n v="49000"/>
    <n v="89800"/>
    <x v="3"/>
    <s v="Completed"/>
    <x v="1"/>
    <n v="4"/>
    <s v="Laki-laki"/>
    <x v="5"/>
    <x v="0"/>
    <n v="6"/>
  </r>
  <r>
    <s v="ORD00769"/>
    <n v="45828.4608912037"/>
    <x v="346"/>
    <s v="Manado"/>
    <s v="Beras - Brand A"/>
    <x v="0"/>
    <x v="2"/>
    <n v="14000"/>
    <n v="1"/>
    <n v="15"/>
    <n v="14000"/>
    <n v="2100"/>
    <n v="11900"/>
    <n v="93000"/>
    <n v="104900"/>
    <x v="1"/>
    <s v="Completed"/>
    <x v="0"/>
    <n v="5"/>
    <s v="Laki-laki"/>
    <x v="5"/>
    <x v="0"/>
    <n v="6"/>
  </r>
  <r>
    <s v="ORD00190"/>
    <n v="45828.640914351847"/>
    <x v="347"/>
    <s v="Merauke"/>
    <s v="Telur Ayam - Brand B"/>
    <x v="4"/>
    <x v="1"/>
    <n v="25000"/>
    <n v="2"/>
    <n v="5"/>
    <n v="50000"/>
    <n v="2500"/>
    <n v="47500"/>
    <n v="59000"/>
    <n v="106500"/>
    <x v="3"/>
    <s v="Cancelled"/>
    <x v="0"/>
    <n v="2"/>
    <s v="Perempuan"/>
    <x v="5"/>
    <x v="0"/>
    <n v="6"/>
  </r>
  <r>
    <s v="ORD01137"/>
    <n v="45828.7734837963"/>
    <x v="4"/>
    <s v="Surabaya"/>
    <s v="Gula Pasir - Brand C"/>
    <x v="6"/>
    <x v="0"/>
    <n v="18000"/>
    <n v="2"/>
    <n v="5"/>
    <n v="36000"/>
    <n v="1800"/>
    <n v="34200"/>
    <n v="74000"/>
    <n v="108200"/>
    <x v="2"/>
    <s v="Completed"/>
    <x v="1"/>
    <n v="3"/>
    <s v="Perempuan"/>
    <x v="5"/>
    <x v="0"/>
    <n v="6"/>
  </r>
  <r>
    <s v="ORD00818"/>
    <n v="45829.102546296293"/>
    <x v="194"/>
    <s v="Pangkalpinang"/>
    <s v="Daging Ayam - Brand C"/>
    <x v="1"/>
    <x v="0"/>
    <n v="45000"/>
    <n v="4"/>
    <n v="20"/>
    <n v="180000"/>
    <n v="36000"/>
    <n v="144000"/>
    <n v="18000"/>
    <n v="162000"/>
    <x v="0"/>
    <s v="Completed"/>
    <x v="1"/>
    <n v="1"/>
    <s v="Perempuan"/>
    <x v="5"/>
    <x v="0"/>
    <n v="6"/>
  </r>
  <r>
    <s v="ORD00463"/>
    <n v="45829.202673611107"/>
    <x v="348"/>
    <s v="Sorong"/>
    <s v="Garam - Brand A"/>
    <x v="5"/>
    <x v="2"/>
    <n v="4000"/>
    <n v="3"/>
    <n v="5"/>
    <n v="12000"/>
    <n v="600"/>
    <n v="11400"/>
    <n v="87000"/>
    <n v="98400"/>
    <x v="1"/>
    <s v="Completed"/>
    <x v="2"/>
    <n v="2"/>
    <s v="Perempuan"/>
    <x v="5"/>
    <x v="0"/>
    <n v="6"/>
  </r>
  <r>
    <s v="ORD00310"/>
    <n v="45829.474479166667"/>
    <x v="348"/>
    <s v="Sorong"/>
    <s v="Garam - Brand A"/>
    <x v="5"/>
    <x v="2"/>
    <n v="4000"/>
    <n v="2"/>
    <n v="15"/>
    <n v="8000"/>
    <n v="1200"/>
    <n v="6800"/>
    <n v="87000"/>
    <n v="93800"/>
    <x v="2"/>
    <s v="Completed"/>
    <x v="1"/>
    <n v="3"/>
    <s v="Perempuan"/>
    <x v="5"/>
    <x v="0"/>
    <n v="6"/>
  </r>
  <r>
    <s v="ORD00929"/>
    <n v="45829.580046296287"/>
    <x v="271"/>
    <s v="Bandung"/>
    <s v="Daging Ayam - Brand A"/>
    <x v="1"/>
    <x v="2"/>
    <n v="35000"/>
    <n v="1"/>
    <n v="0"/>
    <n v="35000"/>
    <n v="0"/>
    <n v="35000"/>
    <n v="0"/>
    <n v="35000"/>
    <x v="3"/>
    <s v="Completed"/>
    <x v="0"/>
    <n v="2"/>
    <s v="Perempuan"/>
    <x v="5"/>
    <x v="0"/>
    <n v="6"/>
  </r>
  <r>
    <s v="ORD00691"/>
    <n v="45829.607395833344"/>
    <x v="321"/>
    <s v="Yogyakarta"/>
    <s v="Bawang Merah - Brand C"/>
    <x v="3"/>
    <x v="0"/>
    <n v="40000"/>
    <n v="1"/>
    <n v="0"/>
    <n v="40000"/>
    <n v="0"/>
    <n v="40000"/>
    <n v="78000"/>
    <n v="118000"/>
    <x v="1"/>
    <s v="Completed"/>
    <x v="2"/>
    <n v="1"/>
    <s v="Perempuan"/>
    <x v="5"/>
    <x v="0"/>
    <n v="6"/>
  </r>
  <r>
    <s v="ORD01397"/>
    <n v="45829.627430555563"/>
    <x v="233"/>
    <s v="Jayapura"/>
    <s v="Minyak Goreng - Brand C"/>
    <x v="8"/>
    <x v="0"/>
    <n v="18000"/>
    <n v="2"/>
    <n v="15"/>
    <n v="36000"/>
    <n v="5400"/>
    <n v="30600"/>
    <n v="30000"/>
    <n v="60600"/>
    <x v="3"/>
    <s v="Completed"/>
    <x v="0"/>
    <n v="1"/>
    <s v="Perempuan"/>
    <x v="5"/>
    <x v="0"/>
    <n v="6"/>
  </r>
  <r>
    <s v="ORD00382"/>
    <n v="45829.718715277777"/>
    <x v="160"/>
    <s v="Ambon"/>
    <s v="Bawang Merah - Brand A"/>
    <x v="3"/>
    <x v="2"/>
    <n v="30000"/>
    <n v="5"/>
    <n v="10"/>
    <n v="150000"/>
    <n v="15000"/>
    <n v="135000"/>
    <n v="49000"/>
    <n v="184000"/>
    <x v="3"/>
    <s v="Cancelled"/>
    <x v="0"/>
    <n v="5"/>
    <s v="Perempuan"/>
    <x v="5"/>
    <x v="0"/>
    <n v="6"/>
  </r>
  <r>
    <s v="ORD00490"/>
    <n v="45829.995729166672"/>
    <x v="294"/>
    <s v="Yogyakarta"/>
    <s v="Tepung Terigu - Brand A"/>
    <x v="2"/>
    <x v="2"/>
    <n v="10000"/>
    <n v="3"/>
    <n v="5"/>
    <n v="30000"/>
    <n v="1500"/>
    <n v="28500"/>
    <n v="78000"/>
    <n v="106500"/>
    <x v="1"/>
    <s v="Cancelled"/>
    <x v="3"/>
    <n v="3"/>
    <s v="Perempuan"/>
    <x v="5"/>
    <x v="0"/>
    <n v="6"/>
  </r>
  <r>
    <s v="ORD00671"/>
    <n v="45830.073067129633"/>
    <x v="169"/>
    <s v="Manado"/>
    <s v="Minyak Goreng - Brand B"/>
    <x v="8"/>
    <x v="1"/>
    <n v="17000"/>
    <n v="3"/>
    <n v="20"/>
    <n v="51000"/>
    <n v="10200"/>
    <n v="40800"/>
    <n v="93000"/>
    <n v="133800"/>
    <x v="1"/>
    <s v="Completed"/>
    <x v="3"/>
    <n v="4"/>
    <s v="Perempuan"/>
    <x v="5"/>
    <x v="0"/>
    <n v="6"/>
  </r>
  <r>
    <s v="ORD01591"/>
    <n v="45830.227199074077"/>
    <x v="246"/>
    <s v="Jakarta"/>
    <s v="Daging Ayam - Brand C"/>
    <x v="1"/>
    <x v="0"/>
    <n v="45000"/>
    <n v="4"/>
    <n v="5"/>
    <n v="180000"/>
    <n v="9000"/>
    <n v="171000"/>
    <n v="97000"/>
    <n v="268000"/>
    <x v="1"/>
    <s v="Returned"/>
    <x v="2"/>
    <n v="3"/>
    <s v="Perempuan"/>
    <x v="5"/>
    <x v="0"/>
    <n v="6"/>
  </r>
  <r>
    <s v="ORD00136"/>
    <n v="45830.288483796299"/>
    <x v="349"/>
    <s v="Bandar Lampung"/>
    <s v="Telur Ayam - Brand A"/>
    <x v="4"/>
    <x v="2"/>
    <n v="22000"/>
    <n v="5"/>
    <n v="10"/>
    <n v="110000"/>
    <n v="11000"/>
    <n v="99000"/>
    <n v="28000"/>
    <n v="127000"/>
    <x v="2"/>
    <s v="Completed"/>
    <x v="0"/>
    <n v="2"/>
    <s v="Perempuan"/>
    <x v="5"/>
    <x v="0"/>
    <n v="6"/>
  </r>
  <r>
    <s v="ORD00136"/>
    <n v="45830.288483796299"/>
    <x v="349"/>
    <s v="Bandar Lampung"/>
    <s v="Bawang Merah - Brand C"/>
    <x v="3"/>
    <x v="0"/>
    <n v="40000"/>
    <n v="2"/>
    <n v="10"/>
    <n v="80000"/>
    <n v="8000"/>
    <n v="72000"/>
    <n v="0"/>
    <n v="72000"/>
    <x v="2"/>
    <s v="Completed"/>
    <x v="0"/>
    <n v="2"/>
    <s v="Perempuan"/>
    <x v="5"/>
    <x v="0"/>
    <n v="6"/>
  </r>
  <r>
    <s v="ORD01790"/>
    <n v="45830.345300925917"/>
    <x v="166"/>
    <s v="Samarinda"/>
    <s v="Telur Ayam - Brand C"/>
    <x v="4"/>
    <x v="0"/>
    <n v="28000"/>
    <n v="2"/>
    <n v="0"/>
    <n v="56000"/>
    <n v="0"/>
    <n v="56000"/>
    <n v="43000"/>
    <n v="99000"/>
    <x v="2"/>
    <s v="Completed"/>
    <x v="3"/>
    <n v="1"/>
    <s v="Perempuan"/>
    <x v="5"/>
    <x v="0"/>
    <n v="6"/>
  </r>
  <r>
    <s v="ORD01727"/>
    <n v="45830.581990740742"/>
    <x v="202"/>
    <s v="Bengkulu"/>
    <s v="Tepung Terigu - Brand C"/>
    <x v="2"/>
    <x v="0"/>
    <n v="14000"/>
    <n v="3"/>
    <n v="20"/>
    <n v="42000"/>
    <n v="8400"/>
    <n v="33600"/>
    <n v="72000"/>
    <n v="105600"/>
    <x v="3"/>
    <s v="Completed"/>
    <x v="2"/>
    <n v="1"/>
    <s v="Perempuan"/>
    <x v="5"/>
    <x v="0"/>
    <n v="6"/>
  </r>
  <r>
    <s v="ORD00076"/>
    <n v="45830.671400462961"/>
    <x v="281"/>
    <s v="Nabire"/>
    <s v="Minyak Goreng - Brand C"/>
    <x v="8"/>
    <x v="0"/>
    <n v="18000"/>
    <n v="5"/>
    <n v="0"/>
    <n v="90000"/>
    <n v="0"/>
    <n v="90000"/>
    <n v="89000"/>
    <n v="179000"/>
    <x v="2"/>
    <s v="Completed"/>
    <x v="1"/>
    <n v="1"/>
    <s v="Laki-laki"/>
    <x v="5"/>
    <x v="0"/>
    <n v="6"/>
  </r>
  <r>
    <s v="ORD01756"/>
    <n v="45830.673506944448"/>
    <x v="25"/>
    <s v="Bandar Lampung"/>
    <s v="Beras - Brand C"/>
    <x v="0"/>
    <x v="0"/>
    <n v="16000"/>
    <n v="2"/>
    <n v="15"/>
    <n v="32000"/>
    <n v="4800"/>
    <n v="27200"/>
    <n v="28000"/>
    <n v="55200"/>
    <x v="1"/>
    <s v="Completed"/>
    <x v="3"/>
    <n v="2"/>
    <s v="Perempuan"/>
    <x v="5"/>
    <x v="0"/>
    <n v="6"/>
  </r>
  <r>
    <s v="ORD00894"/>
    <n v="45830.705601851849"/>
    <x v="144"/>
    <s v="Surabaya"/>
    <s v="Daging Ayam - Brand C"/>
    <x v="1"/>
    <x v="0"/>
    <n v="45000"/>
    <n v="3"/>
    <n v="15"/>
    <n v="135000"/>
    <n v="20250"/>
    <n v="114750"/>
    <n v="74000"/>
    <n v="188750"/>
    <x v="1"/>
    <s v="Returned"/>
    <x v="4"/>
    <n v="2"/>
    <s v="Perempuan"/>
    <x v="5"/>
    <x v="0"/>
    <n v="6"/>
  </r>
  <r>
    <s v="ORD00288"/>
    <n v="45830.708506944437"/>
    <x v="256"/>
    <s v="Jambi"/>
    <s v="Susu Bubuk - Brand C"/>
    <x v="7"/>
    <x v="0"/>
    <n v="55000"/>
    <n v="2"/>
    <n v="20"/>
    <n v="110000"/>
    <n v="22000"/>
    <n v="88000"/>
    <n v="87000"/>
    <n v="175000"/>
    <x v="2"/>
    <s v="Completed"/>
    <x v="4"/>
    <n v="3"/>
    <s v="Perempuan"/>
    <x v="5"/>
    <x v="0"/>
    <n v="6"/>
  </r>
  <r>
    <s v="ORD01358"/>
    <n v="45830.878240740742"/>
    <x v="0"/>
    <s v="Sorong"/>
    <s v="Tepung Terigu - Brand B"/>
    <x v="2"/>
    <x v="1"/>
    <n v="12000"/>
    <n v="2"/>
    <n v="0"/>
    <n v="24000"/>
    <n v="0"/>
    <n v="24000"/>
    <n v="87000"/>
    <n v="111000"/>
    <x v="1"/>
    <s v="Completed"/>
    <x v="2"/>
    <n v="5"/>
    <s v="Perempuan"/>
    <x v="5"/>
    <x v="0"/>
    <n v="6"/>
  </r>
  <r>
    <s v="ORD00849"/>
    <n v="45831.159814814811"/>
    <x v="68"/>
    <s v="Kendari"/>
    <s v="Susu Bubuk - Brand B"/>
    <x v="7"/>
    <x v="1"/>
    <n v="50000"/>
    <n v="2"/>
    <n v="15"/>
    <n v="100000"/>
    <n v="15000"/>
    <n v="85000"/>
    <n v="59000"/>
    <n v="144000"/>
    <x v="0"/>
    <s v="Completed"/>
    <x v="4"/>
    <n v="5"/>
    <s v="Perempuan"/>
    <x v="5"/>
    <x v="0"/>
    <n v="6"/>
  </r>
  <r>
    <s v="ORD01331"/>
    <n v="45831.452824074076"/>
    <x v="233"/>
    <s v="Jayapura"/>
    <s v="Gula Pasir - Brand B"/>
    <x v="6"/>
    <x v="1"/>
    <n v="17000"/>
    <n v="5"/>
    <n v="0"/>
    <n v="85000"/>
    <n v="0"/>
    <n v="85000"/>
    <n v="30000"/>
    <n v="115000"/>
    <x v="0"/>
    <s v="Completed"/>
    <x v="1"/>
    <n v="4"/>
    <s v="Perempuan"/>
    <x v="5"/>
    <x v="0"/>
    <n v="6"/>
  </r>
  <r>
    <s v="ORD01864"/>
    <n v="45831.528344907398"/>
    <x v="50"/>
    <s v="Manokwari"/>
    <s v="Daging Ayam - Brand B"/>
    <x v="1"/>
    <x v="1"/>
    <n v="40000"/>
    <n v="1"/>
    <n v="5"/>
    <n v="40000"/>
    <n v="2000"/>
    <n v="38000"/>
    <n v="18000"/>
    <n v="56000"/>
    <x v="2"/>
    <s v="Completed"/>
    <x v="1"/>
    <n v="2"/>
    <s v="Perempuan"/>
    <x v="5"/>
    <x v="0"/>
    <n v="6"/>
  </r>
  <r>
    <s v="ORD00594"/>
    <n v="45831.597777777781"/>
    <x v="319"/>
    <s v="Pangkalpinang"/>
    <s v="Garam - Brand B"/>
    <x v="5"/>
    <x v="1"/>
    <n v="5000"/>
    <n v="1"/>
    <n v="20"/>
    <n v="5000"/>
    <n v="1000"/>
    <n v="4000"/>
    <n v="18000"/>
    <n v="22000"/>
    <x v="0"/>
    <s v="Completed"/>
    <x v="3"/>
    <n v="4"/>
    <s v="Laki-laki"/>
    <x v="5"/>
    <x v="0"/>
    <n v="6"/>
  </r>
  <r>
    <s v="ORD01737"/>
    <n v="45831.82885416667"/>
    <x v="283"/>
    <s v="Samarinda"/>
    <s v="Bawang Merah - Brand B"/>
    <x v="3"/>
    <x v="1"/>
    <n v="35000"/>
    <n v="1"/>
    <n v="0"/>
    <n v="35000"/>
    <n v="0"/>
    <n v="35000"/>
    <n v="43000"/>
    <n v="78000"/>
    <x v="1"/>
    <s v="Completed"/>
    <x v="1"/>
    <n v="1"/>
    <s v="Perempuan"/>
    <x v="5"/>
    <x v="0"/>
    <n v="6"/>
  </r>
  <r>
    <s v="ORD00878"/>
    <n v="45832.112662037027"/>
    <x v="104"/>
    <s v="Sorong"/>
    <s v="Minyak Goreng - Brand B"/>
    <x v="8"/>
    <x v="1"/>
    <n v="17000"/>
    <n v="2"/>
    <n v="15"/>
    <n v="34000"/>
    <n v="5100"/>
    <n v="28900"/>
    <n v="87000"/>
    <n v="115900"/>
    <x v="1"/>
    <s v="Completed"/>
    <x v="2"/>
    <n v="5"/>
    <s v="Laki-laki"/>
    <x v="5"/>
    <x v="0"/>
    <n v="6"/>
  </r>
  <r>
    <s v="ORD01840"/>
    <n v="45832.615891203714"/>
    <x v="178"/>
    <s v="Kupang"/>
    <s v="Telur Ayam - Brand A"/>
    <x v="4"/>
    <x v="2"/>
    <n v="22000"/>
    <n v="2"/>
    <n v="20"/>
    <n v="44000"/>
    <n v="8800"/>
    <n v="35200"/>
    <n v="21000"/>
    <n v="56200"/>
    <x v="0"/>
    <s v="Completed"/>
    <x v="0"/>
    <n v="1"/>
    <s v="Perempuan"/>
    <x v="5"/>
    <x v="0"/>
    <n v="6"/>
  </r>
  <r>
    <s v="ORD01593"/>
    <n v="45832.70207175926"/>
    <x v="99"/>
    <s v="Padang"/>
    <s v="Telur Ayam - Brand C"/>
    <x v="4"/>
    <x v="0"/>
    <n v="28000"/>
    <n v="3"/>
    <n v="5"/>
    <n v="84000"/>
    <n v="4200"/>
    <n v="79800"/>
    <n v="68000"/>
    <n v="147800"/>
    <x v="1"/>
    <s v="Completed"/>
    <x v="3"/>
    <n v="3"/>
    <s v="Perempuan"/>
    <x v="5"/>
    <x v="0"/>
    <n v="6"/>
  </r>
  <r>
    <s v="ORD00737"/>
    <n v="45832.955671296288"/>
    <x v="265"/>
    <s v="Merauke"/>
    <s v="Gula Pasir - Brand C"/>
    <x v="6"/>
    <x v="0"/>
    <n v="18000"/>
    <n v="5"/>
    <n v="0"/>
    <n v="90000"/>
    <n v="0"/>
    <n v="90000"/>
    <n v="59000"/>
    <n v="149000"/>
    <x v="3"/>
    <s v="Completed"/>
    <x v="1"/>
    <n v="5"/>
    <s v="Perempuan"/>
    <x v="5"/>
    <x v="0"/>
    <n v="6"/>
  </r>
  <r>
    <s v="ORD00770"/>
    <n v="45833.024351851847"/>
    <x v="297"/>
    <s v="Merauke"/>
    <s v="Bawang Merah - Brand B"/>
    <x v="3"/>
    <x v="1"/>
    <n v="35000"/>
    <n v="4"/>
    <n v="15"/>
    <n v="140000"/>
    <n v="21000"/>
    <n v="119000"/>
    <n v="59000"/>
    <n v="178000"/>
    <x v="2"/>
    <s v="Completed"/>
    <x v="1"/>
    <n v="4"/>
    <s v="Perempuan"/>
    <x v="5"/>
    <x v="0"/>
    <n v="6"/>
  </r>
  <r>
    <s v="ORD01186"/>
    <n v="45833.297638888893"/>
    <x v="57"/>
    <s v="Banda Aceh"/>
    <s v="Beras - Brand C"/>
    <x v="0"/>
    <x v="0"/>
    <n v="16000"/>
    <n v="2"/>
    <n v="10"/>
    <n v="32000"/>
    <n v="3200"/>
    <n v="28800"/>
    <n v="18000"/>
    <n v="46800"/>
    <x v="2"/>
    <s v="Returned"/>
    <x v="1"/>
    <n v="5"/>
    <s v="Perempuan"/>
    <x v="5"/>
    <x v="0"/>
    <n v="6"/>
  </r>
  <r>
    <s v="ORD00997"/>
    <n v="45833.859907407408"/>
    <x v="320"/>
    <s v="Jambi"/>
    <s v="Garam - Brand B"/>
    <x v="5"/>
    <x v="1"/>
    <n v="5000"/>
    <n v="3"/>
    <n v="0"/>
    <n v="15000"/>
    <n v="0"/>
    <n v="15000"/>
    <n v="87000"/>
    <n v="102000"/>
    <x v="0"/>
    <s v="Completed"/>
    <x v="0"/>
    <n v="2"/>
    <s v="Laki-laki"/>
    <x v="5"/>
    <x v="0"/>
    <n v="6"/>
  </r>
  <r>
    <s v="ORD01824"/>
    <n v="45834.059502314813"/>
    <x v="166"/>
    <s v="Samarinda"/>
    <s v="Bawang Merah - Brand B"/>
    <x v="3"/>
    <x v="1"/>
    <n v="35000"/>
    <n v="3"/>
    <n v="10"/>
    <n v="105000"/>
    <n v="10500"/>
    <n v="94500"/>
    <n v="43000"/>
    <n v="137500"/>
    <x v="3"/>
    <s v="Completed"/>
    <x v="4"/>
    <n v="3"/>
    <s v="Perempuan"/>
    <x v="5"/>
    <x v="0"/>
    <n v="6"/>
  </r>
  <r>
    <s v="ORD01522"/>
    <n v="45834.124675925923"/>
    <x v="262"/>
    <s v="Makassar"/>
    <s v="Susu Bubuk - Brand C"/>
    <x v="7"/>
    <x v="0"/>
    <n v="55000"/>
    <n v="1"/>
    <n v="10"/>
    <n v="55000"/>
    <n v="5500"/>
    <n v="49500"/>
    <n v="84000"/>
    <n v="133500"/>
    <x v="1"/>
    <s v="Completed"/>
    <x v="3"/>
    <n v="3"/>
    <s v="Laki-laki"/>
    <x v="5"/>
    <x v="0"/>
    <n v="6"/>
  </r>
  <r>
    <s v="ORD00668"/>
    <n v="45834.260358796288"/>
    <x v="95"/>
    <s v="Tanjung Selor"/>
    <s v="Gula Pasir - Brand B"/>
    <x v="6"/>
    <x v="1"/>
    <n v="17000"/>
    <n v="4"/>
    <n v="15"/>
    <n v="68000"/>
    <n v="10200"/>
    <n v="57800"/>
    <n v="26000"/>
    <n v="83800"/>
    <x v="2"/>
    <s v="Completed"/>
    <x v="4"/>
    <n v="2"/>
    <s v="Perempuan"/>
    <x v="5"/>
    <x v="0"/>
    <n v="6"/>
  </r>
  <r>
    <s v="ORD01788"/>
    <n v="45834.40934027778"/>
    <x v="69"/>
    <s v="Bandung"/>
    <s v="Susu Bubuk - Brand C"/>
    <x v="7"/>
    <x v="0"/>
    <n v="55000"/>
    <n v="3"/>
    <n v="5"/>
    <n v="165000"/>
    <n v="8250"/>
    <n v="156750"/>
    <n v="0"/>
    <n v="156750"/>
    <x v="1"/>
    <s v="Cancelled"/>
    <x v="1"/>
    <n v="1"/>
    <s v="Perempuan"/>
    <x v="5"/>
    <x v="0"/>
    <n v="6"/>
  </r>
  <r>
    <s v="ORD01359"/>
    <n v="45834.511157407411"/>
    <x v="152"/>
    <s v="Jakarta"/>
    <s v="Tepung Terigu - Brand B"/>
    <x v="2"/>
    <x v="1"/>
    <n v="12000"/>
    <n v="1"/>
    <n v="10"/>
    <n v="12000"/>
    <n v="1200"/>
    <n v="10800"/>
    <n v="97000"/>
    <n v="107800"/>
    <x v="2"/>
    <s v="Completed"/>
    <x v="3"/>
    <n v="2"/>
    <s v="Perempuan"/>
    <x v="5"/>
    <x v="0"/>
    <n v="6"/>
  </r>
  <r>
    <s v="ORD01442"/>
    <n v="45834.859282407408"/>
    <x v="156"/>
    <s v="Gorontalo"/>
    <s v="Minyak Goreng - Brand C"/>
    <x v="8"/>
    <x v="0"/>
    <n v="18000"/>
    <n v="5"/>
    <n v="0"/>
    <n v="90000"/>
    <n v="0"/>
    <n v="90000"/>
    <n v="80000"/>
    <n v="170000"/>
    <x v="1"/>
    <s v="Returned"/>
    <x v="3"/>
    <n v="4"/>
    <s v="Laki-laki"/>
    <x v="5"/>
    <x v="0"/>
    <n v="6"/>
  </r>
  <r>
    <s v="ORD00560"/>
    <n v="45834.879988425928"/>
    <x v="106"/>
    <s v="Tanjungpinang"/>
    <s v="Beras - Brand A"/>
    <x v="0"/>
    <x v="2"/>
    <n v="14000"/>
    <n v="2"/>
    <n v="5"/>
    <n v="28000"/>
    <n v="1400"/>
    <n v="26600"/>
    <n v="48000"/>
    <n v="74600"/>
    <x v="2"/>
    <s v="Completed"/>
    <x v="4"/>
    <n v="1"/>
    <s v="Perempuan"/>
    <x v="5"/>
    <x v="0"/>
    <n v="6"/>
  </r>
  <r>
    <s v="ORD00342"/>
    <n v="45835.018020833333"/>
    <x v="288"/>
    <s v="Pangkalpinang"/>
    <s v="Minyak Goreng - Brand C"/>
    <x v="8"/>
    <x v="0"/>
    <n v="18000"/>
    <n v="1"/>
    <n v="10"/>
    <n v="18000"/>
    <n v="1800"/>
    <n v="16200"/>
    <n v="18000"/>
    <n v="34200"/>
    <x v="3"/>
    <s v="Completed"/>
    <x v="0"/>
    <n v="2"/>
    <s v="Perempuan"/>
    <x v="5"/>
    <x v="0"/>
    <n v="6"/>
  </r>
  <r>
    <s v="ORD00335"/>
    <n v="45835.074872685182"/>
    <x v="321"/>
    <s v="Yogyakarta"/>
    <s v="Daging Ayam - Brand C"/>
    <x v="1"/>
    <x v="0"/>
    <n v="45000"/>
    <n v="3"/>
    <n v="0"/>
    <n v="135000"/>
    <n v="0"/>
    <n v="135000"/>
    <n v="78000"/>
    <n v="213000"/>
    <x v="3"/>
    <s v="Completed"/>
    <x v="0"/>
    <n v="4"/>
    <s v="Perempuan"/>
    <x v="5"/>
    <x v="0"/>
    <n v="6"/>
  </r>
  <r>
    <s v="ORD01184"/>
    <n v="45835.552071759259"/>
    <x v="345"/>
    <s v="Manokwari"/>
    <s v="Tepung Terigu - Brand C"/>
    <x v="2"/>
    <x v="0"/>
    <n v="14000"/>
    <n v="1"/>
    <n v="10"/>
    <n v="14000"/>
    <n v="1400"/>
    <n v="12600"/>
    <n v="18000"/>
    <n v="30600"/>
    <x v="2"/>
    <s v="Completed"/>
    <x v="0"/>
    <n v="5"/>
    <s v="Perempuan"/>
    <x v="5"/>
    <x v="0"/>
    <n v="6"/>
  </r>
  <r>
    <s v="ORD00482"/>
    <n v="45835.804826388892"/>
    <x v="264"/>
    <s v="Pontianak"/>
    <s v="Garam - Brand A"/>
    <x v="5"/>
    <x v="2"/>
    <n v="4000"/>
    <n v="3"/>
    <n v="0"/>
    <n v="12000"/>
    <n v="0"/>
    <n v="12000"/>
    <n v="85000"/>
    <n v="97000"/>
    <x v="1"/>
    <s v="Returned"/>
    <x v="4"/>
    <n v="2"/>
    <s v="Perempuan"/>
    <x v="5"/>
    <x v="0"/>
    <n v="6"/>
  </r>
  <r>
    <s v="ORD01852"/>
    <n v="45835.8749537037"/>
    <x v="125"/>
    <s v="Palembang"/>
    <s v="Susu Bubuk - Brand C"/>
    <x v="7"/>
    <x v="0"/>
    <n v="55000"/>
    <n v="2"/>
    <n v="20"/>
    <n v="110000"/>
    <n v="22000"/>
    <n v="88000"/>
    <n v="17000"/>
    <n v="105000"/>
    <x v="2"/>
    <s v="Completed"/>
    <x v="2"/>
    <n v="1"/>
    <s v="Perempuan"/>
    <x v="5"/>
    <x v="0"/>
    <n v="6"/>
  </r>
  <r>
    <s v="ORD01142"/>
    <n v="45836.165405092594"/>
    <x v="228"/>
    <s v="Manokwari"/>
    <s v="Beras - Brand C"/>
    <x v="0"/>
    <x v="0"/>
    <n v="16000"/>
    <n v="3"/>
    <n v="5"/>
    <n v="48000"/>
    <n v="2400"/>
    <n v="45600"/>
    <n v="18000"/>
    <n v="63600"/>
    <x v="0"/>
    <s v="Completed"/>
    <x v="4"/>
    <n v="2"/>
    <s v="Laki-laki"/>
    <x v="5"/>
    <x v="0"/>
    <n v="6"/>
  </r>
  <r>
    <s v="ORD01196"/>
    <n v="45836.346585648149"/>
    <x v="350"/>
    <s v="Jayapura"/>
    <s v="Daging Ayam - Brand A"/>
    <x v="1"/>
    <x v="2"/>
    <n v="35000"/>
    <n v="3"/>
    <n v="5"/>
    <n v="105000"/>
    <n v="5250"/>
    <n v="99750"/>
    <n v="30000"/>
    <n v="129750"/>
    <x v="0"/>
    <s v="Completed"/>
    <x v="3"/>
    <n v="1"/>
    <s v="Laki-laki"/>
    <x v="5"/>
    <x v="0"/>
    <n v="6"/>
  </r>
  <r>
    <s v="ORD00121"/>
    <n v="45836.484502314823"/>
    <x v="351"/>
    <s v="Banda Aceh"/>
    <s v="Beras - Brand A"/>
    <x v="0"/>
    <x v="2"/>
    <n v="14000"/>
    <n v="2"/>
    <n v="15"/>
    <n v="28000"/>
    <n v="4200"/>
    <n v="23800"/>
    <n v="18000"/>
    <n v="41800"/>
    <x v="0"/>
    <s v="Completed"/>
    <x v="4"/>
    <n v="2"/>
    <s v="Perempuan"/>
    <x v="5"/>
    <x v="0"/>
    <n v="6"/>
  </r>
  <r>
    <s v="ORD01749"/>
    <n v="45836.536307870367"/>
    <x v="290"/>
    <s v="Semarang"/>
    <s v="Telur Ayam - Brand C"/>
    <x v="4"/>
    <x v="0"/>
    <n v="28000"/>
    <n v="5"/>
    <n v="15"/>
    <n v="140000"/>
    <n v="21000"/>
    <n v="119000"/>
    <n v="76000"/>
    <n v="195000"/>
    <x v="0"/>
    <s v="Cancelled"/>
    <x v="1"/>
    <n v="4"/>
    <s v="Laki-laki"/>
    <x v="5"/>
    <x v="0"/>
    <n v="6"/>
  </r>
  <r>
    <s v="ORD00080"/>
    <n v="45837.039467592593"/>
    <x v="352"/>
    <s v="Nabire"/>
    <s v="Telur Ayam - Brand C"/>
    <x v="4"/>
    <x v="0"/>
    <n v="28000"/>
    <n v="3"/>
    <n v="10"/>
    <n v="84000"/>
    <n v="8400"/>
    <n v="75600"/>
    <n v="89000"/>
    <n v="164600"/>
    <x v="2"/>
    <s v="Completed"/>
    <x v="3"/>
    <n v="4"/>
    <s v="Laki-laki"/>
    <x v="5"/>
    <x v="0"/>
    <n v="6"/>
  </r>
  <r>
    <s v="ORD00292"/>
    <n v="45837.163124999999"/>
    <x v="154"/>
    <s v="Bandar Lampung"/>
    <s v="Telur Ayam - Brand B"/>
    <x v="4"/>
    <x v="1"/>
    <n v="25000"/>
    <n v="4"/>
    <n v="15"/>
    <n v="100000"/>
    <n v="15000"/>
    <n v="85000"/>
    <n v="28000"/>
    <n v="113000"/>
    <x v="0"/>
    <s v="Completed"/>
    <x v="4"/>
    <n v="3"/>
    <s v="Perempuan"/>
    <x v="5"/>
    <x v="0"/>
    <n v="6"/>
  </r>
  <r>
    <s v="ORD00425"/>
    <n v="45837.244930555556"/>
    <x v="50"/>
    <s v="Manokwari"/>
    <s v="Beras - Brand A"/>
    <x v="0"/>
    <x v="2"/>
    <n v="14000"/>
    <n v="5"/>
    <n v="0"/>
    <n v="70000"/>
    <n v="0"/>
    <n v="70000"/>
    <n v="18000"/>
    <n v="88000"/>
    <x v="0"/>
    <s v="Returned"/>
    <x v="4"/>
    <n v="3"/>
    <s v="Perempuan"/>
    <x v="5"/>
    <x v="0"/>
    <n v="6"/>
  </r>
  <r>
    <s v="ORD00425"/>
    <n v="45837.244930555556"/>
    <x v="50"/>
    <s v="Manokwari"/>
    <s v="Bawang Merah - Brand A"/>
    <x v="3"/>
    <x v="2"/>
    <n v="30000"/>
    <n v="3"/>
    <n v="15"/>
    <n v="90000"/>
    <n v="13500"/>
    <n v="76500"/>
    <n v="0"/>
    <n v="76500"/>
    <x v="0"/>
    <s v="Returned"/>
    <x v="4"/>
    <n v="3"/>
    <s v="Perempuan"/>
    <x v="5"/>
    <x v="0"/>
    <n v="6"/>
  </r>
  <r>
    <s v="ORD01245"/>
    <n v="45837.430983796286"/>
    <x v="278"/>
    <s v="Yogyakarta"/>
    <s v="Gula Pasir - Brand B"/>
    <x v="6"/>
    <x v="1"/>
    <n v="17000"/>
    <n v="4"/>
    <n v="0"/>
    <n v="68000"/>
    <n v="0"/>
    <n v="68000"/>
    <n v="78000"/>
    <n v="146000"/>
    <x v="1"/>
    <s v="Completed"/>
    <x v="3"/>
    <n v="1"/>
    <s v="Perempuan"/>
    <x v="5"/>
    <x v="0"/>
    <n v="6"/>
  </r>
  <r>
    <s v="ORD01458"/>
    <n v="45837.844050925924"/>
    <x v="218"/>
    <s v="Sorong"/>
    <s v="Garam - Brand A"/>
    <x v="5"/>
    <x v="2"/>
    <n v="4000"/>
    <n v="4"/>
    <n v="15"/>
    <n v="16000"/>
    <n v="2400"/>
    <n v="13600"/>
    <n v="87000"/>
    <n v="100600"/>
    <x v="3"/>
    <s v="Completed"/>
    <x v="0"/>
    <n v="2"/>
    <s v="Laki-laki"/>
    <x v="5"/>
    <x v="0"/>
    <n v="6"/>
  </r>
  <r>
    <s v="ORD01470"/>
    <n v="45838.117222222223"/>
    <x v="203"/>
    <s v="Kendari"/>
    <s v="Daging Ayam - Brand B"/>
    <x v="1"/>
    <x v="1"/>
    <n v="40000"/>
    <n v="4"/>
    <n v="20"/>
    <n v="160000"/>
    <n v="32000"/>
    <n v="128000"/>
    <n v="59000"/>
    <n v="187000"/>
    <x v="0"/>
    <s v="Completed"/>
    <x v="4"/>
    <n v="3"/>
    <s v="Perempuan"/>
    <x v="5"/>
    <x v="0"/>
    <n v="6"/>
  </r>
  <r>
    <s v="ORD00301"/>
    <n v="45838.143055555563"/>
    <x v="155"/>
    <s v="Bandung"/>
    <s v="Minyak Goreng - Brand C"/>
    <x v="8"/>
    <x v="0"/>
    <n v="18000"/>
    <n v="2"/>
    <n v="10"/>
    <n v="36000"/>
    <n v="3600"/>
    <n v="32400"/>
    <n v="0"/>
    <n v="32400"/>
    <x v="3"/>
    <s v="Completed"/>
    <x v="3"/>
    <n v="2"/>
    <s v="Perempuan"/>
    <x v="5"/>
    <x v="0"/>
    <n v="6"/>
  </r>
  <r>
    <s v="ORD00301"/>
    <n v="45838.143055555563"/>
    <x v="155"/>
    <s v="Bandung"/>
    <s v="Gula Pasir - Brand A"/>
    <x v="6"/>
    <x v="2"/>
    <n v="16000"/>
    <n v="1"/>
    <n v="10"/>
    <n v="16000"/>
    <n v="1600"/>
    <n v="14400"/>
    <n v="0"/>
    <n v="14400"/>
    <x v="3"/>
    <s v="Completed"/>
    <x v="3"/>
    <n v="2"/>
    <s v="Perempuan"/>
    <x v="5"/>
    <x v="0"/>
    <n v="6"/>
  </r>
  <r>
    <s v="ORD01845"/>
    <n v="45838.146493055552"/>
    <x v="67"/>
    <s v="Surabaya"/>
    <s v="Tepung Terigu - Brand B"/>
    <x v="2"/>
    <x v="1"/>
    <n v="12000"/>
    <n v="2"/>
    <n v="15"/>
    <n v="24000"/>
    <n v="3600"/>
    <n v="20400"/>
    <n v="74000"/>
    <n v="94400"/>
    <x v="0"/>
    <s v="Returned"/>
    <x v="3"/>
    <n v="4"/>
    <s v="Perempuan"/>
    <x v="5"/>
    <x v="0"/>
    <n v="6"/>
  </r>
  <r>
    <s v="ORD00962"/>
    <n v="45839.624236111107"/>
    <x v="124"/>
    <s v="Nabire"/>
    <s v="Gula Pasir - Brand B"/>
    <x v="6"/>
    <x v="1"/>
    <n v="17000"/>
    <n v="3"/>
    <n v="10"/>
    <n v="51000"/>
    <n v="5100"/>
    <n v="45900"/>
    <n v="89000"/>
    <n v="134900"/>
    <x v="1"/>
    <s v="Cancelled"/>
    <x v="4"/>
    <n v="1"/>
    <s v="Perempuan"/>
    <x v="6"/>
    <x v="0"/>
    <n v="7"/>
  </r>
  <r>
    <s v="ORD01533"/>
    <n v="45839.654513888891"/>
    <x v="259"/>
    <s v="Nabire"/>
    <s v="Gula Pasir - Brand C"/>
    <x v="6"/>
    <x v="0"/>
    <n v="18000"/>
    <n v="2"/>
    <n v="5"/>
    <n v="36000"/>
    <n v="1800"/>
    <n v="34200"/>
    <n v="89000"/>
    <n v="123200"/>
    <x v="3"/>
    <s v="Completed"/>
    <x v="0"/>
    <n v="4"/>
    <s v="Perempuan"/>
    <x v="6"/>
    <x v="0"/>
    <n v="7"/>
  </r>
  <r>
    <s v="ORD01297"/>
    <n v="45839.766805555562"/>
    <x v="230"/>
    <s v="Manokwari"/>
    <s v="Tepung Terigu - Brand B"/>
    <x v="2"/>
    <x v="1"/>
    <n v="12000"/>
    <n v="3"/>
    <n v="20"/>
    <n v="36000"/>
    <n v="7200"/>
    <n v="28800"/>
    <n v="18000"/>
    <n v="46800"/>
    <x v="3"/>
    <s v="Completed"/>
    <x v="4"/>
    <n v="5"/>
    <s v="Perempuan"/>
    <x v="6"/>
    <x v="0"/>
    <n v="7"/>
  </r>
  <r>
    <s v="ORD00164"/>
    <n v="45839.773773148147"/>
    <x v="43"/>
    <s v="Samarinda"/>
    <s v="Minyak Goreng - Brand B"/>
    <x v="8"/>
    <x v="1"/>
    <n v="17000"/>
    <n v="1"/>
    <n v="15"/>
    <n v="17000"/>
    <n v="2550"/>
    <n v="14450"/>
    <n v="43000"/>
    <n v="57450"/>
    <x v="3"/>
    <s v="Completed"/>
    <x v="3"/>
    <n v="4"/>
    <s v="Perempuan"/>
    <x v="6"/>
    <x v="0"/>
    <n v="7"/>
  </r>
  <r>
    <s v="ORD00164"/>
    <n v="45839.773773148147"/>
    <x v="43"/>
    <s v="Samarinda"/>
    <s v="Gula Pasir - Brand C"/>
    <x v="6"/>
    <x v="0"/>
    <n v="18000"/>
    <n v="3"/>
    <n v="10"/>
    <n v="54000"/>
    <n v="5400"/>
    <n v="48600"/>
    <n v="0"/>
    <n v="48600"/>
    <x v="3"/>
    <s v="Completed"/>
    <x v="3"/>
    <n v="4"/>
    <s v="Perempuan"/>
    <x v="6"/>
    <x v="0"/>
    <n v="7"/>
  </r>
  <r>
    <s v="ORD01684"/>
    <n v="45839.859733796293"/>
    <x v="46"/>
    <s v="Surabaya"/>
    <s v="Telur Ayam - Brand C"/>
    <x v="4"/>
    <x v="0"/>
    <n v="28000"/>
    <n v="2"/>
    <n v="20"/>
    <n v="56000"/>
    <n v="11200"/>
    <n v="44800"/>
    <n v="74000"/>
    <n v="118800"/>
    <x v="3"/>
    <s v="Returned"/>
    <x v="1"/>
    <n v="4"/>
    <s v="Perempuan"/>
    <x v="6"/>
    <x v="0"/>
    <n v="7"/>
  </r>
  <r>
    <s v="ORD01809"/>
    <n v="45840.205706018518"/>
    <x v="335"/>
    <s v="Jambi"/>
    <s v="Susu Bubuk - Brand C"/>
    <x v="7"/>
    <x v="0"/>
    <n v="55000"/>
    <n v="2"/>
    <n v="10"/>
    <n v="110000"/>
    <n v="11000"/>
    <n v="99000"/>
    <n v="87000"/>
    <n v="186000"/>
    <x v="0"/>
    <s v="Completed"/>
    <x v="3"/>
    <n v="2"/>
    <s v="Laki-laki"/>
    <x v="6"/>
    <x v="0"/>
    <n v="7"/>
  </r>
  <r>
    <s v="ORD01360"/>
    <n v="45840.385729166657"/>
    <x v="336"/>
    <s v="Denpasar"/>
    <s v="Beras - Brand C"/>
    <x v="0"/>
    <x v="0"/>
    <n v="16000"/>
    <n v="5"/>
    <n v="10"/>
    <n v="80000"/>
    <n v="8000"/>
    <n v="72000"/>
    <n v="80000"/>
    <n v="152000"/>
    <x v="0"/>
    <s v="Returned"/>
    <x v="4"/>
    <n v="5"/>
    <s v="Laki-laki"/>
    <x v="6"/>
    <x v="0"/>
    <n v="7"/>
  </r>
  <r>
    <s v="ORD01315"/>
    <n v="45840.414513888893"/>
    <x v="90"/>
    <s v="Yogyakarta"/>
    <s v="Susu Bubuk - Brand A"/>
    <x v="7"/>
    <x v="2"/>
    <n v="45000"/>
    <n v="3"/>
    <n v="5"/>
    <n v="135000"/>
    <n v="6750"/>
    <n v="128250"/>
    <n v="78000"/>
    <n v="206250"/>
    <x v="0"/>
    <s v="Completed"/>
    <x v="0"/>
    <n v="1"/>
    <s v="Perempuan"/>
    <x v="6"/>
    <x v="0"/>
    <n v="7"/>
  </r>
  <r>
    <s v="ORD00387"/>
    <n v="45840.800034722219"/>
    <x v="90"/>
    <s v="Yogyakarta"/>
    <s v="Minyak Goreng - Brand B"/>
    <x v="8"/>
    <x v="1"/>
    <n v="17000"/>
    <n v="3"/>
    <n v="15"/>
    <n v="51000"/>
    <n v="7650"/>
    <n v="43350"/>
    <n v="78000"/>
    <n v="121350"/>
    <x v="0"/>
    <s v="Completed"/>
    <x v="4"/>
    <n v="2"/>
    <s v="Perempuan"/>
    <x v="6"/>
    <x v="0"/>
    <n v="7"/>
  </r>
  <r>
    <s v="ORD01786"/>
    <n v="45840.905833333331"/>
    <x v="21"/>
    <s v="Serang"/>
    <s v="Bawang Merah - Brand B"/>
    <x v="3"/>
    <x v="1"/>
    <n v="35000"/>
    <n v="3"/>
    <n v="0"/>
    <n v="105000"/>
    <n v="0"/>
    <n v="105000"/>
    <n v="57000"/>
    <n v="162000"/>
    <x v="1"/>
    <s v="Completed"/>
    <x v="3"/>
    <n v="2"/>
    <s v="Perempuan"/>
    <x v="6"/>
    <x v="0"/>
    <n v="7"/>
  </r>
  <r>
    <s v="ORD00446"/>
    <n v="45840.9059375"/>
    <x v="161"/>
    <s v="Gorontalo"/>
    <s v="Garam - Brand C"/>
    <x v="5"/>
    <x v="0"/>
    <n v="6000"/>
    <n v="3"/>
    <n v="10"/>
    <n v="18000"/>
    <n v="1800"/>
    <n v="16200"/>
    <n v="80000"/>
    <n v="96200"/>
    <x v="2"/>
    <s v="Completed"/>
    <x v="2"/>
    <n v="5"/>
    <s v="Perempuan"/>
    <x v="6"/>
    <x v="0"/>
    <n v="7"/>
  </r>
  <r>
    <s v="ORD01228"/>
    <n v="45840.914421296293"/>
    <x v="246"/>
    <s v="Jakarta"/>
    <s v="Daging Ayam - Brand A"/>
    <x v="1"/>
    <x v="2"/>
    <n v="35000"/>
    <n v="1"/>
    <n v="5"/>
    <n v="35000"/>
    <n v="1750"/>
    <n v="33250"/>
    <n v="97000"/>
    <n v="130250"/>
    <x v="0"/>
    <s v="Returned"/>
    <x v="0"/>
    <n v="4"/>
    <s v="Perempuan"/>
    <x v="6"/>
    <x v="0"/>
    <n v="7"/>
  </r>
  <r>
    <s v="ORD01648"/>
    <n v="45841.040833333333"/>
    <x v="99"/>
    <s v="Padang"/>
    <s v="Garam - Brand B"/>
    <x v="5"/>
    <x v="1"/>
    <n v="5000"/>
    <n v="4"/>
    <n v="20"/>
    <n v="20000"/>
    <n v="4000"/>
    <n v="16000"/>
    <n v="68000"/>
    <n v="84000"/>
    <x v="3"/>
    <s v="Completed"/>
    <x v="3"/>
    <n v="1"/>
    <s v="Perempuan"/>
    <x v="6"/>
    <x v="0"/>
    <n v="7"/>
  </r>
  <r>
    <s v="ORD00041"/>
    <n v="45841.435023148151"/>
    <x v="55"/>
    <s v="Pangkalpinang"/>
    <s v="Tepung Terigu - Brand A"/>
    <x v="2"/>
    <x v="2"/>
    <n v="10000"/>
    <n v="4"/>
    <n v="5"/>
    <n v="40000"/>
    <n v="2000"/>
    <n v="38000"/>
    <n v="18000"/>
    <n v="56000"/>
    <x v="0"/>
    <s v="Completed"/>
    <x v="0"/>
    <n v="4"/>
    <s v="Laki-laki"/>
    <x v="6"/>
    <x v="0"/>
    <n v="7"/>
  </r>
  <r>
    <s v="ORD00041"/>
    <n v="45841.435023148151"/>
    <x v="55"/>
    <s v="Pangkalpinang"/>
    <s v="Telur Ayam - Brand B"/>
    <x v="4"/>
    <x v="1"/>
    <n v="25000"/>
    <n v="5"/>
    <n v="0"/>
    <n v="125000"/>
    <n v="0"/>
    <n v="125000"/>
    <n v="0"/>
    <n v="125000"/>
    <x v="0"/>
    <s v="Completed"/>
    <x v="0"/>
    <n v="4"/>
    <s v="Laki-laki"/>
    <x v="6"/>
    <x v="0"/>
    <n v="7"/>
  </r>
  <r>
    <s v="ORD00923"/>
    <n v="45841.462708333333"/>
    <x v="161"/>
    <s v="Gorontalo"/>
    <s v="Gula Pasir - Brand C"/>
    <x v="6"/>
    <x v="0"/>
    <n v="18000"/>
    <n v="1"/>
    <n v="20"/>
    <n v="18000"/>
    <n v="3600"/>
    <n v="14400"/>
    <n v="80000"/>
    <n v="94400"/>
    <x v="2"/>
    <s v="Completed"/>
    <x v="2"/>
    <n v="1"/>
    <s v="Perempuan"/>
    <x v="6"/>
    <x v="0"/>
    <n v="7"/>
  </r>
  <r>
    <s v="ORD01366"/>
    <n v="45841.764409722222"/>
    <x v="139"/>
    <s v="Tanjungpinang"/>
    <s v="Beras - Brand A"/>
    <x v="0"/>
    <x v="2"/>
    <n v="14000"/>
    <n v="3"/>
    <n v="0"/>
    <n v="42000"/>
    <n v="0"/>
    <n v="42000"/>
    <n v="48000"/>
    <n v="90000"/>
    <x v="1"/>
    <s v="Completed"/>
    <x v="0"/>
    <n v="1"/>
    <s v="Perempuan"/>
    <x v="6"/>
    <x v="0"/>
    <n v="7"/>
  </r>
  <r>
    <s v="ORD00472"/>
    <n v="45841.9294212963"/>
    <x v="25"/>
    <s v="Bandar Lampung"/>
    <s v="Beras - Brand A"/>
    <x v="0"/>
    <x v="2"/>
    <n v="14000"/>
    <n v="4"/>
    <n v="5"/>
    <n v="56000"/>
    <n v="2800"/>
    <n v="53200"/>
    <n v="28000"/>
    <n v="81200"/>
    <x v="1"/>
    <s v="Completed"/>
    <x v="0"/>
    <n v="5"/>
    <s v="Perempuan"/>
    <x v="6"/>
    <x v="0"/>
    <n v="7"/>
  </r>
  <r>
    <s v="ORD00736"/>
    <n v="45842.011111111111"/>
    <x v="255"/>
    <s v="Manado"/>
    <s v="Telur Ayam - Brand B"/>
    <x v="4"/>
    <x v="1"/>
    <n v="25000"/>
    <n v="4"/>
    <n v="0"/>
    <n v="100000"/>
    <n v="0"/>
    <n v="100000"/>
    <n v="93000"/>
    <n v="193000"/>
    <x v="1"/>
    <s v="Completed"/>
    <x v="2"/>
    <n v="2"/>
    <s v="Laki-laki"/>
    <x v="6"/>
    <x v="0"/>
    <n v="7"/>
  </r>
  <r>
    <s v="ORD01103"/>
    <n v="45842.195590277777"/>
    <x v="179"/>
    <s v="Samarinda"/>
    <s v="Beras - Brand B"/>
    <x v="0"/>
    <x v="1"/>
    <n v="15000"/>
    <n v="3"/>
    <n v="15"/>
    <n v="45000"/>
    <n v="6750"/>
    <n v="38250"/>
    <n v="43000"/>
    <n v="81250"/>
    <x v="2"/>
    <s v="Returned"/>
    <x v="2"/>
    <n v="1"/>
    <s v="Perempuan"/>
    <x v="6"/>
    <x v="0"/>
    <n v="7"/>
  </r>
  <r>
    <s v="ORD00344"/>
    <n v="45842.215555555558"/>
    <x v="315"/>
    <s v="Semarang"/>
    <s v="Minyak Goreng - Brand B"/>
    <x v="8"/>
    <x v="1"/>
    <n v="17000"/>
    <n v="5"/>
    <n v="20"/>
    <n v="85000"/>
    <n v="17000"/>
    <n v="68000"/>
    <n v="76000"/>
    <n v="144000"/>
    <x v="0"/>
    <s v="Returned"/>
    <x v="0"/>
    <n v="2"/>
    <s v="Perempuan"/>
    <x v="6"/>
    <x v="0"/>
    <n v="7"/>
  </r>
  <r>
    <s v="ORD01013"/>
    <n v="45842.227025462962"/>
    <x v="254"/>
    <s v="Bandar Lampung"/>
    <s v="Telur Ayam - Brand A"/>
    <x v="4"/>
    <x v="2"/>
    <n v="22000"/>
    <n v="3"/>
    <n v="15"/>
    <n v="66000"/>
    <n v="9900"/>
    <n v="56100"/>
    <n v="28000"/>
    <n v="84100"/>
    <x v="1"/>
    <s v="Completed"/>
    <x v="3"/>
    <n v="5"/>
    <s v="Laki-laki"/>
    <x v="6"/>
    <x v="0"/>
    <n v="7"/>
  </r>
  <r>
    <s v="ORD00621"/>
    <n v="45842.25236111111"/>
    <x v="210"/>
    <s v="Merauke"/>
    <s v="Minyak Goreng - Brand A"/>
    <x v="8"/>
    <x v="2"/>
    <n v="16000"/>
    <n v="3"/>
    <n v="0"/>
    <n v="48000"/>
    <n v="0"/>
    <n v="48000"/>
    <n v="59000"/>
    <n v="107000"/>
    <x v="2"/>
    <s v="Completed"/>
    <x v="1"/>
    <n v="4"/>
    <s v="Perempuan"/>
    <x v="6"/>
    <x v="0"/>
    <n v="7"/>
  </r>
  <r>
    <s v="ORD00118"/>
    <n v="45842.444062499999"/>
    <x v="25"/>
    <s v="Bandar Lampung"/>
    <s v="Tepung Terigu - Brand C"/>
    <x v="2"/>
    <x v="0"/>
    <n v="14000"/>
    <n v="2"/>
    <n v="15"/>
    <n v="28000"/>
    <n v="4200"/>
    <n v="23800"/>
    <n v="28000"/>
    <n v="51800"/>
    <x v="1"/>
    <s v="Completed"/>
    <x v="2"/>
    <n v="5"/>
    <s v="Perempuan"/>
    <x v="6"/>
    <x v="0"/>
    <n v="7"/>
  </r>
  <r>
    <s v="ORD00134"/>
    <n v="45842.444108796299"/>
    <x v="353"/>
    <s v="Palangka Raya"/>
    <s v="Beras - Brand A"/>
    <x v="0"/>
    <x v="2"/>
    <n v="14000"/>
    <n v="2"/>
    <n v="10"/>
    <n v="28000"/>
    <n v="2800"/>
    <n v="25200"/>
    <n v="50000"/>
    <n v="75200"/>
    <x v="0"/>
    <s v="Completed"/>
    <x v="3"/>
    <n v="5"/>
    <s v="Perempuan"/>
    <x v="6"/>
    <x v="0"/>
    <n v="7"/>
  </r>
  <r>
    <s v="ORD00126"/>
    <n v="45842.601006944453"/>
    <x v="267"/>
    <s v="Medan"/>
    <s v="Tepung Terigu - Brand A"/>
    <x v="2"/>
    <x v="2"/>
    <n v="10000"/>
    <n v="3"/>
    <n v="0"/>
    <n v="30000"/>
    <n v="0"/>
    <n v="30000"/>
    <n v="79000"/>
    <n v="109000"/>
    <x v="1"/>
    <s v="Completed"/>
    <x v="2"/>
    <n v="1"/>
    <s v="Perempuan"/>
    <x v="6"/>
    <x v="0"/>
    <n v="7"/>
  </r>
  <r>
    <s v="ORD01061"/>
    <n v="45842.943124999998"/>
    <x v="90"/>
    <s v="Yogyakarta"/>
    <s v="Susu Bubuk - Brand C"/>
    <x v="7"/>
    <x v="0"/>
    <n v="55000"/>
    <n v="2"/>
    <n v="0"/>
    <n v="110000"/>
    <n v="0"/>
    <n v="110000"/>
    <n v="78000"/>
    <n v="188000"/>
    <x v="3"/>
    <s v="Completed"/>
    <x v="3"/>
    <n v="1"/>
    <s v="Perempuan"/>
    <x v="6"/>
    <x v="0"/>
    <n v="7"/>
  </r>
  <r>
    <s v="ORD00308"/>
    <n v="45843.090069444443"/>
    <x v="229"/>
    <s v="Nabire"/>
    <s v="Telur Ayam - Brand A"/>
    <x v="4"/>
    <x v="2"/>
    <n v="22000"/>
    <n v="5"/>
    <n v="0"/>
    <n v="110000"/>
    <n v="0"/>
    <n v="110000"/>
    <n v="89000"/>
    <n v="199000"/>
    <x v="0"/>
    <s v="Returned"/>
    <x v="3"/>
    <n v="2"/>
    <s v="Perempuan"/>
    <x v="6"/>
    <x v="0"/>
    <n v="7"/>
  </r>
  <r>
    <s v="ORD01645"/>
    <n v="45843.655636574083"/>
    <x v="320"/>
    <s v="Jambi"/>
    <s v="Minyak Goreng - Brand A"/>
    <x v="8"/>
    <x v="2"/>
    <n v="16000"/>
    <n v="2"/>
    <n v="0"/>
    <n v="32000"/>
    <n v="0"/>
    <n v="32000"/>
    <n v="87000"/>
    <n v="119000"/>
    <x v="0"/>
    <s v="Returned"/>
    <x v="0"/>
    <n v="4"/>
    <s v="Laki-laki"/>
    <x v="6"/>
    <x v="0"/>
    <n v="7"/>
  </r>
  <r>
    <s v="ORD00469"/>
    <n v="45843.706342592603"/>
    <x v="216"/>
    <s v="Jambi"/>
    <s v="Bawang Merah - Brand C"/>
    <x v="3"/>
    <x v="0"/>
    <n v="40000"/>
    <n v="5"/>
    <n v="15"/>
    <n v="200000"/>
    <n v="30000"/>
    <n v="170000"/>
    <n v="87000"/>
    <n v="257000"/>
    <x v="0"/>
    <s v="Returned"/>
    <x v="0"/>
    <n v="4"/>
    <s v="Perempuan"/>
    <x v="6"/>
    <x v="0"/>
    <n v="7"/>
  </r>
  <r>
    <s v="ORD00516"/>
    <n v="45844.037314814806"/>
    <x v="120"/>
    <s v="Mamuju"/>
    <s v="Garam - Brand C"/>
    <x v="5"/>
    <x v="0"/>
    <n v="6000"/>
    <n v="1"/>
    <n v="15"/>
    <n v="6000"/>
    <n v="900"/>
    <n v="5100"/>
    <n v="46000"/>
    <n v="51100"/>
    <x v="0"/>
    <s v="Completed"/>
    <x v="3"/>
    <n v="5"/>
    <s v="Perempuan"/>
    <x v="6"/>
    <x v="0"/>
    <n v="7"/>
  </r>
  <r>
    <s v="ORD01035"/>
    <n v="45844.212384259263"/>
    <x v="354"/>
    <s v="Wamena"/>
    <s v="Bawang Merah - Brand C"/>
    <x v="3"/>
    <x v="0"/>
    <n v="40000"/>
    <n v="1"/>
    <n v="0"/>
    <n v="40000"/>
    <n v="0"/>
    <n v="40000"/>
    <n v="15000"/>
    <n v="55000"/>
    <x v="2"/>
    <s v="Completed"/>
    <x v="0"/>
    <n v="1"/>
    <s v="Perempuan"/>
    <x v="6"/>
    <x v="0"/>
    <n v="7"/>
  </r>
  <r>
    <s v="ORD01012"/>
    <n v="45844.357835648138"/>
    <x v="45"/>
    <s v="Jakarta"/>
    <s v="Telur Ayam - Brand C"/>
    <x v="4"/>
    <x v="0"/>
    <n v="28000"/>
    <n v="5"/>
    <n v="15"/>
    <n v="140000"/>
    <n v="21000"/>
    <n v="119000"/>
    <n v="97000"/>
    <n v="216000"/>
    <x v="3"/>
    <s v="Completed"/>
    <x v="3"/>
    <n v="2"/>
    <s v="Perempuan"/>
    <x v="6"/>
    <x v="0"/>
    <n v="7"/>
  </r>
  <r>
    <s v="ORD01261"/>
    <n v="45844.525231481479"/>
    <x v="308"/>
    <s v="Jayapura"/>
    <s v="Susu Bubuk - Brand A"/>
    <x v="7"/>
    <x v="2"/>
    <n v="45000"/>
    <n v="1"/>
    <n v="15"/>
    <n v="45000"/>
    <n v="6750"/>
    <n v="38250"/>
    <n v="30000"/>
    <n v="68250"/>
    <x v="1"/>
    <s v="Completed"/>
    <x v="1"/>
    <n v="3"/>
    <s v="Perempuan"/>
    <x v="6"/>
    <x v="0"/>
    <n v="7"/>
  </r>
  <r>
    <s v="ORD00448"/>
    <n v="45845.04115740741"/>
    <x v="309"/>
    <s v="Manokwari"/>
    <s v="Minyak Goreng - Brand A"/>
    <x v="8"/>
    <x v="2"/>
    <n v="16000"/>
    <n v="3"/>
    <n v="20"/>
    <n v="48000"/>
    <n v="9600"/>
    <n v="38400"/>
    <n v="18000"/>
    <n v="56400"/>
    <x v="0"/>
    <s v="Completed"/>
    <x v="1"/>
    <n v="5"/>
    <s v="Perempuan"/>
    <x v="6"/>
    <x v="0"/>
    <n v="7"/>
  </r>
  <r>
    <s v="ORD00448"/>
    <n v="45845.04115740741"/>
    <x v="309"/>
    <s v="Manokwari"/>
    <s v="Gula Pasir - Brand C"/>
    <x v="6"/>
    <x v="0"/>
    <n v="18000"/>
    <n v="5"/>
    <n v="10"/>
    <n v="90000"/>
    <n v="9000"/>
    <n v="81000"/>
    <n v="0"/>
    <n v="81000"/>
    <x v="0"/>
    <s v="Completed"/>
    <x v="1"/>
    <n v="5"/>
    <s v="Perempuan"/>
    <x v="6"/>
    <x v="0"/>
    <n v="7"/>
  </r>
  <r>
    <s v="ORD01216"/>
    <n v="45845.244791666657"/>
    <x v="115"/>
    <s v="Tanjung Selor"/>
    <s v="Daging Ayam - Brand B"/>
    <x v="1"/>
    <x v="1"/>
    <n v="40000"/>
    <n v="2"/>
    <n v="15"/>
    <n v="80000"/>
    <n v="12000"/>
    <n v="68000"/>
    <n v="26000"/>
    <n v="94000"/>
    <x v="1"/>
    <s v="Completed"/>
    <x v="3"/>
    <n v="4"/>
    <s v="Perempuan"/>
    <x v="6"/>
    <x v="0"/>
    <n v="7"/>
  </r>
  <r>
    <s v="ORD01222"/>
    <n v="45845.371365740742"/>
    <x v="180"/>
    <s v="Pangkalpinang"/>
    <s v="Bawang Merah - Brand B"/>
    <x v="3"/>
    <x v="1"/>
    <n v="35000"/>
    <n v="1"/>
    <n v="0"/>
    <n v="35000"/>
    <n v="0"/>
    <n v="35000"/>
    <n v="18000"/>
    <n v="53000"/>
    <x v="3"/>
    <s v="Returned"/>
    <x v="4"/>
    <n v="1"/>
    <s v="Perempuan"/>
    <x v="6"/>
    <x v="0"/>
    <n v="7"/>
  </r>
  <r>
    <s v="ORD01787"/>
    <n v="45845.829988425918"/>
    <x v="6"/>
    <s v="Wamena"/>
    <s v="Telur Ayam - Brand C"/>
    <x v="4"/>
    <x v="0"/>
    <n v="28000"/>
    <n v="3"/>
    <n v="0"/>
    <n v="84000"/>
    <n v="0"/>
    <n v="84000"/>
    <n v="15000"/>
    <n v="99000"/>
    <x v="0"/>
    <s v="Completed"/>
    <x v="4"/>
    <n v="5"/>
    <s v="Laki-laki"/>
    <x v="6"/>
    <x v="0"/>
    <n v="7"/>
  </r>
  <r>
    <s v="ORD01624"/>
    <n v="45846.129247685189"/>
    <x v="43"/>
    <s v="Samarinda"/>
    <s v="Susu Bubuk - Brand B"/>
    <x v="7"/>
    <x v="1"/>
    <n v="50000"/>
    <n v="4"/>
    <n v="15"/>
    <n v="200000"/>
    <n v="30000"/>
    <n v="170000"/>
    <n v="43000"/>
    <n v="213000"/>
    <x v="1"/>
    <s v="Returned"/>
    <x v="0"/>
    <n v="1"/>
    <s v="Perempuan"/>
    <x v="6"/>
    <x v="0"/>
    <n v="7"/>
  </r>
  <r>
    <s v="ORD00312"/>
    <n v="45846.359699074077"/>
    <x v="355"/>
    <s v="Nabire"/>
    <s v="Susu Bubuk - Brand A"/>
    <x v="7"/>
    <x v="2"/>
    <n v="45000"/>
    <n v="4"/>
    <n v="5"/>
    <n v="180000"/>
    <n v="9000"/>
    <n v="171000"/>
    <n v="89000"/>
    <n v="260000"/>
    <x v="3"/>
    <s v="Returned"/>
    <x v="4"/>
    <n v="4"/>
    <s v="Perempuan"/>
    <x v="6"/>
    <x v="0"/>
    <n v="7"/>
  </r>
  <r>
    <s v="ORD00312"/>
    <n v="45846.359699074077"/>
    <x v="355"/>
    <s v="Nabire"/>
    <s v="Susu Bubuk - Brand B"/>
    <x v="7"/>
    <x v="1"/>
    <n v="50000"/>
    <n v="3"/>
    <n v="15"/>
    <n v="150000"/>
    <n v="22500"/>
    <n v="127500"/>
    <n v="0"/>
    <n v="127500"/>
    <x v="3"/>
    <s v="Returned"/>
    <x v="4"/>
    <n v="4"/>
    <s v="Perempuan"/>
    <x v="6"/>
    <x v="0"/>
    <n v="7"/>
  </r>
  <r>
    <s v="ORD00978"/>
    <n v="45846.435439814813"/>
    <x v="235"/>
    <s v="Banjarbaru"/>
    <s v="Beras - Brand A"/>
    <x v="0"/>
    <x v="2"/>
    <n v="14000"/>
    <n v="3"/>
    <n v="15"/>
    <n v="42000"/>
    <n v="6300"/>
    <n v="35700"/>
    <n v="55000"/>
    <n v="90700"/>
    <x v="3"/>
    <s v="Completed"/>
    <x v="1"/>
    <n v="1"/>
    <s v="Perempuan"/>
    <x v="6"/>
    <x v="0"/>
    <n v="7"/>
  </r>
  <r>
    <s v="ORD01836"/>
    <n v="45846.512372685182"/>
    <x v="298"/>
    <s v="Samarinda"/>
    <s v="Garam - Brand C"/>
    <x v="5"/>
    <x v="0"/>
    <n v="6000"/>
    <n v="4"/>
    <n v="20"/>
    <n v="24000"/>
    <n v="4800"/>
    <n v="19200"/>
    <n v="43000"/>
    <n v="62200"/>
    <x v="1"/>
    <s v="Completed"/>
    <x v="0"/>
    <n v="3"/>
    <s v="Perempuan"/>
    <x v="6"/>
    <x v="0"/>
    <n v="7"/>
  </r>
  <r>
    <s v="ORD01631"/>
    <n v="45846.630798611113"/>
    <x v="151"/>
    <s v="Banjarbaru"/>
    <s v="Daging Ayam - Brand C"/>
    <x v="1"/>
    <x v="0"/>
    <n v="45000"/>
    <n v="3"/>
    <n v="5"/>
    <n v="135000"/>
    <n v="6750"/>
    <n v="128250"/>
    <n v="55000"/>
    <n v="183250"/>
    <x v="0"/>
    <s v="Returned"/>
    <x v="2"/>
    <n v="3"/>
    <s v="Perempuan"/>
    <x v="6"/>
    <x v="0"/>
    <n v="7"/>
  </r>
  <r>
    <s v="ORD01031"/>
    <n v="45847.043194444443"/>
    <x v="306"/>
    <s v="Mamuju"/>
    <s v="Susu Bubuk - Brand C"/>
    <x v="7"/>
    <x v="0"/>
    <n v="55000"/>
    <n v="4"/>
    <n v="15"/>
    <n v="220000"/>
    <n v="33000"/>
    <n v="187000"/>
    <n v="46000"/>
    <n v="233000"/>
    <x v="3"/>
    <s v="Completed"/>
    <x v="4"/>
    <n v="5"/>
    <s v="Perempuan"/>
    <x v="6"/>
    <x v="0"/>
    <n v="7"/>
  </r>
  <r>
    <s v="ORD01615"/>
    <n v="45847.271192129629"/>
    <x v="196"/>
    <s v="Mamuju"/>
    <s v="Garam - Brand C"/>
    <x v="5"/>
    <x v="0"/>
    <n v="6000"/>
    <n v="4"/>
    <n v="15"/>
    <n v="24000"/>
    <n v="3600"/>
    <n v="20400"/>
    <n v="46000"/>
    <n v="66400"/>
    <x v="2"/>
    <s v="Completed"/>
    <x v="1"/>
    <n v="4"/>
    <s v="Perempuan"/>
    <x v="6"/>
    <x v="0"/>
    <n v="7"/>
  </r>
  <r>
    <s v="ORD01365"/>
    <n v="45847.678333333337"/>
    <x v="106"/>
    <s v="Tanjungpinang"/>
    <s v="Bawang Merah - Brand A"/>
    <x v="3"/>
    <x v="2"/>
    <n v="30000"/>
    <n v="4"/>
    <n v="0"/>
    <n v="120000"/>
    <n v="0"/>
    <n v="120000"/>
    <n v="48000"/>
    <n v="168000"/>
    <x v="0"/>
    <s v="Completed"/>
    <x v="4"/>
    <n v="3"/>
    <s v="Perempuan"/>
    <x v="6"/>
    <x v="0"/>
    <n v="7"/>
  </r>
  <r>
    <s v="ORD01129"/>
    <n v="45847.887870370367"/>
    <x v="77"/>
    <s v="Medan"/>
    <s v="Bawang Merah - Brand A"/>
    <x v="3"/>
    <x v="2"/>
    <n v="30000"/>
    <n v="2"/>
    <n v="15"/>
    <n v="60000"/>
    <n v="9000"/>
    <n v="51000"/>
    <n v="79000"/>
    <n v="130000"/>
    <x v="2"/>
    <s v="Returned"/>
    <x v="0"/>
    <n v="4"/>
    <s v="Laki-laki"/>
    <x v="6"/>
    <x v="0"/>
    <n v="7"/>
  </r>
  <r>
    <s v="ORD00370"/>
    <n v="45847.898356481477"/>
    <x v="356"/>
    <s v="Pontianak"/>
    <s v="Minyak Goreng - Brand A"/>
    <x v="8"/>
    <x v="2"/>
    <n v="16000"/>
    <n v="5"/>
    <n v="5"/>
    <n v="80000"/>
    <n v="4000"/>
    <n v="76000"/>
    <n v="85000"/>
    <n v="161000"/>
    <x v="2"/>
    <s v="Returned"/>
    <x v="0"/>
    <n v="5"/>
    <s v="Perempuan"/>
    <x v="6"/>
    <x v="0"/>
    <n v="7"/>
  </r>
  <r>
    <s v="ORD00587"/>
    <n v="45847.992627314823"/>
    <x v="357"/>
    <s v="Banda Aceh"/>
    <s v="Tepung Terigu - Brand A"/>
    <x v="2"/>
    <x v="2"/>
    <n v="10000"/>
    <n v="1"/>
    <n v="5"/>
    <n v="10000"/>
    <n v="500"/>
    <n v="9500"/>
    <n v="18000"/>
    <n v="27500"/>
    <x v="2"/>
    <s v="Completed"/>
    <x v="2"/>
    <n v="3"/>
    <s v="Perempuan"/>
    <x v="6"/>
    <x v="0"/>
    <n v="7"/>
  </r>
  <r>
    <s v="ORD01825"/>
    <n v="45848.026932870373"/>
    <x v="18"/>
    <s v="Medan"/>
    <s v="Garam - Brand A"/>
    <x v="5"/>
    <x v="2"/>
    <n v="4000"/>
    <n v="5"/>
    <n v="15"/>
    <n v="20000"/>
    <n v="3000"/>
    <n v="17000"/>
    <n v="79000"/>
    <n v="96000"/>
    <x v="2"/>
    <s v="Completed"/>
    <x v="4"/>
    <n v="2"/>
    <s v="Perempuan"/>
    <x v="6"/>
    <x v="0"/>
    <n v="7"/>
  </r>
  <r>
    <s v="ORD00424"/>
    <n v="45848.737233796302"/>
    <x v="179"/>
    <s v="Samarinda"/>
    <s v="Garam - Brand C"/>
    <x v="5"/>
    <x v="0"/>
    <n v="6000"/>
    <n v="4"/>
    <n v="0"/>
    <n v="24000"/>
    <n v="0"/>
    <n v="24000"/>
    <n v="43000"/>
    <n v="67000"/>
    <x v="0"/>
    <s v="Completed"/>
    <x v="0"/>
    <n v="4"/>
    <s v="Perempuan"/>
    <x v="6"/>
    <x v="0"/>
    <n v="7"/>
  </r>
  <r>
    <s v="ORD01019"/>
    <n v="45848.851747685178"/>
    <x v="358"/>
    <s v="Wamena"/>
    <s v="Beras - Brand B"/>
    <x v="0"/>
    <x v="1"/>
    <n v="15000"/>
    <n v="5"/>
    <n v="5"/>
    <n v="75000"/>
    <n v="3750"/>
    <n v="71250"/>
    <n v="15000"/>
    <n v="86250"/>
    <x v="0"/>
    <s v="Completed"/>
    <x v="3"/>
    <n v="4"/>
    <s v="Perempuan"/>
    <x v="6"/>
    <x v="0"/>
    <n v="7"/>
  </r>
  <r>
    <s v="ORD01253"/>
    <n v="45848.957627314812"/>
    <x v="259"/>
    <s v="Nabire"/>
    <s v="Garam - Brand C"/>
    <x v="5"/>
    <x v="0"/>
    <n v="6000"/>
    <n v="2"/>
    <n v="0"/>
    <n v="12000"/>
    <n v="0"/>
    <n v="12000"/>
    <n v="89000"/>
    <n v="101000"/>
    <x v="1"/>
    <s v="Completed"/>
    <x v="3"/>
    <n v="3"/>
    <s v="Perempuan"/>
    <x v="6"/>
    <x v="0"/>
    <n v="7"/>
  </r>
  <r>
    <s v="ORD00089"/>
    <n v="45849.028819444437"/>
    <x v="123"/>
    <s v="Padang"/>
    <s v="Daging Ayam - Brand C"/>
    <x v="1"/>
    <x v="0"/>
    <n v="45000"/>
    <n v="3"/>
    <n v="10"/>
    <n v="135000"/>
    <n v="13500"/>
    <n v="121500"/>
    <n v="68000"/>
    <n v="189500"/>
    <x v="3"/>
    <s v="Completed"/>
    <x v="4"/>
    <n v="2"/>
    <s v="Laki-laki"/>
    <x v="6"/>
    <x v="0"/>
    <n v="7"/>
  </r>
  <r>
    <s v="ORD00550"/>
    <n v="45849.034849537027"/>
    <x v="92"/>
    <s v="Yogyakarta"/>
    <s v="Bawang Merah - Brand A"/>
    <x v="3"/>
    <x v="2"/>
    <n v="30000"/>
    <n v="4"/>
    <n v="0"/>
    <n v="120000"/>
    <n v="0"/>
    <n v="120000"/>
    <n v="78000"/>
    <n v="198000"/>
    <x v="1"/>
    <s v="Completed"/>
    <x v="1"/>
    <n v="3"/>
    <s v="Perempuan"/>
    <x v="6"/>
    <x v="0"/>
    <n v="7"/>
  </r>
  <r>
    <s v="ORD01143"/>
    <n v="45849.076111111113"/>
    <x v="11"/>
    <s v="Palu"/>
    <s v="Telur Ayam - Brand A"/>
    <x v="4"/>
    <x v="2"/>
    <n v="22000"/>
    <n v="2"/>
    <n v="5"/>
    <n v="44000"/>
    <n v="2200"/>
    <n v="41800"/>
    <n v="67000"/>
    <n v="108800"/>
    <x v="1"/>
    <s v="Completed"/>
    <x v="1"/>
    <n v="3"/>
    <s v="Perempuan"/>
    <x v="6"/>
    <x v="0"/>
    <n v="7"/>
  </r>
  <r>
    <s v="ORD00321"/>
    <n v="45849.088379629633"/>
    <x v="304"/>
    <s v="Surabaya"/>
    <s v="Garam - Brand C"/>
    <x v="5"/>
    <x v="0"/>
    <n v="6000"/>
    <n v="2"/>
    <n v="10"/>
    <n v="12000"/>
    <n v="1200"/>
    <n v="10800"/>
    <n v="74000"/>
    <n v="84800"/>
    <x v="3"/>
    <s v="Returned"/>
    <x v="1"/>
    <n v="4"/>
    <s v="Perempuan"/>
    <x v="6"/>
    <x v="0"/>
    <n v="7"/>
  </r>
  <r>
    <s v="ORD00010"/>
    <n v="45849.123298611114"/>
    <x v="141"/>
    <s v="Wamena"/>
    <s v="Susu Bubuk - Brand C"/>
    <x v="7"/>
    <x v="0"/>
    <n v="55000"/>
    <n v="5"/>
    <n v="10"/>
    <n v="275000"/>
    <n v="27500"/>
    <n v="247500"/>
    <n v="15000"/>
    <n v="262500"/>
    <x v="0"/>
    <s v="Completed"/>
    <x v="0"/>
    <n v="2"/>
    <s v="Laki-laki"/>
    <x v="6"/>
    <x v="0"/>
    <n v="7"/>
  </r>
  <r>
    <s v="ORD01564"/>
    <n v="45849.229178240741"/>
    <x v="357"/>
    <s v="Banda Aceh"/>
    <s v="Garam - Brand B"/>
    <x v="5"/>
    <x v="1"/>
    <n v="5000"/>
    <n v="4"/>
    <n v="0"/>
    <n v="20000"/>
    <n v="0"/>
    <n v="20000"/>
    <n v="18000"/>
    <n v="38000"/>
    <x v="3"/>
    <s v="Completed"/>
    <x v="2"/>
    <n v="1"/>
    <s v="Perempuan"/>
    <x v="6"/>
    <x v="0"/>
    <n v="7"/>
  </r>
  <r>
    <s v="ORD01694"/>
    <n v="45849.283321759263"/>
    <x v="21"/>
    <s v="Serang"/>
    <s v="Minyak Goreng - Brand A"/>
    <x v="8"/>
    <x v="2"/>
    <n v="16000"/>
    <n v="3"/>
    <n v="5"/>
    <n v="48000"/>
    <n v="2400"/>
    <n v="45600"/>
    <n v="57000"/>
    <n v="102600"/>
    <x v="2"/>
    <s v="Completed"/>
    <x v="0"/>
    <n v="4"/>
    <s v="Perempuan"/>
    <x v="6"/>
    <x v="0"/>
    <n v="7"/>
  </r>
  <r>
    <s v="ORD00340"/>
    <n v="45849.604583333326"/>
    <x v="88"/>
    <s v="Banda Aceh"/>
    <s v="Beras - Brand C"/>
    <x v="0"/>
    <x v="0"/>
    <n v="16000"/>
    <n v="1"/>
    <n v="15"/>
    <n v="16000"/>
    <n v="2400"/>
    <n v="13600"/>
    <n v="18000"/>
    <n v="31600"/>
    <x v="1"/>
    <s v="Completed"/>
    <x v="0"/>
    <n v="2"/>
    <s v="Perempuan"/>
    <x v="6"/>
    <x v="0"/>
    <n v="7"/>
  </r>
  <r>
    <s v="ORD00205"/>
    <n v="45849.61210648148"/>
    <x v="302"/>
    <s v="Semarang"/>
    <s v="Beras - Brand B"/>
    <x v="0"/>
    <x v="1"/>
    <n v="15000"/>
    <n v="1"/>
    <n v="10"/>
    <n v="15000"/>
    <n v="1500"/>
    <n v="13500"/>
    <n v="76000"/>
    <n v="89500"/>
    <x v="2"/>
    <s v="Returned"/>
    <x v="0"/>
    <n v="4"/>
    <s v="Perempuan"/>
    <x v="6"/>
    <x v="0"/>
    <n v="7"/>
  </r>
  <r>
    <s v="ORD01257"/>
    <n v="45849.703344907408"/>
    <x v="37"/>
    <s v="Jakarta"/>
    <s v="Gula Pasir - Brand B"/>
    <x v="6"/>
    <x v="1"/>
    <n v="17000"/>
    <n v="4"/>
    <n v="20"/>
    <n v="68000"/>
    <n v="13600"/>
    <n v="54400"/>
    <n v="97000"/>
    <n v="151400"/>
    <x v="3"/>
    <s v="Completed"/>
    <x v="3"/>
    <n v="1"/>
    <s v="Perempuan"/>
    <x v="6"/>
    <x v="0"/>
    <n v="7"/>
  </r>
  <r>
    <s v="ORD00268"/>
    <n v="45849.777025462958"/>
    <x v="331"/>
    <s v="Pekanbaru"/>
    <s v="Bawang Merah - Brand B"/>
    <x v="3"/>
    <x v="1"/>
    <n v="35000"/>
    <n v="2"/>
    <n v="10"/>
    <n v="70000"/>
    <n v="7000"/>
    <n v="63000"/>
    <n v="49000"/>
    <n v="112000"/>
    <x v="0"/>
    <s v="Completed"/>
    <x v="1"/>
    <n v="2"/>
    <s v="Perempuan"/>
    <x v="6"/>
    <x v="0"/>
    <n v="7"/>
  </r>
  <r>
    <s v="ORD00268"/>
    <n v="45849.777025462958"/>
    <x v="331"/>
    <s v="Pekanbaru"/>
    <s v="Telur Ayam - Brand A"/>
    <x v="4"/>
    <x v="2"/>
    <n v="22000"/>
    <n v="1"/>
    <n v="15"/>
    <n v="22000"/>
    <n v="3300"/>
    <n v="18700"/>
    <n v="0"/>
    <n v="18700"/>
    <x v="0"/>
    <s v="Completed"/>
    <x v="1"/>
    <n v="2"/>
    <s v="Perempuan"/>
    <x v="6"/>
    <x v="0"/>
    <n v="7"/>
  </r>
  <r>
    <s v="ORD00547"/>
    <n v="45849.963599537034"/>
    <x v="205"/>
    <s v="Jakarta"/>
    <s v="Gula Pasir - Brand C"/>
    <x v="6"/>
    <x v="0"/>
    <n v="18000"/>
    <n v="4"/>
    <n v="5"/>
    <n v="72000"/>
    <n v="3600"/>
    <n v="68400"/>
    <n v="97000"/>
    <n v="165400"/>
    <x v="3"/>
    <s v="Returned"/>
    <x v="2"/>
    <n v="2"/>
    <s v="Laki-laki"/>
    <x v="6"/>
    <x v="0"/>
    <n v="7"/>
  </r>
  <r>
    <s v="ORD00203"/>
    <n v="45850.207638888889"/>
    <x v="100"/>
    <s v="Sorong"/>
    <s v="Beras - Brand C"/>
    <x v="0"/>
    <x v="0"/>
    <n v="16000"/>
    <n v="3"/>
    <n v="5"/>
    <n v="48000"/>
    <n v="2400"/>
    <n v="45600"/>
    <n v="87000"/>
    <n v="132600"/>
    <x v="1"/>
    <s v="Completed"/>
    <x v="2"/>
    <n v="1"/>
    <s v="Perempuan"/>
    <x v="6"/>
    <x v="0"/>
    <n v="7"/>
  </r>
  <r>
    <s v="ORD01136"/>
    <n v="45850.254374999997"/>
    <x v="187"/>
    <s v="Jayapura"/>
    <s v="Minyak Goreng - Brand C"/>
    <x v="8"/>
    <x v="0"/>
    <n v="18000"/>
    <n v="4"/>
    <n v="15"/>
    <n v="72000"/>
    <n v="10800"/>
    <n v="61200"/>
    <n v="30000"/>
    <n v="91200"/>
    <x v="0"/>
    <s v="Completed"/>
    <x v="3"/>
    <n v="4"/>
    <s v="Perempuan"/>
    <x v="6"/>
    <x v="0"/>
    <n v="7"/>
  </r>
  <r>
    <s v="ORD01863"/>
    <n v="45850.999803240738"/>
    <x v="96"/>
    <s v="Denpasar"/>
    <s v="Bawang Merah - Brand A"/>
    <x v="3"/>
    <x v="2"/>
    <n v="30000"/>
    <n v="2"/>
    <n v="15"/>
    <n v="60000"/>
    <n v="9000"/>
    <n v="51000"/>
    <n v="80000"/>
    <n v="131000"/>
    <x v="2"/>
    <s v="Completed"/>
    <x v="4"/>
    <n v="4"/>
    <s v="Perempuan"/>
    <x v="6"/>
    <x v="0"/>
    <n v="7"/>
  </r>
  <r>
    <s v="ORD01676"/>
    <n v="45851.378194444442"/>
    <x v="359"/>
    <s v="Bandar Lampung"/>
    <s v="Beras - Brand B"/>
    <x v="0"/>
    <x v="1"/>
    <n v="15000"/>
    <n v="4"/>
    <n v="5"/>
    <n v="60000"/>
    <n v="3000"/>
    <n v="57000"/>
    <n v="28000"/>
    <n v="85000"/>
    <x v="0"/>
    <s v="Completed"/>
    <x v="4"/>
    <n v="2"/>
    <s v="Perempuan"/>
    <x v="6"/>
    <x v="0"/>
    <n v="7"/>
  </r>
  <r>
    <s v="ORD01399"/>
    <n v="45851.78570601852"/>
    <x v="105"/>
    <s v="Jakarta"/>
    <s v="Daging Ayam - Brand B"/>
    <x v="1"/>
    <x v="1"/>
    <n v="40000"/>
    <n v="5"/>
    <n v="5"/>
    <n v="200000"/>
    <n v="10000"/>
    <n v="190000"/>
    <n v="97000"/>
    <n v="287000"/>
    <x v="2"/>
    <s v="Completed"/>
    <x v="2"/>
    <n v="5"/>
    <s v="Perempuan"/>
    <x v="6"/>
    <x v="0"/>
    <n v="7"/>
  </r>
  <r>
    <s v="ORD01092"/>
    <n v="45851.9140625"/>
    <x v="360"/>
    <s v="Ambon"/>
    <s v="Garam - Brand A"/>
    <x v="5"/>
    <x v="2"/>
    <n v="4000"/>
    <n v="3"/>
    <n v="15"/>
    <n v="12000"/>
    <n v="1800"/>
    <n v="10200"/>
    <n v="49000"/>
    <n v="59200"/>
    <x v="3"/>
    <s v="Completed"/>
    <x v="0"/>
    <n v="1"/>
    <s v="Laki-laki"/>
    <x v="6"/>
    <x v="0"/>
    <n v="7"/>
  </r>
  <r>
    <s v="ORD01628"/>
    <n v="45851.981817129628"/>
    <x v="232"/>
    <s v="Banjarbaru"/>
    <s v="Daging Ayam - Brand B"/>
    <x v="1"/>
    <x v="1"/>
    <n v="40000"/>
    <n v="3"/>
    <n v="10"/>
    <n v="120000"/>
    <n v="12000"/>
    <n v="108000"/>
    <n v="55000"/>
    <n v="163000"/>
    <x v="0"/>
    <s v="Completed"/>
    <x v="1"/>
    <n v="2"/>
    <s v="Laki-laki"/>
    <x v="6"/>
    <x v="0"/>
    <n v="7"/>
  </r>
  <r>
    <s v="ORD00279"/>
    <n v="45852.000694444447"/>
    <x v="105"/>
    <s v="Jakarta"/>
    <s v="Gula Pasir - Brand C"/>
    <x v="6"/>
    <x v="0"/>
    <n v="18000"/>
    <n v="5"/>
    <n v="5"/>
    <n v="90000"/>
    <n v="4500"/>
    <n v="85500"/>
    <n v="97000"/>
    <n v="182500"/>
    <x v="3"/>
    <s v="Completed"/>
    <x v="4"/>
    <n v="2"/>
    <s v="Perempuan"/>
    <x v="6"/>
    <x v="0"/>
    <n v="7"/>
  </r>
  <r>
    <s v="ORD01612"/>
    <n v="45852.398240740738"/>
    <x v="188"/>
    <s v="Pontianak"/>
    <s v="Daging Ayam - Brand C"/>
    <x v="1"/>
    <x v="0"/>
    <n v="45000"/>
    <n v="5"/>
    <n v="5"/>
    <n v="225000"/>
    <n v="11250"/>
    <n v="213750"/>
    <n v="85000"/>
    <n v="298750"/>
    <x v="3"/>
    <s v="Completed"/>
    <x v="0"/>
    <n v="3"/>
    <s v="Laki-laki"/>
    <x v="6"/>
    <x v="0"/>
    <n v="7"/>
  </r>
  <r>
    <s v="ORD00201"/>
    <n v="45852.491527777784"/>
    <x v="361"/>
    <s v="Samarinda"/>
    <s v="Telur Ayam - Brand C"/>
    <x v="4"/>
    <x v="0"/>
    <n v="28000"/>
    <n v="2"/>
    <n v="15"/>
    <n v="56000"/>
    <n v="8400"/>
    <n v="47600"/>
    <n v="43000"/>
    <n v="90600"/>
    <x v="3"/>
    <s v="Completed"/>
    <x v="1"/>
    <n v="5"/>
    <s v="Perempuan"/>
    <x v="6"/>
    <x v="0"/>
    <n v="7"/>
  </r>
  <r>
    <s v="ORD01597"/>
    <n v="45852.729560185187"/>
    <x v="311"/>
    <s v="Jayapura"/>
    <s v="Garam - Brand A"/>
    <x v="5"/>
    <x v="2"/>
    <n v="4000"/>
    <n v="3"/>
    <n v="5"/>
    <n v="12000"/>
    <n v="600"/>
    <n v="11400"/>
    <n v="30000"/>
    <n v="41400"/>
    <x v="1"/>
    <s v="Completed"/>
    <x v="4"/>
    <n v="5"/>
    <s v="Perempuan"/>
    <x v="6"/>
    <x v="0"/>
    <n v="7"/>
  </r>
  <r>
    <s v="ORD00284"/>
    <n v="45853.031782407408"/>
    <x v="116"/>
    <s v="Jayapura"/>
    <s v="Susu Bubuk - Brand B"/>
    <x v="7"/>
    <x v="1"/>
    <n v="50000"/>
    <n v="5"/>
    <n v="10"/>
    <n v="250000"/>
    <n v="25000"/>
    <n v="225000"/>
    <n v="30000"/>
    <n v="255000"/>
    <x v="1"/>
    <s v="Returned"/>
    <x v="2"/>
    <n v="5"/>
    <s v="Perempuan"/>
    <x v="6"/>
    <x v="0"/>
    <n v="7"/>
  </r>
  <r>
    <s v="ORD00298"/>
    <n v="45853.048391203702"/>
    <x v="362"/>
    <s v="Palangka Raya"/>
    <s v="Garam - Brand A"/>
    <x v="5"/>
    <x v="2"/>
    <n v="4000"/>
    <n v="1"/>
    <n v="20"/>
    <n v="4000"/>
    <n v="800"/>
    <n v="3200"/>
    <n v="50000"/>
    <n v="53200"/>
    <x v="3"/>
    <s v="Completed"/>
    <x v="4"/>
    <n v="3"/>
    <s v="Perempuan"/>
    <x v="6"/>
    <x v="0"/>
    <n v="7"/>
  </r>
  <r>
    <s v="ORD01096"/>
    <n v="45853.05872685185"/>
    <x v="232"/>
    <s v="Banjarbaru"/>
    <s v="Minyak Goreng - Brand B"/>
    <x v="8"/>
    <x v="1"/>
    <n v="17000"/>
    <n v="3"/>
    <n v="5"/>
    <n v="51000"/>
    <n v="2550"/>
    <n v="48450"/>
    <n v="55000"/>
    <n v="103450"/>
    <x v="0"/>
    <s v="Completed"/>
    <x v="0"/>
    <n v="1"/>
    <s v="Laki-laki"/>
    <x v="6"/>
    <x v="0"/>
    <n v="7"/>
  </r>
  <r>
    <s v="ORD00963"/>
    <n v="45853.121249999997"/>
    <x v="82"/>
    <s v="Sorong"/>
    <s v="Gula Pasir - Brand C"/>
    <x v="6"/>
    <x v="0"/>
    <n v="18000"/>
    <n v="5"/>
    <n v="5"/>
    <n v="90000"/>
    <n v="4500"/>
    <n v="85500"/>
    <n v="87000"/>
    <n v="172500"/>
    <x v="2"/>
    <s v="Completed"/>
    <x v="3"/>
    <n v="5"/>
    <s v="Laki-laki"/>
    <x v="6"/>
    <x v="0"/>
    <n v="7"/>
  </r>
  <r>
    <s v="ORD01329"/>
    <n v="45853.188425925917"/>
    <x v="2"/>
    <s v="Medan"/>
    <s v="Beras - Brand B"/>
    <x v="0"/>
    <x v="1"/>
    <n v="15000"/>
    <n v="2"/>
    <n v="5"/>
    <n v="30000"/>
    <n v="1500"/>
    <n v="28500"/>
    <n v="79000"/>
    <n v="107500"/>
    <x v="1"/>
    <s v="Completed"/>
    <x v="0"/>
    <n v="5"/>
    <s v="Perempuan"/>
    <x v="6"/>
    <x v="0"/>
    <n v="7"/>
  </r>
  <r>
    <s v="ORD01736"/>
    <n v="45853.313946759263"/>
    <x v="160"/>
    <s v="Ambon"/>
    <s v="Beras - Brand B"/>
    <x v="0"/>
    <x v="1"/>
    <n v="15000"/>
    <n v="2"/>
    <n v="20"/>
    <n v="30000"/>
    <n v="6000"/>
    <n v="24000"/>
    <n v="49000"/>
    <n v="73000"/>
    <x v="0"/>
    <s v="Completed"/>
    <x v="4"/>
    <n v="5"/>
    <s v="Perempuan"/>
    <x v="6"/>
    <x v="0"/>
    <n v="7"/>
  </r>
  <r>
    <s v="ORD00481"/>
    <n v="45853.499895833331"/>
    <x v="362"/>
    <s v="Palangka Raya"/>
    <s v="Garam - Brand B"/>
    <x v="5"/>
    <x v="1"/>
    <n v="5000"/>
    <n v="1"/>
    <n v="10"/>
    <n v="5000"/>
    <n v="500"/>
    <n v="4500"/>
    <n v="50000"/>
    <n v="54500"/>
    <x v="0"/>
    <s v="Returned"/>
    <x v="3"/>
    <n v="3"/>
    <s v="Perempuan"/>
    <x v="6"/>
    <x v="0"/>
    <n v="7"/>
  </r>
  <r>
    <s v="ORD01117"/>
    <n v="45853.565960648149"/>
    <x v="317"/>
    <s v="Bengkulu"/>
    <s v="Garam - Brand C"/>
    <x v="5"/>
    <x v="0"/>
    <n v="6000"/>
    <n v="2"/>
    <n v="0"/>
    <n v="12000"/>
    <n v="0"/>
    <n v="12000"/>
    <n v="72000"/>
    <n v="84000"/>
    <x v="0"/>
    <s v="Completed"/>
    <x v="4"/>
    <n v="3"/>
    <s v="Perempuan"/>
    <x v="6"/>
    <x v="0"/>
    <n v="7"/>
  </r>
  <r>
    <s v="ORD00047"/>
    <n v="45853.582314814812"/>
    <x v="58"/>
    <s v="Ambon"/>
    <s v="Tepung Terigu - Brand A"/>
    <x v="2"/>
    <x v="2"/>
    <n v="10000"/>
    <n v="5"/>
    <n v="0"/>
    <n v="50000"/>
    <n v="0"/>
    <n v="50000"/>
    <n v="49000"/>
    <n v="99000"/>
    <x v="2"/>
    <s v="Completed"/>
    <x v="2"/>
    <n v="1"/>
    <s v="Laki-laki"/>
    <x v="6"/>
    <x v="0"/>
    <n v="7"/>
  </r>
  <r>
    <s v="ORD00270"/>
    <n v="45853.602650462963"/>
    <x v="114"/>
    <s v="Palembang"/>
    <s v="Minyak Goreng - Brand B"/>
    <x v="8"/>
    <x v="1"/>
    <n v="17000"/>
    <n v="3"/>
    <n v="0"/>
    <n v="51000"/>
    <n v="0"/>
    <n v="51000"/>
    <n v="17000"/>
    <n v="68000"/>
    <x v="2"/>
    <s v="Completed"/>
    <x v="2"/>
    <n v="5"/>
    <s v="Perempuan"/>
    <x v="6"/>
    <x v="0"/>
    <n v="7"/>
  </r>
  <r>
    <s v="ORD00786"/>
    <n v="45853.613599537042"/>
    <x v="348"/>
    <s v="Sorong"/>
    <s v="Daging Ayam - Brand A"/>
    <x v="1"/>
    <x v="2"/>
    <n v="35000"/>
    <n v="4"/>
    <n v="0"/>
    <n v="140000"/>
    <n v="0"/>
    <n v="140000"/>
    <n v="87000"/>
    <n v="227000"/>
    <x v="0"/>
    <s v="Cancelled"/>
    <x v="3"/>
    <n v="4"/>
    <s v="Perempuan"/>
    <x v="6"/>
    <x v="0"/>
    <n v="7"/>
  </r>
  <r>
    <s v="ORD00654"/>
    <n v="45853.678819444453"/>
    <x v="15"/>
    <s v="Denpasar"/>
    <s v="Beras - Brand B"/>
    <x v="0"/>
    <x v="1"/>
    <n v="15000"/>
    <n v="5"/>
    <n v="10"/>
    <n v="75000"/>
    <n v="7500"/>
    <n v="67500"/>
    <n v="80000"/>
    <n v="147500"/>
    <x v="1"/>
    <s v="Completed"/>
    <x v="2"/>
    <n v="3"/>
    <s v="Laki-laki"/>
    <x v="6"/>
    <x v="0"/>
    <n v="7"/>
  </r>
  <r>
    <s v="ORD00263"/>
    <n v="45854.162187499998"/>
    <x v="211"/>
    <s v="Tanjungpinang"/>
    <s v="Garam - Brand C"/>
    <x v="5"/>
    <x v="0"/>
    <n v="6000"/>
    <n v="1"/>
    <n v="20"/>
    <n v="6000"/>
    <n v="1200"/>
    <n v="4800"/>
    <n v="48000"/>
    <n v="52800"/>
    <x v="2"/>
    <s v="Returned"/>
    <x v="1"/>
    <n v="1"/>
    <s v="Perempuan"/>
    <x v="6"/>
    <x v="0"/>
    <n v="7"/>
  </r>
  <r>
    <s v="ORD00263"/>
    <n v="45854.162187499998"/>
    <x v="211"/>
    <s v="Tanjungpinang"/>
    <s v="Daging Ayam - Brand B"/>
    <x v="1"/>
    <x v="1"/>
    <n v="40000"/>
    <n v="4"/>
    <n v="15"/>
    <n v="160000"/>
    <n v="24000"/>
    <n v="136000"/>
    <n v="0"/>
    <n v="136000"/>
    <x v="2"/>
    <s v="Returned"/>
    <x v="1"/>
    <n v="1"/>
    <s v="Perempuan"/>
    <x v="6"/>
    <x v="0"/>
    <n v="7"/>
  </r>
  <r>
    <s v="ORD01724"/>
    <n v="45854.672384259262"/>
    <x v="18"/>
    <s v="Medan"/>
    <s v="Tepung Terigu - Brand A"/>
    <x v="2"/>
    <x v="2"/>
    <n v="10000"/>
    <n v="1"/>
    <n v="0"/>
    <n v="10000"/>
    <n v="0"/>
    <n v="10000"/>
    <n v="79000"/>
    <n v="89000"/>
    <x v="1"/>
    <s v="Completed"/>
    <x v="3"/>
    <n v="1"/>
    <s v="Perempuan"/>
    <x v="6"/>
    <x v="0"/>
    <n v="7"/>
  </r>
  <r>
    <s v="ORD00604"/>
    <n v="45855.032141203701"/>
    <x v="251"/>
    <s v="Banjarbaru"/>
    <s v="Tepung Terigu - Brand C"/>
    <x v="2"/>
    <x v="0"/>
    <n v="14000"/>
    <n v="1"/>
    <n v="15"/>
    <n v="14000"/>
    <n v="2100"/>
    <n v="11900"/>
    <n v="55000"/>
    <n v="66900"/>
    <x v="3"/>
    <s v="Completed"/>
    <x v="2"/>
    <n v="3"/>
    <s v="Perempuan"/>
    <x v="6"/>
    <x v="0"/>
    <n v="7"/>
  </r>
  <r>
    <s v="ORD00282"/>
    <n v="45855.388379629629"/>
    <x v="201"/>
    <s v="Sorong"/>
    <s v="Gula Pasir - Brand B"/>
    <x v="6"/>
    <x v="1"/>
    <n v="17000"/>
    <n v="3"/>
    <n v="15"/>
    <n v="51000"/>
    <n v="7650"/>
    <n v="43350"/>
    <n v="87000"/>
    <n v="130350"/>
    <x v="2"/>
    <s v="Completed"/>
    <x v="1"/>
    <n v="2"/>
    <s v="Perempuan"/>
    <x v="6"/>
    <x v="0"/>
    <n v="7"/>
  </r>
  <r>
    <s v="ORD00018"/>
    <n v="45855.430914351848"/>
    <x v="363"/>
    <s v="Yogyakarta"/>
    <s v="Gula Pasir - Brand C"/>
    <x v="6"/>
    <x v="0"/>
    <n v="18000"/>
    <n v="5"/>
    <n v="20"/>
    <n v="90000"/>
    <n v="18000"/>
    <n v="72000"/>
    <n v="78000"/>
    <n v="150000"/>
    <x v="1"/>
    <s v="Completed"/>
    <x v="4"/>
    <n v="4"/>
    <s v="Laki-laki"/>
    <x v="6"/>
    <x v="0"/>
    <n v="7"/>
  </r>
  <r>
    <s v="ORD01367"/>
    <n v="45855.469814814824"/>
    <x v="218"/>
    <s v="Sorong"/>
    <s v="Susu Bubuk - Brand B"/>
    <x v="7"/>
    <x v="1"/>
    <n v="50000"/>
    <n v="3"/>
    <n v="20"/>
    <n v="150000"/>
    <n v="30000"/>
    <n v="120000"/>
    <n v="87000"/>
    <n v="207000"/>
    <x v="3"/>
    <s v="Completed"/>
    <x v="1"/>
    <n v="4"/>
    <s v="Laki-laki"/>
    <x v="6"/>
    <x v="0"/>
    <n v="7"/>
  </r>
  <r>
    <s v="ORD01007"/>
    <n v="45855.577488425923"/>
    <x v="220"/>
    <s v="Kendari"/>
    <s v="Garam - Brand C"/>
    <x v="5"/>
    <x v="0"/>
    <n v="6000"/>
    <n v="2"/>
    <n v="0"/>
    <n v="12000"/>
    <n v="0"/>
    <n v="12000"/>
    <n v="59000"/>
    <n v="71000"/>
    <x v="0"/>
    <s v="Completed"/>
    <x v="4"/>
    <n v="2"/>
    <s v="Perempuan"/>
    <x v="6"/>
    <x v="0"/>
    <n v="7"/>
  </r>
  <r>
    <s v="ORD00986"/>
    <n v="45855.61546296296"/>
    <x v="145"/>
    <s v="Sorong"/>
    <s v="Telur Ayam - Brand B"/>
    <x v="4"/>
    <x v="1"/>
    <n v="25000"/>
    <n v="3"/>
    <n v="10"/>
    <n v="75000"/>
    <n v="7500"/>
    <n v="67500"/>
    <n v="87000"/>
    <n v="154500"/>
    <x v="3"/>
    <s v="Cancelled"/>
    <x v="0"/>
    <n v="2"/>
    <s v="Perempuan"/>
    <x v="6"/>
    <x v="0"/>
    <n v="7"/>
  </r>
  <r>
    <s v="ORD01856"/>
    <n v="45855.630289351851"/>
    <x v="183"/>
    <s v="Jambi"/>
    <s v="Beras - Brand C"/>
    <x v="0"/>
    <x v="0"/>
    <n v="16000"/>
    <n v="5"/>
    <n v="20"/>
    <n v="80000"/>
    <n v="16000"/>
    <n v="64000"/>
    <n v="87000"/>
    <n v="151000"/>
    <x v="3"/>
    <s v="Completed"/>
    <x v="1"/>
    <n v="3"/>
    <s v="Perempuan"/>
    <x v="6"/>
    <x v="0"/>
    <n v="7"/>
  </r>
  <r>
    <s v="ORD00476"/>
    <n v="45856.031817129631"/>
    <x v="200"/>
    <s v="Sofifi"/>
    <s v="Garam - Brand C"/>
    <x v="5"/>
    <x v="0"/>
    <n v="6000"/>
    <n v="2"/>
    <n v="15"/>
    <n v="12000"/>
    <n v="1800"/>
    <n v="10200"/>
    <n v="50000"/>
    <n v="60200"/>
    <x v="1"/>
    <s v="Completed"/>
    <x v="3"/>
    <n v="2"/>
    <s v="Perempuan"/>
    <x v="6"/>
    <x v="0"/>
    <n v="7"/>
  </r>
  <r>
    <s v="ORD00476"/>
    <n v="45856.031817129631"/>
    <x v="200"/>
    <s v="Sofifi"/>
    <s v="Susu Bubuk - Brand B"/>
    <x v="7"/>
    <x v="1"/>
    <n v="50000"/>
    <n v="5"/>
    <n v="10"/>
    <n v="250000"/>
    <n v="25000"/>
    <n v="225000"/>
    <n v="0"/>
    <n v="225000"/>
    <x v="1"/>
    <s v="Completed"/>
    <x v="3"/>
    <n v="2"/>
    <s v="Perempuan"/>
    <x v="6"/>
    <x v="0"/>
    <n v="7"/>
  </r>
  <r>
    <s v="ORD01467"/>
    <n v="45856.179965277777"/>
    <x v="185"/>
    <s v="Kupang"/>
    <s v="Garam - Brand A"/>
    <x v="5"/>
    <x v="2"/>
    <n v="4000"/>
    <n v="1"/>
    <n v="0"/>
    <n v="4000"/>
    <n v="0"/>
    <n v="4000"/>
    <n v="21000"/>
    <n v="25000"/>
    <x v="2"/>
    <s v="Completed"/>
    <x v="2"/>
    <n v="3"/>
    <s v="Laki-laki"/>
    <x v="6"/>
    <x v="0"/>
    <n v="7"/>
  </r>
  <r>
    <s v="ORD00064"/>
    <n v="45856.258298611108"/>
    <x v="84"/>
    <s v="Mataram"/>
    <s v="Tepung Terigu - Brand B"/>
    <x v="2"/>
    <x v="1"/>
    <n v="12000"/>
    <n v="1"/>
    <n v="15"/>
    <n v="12000"/>
    <n v="1800"/>
    <n v="10200"/>
    <n v="56000"/>
    <n v="66200"/>
    <x v="2"/>
    <s v="Completed"/>
    <x v="2"/>
    <n v="3"/>
    <s v="Laki-laki"/>
    <x v="6"/>
    <x v="0"/>
    <n v="7"/>
  </r>
  <r>
    <s v="ORD00416"/>
    <n v="45856.813368055547"/>
    <x v="357"/>
    <s v="Banda Aceh"/>
    <s v="Beras - Brand A"/>
    <x v="0"/>
    <x v="2"/>
    <n v="14000"/>
    <n v="5"/>
    <n v="0"/>
    <n v="70000"/>
    <n v="0"/>
    <n v="70000"/>
    <n v="18000"/>
    <n v="88000"/>
    <x v="3"/>
    <s v="Completed"/>
    <x v="1"/>
    <n v="3"/>
    <s v="Perempuan"/>
    <x v="6"/>
    <x v="0"/>
    <n v="7"/>
  </r>
  <r>
    <s v="ORD00416"/>
    <n v="45856.813368055547"/>
    <x v="357"/>
    <s v="Banda Aceh"/>
    <s v="Minyak Goreng - Brand A"/>
    <x v="8"/>
    <x v="2"/>
    <n v="16000"/>
    <n v="2"/>
    <n v="5"/>
    <n v="32000"/>
    <n v="1600"/>
    <n v="30400"/>
    <n v="0"/>
    <n v="30400"/>
    <x v="3"/>
    <s v="Completed"/>
    <x v="1"/>
    <n v="3"/>
    <s v="Perempuan"/>
    <x v="6"/>
    <x v="0"/>
    <n v="7"/>
  </r>
  <r>
    <s v="ORD00703"/>
    <n v="45857.095925925933"/>
    <x v="251"/>
    <s v="Banjarbaru"/>
    <s v="Minyak Goreng - Brand B"/>
    <x v="8"/>
    <x v="1"/>
    <n v="17000"/>
    <n v="3"/>
    <n v="20"/>
    <n v="51000"/>
    <n v="10200"/>
    <n v="40800"/>
    <n v="55000"/>
    <n v="95800"/>
    <x v="1"/>
    <s v="Completed"/>
    <x v="4"/>
    <n v="2"/>
    <s v="Perempuan"/>
    <x v="6"/>
    <x v="0"/>
    <n v="7"/>
  </r>
  <r>
    <s v="ORD00914"/>
    <n v="45857.396944444437"/>
    <x v="300"/>
    <s v="Kendari"/>
    <s v="Susu Bubuk - Brand B"/>
    <x v="7"/>
    <x v="1"/>
    <n v="50000"/>
    <n v="5"/>
    <n v="20"/>
    <n v="250000"/>
    <n v="50000"/>
    <n v="200000"/>
    <n v="59000"/>
    <n v="259000"/>
    <x v="0"/>
    <s v="Completed"/>
    <x v="4"/>
    <n v="4"/>
    <s v="Perempuan"/>
    <x v="6"/>
    <x v="0"/>
    <n v="7"/>
  </r>
  <r>
    <s v="ORD01368"/>
    <n v="45857.402997685182"/>
    <x v="53"/>
    <s v="Pekanbaru"/>
    <s v="Beras - Brand A"/>
    <x v="0"/>
    <x v="2"/>
    <n v="14000"/>
    <n v="5"/>
    <n v="15"/>
    <n v="70000"/>
    <n v="10500"/>
    <n v="59500"/>
    <n v="49000"/>
    <n v="108500"/>
    <x v="0"/>
    <s v="Returned"/>
    <x v="0"/>
    <n v="4"/>
    <s v="Perempuan"/>
    <x v="6"/>
    <x v="0"/>
    <n v="7"/>
  </r>
  <r>
    <s v="ORD01250"/>
    <n v="45857.491909722223"/>
    <x v="364"/>
    <s v="Manokwari"/>
    <s v="Tepung Terigu - Brand B"/>
    <x v="2"/>
    <x v="1"/>
    <n v="12000"/>
    <n v="4"/>
    <n v="5"/>
    <n v="48000"/>
    <n v="2400"/>
    <n v="45600"/>
    <n v="18000"/>
    <n v="63600"/>
    <x v="1"/>
    <s v="Completed"/>
    <x v="1"/>
    <n v="1"/>
    <s v="Laki-laki"/>
    <x v="6"/>
    <x v="0"/>
    <n v="7"/>
  </r>
  <r>
    <s v="ORD01344"/>
    <n v="45857.549756944441"/>
    <x v="348"/>
    <s v="Sorong"/>
    <s v="Telur Ayam - Brand B"/>
    <x v="4"/>
    <x v="1"/>
    <n v="25000"/>
    <n v="3"/>
    <n v="5"/>
    <n v="75000"/>
    <n v="3750"/>
    <n v="71250"/>
    <n v="87000"/>
    <n v="158250"/>
    <x v="1"/>
    <s v="Completed"/>
    <x v="0"/>
    <n v="3"/>
    <s v="Perempuan"/>
    <x v="6"/>
    <x v="0"/>
    <n v="7"/>
  </r>
  <r>
    <s v="ORD00087"/>
    <n v="45857.624537037038"/>
    <x v="55"/>
    <s v="Pangkalpinang"/>
    <s v="Beras - Brand C"/>
    <x v="0"/>
    <x v="0"/>
    <n v="16000"/>
    <n v="2"/>
    <n v="5"/>
    <n v="32000"/>
    <n v="1600"/>
    <n v="30400"/>
    <n v="18000"/>
    <n v="48400"/>
    <x v="3"/>
    <s v="Completed"/>
    <x v="0"/>
    <n v="2"/>
    <s v="Laki-laki"/>
    <x v="6"/>
    <x v="0"/>
    <n v="7"/>
  </r>
  <r>
    <s v="ORD00087"/>
    <n v="45857.624537037038"/>
    <x v="55"/>
    <s v="Pangkalpinang"/>
    <s v="Minyak Goreng - Brand C"/>
    <x v="8"/>
    <x v="0"/>
    <n v="18000"/>
    <n v="4"/>
    <n v="10"/>
    <n v="72000"/>
    <n v="7200"/>
    <n v="64800"/>
    <n v="0"/>
    <n v="64800"/>
    <x v="3"/>
    <s v="Completed"/>
    <x v="0"/>
    <n v="2"/>
    <s v="Laki-laki"/>
    <x v="6"/>
    <x v="0"/>
    <n v="7"/>
  </r>
  <r>
    <s v="ORD00429"/>
    <n v="45857.767280092587"/>
    <x v="60"/>
    <s v="Bengkulu"/>
    <s v="Gula Pasir - Brand A"/>
    <x v="6"/>
    <x v="2"/>
    <n v="16000"/>
    <n v="3"/>
    <n v="10"/>
    <n v="48000"/>
    <n v="4800"/>
    <n v="43200"/>
    <n v="72000"/>
    <n v="115200"/>
    <x v="2"/>
    <s v="Completed"/>
    <x v="4"/>
    <n v="4"/>
    <s v="Perempuan"/>
    <x v="6"/>
    <x v="0"/>
    <n v="7"/>
  </r>
  <r>
    <s v="ORD00033"/>
    <n v="45858.306689814817"/>
    <x v="205"/>
    <s v="Jakarta"/>
    <s v="Beras - Brand A"/>
    <x v="0"/>
    <x v="2"/>
    <n v="14000"/>
    <n v="2"/>
    <n v="5"/>
    <n v="28000"/>
    <n v="1400"/>
    <n v="26600"/>
    <n v="97000"/>
    <n v="123600"/>
    <x v="1"/>
    <s v="Completed"/>
    <x v="1"/>
    <n v="2"/>
    <s v="Laki-laki"/>
    <x v="6"/>
    <x v="0"/>
    <n v="7"/>
  </r>
  <r>
    <s v="ORD00033"/>
    <n v="45858.306689814817"/>
    <x v="205"/>
    <s v="Jakarta"/>
    <s v="Garam - Brand B"/>
    <x v="5"/>
    <x v="1"/>
    <n v="5000"/>
    <n v="4"/>
    <n v="0"/>
    <n v="20000"/>
    <n v="0"/>
    <n v="20000"/>
    <n v="0"/>
    <n v="20000"/>
    <x v="1"/>
    <s v="Completed"/>
    <x v="1"/>
    <n v="2"/>
    <s v="Laki-laki"/>
    <x v="6"/>
    <x v="0"/>
    <n v="7"/>
  </r>
  <r>
    <s v="ORD00485"/>
    <n v="45858.482719907413"/>
    <x v="182"/>
    <s v="Pangkalpinang"/>
    <s v="Gula Pasir - Brand B"/>
    <x v="6"/>
    <x v="1"/>
    <n v="17000"/>
    <n v="5"/>
    <n v="10"/>
    <n v="85000"/>
    <n v="8500"/>
    <n v="76500"/>
    <n v="18000"/>
    <n v="94500"/>
    <x v="0"/>
    <s v="Completed"/>
    <x v="0"/>
    <n v="2"/>
    <s v="Perempuan"/>
    <x v="6"/>
    <x v="0"/>
    <n v="7"/>
  </r>
  <r>
    <s v="ORD00103"/>
    <n v="45858.538888888892"/>
    <x v="299"/>
    <s v="Padang"/>
    <s v="Telur Ayam - Brand A"/>
    <x v="4"/>
    <x v="2"/>
    <n v="22000"/>
    <n v="4"/>
    <n v="0"/>
    <n v="88000"/>
    <n v="0"/>
    <n v="88000"/>
    <n v="68000"/>
    <n v="156000"/>
    <x v="2"/>
    <s v="Returned"/>
    <x v="1"/>
    <n v="5"/>
    <s v="Perempuan"/>
    <x v="6"/>
    <x v="0"/>
    <n v="7"/>
  </r>
  <r>
    <s v="ORD01262"/>
    <n v="45858.574756944443"/>
    <x v="69"/>
    <s v="Bandung"/>
    <s v="Susu Bubuk - Brand C"/>
    <x v="7"/>
    <x v="0"/>
    <n v="55000"/>
    <n v="3"/>
    <n v="5"/>
    <n v="165000"/>
    <n v="8250"/>
    <n v="156750"/>
    <n v="0"/>
    <n v="156750"/>
    <x v="3"/>
    <s v="Completed"/>
    <x v="0"/>
    <n v="4"/>
    <s v="Perempuan"/>
    <x v="6"/>
    <x v="0"/>
    <n v="7"/>
  </r>
  <r>
    <s v="ORD00858"/>
    <n v="45858.871342592603"/>
    <x v="72"/>
    <s v="Yogyakarta"/>
    <s v="Bawang Merah - Brand C"/>
    <x v="3"/>
    <x v="0"/>
    <n v="40000"/>
    <n v="1"/>
    <n v="20"/>
    <n v="40000"/>
    <n v="8000"/>
    <n v="32000"/>
    <n v="78000"/>
    <n v="110000"/>
    <x v="0"/>
    <s v="Completed"/>
    <x v="3"/>
    <n v="1"/>
    <s v="Perempuan"/>
    <x v="6"/>
    <x v="0"/>
    <n v="7"/>
  </r>
  <r>
    <s v="ORD01284"/>
    <n v="45858.920138888891"/>
    <x v="365"/>
    <s v="Palembang"/>
    <s v="Bawang Merah - Brand A"/>
    <x v="3"/>
    <x v="2"/>
    <n v="30000"/>
    <n v="4"/>
    <n v="5"/>
    <n v="120000"/>
    <n v="6000"/>
    <n v="114000"/>
    <n v="17000"/>
    <n v="131000"/>
    <x v="2"/>
    <s v="Completed"/>
    <x v="3"/>
    <n v="2"/>
    <s v="Laki-laki"/>
    <x v="6"/>
    <x v="0"/>
    <n v="7"/>
  </r>
  <r>
    <s v="ORD01056"/>
    <n v="45858.955439814818"/>
    <x v="32"/>
    <s v="Surabaya"/>
    <s v="Garam - Brand C"/>
    <x v="5"/>
    <x v="0"/>
    <n v="6000"/>
    <n v="4"/>
    <n v="20"/>
    <n v="24000"/>
    <n v="4800"/>
    <n v="19200"/>
    <n v="74000"/>
    <n v="93200"/>
    <x v="0"/>
    <s v="Completed"/>
    <x v="3"/>
    <n v="4"/>
    <s v="Perempuan"/>
    <x v="6"/>
    <x v="0"/>
    <n v="7"/>
  </r>
  <r>
    <s v="ORD01528"/>
    <n v="45859.043854166674"/>
    <x v="103"/>
    <s v="Denpasar"/>
    <s v="Daging Ayam - Brand B"/>
    <x v="1"/>
    <x v="1"/>
    <n v="40000"/>
    <n v="4"/>
    <n v="20"/>
    <n v="160000"/>
    <n v="32000"/>
    <n v="128000"/>
    <n v="80000"/>
    <n v="208000"/>
    <x v="1"/>
    <s v="Completed"/>
    <x v="4"/>
    <n v="4"/>
    <s v="Perempuan"/>
    <x v="6"/>
    <x v="0"/>
    <n v="7"/>
  </r>
  <r>
    <s v="ORD00324"/>
    <n v="45859.081643518519"/>
    <x v="160"/>
    <s v="Ambon"/>
    <s v="Beras - Brand C"/>
    <x v="0"/>
    <x v="0"/>
    <n v="16000"/>
    <n v="4"/>
    <n v="10"/>
    <n v="64000"/>
    <n v="6400"/>
    <n v="57600"/>
    <n v="49000"/>
    <n v="106600"/>
    <x v="1"/>
    <s v="Completed"/>
    <x v="2"/>
    <n v="4"/>
    <s v="Perempuan"/>
    <x v="6"/>
    <x v="0"/>
    <n v="7"/>
  </r>
  <r>
    <s v="ORD00067"/>
    <n v="45859.17732638889"/>
    <x v="285"/>
    <s v="Pontianak"/>
    <s v="Gula Pasir - Brand A"/>
    <x v="6"/>
    <x v="2"/>
    <n v="16000"/>
    <n v="5"/>
    <n v="20"/>
    <n v="80000"/>
    <n v="16000"/>
    <n v="64000"/>
    <n v="85000"/>
    <n v="149000"/>
    <x v="3"/>
    <s v="Completed"/>
    <x v="4"/>
    <n v="3"/>
    <s v="Laki-laki"/>
    <x v="6"/>
    <x v="0"/>
    <n v="7"/>
  </r>
  <r>
    <s v="ORD00067"/>
    <n v="45859.17732638889"/>
    <x v="285"/>
    <s v="Pontianak"/>
    <s v="Daging Ayam - Brand C"/>
    <x v="1"/>
    <x v="0"/>
    <n v="45000"/>
    <n v="1"/>
    <n v="20"/>
    <n v="45000"/>
    <n v="9000"/>
    <n v="36000"/>
    <n v="0"/>
    <n v="36000"/>
    <x v="3"/>
    <s v="Completed"/>
    <x v="4"/>
    <n v="3"/>
    <s v="Laki-laki"/>
    <x v="6"/>
    <x v="0"/>
    <n v="7"/>
  </r>
  <r>
    <s v="ORD01765"/>
    <n v="45859.227777777778"/>
    <x v="60"/>
    <s v="Bengkulu"/>
    <s v="Gula Pasir - Brand C"/>
    <x v="6"/>
    <x v="0"/>
    <n v="18000"/>
    <n v="2"/>
    <n v="5"/>
    <n v="36000"/>
    <n v="1800"/>
    <n v="34200"/>
    <n v="72000"/>
    <n v="106200"/>
    <x v="1"/>
    <s v="Completed"/>
    <x v="0"/>
    <n v="1"/>
    <s v="Perempuan"/>
    <x v="6"/>
    <x v="0"/>
    <n v="7"/>
  </r>
  <r>
    <s v="ORD00765"/>
    <n v="45859.833912037036"/>
    <x v="28"/>
    <s v="Bengkulu"/>
    <s v="Tepung Terigu - Brand B"/>
    <x v="2"/>
    <x v="1"/>
    <n v="12000"/>
    <n v="5"/>
    <n v="10"/>
    <n v="60000"/>
    <n v="6000"/>
    <n v="54000"/>
    <n v="72000"/>
    <n v="126000"/>
    <x v="1"/>
    <s v="Returned"/>
    <x v="4"/>
    <n v="4"/>
    <s v="Perempuan"/>
    <x v="6"/>
    <x v="0"/>
    <n v="7"/>
  </r>
  <r>
    <s v="ORD00568"/>
    <n v="45860.616342592592"/>
    <x v="234"/>
    <s v="Tanjung Selor"/>
    <s v="Susu Bubuk - Brand B"/>
    <x v="7"/>
    <x v="1"/>
    <n v="50000"/>
    <n v="1"/>
    <n v="0"/>
    <n v="50000"/>
    <n v="0"/>
    <n v="50000"/>
    <n v="26000"/>
    <n v="76000"/>
    <x v="2"/>
    <s v="Completed"/>
    <x v="3"/>
    <n v="5"/>
    <s v="Perempuan"/>
    <x v="6"/>
    <x v="0"/>
    <n v="7"/>
  </r>
  <r>
    <s v="ORD01642"/>
    <n v="45860.716678240737"/>
    <x v="366"/>
    <s v="Merauke"/>
    <s v="Bawang Merah - Brand B"/>
    <x v="3"/>
    <x v="1"/>
    <n v="35000"/>
    <n v="1"/>
    <n v="0"/>
    <n v="35000"/>
    <n v="0"/>
    <n v="35000"/>
    <n v="59000"/>
    <n v="94000"/>
    <x v="2"/>
    <s v="Completed"/>
    <x v="0"/>
    <n v="3"/>
    <s v="Perempuan"/>
    <x v="6"/>
    <x v="0"/>
    <n v="7"/>
  </r>
  <r>
    <s v="ORD00776"/>
    <n v="45860.745578703703"/>
    <x v="347"/>
    <s v="Merauke"/>
    <s v="Telur Ayam - Brand B"/>
    <x v="4"/>
    <x v="1"/>
    <n v="25000"/>
    <n v="4"/>
    <n v="0"/>
    <n v="100000"/>
    <n v="0"/>
    <n v="100000"/>
    <n v="59000"/>
    <n v="159000"/>
    <x v="0"/>
    <s v="Cancelled"/>
    <x v="1"/>
    <n v="1"/>
    <s v="Perempuan"/>
    <x v="6"/>
    <x v="0"/>
    <n v="7"/>
  </r>
  <r>
    <s v="ORD01508"/>
    <n v="45860.891793981478"/>
    <x v="180"/>
    <s v="Pangkalpinang"/>
    <s v="Bawang Merah - Brand C"/>
    <x v="3"/>
    <x v="0"/>
    <n v="40000"/>
    <n v="1"/>
    <n v="0"/>
    <n v="40000"/>
    <n v="0"/>
    <n v="40000"/>
    <n v="18000"/>
    <n v="58000"/>
    <x v="2"/>
    <s v="Completed"/>
    <x v="2"/>
    <n v="5"/>
    <s v="Perempuan"/>
    <x v="6"/>
    <x v="0"/>
    <n v="7"/>
  </r>
  <r>
    <s v="ORD01381"/>
    <n v="45860.957337962973"/>
    <x v="30"/>
    <s v="Wamena"/>
    <s v="Susu Bubuk - Brand A"/>
    <x v="7"/>
    <x v="2"/>
    <n v="45000"/>
    <n v="3"/>
    <n v="10"/>
    <n v="135000"/>
    <n v="13500"/>
    <n v="121500"/>
    <n v="15000"/>
    <n v="136500"/>
    <x v="3"/>
    <s v="Completed"/>
    <x v="3"/>
    <n v="5"/>
    <s v="Laki-laki"/>
    <x v="6"/>
    <x v="0"/>
    <n v="7"/>
  </r>
  <r>
    <s v="ORD00884"/>
    <n v="45861.101261574076"/>
    <x v="163"/>
    <s v="Mamuju"/>
    <s v="Garam - Brand C"/>
    <x v="5"/>
    <x v="0"/>
    <n v="6000"/>
    <n v="2"/>
    <n v="0"/>
    <n v="12000"/>
    <n v="0"/>
    <n v="12000"/>
    <n v="46000"/>
    <n v="58000"/>
    <x v="2"/>
    <s v="Completed"/>
    <x v="4"/>
    <n v="5"/>
    <s v="Perempuan"/>
    <x v="6"/>
    <x v="0"/>
    <n v="7"/>
  </r>
  <r>
    <s v="ORD00792"/>
    <n v="45861.243611111109"/>
    <x v="351"/>
    <s v="Banda Aceh"/>
    <s v="Susu Bubuk - Brand A"/>
    <x v="7"/>
    <x v="2"/>
    <n v="45000"/>
    <n v="1"/>
    <n v="15"/>
    <n v="45000"/>
    <n v="6750"/>
    <n v="38250"/>
    <n v="18000"/>
    <n v="56250"/>
    <x v="3"/>
    <s v="Completed"/>
    <x v="0"/>
    <n v="5"/>
    <s v="Perempuan"/>
    <x v="6"/>
    <x v="0"/>
    <n v="7"/>
  </r>
  <r>
    <s v="ORD01390"/>
    <n v="45861.389467592591"/>
    <x v="331"/>
    <s v="Pekanbaru"/>
    <s v="Garam - Brand A"/>
    <x v="5"/>
    <x v="2"/>
    <n v="4000"/>
    <n v="2"/>
    <n v="10"/>
    <n v="8000"/>
    <n v="800"/>
    <n v="7200"/>
    <n v="49000"/>
    <n v="56200"/>
    <x v="0"/>
    <s v="Completed"/>
    <x v="1"/>
    <n v="3"/>
    <s v="Perempuan"/>
    <x v="6"/>
    <x v="0"/>
    <n v="7"/>
  </r>
  <r>
    <s v="ORD01093"/>
    <n v="45861.496805555558"/>
    <x v="344"/>
    <s v="Kendari"/>
    <s v="Susu Bubuk - Brand C"/>
    <x v="7"/>
    <x v="0"/>
    <n v="55000"/>
    <n v="5"/>
    <n v="15"/>
    <n v="275000"/>
    <n v="41250"/>
    <n v="233750"/>
    <n v="59000"/>
    <n v="292750"/>
    <x v="2"/>
    <s v="Completed"/>
    <x v="1"/>
    <n v="2"/>
    <s v="Laki-laki"/>
    <x v="6"/>
    <x v="0"/>
    <n v="7"/>
  </r>
  <r>
    <s v="ORD01860"/>
    <n v="45861.61309027778"/>
    <x v="224"/>
    <s v="Merauke"/>
    <s v="Gula Pasir - Brand A"/>
    <x v="6"/>
    <x v="2"/>
    <n v="16000"/>
    <n v="4"/>
    <n v="15"/>
    <n v="64000"/>
    <n v="9600"/>
    <n v="54400"/>
    <n v="59000"/>
    <n v="113400"/>
    <x v="1"/>
    <s v="Completed"/>
    <x v="4"/>
    <n v="4"/>
    <s v="Perempuan"/>
    <x v="6"/>
    <x v="0"/>
    <n v="7"/>
  </r>
  <r>
    <s v="ORD00721"/>
    <n v="45861.652800925927"/>
    <x v="209"/>
    <s v="Sofifi"/>
    <s v="Minyak Goreng - Brand A"/>
    <x v="8"/>
    <x v="2"/>
    <n v="16000"/>
    <n v="1"/>
    <n v="0"/>
    <n v="16000"/>
    <n v="0"/>
    <n v="16000"/>
    <n v="50000"/>
    <n v="66000"/>
    <x v="0"/>
    <s v="Completed"/>
    <x v="2"/>
    <n v="2"/>
    <s v="Perempuan"/>
    <x v="6"/>
    <x v="0"/>
    <n v="7"/>
  </r>
  <r>
    <s v="ORD01637"/>
    <n v="45861.653391203698"/>
    <x v="309"/>
    <s v="Manokwari"/>
    <s v="Susu Bubuk - Brand B"/>
    <x v="7"/>
    <x v="1"/>
    <n v="50000"/>
    <n v="2"/>
    <n v="10"/>
    <n v="100000"/>
    <n v="10000"/>
    <n v="90000"/>
    <n v="18000"/>
    <n v="108000"/>
    <x v="0"/>
    <s v="Completed"/>
    <x v="0"/>
    <n v="2"/>
    <s v="Perempuan"/>
    <x v="6"/>
    <x v="0"/>
    <n v="7"/>
  </r>
  <r>
    <s v="ORD00577"/>
    <n v="45861.747523148151"/>
    <x v="79"/>
    <s v="Pontianak"/>
    <s v="Bawang Merah - Brand A"/>
    <x v="3"/>
    <x v="2"/>
    <n v="30000"/>
    <n v="4"/>
    <n v="10"/>
    <n v="120000"/>
    <n v="12000"/>
    <n v="108000"/>
    <n v="85000"/>
    <n v="193000"/>
    <x v="1"/>
    <s v="Completed"/>
    <x v="3"/>
    <n v="3"/>
    <s v="Perempuan"/>
    <x v="6"/>
    <x v="0"/>
    <n v="7"/>
  </r>
  <r>
    <s v="ORD01305"/>
    <n v="45861.886342592603"/>
    <x v="10"/>
    <s v="Mataram"/>
    <s v="Bawang Merah - Brand B"/>
    <x v="3"/>
    <x v="1"/>
    <n v="35000"/>
    <n v="4"/>
    <n v="10"/>
    <n v="140000"/>
    <n v="14000"/>
    <n v="126000"/>
    <n v="56000"/>
    <n v="182000"/>
    <x v="3"/>
    <s v="Completed"/>
    <x v="4"/>
    <n v="4"/>
    <s v="Perempuan"/>
    <x v="6"/>
    <x v="0"/>
    <n v="7"/>
  </r>
  <r>
    <s v="ORD00054"/>
    <n v="45862.091469907413"/>
    <x v="8"/>
    <s v="Wamena"/>
    <s v="Gula Pasir - Brand C"/>
    <x v="6"/>
    <x v="0"/>
    <n v="18000"/>
    <n v="5"/>
    <n v="20"/>
    <n v="90000"/>
    <n v="18000"/>
    <n v="72000"/>
    <n v="15000"/>
    <n v="87000"/>
    <x v="2"/>
    <s v="Completed"/>
    <x v="4"/>
    <n v="2"/>
    <s v="Laki-laki"/>
    <x v="6"/>
    <x v="0"/>
    <n v="7"/>
  </r>
  <r>
    <s v="ORD00054"/>
    <n v="45862.091469907413"/>
    <x v="8"/>
    <s v="Wamena"/>
    <s v="Daging Ayam - Brand A"/>
    <x v="1"/>
    <x v="2"/>
    <n v="35000"/>
    <n v="5"/>
    <n v="10"/>
    <n v="175000"/>
    <n v="17500"/>
    <n v="157500"/>
    <n v="0"/>
    <n v="157500"/>
    <x v="2"/>
    <s v="Completed"/>
    <x v="4"/>
    <n v="2"/>
    <s v="Laki-laki"/>
    <x v="6"/>
    <x v="0"/>
    <n v="7"/>
  </r>
  <r>
    <s v="ORD00052"/>
    <n v="45862.118402777778"/>
    <x v="367"/>
    <s v="Jayapura"/>
    <s v="Daging Ayam - Brand B"/>
    <x v="1"/>
    <x v="1"/>
    <n v="40000"/>
    <n v="1"/>
    <n v="5"/>
    <n v="40000"/>
    <n v="2000"/>
    <n v="38000"/>
    <n v="30000"/>
    <n v="68000"/>
    <x v="2"/>
    <s v="Returned"/>
    <x v="0"/>
    <n v="1"/>
    <s v="Laki-laki"/>
    <x v="6"/>
    <x v="0"/>
    <n v="7"/>
  </r>
  <r>
    <s v="ORD01070"/>
    <n v="45862.320011574076"/>
    <x v="155"/>
    <s v="Bandung"/>
    <s v="Minyak Goreng - Brand B"/>
    <x v="8"/>
    <x v="1"/>
    <n v="17000"/>
    <n v="4"/>
    <n v="0"/>
    <n v="68000"/>
    <n v="0"/>
    <n v="68000"/>
    <n v="0"/>
    <n v="68000"/>
    <x v="1"/>
    <s v="Returned"/>
    <x v="4"/>
    <n v="4"/>
    <s v="Perempuan"/>
    <x v="6"/>
    <x v="0"/>
    <n v="7"/>
  </r>
  <r>
    <s v="ORD00665"/>
    <n v="45862.595254629632"/>
    <x v="113"/>
    <s v="Palu"/>
    <s v="Gula Pasir - Brand C"/>
    <x v="6"/>
    <x v="0"/>
    <n v="18000"/>
    <n v="2"/>
    <n v="0"/>
    <n v="36000"/>
    <n v="0"/>
    <n v="36000"/>
    <n v="67000"/>
    <n v="103000"/>
    <x v="1"/>
    <s v="Completed"/>
    <x v="0"/>
    <n v="5"/>
    <s v="Perempuan"/>
    <x v="6"/>
    <x v="0"/>
    <n v="7"/>
  </r>
  <r>
    <s v="ORD00722"/>
    <n v="45862.785856481481"/>
    <x v="55"/>
    <s v="Pangkalpinang"/>
    <s v="Telur Ayam - Brand C"/>
    <x v="4"/>
    <x v="0"/>
    <n v="28000"/>
    <n v="4"/>
    <n v="10"/>
    <n v="112000"/>
    <n v="11200"/>
    <n v="100800"/>
    <n v="18000"/>
    <n v="118800"/>
    <x v="2"/>
    <s v="Completed"/>
    <x v="1"/>
    <n v="2"/>
    <s v="Laki-laki"/>
    <x v="6"/>
    <x v="0"/>
    <n v="7"/>
  </r>
  <r>
    <s v="ORD00418"/>
    <n v="45862.850752314807"/>
    <x v="163"/>
    <s v="Mamuju"/>
    <s v="Tepung Terigu - Brand B"/>
    <x v="2"/>
    <x v="1"/>
    <n v="12000"/>
    <n v="5"/>
    <n v="10"/>
    <n v="60000"/>
    <n v="6000"/>
    <n v="54000"/>
    <n v="46000"/>
    <n v="100000"/>
    <x v="1"/>
    <s v="Completed"/>
    <x v="0"/>
    <n v="3"/>
    <s v="Perempuan"/>
    <x v="6"/>
    <x v="0"/>
    <n v="7"/>
  </r>
  <r>
    <s v="ORD01785"/>
    <n v="45862.964467592603"/>
    <x v="288"/>
    <s v="Pangkalpinang"/>
    <s v="Gula Pasir - Brand A"/>
    <x v="6"/>
    <x v="2"/>
    <n v="16000"/>
    <n v="4"/>
    <n v="15"/>
    <n v="64000"/>
    <n v="9600"/>
    <n v="54400"/>
    <n v="18000"/>
    <n v="72400"/>
    <x v="2"/>
    <s v="Completed"/>
    <x v="0"/>
    <n v="5"/>
    <s v="Perempuan"/>
    <x v="6"/>
    <x v="0"/>
    <n v="7"/>
  </r>
  <r>
    <s v="ORD01837"/>
    <n v="45863.019652777781"/>
    <x v="0"/>
    <s v="Sorong"/>
    <s v="Tepung Terigu - Brand B"/>
    <x v="2"/>
    <x v="1"/>
    <n v="12000"/>
    <n v="2"/>
    <n v="10"/>
    <n v="24000"/>
    <n v="2400"/>
    <n v="21600"/>
    <n v="87000"/>
    <n v="108600"/>
    <x v="0"/>
    <s v="Cancelled"/>
    <x v="0"/>
    <n v="2"/>
    <s v="Perempuan"/>
    <x v="6"/>
    <x v="0"/>
    <n v="7"/>
  </r>
  <r>
    <s v="ORD00293"/>
    <n v="45863.086631944447"/>
    <x v="368"/>
    <s v="Pangkalpinang"/>
    <s v="Susu Bubuk - Brand C"/>
    <x v="7"/>
    <x v="0"/>
    <n v="55000"/>
    <n v="4"/>
    <n v="15"/>
    <n v="220000"/>
    <n v="33000"/>
    <n v="187000"/>
    <n v="18000"/>
    <n v="205000"/>
    <x v="1"/>
    <s v="Completed"/>
    <x v="4"/>
    <n v="2"/>
    <s v="Perempuan"/>
    <x v="6"/>
    <x v="0"/>
    <n v="7"/>
  </r>
  <r>
    <s v="ORD00293"/>
    <n v="45863.086631944447"/>
    <x v="368"/>
    <s v="Pangkalpinang"/>
    <s v="Daging Ayam - Brand A"/>
    <x v="1"/>
    <x v="2"/>
    <n v="35000"/>
    <n v="3"/>
    <n v="15"/>
    <n v="105000"/>
    <n v="15750"/>
    <n v="89250"/>
    <n v="0"/>
    <n v="89250"/>
    <x v="1"/>
    <s v="Completed"/>
    <x v="4"/>
    <n v="2"/>
    <s v="Perempuan"/>
    <x v="6"/>
    <x v="0"/>
    <n v="7"/>
  </r>
  <r>
    <s v="ORD01436"/>
    <n v="45863.151562500003"/>
    <x v="177"/>
    <s v="Kendari"/>
    <s v="Bawang Merah - Brand A"/>
    <x v="3"/>
    <x v="2"/>
    <n v="30000"/>
    <n v="2"/>
    <n v="10"/>
    <n v="60000"/>
    <n v="6000"/>
    <n v="54000"/>
    <n v="59000"/>
    <n v="113000"/>
    <x v="2"/>
    <s v="Completed"/>
    <x v="4"/>
    <n v="3"/>
    <s v="Laki-laki"/>
    <x v="6"/>
    <x v="0"/>
    <n v="7"/>
  </r>
  <r>
    <s v="ORD01094"/>
    <n v="45863.50476851852"/>
    <x v="181"/>
    <s v="Wamena"/>
    <s v="Beras - Brand B"/>
    <x v="0"/>
    <x v="1"/>
    <n v="15000"/>
    <n v="4"/>
    <n v="15"/>
    <n v="60000"/>
    <n v="9000"/>
    <n v="51000"/>
    <n v="15000"/>
    <n v="66000"/>
    <x v="2"/>
    <s v="Completed"/>
    <x v="4"/>
    <n v="3"/>
    <s v="Perempuan"/>
    <x v="6"/>
    <x v="0"/>
    <n v="7"/>
  </r>
  <r>
    <s v="ORD01162"/>
    <n v="45863.770949074067"/>
    <x v="214"/>
    <s v="Ambon"/>
    <s v="Tepung Terigu - Brand A"/>
    <x v="2"/>
    <x v="2"/>
    <n v="10000"/>
    <n v="5"/>
    <n v="20"/>
    <n v="50000"/>
    <n v="10000"/>
    <n v="40000"/>
    <n v="49000"/>
    <n v="89000"/>
    <x v="3"/>
    <s v="Completed"/>
    <x v="0"/>
    <n v="1"/>
    <s v="Laki-laki"/>
    <x v="6"/>
    <x v="0"/>
    <n v="7"/>
  </r>
  <r>
    <s v="ORD01745"/>
    <n v="45863.798275462963"/>
    <x v="138"/>
    <s v="Semarang"/>
    <s v="Daging Ayam - Brand C"/>
    <x v="1"/>
    <x v="0"/>
    <n v="45000"/>
    <n v="2"/>
    <n v="0"/>
    <n v="90000"/>
    <n v="0"/>
    <n v="90000"/>
    <n v="76000"/>
    <n v="166000"/>
    <x v="1"/>
    <s v="Completed"/>
    <x v="0"/>
    <n v="4"/>
    <s v="Perempuan"/>
    <x v="6"/>
    <x v="0"/>
    <n v="7"/>
  </r>
  <r>
    <s v="ORD00506"/>
    <n v="45864.592835648153"/>
    <x v="106"/>
    <s v="Tanjungpinang"/>
    <s v="Gula Pasir - Brand C"/>
    <x v="6"/>
    <x v="0"/>
    <n v="18000"/>
    <n v="2"/>
    <n v="15"/>
    <n v="36000"/>
    <n v="5400"/>
    <n v="30600"/>
    <n v="48000"/>
    <n v="78600"/>
    <x v="0"/>
    <s v="Completed"/>
    <x v="0"/>
    <n v="5"/>
    <s v="Perempuan"/>
    <x v="6"/>
    <x v="0"/>
    <n v="7"/>
  </r>
  <r>
    <s v="ORD00597"/>
    <n v="45864.711539351847"/>
    <x v="60"/>
    <s v="Bengkulu"/>
    <s v="Bawang Merah - Brand B"/>
    <x v="3"/>
    <x v="1"/>
    <n v="35000"/>
    <n v="4"/>
    <n v="10"/>
    <n v="140000"/>
    <n v="14000"/>
    <n v="126000"/>
    <n v="72000"/>
    <n v="198000"/>
    <x v="1"/>
    <s v="Completed"/>
    <x v="3"/>
    <n v="3"/>
    <s v="Perempuan"/>
    <x v="6"/>
    <x v="0"/>
    <n v="7"/>
  </r>
  <r>
    <s v="ORD00617"/>
    <n v="45865.085636574076"/>
    <x v="7"/>
    <s v="Tanjung Selor"/>
    <s v="Telur Ayam - Brand B"/>
    <x v="4"/>
    <x v="1"/>
    <n v="25000"/>
    <n v="5"/>
    <n v="5"/>
    <n v="125000"/>
    <n v="6250"/>
    <n v="118750"/>
    <n v="26000"/>
    <n v="144750"/>
    <x v="2"/>
    <s v="Completed"/>
    <x v="1"/>
    <n v="2"/>
    <s v="Laki-laki"/>
    <x v="6"/>
    <x v="0"/>
    <n v="7"/>
  </r>
  <r>
    <s v="ORD01510"/>
    <n v="45865.160798611112"/>
    <x v="362"/>
    <s v="Palangka Raya"/>
    <s v="Garam - Brand C"/>
    <x v="5"/>
    <x v="0"/>
    <n v="6000"/>
    <n v="5"/>
    <n v="15"/>
    <n v="30000"/>
    <n v="4500"/>
    <n v="25500"/>
    <n v="50000"/>
    <n v="75500"/>
    <x v="1"/>
    <s v="Completed"/>
    <x v="4"/>
    <n v="2"/>
    <s v="Perempuan"/>
    <x v="6"/>
    <x v="0"/>
    <n v="7"/>
  </r>
  <r>
    <s v="ORD00113"/>
    <n v="45865.341331018521"/>
    <x v="369"/>
    <s v="Surabaya"/>
    <s v="Daging Ayam - Brand A"/>
    <x v="1"/>
    <x v="2"/>
    <n v="35000"/>
    <n v="1"/>
    <n v="15"/>
    <n v="35000"/>
    <n v="5250"/>
    <n v="29750"/>
    <n v="74000"/>
    <n v="103750"/>
    <x v="2"/>
    <s v="Completed"/>
    <x v="3"/>
    <n v="1"/>
    <s v="Perempuan"/>
    <x v="6"/>
    <x v="0"/>
    <n v="7"/>
  </r>
  <r>
    <s v="ORD00113"/>
    <n v="45865.341331018521"/>
    <x v="369"/>
    <s v="Surabaya"/>
    <s v="Bawang Merah - Brand A"/>
    <x v="3"/>
    <x v="2"/>
    <n v="30000"/>
    <n v="4"/>
    <n v="0"/>
    <n v="120000"/>
    <n v="0"/>
    <n v="120000"/>
    <n v="0"/>
    <n v="120000"/>
    <x v="2"/>
    <s v="Completed"/>
    <x v="3"/>
    <n v="1"/>
    <s v="Perempuan"/>
    <x v="6"/>
    <x v="0"/>
    <n v="7"/>
  </r>
  <r>
    <s v="ORD01098"/>
    <n v="45865.577187499999"/>
    <x v="367"/>
    <s v="Jayapura"/>
    <s v="Susu Bubuk - Brand A"/>
    <x v="7"/>
    <x v="2"/>
    <n v="45000"/>
    <n v="5"/>
    <n v="5"/>
    <n v="225000"/>
    <n v="11250"/>
    <n v="213750"/>
    <n v="30000"/>
    <n v="243750"/>
    <x v="0"/>
    <s v="Completed"/>
    <x v="2"/>
    <n v="4"/>
    <s v="Laki-laki"/>
    <x v="6"/>
    <x v="0"/>
    <n v="7"/>
  </r>
  <r>
    <s v="ORD00767"/>
    <n v="45866.054826388892"/>
    <x v="198"/>
    <s v="Semarang"/>
    <s v="Susu Bubuk - Brand A"/>
    <x v="7"/>
    <x v="2"/>
    <n v="45000"/>
    <n v="1"/>
    <n v="10"/>
    <n v="45000"/>
    <n v="4500"/>
    <n v="40500"/>
    <n v="76000"/>
    <n v="116500"/>
    <x v="0"/>
    <s v="Returned"/>
    <x v="2"/>
    <n v="1"/>
    <s v="Perempuan"/>
    <x v="6"/>
    <x v="0"/>
    <n v="7"/>
  </r>
  <r>
    <s v="ORD01808"/>
    <n v="45866.175891203697"/>
    <x v="267"/>
    <s v="Medan"/>
    <s v="Garam - Brand A"/>
    <x v="5"/>
    <x v="2"/>
    <n v="4000"/>
    <n v="2"/>
    <n v="20"/>
    <n v="8000"/>
    <n v="1600"/>
    <n v="6400"/>
    <n v="79000"/>
    <n v="85400"/>
    <x v="0"/>
    <s v="Completed"/>
    <x v="3"/>
    <n v="2"/>
    <s v="Perempuan"/>
    <x v="6"/>
    <x v="0"/>
    <n v="7"/>
  </r>
  <r>
    <s v="ORD00745"/>
    <n v="45866.266261574077"/>
    <x v="59"/>
    <s v="Samarinda"/>
    <s v="Telur Ayam - Brand B"/>
    <x v="4"/>
    <x v="1"/>
    <n v="25000"/>
    <n v="4"/>
    <n v="10"/>
    <n v="100000"/>
    <n v="10000"/>
    <n v="90000"/>
    <n v="43000"/>
    <n v="133000"/>
    <x v="3"/>
    <s v="Cancelled"/>
    <x v="1"/>
    <n v="4"/>
    <s v="Perempuan"/>
    <x v="6"/>
    <x v="0"/>
    <n v="7"/>
  </r>
  <r>
    <s v="ORD01783"/>
    <n v="45866.288958333331"/>
    <x v="61"/>
    <s v="Ambon"/>
    <s v="Tepung Terigu - Brand A"/>
    <x v="2"/>
    <x v="2"/>
    <n v="10000"/>
    <n v="2"/>
    <n v="10"/>
    <n v="20000"/>
    <n v="2000"/>
    <n v="18000"/>
    <n v="49000"/>
    <n v="67000"/>
    <x v="2"/>
    <s v="Completed"/>
    <x v="3"/>
    <n v="2"/>
    <s v="Perempuan"/>
    <x v="6"/>
    <x v="0"/>
    <n v="7"/>
  </r>
  <r>
    <s v="ORD00046"/>
    <n v="45866.364155092589"/>
    <x v="319"/>
    <s v="Pangkalpinang"/>
    <s v="Telur Ayam - Brand B"/>
    <x v="4"/>
    <x v="1"/>
    <n v="25000"/>
    <n v="4"/>
    <n v="10"/>
    <n v="100000"/>
    <n v="10000"/>
    <n v="90000"/>
    <n v="18000"/>
    <n v="108000"/>
    <x v="3"/>
    <s v="Completed"/>
    <x v="3"/>
    <n v="3"/>
    <s v="Laki-laki"/>
    <x v="6"/>
    <x v="0"/>
    <n v="7"/>
  </r>
  <r>
    <s v="ORD00183"/>
    <n v="45866.424317129633"/>
    <x v="370"/>
    <s v="Banda Aceh"/>
    <s v="Minyak Goreng - Brand B"/>
    <x v="8"/>
    <x v="1"/>
    <n v="17000"/>
    <n v="2"/>
    <n v="10"/>
    <n v="34000"/>
    <n v="3400"/>
    <n v="30600"/>
    <n v="18000"/>
    <n v="48600"/>
    <x v="3"/>
    <s v="Completed"/>
    <x v="2"/>
    <n v="4"/>
    <s v="Perempuan"/>
    <x v="6"/>
    <x v="0"/>
    <n v="7"/>
  </r>
  <r>
    <s v="ORD00842"/>
    <n v="45866.681296296287"/>
    <x v="160"/>
    <s v="Ambon"/>
    <s v="Susu Bubuk - Brand B"/>
    <x v="7"/>
    <x v="1"/>
    <n v="50000"/>
    <n v="1"/>
    <n v="5"/>
    <n v="50000"/>
    <n v="2500"/>
    <n v="47500"/>
    <n v="49000"/>
    <n v="96500"/>
    <x v="0"/>
    <s v="Completed"/>
    <x v="0"/>
    <n v="4"/>
    <s v="Perempuan"/>
    <x v="6"/>
    <x v="0"/>
    <n v="7"/>
  </r>
  <r>
    <s v="ORD00399"/>
    <n v="45866.900381944448"/>
    <x v="229"/>
    <s v="Nabire"/>
    <s v="Beras - Brand B"/>
    <x v="0"/>
    <x v="1"/>
    <n v="15000"/>
    <n v="1"/>
    <n v="0"/>
    <n v="15000"/>
    <n v="0"/>
    <n v="15000"/>
    <n v="89000"/>
    <n v="104000"/>
    <x v="0"/>
    <s v="Completed"/>
    <x v="2"/>
    <n v="3"/>
    <s v="Perempuan"/>
    <x v="6"/>
    <x v="0"/>
    <n v="7"/>
  </r>
  <r>
    <s v="ORD00561"/>
    <n v="45866.901134259257"/>
    <x v="127"/>
    <s v="Banda Aceh"/>
    <s v="Telur Ayam - Brand B"/>
    <x v="4"/>
    <x v="1"/>
    <n v="25000"/>
    <n v="1"/>
    <n v="20"/>
    <n v="25000"/>
    <n v="5000"/>
    <n v="20000"/>
    <n v="18000"/>
    <n v="38000"/>
    <x v="2"/>
    <s v="Completed"/>
    <x v="1"/>
    <n v="4"/>
    <s v="Perempuan"/>
    <x v="6"/>
    <x v="0"/>
    <n v="7"/>
  </r>
  <r>
    <s v="ORD00360"/>
    <n v="45867.163912037038"/>
    <x v="153"/>
    <s v="Wamena"/>
    <s v="Gula Pasir - Brand A"/>
    <x v="6"/>
    <x v="2"/>
    <n v="16000"/>
    <n v="3"/>
    <n v="15"/>
    <n v="48000"/>
    <n v="7200"/>
    <n v="40800"/>
    <n v="15000"/>
    <n v="55800"/>
    <x v="0"/>
    <s v="Completed"/>
    <x v="0"/>
    <n v="3"/>
    <s v="Perempuan"/>
    <x v="6"/>
    <x v="0"/>
    <n v="7"/>
  </r>
  <r>
    <s v="ORD01412"/>
    <n v="45867.302395833343"/>
    <x v="116"/>
    <s v="Jayapura"/>
    <s v="Garam - Brand B"/>
    <x v="5"/>
    <x v="1"/>
    <n v="5000"/>
    <n v="2"/>
    <n v="15"/>
    <n v="10000"/>
    <n v="1500"/>
    <n v="8500"/>
    <n v="30000"/>
    <n v="38500"/>
    <x v="0"/>
    <s v="Completed"/>
    <x v="3"/>
    <n v="2"/>
    <s v="Perempuan"/>
    <x v="6"/>
    <x v="0"/>
    <n v="7"/>
  </r>
  <r>
    <s v="ORD00123"/>
    <n v="45867.323414351849"/>
    <x v="227"/>
    <s v="Pontianak"/>
    <s v="Garam - Brand C"/>
    <x v="5"/>
    <x v="0"/>
    <n v="6000"/>
    <n v="1"/>
    <n v="20"/>
    <n v="6000"/>
    <n v="1200"/>
    <n v="4800"/>
    <n v="85000"/>
    <n v="89800"/>
    <x v="1"/>
    <s v="Completed"/>
    <x v="2"/>
    <n v="1"/>
    <s v="Perempuan"/>
    <x v="6"/>
    <x v="0"/>
    <n v="7"/>
  </r>
  <r>
    <s v="ORD01400"/>
    <n v="45867.372615740736"/>
    <x v="333"/>
    <s v="Serang"/>
    <s v="Minyak Goreng - Brand B"/>
    <x v="8"/>
    <x v="1"/>
    <n v="17000"/>
    <n v="3"/>
    <n v="5"/>
    <n v="51000"/>
    <n v="2550"/>
    <n v="48450"/>
    <n v="57000"/>
    <n v="105450"/>
    <x v="2"/>
    <s v="Returned"/>
    <x v="2"/>
    <n v="4"/>
    <s v="Laki-laki"/>
    <x v="6"/>
    <x v="0"/>
    <n v="7"/>
  </r>
  <r>
    <s v="ORD00938"/>
    <n v="45867.550405092603"/>
    <x v="343"/>
    <s v="Bandar Lampung"/>
    <s v="Tepung Terigu - Brand B"/>
    <x v="2"/>
    <x v="1"/>
    <n v="12000"/>
    <n v="2"/>
    <n v="0"/>
    <n v="24000"/>
    <n v="0"/>
    <n v="24000"/>
    <n v="28000"/>
    <n v="52000"/>
    <x v="3"/>
    <s v="Completed"/>
    <x v="2"/>
    <n v="1"/>
    <s v="Perempuan"/>
    <x v="6"/>
    <x v="0"/>
    <n v="7"/>
  </r>
  <r>
    <s v="ORD01268"/>
    <n v="45867.628530092603"/>
    <x v="74"/>
    <s v="Tanjungpinang"/>
    <s v="Tepung Terigu - Brand B"/>
    <x v="2"/>
    <x v="1"/>
    <n v="12000"/>
    <n v="3"/>
    <n v="0"/>
    <n v="36000"/>
    <n v="0"/>
    <n v="36000"/>
    <n v="48000"/>
    <n v="84000"/>
    <x v="1"/>
    <s v="Returned"/>
    <x v="4"/>
    <n v="5"/>
    <s v="Perempuan"/>
    <x v="6"/>
    <x v="0"/>
    <n v="7"/>
  </r>
  <r>
    <s v="ORD01405"/>
    <n v="45867.758287037039"/>
    <x v="37"/>
    <s v="Jakarta"/>
    <s v="Susu Bubuk - Brand C"/>
    <x v="7"/>
    <x v="0"/>
    <n v="55000"/>
    <n v="3"/>
    <n v="0"/>
    <n v="165000"/>
    <n v="0"/>
    <n v="165000"/>
    <n v="97000"/>
    <n v="262000"/>
    <x v="0"/>
    <s v="Completed"/>
    <x v="4"/>
    <n v="1"/>
    <s v="Perempuan"/>
    <x v="6"/>
    <x v="0"/>
    <n v="7"/>
  </r>
  <r>
    <s v="ORD01771"/>
    <n v="45868.071631944447"/>
    <x v="126"/>
    <s v="Makassar"/>
    <s v="Gula Pasir - Brand A"/>
    <x v="6"/>
    <x v="2"/>
    <n v="16000"/>
    <n v="5"/>
    <n v="5"/>
    <n v="80000"/>
    <n v="4000"/>
    <n v="76000"/>
    <n v="84000"/>
    <n v="160000"/>
    <x v="0"/>
    <s v="Returned"/>
    <x v="1"/>
    <n v="5"/>
    <s v="Laki-laki"/>
    <x v="6"/>
    <x v="0"/>
    <n v="7"/>
  </r>
  <r>
    <s v="ORD00381"/>
    <n v="45868.445451388892"/>
    <x v="321"/>
    <s v="Yogyakarta"/>
    <s v="Gula Pasir - Brand A"/>
    <x v="6"/>
    <x v="2"/>
    <n v="16000"/>
    <n v="2"/>
    <n v="15"/>
    <n v="32000"/>
    <n v="4800"/>
    <n v="27200"/>
    <n v="78000"/>
    <n v="105200"/>
    <x v="0"/>
    <s v="Returned"/>
    <x v="3"/>
    <n v="5"/>
    <s v="Perempuan"/>
    <x v="6"/>
    <x v="0"/>
    <n v="7"/>
  </r>
  <r>
    <s v="ORD00920"/>
    <n v="45868.843668981477"/>
    <x v="198"/>
    <s v="Semarang"/>
    <s v="Tepung Terigu - Brand C"/>
    <x v="2"/>
    <x v="0"/>
    <n v="14000"/>
    <n v="3"/>
    <n v="0"/>
    <n v="42000"/>
    <n v="0"/>
    <n v="42000"/>
    <n v="76000"/>
    <n v="118000"/>
    <x v="2"/>
    <s v="Returned"/>
    <x v="3"/>
    <n v="3"/>
    <s v="Perempuan"/>
    <x v="6"/>
    <x v="0"/>
    <n v="7"/>
  </r>
  <r>
    <s v="ORD01037"/>
    <n v="45868.919363425928"/>
    <x v="174"/>
    <s v="Wamena"/>
    <s v="Daging Ayam - Brand A"/>
    <x v="1"/>
    <x v="2"/>
    <n v="35000"/>
    <n v="3"/>
    <n v="5"/>
    <n v="105000"/>
    <n v="5250"/>
    <n v="99750"/>
    <n v="15000"/>
    <n v="114750"/>
    <x v="3"/>
    <s v="Completed"/>
    <x v="2"/>
    <n v="2"/>
    <s v="Perempuan"/>
    <x v="6"/>
    <x v="0"/>
    <n v="7"/>
  </r>
  <r>
    <s v="ORD00717"/>
    <n v="45869.196898148148"/>
    <x v="325"/>
    <s v="Tanjungpinang"/>
    <s v="Telur Ayam - Brand A"/>
    <x v="4"/>
    <x v="2"/>
    <n v="22000"/>
    <n v="3"/>
    <n v="5"/>
    <n v="66000"/>
    <n v="3300"/>
    <n v="62700"/>
    <n v="48000"/>
    <n v="110700"/>
    <x v="1"/>
    <s v="Completed"/>
    <x v="3"/>
    <n v="2"/>
    <s v="Perempuan"/>
    <x v="6"/>
    <x v="0"/>
    <n v="7"/>
  </r>
  <r>
    <s v="ORD00295"/>
    <n v="45869.816377314812"/>
    <x v="253"/>
    <s v="Tanjung Selor"/>
    <s v="Susu Bubuk - Brand A"/>
    <x v="7"/>
    <x v="2"/>
    <n v="45000"/>
    <n v="4"/>
    <n v="15"/>
    <n v="180000"/>
    <n v="27000"/>
    <n v="153000"/>
    <n v="26000"/>
    <n v="179000"/>
    <x v="2"/>
    <s v="Completed"/>
    <x v="3"/>
    <n v="5"/>
    <s v="Perempuan"/>
    <x v="6"/>
    <x v="0"/>
    <n v="7"/>
  </r>
  <r>
    <s v="ORD00913"/>
    <n v="45869.988287037027"/>
    <x v="82"/>
    <s v="Sorong"/>
    <s v="Bawang Merah - Brand A"/>
    <x v="3"/>
    <x v="2"/>
    <n v="30000"/>
    <n v="2"/>
    <n v="10"/>
    <n v="60000"/>
    <n v="6000"/>
    <n v="54000"/>
    <n v="87000"/>
    <n v="141000"/>
    <x v="2"/>
    <s v="Completed"/>
    <x v="1"/>
    <n v="4"/>
    <s v="Laki-laki"/>
    <x v="6"/>
    <x v="0"/>
    <n v="7"/>
  </r>
  <r>
    <s v="ORD00333"/>
    <n v="45870.3825"/>
    <x v="358"/>
    <s v="Wamena"/>
    <s v="Minyak Goreng - Brand C"/>
    <x v="8"/>
    <x v="0"/>
    <n v="18000"/>
    <n v="3"/>
    <n v="10"/>
    <n v="54000"/>
    <n v="5400"/>
    <n v="48600"/>
    <n v="15000"/>
    <n v="63600"/>
    <x v="0"/>
    <s v="Completed"/>
    <x v="3"/>
    <n v="2"/>
    <s v="Perempuan"/>
    <x v="7"/>
    <x v="0"/>
    <n v="8"/>
  </r>
  <r>
    <s v="ORD01546"/>
    <n v="45870.79791666667"/>
    <x v="94"/>
    <s v="Banda Aceh"/>
    <s v="Susu Bubuk - Brand B"/>
    <x v="7"/>
    <x v="1"/>
    <n v="50000"/>
    <n v="3"/>
    <n v="20"/>
    <n v="150000"/>
    <n v="30000"/>
    <n v="120000"/>
    <n v="18000"/>
    <n v="138000"/>
    <x v="1"/>
    <s v="Shipped"/>
    <x v="2"/>
    <n v="3"/>
    <s v="Perempuan"/>
    <x v="7"/>
    <x v="0"/>
    <n v="8"/>
  </r>
  <r>
    <s v="ORD00004"/>
    <n v="45871.337280092594"/>
    <x v="316"/>
    <s v="Manokwari"/>
    <s v="Minyak Goreng - Brand A"/>
    <x v="8"/>
    <x v="2"/>
    <n v="16000"/>
    <n v="4"/>
    <n v="5"/>
    <n v="64000"/>
    <n v="3200"/>
    <n v="60800"/>
    <n v="18000"/>
    <n v="78800"/>
    <x v="1"/>
    <s v="Shipped"/>
    <x v="2"/>
    <n v="5"/>
    <s v="Laki-laki"/>
    <x v="7"/>
    <x v="0"/>
    <n v="8"/>
  </r>
  <r>
    <s v="ORD01858"/>
    <n v="45871.490358796298"/>
    <x v="365"/>
    <s v="Palembang"/>
    <s v="Minyak Goreng - Brand C"/>
    <x v="8"/>
    <x v="0"/>
    <n v="18000"/>
    <n v="3"/>
    <n v="0"/>
    <n v="54000"/>
    <n v="0"/>
    <n v="54000"/>
    <n v="17000"/>
    <n v="71000"/>
    <x v="0"/>
    <s v="Pending"/>
    <x v="0"/>
    <n v="4"/>
    <s v="Laki-laki"/>
    <x v="7"/>
    <x v="0"/>
    <n v="8"/>
  </r>
  <r>
    <s v="ORD00669"/>
    <n v="45871.750162037039"/>
    <x v="161"/>
    <s v="Gorontalo"/>
    <s v="Bawang Merah - Brand A"/>
    <x v="3"/>
    <x v="2"/>
    <n v="30000"/>
    <n v="4"/>
    <n v="0"/>
    <n v="120000"/>
    <n v="0"/>
    <n v="120000"/>
    <n v="80000"/>
    <n v="200000"/>
    <x v="2"/>
    <s v="Pending"/>
    <x v="2"/>
    <n v="5"/>
    <s v="Perempuan"/>
    <x v="7"/>
    <x v="0"/>
    <n v="8"/>
  </r>
  <r>
    <s v="ORD00720"/>
    <n v="45872.077731481477"/>
    <x v="307"/>
    <s v="Mataram"/>
    <s v="Telur Ayam - Brand B"/>
    <x v="4"/>
    <x v="1"/>
    <n v="25000"/>
    <n v="1"/>
    <n v="20"/>
    <n v="25000"/>
    <n v="5000"/>
    <n v="20000"/>
    <n v="56000"/>
    <n v="76000"/>
    <x v="0"/>
    <s v="Pending"/>
    <x v="4"/>
    <n v="5"/>
    <s v="Perempuan"/>
    <x v="7"/>
    <x v="0"/>
    <n v="8"/>
  </r>
  <r>
    <s v="ORD01625"/>
    <n v="45872.096770833326"/>
    <x v="28"/>
    <s v="Bengkulu"/>
    <s v="Daging Ayam - Brand C"/>
    <x v="1"/>
    <x v="0"/>
    <n v="45000"/>
    <n v="5"/>
    <n v="0"/>
    <n v="225000"/>
    <n v="0"/>
    <n v="225000"/>
    <n v="72000"/>
    <n v="297000"/>
    <x v="3"/>
    <s v="Returned"/>
    <x v="2"/>
    <n v="3"/>
    <s v="Perempuan"/>
    <x v="7"/>
    <x v="0"/>
    <n v="8"/>
  </r>
  <r>
    <s v="ORD00583"/>
    <n v="45872.123749999999"/>
    <x v="69"/>
    <s v="Bandung"/>
    <s v="Minyak Goreng - Brand C"/>
    <x v="8"/>
    <x v="0"/>
    <n v="18000"/>
    <n v="4"/>
    <n v="5"/>
    <n v="72000"/>
    <n v="3600"/>
    <n v="68400"/>
    <n v="0"/>
    <n v="68400"/>
    <x v="3"/>
    <s v="Completed"/>
    <x v="4"/>
    <n v="3"/>
    <s v="Perempuan"/>
    <x v="7"/>
    <x v="0"/>
    <n v="8"/>
  </r>
  <r>
    <s v="ORD00020"/>
    <n v="45872.378136574072"/>
    <x v="371"/>
    <s v="Banjarbaru"/>
    <s v="Susu Bubuk - Brand A"/>
    <x v="7"/>
    <x v="2"/>
    <n v="45000"/>
    <n v="1"/>
    <n v="5"/>
    <n v="45000"/>
    <n v="2250"/>
    <n v="42750"/>
    <n v="55000"/>
    <n v="97750"/>
    <x v="0"/>
    <s v="Completed"/>
    <x v="4"/>
    <n v="1"/>
    <s v="Laki-laki"/>
    <x v="7"/>
    <x v="0"/>
    <n v="8"/>
  </r>
  <r>
    <s v="ORD01114"/>
    <n v="45872.387523148151"/>
    <x v="346"/>
    <s v="Manado"/>
    <s v="Beras - Brand A"/>
    <x v="0"/>
    <x v="2"/>
    <n v="14000"/>
    <n v="1"/>
    <n v="5"/>
    <n v="14000"/>
    <n v="700"/>
    <n v="13300"/>
    <n v="93000"/>
    <n v="106300"/>
    <x v="1"/>
    <s v="Returned"/>
    <x v="0"/>
    <n v="2"/>
    <s v="Laki-laki"/>
    <x v="7"/>
    <x v="0"/>
    <n v="8"/>
  </r>
  <r>
    <s v="ORD00499"/>
    <n v="45872.414965277778"/>
    <x v="46"/>
    <s v="Surabaya"/>
    <s v="Susu Bubuk - Brand B"/>
    <x v="7"/>
    <x v="1"/>
    <n v="50000"/>
    <n v="5"/>
    <n v="10"/>
    <n v="250000"/>
    <n v="25000"/>
    <n v="225000"/>
    <n v="74000"/>
    <n v="299000"/>
    <x v="2"/>
    <s v="Shipped"/>
    <x v="2"/>
    <n v="5"/>
    <s v="Perempuan"/>
    <x v="7"/>
    <x v="0"/>
    <n v="8"/>
  </r>
  <r>
    <s v="ORD00499"/>
    <n v="45872.414965277778"/>
    <x v="46"/>
    <s v="Surabaya"/>
    <s v="Garam - Brand A"/>
    <x v="5"/>
    <x v="2"/>
    <n v="4000"/>
    <n v="2"/>
    <n v="0"/>
    <n v="8000"/>
    <n v="0"/>
    <n v="8000"/>
    <n v="0"/>
    <n v="8000"/>
    <x v="2"/>
    <s v="Shipped"/>
    <x v="2"/>
    <n v="5"/>
    <s v="Perempuan"/>
    <x v="7"/>
    <x v="0"/>
    <n v="8"/>
  </r>
  <r>
    <s v="ORD00572"/>
    <n v="45872.512638888889"/>
    <x v="208"/>
    <s v="Palu"/>
    <s v="Tepung Terigu - Brand B"/>
    <x v="2"/>
    <x v="1"/>
    <n v="12000"/>
    <n v="4"/>
    <n v="20"/>
    <n v="48000"/>
    <n v="9600"/>
    <n v="38400"/>
    <n v="67000"/>
    <n v="105400"/>
    <x v="2"/>
    <s v="Completed"/>
    <x v="1"/>
    <n v="1"/>
    <s v="Perempuan"/>
    <x v="7"/>
    <x v="0"/>
    <n v="8"/>
  </r>
  <r>
    <s v="ORD00558"/>
    <n v="45872.690312500003"/>
    <x v="257"/>
    <s v="Kendari"/>
    <s v="Beras - Brand B"/>
    <x v="0"/>
    <x v="1"/>
    <n v="15000"/>
    <n v="3"/>
    <n v="15"/>
    <n v="45000"/>
    <n v="6750"/>
    <n v="38250"/>
    <n v="59000"/>
    <n v="97250"/>
    <x v="1"/>
    <s v="Completed"/>
    <x v="4"/>
    <n v="2"/>
    <s v="Perempuan"/>
    <x v="7"/>
    <x v="0"/>
    <n v="8"/>
  </r>
  <r>
    <s v="ORD01690"/>
    <n v="45872.704386574071"/>
    <x v="168"/>
    <s v="Semarang"/>
    <s v="Beras - Brand A"/>
    <x v="0"/>
    <x v="2"/>
    <n v="14000"/>
    <n v="2"/>
    <n v="0"/>
    <n v="28000"/>
    <n v="0"/>
    <n v="28000"/>
    <n v="76000"/>
    <n v="104000"/>
    <x v="1"/>
    <s v="Pending"/>
    <x v="3"/>
    <n v="4"/>
    <s v="Perempuan"/>
    <x v="7"/>
    <x v="0"/>
    <n v="8"/>
  </r>
  <r>
    <s v="ORD00898"/>
    <n v="45873.405289351853"/>
    <x v="241"/>
    <s v="Jakarta"/>
    <s v="Gula Pasir - Brand A"/>
    <x v="6"/>
    <x v="2"/>
    <n v="16000"/>
    <n v="1"/>
    <n v="5"/>
    <n v="16000"/>
    <n v="800"/>
    <n v="15200"/>
    <n v="97000"/>
    <n v="112200"/>
    <x v="3"/>
    <s v="Completed"/>
    <x v="2"/>
    <n v="2"/>
    <s v="Perempuan"/>
    <x v="7"/>
    <x v="0"/>
    <n v="8"/>
  </r>
  <r>
    <s v="ORD00338"/>
    <n v="45873.464270833327"/>
    <x v="3"/>
    <s v="Wamena"/>
    <s v="Minyak Goreng - Brand C"/>
    <x v="8"/>
    <x v="0"/>
    <n v="18000"/>
    <n v="4"/>
    <n v="15"/>
    <n v="72000"/>
    <n v="10800"/>
    <n v="61200"/>
    <n v="15000"/>
    <n v="76200"/>
    <x v="1"/>
    <s v="Completed"/>
    <x v="3"/>
    <n v="1"/>
    <s v="Perempuan"/>
    <x v="7"/>
    <x v="0"/>
    <n v="8"/>
  </r>
  <r>
    <s v="ORD00285"/>
    <n v="45873.633842592593"/>
    <x v="342"/>
    <s v="Banda Aceh"/>
    <s v="Bawang Merah - Brand B"/>
    <x v="3"/>
    <x v="1"/>
    <n v="35000"/>
    <n v="4"/>
    <n v="20"/>
    <n v="140000"/>
    <n v="28000"/>
    <n v="112000"/>
    <n v="18000"/>
    <n v="130000"/>
    <x v="3"/>
    <s v="Completed"/>
    <x v="0"/>
    <n v="5"/>
    <s v="Perempuan"/>
    <x v="7"/>
    <x v="0"/>
    <n v="8"/>
  </r>
  <r>
    <s v="ORD00631"/>
    <n v="45873.718784722223"/>
    <x v="13"/>
    <s v="Tanjungpinang"/>
    <s v="Susu Bubuk - Brand A"/>
    <x v="7"/>
    <x v="2"/>
    <n v="45000"/>
    <n v="4"/>
    <n v="15"/>
    <n v="180000"/>
    <n v="27000"/>
    <n v="153000"/>
    <n v="48000"/>
    <n v="201000"/>
    <x v="3"/>
    <s v="Completed"/>
    <x v="3"/>
    <n v="5"/>
    <s v="Perempuan"/>
    <x v="7"/>
    <x v="0"/>
    <n v="8"/>
  </r>
  <r>
    <s v="ORD01440"/>
    <n v="45873.952962962961"/>
    <x v="34"/>
    <s v="Semarang"/>
    <s v="Daging Ayam - Brand A"/>
    <x v="1"/>
    <x v="2"/>
    <n v="35000"/>
    <n v="5"/>
    <n v="5"/>
    <n v="175000"/>
    <n v="8750"/>
    <n v="166250"/>
    <n v="76000"/>
    <n v="242250"/>
    <x v="3"/>
    <s v="Shipped"/>
    <x v="0"/>
    <n v="5"/>
    <s v="Perempuan"/>
    <x v="7"/>
    <x v="0"/>
    <n v="8"/>
  </r>
  <r>
    <s v="ORD00454"/>
    <n v="45874.015775462962"/>
    <x v="45"/>
    <s v="Jakarta"/>
    <s v="Garam - Brand B"/>
    <x v="5"/>
    <x v="1"/>
    <n v="5000"/>
    <n v="3"/>
    <n v="10"/>
    <n v="15000"/>
    <n v="1500"/>
    <n v="13500"/>
    <n v="97000"/>
    <n v="110500"/>
    <x v="0"/>
    <s v="Completed"/>
    <x v="3"/>
    <n v="5"/>
    <s v="Perempuan"/>
    <x v="7"/>
    <x v="0"/>
    <n v="8"/>
  </r>
  <r>
    <s v="ORD00454"/>
    <n v="45874.015775462962"/>
    <x v="45"/>
    <s v="Jakarta"/>
    <s v="Tepung Terigu - Brand B"/>
    <x v="2"/>
    <x v="1"/>
    <n v="12000"/>
    <n v="4"/>
    <n v="0"/>
    <n v="48000"/>
    <n v="0"/>
    <n v="48000"/>
    <n v="0"/>
    <n v="48000"/>
    <x v="0"/>
    <s v="Completed"/>
    <x v="3"/>
    <n v="5"/>
    <s v="Perempuan"/>
    <x v="7"/>
    <x v="0"/>
    <n v="8"/>
  </r>
  <r>
    <s v="ORD00711"/>
    <n v="45874.054560185177"/>
    <x v="205"/>
    <s v="Jakarta"/>
    <s v="Tepung Terigu - Brand C"/>
    <x v="2"/>
    <x v="0"/>
    <n v="14000"/>
    <n v="4"/>
    <n v="5"/>
    <n v="56000"/>
    <n v="2800"/>
    <n v="53200"/>
    <n v="97000"/>
    <n v="150200"/>
    <x v="1"/>
    <s v="Pending"/>
    <x v="2"/>
    <n v="5"/>
    <s v="Laki-laki"/>
    <x v="7"/>
    <x v="0"/>
    <n v="8"/>
  </r>
  <r>
    <s v="ORD00984"/>
    <n v="45874.185694444437"/>
    <x v="214"/>
    <s v="Ambon"/>
    <s v="Daging Ayam - Brand C"/>
    <x v="1"/>
    <x v="0"/>
    <n v="45000"/>
    <n v="3"/>
    <n v="20"/>
    <n v="135000"/>
    <n v="27000"/>
    <n v="108000"/>
    <n v="49000"/>
    <n v="157000"/>
    <x v="0"/>
    <s v="Pending"/>
    <x v="4"/>
    <n v="3"/>
    <s v="Laki-laki"/>
    <x v="7"/>
    <x v="0"/>
    <n v="8"/>
  </r>
  <r>
    <s v="ORD01718"/>
    <n v="45874.239999999998"/>
    <x v="198"/>
    <s v="Semarang"/>
    <s v="Garam - Brand B"/>
    <x v="5"/>
    <x v="1"/>
    <n v="5000"/>
    <n v="3"/>
    <n v="20"/>
    <n v="15000"/>
    <n v="3000"/>
    <n v="12000"/>
    <n v="76000"/>
    <n v="88000"/>
    <x v="3"/>
    <s v="Pending"/>
    <x v="4"/>
    <n v="3"/>
    <s v="Perempuan"/>
    <x v="7"/>
    <x v="0"/>
    <n v="8"/>
  </r>
  <r>
    <s v="ORD00738"/>
    <n v="45874.34065972222"/>
    <x v="149"/>
    <s v="Banjarbaru"/>
    <s v="Daging Ayam - Brand C"/>
    <x v="1"/>
    <x v="0"/>
    <n v="45000"/>
    <n v="3"/>
    <n v="15"/>
    <n v="135000"/>
    <n v="20250"/>
    <n v="114750"/>
    <n v="55000"/>
    <n v="169750"/>
    <x v="2"/>
    <s v="Shipped"/>
    <x v="4"/>
    <n v="2"/>
    <s v="Perempuan"/>
    <x v="7"/>
    <x v="0"/>
    <n v="8"/>
  </r>
  <r>
    <s v="ORD00602"/>
    <n v="45874.576701388891"/>
    <x v="102"/>
    <s v="Surabaya"/>
    <s v="Susu Bubuk - Brand B"/>
    <x v="7"/>
    <x v="1"/>
    <n v="50000"/>
    <n v="4"/>
    <n v="0"/>
    <n v="200000"/>
    <n v="0"/>
    <n v="200000"/>
    <n v="74000"/>
    <n v="274000"/>
    <x v="0"/>
    <s v="Completed"/>
    <x v="0"/>
    <n v="2"/>
    <s v="Perempuan"/>
    <x v="7"/>
    <x v="0"/>
    <n v="8"/>
  </r>
  <r>
    <s v="ORD01501"/>
    <n v="45874.582118055558"/>
    <x v="168"/>
    <s v="Semarang"/>
    <s v="Garam - Brand A"/>
    <x v="5"/>
    <x v="2"/>
    <n v="4000"/>
    <n v="1"/>
    <n v="0"/>
    <n v="4000"/>
    <n v="0"/>
    <n v="4000"/>
    <n v="76000"/>
    <n v="80000"/>
    <x v="2"/>
    <s v="Pending"/>
    <x v="4"/>
    <n v="1"/>
    <s v="Perempuan"/>
    <x v="7"/>
    <x v="0"/>
    <n v="8"/>
  </r>
  <r>
    <s v="ORD00839"/>
    <n v="45874.707152777781"/>
    <x v="230"/>
    <s v="Manokwari"/>
    <s v="Tepung Terigu - Brand B"/>
    <x v="2"/>
    <x v="1"/>
    <n v="12000"/>
    <n v="2"/>
    <n v="20"/>
    <n v="24000"/>
    <n v="4800"/>
    <n v="19200"/>
    <n v="18000"/>
    <n v="37200"/>
    <x v="0"/>
    <s v="Shipped"/>
    <x v="0"/>
    <n v="5"/>
    <s v="Perempuan"/>
    <x v="7"/>
    <x v="0"/>
    <n v="8"/>
  </r>
  <r>
    <s v="ORD00125"/>
    <n v="45875.015324074076"/>
    <x v="162"/>
    <s v="Kupang"/>
    <s v="Minyak Goreng - Brand C"/>
    <x v="8"/>
    <x v="0"/>
    <n v="18000"/>
    <n v="2"/>
    <n v="10"/>
    <n v="36000"/>
    <n v="3600"/>
    <n v="32400"/>
    <n v="21000"/>
    <n v="53400"/>
    <x v="2"/>
    <s v="Shipped"/>
    <x v="3"/>
    <n v="2"/>
    <s v="Perempuan"/>
    <x v="7"/>
    <x v="0"/>
    <n v="8"/>
  </r>
  <r>
    <s v="ORD00756"/>
    <n v="45875.319328703707"/>
    <x v="226"/>
    <s v="Samarinda"/>
    <s v="Minyak Goreng - Brand B"/>
    <x v="8"/>
    <x v="1"/>
    <n v="17000"/>
    <n v="4"/>
    <n v="15"/>
    <n v="68000"/>
    <n v="10200"/>
    <n v="57800"/>
    <n v="43000"/>
    <n v="100800"/>
    <x v="3"/>
    <s v="Shipped"/>
    <x v="1"/>
    <n v="5"/>
    <s v="Perempuan"/>
    <x v="7"/>
    <x v="0"/>
    <n v="8"/>
  </r>
  <r>
    <s v="ORD00359"/>
    <n v="45875.344236111108"/>
    <x v="220"/>
    <s v="Kendari"/>
    <s v="Daging Ayam - Brand A"/>
    <x v="1"/>
    <x v="2"/>
    <n v="35000"/>
    <n v="1"/>
    <n v="20"/>
    <n v="35000"/>
    <n v="7000"/>
    <n v="28000"/>
    <n v="59000"/>
    <n v="87000"/>
    <x v="2"/>
    <s v="Shipped"/>
    <x v="3"/>
    <n v="4"/>
    <s v="Perempuan"/>
    <x v="7"/>
    <x v="0"/>
    <n v="8"/>
  </r>
  <r>
    <s v="ORD00557"/>
    <n v="45875.380266203712"/>
    <x v="324"/>
    <s v="Samarinda"/>
    <s v="Gula Pasir - Brand B"/>
    <x v="6"/>
    <x v="1"/>
    <n v="17000"/>
    <n v="3"/>
    <n v="0"/>
    <n v="51000"/>
    <n v="0"/>
    <n v="51000"/>
    <n v="43000"/>
    <n v="94000"/>
    <x v="3"/>
    <s v="Shipped"/>
    <x v="0"/>
    <n v="1"/>
    <s v="Laki-laki"/>
    <x v="7"/>
    <x v="0"/>
    <n v="8"/>
  </r>
  <r>
    <s v="ORD00652"/>
    <n v="45875.524074074077"/>
    <x v="372"/>
    <s v="Bandar Lampung"/>
    <s v="Susu Bubuk - Brand A"/>
    <x v="7"/>
    <x v="2"/>
    <n v="45000"/>
    <n v="2"/>
    <n v="5"/>
    <n v="90000"/>
    <n v="4500"/>
    <n v="85500"/>
    <n v="28000"/>
    <n v="113500"/>
    <x v="0"/>
    <s v="Completed"/>
    <x v="2"/>
    <n v="5"/>
    <s v="Laki-laki"/>
    <x v="7"/>
    <x v="0"/>
    <n v="8"/>
  </r>
  <r>
    <s v="ORD01343"/>
    <n v="45875.9299537037"/>
    <x v="29"/>
    <s v="Bandung"/>
    <s v="Beras - Brand A"/>
    <x v="0"/>
    <x v="2"/>
    <n v="14000"/>
    <n v="2"/>
    <n v="15"/>
    <n v="28000"/>
    <n v="4200"/>
    <n v="23800"/>
    <n v="0"/>
    <n v="23800"/>
    <x v="2"/>
    <s v="Completed"/>
    <x v="1"/>
    <n v="1"/>
    <s v="Laki-laki"/>
    <x v="7"/>
    <x v="0"/>
    <n v="8"/>
  </r>
  <r>
    <s v="ORD00460"/>
    <n v="45876.420243055552"/>
    <x v="292"/>
    <s v="Pekanbaru"/>
    <s v="Garam - Brand B"/>
    <x v="5"/>
    <x v="1"/>
    <n v="5000"/>
    <n v="2"/>
    <n v="5"/>
    <n v="10000"/>
    <n v="500"/>
    <n v="9500"/>
    <n v="49000"/>
    <n v="58500"/>
    <x v="1"/>
    <s v="Completed"/>
    <x v="4"/>
    <n v="1"/>
    <s v="Perempuan"/>
    <x v="7"/>
    <x v="0"/>
    <n v="8"/>
  </r>
  <r>
    <s v="ORD00460"/>
    <n v="45876.420243055552"/>
    <x v="292"/>
    <s v="Pekanbaru"/>
    <s v="Telur Ayam - Brand B"/>
    <x v="4"/>
    <x v="1"/>
    <n v="25000"/>
    <n v="5"/>
    <n v="5"/>
    <n v="125000"/>
    <n v="6250"/>
    <n v="118750"/>
    <n v="0"/>
    <n v="118750"/>
    <x v="1"/>
    <s v="Completed"/>
    <x v="4"/>
    <n v="1"/>
    <s v="Perempuan"/>
    <x v="7"/>
    <x v="0"/>
    <n v="8"/>
  </r>
  <r>
    <s v="ORD01215"/>
    <n v="45876.465196759258"/>
    <x v="192"/>
    <s v="Tanjungpinang"/>
    <s v="Daging Ayam - Brand B"/>
    <x v="1"/>
    <x v="1"/>
    <n v="40000"/>
    <n v="1"/>
    <n v="5"/>
    <n v="40000"/>
    <n v="2000"/>
    <n v="38000"/>
    <n v="48000"/>
    <n v="86000"/>
    <x v="0"/>
    <s v="Completed"/>
    <x v="4"/>
    <n v="4"/>
    <s v="Perempuan"/>
    <x v="7"/>
    <x v="0"/>
    <n v="8"/>
  </r>
  <r>
    <s v="ORD01627"/>
    <n v="45876.647361111107"/>
    <x v="125"/>
    <s v="Palembang"/>
    <s v="Daging Ayam - Brand C"/>
    <x v="1"/>
    <x v="0"/>
    <n v="45000"/>
    <n v="2"/>
    <n v="0"/>
    <n v="90000"/>
    <n v="0"/>
    <n v="90000"/>
    <n v="17000"/>
    <n v="107000"/>
    <x v="2"/>
    <s v="Completed"/>
    <x v="3"/>
    <n v="3"/>
    <s v="Perempuan"/>
    <x v="7"/>
    <x v="0"/>
    <n v="8"/>
  </r>
  <r>
    <s v="ORD00833"/>
    <n v="45876.78701388889"/>
    <x v="373"/>
    <s v="Ambon"/>
    <s v="Tepung Terigu - Brand A"/>
    <x v="2"/>
    <x v="2"/>
    <n v="10000"/>
    <n v="1"/>
    <n v="20"/>
    <n v="10000"/>
    <n v="2000"/>
    <n v="8000"/>
    <n v="49000"/>
    <n v="57000"/>
    <x v="0"/>
    <s v="Pending"/>
    <x v="0"/>
    <n v="1"/>
    <s v="Perempuan"/>
    <x v="7"/>
    <x v="0"/>
    <n v="8"/>
  </r>
  <r>
    <s v="ORD01683"/>
    <n v="45876.900497685187"/>
    <x v="28"/>
    <s v="Bengkulu"/>
    <s v="Bawang Merah - Brand C"/>
    <x v="3"/>
    <x v="0"/>
    <n v="40000"/>
    <n v="4"/>
    <n v="10"/>
    <n v="160000"/>
    <n v="16000"/>
    <n v="144000"/>
    <n v="72000"/>
    <n v="216000"/>
    <x v="0"/>
    <s v="Shipped"/>
    <x v="3"/>
    <n v="5"/>
    <s v="Perempuan"/>
    <x v="7"/>
    <x v="0"/>
    <n v="8"/>
  </r>
  <r>
    <s v="ORD00880"/>
    <n v="45877.313981481479"/>
    <x v="336"/>
    <s v="Denpasar"/>
    <s v="Bawang Merah - Brand B"/>
    <x v="3"/>
    <x v="1"/>
    <n v="35000"/>
    <n v="4"/>
    <n v="20"/>
    <n v="140000"/>
    <n v="28000"/>
    <n v="112000"/>
    <n v="80000"/>
    <n v="192000"/>
    <x v="3"/>
    <s v="Pending"/>
    <x v="2"/>
    <n v="5"/>
    <s v="Laki-laki"/>
    <x v="7"/>
    <x v="0"/>
    <n v="8"/>
  </r>
  <r>
    <s v="ORD00274"/>
    <n v="45877.703877314823"/>
    <x v="120"/>
    <s v="Mamuju"/>
    <s v="Daging Ayam - Brand B"/>
    <x v="1"/>
    <x v="1"/>
    <n v="40000"/>
    <n v="4"/>
    <n v="20"/>
    <n v="160000"/>
    <n v="32000"/>
    <n v="128000"/>
    <n v="46000"/>
    <n v="174000"/>
    <x v="0"/>
    <s v="Pending"/>
    <x v="3"/>
    <n v="5"/>
    <s v="Perempuan"/>
    <x v="7"/>
    <x v="0"/>
    <n v="8"/>
  </r>
  <r>
    <s v="ORD01811"/>
    <n v="45877.751006944447"/>
    <x v="40"/>
    <s v="Bengkulu"/>
    <s v="Gula Pasir - Brand A"/>
    <x v="6"/>
    <x v="2"/>
    <n v="16000"/>
    <n v="1"/>
    <n v="20"/>
    <n v="16000"/>
    <n v="3200"/>
    <n v="12800"/>
    <n v="72000"/>
    <n v="84800"/>
    <x v="1"/>
    <s v="Pending"/>
    <x v="0"/>
    <n v="5"/>
    <s v="Perempuan"/>
    <x v="7"/>
    <x v="0"/>
    <n v="8"/>
  </r>
  <r>
    <s v="ORD01613"/>
    <n v="45877.798298611109"/>
    <x v="326"/>
    <s v="Gorontalo"/>
    <s v="Telur Ayam - Brand A"/>
    <x v="4"/>
    <x v="2"/>
    <n v="22000"/>
    <n v="5"/>
    <n v="0"/>
    <n v="110000"/>
    <n v="0"/>
    <n v="110000"/>
    <n v="80000"/>
    <n v="190000"/>
    <x v="3"/>
    <s v="Completed"/>
    <x v="3"/>
    <n v="1"/>
    <s v="Perempuan"/>
    <x v="7"/>
    <x v="0"/>
    <n v="8"/>
  </r>
  <r>
    <s v="ORD01742"/>
    <n v="45877.870844907397"/>
    <x v="61"/>
    <s v="Ambon"/>
    <s v="Susu Bubuk - Brand B"/>
    <x v="7"/>
    <x v="1"/>
    <n v="50000"/>
    <n v="1"/>
    <n v="10"/>
    <n v="50000"/>
    <n v="5000"/>
    <n v="45000"/>
    <n v="49000"/>
    <n v="94000"/>
    <x v="2"/>
    <s v="Pending"/>
    <x v="2"/>
    <n v="5"/>
    <s v="Perempuan"/>
    <x v="7"/>
    <x v="0"/>
    <n v="8"/>
  </r>
  <r>
    <s v="ORD01273"/>
    <n v="45877.960509259261"/>
    <x v="46"/>
    <s v="Surabaya"/>
    <s v="Minyak Goreng - Brand C"/>
    <x v="8"/>
    <x v="0"/>
    <n v="18000"/>
    <n v="3"/>
    <n v="20"/>
    <n v="54000"/>
    <n v="10800"/>
    <n v="43200"/>
    <n v="74000"/>
    <n v="117200"/>
    <x v="0"/>
    <s v="Pending"/>
    <x v="3"/>
    <n v="1"/>
    <s v="Perempuan"/>
    <x v="7"/>
    <x v="0"/>
    <n v="8"/>
  </r>
  <r>
    <s v="ORD01321"/>
    <n v="45878.346064814818"/>
    <x v="294"/>
    <s v="Yogyakarta"/>
    <s v="Susu Bubuk - Brand C"/>
    <x v="7"/>
    <x v="0"/>
    <n v="55000"/>
    <n v="4"/>
    <n v="5"/>
    <n v="220000"/>
    <n v="11000"/>
    <n v="209000"/>
    <n v="78000"/>
    <n v="287000"/>
    <x v="3"/>
    <s v="Completed"/>
    <x v="1"/>
    <n v="4"/>
    <s v="Perempuan"/>
    <x v="7"/>
    <x v="0"/>
    <n v="8"/>
  </r>
  <r>
    <s v="ORD00408"/>
    <n v="45878.467604166668"/>
    <x v="68"/>
    <s v="Kendari"/>
    <s v="Bawang Merah - Brand B"/>
    <x v="3"/>
    <x v="1"/>
    <n v="35000"/>
    <n v="2"/>
    <n v="10"/>
    <n v="70000"/>
    <n v="7000"/>
    <n v="63000"/>
    <n v="59000"/>
    <n v="122000"/>
    <x v="1"/>
    <s v="Pending"/>
    <x v="4"/>
    <n v="5"/>
    <s v="Perempuan"/>
    <x v="7"/>
    <x v="0"/>
    <n v="8"/>
  </r>
  <r>
    <s v="ORD00408"/>
    <n v="45878.467604166668"/>
    <x v="68"/>
    <s v="Kendari"/>
    <s v="Gula Pasir - Brand A"/>
    <x v="6"/>
    <x v="2"/>
    <n v="16000"/>
    <n v="3"/>
    <n v="10"/>
    <n v="48000"/>
    <n v="4800"/>
    <n v="43200"/>
    <n v="0"/>
    <n v="43200"/>
    <x v="1"/>
    <s v="Pending"/>
    <x v="4"/>
    <n v="5"/>
    <s v="Perempuan"/>
    <x v="7"/>
    <x v="0"/>
    <n v="8"/>
  </r>
  <r>
    <s v="ORD00626"/>
    <n v="45878.521331018521"/>
    <x v="305"/>
    <s v="Bandung"/>
    <s v="Beras - Brand B"/>
    <x v="0"/>
    <x v="1"/>
    <n v="15000"/>
    <n v="3"/>
    <n v="10"/>
    <n v="45000"/>
    <n v="4500"/>
    <n v="40500"/>
    <n v="0"/>
    <n v="40500"/>
    <x v="3"/>
    <s v="Completed"/>
    <x v="0"/>
    <n v="4"/>
    <s v="Perempuan"/>
    <x v="7"/>
    <x v="0"/>
    <n v="8"/>
  </r>
  <r>
    <s v="ORD01386"/>
    <n v="45879.030081018522"/>
    <x v="25"/>
    <s v="Bandar Lampung"/>
    <s v="Gula Pasir - Brand A"/>
    <x v="6"/>
    <x v="2"/>
    <n v="16000"/>
    <n v="3"/>
    <n v="20"/>
    <n v="48000"/>
    <n v="9600"/>
    <n v="38400"/>
    <n v="28000"/>
    <n v="66400"/>
    <x v="2"/>
    <s v="Completed"/>
    <x v="4"/>
    <n v="4"/>
    <s v="Perempuan"/>
    <x v="7"/>
    <x v="0"/>
    <n v="8"/>
  </r>
  <r>
    <s v="ORD01256"/>
    <n v="45879.776076388887"/>
    <x v="359"/>
    <s v="Bandar Lampung"/>
    <s v="Beras - Brand A"/>
    <x v="0"/>
    <x v="2"/>
    <n v="14000"/>
    <n v="5"/>
    <n v="5"/>
    <n v="70000"/>
    <n v="3500"/>
    <n v="66500"/>
    <n v="28000"/>
    <n v="94500"/>
    <x v="3"/>
    <s v="Shipped"/>
    <x v="3"/>
    <n v="2"/>
    <s v="Perempuan"/>
    <x v="7"/>
    <x v="0"/>
    <n v="8"/>
  </r>
  <r>
    <s v="ORD00373"/>
    <n v="45880.23296296296"/>
    <x v="317"/>
    <s v="Bengkulu"/>
    <s v="Minyak Goreng - Brand A"/>
    <x v="8"/>
    <x v="2"/>
    <n v="16000"/>
    <n v="1"/>
    <n v="15"/>
    <n v="16000"/>
    <n v="2400"/>
    <n v="13600"/>
    <n v="72000"/>
    <n v="85600"/>
    <x v="0"/>
    <s v="Pending"/>
    <x v="1"/>
    <n v="4"/>
    <s v="Perempuan"/>
    <x v="7"/>
    <x v="0"/>
    <n v="8"/>
  </r>
  <r>
    <s v="ORD00615"/>
    <n v="45880.303738425922"/>
    <x v="125"/>
    <s v="Palembang"/>
    <s v="Daging Ayam - Brand A"/>
    <x v="1"/>
    <x v="2"/>
    <n v="35000"/>
    <n v="4"/>
    <n v="20"/>
    <n v="140000"/>
    <n v="28000"/>
    <n v="112000"/>
    <n v="17000"/>
    <n v="129000"/>
    <x v="3"/>
    <s v="Pending"/>
    <x v="2"/>
    <n v="5"/>
    <s v="Perempuan"/>
    <x v="7"/>
    <x v="0"/>
    <n v="8"/>
  </r>
  <r>
    <s v="ORD01159"/>
    <n v="45881.002187500002"/>
    <x v="317"/>
    <s v="Bengkulu"/>
    <s v="Beras - Brand A"/>
    <x v="0"/>
    <x v="2"/>
    <n v="14000"/>
    <n v="3"/>
    <n v="10"/>
    <n v="42000"/>
    <n v="4200"/>
    <n v="37800"/>
    <n v="72000"/>
    <n v="109800"/>
    <x v="1"/>
    <s v="Completed"/>
    <x v="0"/>
    <n v="4"/>
    <s v="Perempuan"/>
    <x v="7"/>
    <x v="0"/>
    <n v="8"/>
  </r>
  <r>
    <s v="ORD01338"/>
    <n v="45881.182939814818"/>
    <x v="65"/>
    <s v="Mataram"/>
    <s v="Gula Pasir - Brand C"/>
    <x v="6"/>
    <x v="0"/>
    <n v="18000"/>
    <n v="5"/>
    <n v="15"/>
    <n v="90000"/>
    <n v="13500"/>
    <n v="76500"/>
    <n v="56000"/>
    <n v="132500"/>
    <x v="3"/>
    <s v="Completed"/>
    <x v="1"/>
    <n v="3"/>
    <s v="Perempuan"/>
    <x v="7"/>
    <x v="0"/>
    <n v="8"/>
  </r>
  <r>
    <s v="ORD01166"/>
    <n v="45881.384444444448"/>
    <x v="90"/>
    <s v="Yogyakarta"/>
    <s v="Telur Ayam - Brand A"/>
    <x v="4"/>
    <x v="2"/>
    <n v="22000"/>
    <n v="1"/>
    <n v="15"/>
    <n v="22000"/>
    <n v="3300"/>
    <n v="18700"/>
    <n v="78000"/>
    <n v="96700"/>
    <x v="0"/>
    <s v="Shipped"/>
    <x v="0"/>
    <n v="2"/>
    <s v="Perempuan"/>
    <x v="7"/>
    <x v="0"/>
    <n v="8"/>
  </r>
  <r>
    <s v="ORD01185"/>
    <n v="45882.316493055558"/>
    <x v="153"/>
    <s v="Wamena"/>
    <s v="Telur Ayam - Brand B"/>
    <x v="4"/>
    <x v="1"/>
    <n v="25000"/>
    <n v="4"/>
    <n v="20"/>
    <n v="100000"/>
    <n v="20000"/>
    <n v="80000"/>
    <n v="15000"/>
    <n v="95000"/>
    <x v="1"/>
    <s v="Completed"/>
    <x v="0"/>
    <n v="4"/>
    <s v="Perempuan"/>
    <x v="7"/>
    <x v="0"/>
    <n v="8"/>
  </r>
  <r>
    <s v="ORD01285"/>
    <n v="45883.342638888891"/>
    <x v="160"/>
    <s v="Ambon"/>
    <s v="Tepung Terigu - Brand B"/>
    <x v="2"/>
    <x v="1"/>
    <n v="12000"/>
    <n v="1"/>
    <n v="15"/>
    <n v="12000"/>
    <n v="1800"/>
    <n v="10200"/>
    <n v="49000"/>
    <n v="59200"/>
    <x v="3"/>
    <s v="Pending"/>
    <x v="0"/>
    <n v="2"/>
    <s v="Perempuan"/>
    <x v="7"/>
    <x v="0"/>
    <n v="8"/>
  </r>
  <r>
    <s v="ORD01542"/>
    <n v="45883.39135416667"/>
    <x v="275"/>
    <s v="Mataram"/>
    <s v="Bawang Merah - Brand A"/>
    <x v="3"/>
    <x v="2"/>
    <n v="30000"/>
    <n v="5"/>
    <n v="5"/>
    <n v="150000"/>
    <n v="7500"/>
    <n v="142500"/>
    <n v="56000"/>
    <n v="198500"/>
    <x v="0"/>
    <s v="Pending"/>
    <x v="2"/>
    <n v="5"/>
    <s v="Laki-laki"/>
    <x v="7"/>
    <x v="0"/>
    <n v="8"/>
  </r>
  <r>
    <s v="ORD01666"/>
    <n v="45883.829699074071"/>
    <x v="351"/>
    <s v="Banda Aceh"/>
    <s v="Daging Ayam - Brand A"/>
    <x v="1"/>
    <x v="2"/>
    <n v="35000"/>
    <n v="3"/>
    <n v="20"/>
    <n v="105000"/>
    <n v="21000"/>
    <n v="84000"/>
    <n v="18000"/>
    <n v="102000"/>
    <x v="1"/>
    <s v="Shipped"/>
    <x v="4"/>
    <n v="4"/>
    <s v="Perempuan"/>
    <x v="7"/>
    <x v="0"/>
    <n v="8"/>
  </r>
  <r>
    <s v="ORD00757"/>
    <n v="45883.929212962961"/>
    <x v="160"/>
    <s v="Ambon"/>
    <s v="Beras - Brand A"/>
    <x v="0"/>
    <x v="2"/>
    <n v="14000"/>
    <n v="5"/>
    <n v="15"/>
    <n v="70000"/>
    <n v="10500"/>
    <n v="59500"/>
    <n v="49000"/>
    <n v="108500"/>
    <x v="0"/>
    <s v="Shipped"/>
    <x v="2"/>
    <n v="2"/>
    <s v="Perempuan"/>
    <x v="7"/>
    <x v="0"/>
    <n v="8"/>
  </r>
  <r>
    <s v="ORD01236"/>
    <n v="45884.454189814824"/>
    <x v="374"/>
    <s v="Samarinda"/>
    <s v="Garam - Brand B"/>
    <x v="5"/>
    <x v="1"/>
    <n v="5000"/>
    <n v="1"/>
    <n v="15"/>
    <n v="5000"/>
    <n v="750"/>
    <n v="4250"/>
    <n v="43000"/>
    <n v="47250"/>
    <x v="0"/>
    <s v="Completed"/>
    <x v="3"/>
    <n v="4"/>
    <s v="Perempuan"/>
    <x v="7"/>
    <x v="0"/>
    <n v="8"/>
  </r>
  <r>
    <s v="ORD01153"/>
    <n v="45884.779317129629"/>
    <x v="35"/>
    <s v="Manado"/>
    <s v="Beras - Brand A"/>
    <x v="0"/>
    <x v="2"/>
    <n v="14000"/>
    <n v="4"/>
    <n v="0"/>
    <n v="56000"/>
    <n v="0"/>
    <n v="56000"/>
    <n v="93000"/>
    <n v="149000"/>
    <x v="3"/>
    <s v="Completed"/>
    <x v="0"/>
    <n v="1"/>
    <s v="Perempuan"/>
    <x v="7"/>
    <x v="0"/>
    <n v="8"/>
  </r>
  <r>
    <s v="ORD01429"/>
    <n v="45884.830428240741"/>
    <x v="375"/>
    <s v="Surabaya"/>
    <s v="Minyak Goreng - Brand C"/>
    <x v="8"/>
    <x v="0"/>
    <n v="18000"/>
    <n v="1"/>
    <n v="0"/>
    <n v="18000"/>
    <n v="0"/>
    <n v="18000"/>
    <n v="74000"/>
    <n v="92000"/>
    <x v="3"/>
    <s v="Cancelled"/>
    <x v="4"/>
    <n v="5"/>
    <s v="Perempuan"/>
    <x v="7"/>
    <x v="0"/>
    <n v="8"/>
  </r>
  <r>
    <s v="ORD00356"/>
    <n v="45884.947256944448"/>
    <x v="332"/>
    <s v="Manado"/>
    <s v="Minyak Goreng - Brand B"/>
    <x v="8"/>
    <x v="1"/>
    <n v="17000"/>
    <n v="2"/>
    <n v="0"/>
    <n v="34000"/>
    <n v="0"/>
    <n v="34000"/>
    <n v="93000"/>
    <n v="127000"/>
    <x v="2"/>
    <s v="Shipped"/>
    <x v="3"/>
    <n v="2"/>
    <s v="Perempuan"/>
    <x v="7"/>
    <x v="0"/>
    <n v="8"/>
  </r>
  <r>
    <s v="ORD00611"/>
    <n v="45885.059756944444"/>
    <x v="143"/>
    <s v="Yogyakarta"/>
    <s v="Telur Ayam - Brand A"/>
    <x v="4"/>
    <x v="2"/>
    <n v="22000"/>
    <n v="5"/>
    <n v="0"/>
    <n v="110000"/>
    <n v="0"/>
    <n v="110000"/>
    <n v="78000"/>
    <n v="188000"/>
    <x v="1"/>
    <s v="Shipped"/>
    <x v="1"/>
    <n v="2"/>
    <s v="Perempuan"/>
    <x v="7"/>
    <x v="0"/>
    <n v="8"/>
  </r>
  <r>
    <s v="ORD01680"/>
    <n v="45885.09584490741"/>
    <x v="211"/>
    <s v="Tanjungpinang"/>
    <s v="Daging Ayam - Brand A"/>
    <x v="1"/>
    <x v="2"/>
    <n v="35000"/>
    <n v="3"/>
    <n v="15"/>
    <n v="105000"/>
    <n v="15750"/>
    <n v="89250"/>
    <n v="48000"/>
    <n v="137250"/>
    <x v="2"/>
    <s v="Pending"/>
    <x v="3"/>
    <n v="5"/>
    <s v="Perempuan"/>
    <x v="7"/>
    <x v="0"/>
    <n v="8"/>
  </r>
  <r>
    <s v="ORD00117"/>
    <n v="45885.577060185176"/>
    <x v="376"/>
    <s v="Tanjungpinang"/>
    <s v="Daging Ayam - Brand B"/>
    <x v="1"/>
    <x v="1"/>
    <n v="40000"/>
    <n v="2"/>
    <n v="15"/>
    <n v="80000"/>
    <n v="12000"/>
    <n v="68000"/>
    <n v="48000"/>
    <n v="116000"/>
    <x v="2"/>
    <s v="Pending"/>
    <x v="4"/>
    <n v="3"/>
    <s v="Perempuan"/>
    <x v="7"/>
    <x v="0"/>
    <n v="8"/>
  </r>
  <r>
    <s v="ORD00339"/>
    <n v="45885.601134259261"/>
    <x v="224"/>
    <s v="Merauke"/>
    <s v="Bawang Merah - Brand B"/>
    <x v="3"/>
    <x v="1"/>
    <n v="35000"/>
    <n v="4"/>
    <n v="0"/>
    <n v="140000"/>
    <n v="0"/>
    <n v="140000"/>
    <n v="59000"/>
    <n v="199000"/>
    <x v="0"/>
    <s v="Completed"/>
    <x v="2"/>
    <n v="1"/>
    <s v="Perempuan"/>
    <x v="7"/>
    <x v="0"/>
    <n v="8"/>
  </r>
  <r>
    <s v="ORD01324"/>
    <n v="45885.71199074074"/>
    <x v="122"/>
    <s v="Palangka Raya"/>
    <s v="Garam - Brand B"/>
    <x v="5"/>
    <x v="1"/>
    <n v="5000"/>
    <n v="2"/>
    <n v="15"/>
    <n v="10000"/>
    <n v="1500"/>
    <n v="8500"/>
    <n v="50000"/>
    <n v="58500"/>
    <x v="0"/>
    <s v="Completed"/>
    <x v="2"/>
    <n v="5"/>
    <s v="Perempuan"/>
    <x v="7"/>
    <x v="0"/>
    <n v="8"/>
  </r>
  <r>
    <s v="ORD00726"/>
    <n v="45885.823240740741"/>
    <x v="364"/>
    <s v="Manokwari"/>
    <s v="Daging Ayam - Brand C"/>
    <x v="1"/>
    <x v="0"/>
    <n v="45000"/>
    <n v="3"/>
    <n v="0"/>
    <n v="135000"/>
    <n v="0"/>
    <n v="135000"/>
    <n v="18000"/>
    <n v="153000"/>
    <x v="2"/>
    <s v="Pending"/>
    <x v="2"/>
    <n v="3"/>
    <s v="Laki-laki"/>
    <x v="7"/>
    <x v="0"/>
    <n v="8"/>
  </r>
  <r>
    <s v="ORD01614"/>
    <n v="45885.877523148149"/>
    <x v="368"/>
    <s v="Pangkalpinang"/>
    <s v="Garam - Brand C"/>
    <x v="5"/>
    <x v="0"/>
    <n v="6000"/>
    <n v="4"/>
    <n v="20"/>
    <n v="24000"/>
    <n v="4800"/>
    <n v="19200"/>
    <n v="18000"/>
    <n v="37200"/>
    <x v="1"/>
    <s v="Cancelled"/>
    <x v="4"/>
    <n v="1"/>
    <s v="Perempuan"/>
    <x v="7"/>
    <x v="0"/>
    <n v="8"/>
  </r>
  <r>
    <s v="ORD00377"/>
    <n v="45886.045578703714"/>
    <x v="88"/>
    <s v="Banda Aceh"/>
    <s v="Bawang Merah - Brand C"/>
    <x v="3"/>
    <x v="0"/>
    <n v="40000"/>
    <n v="2"/>
    <n v="15"/>
    <n v="80000"/>
    <n v="12000"/>
    <n v="68000"/>
    <n v="18000"/>
    <n v="86000"/>
    <x v="3"/>
    <s v="Shipped"/>
    <x v="2"/>
    <n v="1"/>
    <s v="Perempuan"/>
    <x v="7"/>
    <x v="0"/>
    <n v="8"/>
  </r>
  <r>
    <s v="ORD01496"/>
    <n v="45886.046724537038"/>
    <x v="263"/>
    <s v="Medan"/>
    <s v="Telur Ayam - Brand C"/>
    <x v="4"/>
    <x v="0"/>
    <n v="28000"/>
    <n v="3"/>
    <n v="0"/>
    <n v="84000"/>
    <n v="0"/>
    <n v="84000"/>
    <n v="79000"/>
    <n v="163000"/>
    <x v="3"/>
    <s v="Returned"/>
    <x v="4"/>
    <n v="4"/>
    <s v="Laki-laki"/>
    <x v="7"/>
    <x v="0"/>
    <n v="8"/>
  </r>
  <r>
    <s v="ORD00119"/>
    <n v="45886.194131944438"/>
    <x v="318"/>
    <s v="Jayapura"/>
    <s v="Tepung Terigu - Brand A"/>
    <x v="2"/>
    <x v="2"/>
    <n v="10000"/>
    <n v="2"/>
    <n v="5"/>
    <n v="20000"/>
    <n v="1000"/>
    <n v="19000"/>
    <n v="30000"/>
    <n v="49000"/>
    <x v="2"/>
    <s v="Cancelled"/>
    <x v="0"/>
    <n v="5"/>
    <s v="Perempuan"/>
    <x v="7"/>
    <x v="0"/>
    <n v="8"/>
  </r>
  <r>
    <s v="ORD00119"/>
    <n v="45886.194131944438"/>
    <x v="318"/>
    <s v="Jayapura"/>
    <s v="Telur Ayam - Brand C"/>
    <x v="4"/>
    <x v="0"/>
    <n v="28000"/>
    <n v="2"/>
    <n v="0"/>
    <n v="56000"/>
    <n v="0"/>
    <n v="56000"/>
    <n v="0"/>
    <n v="56000"/>
    <x v="2"/>
    <s v="Cancelled"/>
    <x v="0"/>
    <n v="5"/>
    <s v="Perempuan"/>
    <x v="7"/>
    <x v="0"/>
    <n v="8"/>
  </r>
  <r>
    <s v="ORD01802"/>
    <n v="45886.232314814813"/>
    <x v="288"/>
    <s v="Pangkalpinang"/>
    <s v="Tepung Terigu - Brand C"/>
    <x v="2"/>
    <x v="0"/>
    <n v="14000"/>
    <n v="3"/>
    <n v="0"/>
    <n v="42000"/>
    <n v="0"/>
    <n v="42000"/>
    <n v="18000"/>
    <n v="60000"/>
    <x v="1"/>
    <s v="Completed"/>
    <x v="0"/>
    <n v="5"/>
    <s v="Perempuan"/>
    <x v="7"/>
    <x v="0"/>
    <n v="8"/>
  </r>
  <r>
    <s v="ORD01598"/>
    <n v="45886.373888888891"/>
    <x v="126"/>
    <s v="Makassar"/>
    <s v="Tepung Terigu - Brand A"/>
    <x v="2"/>
    <x v="2"/>
    <n v="10000"/>
    <n v="4"/>
    <n v="20"/>
    <n v="40000"/>
    <n v="8000"/>
    <n v="32000"/>
    <n v="84000"/>
    <n v="116000"/>
    <x v="0"/>
    <s v="Completed"/>
    <x v="2"/>
    <n v="1"/>
    <s v="Laki-laki"/>
    <x v="7"/>
    <x v="0"/>
    <n v="8"/>
  </r>
  <r>
    <s v="ORD00664"/>
    <n v="45886.488275462973"/>
    <x v="110"/>
    <s v="Manokwari"/>
    <s v="Garam - Brand C"/>
    <x v="5"/>
    <x v="0"/>
    <n v="6000"/>
    <n v="3"/>
    <n v="15"/>
    <n v="18000"/>
    <n v="2700"/>
    <n v="15300"/>
    <n v="18000"/>
    <n v="33300"/>
    <x v="1"/>
    <s v="Shipped"/>
    <x v="3"/>
    <n v="4"/>
    <s v="Perempuan"/>
    <x v="7"/>
    <x v="0"/>
    <n v="8"/>
  </r>
  <r>
    <s v="ORD00622"/>
    <n v="45886.649131944447"/>
    <x v="70"/>
    <s v="Bengkulu"/>
    <s v="Garam - Brand C"/>
    <x v="5"/>
    <x v="0"/>
    <n v="6000"/>
    <n v="5"/>
    <n v="0"/>
    <n v="30000"/>
    <n v="0"/>
    <n v="30000"/>
    <n v="72000"/>
    <n v="102000"/>
    <x v="1"/>
    <s v="Pending"/>
    <x v="3"/>
    <n v="2"/>
    <s v="Laki-laki"/>
    <x v="7"/>
    <x v="0"/>
    <n v="8"/>
  </r>
  <r>
    <s v="ORD00912"/>
    <n v="45886.809108796297"/>
    <x v="306"/>
    <s v="Mamuju"/>
    <s v="Susu Bubuk - Brand B"/>
    <x v="7"/>
    <x v="1"/>
    <n v="50000"/>
    <n v="3"/>
    <n v="15"/>
    <n v="150000"/>
    <n v="22500"/>
    <n v="127500"/>
    <n v="46000"/>
    <n v="173500"/>
    <x v="1"/>
    <s v="Completed"/>
    <x v="2"/>
    <n v="2"/>
    <s v="Perempuan"/>
    <x v="7"/>
    <x v="0"/>
    <n v="8"/>
  </r>
  <r>
    <s v="ORD00112"/>
    <n v="45886.835694444453"/>
    <x v="377"/>
    <s v="Bandar Lampung"/>
    <s v="Garam - Brand A"/>
    <x v="5"/>
    <x v="2"/>
    <n v="4000"/>
    <n v="5"/>
    <n v="5"/>
    <n v="20000"/>
    <n v="1000"/>
    <n v="19000"/>
    <n v="28000"/>
    <n v="47000"/>
    <x v="3"/>
    <s v="Pending"/>
    <x v="1"/>
    <n v="1"/>
    <s v="Perempuan"/>
    <x v="7"/>
    <x v="0"/>
    <n v="8"/>
  </r>
  <r>
    <s v="ORD01494"/>
    <n v="45887.202337962961"/>
    <x v="119"/>
    <s v="Sorong"/>
    <s v="Minyak Goreng - Brand A"/>
    <x v="8"/>
    <x v="2"/>
    <n v="16000"/>
    <n v="4"/>
    <n v="5"/>
    <n v="64000"/>
    <n v="3200"/>
    <n v="60800"/>
    <n v="87000"/>
    <n v="147800"/>
    <x v="3"/>
    <s v="Pending"/>
    <x v="1"/>
    <n v="4"/>
    <s v="Perempuan"/>
    <x v="7"/>
    <x v="0"/>
    <n v="8"/>
  </r>
  <r>
    <s v="ORD01828"/>
    <n v="45887.460578703707"/>
    <x v="26"/>
    <s v="Wamena"/>
    <s v="Susu Bubuk - Brand A"/>
    <x v="7"/>
    <x v="2"/>
    <n v="45000"/>
    <n v="2"/>
    <n v="10"/>
    <n v="90000"/>
    <n v="9000"/>
    <n v="81000"/>
    <n v="15000"/>
    <n v="96000"/>
    <x v="0"/>
    <s v="Completed"/>
    <x v="0"/>
    <n v="5"/>
    <s v="Laki-laki"/>
    <x v="7"/>
    <x v="0"/>
    <n v="8"/>
  </r>
  <r>
    <s v="ORD00598"/>
    <n v="45887.619583333333"/>
    <x v="60"/>
    <s v="Bengkulu"/>
    <s v="Susu Bubuk - Brand C"/>
    <x v="7"/>
    <x v="0"/>
    <n v="55000"/>
    <n v="5"/>
    <n v="10"/>
    <n v="275000"/>
    <n v="27500"/>
    <n v="247500"/>
    <n v="72000"/>
    <n v="319500"/>
    <x v="3"/>
    <s v="Completed"/>
    <x v="4"/>
    <n v="4"/>
    <s v="Perempuan"/>
    <x v="7"/>
    <x v="0"/>
    <n v="8"/>
  </r>
  <r>
    <s v="ORD01241"/>
    <n v="45887.642928240741"/>
    <x v="12"/>
    <s v="Sofifi"/>
    <s v="Telur Ayam - Brand B"/>
    <x v="4"/>
    <x v="1"/>
    <n v="25000"/>
    <n v="4"/>
    <n v="20"/>
    <n v="100000"/>
    <n v="20000"/>
    <n v="80000"/>
    <n v="50000"/>
    <n v="130000"/>
    <x v="2"/>
    <s v="Shipped"/>
    <x v="2"/>
    <n v="5"/>
    <s v="Perempuan"/>
    <x v="7"/>
    <x v="0"/>
    <n v="8"/>
  </r>
  <r>
    <s v="ORD00255"/>
    <n v="45887.850115740737"/>
    <x v="57"/>
    <s v="Banda Aceh"/>
    <s v="Tepung Terigu - Brand C"/>
    <x v="2"/>
    <x v="0"/>
    <n v="14000"/>
    <n v="2"/>
    <n v="10"/>
    <n v="28000"/>
    <n v="2800"/>
    <n v="25200"/>
    <n v="18000"/>
    <n v="43200"/>
    <x v="3"/>
    <s v="Shipped"/>
    <x v="4"/>
    <n v="2"/>
    <s v="Perempuan"/>
    <x v="7"/>
    <x v="0"/>
    <n v="8"/>
  </r>
  <r>
    <s v="ORD00078"/>
    <n v="45888.047418981478"/>
    <x v="335"/>
    <s v="Jambi"/>
    <s v="Bawang Merah - Brand B"/>
    <x v="3"/>
    <x v="1"/>
    <n v="35000"/>
    <n v="5"/>
    <n v="0"/>
    <n v="175000"/>
    <n v="0"/>
    <n v="175000"/>
    <n v="87000"/>
    <n v="262000"/>
    <x v="2"/>
    <s v="Shipped"/>
    <x v="1"/>
    <n v="4"/>
    <s v="Laki-laki"/>
    <x v="7"/>
    <x v="0"/>
    <n v="8"/>
  </r>
  <r>
    <s v="ORD00246"/>
    <n v="45888.12636574074"/>
    <x v="247"/>
    <s v="Gorontalo"/>
    <s v="Tepung Terigu - Brand B"/>
    <x v="2"/>
    <x v="1"/>
    <n v="12000"/>
    <n v="1"/>
    <n v="10"/>
    <n v="12000"/>
    <n v="1200"/>
    <n v="10800"/>
    <n v="80000"/>
    <n v="90800"/>
    <x v="0"/>
    <s v="Completed"/>
    <x v="3"/>
    <n v="4"/>
    <s v="Perempuan"/>
    <x v="7"/>
    <x v="0"/>
    <n v="8"/>
  </r>
  <r>
    <s v="ORD00246"/>
    <n v="45888.12636574074"/>
    <x v="247"/>
    <s v="Gorontalo"/>
    <s v="Garam - Brand C"/>
    <x v="5"/>
    <x v="0"/>
    <n v="6000"/>
    <n v="4"/>
    <n v="5"/>
    <n v="24000"/>
    <n v="1200"/>
    <n v="22800"/>
    <n v="0"/>
    <n v="22800"/>
    <x v="0"/>
    <s v="Completed"/>
    <x v="3"/>
    <n v="4"/>
    <s v="Perempuan"/>
    <x v="7"/>
    <x v="0"/>
    <n v="8"/>
  </r>
  <r>
    <s v="ORD00106"/>
    <n v="45888.334062499998"/>
    <x v="28"/>
    <s v="Bengkulu"/>
    <s v="Tepung Terigu - Brand B"/>
    <x v="2"/>
    <x v="1"/>
    <n v="12000"/>
    <n v="2"/>
    <n v="20"/>
    <n v="24000"/>
    <n v="4800"/>
    <n v="19200"/>
    <n v="72000"/>
    <n v="91200"/>
    <x v="2"/>
    <s v="Completed"/>
    <x v="2"/>
    <n v="1"/>
    <s v="Perempuan"/>
    <x v="7"/>
    <x v="0"/>
    <n v="8"/>
  </r>
  <r>
    <s v="ORD01551"/>
    <n v="45888.621793981481"/>
    <x v="378"/>
    <s v="Palembang"/>
    <s v="Telur Ayam - Brand B"/>
    <x v="4"/>
    <x v="1"/>
    <n v="25000"/>
    <n v="4"/>
    <n v="5"/>
    <n v="100000"/>
    <n v="5000"/>
    <n v="95000"/>
    <n v="17000"/>
    <n v="112000"/>
    <x v="2"/>
    <s v="Completed"/>
    <x v="1"/>
    <n v="5"/>
    <s v="Perempuan"/>
    <x v="7"/>
    <x v="0"/>
    <n v="8"/>
  </r>
  <r>
    <s v="ORD00545"/>
    <n v="45888.760451388887"/>
    <x v="349"/>
    <s v="Bandar Lampung"/>
    <s v="Minyak Goreng - Brand C"/>
    <x v="8"/>
    <x v="0"/>
    <n v="18000"/>
    <n v="2"/>
    <n v="10"/>
    <n v="36000"/>
    <n v="3600"/>
    <n v="32400"/>
    <n v="28000"/>
    <n v="60400"/>
    <x v="1"/>
    <s v="Completed"/>
    <x v="2"/>
    <n v="1"/>
    <s v="Perempuan"/>
    <x v="7"/>
    <x v="0"/>
    <n v="8"/>
  </r>
  <r>
    <s v="ORD01748"/>
    <n v="45888.770277777781"/>
    <x v="311"/>
    <s v="Jayapura"/>
    <s v="Tepung Terigu - Brand C"/>
    <x v="2"/>
    <x v="0"/>
    <n v="14000"/>
    <n v="1"/>
    <n v="10"/>
    <n v="14000"/>
    <n v="1400"/>
    <n v="12600"/>
    <n v="30000"/>
    <n v="42600"/>
    <x v="2"/>
    <s v="Shipped"/>
    <x v="0"/>
    <n v="5"/>
    <s v="Perempuan"/>
    <x v="7"/>
    <x v="0"/>
    <n v="8"/>
  </r>
  <r>
    <s v="ORD00357"/>
    <n v="45889.011504629627"/>
    <x v="306"/>
    <s v="Mamuju"/>
    <s v="Garam - Brand A"/>
    <x v="5"/>
    <x v="2"/>
    <n v="4000"/>
    <n v="4"/>
    <n v="10"/>
    <n v="16000"/>
    <n v="1600"/>
    <n v="14400"/>
    <n v="46000"/>
    <n v="60400"/>
    <x v="1"/>
    <s v="Completed"/>
    <x v="4"/>
    <n v="5"/>
    <s v="Perempuan"/>
    <x v="7"/>
    <x v="0"/>
    <n v="8"/>
  </r>
  <r>
    <s v="ORD00822"/>
    <n v="45889.588425925933"/>
    <x v="67"/>
    <s v="Surabaya"/>
    <s v="Bawang Merah - Brand A"/>
    <x v="3"/>
    <x v="2"/>
    <n v="30000"/>
    <n v="1"/>
    <n v="10"/>
    <n v="30000"/>
    <n v="3000"/>
    <n v="27000"/>
    <n v="74000"/>
    <n v="101000"/>
    <x v="1"/>
    <s v="Shipped"/>
    <x v="4"/>
    <n v="1"/>
    <s v="Perempuan"/>
    <x v="7"/>
    <x v="0"/>
    <n v="8"/>
  </r>
  <r>
    <s v="ORD00567"/>
    <n v="45889.622465277767"/>
    <x v="379"/>
    <s v="Makassar"/>
    <s v="Daging Ayam - Brand C"/>
    <x v="1"/>
    <x v="0"/>
    <n v="45000"/>
    <n v="4"/>
    <n v="15"/>
    <n v="180000"/>
    <n v="27000"/>
    <n v="153000"/>
    <n v="84000"/>
    <n v="237000"/>
    <x v="1"/>
    <s v="Completed"/>
    <x v="4"/>
    <n v="1"/>
    <s v="Perempuan"/>
    <x v="7"/>
    <x v="0"/>
    <n v="8"/>
  </r>
  <r>
    <s v="ORD01043"/>
    <n v="45889.630648148152"/>
    <x v="203"/>
    <s v="Kendari"/>
    <s v="Tepung Terigu - Brand A"/>
    <x v="2"/>
    <x v="2"/>
    <n v="10000"/>
    <n v="3"/>
    <n v="0"/>
    <n v="30000"/>
    <n v="0"/>
    <n v="30000"/>
    <n v="59000"/>
    <n v="89000"/>
    <x v="0"/>
    <s v="Pending"/>
    <x v="1"/>
    <n v="1"/>
    <s v="Perempuan"/>
    <x v="7"/>
    <x v="0"/>
    <n v="8"/>
  </r>
  <r>
    <s v="ORD01322"/>
    <n v="45889.908275462964"/>
    <x v="79"/>
    <s v="Pontianak"/>
    <s v="Susu Bubuk - Brand B"/>
    <x v="7"/>
    <x v="1"/>
    <n v="50000"/>
    <n v="2"/>
    <n v="10"/>
    <n v="100000"/>
    <n v="10000"/>
    <n v="90000"/>
    <n v="85000"/>
    <n v="175000"/>
    <x v="1"/>
    <s v="Shipped"/>
    <x v="1"/>
    <n v="2"/>
    <s v="Perempuan"/>
    <x v="7"/>
    <x v="0"/>
    <n v="8"/>
  </r>
  <r>
    <s v="ORD01120"/>
    <n v="45889.971701388888"/>
    <x v="221"/>
    <s v="Manado"/>
    <s v="Gula Pasir - Brand A"/>
    <x v="6"/>
    <x v="2"/>
    <n v="16000"/>
    <n v="2"/>
    <n v="0"/>
    <n v="32000"/>
    <n v="0"/>
    <n v="32000"/>
    <n v="93000"/>
    <n v="125000"/>
    <x v="3"/>
    <s v="Completed"/>
    <x v="0"/>
    <n v="5"/>
    <s v="Perempuan"/>
    <x v="7"/>
    <x v="0"/>
    <n v="8"/>
  </r>
  <r>
    <s v="ORD01289"/>
    <n v="45890.084027777782"/>
    <x v="134"/>
    <s v="Mamuju"/>
    <s v="Telur Ayam - Brand C"/>
    <x v="4"/>
    <x v="0"/>
    <n v="28000"/>
    <n v="5"/>
    <n v="20"/>
    <n v="140000"/>
    <n v="28000"/>
    <n v="112000"/>
    <n v="46000"/>
    <n v="158000"/>
    <x v="0"/>
    <s v="Completed"/>
    <x v="2"/>
    <n v="5"/>
    <s v="Perempuan"/>
    <x v="7"/>
    <x v="0"/>
    <n v="8"/>
  </r>
  <r>
    <s v="ORD00245"/>
    <n v="45890.516875000001"/>
    <x v="183"/>
    <s v="Jambi"/>
    <s v="Garam - Brand A"/>
    <x v="5"/>
    <x v="2"/>
    <n v="4000"/>
    <n v="5"/>
    <n v="20"/>
    <n v="20000"/>
    <n v="4000"/>
    <n v="16000"/>
    <n v="87000"/>
    <n v="103000"/>
    <x v="3"/>
    <s v="Completed"/>
    <x v="3"/>
    <n v="1"/>
    <s v="Perempuan"/>
    <x v="7"/>
    <x v="0"/>
    <n v="8"/>
  </r>
  <r>
    <s v="ORD00245"/>
    <n v="45890.516875000001"/>
    <x v="183"/>
    <s v="Jambi"/>
    <s v="Gula Pasir - Brand C"/>
    <x v="6"/>
    <x v="0"/>
    <n v="18000"/>
    <n v="1"/>
    <n v="15"/>
    <n v="18000"/>
    <n v="2700"/>
    <n v="15300"/>
    <n v="0"/>
    <n v="15300"/>
    <x v="3"/>
    <s v="Completed"/>
    <x v="3"/>
    <n v="1"/>
    <s v="Perempuan"/>
    <x v="7"/>
    <x v="0"/>
    <n v="8"/>
  </r>
  <r>
    <s v="ORD00911"/>
    <n v="45890.546898148154"/>
    <x v="264"/>
    <s v="Pontianak"/>
    <s v="Tepung Terigu - Brand B"/>
    <x v="2"/>
    <x v="1"/>
    <n v="12000"/>
    <n v="5"/>
    <n v="10"/>
    <n v="60000"/>
    <n v="6000"/>
    <n v="54000"/>
    <n v="85000"/>
    <n v="139000"/>
    <x v="2"/>
    <s v="Completed"/>
    <x v="1"/>
    <n v="3"/>
    <s v="Perempuan"/>
    <x v="7"/>
    <x v="0"/>
    <n v="8"/>
  </r>
  <r>
    <s v="ORD00345"/>
    <n v="45890.834965277783"/>
    <x v="356"/>
    <s v="Pontianak"/>
    <s v="Daging Ayam - Brand B"/>
    <x v="1"/>
    <x v="1"/>
    <n v="40000"/>
    <n v="2"/>
    <n v="5"/>
    <n v="80000"/>
    <n v="4000"/>
    <n v="76000"/>
    <n v="85000"/>
    <n v="161000"/>
    <x v="3"/>
    <s v="Pending"/>
    <x v="4"/>
    <n v="5"/>
    <s v="Perempuan"/>
    <x v="7"/>
    <x v="0"/>
    <n v="8"/>
  </r>
  <r>
    <s v="ORD01699"/>
    <n v="45891.047812500001"/>
    <x v="2"/>
    <s v="Medan"/>
    <s v="Garam - Brand B"/>
    <x v="5"/>
    <x v="1"/>
    <n v="5000"/>
    <n v="3"/>
    <n v="15"/>
    <n v="15000"/>
    <n v="2250"/>
    <n v="12750"/>
    <n v="79000"/>
    <n v="91750"/>
    <x v="1"/>
    <s v="Completed"/>
    <x v="2"/>
    <n v="4"/>
    <s v="Perempuan"/>
    <x v="7"/>
    <x v="0"/>
    <n v="8"/>
  </r>
  <r>
    <s v="ORD00093"/>
    <n v="45891.173958333333"/>
    <x v="285"/>
    <s v="Pontianak"/>
    <s v="Garam - Brand A"/>
    <x v="5"/>
    <x v="2"/>
    <n v="4000"/>
    <n v="4"/>
    <n v="0"/>
    <n v="16000"/>
    <n v="0"/>
    <n v="16000"/>
    <n v="85000"/>
    <n v="101000"/>
    <x v="3"/>
    <s v="Completed"/>
    <x v="1"/>
    <n v="4"/>
    <s v="Laki-laki"/>
    <x v="7"/>
    <x v="0"/>
    <n v="8"/>
  </r>
  <r>
    <s v="ORD00093"/>
    <n v="45891.173958333333"/>
    <x v="285"/>
    <s v="Pontianak"/>
    <s v="Bawang Merah - Brand B"/>
    <x v="3"/>
    <x v="1"/>
    <n v="35000"/>
    <n v="3"/>
    <n v="20"/>
    <n v="105000"/>
    <n v="21000"/>
    <n v="84000"/>
    <n v="0"/>
    <n v="84000"/>
    <x v="3"/>
    <s v="Completed"/>
    <x v="1"/>
    <n v="4"/>
    <s v="Laki-laki"/>
    <x v="7"/>
    <x v="0"/>
    <n v="8"/>
  </r>
  <r>
    <s v="ORD00070"/>
    <n v="45891.207881944443"/>
    <x v="15"/>
    <s v="Denpasar"/>
    <s v="Garam - Brand A"/>
    <x v="5"/>
    <x v="2"/>
    <n v="4000"/>
    <n v="4"/>
    <n v="0"/>
    <n v="16000"/>
    <n v="0"/>
    <n v="16000"/>
    <n v="80000"/>
    <n v="96000"/>
    <x v="0"/>
    <s v="Cancelled"/>
    <x v="2"/>
    <n v="2"/>
    <s v="Laki-laki"/>
    <x v="7"/>
    <x v="0"/>
    <n v="8"/>
  </r>
  <r>
    <s v="ORD01270"/>
    <n v="45891.30976851852"/>
    <x v="263"/>
    <s v="Medan"/>
    <s v="Minyak Goreng - Brand C"/>
    <x v="8"/>
    <x v="0"/>
    <n v="18000"/>
    <n v="2"/>
    <n v="15"/>
    <n v="36000"/>
    <n v="5400"/>
    <n v="30600"/>
    <n v="79000"/>
    <n v="109600"/>
    <x v="2"/>
    <s v="Completed"/>
    <x v="4"/>
    <n v="3"/>
    <s v="Laki-laki"/>
    <x v="7"/>
    <x v="0"/>
    <n v="8"/>
  </r>
  <r>
    <s v="ORD00271"/>
    <n v="45891.37023148148"/>
    <x v="380"/>
    <s v="Tanjung Selor"/>
    <s v="Tepung Terigu - Brand A"/>
    <x v="2"/>
    <x v="2"/>
    <n v="10000"/>
    <n v="1"/>
    <n v="20"/>
    <n v="10000"/>
    <n v="2000"/>
    <n v="8000"/>
    <n v="26000"/>
    <n v="34000"/>
    <x v="1"/>
    <s v="Pending"/>
    <x v="0"/>
    <n v="2"/>
    <s v="Perempuan"/>
    <x v="7"/>
    <x v="0"/>
    <n v="8"/>
  </r>
  <r>
    <s v="ORD01760"/>
    <n v="45891.398877314823"/>
    <x v="234"/>
    <s v="Tanjung Selor"/>
    <s v="Gula Pasir - Brand B"/>
    <x v="6"/>
    <x v="1"/>
    <n v="17000"/>
    <n v="4"/>
    <n v="0"/>
    <n v="68000"/>
    <n v="0"/>
    <n v="68000"/>
    <n v="26000"/>
    <n v="94000"/>
    <x v="3"/>
    <s v="Completed"/>
    <x v="2"/>
    <n v="2"/>
    <s v="Perempuan"/>
    <x v="7"/>
    <x v="0"/>
    <n v="8"/>
  </r>
  <r>
    <s v="ORD00655"/>
    <n v="45891.445173611108"/>
    <x v="315"/>
    <s v="Semarang"/>
    <s v="Beras - Brand A"/>
    <x v="0"/>
    <x v="2"/>
    <n v="14000"/>
    <n v="4"/>
    <n v="0"/>
    <n v="56000"/>
    <n v="0"/>
    <n v="56000"/>
    <n v="76000"/>
    <n v="132000"/>
    <x v="2"/>
    <s v="Completed"/>
    <x v="3"/>
    <n v="2"/>
    <s v="Perempuan"/>
    <x v="7"/>
    <x v="0"/>
    <n v="8"/>
  </r>
  <r>
    <s v="ORD01242"/>
    <n v="45891.520486111112"/>
    <x v="244"/>
    <s v="Jambi"/>
    <s v="Susu Bubuk - Brand A"/>
    <x v="7"/>
    <x v="2"/>
    <n v="45000"/>
    <n v="3"/>
    <n v="10"/>
    <n v="135000"/>
    <n v="13500"/>
    <n v="121500"/>
    <n v="87000"/>
    <n v="208500"/>
    <x v="2"/>
    <s v="Pending"/>
    <x v="2"/>
    <n v="5"/>
    <s v="Perempuan"/>
    <x v="7"/>
    <x v="0"/>
    <n v="8"/>
  </r>
  <r>
    <s v="ORD00036"/>
    <n v="45891.725289351853"/>
    <x v="14"/>
    <s v="Jakarta"/>
    <s v="Daging Ayam - Brand C"/>
    <x v="1"/>
    <x v="0"/>
    <n v="45000"/>
    <n v="3"/>
    <n v="5"/>
    <n v="135000"/>
    <n v="6750"/>
    <n v="128250"/>
    <n v="97000"/>
    <n v="225250"/>
    <x v="3"/>
    <s v="Shipped"/>
    <x v="2"/>
    <n v="4"/>
    <s v="Laki-laki"/>
    <x v="7"/>
    <x v="0"/>
    <n v="8"/>
  </r>
  <r>
    <s v="ORD00680"/>
    <n v="45891.908796296288"/>
    <x v="294"/>
    <s v="Yogyakarta"/>
    <s v="Daging Ayam - Brand A"/>
    <x v="1"/>
    <x v="2"/>
    <n v="35000"/>
    <n v="3"/>
    <n v="10"/>
    <n v="105000"/>
    <n v="10500"/>
    <n v="94500"/>
    <n v="78000"/>
    <n v="172500"/>
    <x v="1"/>
    <s v="Completed"/>
    <x v="0"/>
    <n v="3"/>
    <s v="Perempuan"/>
    <x v="7"/>
    <x v="0"/>
    <n v="8"/>
  </r>
  <r>
    <s v="ORD00718"/>
    <n v="45891.950671296298"/>
    <x v="0"/>
    <s v="Sorong"/>
    <s v="Telur Ayam - Brand C"/>
    <x v="4"/>
    <x v="0"/>
    <n v="28000"/>
    <n v="2"/>
    <n v="15"/>
    <n v="56000"/>
    <n v="8400"/>
    <n v="47600"/>
    <n v="87000"/>
    <n v="134600"/>
    <x v="0"/>
    <s v="Completed"/>
    <x v="2"/>
    <n v="5"/>
    <s v="Perempuan"/>
    <x v="7"/>
    <x v="0"/>
    <n v="8"/>
  </r>
  <r>
    <s v="ORD01599"/>
    <n v="45891.95076388889"/>
    <x v="328"/>
    <s v="Palembang"/>
    <s v="Tepung Terigu - Brand A"/>
    <x v="2"/>
    <x v="2"/>
    <n v="10000"/>
    <n v="1"/>
    <n v="10"/>
    <n v="10000"/>
    <n v="1000"/>
    <n v="9000"/>
    <n v="17000"/>
    <n v="26000"/>
    <x v="0"/>
    <s v="Shipped"/>
    <x v="0"/>
    <n v="1"/>
    <s v="Laki-laki"/>
    <x v="7"/>
    <x v="0"/>
    <n v="8"/>
  </r>
  <r>
    <s v="ORD01685"/>
    <n v="45892.011446759258"/>
    <x v="317"/>
    <s v="Bengkulu"/>
    <s v="Bawang Merah - Brand A"/>
    <x v="3"/>
    <x v="2"/>
    <n v="30000"/>
    <n v="2"/>
    <n v="5"/>
    <n v="60000"/>
    <n v="3000"/>
    <n v="57000"/>
    <n v="72000"/>
    <n v="129000"/>
    <x v="3"/>
    <s v="Shipped"/>
    <x v="4"/>
    <n v="2"/>
    <s v="Perempuan"/>
    <x v="7"/>
    <x v="0"/>
    <n v="8"/>
  </r>
  <r>
    <s v="ORD01791"/>
    <n v="45892.069085648152"/>
    <x v="186"/>
    <s v="Pontianak"/>
    <s v="Susu Bubuk - Brand B"/>
    <x v="7"/>
    <x v="1"/>
    <n v="50000"/>
    <n v="3"/>
    <n v="15"/>
    <n v="150000"/>
    <n v="22500"/>
    <n v="127500"/>
    <n v="85000"/>
    <n v="212500"/>
    <x v="3"/>
    <s v="Pending"/>
    <x v="2"/>
    <n v="3"/>
    <s v="Perempuan"/>
    <x v="7"/>
    <x v="0"/>
    <n v="8"/>
  </r>
  <r>
    <s v="ORD00581"/>
    <n v="45892.498379629629"/>
    <x v="138"/>
    <s v="Semarang"/>
    <s v="Susu Bubuk - Brand A"/>
    <x v="7"/>
    <x v="2"/>
    <n v="45000"/>
    <n v="3"/>
    <n v="20"/>
    <n v="135000"/>
    <n v="27000"/>
    <n v="108000"/>
    <n v="76000"/>
    <n v="184000"/>
    <x v="0"/>
    <s v="Cancelled"/>
    <x v="1"/>
    <n v="5"/>
    <s v="Perempuan"/>
    <x v="7"/>
    <x v="0"/>
    <n v="8"/>
  </r>
  <r>
    <s v="ORD00540"/>
    <n v="45892.708252314813"/>
    <x v="273"/>
    <s v="Jakarta"/>
    <s v="Tepung Terigu - Brand C"/>
    <x v="2"/>
    <x v="0"/>
    <n v="14000"/>
    <n v="3"/>
    <n v="20"/>
    <n v="42000"/>
    <n v="8400"/>
    <n v="33600"/>
    <n v="97000"/>
    <n v="130600"/>
    <x v="2"/>
    <s v="Completed"/>
    <x v="2"/>
    <n v="3"/>
    <s v="Perempuan"/>
    <x v="7"/>
    <x v="0"/>
    <n v="8"/>
  </r>
  <r>
    <s v="ORD01350"/>
    <n v="45892.826863425929"/>
    <x v="19"/>
    <s v="Denpasar"/>
    <s v="Telur Ayam - Brand A"/>
    <x v="4"/>
    <x v="2"/>
    <n v="22000"/>
    <n v="5"/>
    <n v="5"/>
    <n v="110000"/>
    <n v="5500"/>
    <n v="104500"/>
    <n v="80000"/>
    <n v="184500"/>
    <x v="0"/>
    <s v="Shipped"/>
    <x v="2"/>
    <n v="5"/>
    <s v="Perempuan"/>
    <x v="7"/>
    <x v="0"/>
    <n v="8"/>
  </r>
  <r>
    <s v="ORD01398"/>
    <n v="45893.044571759259"/>
    <x v="174"/>
    <s v="Wamena"/>
    <s v="Bawang Merah - Brand A"/>
    <x v="3"/>
    <x v="2"/>
    <n v="30000"/>
    <n v="4"/>
    <n v="0"/>
    <n v="120000"/>
    <n v="0"/>
    <n v="120000"/>
    <n v="15000"/>
    <n v="135000"/>
    <x v="0"/>
    <s v="Pending"/>
    <x v="3"/>
    <n v="2"/>
    <s v="Perempuan"/>
    <x v="7"/>
    <x v="0"/>
    <n v="8"/>
  </r>
  <r>
    <s v="ORD00007"/>
    <n v="45893.140682870369"/>
    <x v="296"/>
    <s v="Surabaya"/>
    <s v="Susu Bubuk - Brand B"/>
    <x v="7"/>
    <x v="1"/>
    <n v="50000"/>
    <n v="1"/>
    <n v="15"/>
    <n v="50000"/>
    <n v="7500"/>
    <n v="42500"/>
    <n v="74000"/>
    <n v="116500"/>
    <x v="3"/>
    <s v="Completed"/>
    <x v="3"/>
    <n v="1"/>
    <s v="Laki-laki"/>
    <x v="7"/>
    <x v="0"/>
    <n v="8"/>
  </r>
  <r>
    <s v="ORD00815"/>
    <n v="45893.148043981477"/>
    <x v="156"/>
    <s v="Gorontalo"/>
    <s v="Beras - Brand B"/>
    <x v="0"/>
    <x v="1"/>
    <n v="15000"/>
    <n v="1"/>
    <n v="20"/>
    <n v="15000"/>
    <n v="3000"/>
    <n v="12000"/>
    <n v="80000"/>
    <n v="92000"/>
    <x v="1"/>
    <s v="Pending"/>
    <x v="2"/>
    <n v="1"/>
    <s v="Laki-laki"/>
    <x v="7"/>
    <x v="0"/>
    <n v="8"/>
  </r>
  <r>
    <s v="ORD00401"/>
    <n v="45893.550451388888"/>
    <x v="194"/>
    <s v="Pangkalpinang"/>
    <s v="Beras - Brand A"/>
    <x v="0"/>
    <x v="2"/>
    <n v="14000"/>
    <n v="3"/>
    <n v="15"/>
    <n v="42000"/>
    <n v="6300"/>
    <n v="35700"/>
    <n v="18000"/>
    <n v="53700"/>
    <x v="2"/>
    <s v="Pending"/>
    <x v="1"/>
    <n v="1"/>
    <s v="Perempuan"/>
    <x v="7"/>
    <x v="0"/>
    <n v="8"/>
  </r>
  <r>
    <s v="ORD00563"/>
    <n v="45893.728634259263"/>
    <x v="25"/>
    <s v="Bandar Lampung"/>
    <s v="Telur Ayam - Brand A"/>
    <x v="4"/>
    <x v="2"/>
    <n v="22000"/>
    <n v="5"/>
    <n v="15"/>
    <n v="110000"/>
    <n v="16500"/>
    <n v="93500"/>
    <n v="28000"/>
    <n v="121500"/>
    <x v="3"/>
    <s v="Completed"/>
    <x v="0"/>
    <n v="2"/>
    <s v="Perempuan"/>
    <x v="7"/>
    <x v="0"/>
    <n v="8"/>
  </r>
  <r>
    <s v="ORD00347"/>
    <n v="45893.997604166667"/>
    <x v="167"/>
    <s v="Mamuju"/>
    <s v="Minyak Goreng - Brand A"/>
    <x v="8"/>
    <x v="2"/>
    <n v="16000"/>
    <n v="3"/>
    <n v="20"/>
    <n v="48000"/>
    <n v="9600"/>
    <n v="38400"/>
    <n v="46000"/>
    <n v="84400"/>
    <x v="0"/>
    <s v="Pending"/>
    <x v="3"/>
    <n v="2"/>
    <s v="Perempuan"/>
    <x v="7"/>
    <x v="0"/>
    <n v="8"/>
  </r>
  <r>
    <s v="ORD01456"/>
    <n v="45894.023888888893"/>
    <x v="74"/>
    <s v="Tanjungpinang"/>
    <s v="Garam - Brand A"/>
    <x v="5"/>
    <x v="2"/>
    <n v="4000"/>
    <n v="4"/>
    <n v="0"/>
    <n v="16000"/>
    <n v="0"/>
    <n v="16000"/>
    <n v="48000"/>
    <n v="64000"/>
    <x v="0"/>
    <s v="Pending"/>
    <x v="3"/>
    <n v="1"/>
    <s v="Perempuan"/>
    <x v="7"/>
    <x v="0"/>
    <n v="8"/>
  </r>
  <r>
    <s v="ORD00367"/>
    <n v="45894.120173611111"/>
    <x v="311"/>
    <s v="Jayapura"/>
    <s v="Garam - Brand A"/>
    <x v="5"/>
    <x v="2"/>
    <n v="4000"/>
    <n v="2"/>
    <n v="0"/>
    <n v="8000"/>
    <n v="0"/>
    <n v="8000"/>
    <n v="30000"/>
    <n v="38000"/>
    <x v="0"/>
    <s v="Returned"/>
    <x v="2"/>
    <n v="2"/>
    <s v="Perempuan"/>
    <x v="7"/>
    <x v="0"/>
    <n v="8"/>
  </r>
  <r>
    <s v="ORD01332"/>
    <n v="45894.355023148149"/>
    <x v="341"/>
    <s v="Surabaya"/>
    <s v="Susu Bubuk - Brand B"/>
    <x v="7"/>
    <x v="1"/>
    <n v="50000"/>
    <n v="5"/>
    <n v="15"/>
    <n v="250000"/>
    <n v="37500"/>
    <n v="212500"/>
    <n v="74000"/>
    <n v="286500"/>
    <x v="0"/>
    <s v="Shipped"/>
    <x v="0"/>
    <n v="3"/>
    <s v="Perempuan"/>
    <x v="7"/>
    <x v="0"/>
    <n v="8"/>
  </r>
  <r>
    <s v="ORD01525"/>
    <n v="45894.400046296287"/>
    <x v="334"/>
    <s v="Jambi"/>
    <s v="Daging Ayam - Brand B"/>
    <x v="1"/>
    <x v="1"/>
    <n v="40000"/>
    <n v="4"/>
    <n v="5"/>
    <n v="160000"/>
    <n v="8000"/>
    <n v="152000"/>
    <n v="87000"/>
    <n v="239000"/>
    <x v="2"/>
    <s v="Shipped"/>
    <x v="1"/>
    <n v="2"/>
    <s v="Perempuan"/>
    <x v="7"/>
    <x v="0"/>
    <n v="8"/>
  </r>
  <r>
    <s v="ORD00001"/>
    <n v="45894.878587962958"/>
    <x v="381"/>
    <s v="Mataram"/>
    <s v="Garam - Brand B"/>
    <x v="5"/>
    <x v="1"/>
    <n v="5000"/>
    <n v="1"/>
    <n v="5"/>
    <n v="5000"/>
    <n v="250"/>
    <n v="4750"/>
    <n v="56000"/>
    <n v="60750"/>
    <x v="0"/>
    <s v="Returned"/>
    <x v="0"/>
    <n v="4"/>
    <s v="Laki-laki"/>
    <x v="7"/>
    <x v="0"/>
    <n v="8"/>
  </r>
  <r>
    <s v="ORD00001"/>
    <n v="45894.878587962958"/>
    <x v="381"/>
    <s v="Mataram"/>
    <s v="Bawang Merah - Brand A"/>
    <x v="3"/>
    <x v="2"/>
    <n v="30000"/>
    <n v="5"/>
    <n v="15"/>
    <n v="150000"/>
    <n v="22500"/>
    <n v="127500"/>
    <n v="0"/>
    <n v="127500"/>
    <x v="0"/>
    <s v="Returned"/>
    <x v="0"/>
    <n v="4"/>
    <s v="Laki-laki"/>
    <x v="7"/>
    <x v="0"/>
    <n v="8"/>
  </r>
  <r>
    <s v="ORD00552"/>
    <n v="45895.244155092587"/>
    <x v="312"/>
    <s v="Pontianak"/>
    <s v="Tepung Terigu - Brand C"/>
    <x v="2"/>
    <x v="0"/>
    <n v="14000"/>
    <n v="3"/>
    <n v="0"/>
    <n v="42000"/>
    <n v="0"/>
    <n v="42000"/>
    <n v="85000"/>
    <n v="127000"/>
    <x v="0"/>
    <s v="Completed"/>
    <x v="3"/>
    <n v="3"/>
    <s v="Perempuan"/>
    <x v="7"/>
    <x v="0"/>
    <n v="8"/>
  </r>
  <r>
    <s v="ORD01085"/>
    <n v="45895.384351851862"/>
    <x v="379"/>
    <s v="Makassar"/>
    <s v="Susu Bubuk - Brand C"/>
    <x v="7"/>
    <x v="0"/>
    <n v="55000"/>
    <n v="5"/>
    <n v="15"/>
    <n v="275000"/>
    <n v="41250"/>
    <n v="233750"/>
    <n v="84000"/>
    <n v="317750"/>
    <x v="2"/>
    <s v="Completed"/>
    <x v="2"/>
    <n v="5"/>
    <s v="Perempuan"/>
    <x v="7"/>
    <x v="0"/>
    <n v="8"/>
  </r>
  <r>
    <s v="ORD00953"/>
    <n v="45895.449733796297"/>
    <x v="382"/>
    <s v="Bengkulu"/>
    <s v="Minyak Goreng - Brand C"/>
    <x v="8"/>
    <x v="0"/>
    <n v="18000"/>
    <n v="1"/>
    <n v="5"/>
    <n v="18000"/>
    <n v="900"/>
    <n v="17100"/>
    <n v="72000"/>
    <n v="89100"/>
    <x v="2"/>
    <s v="Pending"/>
    <x v="2"/>
    <n v="2"/>
    <s v="Perempuan"/>
    <x v="7"/>
    <x v="0"/>
    <n v="8"/>
  </r>
  <r>
    <s v="ORD01243"/>
    <n v="45895.510891203703"/>
    <x v="84"/>
    <s v="Mataram"/>
    <s v="Minyak Goreng - Brand C"/>
    <x v="8"/>
    <x v="0"/>
    <n v="18000"/>
    <n v="1"/>
    <n v="20"/>
    <n v="18000"/>
    <n v="3600"/>
    <n v="14400"/>
    <n v="56000"/>
    <n v="70400"/>
    <x v="0"/>
    <s v="Shipped"/>
    <x v="0"/>
    <n v="4"/>
    <s v="Laki-laki"/>
    <x v="7"/>
    <x v="0"/>
    <n v="8"/>
  </r>
  <r>
    <s v="ORD01618"/>
    <n v="45896.552581018521"/>
    <x v="11"/>
    <s v="Palu"/>
    <s v="Garam - Brand C"/>
    <x v="5"/>
    <x v="0"/>
    <n v="6000"/>
    <n v="4"/>
    <n v="20"/>
    <n v="24000"/>
    <n v="4800"/>
    <n v="19200"/>
    <n v="67000"/>
    <n v="86200"/>
    <x v="2"/>
    <s v="Shipped"/>
    <x v="4"/>
    <n v="1"/>
    <s v="Perempuan"/>
    <x v="7"/>
    <x v="0"/>
    <n v="8"/>
  </r>
  <r>
    <s v="ORD01287"/>
    <n v="45896.674687500003"/>
    <x v="46"/>
    <s v="Surabaya"/>
    <s v="Daging Ayam - Brand B"/>
    <x v="1"/>
    <x v="1"/>
    <n v="40000"/>
    <n v="5"/>
    <n v="15"/>
    <n v="200000"/>
    <n v="30000"/>
    <n v="170000"/>
    <n v="74000"/>
    <n v="244000"/>
    <x v="3"/>
    <s v="Pending"/>
    <x v="0"/>
    <n v="1"/>
    <s v="Perempuan"/>
    <x v="7"/>
    <x v="0"/>
    <n v="8"/>
  </r>
  <r>
    <s v="ORD01589"/>
    <n v="45897.089432870373"/>
    <x v="241"/>
    <s v="Jakarta"/>
    <s v="Tepung Terigu - Brand A"/>
    <x v="2"/>
    <x v="2"/>
    <n v="10000"/>
    <n v="3"/>
    <n v="5"/>
    <n v="30000"/>
    <n v="1500"/>
    <n v="28500"/>
    <n v="97000"/>
    <n v="125500"/>
    <x v="3"/>
    <s v="Completed"/>
    <x v="2"/>
    <n v="4"/>
    <s v="Perempuan"/>
    <x v="7"/>
    <x v="0"/>
    <n v="8"/>
  </r>
  <r>
    <s v="ORD00935"/>
    <n v="45897.186666666668"/>
    <x v="264"/>
    <s v="Pontianak"/>
    <s v="Garam - Brand A"/>
    <x v="5"/>
    <x v="2"/>
    <n v="4000"/>
    <n v="1"/>
    <n v="10"/>
    <n v="4000"/>
    <n v="400"/>
    <n v="3600"/>
    <n v="85000"/>
    <n v="88600"/>
    <x v="3"/>
    <s v="Pending"/>
    <x v="3"/>
    <n v="1"/>
    <s v="Perempuan"/>
    <x v="7"/>
    <x v="0"/>
    <n v="8"/>
  </r>
  <r>
    <s v="ORD01158"/>
    <n v="45897.537870370368"/>
    <x v="4"/>
    <s v="Surabaya"/>
    <s v="Daging Ayam - Brand C"/>
    <x v="1"/>
    <x v="0"/>
    <n v="45000"/>
    <n v="2"/>
    <n v="5"/>
    <n v="90000"/>
    <n v="4500"/>
    <n v="85500"/>
    <n v="74000"/>
    <n v="159500"/>
    <x v="2"/>
    <s v="Pending"/>
    <x v="1"/>
    <n v="3"/>
    <s v="Perempuan"/>
    <x v="7"/>
    <x v="0"/>
    <n v="8"/>
  </r>
  <r>
    <s v="ORD00180"/>
    <n v="45897.733437499999"/>
    <x v="258"/>
    <s v="Palu"/>
    <s v="Susu Bubuk - Brand A"/>
    <x v="7"/>
    <x v="2"/>
    <n v="45000"/>
    <n v="2"/>
    <n v="15"/>
    <n v="90000"/>
    <n v="13500"/>
    <n v="76500"/>
    <n v="67000"/>
    <n v="143500"/>
    <x v="2"/>
    <s v="Completed"/>
    <x v="1"/>
    <n v="3"/>
    <s v="Perempuan"/>
    <x v="7"/>
    <x v="0"/>
    <n v="8"/>
  </r>
  <r>
    <s v="ORD00873"/>
    <n v="45898.084236111114"/>
    <x v="383"/>
    <s v="Pontianak"/>
    <s v="Susu Bubuk - Brand B"/>
    <x v="7"/>
    <x v="1"/>
    <n v="50000"/>
    <n v="4"/>
    <n v="5"/>
    <n v="200000"/>
    <n v="10000"/>
    <n v="190000"/>
    <n v="85000"/>
    <n v="275000"/>
    <x v="0"/>
    <s v="Pending"/>
    <x v="2"/>
    <n v="4"/>
    <s v="Laki-laki"/>
    <x v="7"/>
    <x v="0"/>
    <n v="8"/>
  </r>
  <r>
    <s v="ORD00820"/>
    <n v="45898.097557870373"/>
    <x v="327"/>
    <s v="Pekanbaru"/>
    <s v="Garam - Brand C"/>
    <x v="5"/>
    <x v="0"/>
    <n v="6000"/>
    <n v="5"/>
    <n v="10"/>
    <n v="30000"/>
    <n v="3000"/>
    <n v="27000"/>
    <n v="49000"/>
    <n v="76000"/>
    <x v="3"/>
    <s v="Completed"/>
    <x v="3"/>
    <n v="5"/>
    <s v="Perempuan"/>
    <x v="7"/>
    <x v="0"/>
    <n v="8"/>
  </r>
  <r>
    <s v="ORD01622"/>
    <n v="45898.221493055556"/>
    <x v="231"/>
    <s v="Jambi"/>
    <s v="Minyak Goreng - Brand A"/>
    <x v="8"/>
    <x v="2"/>
    <n v="16000"/>
    <n v="4"/>
    <n v="20"/>
    <n v="64000"/>
    <n v="12800"/>
    <n v="51200"/>
    <n v="87000"/>
    <n v="138200"/>
    <x v="3"/>
    <s v="Shipped"/>
    <x v="3"/>
    <n v="2"/>
    <s v="Perempuan"/>
    <x v="7"/>
    <x v="0"/>
    <n v="8"/>
  </r>
  <r>
    <s v="ORD01814"/>
    <n v="45898.250937500001"/>
    <x v="270"/>
    <s v="Pekanbaru"/>
    <s v="Minyak Goreng - Brand A"/>
    <x v="8"/>
    <x v="2"/>
    <n v="16000"/>
    <n v="3"/>
    <n v="20"/>
    <n v="48000"/>
    <n v="9600"/>
    <n v="38400"/>
    <n v="49000"/>
    <n v="87400"/>
    <x v="3"/>
    <s v="Pending"/>
    <x v="4"/>
    <n v="2"/>
    <s v="Perempuan"/>
    <x v="7"/>
    <x v="0"/>
    <n v="8"/>
  </r>
  <r>
    <s v="ORD01553"/>
    <n v="45898.28365740741"/>
    <x v="342"/>
    <s v="Banda Aceh"/>
    <s v="Tepung Terigu - Brand B"/>
    <x v="2"/>
    <x v="1"/>
    <n v="12000"/>
    <n v="1"/>
    <n v="0"/>
    <n v="12000"/>
    <n v="0"/>
    <n v="12000"/>
    <n v="18000"/>
    <n v="30000"/>
    <x v="0"/>
    <s v="Completed"/>
    <x v="3"/>
    <n v="3"/>
    <s v="Perempuan"/>
    <x v="7"/>
    <x v="0"/>
    <n v="8"/>
  </r>
  <r>
    <s v="ORD01503"/>
    <n v="45898.346018518518"/>
    <x v="57"/>
    <s v="Banda Aceh"/>
    <s v="Minyak Goreng - Brand B"/>
    <x v="8"/>
    <x v="1"/>
    <n v="17000"/>
    <n v="1"/>
    <n v="5"/>
    <n v="17000"/>
    <n v="850"/>
    <n v="16150"/>
    <n v="18000"/>
    <n v="34150"/>
    <x v="3"/>
    <s v="Cancelled"/>
    <x v="1"/>
    <n v="1"/>
    <s v="Perempuan"/>
    <x v="7"/>
    <x v="0"/>
    <n v="8"/>
  </r>
  <r>
    <s v="ORD00100"/>
    <n v="45898.353402777779"/>
    <x v="255"/>
    <s v="Manado"/>
    <s v="Bawang Merah - Brand A"/>
    <x v="3"/>
    <x v="2"/>
    <n v="30000"/>
    <n v="3"/>
    <n v="0"/>
    <n v="90000"/>
    <n v="0"/>
    <n v="90000"/>
    <n v="93000"/>
    <n v="183000"/>
    <x v="3"/>
    <s v="Completed"/>
    <x v="3"/>
    <n v="1"/>
    <s v="Laki-laki"/>
    <x v="7"/>
    <x v="0"/>
    <n v="8"/>
  </r>
  <r>
    <s v="ORD00294"/>
    <n v="45898.353715277779"/>
    <x v="37"/>
    <s v="Jakarta"/>
    <s v="Bawang Merah - Brand B"/>
    <x v="3"/>
    <x v="1"/>
    <n v="35000"/>
    <n v="5"/>
    <n v="20"/>
    <n v="175000"/>
    <n v="35000"/>
    <n v="140000"/>
    <n v="97000"/>
    <n v="237000"/>
    <x v="3"/>
    <s v="Completed"/>
    <x v="0"/>
    <n v="1"/>
    <s v="Perempuan"/>
    <x v="7"/>
    <x v="0"/>
    <n v="8"/>
  </r>
  <r>
    <s v="ORD00294"/>
    <n v="45898.353715277779"/>
    <x v="37"/>
    <s v="Jakarta"/>
    <s v="Gula Pasir - Brand A"/>
    <x v="6"/>
    <x v="2"/>
    <n v="16000"/>
    <n v="5"/>
    <n v="5"/>
    <n v="80000"/>
    <n v="4000"/>
    <n v="76000"/>
    <n v="0"/>
    <n v="76000"/>
    <x v="3"/>
    <s v="Completed"/>
    <x v="0"/>
    <n v="1"/>
    <s v="Perempuan"/>
    <x v="7"/>
    <x v="0"/>
    <n v="8"/>
  </r>
  <r>
    <s v="ORD01199"/>
    <n v="45898.584236111114"/>
    <x v="166"/>
    <s v="Samarinda"/>
    <s v="Daging Ayam - Brand B"/>
    <x v="1"/>
    <x v="1"/>
    <n v="40000"/>
    <n v="5"/>
    <n v="0"/>
    <n v="200000"/>
    <n v="0"/>
    <n v="200000"/>
    <n v="43000"/>
    <n v="243000"/>
    <x v="1"/>
    <s v="Pending"/>
    <x v="4"/>
    <n v="2"/>
    <s v="Perempuan"/>
    <x v="7"/>
    <x v="0"/>
    <n v="8"/>
  </r>
  <r>
    <s v="ORD01309"/>
    <n v="45898.705682870372"/>
    <x v="93"/>
    <s v="Kendari"/>
    <s v="Tepung Terigu - Brand B"/>
    <x v="2"/>
    <x v="1"/>
    <n v="12000"/>
    <n v="5"/>
    <n v="15"/>
    <n v="60000"/>
    <n v="9000"/>
    <n v="51000"/>
    <n v="59000"/>
    <n v="110000"/>
    <x v="1"/>
    <s v="Pending"/>
    <x v="4"/>
    <n v="2"/>
    <s v="Perempuan"/>
    <x v="7"/>
    <x v="0"/>
    <n v="8"/>
  </r>
  <r>
    <s v="ORD00392"/>
    <n v="45898.97152777778"/>
    <x v="127"/>
    <s v="Banda Aceh"/>
    <s v="Tepung Terigu - Brand B"/>
    <x v="2"/>
    <x v="1"/>
    <n v="12000"/>
    <n v="4"/>
    <n v="0"/>
    <n v="48000"/>
    <n v="0"/>
    <n v="48000"/>
    <n v="18000"/>
    <n v="66000"/>
    <x v="1"/>
    <s v="Completed"/>
    <x v="2"/>
    <n v="5"/>
    <s v="Perempuan"/>
    <x v="7"/>
    <x v="0"/>
    <n v="8"/>
  </r>
  <r>
    <s v="ORD01820"/>
    <n v="45899.024247685193"/>
    <x v="187"/>
    <s v="Jayapura"/>
    <s v="Minyak Goreng - Brand C"/>
    <x v="8"/>
    <x v="0"/>
    <n v="18000"/>
    <n v="5"/>
    <n v="15"/>
    <n v="90000"/>
    <n v="13500"/>
    <n v="76500"/>
    <n v="30000"/>
    <n v="106500"/>
    <x v="2"/>
    <s v="Completed"/>
    <x v="3"/>
    <n v="3"/>
    <s v="Perempuan"/>
    <x v="7"/>
    <x v="0"/>
    <n v="8"/>
  </r>
  <r>
    <s v="ORD01032"/>
    <n v="45899.208912037036"/>
    <x v="141"/>
    <s v="Wamena"/>
    <s v="Beras - Brand A"/>
    <x v="0"/>
    <x v="2"/>
    <n v="14000"/>
    <n v="3"/>
    <n v="20"/>
    <n v="42000"/>
    <n v="8400"/>
    <n v="33600"/>
    <n v="15000"/>
    <n v="48600"/>
    <x v="0"/>
    <s v="Completed"/>
    <x v="2"/>
    <n v="1"/>
    <s v="Laki-laki"/>
    <x v="7"/>
    <x v="0"/>
    <n v="8"/>
  </r>
  <r>
    <s v="ORD00723"/>
    <n v="45899.281759259262"/>
    <x v="239"/>
    <s v="Jakarta"/>
    <s v="Daging Ayam - Brand B"/>
    <x v="1"/>
    <x v="1"/>
    <n v="40000"/>
    <n v="4"/>
    <n v="15"/>
    <n v="160000"/>
    <n v="24000"/>
    <n v="136000"/>
    <n v="97000"/>
    <n v="233000"/>
    <x v="1"/>
    <s v="Shipped"/>
    <x v="2"/>
    <n v="1"/>
    <s v="Laki-laki"/>
    <x v="7"/>
    <x v="0"/>
    <n v="8"/>
  </r>
  <r>
    <s v="ORD01260"/>
    <n v="45899.436759259261"/>
    <x v="316"/>
    <s v="Manokwari"/>
    <s v="Minyak Goreng - Brand B"/>
    <x v="8"/>
    <x v="1"/>
    <n v="17000"/>
    <n v="3"/>
    <n v="0"/>
    <n v="51000"/>
    <n v="0"/>
    <n v="51000"/>
    <n v="18000"/>
    <n v="69000"/>
    <x v="3"/>
    <s v="Pending"/>
    <x v="1"/>
    <n v="1"/>
    <s v="Laki-laki"/>
    <x v="7"/>
    <x v="0"/>
    <n v="8"/>
  </r>
  <r>
    <s v="ORD01571"/>
    <n v="45900.304907407408"/>
    <x v="382"/>
    <s v="Bengkulu"/>
    <s v="Garam - Brand C"/>
    <x v="5"/>
    <x v="0"/>
    <n v="6000"/>
    <n v="1"/>
    <n v="15"/>
    <n v="6000"/>
    <n v="900"/>
    <n v="5100"/>
    <n v="72000"/>
    <n v="77100"/>
    <x v="2"/>
    <s v="Pending"/>
    <x v="3"/>
    <n v="4"/>
    <s v="Perempuan"/>
    <x v="7"/>
    <x v="0"/>
    <n v="8"/>
  </r>
  <r>
    <s v="ORD01385"/>
    <n v="45900.417118055557"/>
    <x v="191"/>
    <s v="Banda Aceh"/>
    <s v="Garam - Brand A"/>
    <x v="5"/>
    <x v="2"/>
    <n v="4000"/>
    <n v="1"/>
    <n v="5"/>
    <n v="4000"/>
    <n v="200"/>
    <n v="3800"/>
    <n v="18000"/>
    <n v="21800"/>
    <x v="2"/>
    <s v="Pending"/>
    <x v="1"/>
    <n v="4"/>
    <s v="Laki-laki"/>
    <x v="7"/>
    <x v="0"/>
    <n v="8"/>
  </r>
  <r>
    <s v="ORD01855"/>
    <n v="45551.015844907408"/>
    <x v="174"/>
    <s v="Wamena"/>
    <s v="Daging Ayam - Brand C"/>
    <x v="1"/>
    <x v="0"/>
    <n v="45000"/>
    <n v="4"/>
    <n v="0"/>
    <n v="180000"/>
    <n v="0"/>
    <n v="180000"/>
    <n v="15000"/>
    <n v="195000"/>
    <x v="1"/>
    <s v="Completed"/>
    <x v="1"/>
    <n v="3"/>
    <s v="Perempuan"/>
    <x v="8"/>
    <x v="1"/>
    <n v="9"/>
  </r>
  <r>
    <s v="ORD01741"/>
    <n v="45551.028368055559"/>
    <x v="378"/>
    <s v="Palembang"/>
    <s v="Garam - Brand B"/>
    <x v="5"/>
    <x v="1"/>
    <n v="5000"/>
    <n v="4"/>
    <n v="20"/>
    <n v="20000"/>
    <n v="4000"/>
    <n v="16000"/>
    <n v="17000"/>
    <n v="33000"/>
    <x v="3"/>
    <s v="Completed"/>
    <x v="2"/>
    <n v="5"/>
    <s v="Perempuan"/>
    <x v="8"/>
    <x v="1"/>
    <n v="9"/>
  </r>
  <r>
    <s v="ORD00016"/>
    <n v="45551.531631944446"/>
    <x v="290"/>
    <s v="Semarang"/>
    <s v="Minyak Goreng - Brand A"/>
    <x v="8"/>
    <x v="2"/>
    <n v="16000"/>
    <n v="5"/>
    <n v="5"/>
    <n v="80000"/>
    <n v="4000"/>
    <n v="76000"/>
    <n v="76000"/>
    <n v="152000"/>
    <x v="0"/>
    <s v="Completed"/>
    <x v="0"/>
    <n v="1"/>
    <s v="Laki-laki"/>
    <x v="8"/>
    <x v="1"/>
    <n v="9"/>
  </r>
  <r>
    <s v="ORD00016"/>
    <n v="45551.531631944446"/>
    <x v="290"/>
    <s v="Semarang"/>
    <s v="Telur Ayam - Brand C"/>
    <x v="4"/>
    <x v="0"/>
    <n v="28000"/>
    <n v="1"/>
    <n v="10"/>
    <n v="28000"/>
    <n v="2800"/>
    <n v="25200"/>
    <n v="0"/>
    <n v="25200"/>
    <x v="0"/>
    <s v="Completed"/>
    <x v="0"/>
    <n v="1"/>
    <s v="Laki-laki"/>
    <x v="8"/>
    <x v="1"/>
    <n v="9"/>
  </r>
  <r>
    <s v="ORD00411"/>
    <n v="45551.573483796303"/>
    <x v="125"/>
    <s v="Palembang"/>
    <s v="Garam - Brand A"/>
    <x v="5"/>
    <x v="2"/>
    <n v="4000"/>
    <n v="3"/>
    <n v="0"/>
    <n v="12000"/>
    <n v="0"/>
    <n v="12000"/>
    <n v="17000"/>
    <n v="29000"/>
    <x v="3"/>
    <s v="Completed"/>
    <x v="2"/>
    <n v="2"/>
    <s v="Perempuan"/>
    <x v="8"/>
    <x v="1"/>
    <n v="9"/>
  </r>
  <r>
    <s v="ORD00326"/>
    <n v="45551.633425925917"/>
    <x v="75"/>
    <s v="Manado"/>
    <s v="Daging Ayam - Brand B"/>
    <x v="1"/>
    <x v="1"/>
    <n v="40000"/>
    <n v="1"/>
    <n v="0"/>
    <n v="40000"/>
    <n v="0"/>
    <n v="40000"/>
    <n v="93000"/>
    <n v="133000"/>
    <x v="0"/>
    <s v="Completed"/>
    <x v="4"/>
    <n v="2"/>
    <s v="Perempuan"/>
    <x v="8"/>
    <x v="1"/>
    <n v="9"/>
  </r>
  <r>
    <s v="ORD01208"/>
    <n v="45552.008842592593"/>
    <x v="179"/>
    <s v="Samarinda"/>
    <s v="Tepung Terigu - Brand C"/>
    <x v="2"/>
    <x v="0"/>
    <n v="14000"/>
    <n v="4"/>
    <n v="0"/>
    <n v="56000"/>
    <n v="0"/>
    <n v="56000"/>
    <n v="43000"/>
    <n v="99000"/>
    <x v="1"/>
    <s v="Completed"/>
    <x v="2"/>
    <n v="4"/>
    <s v="Perempuan"/>
    <x v="8"/>
    <x v="1"/>
    <n v="9"/>
  </r>
  <r>
    <s v="ORD01664"/>
    <n v="45552.077418981477"/>
    <x v="127"/>
    <s v="Banda Aceh"/>
    <s v="Beras - Brand C"/>
    <x v="0"/>
    <x v="0"/>
    <n v="16000"/>
    <n v="2"/>
    <n v="0"/>
    <n v="32000"/>
    <n v="0"/>
    <n v="32000"/>
    <n v="18000"/>
    <n v="50000"/>
    <x v="3"/>
    <s v="Completed"/>
    <x v="2"/>
    <n v="5"/>
    <s v="Perempuan"/>
    <x v="8"/>
    <x v="1"/>
    <n v="9"/>
  </r>
  <r>
    <s v="ORD00644"/>
    <n v="45552.108449074083"/>
    <x v="96"/>
    <s v="Denpasar"/>
    <s v="Gula Pasir - Brand A"/>
    <x v="6"/>
    <x v="2"/>
    <n v="16000"/>
    <n v="1"/>
    <n v="0"/>
    <n v="16000"/>
    <n v="0"/>
    <n v="16000"/>
    <n v="80000"/>
    <n v="96000"/>
    <x v="0"/>
    <s v="Completed"/>
    <x v="0"/>
    <n v="5"/>
    <s v="Perempuan"/>
    <x v="8"/>
    <x v="1"/>
    <n v="9"/>
  </r>
  <r>
    <s v="ORD00628"/>
    <n v="45552.464247685188"/>
    <x v="36"/>
    <s v="Tanjung Selor"/>
    <s v="Susu Bubuk - Brand B"/>
    <x v="7"/>
    <x v="1"/>
    <n v="50000"/>
    <n v="2"/>
    <n v="10"/>
    <n v="100000"/>
    <n v="10000"/>
    <n v="90000"/>
    <n v="26000"/>
    <n v="116000"/>
    <x v="2"/>
    <s v="Completed"/>
    <x v="0"/>
    <n v="2"/>
    <s v="Perempuan"/>
    <x v="8"/>
    <x v="1"/>
    <n v="9"/>
  </r>
  <r>
    <s v="ORD00049"/>
    <n v="45552.563796296286"/>
    <x v="344"/>
    <s v="Kendari"/>
    <s v="Beras - Brand B"/>
    <x v="0"/>
    <x v="1"/>
    <n v="15000"/>
    <n v="1"/>
    <n v="20"/>
    <n v="15000"/>
    <n v="3000"/>
    <n v="12000"/>
    <n v="59000"/>
    <n v="71000"/>
    <x v="2"/>
    <s v="Completed"/>
    <x v="0"/>
    <n v="1"/>
    <s v="Laki-laki"/>
    <x v="8"/>
    <x v="1"/>
    <n v="9"/>
  </r>
  <r>
    <s v="ORD00634"/>
    <n v="45552.791898148149"/>
    <x v="352"/>
    <s v="Nabire"/>
    <s v="Bawang Merah - Brand C"/>
    <x v="3"/>
    <x v="0"/>
    <n v="40000"/>
    <n v="4"/>
    <n v="5"/>
    <n v="160000"/>
    <n v="8000"/>
    <n v="152000"/>
    <n v="89000"/>
    <n v="241000"/>
    <x v="0"/>
    <s v="Completed"/>
    <x v="4"/>
    <n v="1"/>
    <s v="Laki-laki"/>
    <x v="8"/>
    <x v="1"/>
    <n v="9"/>
  </r>
  <r>
    <s v="ORD00954"/>
    <n v="45552.937326388892"/>
    <x v="244"/>
    <s v="Jambi"/>
    <s v="Susu Bubuk - Brand C"/>
    <x v="7"/>
    <x v="0"/>
    <n v="55000"/>
    <n v="3"/>
    <n v="15"/>
    <n v="165000"/>
    <n v="24750"/>
    <n v="140250"/>
    <n v="87000"/>
    <n v="227250"/>
    <x v="0"/>
    <s v="Returned"/>
    <x v="2"/>
    <n v="4"/>
    <s v="Perempuan"/>
    <x v="8"/>
    <x v="1"/>
    <n v="9"/>
  </r>
  <r>
    <s v="ORD00844"/>
    <n v="45552.939884259264"/>
    <x v="301"/>
    <s v="Tanjung Selor"/>
    <s v="Beras - Brand C"/>
    <x v="0"/>
    <x v="0"/>
    <n v="16000"/>
    <n v="3"/>
    <n v="0"/>
    <n v="48000"/>
    <n v="0"/>
    <n v="48000"/>
    <n v="26000"/>
    <n v="74000"/>
    <x v="0"/>
    <s v="Completed"/>
    <x v="4"/>
    <n v="4"/>
    <s v="Perempuan"/>
    <x v="8"/>
    <x v="1"/>
    <n v="9"/>
  </r>
  <r>
    <s v="ORD00946"/>
    <n v="45552.946944444448"/>
    <x v="67"/>
    <s v="Surabaya"/>
    <s v="Minyak Goreng - Brand B"/>
    <x v="8"/>
    <x v="1"/>
    <n v="17000"/>
    <n v="5"/>
    <n v="20"/>
    <n v="85000"/>
    <n v="17000"/>
    <n v="68000"/>
    <n v="74000"/>
    <n v="142000"/>
    <x v="3"/>
    <s v="Completed"/>
    <x v="3"/>
    <n v="2"/>
    <s v="Perempuan"/>
    <x v="8"/>
    <x v="1"/>
    <n v="9"/>
  </r>
  <r>
    <s v="ORD00051"/>
    <n v="45553.174039351848"/>
    <x v="336"/>
    <s v="Denpasar"/>
    <s v="Daging Ayam - Brand A"/>
    <x v="1"/>
    <x v="2"/>
    <n v="35000"/>
    <n v="4"/>
    <n v="20"/>
    <n v="140000"/>
    <n v="28000"/>
    <n v="112000"/>
    <n v="80000"/>
    <n v="192000"/>
    <x v="1"/>
    <s v="Completed"/>
    <x v="2"/>
    <n v="2"/>
    <s v="Laki-laki"/>
    <x v="8"/>
    <x v="1"/>
    <n v="9"/>
  </r>
  <r>
    <s v="ORD00559"/>
    <n v="45553.610069444447"/>
    <x v="32"/>
    <s v="Surabaya"/>
    <s v="Beras - Brand A"/>
    <x v="0"/>
    <x v="2"/>
    <n v="14000"/>
    <n v="3"/>
    <n v="0"/>
    <n v="42000"/>
    <n v="0"/>
    <n v="42000"/>
    <n v="74000"/>
    <n v="116000"/>
    <x v="0"/>
    <s v="Completed"/>
    <x v="3"/>
    <n v="4"/>
    <s v="Perempuan"/>
    <x v="8"/>
    <x v="1"/>
    <n v="9"/>
  </r>
  <r>
    <s v="ORD01530"/>
    <n v="45553.80846064815"/>
    <x v="301"/>
    <s v="Tanjung Selor"/>
    <s v="Garam - Brand A"/>
    <x v="5"/>
    <x v="2"/>
    <n v="4000"/>
    <n v="4"/>
    <n v="20"/>
    <n v="16000"/>
    <n v="3200"/>
    <n v="12800"/>
    <n v="26000"/>
    <n v="38800"/>
    <x v="3"/>
    <s v="Completed"/>
    <x v="0"/>
    <n v="4"/>
    <s v="Perempuan"/>
    <x v="8"/>
    <x v="1"/>
    <n v="9"/>
  </r>
  <r>
    <s v="ORD01160"/>
    <n v="45553.897916666669"/>
    <x v="308"/>
    <s v="Jayapura"/>
    <s v="Telur Ayam - Brand B"/>
    <x v="4"/>
    <x v="1"/>
    <n v="25000"/>
    <n v="5"/>
    <n v="10"/>
    <n v="125000"/>
    <n v="12500"/>
    <n v="112500"/>
    <n v="30000"/>
    <n v="142500"/>
    <x v="2"/>
    <s v="Completed"/>
    <x v="3"/>
    <n v="2"/>
    <s v="Perempuan"/>
    <x v="8"/>
    <x v="1"/>
    <n v="9"/>
  </r>
  <r>
    <s v="ORD01060"/>
    <n v="45554.347511574073"/>
    <x v="270"/>
    <s v="Pekanbaru"/>
    <s v="Gula Pasir - Brand A"/>
    <x v="6"/>
    <x v="2"/>
    <n v="16000"/>
    <n v="2"/>
    <n v="20"/>
    <n v="32000"/>
    <n v="6400"/>
    <n v="25600"/>
    <n v="49000"/>
    <n v="74600"/>
    <x v="1"/>
    <s v="Completed"/>
    <x v="2"/>
    <n v="1"/>
    <s v="Perempuan"/>
    <x v="8"/>
    <x v="1"/>
    <n v="9"/>
  </r>
  <r>
    <s v="ORD00181"/>
    <n v="45554.548981481479"/>
    <x v="213"/>
    <s v="Jayapura"/>
    <s v="Daging Ayam - Brand B"/>
    <x v="1"/>
    <x v="1"/>
    <n v="40000"/>
    <n v="4"/>
    <n v="10"/>
    <n v="160000"/>
    <n v="16000"/>
    <n v="144000"/>
    <n v="30000"/>
    <n v="174000"/>
    <x v="3"/>
    <s v="Completed"/>
    <x v="2"/>
    <n v="5"/>
    <s v="Perempuan"/>
    <x v="8"/>
    <x v="1"/>
    <n v="9"/>
  </r>
  <r>
    <s v="ORD01730"/>
    <n v="45554.584305555552"/>
    <x v="203"/>
    <s v="Kendari"/>
    <s v="Bawang Merah - Brand C"/>
    <x v="3"/>
    <x v="0"/>
    <n v="40000"/>
    <n v="3"/>
    <n v="15"/>
    <n v="120000"/>
    <n v="18000"/>
    <n v="102000"/>
    <n v="59000"/>
    <n v="161000"/>
    <x v="3"/>
    <s v="Returned"/>
    <x v="4"/>
    <n v="3"/>
    <s v="Perempuan"/>
    <x v="8"/>
    <x v="1"/>
    <n v="9"/>
  </r>
  <r>
    <s v="ORD01668"/>
    <n v="45554.589224537027"/>
    <x v="204"/>
    <s v="Pontianak"/>
    <s v="Bawang Merah - Brand A"/>
    <x v="3"/>
    <x v="2"/>
    <n v="30000"/>
    <n v="1"/>
    <n v="10"/>
    <n v="30000"/>
    <n v="3000"/>
    <n v="27000"/>
    <n v="85000"/>
    <n v="112000"/>
    <x v="1"/>
    <s v="Completed"/>
    <x v="1"/>
    <n v="5"/>
    <s v="Perempuan"/>
    <x v="8"/>
    <x v="1"/>
    <n v="9"/>
  </r>
  <r>
    <s v="ORD01529"/>
    <n v="45554.928298611107"/>
    <x v="152"/>
    <s v="Jakarta"/>
    <s v="Gula Pasir - Brand A"/>
    <x v="6"/>
    <x v="2"/>
    <n v="16000"/>
    <n v="4"/>
    <n v="5"/>
    <n v="64000"/>
    <n v="3200"/>
    <n v="60800"/>
    <n v="97000"/>
    <n v="157800"/>
    <x v="2"/>
    <s v="Completed"/>
    <x v="0"/>
    <n v="1"/>
    <s v="Perempuan"/>
    <x v="8"/>
    <x v="1"/>
    <n v="9"/>
  </r>
  <r>
    <s v="ORD01671"/>
    <n v="45555.373101851852"/>
    <x v="43"/>
    <s v="Samarinda"/>
    <s v="Garam - Brand C"/>
    <x v="5"/>
    <x v="0"/>
    <n v="6000"/>
    <n v="4"/>
    <n v="5"/>
    <n v="24000"/>
    <n v="1200"/>
    <n v="22800"/>
    <n v="43000"/>
    <n v="65800"/>
    <x v="1"/>
    <s v="Completed"/>
    <x v="3"/>
    <n v="4"/>
    <s v="Perempuan"/>
    <x v="8"/>
    <x v="1"/>
    <n v="9"/>
  </r>
  <r>
    <s v="ORD00239"/>
    <n v="45555.482685185183"/>
    <x v="345"/>
    <s v="Manokwari"/>
    <s v="Daging Ayam - Brand C"/>
    <x v="1"/>
    <x v="0"/>
    <n v="45000"/>
    <n v="3"/>
    <n v="0"/>
    <n v="135000"/>
    <n v="0"/>
    <n v="135000"/>
    <n v="18000"/>
    <n v="153000"/>
    <x v="3"/>
    <s v="Completed"/>
    <x v="4"/>
    <n v="1"/>
    <s v="Perempuan"/>
    <x v="8"/>
    <x v="1"/>
    <n v="9"/>
  </r>
  <r>
    <s v="ORD00403"/>
    <n v="45555.563715277778"/>
    <x v="382"/>
    <s v="Bengkulu"/>
    <s v="Tepung Terigu - Brand C"/>
    <x v="2"/>
    <x v="0"/>
    <n v="14000"/>
    <n v="3"/>
    <n v="15"/>
    <n v="42000"/>
    <n v="6300"/>
    <n v="35700"/>
    <n v="72000"/>
    <n v="107700"/>
    <x v="2"/>
    <s v="Completed"/>
    <x v="1"/>
    <n v="4"/>
    <s v="Perempuan"/>
    <x v="8"/>
    <x v="1"/>
    <n v="9"/>
  </r>
  <r>
    <s v="ORD00933"/>
    <n v="45555.596180555563"/>
    <x v="69"/>
    <s v="Bandung"/>
    <s v="Susu Bubuk - Brand C"/>
    <x v="7"/>
    <x v="0"/>
    <n v="55000"/>
    <n v="2"/>
    <n v="0"/>
    <n v="110000"/>
    <n v="0"/>
    <n v="110000"/>
    <n v="0"/>
    <n v="110000"/>
    <x v="1"/>
    <s v="Completed"/>
    <x v="4"/>
    <n v="2"/>
    <s v="Perempuan"/>
    <x v="8"/>
    <x v="1"/>
    <n v="9"/>
  </r>
  <r>
    <s v="ORD01507"/>
    <n v="45555.805532407408"/>
    <x v="90"/>
    <s v="Yogyakarta"/>
    <s v="Telur Ayam - Brand A"/>
    <x v="4"/>
    <x v="2"/>
    <n v="22000"/>
    <n v="4"/>
    <n v="10"/>
    <n v="88000"/>
    <n v="8800"/>
    <n v="79200"/>
    <n v="78000"/>
    <n v="157200"/>
    <x v="3"/>
    <s v="Cancelled"/>
    <x v="1"/>
    <n v="3"/>
    <s v="Perempuan"/>
    <x v="8"/>
    <x v="1"/>
    <n v="9"/>
  </r>
  <r>
    <s v="ORD01414"/>
    <n v="45555.886944444443"/>
    <x v="132"/>
    <s v="Makassar"/>
    <s v="Tepung Terigu - Brand C"/>
    <x v="2"/>
    <x v="0"/>
    <n v="14000"/>
    <n v="1"/>
    <n v="0"/>
    <n v="14000"/>
    <n v="0"/>
    <n v="14000"/>
    <n v="84000"/>
    <n v="98000"/>
    <x v="3"/>
    <s v="Completed"/>
    <x v="4"/>
    <n v="1"/>
    <s v="Perempuan"/>
    <x v="8"/>
    <x v="1"/>
    <n v="9"/>
  </r>
  <r>
    <s v="ORD00811"/>
    <n v="45555.912546296298"/>
    <x v="285"/>
    <s v="Pontianak"/>
    <s v="Daging Ayam - Brand C"/>
    <x v="1"/>
    <x v="0"/>
    <n v="45000"/>
    <n v="5"/>
    <n v="10"/>
    <n v="225000"/>
    <n v="22500"/>
    <n v="202500"/>
    <n v="85000"/>
    <n v="287500"/>
    <x v="0"/>
    <s v="Completed"/>
    <x v="1"/>
    <n v="4"/>
    <s v="Laki-laki"/>
    <x v="8"/>
    <x v="1"/>
    <n v="9"/>
  </r>
  <r>
    <s v="ORD01550"/>
    <n v="45555.930231481478"/>
    <x v="347"/>
    <s v="Merauke"/>
    <s v="Garam - Brand A"/>
    <x v="5"/>
    <x v="2"/>
    <n v="4000"/>
    <n v="3"/>
    <n v="10"/>
    <n v="12000"/>
    <n v="1200"/>
    <n v="10800"/>
    <n v="59000"/>
    <n v="69800"/>
    <x v="3"/>
    <s v="Completed"/>
    <x v="1"/>
    <n v="2"/>
    <s v="Perempuan"/>
    <x v="8"/>
    <x v="1"/>
    <n v="9"/>
  </r>
  <r>
    <s v="ORD00179"/>
    <n v="45556.104629629634"/>
    <x v="168"/>
    <s v="Semarang"/>
    <s v="Bawang Merah - Brand A"/>
    <x v="3"/>
    <x v="2"/>
    <n v="30000"/>
    <n v="2"/>
    <n v="10"/>
    <n v="60000"/>
    <n v="6000"/>
    <n v="54000"/>
    <n v="76000"/>
    <n v="130000"/>
    <x v="1"/>
    <s v="Completed"/>
    <x v="0"/>
    <n v="5"/>
    <s v="Perempuan"/>
    <x v="8"/>
    <x v="1"/>
    <n v="9"/>
  </r>
  <r>
    <s v="ORD00179"/>
    <n v="45556.104629629634"/>
    <x v="168"/>
    <s v="Semarang"/>
    <s v="Bawang Merah - Brand A"/>
    <x v="3"/>
    <x v="2"/>
    <n v="30000"/>
    <n v="5"/>
    <n v="10"/>
    <n v="150000"/>
    <n v="15000"/>
    <n v="135000"/>
    <n v="0"/>
    <n v="135000"/>
    <x v="1"/>
    <s v="Completed"/>
    <x v="0"/>
    <n v="5"/>
    <s v="Perempuan"/>
    <x v="8"/>
    <x v="1"/>
    <n v="9"/>
  </r>
  <r>
    <s v="ORD00189"/>
    <n v="45556.107581018521"/>
    <x v="279"/>
    <s v="Palembang"/>
    <s v="Tepung Terigu - Brand B"/>
    <x v="2"/>
    <x v="1"/>
    <n v="12000"/>
    <n v="5"/>
    <n v="15"/>
    <n v="60000"/>
    <n v="9000"/>
    <n v="51000"/>
    <n v="17000"/>
    <n v="68000"/>
    <x v="1"/>
    <s v="Completed"/>
    <x v="2"/>
    <n v="1"/>
    <s v="Perempuan"/>
    <x v="8"/>
    <x v="1"/>
    <n v="9"/>
  </r>
  <r>
    <s v="ORD00390"/>
    <n v="45556.2421875"/>
    <x v="168"/>
    <s v="Semarang"/>
    <s v="Telur Ayam - Brand B"/>
    <x v="4"/>
    <x v="1"/>
    <n v="25000"/>
    <n v="5"/>
    <n v="20"/>
    <n v="125000"/>
    <n v="25000"/>
    <n v="100000"/>
    <n v="76000"/>
    <n v="176000"/>
    <x v="0"/>
    <s v="Returned"/>
    <x v="4"/>
    <n v="4"/>
    <s v="Perempuan"/>
    <x v="8"/>
    <x v="1"/>
    <n v="9"/>
  </r>
  <r>
    <s v="ORD00390"/>
    <n v="45556.2421875"/>
    <x v="168"/>
    <s v="Semarang"/>
    <s v="Gula Pasir - Brand B"/>
    <x v="6"/>
    <x v="1"/>
    <n v="17000"/>
    <n v="2"/>
    <n v="5"/>
    <n v="34000"/>
    <n v="1700"/>
    <n v="32300"/>
    <n v="0"/>
    <n v="32300"/>
    <x v="0"/>
    <s v="Returned"/>
    <x v="4"/>
    <n v="4"/>
    <s v="Perempuan"/>
    <x v="8"/>
    <x v="1"/>
    <n v="9"/>
  </r>
  <r>
    <s v="ORD01128"/>
    <n v="45556.450289351851"/>
    <x v="116"/>
    <s v="Jayapura"/>
    <s v="Garam - Brand C"/>
    <x v="5"/>
    <x v="0"/>
    <n v="6000"/>
    <n v="5"/>
    <n v="15"/>
    <n v="30000"/>
    <n v="4500"/>
    <n v="25500"/>
    <n v="30000"/>
    <n v="55500"/>
    <x v="2"/>
    <s v="Returned"/>
    <x v="1"/>
    <n v="2"/>
    <s v="Perempuan"/>
    <x v="8"/>
    <x v="1"/>
    <n v="9"/>
  </r>
  <r>
    <s v="ORD01559"/>
    <n v="45556.505023148151"/>
    <x v="362"/>
    <s v="Palangka Raya"/>
    <s v="Gula Pasir - Brand C"/>
    <x v="6"/>
    <x v="0"/>
    <n v="18000"/>
    <n v="1"/>
    <n v="5"/>
    <n v="18000"/>
    <n v="900"/>
    <n v="17100"/>
    <n v="50000"/>
    <n v="67100"/>
    <x v="1"/>
    <s v="Returned"/>
    <x v="2"/>
    <n v="4"/>
    <s v="Perempuan"/>
    <x v="8"/>
    <x v="1"/>
    <n v="9"/>
  </r>
  <r>
    <s v="ORD01454"/>
    <n v="45556.59302083333"/>
    <x v="350"/>
    <s v="Jayapura"/>
    <s v="Susu Bubuk - Brand C"/>
    <x v="7"/>
    <x v="0"/>
    <n v="55000"/>
    <n v="4"/>
    <n v="5"/>
    <n v="220000"/>
    <n v="11000"/>
    <n v="209000"/>
    <n v="30000"/>
    <n v="239000"/>
    <x v="0"/>
    <s v="Completed"/>
    <x v="2"/>
    <n v="5"/>
    <s v="Laki-laki"/>
    <x v="8"/>
    <x v="1"/>
    <n v="9"/>
  </r>
  <r>
    <s v="ORD00452"/>
    <n v="45556.667488425926"/>
    <x v="310"/>
    <s v="Jambi"/>
    <s v="Susu Bubuk - Brand B"/>
    <x v="7"/>
    <x v="1"/>
    <n v="50000"/>
    <n v="5"/>
    <n v="15"/>
    <n v="250000"/>
    <n v="37500"/>
    <n v="212500"/>
    <n v="87000"/>
    <n v="299500"/>
    <x v="2"/>
    <s v="Returned"/>
    <x v="3"/>
    <n v="2"/>
    <s v="Perempuan"/>
    <x v="8"/>
    <x v="1"/>
    <n v="9"/>
  </r>
  <r>
    <s v="ORD00543"/>
    <n v="45557.366747685177"/>
    <x v="232"/>
    <s v="Banjarbaru"/>
    <s v="Telur Ayam - Brand B"/>
    <x v="4"/>
    <x v="1"/>
    <n v="25000"/>
    <n v="5"/>
    <n v="0"/>
    <n v="125000"/>
    <n v="0"/>
    <n v="125000"/>
    <n v="55000"/>
    <n v="180000"/>
    <x v="3"/>
    <s v="Returned"/>
    <x v="0"/>
    <n v="3"/>
    <s v="Laki-laki"/>
    <x v="8"/>
    <x v="1"/>
    <n v="9"/>
  </r>
  <r>
    <s v="ORD01693"/>
    <n v="45557.435624999998"/>
    <x v="383"/>
    <s v="Pontianak"/>
    <s v="Susu Bubuk - Brand B"/>
    <x v="7"/>
    <x v="1"/>
    <n v="50000"/>
    <n v="1"/>
    <n v="10"/>
    <n v="50000"/>
    <n v="5000"/>
    <n v="45000"/>
    <n v="85000"/>
    <n v="130000"/>
    <x v="3"/>
    <s v="Completed"/>
    <x v="0"/>
    <n v="2"/>
    <s v="Laki-laki"/>
    <x v="8"/>
    <x v="1"/>
    <n v="9"/>
  </r>
  <r>
    <s v="ORD00633"/>
    <n v="45557.904618055552"/>
    <x v="311"/>
    <s v="Jayapura"/>
    <s v="Beras - Brand C"/>
    <x v="0"/>
    <x v="0"/>
    <n v="16000"/>
    <n v="5"/>
    <n v="10"/>
    <n v="80000"/>
    <n v="8000"/>
    <n v="72000"/>
    <n v="30000"/>
    <n v="102000"/>
    <x v="1"/>
    <s v="Completed"/>
    <x v="3"/>
    <n v="3"/>
    <s v="Perempuan"/>
    <x v="8"/>
    <x v="1"/>
    <n v="9"/>
  </r>
  <r>
    <s v="ORD00695"/>
    <n v="45557.948622685188"/>
    <x v="153"/>
    <s v="Wamena"/>
    <s v="Beras - Brand C"/>
    <x v="0"/>
    <x v="0"/>
    <n v="16000"/>
    <n v="3"/>
    <n v="0"/>
    <n v="48000"/>
    <n v="0"/>
    <n v="48000"/>
    <n v="15000"/>
    <n v="63000"/>
    <x v="0"/>
    <s v="Completed"/>
    <x v="0"/>
    <n v="4"/>
    <s v="Perempuan"/>
    <x v="8"/>
    <x v="1"/>
    <n v="9"/>
  </r>
  <r>
    <s v="ORD00857"/>
    <n v="45558.191782407397"/>
    <x v="206"/>
    <s v="Padang"/>
    <s v="Garam - Brand A"/>
    <x v="5"/>
    <x v="2"/>
    <n v="4000"/>
    <n v="1"/>
    <n v="5"/>
    <n v="4000"/>
    <n v="200"/>
    <n v="3800"/>
    <n v="68000"/>
    <n v="71800"/>
    <x v="2"/>
    <s v="Completed"/>
    <x v="3"/>
    <n v="1"/>
    <s v="Perempuan"/>
    <x v="8"/>
    <x v="1"/>
    <n v="9"/>
  </r>
  <r>
    <s v="ORD00498"/>
    <n v="45558.467662037037"/>
    <x v="209"/>
    <s v="Sofifi"/>
    <s v="Beras - Brand C"/>
    <x v="0"/>
    <x v="0"/>
    <n v="16000"/>
    <n v="3"/>
    <n v="5"/>
    <n v="48000"/>
    <n v="2400"/>
    <n v="45600"/>
    <n v="50000"/>
    <n v="95600"/>
    <x v="2"/>
    <s v="Completed"/>
    <x v="1"/>
    <n v="4"/>
    <s v="Perempuan"/>
    <x v="8"/>
    <x v="1"/>
    <n v="9"/>
  </r>
  <r>
    <s v="ORD01047"/>
    <n v="45558.671018518522"/>
    <x v="223"/>
    <s v="Palangka Raya"/>
    <s v="Daging Ayam - Brand B"/>
    <x v="1"/>
    <x v="1"/>
    <n v="40000"/>
    <n v="3"/>
    <n v="0"/>
    <n v="120000"/>
    <n v="0"/>
    <n v="120000"/>
    <n v="50000"/>
    <n v="170000"/>
    <x v="1"/>
    <s v="Completed"/>
    <x v="4"/>
    <n v="5"/>
    <s v="Perempuan"/>
    <x v="8"/>
    <x v="1"/>
    <n v="9"/>
  </r>
  <r>
    <s v="ORD00218"/>
    <n v="45558.775856481479"/>
    <x v="169"/>
    <s v="Manado"/>
    <s v="Minyak Goreng - Brand A"/>
    <x v="8"/>
    <x v="2"/>
    <n v="16000"/>
    <n v="5"/>
    <n v="5"/>
    <n v="80000"/>
    <n v="4000"/>
    <n v="76000"/>
    <n v="93000"/>
    <n v="169000"/>
    <x v="2"/>
    <s v="Cancelled"/>
    <x v="3"/>
    <n v="4"/>
    <s v="Perempuan"/>
    <x v="8"/>
    <x v="1"/>
    <n v="9"/>
  </r>
  <r>
    <s v="ORD01560"/>
    <n v="45559.000520833331"/>
    <x v="196"/>
    <s v="Mamuju"/>
    <s v="Bawang Merah - Brand C"/>
    <x v="3"/>
    <x v="0"/>
    <n v="40000"/>
    <n v="4"/>
    <n v="10"/>
    <n v="160000"/>
    <n v="16000"/>
    <n v="144000"/>
    <n v="46000"/>
    <n v="190000"/>
    <x v="2"/>
    <s v="Completed"/>
    <x v="3"/>
    <n v="4"/>
    <s v="Perempuan"/>
    <x v="8"/>
    <x v="1"/>
    <n v="9"/>
  </r>
  <r>
    <s v="ORD00369"/>
    <n v="45559.017048611109"/>
    <x v="373"/>
    <s v="Ambon"/>
    <s v="Garam - Brand A"/>
    <x v="5"/>
    <x v="2"/>
    <n v="4000"/>
    <n v="3"/>
    <n v="10"/>
    <n v="12000"/>
    <n v="1200"/>
    <n v="10800"/>
    <n v="49000"/>
    <n v="59800"/>
    <x v="1"/>
    <s v="Completed"/>
    <x v="3"/>
    <n v="1"/>
    <s v="Perempuan"/>
    <x v="8"/>
    <x v="1"/>
    <n v="9"/>
  </r>
  <r>
    <s v="ORD00369"/>
    <n v="45559.017048611109"/>
    <x v="373"/>
    <s v="Ambon"/>
    <s v="Tepung Terigu - Brand A"/>
    <x v="2"/>
    <x v="2"/>
    <n v="10000"/>
    <n v="4"/>
    <n v="5"/>
    <n v="40000"/>
    <n v="2000"/>
    <n v="38000"/>
    <n v="0"/>
    <n v="38000"/>
    <x v="1"/>
    <s v="Completed"/>
    <x v="3"/>
    <n v="1"/>
    <s v="Perempuan"/>
    <x v="8"/>
    <x v="1"/>
    <n v="9"/>
  </r>
  <r>
    <s v="ORD01190"/>
    <n v="45559.020509259259"/>
    <x v="307"/>
    <s v="Mataram"/>
    <s v="Gula Pasir - Brand A"/>
    <x v="6"/>
    <x v="2"/>
    <n v="16000"/>
    <n v="5"/>
    <n v="15"/>
    <n v="80000"/>
    <n v="12000"/>
    <n v="68000"/>
    <n v="56000"/>
    <n v="124000"/>
    <x v="1"/>
    <s v="Completed"/>
    <x v="3"/>
    <n v="2"/>
    <s v="Perempuan"/>
    <x v="8"/>
    <x v="1"/>
    <n v="9"/>
  </r>
  <r>
    <s v="ORD00958"/>
    <n v="45559.04047453704"/>
    <x v="257"/>
    <s v="Kendari"/>
    <s v="Susu Bubuk - Brand C"/>
    <x v="7"/>
    <x v="0"/>
    <n v="55000"/>
    <n v="5"/>
    <n v="10"/>
    <n v="275000"/>
    <n v="27500"/>
    <n v="247500"/>
    <n v="59000"/>
    <n v="306500"/>
    <x v="0"/>
    <s v="Completed"/>
    <x v="3"/>
    <n v="4"/>
    <s v="Perempuan"/>
    <x v="8"/>
    <x v="1"/>
    <n v="9"/>
  </r>
  <r>
    <s v="ORD00689"/>
    <n v="45559.32298611111"/>
    <x v="325"/>
    <s v="Tanjungpinang"/>
    <s v="Bawang Merah - Brand C"/>
    <x v="3"/>
    <x v="0"/>
    <n v="40000"/>
    <n v="1"/>
    <n v="10"/>
    <n v="40000"/>
    <n v="4000"/>
    <n v="36000"/>
    <n v="48000"/>
    <n v="84000"/>
    <x v="3"/>
    <s v="Completed"/>
    <x v="3"/>
    <n v="2"/>
    <s v="Perempuan"/>
    <x v="8"/>
    <x v="1"/>
    <n v="9"/>
  </r>
  <r>
    <s v="ORD01145"/>
    <n v="45559.340555555558"/>
    <x v="264"/>
    <s v="Pontianak"/>
    <s v="Susu Bubuk - Brand C"/>
    <x v="7"/>
    <x v="0"/>
    <n v="55000"/>
    <n v="1"/>
    <n v="15"/>
    <n v="55000"/>
    <n v="8250"/>
    <n v="46750"/>
    <n v="85000"/>
    <n v="131750"/>
    <x v="1"/>
    <s v="Completed"/>
    <x v="4"/>
    <n v="2"/>
    <s v="Perempuan"/>
    <x v="8"/>
    <x v="1"/>
    <n v="9"/>
  </r>
  <r>
    <s v="ORD01796"/>
    <n v="45559.478229166663"/>
    <x v="270"/>
    <s v="Pekanbaru"/>
    <s v="Susu Bubuk - Brand A"/>
    <x v="7"/>
    <x v="2"/>
    <n v="45000"/>
    <n v="1"/>
    <n v="15"/>
    <n v="45000"/>
    <n v="6750"/>
    <n v="38250"/>
    <n v="49000"/>
    <n v="87250"/>
    <x v="2"/>
    <s v="Returned"/>
    <x v="3"/>
    <n v="5"/>
    <s v="Perempuan"/>
    <x v="8"/>
    <x v="1"/>
    <n v="9"/>
  </r>
  <r>
    <s v="ORD01763"/>
    <n v="45559.683819444443"/>
    <x v="261"/>
    <s v="Serang"/>
    <s v="Bawang Merah - Brand B"/>
    <x v="3"/>
    <x v="1"/>
    <n v="35000"/>
    <n v="5"/>
    <n v="5"/>
    <n v="175000"/>
    <n v="8750"/>
    <n v="166250"/>
    <n v="57000"/>
    <n v="223250"/>
    <x v="3"/>
    <s v="Returned"/>
    <x v="1"/>
    <n v="2"/>
    <s v="Perempuan"/>
    <x v="8"/>
    <x v="1"/>
    <n v="9"/>
  </r>
  <r>
    <s v="ORD00562"/>
    <n v="45559.714965277781"/>
    <x v="37"/>
    <s v="Jakarta"/>
    <s v="Garam - Brand B"/>
    <x v="5"/>
    <x v="1"/>
    <n v="5000"/>
    <n v="2"/>
    <n v="20"/>
    <n v="10000"/>
    <n v="2000"/>
    <n v="8000"/>
    <n v="97000"/>
    <n v="105000"/>
    <x v="2"/>
    <s v="Completed"/>
    <x v="4"/>
    <n v="2"/>
    <s v="Perempuan"/>
    <x v="8"/>
    <x v="1"/>
    <n v="9"/>
  </r>
  <r>
    <s v="ORD01716"/>
    <n v="45559.922812500001"/>
    <x v="119"/>
    <s v="Sorong"/>
    <s v="Gula Pasir - Brand A"/>
    <x v="6"/>
    <x v="2"/>
    <n v="16000"/>
    <n v="4"/>
    <n v="20"/>
    <n v="64000"/>
    <n v="12800"/>
    <n v="51200"/>
    <n v="87000"/>
    <n v="138200"/>
    <x v="1"/>
    <s v="Returned"/>
    <x v="1"/>
    <n v="1"/>
    <s v="Perempuan"/>
    <x v="8"/>
    <x v="1"/>
    <n v="9"/>
  </r>
  <r>
    <s v="ORD01646"/>
    <n v="45559.960763888892"/>
    <x v="29"/>
    <s v="Bandung"/>
    <s v="Bawang Merah - Brand A"/>
    <x v="3"/>
    <x v="2"/>
    <n v="30000"/>
    <n v="1"/>
    <n v="5"/>
    <n v="30000"/>
    <n v="1500"/>
    <n v="28500"/>
    <n v="0"/>
    <n v="28500"/>
    <x v="2"/>
    <s v="Cancelled"/>
    <x v="4"/>
    <n v="3"/>
    <s v="Laki-laki"/>
    <x v="8"/>
    <x v="1"/>
    <n v="9"/>
  </r>
  <r>
    <s v="ORD01197"/>
    <n v="45560.015497685177"/>
    <x v="215"/>
    <s v="Palangka Raya"/>
    <s v="Bawang Merah - Brand C"/>
    <x v="3"/>
    <x v="0"/>
    <n v="40000"/>
    <n v="2"/>
    <n v="20"/>
    <n v="80000"/>
    <n v="16000"/>
    <n v="64000"/>
    <n v="50000"/>
    <n v="114000"/>
    <x v="3"/>
    <s v="Completed"/>
    <x v="3"/>
    <n v="3"/>
    <s v="Perempuan"/>
    <x v="8"/>
    <x v="1"/>
    <n v="9"/>
  </r>
  <r>
    <s v="ORD00619"/>
    <n v="45560.139421296299"/>
    <x v="45"/>
    <s v="Jakarta"/>
    <s v="Daging Ayam - Brand B"/>
    <x v="1"/>
    <x v="1"/>
    <n v="40000"/>
    <n v="1"/>
    <n v="15"/>
    <n v="40000"/>
    <n v="6000"/>
    <n v="34000"/>
    <n v="97000"/>
    <n v="131000"/>
    <x v="3"/>
    <s v="Completed"/>
    <x v="3"/>
    <n v="3"/>
    <s v="Perempuan"/>
    <x v="8"/>
    <x v="1"/>
    <n v="9"/>
  </r>
  <r>
    <s v="ORD00465"/>
    <n v="45560.274340277778"/>
    <x v="3"/>
    <s v="Wamena"/>
    <s v="Telur Ayam - Brand C"/>
    <x v="4"/>
    <x v="0"/>
    <n v="28000"/>
    <n v="3"/>
    <n v="15"/>
    <n v="84000"/>
    <n v="12600"/>
    <n v="71400"/>
    <n v="15000"/>
    <n v="86400"/>
    <x v="3"/>
    <s v="Completed"/>
    <x v="1"/>
    <n v="3"/>
    <s v="Perempuan"/>
    <x v="8"/>
    <x v="1"/>
    <n v="9"/>
  </r>
  <r>
    <s v="ORD01356"/>
    <n v="45560.374374999999"/>
    <x v="53"/>
    <s v="Pekanbaru"/>
    <s v="Susu Bubuk - Brand B"/>
    <x v="7"/>
    <x v="1"/>
    <n v="50000"/>
    <n v="5"/>
    <n v="10"/>
    <n v="250000"/>
    <n v="25000"/>
    <n v="225000"/>
    <n v="49000"/>
    <n v="274000"/>
    <x v="2"/>
    <s v="Completed"/>
    <x v="3"/>
    <n v="4"/>
    <s v="Perempuan"/>
    <x v="8"/>
    <x v="1"/>
    <n v="9"/>
  </r>
  <r>
    <s v="ORD01042"/>
    <n v="45560.518657407411"/>
    <x v="284"/>
    <s v="Pekanbaru"/>
    <s v="Minyak Goreng - Brand A"/>
    <x v="8"/>
    <x v="2"/>
    <n v="16000"/>
    <n v="3"/>
    <n v="10"/>
    <n v="48000"/>
    <n v="4800"/>
    <n v="43200"/>
    <n v="49000"/>
    <n v="92200"/>
    <x v="3"/>
    <s v="Completed"/>
    <x v="2"/>
    <n v="2"/>
    <s v="Perempuan"/>
    <x v="8"/>
    <x v="1"/>
    <n v="9"/>
  </r>
  <r>
    <s v="ORD00013"/>
    <n v="45560.683599537027"/>
    <x v="243"/>
    <s v="Palangka Raya"/>
    <s v="Garam - Brand B"/>
    <x v="5"/>
    <x v="1"/>
    <n v="5000"/>
    <n v="3"/>
    <n v="15"/>
    <n v="15000"/>
    <n v="2250"/>
    <n v="12750"/>
    <n v="50000"/>
    <n v="62750"/>
    <x v="3"/>
    <s v="Completed"/>
    <x v="2"/>
    <n v="4"/>
    <s v="Laki-laki"/>
    <x v="8"/>
    <x v="1"/>
    <n v="9"/>
  </r>
  <r>
    <s v="ORD00600"/>
    <n v="45560.827361111107"/>
    <x v="59"/>
    <s v="Samarinda"/>
    <s v="Beras - Brand B"/>
    <x v="0"/>
    <x v="1"/>
    <n v="15000"/>
    <n v="1"/>
    <n v="20"/>
    <n v="15000"/>
    <n v="3000"/>
    <n v="12000"/>
    <n v="43000"/>
    <n v="55000"/>
    <x v="3"/>
    <s v="Completed"/>
    <x v="3"/>
    <n v="3"/>
    <s v="Perempuan"/>
    <x v="8"/>
    <x v="1"/>
    <n v="9"/>
  </r>
  <r>
    <s v="ORD00433"/>
    <n v="45561.91914351852"/>
    <x v="204"/>
    <s v="Pontianak"/>
    <s v="Bawang Merah - Brand C"/>
    <x v="3"/>
    <x v="0"/>
    <n v="40000"/>
    <n v="4"/>
    <n v="10"/>
    <n v="160000"/>
    <n v="16000"/>
    <n v="144000"/>
    <n v="85000"/>
    <n v="229000"/>
    <x v="1"/>
    <s v="Completed"/>
    <x v="2"/>
    <n v="3"/>
    <s v="Perempuan"/>
    <x v="8"/>
    <x v="1"/>
    <n v="9"/>
  </r>
  <r>
    <s v="ORD01113"/>
    <n v="45562.322916666657"/>
    <x v="269"/>
    <s v="Merauke"/>
    <s v="Tepung Terigu - Brand C"/>
    <x v="2"/>
    <x v="0"/>
    <n v="14000"/>
    <n v="4"/>
    <n v="20"/>
    <n v="56000"/>
    <n v="11200"/>
    <n v="44800"/>
    <n v="59000"/>
    <n v="103800"/>
    <x v="0"/>
    <s v="Completed"/>
    <x v="1"/>
    <n v="4"/>
    <s v="Perempuan"/>
    <x v="8"/>
    <x v="1"/>
    <n v="9"/>
  </r>
  <r>
    <s v="ORD00701"/>
    <n v="45562.441701388889"/>
    <x v="353"/>
    <s v="Palangka Raya"/>
    <s v="Minyak Goreng - Brand A"/>
    <x v="8"/>
    <x v="2"/>
    <n v="16000"/>
    <n v="2"/>
    <n v="20"/>
    <n v="32000"/>
    <n v="6400"/>
    <n v="25600"/>
    <n v="50000"/>
    <n v="75600"/>
    <x v="3"/>
    <s v="Completed"/>
    <x v="2"/>
    <n v="4"/>
    <s v="Perempuan"/>
    <x v="8"/>
    <x v="1"/>
    <n v="9"/>
  </r>
  <r>
    <s v="ORD01151"/>
    <n v="45562.555601851847"/>
    <x v="306"/>
    <s v="Mamuju"/>
    <s v="Susu Bubuk - Brand A"/>
    <x v="7"/>
    <x v="2"/>
    <n v="45000"/>
    <n v="1"/>
    <n v="15"/>
    <n v="45000"/>
    <n v="6750"/>
    <n v="38250"/>
    <n v="46000"/>
    <n v="84250"/>
    <x v="2"/>
    <s v="Completed"/>
    <x v="1"/>
    <n v="4"/>
    <s v="Perempuan"/>
    <x v="8"/>
    <x v="1"/>
    <n v="9"/>
  </r>
  <r>
    <s v="ORD00686"/>
    <n v="45562.663055555553"/>
    <x v="109"/>
    <s v="Banda Aceh"/>
    <s v="Daging Ayam - Brand A"/>
    <x v="1"/>
    <x v="2"/>
    <n v="35000"/>
    <n v="5"/>
    <n v="10"/>
    <n v="175000"/>
    <n v="17500"/>
    <n v="157500"/>
    <n v="18000"/>
    <n v="175500"/>
    <x v="0"/>
    <s v="Completed"/>
    <x v="2"/>
    <n v="2"/>
    <s v="Perempuan"/>
    <x v="8"/>
    <x v="1"/>
    <n v="9"/>
  </r>
  <r>
    <s v="ORD00862"/>
    <n v="45562.669733796298"/>
    <x v="166"/>
    <s v="Samarinda"/>
    <s v="Bawang Merah - Brand B"/>
    <x v="3"/>
    <x v="1"/>
    <n v="35000"/>
    <n v="5"/>
    <n v="10"/>
    <n v="175000"/>
    <n v="17500"/>
    <n v="157500"/>
    <n v="43000"/>
    <n v="200500"/>
    <x v="0"/>
    <s v="Completed"/>
    <x v="4"/>
    <n v="2"/>
    <s v="Perempuan"/>
    <x v="8"/>
    <x v="1"/>
    <n v="9"/>
  </r>
  <r>
    <s v="ORD00193"/>
    <n v="45563.093090277784"/>
    <x v="67"/>
    <s v="Surabaya"/>
    <s v="Beras - Brand A"/>
    <x v="0"/>
    <x v="2"/>
    <n v="14000"/>
    <n v="4"/>
    <n v="20"/>
    <n v="56000"/>
    <n v="11200"/>
    <n v="44800"/>
    <n v="74000"/>
    <n v="118800"/>
    <x v="1"/>
    <s v="Completed"/>
    <x v="2"/>
    <n v="1"/>
    <s v="Perempuan"/>
    <x v="8"/>
    <x v="1"/>
    <n v="9"/>
  </r>
  <r>
    <s v="ORD00193"/>
    <n v="45563.093090277784"/>
    <x v="67"/>
    <s v="Surabaya"/>
    <s v="Gula Pasir - Brand A"/>
    <x v="6"/>
    <x v="2"/>
    <n v="16000"/>
    <n v="4"/>
    <n v="15"/>
    <n v="64000"/>
    <n v="9600"/>
    <n v="54400"/>
    <n v="0"/>
    <n v="54400"/>
    <x v="1"/>
    <s v="Completed"/>
    <x v="2"/>
    <n v="1"/>
    <s v="Perempuan"/>
    <x v="8"/>
    <x v="1"/>
    <n v="9"/>
  </r>
  <r>
    <s v="ORD01059"/>
    <n v="45563.223182870373"/>
    <x v="333"/>
    <s v="Serang"/>
    <s v="Beras - Brand A"/>
    <x v="0"/>
    <x v="2"/>
    <n v="14000"/>
    <n v="4"/>
    <n v="10"/>
    <n v="56000"/>
    <n v="5600"/>
    <n v="50400"/>
    <n v="57000"/>
    <n v="107400"/>
    <x v="1"/>
    <s v="Completed"/>
    <x v="4"/>
    <n v="4"/>
    <s v="Laki-laki"/>
    <x v="8"/>
    <x v="1"/>
    <n v="9"/>
  </r>
  <r>
    <s v="ORD01576"/>
    <n v="45563.252222222232"/>
    <x v="190"/>
    <s v="Nabire"/>
    <s v="Garam - Brand A"/>
    <x v="5"/>
    <x v="2"/>
    <n v="4000"/>
    <n v="3"/>
    <n v="10"/>
    <n v="12000"/>
    <n v="1200"/>
    <n v="10800"/>
    <n v="89000"/>
    <n v="99800"/>
    <x v="0"/>
    <s v="Returned"/>
    <x v="2"/>
    <n v="4"/>
    <s v="Perempuan"/>
    <x v="8"/>
    <x v="1"/>
    <n v="9"/>
  </r>
  <r>
    <s v="ORD00503"/>
    <n v="45563.307650462957"/>
    <x v="164"/>
    <s v="Sorong"/>
    <s v="Tepung Terigu - Brand A"/>
    <x v="2"/>
    <x v="2"/>
    <n v="10000"/>
    <n v="3"/>
    <n v="5"/>
    <n v="30000"/>
    <n v="1500"/>
    <n v="28500"/>
    <n v="87000"/>
    <n v="115500"/>
    <x v="0"/>
    <s v="Cancelled"/>
    <x v="2"/>
    <n v="2"/>
    <s v="Perempuan"/>
    <x v="8"/>
    <x v="1"/>
    <n v="9"/>
  </r>
  <r>
    <s v="ORD01395"/>
    <n v="45563.360196759262"/>
    <x v="300"/>
    <s v="Kendari"/>
    <s v="Gula Pasir - Brand B"/>
    <x v="6"/>
    <x v="1"/>
    <n v="17000"/>
    <n v="4"/>
    <n v="5"/>
    <n v="68000"/>
    <n v="3400"/>
    <n v="64600"/>
    <n v="59000"/>
    <n v="123600"/>
    <x v="3"/>
    <s v="Completed"/>
    <x v="0"/>
    <n v="1"/>
    <s v="Perempuan"/>
    <x v="8"/>
    <x v="1"/>
    <n v="9"/>
  </r>
  <r>
    <s v="ORD00022"/>
    <n v="45563.714907407397"/>
    <x v="364"/>
    <s v="Manokwari"/>
    <s v="Garam - Brand A"/>
    <x v="5"/>
    <x v="2"/>
    <n v="4000"/>
    <n v="4"/>
    <n v="15"/>
    <n v="16000"/>
    <n v="2400"/>
    <n v="13600"/>
    <n v="18000"/>
    <n v="31600"/>
    <x v="3"/>
    <s v="Completed"/>
    <x v="0"/>
    <n v="1"/>
    <s v="Laki-laki"/>
    <x v="8"/>
    <x v="1"/>
    <n v="9"/>
  </r>
  <r>
    <s v="ORD00521"/>
    <n v="45564.279097222221"/>
    <x v="118"/>
    <s v="Serang"/>
    <s v="Susu Bubuk - Brand C"/>
    <x v="7"/>
    <x v="0"/>
    <n v="55000"/>
    <n v="4"/>
    <n v="0"/>
    <n v="220000"/>
    <n v="0"/>
    <n v="220000"/>
    <n v="57000"/>
    <n v="277000"/>
    <x v="0"/>
    <s v="Completed"/>
    <x v="0"/>
    <n v="4"/>
    <s v="Laki-laki"/>
    <x v="8"/>
    <x v="1"/>
    <n v="9"/>
  </r>
  <r>
    <s v="ORD01377"/>
    <n v="45564.352638888893"/>
    <x v="154"/>
    <s v="Bandar Lampung"/>
    <s v="Telur Ayam - Brand B"/>
    <x v="4"/>
    <x v="1"/>
    <n v="25000"/>
    <n v="2"/>
    <n v="15"/>
    <n v="50000"/>
    <n v="7500"/>
    <n v="42500"/>
    <n v="28000"/>
    <n v="70500"/>
    <x v="3"/>
    <s v="Completed"/>
    <x v="3"/>
    <n v="3"/>
    <s v="Perempuan"/>
    <x v="8"/>
    <x v="1"/>
    <n v="9"/>
  </r>
  <r>
    <s v="ORD01726"/>
    <n v="45564.403865740736"/>
    <x v="384"/>
    <s v="Serang"/>
    <s v="Garam - Brand C"/>
    <x v="5"/>
    <x v="0"/>
    <n v="6000"/>
    <n v="5"/>
    <n v="20"/>
    <n v="30000"/>
    <n v="6000"/>
    <n v="24000"/>
    <n v="57000"/>
    <n v="81000"/>
    <x v="0"/>
    <s v="Completed"/>
    <x v="1"/>
    <n v="5"/>
    <s v="Laki-laki"/>
    <x v="8"/>
    <x v="1"/>
    <n v="9"/>
  </r>
  <r>
    <s v="ORD01283"/>
    <n v="45564.440324074072"/>
    <x v="350"/>
    <s v="Jayapura"/>
    <s v="Daging Ayam - Brand C"/>
    <x v="1"/>
    <x v="0"/>
    <n v="45000"/>
    <n v="2"/>
    <n v="15"/>
    <n v="90000"/>
    <n v="13500"/>
    <n v="76500"/>
    <n v="30000"/>
    <n v="106500"/>
    <x v="1"/>
    <s v="Cancelled"/>
    <x v="0"/>
    <n v="5"/>
    <s v="Laki-laki"/>
    <x v="8"/>
    <x v="1"/>
    <n v="9"/>
  </r>
  <r>
    <s v="ORD00828"/>
    <n v="45564.51357638889"/>
    <x v="156"/>
    <s v="Gorontalo"/>
    <s v="Bawang Merah - Brand B"/>
    <x v="3"/>
    <x v="1"/>
    <n v="35000"/>
    <n v="1"/>
    <n v="15"/>
    <n v="35000"/>
    <n v="5250"/>
    <n v="29750"/>
    <n v="80000"/>
    <n v="109750"/>
    <x v="2"/>
    <s v="Completed"/>
    <x v="0"/>
    <n v="5"/>
    <s v="Laki-laki"/>
    <x v="8"/>
    <x v="1"/>
    <n v="9"/>
  </r>
  <r>
    <s v="ORD01079"/>
    <n v="45564.906493055547"/>
    <x v="25"/>
    <s v="Bandar Lampung"/>
    <s v="Beras - Brand A"/>
    <x v="0"/>
    <x v="2"/>
    <n v="14000"/>
    <n v="5"/>
    <n v="5"/>
    <n v="70000"/>
    <n v="3500"/>
    <n v="66500"/>
    <n v="28000"/>
    <n v="94500"/>
    <x v="2"/>
    <s v="Completed"/>
    <x v="4"/>
    <n v="3"/>
    <s v="Perempuan"/>
    <x v="8"/>
    <x v="1"/>
    <n v="9"/>
  </r>
  <r>
    <s v="ORD01481"/>
    <n v="45565.106886574067"/>
    <x v="384"/>
    <s v="Serang"/>
    <s v="Beras - Brand A"/>
    <x v="0"/>
    <x v="2"/>
    <n v="14000"/>
    <n v="5"/>
    <n v="20"/>
    <n v="70000"/>
    <n v="14000"/>
    <n v="56000"/>
    <n v="57000"/>
    <n v="113000"/>
    <x v="0"/>
    <s v="Completed"/>
    <x v="2"/>
    <n v="1"/>
    <s v="Laki-laki"/>
    <x v="8"/>
    <x v="1"/>
    <n v="9"/>
  </r>
  <r>
    <s v="ORD01084"/>
    <n v="45565.178935185177"/>
    <x v="298"/>
    <s v="Samarinda"/>
    <s v="Minyak Goreng - Brand C"/>
    <x v="8"/>
    <x v="0"/>
    <n v="18000"/>
    <n v="1"/>
    <n v="5"/>
    <n v="18000"/>
    <n v="900"/>
    <n v="17100"/>
    <n v="43000"/>
    <n v="60100"/>
    <x v="2"/>
    <s v="Completed"/>
    <x v="2"/>
    <n v="4"/>
    <s v="Perempuan"/>
    <x v="8"/>
    <x v="1"/>
    <n v="9"/>
  </r>
  <r>
    <s v="ORD00104"/>
    <n v="45565.258020833331"/>
    <x v="48"/>
    <s v="Merauke"/>
    <s v="Beras - Brand A"/>
    <x v="0"/>
    <x v="2"/>
    <n v="14000"/>
    <n v="3"/>
    <n v="15"/>
    <n v="42000"/>
    <n v="6300"/>
    <n v="35700"/>
    <n v="59000"/>
    <n v="94700"/>
    <x v="3"/>
    <s v="Returned"/>
    <x v="0"/>
    <n v="2"/>
    <s v="Perempuan"/>
    <x v="8"/>
    <x v="1"/>
    <n v="9"/>
  </r>
  <r>
    <s v="ORD00104"/>
    <n v="45565.258020833331"/>
    <x v="48"/>
    <s v="Merauke"/>
    <s v="Garam - Brand A"/>
    <x v="5"/>
    <x v="2"/>
    <n v="4000"/>
    <n v="2"/>
    <n v="15"/>
    <n v="8000"/>
    <n v="1200"/>
    <n v="6800"/>
    <n v="0"/>
    <n v="6800"/>
    <x v="3"/>
    <s v="Returned"/>
    <x v="0"/>
    <n v="2"/>
    <s v="Perempuan"/>
    <x v="8"/>
    <x v="1"/>
    <n v="9"/>
  </r>
  <r>
    <s v="ORD01233"/>
    <n v="45565.288680555554"/>
    <x v="234"/>
    <s v="Tanjung Selor"/>
    <s v="Telur Ayam - Brand C"/>
    <x v="4"/>
    <x v="0"/>
    <n v="28000"/>
    <n v="3"/>
    <n v="20"/>
    <n v="84000"/>
    <n v="16800"/>
    <n v="67200"/>
    <n v="26000"/>
    <n v="93200"/>
    <x v="0"/>
    <s v="Completed"/>
    <x v="4"/>
    <n v="1"/>
    <s v="Perempuan"/>
    <x v="8"/>
    <x v="1"/>
    <n v="9"/>
  </r>
  <r>
    <s v="ORD01169"/>
    <n v="45565.642199074071"/>
    <x v="105"/>
    <s v="Jakarta"/>
    <s v="Beras - Brand C"/>
    <x v="0"/>
    <x v="0"/>
    <n v="16000"/>
    <n v="4"/>
    <n v="20"/>
    <n v="64000"/>
    <n v="12800"/>
    <n v="51200"/>
    <n v="97000"/>
    <n v="148200"/>
    <x v="3"/>
    <s v="Completed"/>
    <x v="2"/>
    <n v="2"/>
    <s v="Perempuan"/>
    <x v="8"/>
    <x v="1"/>
    <n v="9"/>
  </r>
  <r>
    <s v="ORD00624"/>
    <n v="45565.775868055563"/>
    <x v="287"/>
    <s v="Manado"/>
    <s v="Telur Ayam - Brand B"/>
    <x v="4"/>
    <x v="1"/>
    <n v="25000"/>
    <n v="2"/>
    <n v="5"/>
    <n v="50000"/>
    <n v="2500"/>
    <n v="47500"/>
    <n v="93000"/>
    <n v="140500"/>
    <x v="3"/>
    <s v="Completed"/>
    <x v="0"/>
    <n v="3"/>
    <s v="Perempuan"/>
    <x v="8"/>
    <x v="1"/>
    <n v="9"/>
  </r>
  <r>
    <s v="ORD00062"/>
    <n v="45565.845833333333"/>
    <x v="384"/>
    <s v="Serang"/>
    <s v="Daging Ayam - Brand B"/>
    <x v="1"/>
    <x v="1"/>
    <n v="40000"/>
    <n v="4"/>
    <n v="10"/>
    <n v="160000"/>
    <n v="16000"/>
    <n v="144000"/>
    <n v="57000"/>
    <n v="201000"/>
    <x v="1"/>
    <s v="Completed"/>
    <x v="4"/>
    <n v="1"/>
    <s v="Laki-laki"/>
    <x v="8"/>
    <x v="1"/>
    <n v="9"/>
  </r>
  <r>
    <s v="ORD00928"/>
    <n v="45565.901932870373"/>
    <x v="180"/>
    <s v="Pangkalpinang"/>
    <s v="Telur Ayam - Brand B"/>
    <x v="4"/>
    <x v="1"/>
    <n v="25000"/>
    <n v="5"/>
    <n v="5"/>
    <n v="125000"/>
    <n v="6250"/>
    <n v="118750"/>
    <n v="18000"/>
    <n v="136750"/>
    <x v="0"/>
    <s v="Completed"/>
    <x v="2"/>
    <n v="3"/>
    <s v="Perempuan"/>
    <x v="8"/>
    <x v="1"/>
    <n v="9"/>
  </r>
  <r>
    <s v="ORD01420"/>
    <n v="45565.920231481483"/>
    <x v="325"/>
    <s v="Tanjungpinang"/>
    <s v="Bawang Merah - Brand C"/>
    <x v="3"/>
    <x v="0"/>
    <n v="40000"/>
    <n v="5"/>
    <n v="5"/>
    <n v="200000"/>
    <n v="10000"/>
    <n v="190000"/>
    <n v="48000"/>
    <n v="238000"/>
    <x v="1"/>
    <s v="Completed"/>
    <x v="4"/>
    <n v="4"/>
    <s v="Perempuan"/>
    <x v="8"/>
    <x v="1"/>
    <n v="9"/>
  </r>
  <r>
    <s v="ORD01634"/>
    <n v="45901.082326388889"/>
    <x v="78"/>
    <s v="Mataram"/>
    <s v="Daging Ayam - Brand B"/>
    <x v="1"/>
    <x v="1"/>
    <n v="40000"/>
    <n v="2"/>
    <n v="15"/>
    <n v="80000"/>
    <n v="12000"/>
    <n v="68000"/>
    <n v="56000"/>
    <n v="124000"/>
    <x v="0"/>
    <s v="Pending"/>
    <x v="1"/>
    <n v="5"/>
    <s v="Perempuan"/>
    <x v="8"/>
    <x v="0"/>
    <n v="9"/>
  </r>
  <r>
    <s v="ORD01555"/>
    <n v="45901.183159722219"/>
    <x v="385"/>
    <s v="Bandung"/>
    <s v="Gula Pasir - Brand A"/>
    <x v="6"/>
    <x v="2"/>
    <n v="16000"/>
    <n v="3"/>
    <n v="0"/>
    <n v="48000"/>
    <n v="0"/>
    <n v="48000"/>
    <n v="0"/>
    <n v="48000"/>
    <x v="3"/>
    <s v="Shipped"/>
    <x v="3"/>
    <n v="3"/>
    <s v="Laki-laki"/>
    <x v="8"/>
    <x v="0"/>
    <n v="9"/>
  </r>
  <r>
    <s v="ORD01434"/>
    <n v="45901.198425925933"/>
    <x v="253"/>
    <s v="Tanjung Selor"/>
    <s v="Telur Ayam - Brand B"/>
    <x v="4"/>
    <x v="1"/>
    <n v="25000"/>
    <n v="2"/>
    <n v="10"/>
    <n v="50000"/>
    <n v="5000"/>
    <n v="45000"/>
    <n v="26000"/>
    <n v="71000"/>
    <x v="2"/>
    <s v="Returned"/>
    <x v="4"/>
    <n v="4"/>
    <s v="Perempuan"/>
    <x v="8"/>
    <x v="0"/>
    <n v="9"/>
  </r>
  <r>
    <s v="ORD00467"/>
    <n v="45901.202060185176"/>
    <x v="206"/>
    <s v="Padang"/>
    <s v="Beras - Brand B"/>
    <x v="0"/>
    <x v="1"/>
    <n v="15000"/>
    <n v="3"/>
    <n v="15"/>
    <n v="45000"/>
    <n v="6750"/>
    <n v="38250"/>
    <n v="68000"/>
    <n v="106250"/>
    <x v="3"/>
    <s v="Completed"/>
    <x v="2"/>
    <n v="2"/>
    <s v="Perempuan"/>
    <x v="8"/>
    <x v="0"/>
    <n v="9"/>
  </r>
  <r>
    <s v="ORD00846"/>
    <n v="45901.210173611107"/>
    <x v="232"/>
    <s v="Banjarbaru"/>
    <s v="Susu Bubuk - Brand B"/>
    <x v="7"/>
    <x v="1"/>
    <n v="50000"/>
    <n v="1"/>
    <n v="20"/>
    <n v="50000"/>
    <n v="10000"/>
    <n v="40000"/>
    <n v="55000"/>
    <n v="95000"/>
    <x v="0"/>
    <s v="Pending"/>
    <x v="3"/>
    <n v="1"/>
    <s v="Laki-laki"/>
    <x v="8"/>
    <x v="0"/>
    <n v="9"/>
  </r>
  <r>
    <s v="ORD00322"/>
    <n v="45901.214085648149"/>
    <x v="150"/>
    <s v="Bengkulu"/>
    <s v="Gula Pasir - Brand A"/>
    <x v="6"/>
    <x v="2"/>
    <n v="16000"/>
    <n v="1"/>
    <n v="15"/>
    <n v="16000"/>
    <n v="2400"/>
    <n v="13600"/>
    <n v="72000"/>
    <n v="85600"/>
    <x v="0"/>
    <s v="Cancelled"/>
    <x v="1"/>
    <n v="4"/>
    <s v="Perempuan"/>
    <x v="8"/>
    <x v="0"/>
    <n v="9"/>
  </r>
  <r>
    <s v="ORD00140"/>
    <n v="45901.378113425933"/>
    <x v="366"/>
    <s v="Merauke"/>
    <s v="Gula Pasir - Brand B"/>
    <x v="6"/>
    <x v="1"/>
    <n v="17000"/>
    <n v="4"/>
    <n v="15"/>
    <n v="68000"/>
    <n v="10200"/>
    <n v="57800"/>
    <n v="59000"/>
    <n v="116800"/>
    <x v="3"/>
    <s v="Pending"/>
    <x v="3"/>
    <n v="3"/>
    <s v="Perempuan"/>
    <x v="8"/>
    <x v="0"/>
    <n v="9"/>
  </r>
  <r>
    <s v="ORD01444"/>
    <n v="45901.889374999999"/>
    <x v="11"/>
    <s v="Palu"/>
    <s v="Tepung Terigu - Brand A"/>
    <x v="2"/>
    <x v="2"/>
    <n v="10000"/>
    <n v="1"/>
    <n v="15"/>
    <n v="10000"/>
    <n v="1500"/>
    <n v="8500"/>
    <n v="67000"/>
    <n v="75500"/>
    <x v="3"/>
    <s v="Cancelled"/>
    <x v="3"/>
    <n v="3"/>
    <s v="Perempuan"/>
    <x v="8"/>
    <x v="0"/>
    <n v="9"/>
  </r>
  <r>
    <s v="ORD01468"/>
    <n v="45901.962511574071"/>
    <x v="182"/>
    <s v="Pangkalpinang"/>
    <s v="Telur Ayam - Brand A"/>
    <x v="4"/>
    <x v="2"/>
    <n v="22000"/>
    <n v="2"/>
    <n v="20"/>
    <n v="44000"/>
    <n v="8800"/>
    <n v="35200"/>
    <n v="18000"/>
    <n v="53200"/>
    <x v="0"/>
    <s v="Pending"/>
    <x v="4"/>
    <n v="5"/>
    <s v="Perempuan"/>
    <x v="8"/>
    <x v="0"/>
    <n v="9"/>
  </r>
  <r>
    <s v="ORD00739"/>
    <n v="45902.057638888888"/>
    <x v="309"/>
    <s v="Manokwari"/>
    <s v="Garam - Brand C"/>
    <x v="5"/>
    <x v="0"/>
    <n v="6000"/>
    <n v="4"/>
    <n v="20"/>
    <n v="24000"/>
    <n v="4800"/>
    <n v="19200"/>
    <n v="18000"/>
    <n v="37200"/>
    <x v="3"/>
    <s v="Completed"/>
    <x v="3"/>
    <n v="4"/>
    <s v="Perempuan"/>
    <x v="8"/>
    <x v="0"/>
    <n v="9"/>
  </r>
  <r>
    <s v="ORD00783"/>
    <n v="45902.448449074072"/>
    <x v="287"/>
    <s v="Manado"/>
    <s v="Daging Ayam - Brand B"/>
    <x v="1"/>
    <x v="1"/>
    <n v="40000"/>
    <n v="3"/>
    <n v="0"/>
    <n v="120000"/>
    <n v="0"/>
    <n v="120000"/>
    <n v="93000"/>
    <n v="213000"/>
    <x v="2"/>
    <s v="Shipped"/>
    <x v="2"/>
    <n v="4"/>
    <s v="Perempuan"/>
    <x v="8"/>
    <x v="0"/>
    <n v="9"/>
  </r>
  <r>
    <s v="ORD00150"/>
    <n v="45902.546354166669"/>
    <x v="230"/>
    <s v="Manokwari"/>
    <s v="Daging Ayam - Brand B"/>
    <x v="1"/>
    <x v="1"/>
    <n v="40000"/>
    <n v="1"/>
    <n v="5"/>
    <n v="40000"/>
    <n v="2000"/>
    <n v="38000"/>
    <n v="18000"/>
    <n v="56000"/>
    <x v="2"/>
    <s v="Completed"/>
    <x v="1"/>
    <n v="1"/>
    <s v="Perempuan"/>
    <x v="8"/>
    <x v="0"/>
    <n v="9"/>
  </r>
  <r>
    <s v="ORD00178"/>
    <n v="45902.616435185177"/>
    <x v="69"/>
    <s v="Bandung"/>
    <s v="Telur Ayam - Brand A"/>
    <x v="4"/>
    <x v="2"/>
    <n v="22000"/>
    <n v="3"/>
    <n v="0"/>
    <n v="66000"/>
    <n v="0"/>
    <n v="66000"/>
    <n v="0"/>
    <n v="66000"/>
    <x v="3"/>
    <s v="Pending"/>
    <x v="4"/>
    <n v="1"/>
    <s v="Perempuan"/>
    <x v="8"/>
    <x v="0"/>
    <n v="9"/>
  </r>
  <r>
    <s v="ORD00791"/>
    <n v="45902.798379629632"/>
    <x v="33"/>
    <s v="Jambi"/>
    <s v="Bawang Merah - Brand A"/>
    <x v="3"/>
    <x v="2"/>
    <n v="30000"/>
    <n v="1"/>
    <n v="20"/>
    <n v="30000"/>
    <n v="6000"/>
    <n v="24000"/>
    <n v="87000"/>
    <n v="111000"/>
    <x v="3"/>
    <s v="Completed"/>
    <x v="1"/>
    <n v="3"/>
    <s v="Perempuan"/>
    <x v="8"/>
    <x v="0"/>
    <n v="9"/>
  </r>
  <r>
    <s v="ORD01842"/>
    <n v="45902.852962962963"/>
    <x v="18"/>
    <s v="Medan"/>
    <s v="Daging Ayam - Brand A"/>
    <x v="1"/>
    <x v="2"/>
    <n v="35000"/>
    <n v="4"/>
    <n v="20"/>
    <n v="140000"/>
    <n v="28000"/>
    <n v="112000"/>
    <n v="79000"/>
    <n v="191000"/>
    <x v="1"/>
    <s v="Pending"/>
    <x v="1"/>
    <n v="5"/>
    <s v="Perempuan"/>
    <x v="8"/>
    <x v="0"/>
    <n v="9"/>
  </r>
  <r>
    <s v="ORD00981"/>
    <n v="45902.913171296299"/>
    <x v="381"/>
    <s v="Mataram"/>
    <s v="Susu Bubuk - Brand C"/>
    <x v="7"/>
    <x v="0"/>
    <n v="55000"/>
    <n v="2"/>
    <n v="0"/>
    <n v="110000"/>
    <n v="0"/>
    <n v="110000"/>
    <n v="56000"/>
    <n v="166000"/>
    <x v="1"/>
    <s v="Completed"/>
    <x v="3"/>
    <n v="4"/>
    <s v="Laki-laki"/>
    <x v="8"/>
    <x v="0"/>
    <n v="9"/>
  </r>
  <r>
    <s v="ORD01089"/>
    <n v="45902.965671296297"/>
    <x v="187"/>
    <s v="Jayapura"/>
    <s v="Daging Ayam - Brand C"/>
    <x v="1"/>
    <x v="0"/>
    <n v="45000"/>
    <n v="1"/>
    <n v="5"/>
    <n v="45000"/>
    <n v="2250"/>
    <n v="42750"/>
    <n v="30000"/>
    <n v="72750"/>
    <x v="3"/>
    <s v="Completed"/>
    <x v="0"/>
    <n v="4"/>
    <s v="Perempuan"/>
    <x v="8"/>
    <x v="0"/>
    <n v="9"/>
  </r>
  <r>
    <s v="ORD00867"/>
    <n v="45902.976076388892"/>
    <x v="386"/>
    <s v="Jakarta"/>
    <s v="Daging Ayam - Brand C"/>
    <x v="1"/>
    <x v="0"/>
    <n v="45000"/>
    <n v="5"/>
    <n v="20"/>
    <n v="225000"/>
    <n v="45000"/>
    <n v="180000"/>
    <n v="97000"/>
    <n v="277000"/>
    <x v="3"/>
    <s v="Cancelled"/>
    <x v="4"/>
    <n v="1"/>
    <s v="Perempuan"/>
    <x v="8"/>
    <x v="0"/>
    <n v="9"/>
  </r>
  <r>
    <s v="ORD00906"/>
    <n v="45903.04824074074"/>
    <x v="73"/>
    <s v="Pekanbaru"/>
    <s v="Gula Pasir - Brand C"/>
    <x v="6"/>
    <x v="0"/>
    <n v="18000"/>
    <n v="2"/>
    <n v="10"/>
    <n v="36000"/>
    <n v="3600"/>
    <n v="32400"/>
    <n v="49000"/>
    <n v="81400"/>
    <x v="2"/>
    <s v="Completed"/>
    <x v="1"/>
    <n v="1"/>
    <s v="Perempuan"/>
    <x v="8"/>
    <x v="0"/>
    <n v="9"/>
  </r>
  <r>
    <s v="ORD00478"/>
    <n v="45903.053576388891"/>
    <x v="338"/>
    <s v="Makassar"/>
    <s v="Daging Ayam - Brand A"/>
    <x v="1"/>
    <x v="2"/>
    <n v="35000"/>
    <n v="1"/>
    <n v="10"/>
    <n v="35000"/>
    <n v="3500"/>
    <n v="31500"/>
    <n v="84000"/>
    <n v="115500"/>
    <x v="3"/>
    <s v="Pending"/>
    <x v="1"/>
    <n v="2"/>
    <s v="Perempuan"/>
    <x v="8"/>
    <x v="0"/>
    <n v="9"/>
  </r>
  <r>
    <s v="ORD01048"/>
    <n v="45903.475706018522"/>
    <x v="20"/>
    <s v="Surabaya"/>
    <s v="Tepung Terigu - Brand A"/>
    <x v="2"/>
    <x v="2"/>
    <n v="10000"/>
    <n v="2"/>
    <n v="5"/>
    <n v="20000"/>
    <n v="1000"/>
    <n v="19000"/>
    <n v="74000"/>
    <n v="93000"/>
    <x v="1"/>
    <s v="Completed"/>
    <x v="1"/>
    <n v="2"/>
    <s v="Perempuan"/>
    <x v="8"/>
    <x v="0"/>
    <n v="9"/>
  </r>
  <r>
    <s v="ORD01391"/>
    <n v="45903.693055555559"/>
    <x v="289"/>
    <s v="Yogyakarta"/>
    <s v="Daging Ayam - Brand C"/>
    <x v="1"/>
    <x v="0"/>
    <n v="45000"/>
    <n v="1"/>
    <n v="10"/>
    <n v="45000"/>
    <n v="4500"/>
    <n v="40500"/>
    <n v="78000"/>
    <n v="118500"/>
    <x v="2"/>
    <s v="Shipped"/>
    <x v="0"/>
    <n v="2"/>
    <s v="Perempuan"/>
    <x v="8"/>
    <x v="0"/>
    <n v="9"/>
  </r>
  <r>
    <s v="ORD00814"/>
    <n v="45903.831736111111"/>
    <x v="116"/>
    <s v="Jayapura"/>
    <s v="Garam - Brand B"/>
    <x v="5"/>
    <x v="1"/>
    <n v="5000"/>
    <n v="5"/>
    <n v="20"/>
    <n v="25000"/>
    <n v="5000"/>
    <n v="20000"/>
    <n v="30000"/>
    <n v="50000"/>
    <x v="2"/>
    <s v="Completed"/>
    <x v="3"/>
    <n v="3"/>
    <s v="Perempuan"/>
    <x v="8"/>
    <x v="0"/>
    <n v="9"/>
  </r>
  <r>
    <s v="ORD00937"/>
    <n v="45903.947222222218"/>
    <x v="96"/>
    <s v="Denpasar"/>
    <s v="Beras - Brand C"/>
    <x v="0"/>
    <x v="0"/>
    <n v="16000"/>
    <n v="1"/>
    <n v="10"/>
    <n v="16000"/>
    <n v="1600"/>
    <n v="14400"/>
    <n v="80000"/>
    <n v="94400"/>
    <x v="0"/>
    <s v="Shipped"/>
    <x v="3"/>
    <n v="2"/>
    <s v="Perempuan"/>
    <x v="8"/>
    <x v="0"/>
    <n v="9"/>
  </r>
  <r>
    <s v="ORD01743"/>
    <n v="45904.083923611113"/>
    <x v="102"/>
    <s v="Surabaya"/>
    <s v="Susu Bubuk - Brand A"/>
    <x v="7"/>
    <x v="2"/>
    <n v="45000"/>
    <n v="2"/>
    <n v="5"/>
    <n v="90000"/>
    <n v="4500"/>
    <n v="85500"/>
    <n v="74000"/>
    <n v="159500"/>
    <x v="2"/>
    <s v="Pending"/>
    <x v="3"/>
    <n v="3"/>
    <s v="Perempuan"/>
    <x v="8"/>
    <x v="0"/>
    <n v="9"/>
  </r>
  <r>
    <s v="ORD00236"/>
    <n v="45904.106585648151"/>
    <x v="12"/>
    <s v="Sofifi"/>
    <s v="Garam - Brand C"/>
    <x v="5"/>
    <x v="0"/>
    <n v="6000"/>
    <n v="1"/>
    <n v="5"/>
    <n v="6000"/>
    <n v="300"/>
    <n v="5700"/>
    <n v="50000"/>
    <n v="55700"/>
    <x v="1"/>
    <s v="Completed"/>
    <x v="0"/>
    <n v="1"/>
    <s v="Perempuan"/>
    <x v="8"/>
    <x v="0"/>
    <n v="9"/>
  </r>
  <r>
    <s v="ORD01298"/>
    <n v="45904.359710648147"/>
    <x v="356"/>
    <s v="Pontianak"/>
    <s v="Daging Ayam - Brand A"/>
    <x v="1"/>
    <x v="2"/>
    <n v="35000"/>
    <n v="4"/>
    <n v="5"/>
    <n v="140000"/>
    <n v="7000"/>
    <n v="133000"/>
    <n v="85000"/>
    <n v="218000"/>
    <x v="2"/>
    <s v="Completed"/>
    <x v="0"/>
    <n v="1"/>
    <s v="Perempuan"/>
    <x v="8"/>
    <x v="0"/>
    <n v="9"/>
  </r>
  <r>
    <s v="ORD00869"/>
    <n v="45904.632847222223"/>
    <x v="37"/>
    <s v="Jakarta"/>
    <s v="Telur Ayam - Brand B"/>
    <x v="4"/>
    <x v="1"/>
    <n v="25000"/>
    <n v="1"/>
    <n v="0"/>
    <n v="25000"/>
    <n v="0"/>
    <n v="25000"/>
    <n v="97000"/>
    <n v="122000"/>
    <x v="1"/>
    <s v="Completed"/>
    <x v="0"/>
    <n v="1"/>
    <s v="Perempuan"/>
    <x v="8"/>
    <x v="0"/>
    <n v="9"/>
  </r>
  <r>
    <s v="ORD01097"/>
    <n v="45905.050254629627"/>
    <x v="309"/>
    <s v="Manokwari"/>
    <s v="Beras - Brand B"/>
    <x v="0"/>
    <x v="1"/>
    <n v="15000"/>
    <n v="2"/>
    <n v="15"/>
    <n v="30000"/>
    <n v="4500"/>
    <n v="25500"/>
    <n v="18000"/>
    <n v="43500"/>
    <x v="1"/>
    <s v="Shipped"/>
    <x v="2"/>
    <n v="2"/>
    <s v="Perempuan"/>
    <x v="8"/>
    <x v="0"/>
    <n v="9"/>
  </r>
  <r>
    <s v="ORD00760"/>
    <n v="45905.062800925924"/>
    <x v="81"/>
    <s v="Nabire"/>
    <s v="Tepung Terigu - Brand C"/>
    <x v="2"/>
    <x v="0"/>
    <n v="14000"/>
    <n v="1"/>
    <n v="15"/>
    <n v="14000"/>
    <n v="2100"/>
    <n v="11900"/>
    <n v="89000"/>
    <n v="100900"/>
    <x v="1"/>
    <s v="Completed"/>
    <x v="4"/>
    <n v="4"/>
    <s v="Perempuan"/>
    <x v="8"/>
    <x v="0"/>
    <n v="9"/>
  </r>
  <r>
    <s v="ORD01299"/>
    <n v="45905.075659722221"/>
    <x v="125"/>
    <s v="Palembang"/>
    <s v="Minyak Goreng - Brand C"/>
    <x v="8"/>
    <x v="0"/>
    <n v="18000"/>
    <n v="4"/>
    <n v="15"/>
    <n v="72000"/>
    <n v="10800"/>
    <n v="61200"/>
    <n v="17000"/>
    <n v="78200"/>
    <x v="0"/>
    <s v="Completed"/>
    <x v="1"/>
    <n v="2"/>
    <s v="Perempuan"/>
    <x v="8"/>
    <x v="0"/>
    <n v="9"/>
  </r>
  <r>
    <s v="ORD00142"/>
    <n v="45905.135451388887"/>
    <x v="179"/>
    <s v="Samarinda"/>
    <s v="Garam - Brand B"/>
    <x v="5"/>
    <x v="1"/>
    <n v="5000"/>
    <n v="3"/>
    <n v="10"/>
    <n v="15000"/>
    <n v="1500"/>
    <n v="13500"/>
    <n v="43000"/>
    <n v="56500"/>
    <x v="2"/>
    <s v="Completed"/>
    <x v="0"/>
    <n v="1"/>
    <s v="Perempuan"/>
    <x v="8"/>
    <x v="0"/>
    <n v="9"/>
  </r>
  <r>
    <s v="ORD00332"/>
    <n v="45905.21371527778"/>
    <x v="311"/>
    <s v="Jayapura"/>
    <s v="Daging Ayam - Brand A"/>
    <x v="1"/>
    <x v="2"/>
    <n v="35000"/>
    <n v="1"/>
    <n v="10"/>
    <n v="35000"/>
    <n v="3500"/>
    <n v="31500"/>
    <n v="30000"/>
    <n v="61500"/>
    <x v="3"/>
    <s v="Completed"/>
    <x v="3"/>
    <n v="4"/>
    <s v="Perempuan"/>
    <x v="8"/>
    <x v="0"/>
    <n v="9"/>
  </r>
  <r>
    <s v="ORD01249"/>
    <n v="45905.256689814807"/>
    <x v="18"/>
    <s v="Medan"/>
    <s v="Telur Ayam - Brand A"/>
    <x v="4"/>
    <x v="2"/>
    <n v="22000"/>
    <n v="4"/>
    <n v="15"/>
    <n v="88000"/>
    <n v="13200"/>
    <n v="74800"/>
    <n v="79000"/>
    <n v="153800"/>
    <x v="1"/>
    <s v="Shipped"/>
    <x v="2"/>
    <n v="4"/>
    <s v="Perempuan"/>
    <x v="8"/>
    <x v="0"/>
    <n v="9"/>
  </r>
  <r>
    <s v="ORD01472"/>
    <n v="45905.417534722219"/>
    <x v="178"/>
    <s v="Kupang"/>
    <s v="Susu Bubuk - Brand A"/>
    <x v="7"/>
    <x v="2"/>
    <n v="45000"/>
    <n v="3"/>
    <n v="15"/>
    <n v="135000"/>
    <n v="20250"/>
    <n v="114750"/>
    <n v="21000"/>
    <n v="135750"/>
    <x v="1"/>
    <s v="Shipped"/>
    <x v="3"/>
    <n v="4"/>
    <s v="Perempuan"/>
    <x v="8"/>
    <x v="0"/>
    <n v="9"/>
  </r>
  <r>
    <s v="ORD00266"/>
    <n v="45905.498310185183"/>
    <x v="106"/>
    <s v="Tanjungpinang"/>
    <s v="Telur Ayam - Brand B"/>
    <x v="4"/>
    <x v="1"/>
    <n v="25000"/>
    <n v="2"/>
    <n v="20"/>
    <n v="50000"/>
    <n v="10000"/>
    <n v="40000"/>
    <n v="48000"/>
    <n v="88000"/>
    <x v="1"/>
    <s v="Shipped"/>
    <x v="4"/>
    <n v="3"/>
    <s v="Perempuan"/>
    <x v="8"/>
    <x v="0"/>
    <n v="9"/>
  </r>
  <r>
    <s v="ORD00266"/>
    <n v="45905.498310185183"/>
    <x v="106"/>
    <s v="Tanjungpinang"/>
    <s v="Beras - Brand C"/>
    <x v="0"/>
    <x v="0"/>
    <n v="16000"/>
    <n v="1"/>
    <n v="15"/>
    <n v="16000"/>
    <n v="2400"/>
    <n v="13600"/>
    <n v="0"/>
    <n v="13600"/>
    <x v="1"/>
    <s v="Shipped"/>
    <x v="4"/>
    <n v="3"/>
    <s v="Perempuan"/>
    <x v="8"/>
    <x v="0"/>
    <n v="9"/>
  </r>
  <r>
    <s v="ORD01846"/>
    <n v="45905.600358796299"/>
    <x v="370"/>
    <s v="Banda Aceh"/>
    <s v="Garam - Brand B"/>
    <x v="5"/>
    <x v="1"/>
    <n v="5000"/>
    <n v="5"/>
    <n v="20"/>
    <n v="25000"/>
    <n v="5000"/>
    <n v="20000"/>
    <n v="18000"/>
    <n v="38000"/>
    <x v="2"/>
    <s v="Completed"/>
    <x v="3"/>
    <n v="4"/>
    <s v="Perempuan"/>
    <x v="8"/>
    <x v="0"/>
    <n v="9"/>
  </r>
  <r>
    <s v="ORD00810"/>
    <n v="45905.7890625"/>
    <x v="50"/>
    <s v="Manokwari"/>
    <s v="Minyak Goreng - Brand C"/>
    <x v="8"/>
    <x v="0"/>
    <n v="18000"/>
    <n v="2"/>
    <n v="15"/>
    <n v="36000"/>
    <n v="5400"/>
    <n v="30600"/>
    <n v="18000"/>
    <n v="48600"/>
    <x v="3"/>
    <s v="Completed"/>
    <x v="2"/>
    <n v="1"/>
    <s v="Perempuan"/>
    <x v="8"/>
    <x v="0"/>
    <n v="9"/>
  </r>
  <r>
    <s v="ORD00853"/>
    <n v="45905.909791666672"/>
    <x v="169"/>
    <s v="Manado"/>
    <s v="Tepung Terigu - Brand A"/>
    <x v="2"/>
    <x v="2"/>
    <n v="10000"/>
    <n v="1"/>
    <n v="15"/>
    <n v="10000"/>
    <n v="1500"/>
    <n v="8500"/>
    <n v="93000"/>
    <n v="101500"/>
    <x v="2"/>
    <s v="Shipped"/>
    <x v="2"/>
    <n v="3"/>
    <s v="Perempuan"/>
    <x v="8"/>
    <x v="0"/>
    <n v="9"/>
  </r>
  <r>
    <s v="ORD01688"/>
    <n v="45906.208703703713"/>
    <x v="349"/>
    <s v="Bandar Lampung"/>
    <s v="Gula Pasir - Brand C"/>
    <x v="6"/>
    <x v="0"/>
    <n v="18000"/>
    <n v="4"/>
    <n v="15"/>
    <n v="72000"/>
    <n v="10800"/>
    <n v="61200"/>
    <n v="28000"/>
    <n v="89200"/>
    <x v="0"/>
    <s v="Shipped"/>
    <x v="1"/>
    <n v="3"/>
    <s v="Perempuan"/>
    <x v="8"/>
    <x v="0"/>
    <n v="9"/>
  </r>
  <r>
    <s v="ORD01011"/>
    <n v="45906.4375462963"/>
    <x v="134"/>
    <s v="Mamuju"/>
    <s v="Gula Pasir - Brand C"/>
    <x v="6"/>
    <x v="0"/>
    <n v="18000"/>
    <n v="5"/>
    <n v="0"/>
    <n v="90000"/>
    <n v="0"/>
    <n v="90000"/>
    <n v="46000"/>
    <n v="136000"/>
    <x v="3"/>
    <s v="Pending"/>
    <x v="3"/>
    <n v="1"/>
    <s v="Perempuan"/>
    <x v="8"/>
    <x v="0"/>
    <n v="9"/>
  </r>
  <r>
    <s v="ORD01482"/>
    <n v="45907.025393518517"/>
    <x v="321"/>
    <s v="Yogyakarta"/>
    <s v="Gula Pasir - Brand A"/>
    <x v="6"/>
    <x v="2"/>
    <n v="16000"/>
    <n v="4"/>
    <n v="15"/>
    <n v="64000"/>
    <n v="9600"/>
    <n v="54400"/>
    <n v="78000"/>
    <n v="132400"/>
    <x v="3"/>
    <s v="Completed"/>
    <x v="0"/>
    <n v="3"/>
    <s v="Perempuan"/>
    <x v="8"/>
    <x v="0"/>
    <n v="9"/>
  </r>
  <r>
    <s v="ORD00647"/>
    <n v="45907.163194444453"/>
    <x v="197"/>
    <s v="Jayapura"/>
    <s v="Bawang Merah - Brand C"/>
    <x v="3"/>
    <x v="0"/>
    <n v="40000"/>
    <n v="1"/>
    <n v="5"/>
    <n v="40000"/>
    <n v="2000"/>
    <n v="38000"/>
    <n v="30000"/>
    <n v="68000"/>
    <x v="3"/>
    <s v="Pending"/>
    <x v="4"/>
    <n v="5"/>
    <s v="Perempuan"/>
    <x v="8"/>
    <x v="0"/>
    <n v="9"/>
  </r>
  <r>
    <s v="ORD00243"/>
    <n v="45907.29928240741"/>
    <x v="52"/>
    <s v="Tanjungpinang"/>
    <s v="Daging Ayam - Brand C"/>
    <x v="1"/>
    <x v="0"/>
    <n v="45000"/>
    <n v="3"/>
    <n v="0"/>
    <n v="135000"/>
    <n v="0"/>
    <n v="135000"/>
    <n v="48000"/>
    <n v="183000"/>
    <x v="2"/>
    <s v="Completed"/>
    <x v="4"/>
    <n v="1"/>
    <s v="Perempuan"/>
    <x v="8"/>
    <x v="0"/>
    <n v="9"/>
  </r>
  <r>
    <s v="ORD01346"/>
    <n v="45907.406712962962"/>
    <x v="7"/>
    <s v="Tanjung Selor"/>
    <s v="Gula Pasir - Brand B"/>
    <x v="6"/>
    <x v="1"/>
    <n v="17000"/>
    <n v="3"/>
    <n v="10"/>
    <n v="51000"/>
    <n v="5100"/>
    <n v="45900"/>
    <n v="26000"/>
    <n v="71900"/>
    <x v="1"/>
    <s v="Shipped"/>
    <x v="0"/>
    <n v="4"/>
    <s v="Laki-laki"/>
    <x v="8"/>
    <x v="0"/>
    <n v="9"/>
  </r>
  <r>
    <s v="ORD01588"/>
    <n v="45907.415150462963"/>
    <x v="340"/>
    <s v="Sorong"/>
    <s v="Daging Ayam - Brand C"/>
    <x v="1"/>
    <x v="0"/>
    <n v="45000"/>
    <n v="3"/>
    <n v="20"/>
    <n v="135000"/>
    <n v="27000"/>
    <n v="108000"/>
    <n v="87000"/>
    <n v="195000"/>
    <x v="3"/>
    <s v="Pending"/>
    <x v="2"/>
    <n v="4"/>
    <s v="Laki-laki"/>
    <x v="8"/>
    <x v="0"/>
    <n v="9"/>
  </r>
  <r>
    <s v="ORD00555"/>
    <n v="45907.97729166667"/>
    <x v="80"/>
    <s v="Manado"/>
    <s v="Bawang Merah - Brand B"/>
    <x v="3"/>
    <x v="1"/>
    <n v="35000"/>
    <n v="5"/>
    <n v="15"/>
    <n v="175000"/>
    <n v="26250"/>
    <n v="148750"/>
    <n v="93000"/>
    <n v="241750"/>
    <x v="3"/>
    <s v="Pending"/>
    <x v="2"/>
    <n v="1"/>
    <s v="Laki-laki"/>
    <x v="8"/>
    <x v="0"/>
    <n v="9"/>
  </r>
  <r>
    <s v="ORD01479"/>
    <n v="45908.137361111112"/>
    <x v="312"/>
    <s v="Pontianak"/>
    <s v="Daging Ayam - Brand C"/>
    <x v="1"/>
    <x v="0"/>
    <n v="45000"/>
    <n v="3"/>
    <n v="5"/>
    <n v="135000"/>
    <n v="6750"/>
    <n v="128250"/>
    <n v="85000"/>
    <n v="213250"/>
    <x v="3"/>
    <s v="Completed"/>
    <x v="2"/>
    <n v="1"/>
    <s v="Perempuan"/>
    <x v="8"/>
    <x v="0"/>
    <n v="9"/>
  </r>
  <r>
    <s v="ORD01183"/>
    <n v="45908.174062500002"/>
    <x v="232"/>
    <s v="Banjarbaru"/>
    <s v="Susu Bubuk - Brand C"/>
    <x v="7"/>
    <x v="0"/>
    <n v="55000"/>
    <n v="3"/>
    <n v="5"/>
    <n v="165000"/>
    <n v="8250"/>
    <n v="156750"/>
    <n v="55000"/>
    <n v="211750"/>
    <x v="0"/>
    <s v="Pending"/>
    <x v="3"/>
    <n v="5"/>
    <s v="Laki-laki"/>
    <x v="8"/>
    <x v="0"/>
    <n v="9"/>
  </r>
  <r>
    <s v="ORD00902"/>
    <n v="45908.257928240739"/>
    <x v="78"/>
    <s v="Mataram"/>
    <s v="Beras - Brand C"/>
    <x v="0"/>
    <x v="0"/>
    <n v="16000"/>
    <n v="2"/>
    <n v="10"/>
    <n v="32000"/>
    <n v="3200"/>
    <n v="28800"/>
    <n v="56000"/>
    <n v="84800"/>
    <x v="0"/>
    <s v="Completed"/>
    <x v="2"/>
    <n v="2"/>
    <s v="Perempuan"/>
    <x v="8"/>
    <x v="0"/>
    <n v="9"/>
  </r>
  <r>
    <s v="ORD00154"/>
    <n v="45908.992615740739"/>
    <x v="286"/>
    <s v="Jayapura"/>
    <s v="Gula Pasir - Brand A"/>
    <x v="6"/>
    <x v="2"/>
    <n v="16000"/>
    <n v="1"/>
    <n v="0"/>
    <n v="16000"/>
    <n v="0"/>
    <n v="16000"/>
    <n v="30000"/>
    <n v="46000"/>
    <x v="1"/>
    <s v="Cancelled"/>
    <x v="3"/>
    <n v="4"/>
    <s v="Perempuan"/>
    <x v="8"/>
    <x v="0"/>
    <n v="9"/>
  </r>
  <r>
    <s v="ORD00176"/>
    <n v="45909.124780092592"/>
    <x v="157"/>
    <s v="Pekanbaru"/>
    <s v="Beras - Brand B"/>
    <x v="0"/>
    <x v="1"/>
    <n v="15000"/>
    <n v="2"/>
    <n v="15"/>
    <n v="30000"/>
    <n v="4500"/>
    <n v="25500"/>
    <n v="49000"/>
    <n v="74500"/>
    <x v="3"/>
    <s v="Completed"/>
    <x v="4"/>
    <n v="3"/>
    <s v="Perempuan"/>
    <x v="8"/>
    <x v="0"/>
    <n v="9"/>
  </r>
  <r>
    <s v="ORD00527"/>
    <n v="45909.465266203697"/>
    <x v="19"/>
    <s v="Denpasar"/>
    <s v="Telur Ayam - Brand B"/>
    <x v="4"/>
    <x v="1"/>
    <n v="25000"/>
    <n v="4"/>
    <n v="5"/>
    <n v="100000"/>
    <n v="5000"/>
    <n v="95000"/>
    <n v="80000"/>
    <n v="175000"/>
    <x v="3"/>
    <s v="Completed"/>
    <x v="4"/>
    <n v="5"/>
    <s v="Perempuan"/>
    <x v="8"/>
    <x v="0"/>
    <n v="9"/>
  </r>
  <r>
    <s v="ORD00731"/>
    <n v="45909.471724537027"/>
    <x v="142"/>
    <s v="Manokwari"/>
    <s v="Garam - Brand C"/>
    <x v="5"/>
    <x v="0"/>
    <n v="6000"/>
    <n v="4"/>
    <n v="10"/>
    <n v="24000"/>
    <n v="2400"/>
    <n v="21600"/>
    <n v="18000"/>
    <n v="39600"/>
    <x v="1"/>
    <s v="Completed"/>
    <x v="4"/>
    <n v="1"/>
    <s v="Perempuan"/>
    <x v="8"/>
    <x v="0"/>
    <n v="9"/>
  </r>
  <r>
    <s v="ORD00629"/>
    <n v="45909.625439814823"/>
    <x v="41"/>
    <s v="Sofifi"/>
    <s v="Gula Pasir - Brand A"/>
    <x v="6"/>
    <x v="2"/>
    <n v="16000"/>
    <n v="3"/>
    <n v="20"/>
    <n v="48000"/>
    <n v="9600"/>
    <n v="38400"/>
    <n v="50000"/>
    <n v="88400"/>
    <x v="2"/>
    <s v="Pending"/>
    <x v="0"/>
    <n v="4"/>
    <s v="Perempuan"/>
    <x v="8"/>
    <x v="0"/>
    <n v="9"/>
  </r>
  <r>
    <s v="ORD01049"/>
    <n v="45909.898738425924"/>
    <x v="70"/>
    <s v="Bengkulu"/>
    <s v="Telur Ayam - Brand C"/>
    <x v="4"/>
    <x v="0"/>
    <n v="28000"/>
    <n v="2"/>
    <n v="5"/>
    <n v="56000"/>
    <n v="2800"/>
    <n v="53200"/>
    <n v="72000"/>
    <n v="125200"/>
    <x v="2"/>
    <s v="Completed"/>
    <x v="4"/>
    <n v="1"/>
    <s v="Laki-laki"/>
    <x v="8"/>
    <x v="0"/>
    <n v="9"/>
  </r>
  <r>
    <s v="ORD00389"/>
    <n v="45910.002106481479"/>
    <x v="85"/>
    <s v="Bandung"/>
    <s v="Garam - Brand A"/>
    <x v="5"/>
    <x v="2"/>
    <n v="4000"/>
    <n v="1"/>
    <n v="0"/>
    <n v="4000"/>
    <n v="0"/>
    <n v="4000"/>
    <n v="0"/>
    <n v="4000"/>
    <x v="1"/>
    <s v="Completed"/>
    <x v="1"/>
    <n v="2"/>
    <s v="Perempuan"/>
    <x v="8"/>
    <x v="0"/>
    <n v="9"/>
  </r>
  <r>
    <s v="ORD00389"/>
    <n v="45910.002106481479"/>
    <x v="85"/>
    <s v="Bandung"/>
    <s v="Garam - Brand A"/>
    <x v="5"/>
    <x v="2"/>
    <n v="4000"/>
    <n v="2"/>
    <n v="15"/>
    <n v="8000"/>
    <n v="1200"/>
    <n v="6800"/>
    <n v="0"/>
    <n v="6800"/>
    <x v="1"/>
    <s v="Completed"/>
    <x v="1"/>
    <n v="2"/>
    <s v="Perempuan"/>
    <x v="8"/>
    <x v="0"/>
    <n v="9"/>
  </r>
  <r>
    <s v="ORD00708"/>
    <n v="45910.324317129627"/>
    <x v="114"/>
    <s v="Palembang"/>
    <s v="Telur Ayam - Brand C"/>
    <x v="4"/>
    <x v="0"/>
    <n v="28000"/>
    <n v="1"/>
    <n v="10"/>
    <n v="28000"/>
    <n v="2800"/>
    <n v="25200"/>
    <n v="17000"/>
    <n v="42200"/>
    <x v="0"/>
    <s v="Cancelled"/>
    <x v="3"/>
    <n v="3"/>
    <s v="Perempuan"/>
    <x v="8"/>
    <x v="0"/>
    <n v="9"/>
  </r>
  <r>
    <s v="ORD01002"/>
    <n v="45910.486921296288"/>
    <x v="312"/>
    <s v="Pontianak"/>
    <s v="Telur Ayam - Brand C"/>
    <x v="4"/>
    <x v="0"/>
    <n v="28000"/>
    <n v="5"/>
    <n v="15"/>
    <n v="140000"/>
    <n v="21000"/>
    <n v="119000"/>
    <n v="85000"/>
    <n v="204000"/>
    <x v="2"/>
    <s v="Pending"/>
    <x v="0"/>
    <n v="4"/>
    <s v="Perempuan"/>
    <x v="8"/>
    <x v="0"/>
    <n v="9"/>
  </r>
  <r>
    <s v="ORD00610"/>
    <n v="45911.310497685183"/>
    <x v="151"/>
    <s v="Banjarbaru"/>
    <s v="Garam - Brand A"/>
    <x v="5"/>
    <x v="2"/>
    <n v="4000"/>
    <n v="2"/>
    <n v="5"/>
    <n v="8000"/>
    <n v="400"/>
    <n v="7600"/>
    <n v="55000"/>
    <n v="62600"/>
    <x v="1"/>
    <s v="Completed"/>
    <x v="0"/>
    <n v="2"/>
    <s v="Perempuan"/>
    <x v="8"/>
    <x v="0"/>
    <n v="9"/>
  </r>
  <r>
    <s v="ORD00466"/>
    <n v="45912.145752314813"/>
    <x v="128"/>
    <s v="Samarinda"/>
    <s v="Gula Pasir - Brand C"/>
    <x v="6"/>
    <x v="0"/>
    <n v="18000"/>
    <n v="3"/>
    <n v="20"/>
    <n v="54000"/>
    <n v="10800"/>
    <n v="43200"/>
    <n v="43000"/>
    <n v="86200"/>
    <x v="2"/>
    <s v="Completed"/>
    <x v="4"/>
    <n v="5"/>
    <s v="Perempuan"/>
    <x v="8"/>
    <x v="0"/>
    <n v="9"/>
  </r>
  <r>
    <s v="ORD00466"/>
    <n v="45912.145752314813"/>
    <x v="128"/>
    <s v="Samarinda"/>
    <s v="Bawang Merah - Brand A"/>
    <x v="3"/>
    <x v="2"/>
    <n v="30000"/>
    <n v="1"/>
    <n v="0"/>
    <n v="30000"/>
    <n v="0"/>
    <n v="30000"/>
    <n v="0"/>
    <n v="30000"/>
    <x v="2"/>
    <s v="Completed"/>
    <x v="4"/>
    <n v="5"/>
    <s v="Perempuan"/>
    <x v="8"/>
    <x v="0"/>
    <n v="9"/>
  </r>
  <r>
    <s v="ORD00659"/>
    <n v="45912.35261574074"/>
    <x v="22"/>
    <s v="Palangka Raya"/>
    <s v="Daging Ayam - Brand C"/>
    <x v="1"/>
    <x v="0"/>
    <n v="45000"/>
    <n v="2"/>
    <n v="20"/>
    <n v="90000"/>
    <n v="18000"/>
    <n v="72000"/>
    <n v="50000"/>
    <n v="122000"/>
    <x v="2"/>
    <s v="Completed"/>
    <x v="4"/>
    <n v="5"/>
    <s v="Perempuan"/>
    <x v="8"/>
    <x v="0"/>
    <n v="9"/>
  </r>
  <r>
    <s v="ORD00168"/>
    <n v="45912.45"/>
    <x v="41"/>
    <s v="Sofifi"/>
    <s v="Gula Pasir - Brand C"/>
    <x v="6"/>
    <x v="0"/>
    <n v="18000"/>
    <n v="1"/>
    <n v="10"/>
    <n v="18000"/>
    <n v="1800"/>
    <n v="16200"/>
    <n v="50000"/>
    <n v="66200"/>
    <x v="0"/>
    <s v="Shipped"/>
    <x v="2"/>
    <n v="2"/>
    <s v="Perempuan"/>
    <x v="8"/>
    <x v="0"/>
    <n v="9"/>
  </r>
  <r>
    <s v="ORD01701"/>
    <n v="45912.501030092593"/>
    <x v="97"/>
    <s v="Palembang"/>
    <s v="Susu Bubuk - Brand C"/>
    <x v="7"/>
    <x v="0"/>
    <n v="55000"/>
    <n v="4"/>
    <n v="20"/>
    <n v="220000"/>
    <n v="44000"/>
    <n v="176000"/>
    <n v="17000"/>
    <n v="193000"/>
    <x v="2"/>
    <s v="Completed"/>
    <x v="2"/>
    <n v="4"/>
    <s v="Perempuan"/>
    <x v="8"/>
    <x v="0"/>
    <n v="9"/>
  </r>
  <r>
    <s v="ORD01587"/>
    <n v="45912.618125000001"/>
    <x v="92"/>
    <s v="Yogyakarta"/>
    <s v="Gula Pasir - Brand C"/>
    <x v="6"/>
    <x v="0"/>
    <n v="18000"/>
    <n v="1"/>
    <n v="0"/>
    <n v="18000"/>
    <n v="0"/>
    <n v="18000"/>
    <n v="78000"/>
    <n v="96000"/>
    <x v="3"/>
    <s v="Completed"/>
    <x v="0"/>
    <n v="2"/>
    <s v="Perempuan"/>
    <x v="8"/>
    <x v="0"/>
    <n v="9"/>
  </r>
  <r>
    <s v="ORD00027"/>
    <n v="45913.005798611113"/>
    <x v="262"/>
    <s v="Makassar"/>
    <s v="Gula Pasir - Brand B"/>
    <x v="6"/>
    <x v="1"/>
    <n v="17000"/>
    <n v="5"/>
    <n v="20"/>
    <n v="85000"/>
    <n v="17000"/>
    <n v="68000"/>
    <n v="84000"/>
    <n v="152000"/>
    <x v="1"/>
    <s v="Completed"/>
    <x v="0"/>
    <n v="5"/>
    <s v="Laki-laki"/>
    <x v="8"/>
    <x v="0"/>
    <n v="9"/>
  </r>
  <r>
    <s v="ORD00027"/>
    <n v="45913.005798611113"/>
    <x v="262"/>
    <s v="Makassar"/>
    <s v="Tepung Terigu - Brand B"/>
    <x v="2"/>
    <x v="1"/>
    <n v="12000"/>
    <n v="4"/>
    <n v="0"/>
    <n v="48000"/>
    <n v="0"/>
    <n v="48000"/>
    <n v="0"/>
    <n v="48000"/>
    <x v="1"/>
    <s v="Completed"/>
    <x v="0"/>
    <n v="5"/>
    <s v="Laki-laki"/>
    <x v="8"/>
    <x v="0"/>
    <n v="9"/>
  </r>
  <r>
    <s v="ORD00303"/>
    <n v="45913.014201388891"/>
    <x v="236"/>
    <s v="Mamuju"/>
    <s v="Minyak Goreng - Brand B"/>
    <x v="8"/>
    <x v="1"/>
    <n v="17000"/>
    <n v="3"/>
    <n v="0"/>
    <n v="51000"/>
    <n v="0"/>
    <n v="51000"/>
    <n v="46000"/>
    <n v="97000"/>
    <x v="0"/>
    <s v="Completed"/>
    <x v="3"/>
    <n v="3"/>
    <s v="Perempuan"/>
    <x v="8"/>
    <x v="0"/>
    <n v="9"/>
  </r>
  <r>
    <s v="ORD00303"/>
    <n v="45913.014201388891"/>
    <x v="236"/>
    <s v="Mamuju"/>
    <s v="Tepung Terigu - Brand C"/>
    <x v="2"/>
    <x v="0"/>
    <n v="14000"/>
    <n v="4"/>
    <n v="0"/>
    <n v="56000"/>
    <n v="0"/>
    <n v="56000"/>
    <n v="0"/>
    <n v="56000"/>
    <x v="0"/>
    <s v="Completed"/>
    <x v="3"/>
    <n v="3"/>
    <s v="Perempuan"/>
    <x v="8"/>
    <x v="0"/>
    <n v="9"/>
  </r>
  <r>
    <s v="ORD00192"/>
    <n v="45913.278587962966"/>
    <x v="145"/>
    <s v="Sorong"/>
    <s v="Minyak Goreng - Brand B"/>
    <x v="8"/>
    <x v="1"/>
    <n v="17000"/>
    <n v="5"/>
    <n v="0"/>
    <n v="85000"/>
    <n v="0"/>
    <n v="85000"/>
    <n v="87000"/>
    <n v="172000"/>
    <x v="2"/>
    <s v="Completed"/>
    <x v="2"/>
    <n v="2"/>
    <s v="Perempuan"/>
    <x v="8"/>
    <x v="0"/>
    <n v="9"/>
  </r>
  <r>
    <s v="ORD00299"/>
    <n v="45913.297407407408"/>
    <x v="375"/>
    <s v="Surabaya"/>
    <s v="Garam - Brand B"/>
    <x v="5"/>
    <x v="1"/>
    <n v="5000"/>
    <n v="1"/>
    <n v="10"/>
    <n v="5000"/>
    <n v="500"/>
    <n v="4500"/>
    <n v="74000"/>
    <n v="78500"/>
    <x v="2"/>
    <s v="Completed"/>
    <x v="2"/>
    <n v="5"/>
    <s v="Perempuan"/>
    <x v="8"/>
    <x v="0"/>
    <n v="9"/>
  </r>
  <r>
    <s v="ORD00147"/>
    <n v="45913.318969907406"/>
    <x v="83"/>
    <s v="Mataram"/>
    <s v="Telur Ayam - Brand B"/>
    <x v="4"/>
    <x v="1"/>
    <n v="25000"/>
    <n v="3"/>
    <n v="5"/>
    <n v="75000"/>
    <n v="3750"/>
    <n v="71250"/>
    <n v="56000"/>
    <n v="127250"/>
    <x v="2"/>
    <s v="Pending"/>
    <x v="1"/>
    <n v="5"/>
    <s v="Perempuan"/>
    <x v="8"/>
    <x v="0"/>
    <n v="9"/>
  </r>
  <r>
    <s v="ORD00304"/>
    <n v="45913.671365740738"/>
    <x v="379"/>
    <s v="Makassar"/>
    <s v="Bawang Merah - Brand A"/>
    <x v="3"/>
    <x v="2"/>
    <n v="30000"/>
    <n v="5"/>
    <n v="5"/>
    <n v="150000"/>
    <n v="7500"/>
    <n v="142500"/>
    <n v="84000"/>
    <n v="226500"/>
    <x v="0"/>
    <s v="Completed"/>
    <x v="3"/>
    <n v="1"/>
    <s v="Perempuan"/>
    <x v="8"/>
    <x v="0"/>
    <n v="9"/>
  </r>
  <r>
    <s v="ORD00860"/>
    <n v="45913.934953703712"/>
    <x v="101"/>
    <s v="Jayapura"/>
    <s v="Susu Bubuk - Brand B"/>
    <x v="7"/>
    <x v="1"/>
    <n v="50000"/>
    <n v="3"/>
    <n v="10"/>
    <n v="150000"/>
    <n v="15000"/>
    <n v="135000"/>
    <n v="30000"/>
    <n v="165000"/>
    <x v="1"/>
    <s v="Completed"/>
    <x v="1"/>
    <n v="1"/>
    <s v="Perempuan"/>
    <x v="8"/>
    <x v="0"/>
    <n v="9"/>
  </r>
  <r>
    <s v="ORD00447"/>
    <n v="45914.369270833333"/>
    <x v="158"/>
    <s v="Kupang"/>
    <s v="Daging Ayam - Brand C"/>
    <x v="1"/>
    <x v="0"/>
    <n v="45000"/>
    <n v="1"/>
    <n v="10"/>
    <n v="45000"/>
    <n v="4500"/>
    <n v="40500"/>
    <n v="21000"/>
    <n v="61500"/>
    <x v="2"/>
    <s v="Pending"/>
    <x v="3"/>
    <n v="3"/>
    <s v="Perempuan"/>
    <x v="8"/>
    <x v="0"/>
    <n v="9"/>
  </r>
  <r>
    <s v="ORD00039"/>
    <n v="45915.223090277781"/>
    <x v="320"/>
    <s v="Jambi"/>
    <s v="Tepung Terigu - Brand C"/>
    <x v="2"/>
    <x v="0"/>
    <n v="14000"/>
    <n v="5"/>
    <n v="20"/>
    <n v="70000"/>
    <n v="14000"/>
    <n v="56000"/>
    <n v="87000"/>
    <n v="143000"/>
    <x v="1"/>
    <s v="Shipped"/>
    <x v="0"/>
    <n v="3"/>
    <s v="Laki-laki"/>
    <x v="8"/>
    <x v="0"/>
    <n v="9"/>
  </r>
  <r>
    <s v="ORD00039"/>
    <n v="45915.223090277781"/>
    <x v="320"/>
    <s v="Jambi"/>
    <s v="Daging Ayam - Brand A"/>
    <x v="1"/>
    <x v="2"/>
    <n v="35000"/>
    <n v="3"/>
    <n v="0"/>
    <n v="105000"/>
    <n v="0"/>
    <n v="105000"/>
    <n v="0"/>
    <n v="105000"/>
    <x v="1"/>
    <s v="Shipped"/>
    <x v="0"/>
    <n v="3"/>
    <s v="Laki-laki"/>
    <x v="8"/>
    <x v="0"/>
    <n v="9"/>
  </r>
  <r>
    <s v="ORD01314"/>
    <n v="45915.235671296286"/>
    <x v="36"/>
    <s v="Tanjung Selor"/>
    <s v="Tepung Terigu - Brand B"/>
    <x v="2"/>
    <x v="1"/>
    <n v="12000"/>
    <n v="2"/>
    <n v="0"/>
    <n v="24000"/>
    <n v="0"/>
    <n v="24000"/>
    <n v="26000"/>
    <n v="50000"/>
    <x v="3"/>
    <s v="Cancelled"/>
    <x v="1"/>
    <n v="1"/>
    <s v="Perempuan"/>
    <x v="8"/>
    <x v="0"/>
    <n v="9"/>
  </r>
  <r>
    <s v="ORD01797"/>
    <n v="45915.261840277781"/>
    <x v="153"/>
    <s v="Wamena"/>
    <s v="Susu Bubuk - Brand C"/>
    <x v="7"/>
    <x v="0"/>
    <n v="55000"/>
    <n v="4"/>
    <n v="0"/>
    <n v="220000"/>
    <n v="0"/>
    <n v="220000"/>
    <n v="15000"/>
    <n v="235000"/>
    <x v="3"/>
    <s v="Pending"/>
    <x v="0"/>
    <n v="5"/>
    <s v="Perempuan"/>
    <x v="8"/>
    <x v="0"/>
    <n v="9"/>
  </r>
  <r>
    <s v="ORD00676"/>
    <n v="45915.289189814823"/>
    <x v="187"/>
    <s v="Jayapura"/>
    <s v="Susu Bubuk - Brand B"/>
    <x v="7"/>
    <x v="1"/>
    <n v="50000"/>
    <n v="1"/>
    <n v="10"/>
    <n v="50000"/>
    <n v="5000"/>
    <n v="45000"/>
    <n v="30000"/>
    <n v="75000"/>
    <x v="2"/>
    <s v="Completed"/>
    <x v="1"/>
    <n v="4"/>
    <s v="Perempuan"/>
    <x v="8"/>
    <x v="0"/>
    <n v="9"/>
  </r>
  <r>
    <s v="ORD00593"/>
    <n v="45915.563148148147"/>
    <x v="89"/>
    <s v="Yogyakarta"/>
    <s v="Garam - Brand C"/>
    <x v="5"/>
    <x v="0"/>
    <n v="6000"/>
    <n v="3"/>
    <n v="15"/>
    <n v="18000"/>
    <n v="2700"/>
    <n v="15300"/>
    <n v="78000"/>
    <n v="93300"/>
    <x v="1"/>
    <s v="Completed"/>
    <x v="4"/>
    <n v="2"/>
    <s v="Perempuan"/>
    <x v="8"/>
    <x v="0"/>
    <n v="9"/>
  </r>
  <r>
    <s v="ORD00755"/>
    <n v="45915.817013888889"/>
    <x v="155"/>
    <s v="Bandung"/>
    <s v="Garam - Brand C"/>
    <x v="5"/>
    <x v="0"/>
    <n v="6000"/>
    <n v="3"/>
    <n v="20"/>
    <n v="18000"/>
    <n v="3600"/>
    <n v="14400"/>
    <n v="0"/>
    <n v="14400"/>
    <x v="1"/>
    <s v="Pending"/>
    <x v="4"/>
    <n v="3"/>
    <s v="Perempuan"/>
    <x v="8"/>
    <x v="0"/>
    <n v="9"/>
  </r>
  <r>
    <s v="ORD00687"/>
    <n v="45916.043009259258"/>
    <x v="316"/>
    <s v="Manokwari"/>
    <s v="Beras - Brand A"/>
    <x v="0"/>
    <x v="2"/>
    <n v="14000"/>
    <n v="4"/>
    <n v="15"/>
    <n v="56000"/>
    <n v="8400"/>
    <n v="47600"/>
    <n v="18000"/>
    <n v="65600"/>
    <x v="0"/>
    <s v="Completed"/>
    <x v="0"/>
    <n v="1"/>
    <s v="Laki-laki"/>
    <x v="8"/>
    <x v="0"/>
    <n v="9"/>
  </r>
  <r>
    <s v="ORD01566"/>
    <n v="45916.137037037042"/>
    <x v="95"/>
    <s v="Tanjung Selor"/>
    <s v="Garam - Brand B"/>
    <x v="5"/>
    <x v="1"/>
    <n v="5000"/>
    <n v="1"/>
    <n v="0"/>
    <n v="5000"/>
    <n v="0"/>
    <n v="5000"/>
    <n v="26000"/>
    <n v="31000"/>
    <x v="1"/>
    <s v="Shipped"/>
    <x v="2"/>
    <n v="3"/>
    <s v="Perempuan"/>
    <x v="8"/>
    <x v="0"/>
    <n v="9"/>
  </r>
  <r>
    <s v="ORD00700"/>
    <n v="45916.459421296298"/>
    <x v="220"/>
    <s v="Kendari"/>
    <s v="Gula Pasir - Brand B"/>
    <x v="6"/>
    <x v="1"/>
    <n v="17000"/>
    <n v="1"/>
    <n v="0"/>
    <n v="17000"/>
    <n v="0"/>
    <n v="17000"/>
    <n v="59000"/>
    <n v="76000"/>
    <x v="0"/>
    <s v="Pending"/>
    <x v="2"/>
    <n v="2"/>
    <s v="Perempuan"/>
    <x v="8"/>
    <x v="0"/>
    <n v="9"/>
  </r>
  <r>
    <s v="ORD00553"/>
    <n v="45916.722824074073"/>
    <x v="11"/>
    <s v="Palu"/>
    <s v="Gula Pasir - Brand A"/>
    <x v="6"/>
    <x v="2"/>
    <n v="16000"/>
    <n v="5"/>
    <n v="10"/>
    <n v="80000"/>
    <n v="8000"/>
    <n v="72000"/>
    <n v="67000"/>
    <n v="139000"/>
    <x v="1"/>
    <s v="Shipped"/>
    <x v="3"/>
    <n v="3"/>
    <s v="Perempuan"/>
    <x v="8"/>
    <x v="0"/>
    <n v="9"/>
  </r>
  <r>
    <s v="ORD00885"/>
    <n v="45566.031354166669"/>
    <x v="23"/>
    <s v="Bandung"/>
    <s v="Bawang Merah - Brand B"/>
    <x v="3"/>
    <x v="1"/>
    <n v="35000"/>
    <n v="5"/>
    <n v="0"/>
    <n v="175000"/>
    <n v="0"/>
    <n v="175000"/>
    <n v="0"/>
    <n v="175000"/>
    <x v="0"/>
    <s v="Completed"/>
    <x v="3"/>
    <n v="1"/>
    <s v="Perempuan"/>
    <x v="9"/>
    <x v="1"/>
    <n v="10"/>
  </r>
  <r>
    <s v="ORD00197"/>
    <n v="45566.726631944453"/>
    <x v="297"/>
    <s v="Merauke"/>
    <s v="Garam - Brand B"/>
    <x v="5"/>
    <x v="1"/>
    <n v="5000"/>
    <n v="3"/>
    <n v="10"/>
    <n v="15000"/>
    <n v="1500"/>
    <n v="13500"/>
    <n v="59000"/>
    <n v="72500"/>
    <x v="1"/>
    <s v="Returned"/>
    <x v="2"/>
    <n v="3"/>
    <s v="Perempuan"/>
    <x v="9"/>
    <x v="1"/>
    <n v="10"/>
  </r>
  <r>
    <s v="ORD01781"/>
    <n v="45566.999780092592"/>
    <x v="214"/>
    <s v="Ambon"/>
    <s v="Minyak Goreng - Brand C"/>
    <x v="8"/>
    <x v="0"/>
    <n v="18000"/>
    <n v="5"/>
    <n v="20"/>
    <n v="90000"/>
    <n v="18000"/>
    <n v="72000"/>
    <n v="49000"/>
    <n v="121000"/>
    <x v="1"/>
    <s v="Completed"/>
    <x v="1"/>
    <n v="4"/>
    <s v="Laki-laki"/>
    <x v="9"/>
    <x v="1"/>
    <n v="10"/>
  </r>
  <r>
    <s v="ORD00741"/>
    <n v="45567.289039351846"/>
    <x v="283"/>
    <s v="Samarinda"/>
    <s v="Garam - Brand B"/>
    <x v="5"/>
    <x v="1"/>
    <n v="5000"/>
    <n v="5"/>
    <n v="15"/>
    <n v="25000"/>
    <n v="3750"/>
    <n v="21250"/>
    <n v="43000"/>
    <n v="64250"/>
    <x v="3"/>
    <s v="Completed"/>
    <x v="4"/>
    <n v="2"/>
    <s v="Perempuan"/>
    <x v="9"/>
    <x v="1"/>
    <n v="10"/>
  </r>
  <r>
    <s v="ORD01544"/>
    <n v="45567.723541666674"/>
    <x v="0"/>
    <s v="Sorong"/>
    <s v="Beras - Brand B"/>
    <x v="0"/>
    <x v="1"/>
    <n v="15000"/>
    <n v="2"/>
    <n v="20"/>
    <n v="30000"/>
    <n v="6000"/>
    <n v="24000"/>
    <n v="87000"/>
    <n v="111000"/>
    <x v="3"/>
    <s v="Completed"/>
    <x v="4"/>
    <n v="5"/>
    <s v="Perempuan"/>
    <x v="9"/>
    <x v="1"/>
    <n v="10"/>
  </r>
  <r>
    <s v="ORD00800"/>
    <n v="45567.82440972222"/>
    <x v="331"/>
    <s v="Pekanbaru"/>
    <s v="Telur Ayam - Brand B"/>
    <x v="4"/>
    <x v="1"/>
    <n v="25000"/>
    <n v="5"/>
    <n v="15"/>
    <n v="125000"/>
    <n v="18750"/>
    <n v="106250"/>
    <n v="49000"/>
    <n v="155250"/>
    <x v="0"/>
    <s v="Returned"/>
    <x v="1"/>
    <n v="2"/>
    <s v="Perempuan"/>
    <x v="9"/>
    <x v="1"/>
    <n v="10"/>
  </r>
  <r>
    <s v="ORD00237"/>
    <n v="45568.027962962973"/>
    <x v="62"/>
    <s v="Bandung"/>
    <s v="Gula Pasir - Brand A"/>
    <x v="6"/>
    <x v="2"/>
    <n v="16000"/>
    <n v="4"/>
    <n v="0"/>
    <n v="64000"/>
    <n v="0"/>
    <n v="64000"/>
    <n v="0"/>
    <n v="64000"/>
    <x v="3"/>
    <s v="Completed"/>
    <x v="4"/>
    <n v="4"/>
    <s v="Perempuan"/>
    <x v="9"/>
    <x v="1"/>
    <n v="10"/>
  </r>
  <r>
    <s v="ORD00632"/>
    <n v="45568.078692129631"/>
    <x v="234"/>
    <s v="Tanjung Selor"/>
    <s v="Garam - Brand A"/>
    <x v="5"/>
    <x v="2"/>
    <n v="4000"/>
    <n v="1"/>
    <n v="20"/>
    <n v="4000"/>
    <n v="800"/>
    <n v="3200"/>
    <n v="26000"/>
    <n v="29200"/>
    <x v="0"/>
    <s v="Completed"/>
    <x v="3"/>
    <n v="1"/>
    <s v="Perempuan"/>
    <x v="9"/>
    <x v="1"/>
    <n v="10"/>
  </r>
  <r>
    <s v="ORD01455"/>
    <n v="45568.349606481483"/>
    <x v="270"/>
    <s v="Pekanbaru"/>
    <s v="Tepung Terigu - Brand A"/>
    <x v="2"/>
    <x v="2"/>
    <n v="10000"/>
    <n v="4"/>
    <n v="0"/>
    <n v="40000"/>
    <n v="0"/>
    <n v="40000"/>
    <n v="49000"/>
    <n v="89000"/>
    <x v="1"/>
    <s v="Completed"/>
    <x v="1"/>
    <n v="2"/>
    <s v="Perempuan"/>
    <x v="9"/>
    <x v="1"/>
    <n v="10"/>
  </r>
  <r>
    <s v="ORD00198"/>
    <n v="45568.446655092594"/>
    <x v="9"/>
    <s v="Banjarbaru"/>
    <s v="Garam - Brand C"/>
    <x v="5"/>
    <x v="0"/>
    <n v="6000"/>
    <n v="1"/>
    <n v="5"/>
    <n v="6000"/>
    <n v="300"/>
    <n v="5700"/>
    <n v="55000"/>
    <n v="60700"/>
    <x v="3"/>
    <s v="Completed"/>
    <x v="2"/>
    <n v="4"/>
    <s v="Perempuan"/>
    <x v="9"/>
    <x v="1"/>
    <n v="10"/>
  </r>
  <r>
    <s v="ORD01556"/>
    <n v="45568.770300925928"/>
    <x v="318"/>
    <s v="Jayapura"/>
    <s v="Telur Ayam - Brand B"/>
    <x v="4"/>
    <x v="1"/>
    <n v="25000"/>
    <n v="2"/>
    <n v="0"/>
    <n v="50000"/>
    <n v="0"/>
    <n v="50000"/>
    <n v="30000"/>
    <n v="80000"/>
    <x v="2"/>
    <s v="Completed"/>
    <x v="0"/>
    <n v="5"/>
    <s v="Perempuan"/>
    <x v="9"/>
    <x v="1"/>
    <n v="10"/>
  </r>
  <r>
    <s v="ORD01643"/>
    <n v="45568.892858796287"/>
    <x v="141"/>
    <s v="Wamena"/>
    <s v="Susu Bubuk - Brand A"/>
    <x v="7"/>
    <x v="2"/>
    <n v="45000"/>
    <n v="2"/>
    <n v="15"/>
    <n v="90000"/>
    <n v="13500"/>
    <n v="76500"/>
    <n v="15000"/>
    <n v="91500"/>
    <x v="3"/>
    <s v="Completed"/>
    <x v="2"/>
    <n v="2"/>
    <s v="Laki-laki"/>
    <x v="9"/>
    <x v="1"/>
    <n v="10"/>
  </r>
  <r>
    <s v="ORD00422"/>
    <n v="45568.966736111113"/>
    <x v="182"/>
    <s v="Pangkalpinang"/>
    <s v="Garam - Brand B"/>
    <x v="5"/>
    <x v="1"/>
    <n v="5000"/>
    <n v="5"/>
    <n v="5"/>
    <n v="25000"/>
    <n v="1250"/>
    <n v="23750"/>
    <n v="18000"/>
    <n v="41750"/>
    <x v="0"/>
    <s v="Completed"/>
    <x v="2"/>
    <n v="1"/>
    <s v="Perempuan"/>
    <x v="9"/>
    <x v="1"/>
    <n v="10"/>
  </r>
  <r>
    <s v="ORD00200"/>
    <n v="45569.413773148153"/>
    <x v="354"/>
    <s v="Wamena"/>
    <s v="Telur Ayam - Brand A"/>
    <x v="4"/>
    <x v="2"/>
    <n v="22000"/>
    <n v="4"/>
    <n v="5"/>
    <n v="88000"/>
    <n v="4400"/>
    <n v="83600"/>
    <n v="15000"/>
    <n v="98600"/>
    <x v="2"/>
    <s v="Completed"/>
    <x v="1"/>
    <n v="3"/>
    <s v="Perempuan"/>
    <x v="9"/>
    <x v="1"/>
    <n v="10"/>
  </r>
  <r>
    <s v="ORD00029"/>
    <n v="45569.503067129634"/>
    <x v="387"/>
    <s v="Samarinda"/>
    <s v="Gula Pasir - Brand C"/>
    <x v="6"/>
    <x v="0"/>
    <n v="18000"/>
    <n v="4"/>
    <n v="5"/>
    <n v="72000"/>
    <n v="3600"/>
    <n v="68400"/>
    <n v="43000"/>
    <n v="111400"/>
    <x v="1"/>
    <s v="Returned"/>
    <x v="4"/>
    <n v="3"/>
    <s v="Laki-laki"/>
    <x v="9"/>
    <x v="1"/>
    <n v="10"/>
  </r>
  <r>
    <s v="ORD00612"/>
    <n v="45569.778032407397"/>
    <x v="37"/>
    <s v="Jakarta"/>
    <s v="Bawang Merah - Brand A"/>
    <x v="3"/>
    <x v="2"/>
    <n v="30000"/>
    <n v="5"/>
    <n v="0"/>
    <n v="150000"/>
    <n v="0"/>
    <n v="150000"/>
    <n v="97000"/>
    <n v="247000"/>
    <x v="1"/>
    <s v="Cancelled"/>
    <x v="2"/>
    <n v="3"/>
    <s v="Perempuan"/>
    <x v="9"/>
    <x v="1"/>
    <n v="10"/>
  </r>
  <r>
    <s v="ORD01558"/>
    <n v="45570.166203703702"/>
    <x v="118"/>
    <s v="Serang"/>
    <s v="Tepung Terigu - Brand A"/>
    <x v="2"/>
    <x v="2"/>
    <n v="10000"/>
    <n v="1"/>
    <n v="10"/>
    <n v="10000"/>
    <n v="1000"/>
    <n v="9000"/>
    <n v="57000"/>
    <n v="66000"/>
    <x v="3"/>
    <s v="Completed"/>
    <x v="3"/>
    <n v="4"/>
    <s v="Laki-laki"/>
    <x v="9"/>
    <x v="1"/>
    <n v="10"/>
  </r>
  <r>
    <s v="ORD00874"/>
    <n v="45570.395057870373"/>
    <x v="189"/>
    <s v="Medan"/>
    <s v="Bawang Merah - Brand B"/>
    <x v="3"/>
    <x v="1"/>
    <n v="35000"/>
    <n v="4"/>
    <n v="15"/>
    <n v="140000"/>
    <n v="21000"/>
    <n v="119000"/>
    <n v="79000"/>
    <n v="198000"/>
    <x v="1"/>
    <s v="Returned"/>
    <x v="0"/>
    <n v="1"/>
    <s v="Perempuan"/>
    <x v="9"/>
    <x v="1"/>
    <n v="10"/>
  </r>
  <r>
    <s v="ORD01816"/>
    <n v="45570.514328703714"/>
    <x v="243"/>
    <s v="Palangka Raya"/>
    <s v="Beras - Brand B"/>
    <x v="0"/>
    <x v="1"/>
    <n v="15000"/>
    <n v="1"/>
    <n v="15"/>
    <n v="15000"/>
    <n v="2250"/>
    <n v="12750"/>
    <n v="50000"/>
    <n v="62750"/>
    <x v="2"/>
    <s v="Completed"/>
    <x v="1"/>
    <n v="4"/>
    <s v="Laki-laki"/>
    <x v="9"/>
    <x v="1"/>
    <n v="10"/>
  </r>
  <r>
    <s v="ORD01610"/>
    <n v="45570.857453703713"/>
    <x v="41"/>
    <s v="Sofifi"/>
    <s v="Garam - Brand B"/>
    <x v="5"/>
    <x v="1"/>
    <n v="5000"/>
    <n v="3"/>
    <n v="15"/>
    <n v="15000"/>
    <n v="2250"/>
    <n v="12750"/>
    <n v="50000"/>
    <n v="62750"/>
    <x v="0"/>
    <s v="Returned"/>
    <x v="1"/>
    <n v="1"/>
    <s v="Perempuan"/>
    <x v="9"/>
    <x v="1"/>
    <n v="10"/>
  </r>
  <r>
    <s v="ORD01163"/>
    <n v="45570.984722222223"/>
    <x v="180"/>
    <s v="Pangkalpinang"/>
    <s v="Daging Ayam - Brand C"/>
    <x v="1"/>
    <x v="0"/>
    <n v="45000"/>
    <n v="1"/>
    <n v="5"/>
    <n v="45000"/>
    <n v="2250"/>
    <n v="42750"/>
    <n v="18000"/>
    <n v="60750"/>
    <x v="3"/>
    <s v="Returned"/>
    <x v="2"/>
    <n v="4"/>
    <s v="Perempuan"/>
    <x v="9"/>
    <x v="1"/>
    <n v="10"/>
  </r>
  <r>
    <s v="ORD00114"/>
    <n v="45571.2656712963"/>
    <x v="334"/>
    <s v="Jambi"/>
    <s v="Daging Ayam - Brand A"/>
    <x v="1"/>
    <x v="2"/>
    <n v="35000"/>
    <n v="1"/>
    <n v="10"/>
    <n v="35000"/>
    <n v="3500"/>
    <n v="31500"/>
    <n v="87000"/>
    <n v="118500"/>
    <x v="3"/>
    <s v="Completed"/>
    <x v="3"/>
    <n v="1"/>
    <s v="Perempuan"/>
    <x v="9"/>
    <x v="1"/>
    <n v="10"/>
  </r>
  <r>
    <s v="ORD00679"/>
    <n v="45571.307962962957"/>
    <x v="37"/>
    <s v="Jakarta"/>
    <s v="Telur Ayam - Brand C"/>
    <x v="4"/>
    <x v="0"/>
    <n v="28000"/>
    <n v="4"/>
    <n v="0"/>
    <n v="112000"/>
    <n v="0"/>
    <n v="112000"/>
    <n v="97000"/>
    <n v="209000"/>
    <x v="0"/>
    <s v="Completed"/>
    <x v="0"/>
    <n v="2"/>
    <s v="Perempuan"/>
    <x v="9"/>
    <x v="1"/>
    <n v="10"/>
  </r>
  <r>
    <s v="ORD00186"/>
    <n v="45571.434687499997"/>
    <x v="22"/>
    <s v="Palangka Raya"/>
    <s v="Minyak Goreng - Brand C"/>
    <x v="8"/>
    <x v="0"/>
    <n v="18000"/>
    <n v="1"/>
    <n v="20"/>
    <n v="18000"/>
    <n v="3600"/>
    <n v="14400"/>
    <n v="50000"/>
    <n v="64400"/>
    <x v="1"/>
    <s v="Completed"/>
    <x v="4"/>
    <n v="3"/>
    <s v="Perempuan"/>
    <x v="9"/>
    <x v="1"/>
    <n v="10"/>
  </r>
  <r>
    <s v="ORD00186"/>
    <n v="45571.434687499997"/>
    <x v="22"/>
    <s v="Palangka Raya"/>
    <s v="Garam - Brand A"/>
    <x v="5"/>
    <x v="2"/>
    <n v="4000"/>
    <n v="3"/>
    <n v="10"/>
    <n v="12000"/>
    <n v="1200"/>
    <n v="10800"/>
    <n v="0"/>
    <n v="10800"/>
    <x v="1"/>
    <s v="Completed"/>
    <x v="4"/>
    <n v="3"/>
    <s v="Perempuan"/>
    <x v="9"/>
    <x v="1"/>
    <n v="10"/>
  </r>
  <r>
    <s v="ORD00699"/>
    <n v="45571.541539351849"/>
    <x v="259"/>
    <s v="Nabire"/>
    <s v="Minyak Goreng - Brand B"/>
    <x v="8"/>
    <x v="1"/>
    <n v="17000"/>
    <n v="5"/>
    <n v="5"/>
    <n v="85000"/>
    <n v="4250"/>
    <n v="80750"/>
    <n v="89000"/>
    <n v="169750"/>
    <x v="0"/>
    <s v="Completed"/>
    <x v="1"/>
    <n v="4"/>
    <s v="Perempuan"/>
    <x v="9"/>
    <x v="1"/>
    <n v="10"/>
  </r>
  <r>
    <s v="ORD01751"/>
    <n v="45571.581678240742"/>
    <x v="130"/>
    <s v="Jakarta"/>
    <s v="Daging Ayam - Brand A"/>
    <x v="1"/>
    <x v="2"/>
    <n v="35000"/>
    <n v="4"/>
    <n v="0"/>
    <n v="140000"/>
    <n v="0"/>
    <n v="140000"/>
    <n v="97000"/>
    <n v="237000"/>
    <x v="1"/>
    <s v="Completed"/>
    <x v="1"/>
    <n v="1"/>
    <s v="Laki-laki"/>
    <x v="9"/>
    <x v="1"/>
    <n v="10"/>
  </r>
  <r>
    <s v="ORD01833"/>
    <n v="45571.595104166663"/>
    <x v="28"/>
    <s v="Bengkulu"/>
    <s v="Daging Ayam - Brand B"/>
    <x v="1"/>
    <x v="1"/>
    <n v="40000"/>
    <n v="4"/>
    <n v="0"/>
    <n v="160000"/>
    <n v="0"/>
    <n v="160000"/>
    <n v="72000"/>
    <n v="232000"/>
    <x v="0"/>
    <s v="Completed"/>
    <x v="3"/>
    <n v="3"/>
    <s v="Perempuan"/>
    <x v="9"/>
    <x v="1"/>
    <n v="10"/>
  </r>
  <r>
    <s v="ORD00378"/>
    <n v="45571.958182870367"/>
    <x v="28"/>
    <s v="Bengkulu"/>
    <s v="Gula Pasir - Brand A"/>
    <x v="6"/>
    <x v="2"/>
    <n v="16000"/>
    <n v="1"/>
    <n v="15"/>
    <n v="16000"/>
    <n v="2400"/>
    <n v="13600"/>
    <n v="72000"/>
    <n v="85600"/>
    <x v="0"/>
    <s v="Returned"/>
    <x v="3"/>
    <n v="1"/>
    <s v="Perempuan"/>
    <x v="9"/>
    <x v="1"/>
    <n v="10"/>
  </r>
  <r>
    <s v="ORD00215"/>
    <n v="45572.168055555558"/>
    <x v="50"/>
    <s v="Manokwari"/>
    <s v="Susu Bubuk - Brand A"/>
    <x v="7"/>
    <x v="2"/>
    <n v="45000"/>
    <n v="4"/>
    <n v="10"/>
    <n v="180000"/>
    <n v="18000"/>
    <n v="162000"/>
    <n v="18000"/>
    <n v="180000"/>
    <x v="3"/>
    <s v="Completed"/>
    <x v="0"/>
    <n v="1"/>
    <s v="Perempuan"/>
    <x v="9"/>
    <x v="1"/>
    <n v="10"/>
  </r>
  <r>
    <s v="ORD00215"/>
    <n v="45572.168055555558"/>
    <x v="50"/>
    <s v="Manokwari"/>
    <s v="Beras - Brand C"/>
    <x v="0"/>
    <x v="0"/>
    <n v="16000"/>
    <n v="3"/>
    <n v="10"/>
    <n v="48000"/>
    <n v="4800"/>
    <n v="43200"/>
    <n v="0"/>
    <n v="43200"/>
    <x v="3"/>
    <s v="Completed"/>
    <x v="0"/>
    <n v="1"/>
    <s v="Perempuan"/>
    <x v="9"/>
    <x v="1"/>
    <n v="10"/>
  </r>
  <r>
    <s v="ORD00336"/>
    <n v="45572.169282407413"/>
    <x v="326"/>
    <s v="Gorontalo"/>
    <s v="Tepung Terigu - Brand A"/>
    <x v="2"/>
    <x v="2"/>
    <n v="10000"/>
    <n v="3"/>
    <n v="5"/>
    <n v="30000"/>
    <n v="1500"/>
    <n v="28500"/>
    <n v="80000"/>
    <n v="108500"/>
    <x v="2"/>
    <s v="Completed"/>
    <x v="1"/>
    <n v="2"/>
    <s v="Perempuan"/>
    <x v="9"/>
    <x v="1"/>
    <n v="10"/>
  </r>
  <r>
    <s v="ORD01674"/>
    <n v="45572.446215277778"/>
    <x v="147"/>
    <s v="Gorontalo"/>
    <s v="Minyak Goreng - Brand B"/>
    <x v="8"/>
    <x v="1"/>
    <n v="17000"/>
    <n v="5"/>
    <n v="15"/>
    <n v="85000"/>
    <n v="12750"/>
    <n v="72250"/>
    <n v="80000"/>
    <n v="152250"/>
    <x v="0"/>
    <s v="Returned"/>
    <x v="1"/>
    <n v="1"/>
    <s v="Laki-laki"/>
    <x v="9"/>
    <x v="1"/>
    <n v="10"/>
  </r>
  <r>
    <s v="ORD00533"/>
    <n v="45572.621770833342"/>
    <x v="0"/>
    <s v="Sorong"/>
    <s v="Minyak Goreng - Brand B"/>
    <x v="8"/>
    <x v="1"/>
    <n v="17000"/>
    <n v="4"/>
    <n v="10"/>
    <n v="68000"/>
    <n v="6800"/>
    <n v="61200"/>
    <n v="87000"/>
    <n v="148200"/>
    <x v="0"/>
    <s v="Completed"/>
    <x v="4"/>
    <n v="1"/>
    <s v="Perempuan"/>
    <x v="9"/>
    <x v="1"/>
    <n v="10"/>
  </r>
  <r>
    <s v="ORD00128"/>
    <n v="45573.014687499999"/>
    <x v="4"/>
    <s v="Surabaya"/>
    <s v="Tepung Terigu - Brand C"/>
    <x v="2"/>
    <x v="0"/>
    <n v="14000"/>
    <n v="2"/>
    <n v="5"/>
    <n v="28000"/>
    <n v="1400"/>
    <n v="26600"/>
    <n v="74000"/>
    <n v="100600"/>
    <x v="0"/>
    <s v="Completed"/>
    <x v="2"/>
    <n v="1"/>
    <s v="Perempuan"/>
    <x v="9"/>
    <x v="1"/>
    <n v="10"/>
  </r>
  <r>
    <s v="ORD00956"/>
    <n v="45573.198518518519"/>
    <x v="79"/>
    <s v="Pontianak"/>
    <s v="Garam - Brand C"/>
    <x v="5"/>
    <x v="0"/>
    <n v="6000"/>
    <n v="5"/>
    <n v="15"/>
    <n v="30000"/>
    <n v="4500"/>
    <n v="25500"/>
    <n v="85000"/>
    <n v="110500"/>
    <x v="2"/>
    <s v="Completed"/>
    <x v="1"/>
    <n v="2"/>
    <s v="Perempuan"/>
    <x v="9"/>
    <x v="1"/>
    <n v="10"/>
  </r>
  <r>
    <s v="ORD01063"/>
    <n v="45573.420266203713"/>
    <x v="37"/>
    <s v="Jakarta"/>
    <s v="Telur Ayam - Brand A"/>
    <x v="4"/>
    <x v="2"/>
    <n v="22000"/>
    <n v="4"/>
    <n v="20"/>
    <n v="88000"/>
    <n v="17600"/>
    <n v="70400"/>
    <n v="97000"/>
    <n v="167400"/>
    <x v="2"/>
    <s v="Completed"/>
    <x v="2"/>
    <n v="3"/>
    <s v="Perempuan"/>
    <x v="9"/>
    <x v="1"/>
    <n v="10"/>
  </r>
  <r>
    <s v="ORD01770"/>
    <n v="45573.527280092603"/>
    <x v="319"/>
    <s v="Pangkalpinang"/>
    <s v="Tepung Terigu - Brand C"/>
    <x v="2"/>
    <x v="0"/>
    <n v="14000"/>
    <n v="4"/>
    <n v="10"/>
    <n v="56000"/>
    <n v="5600"/>
    <n v="50400"/>
    <n v="18000"/>
    <n v="68400"/>
    <x v="2"/>
    <s v="Completed"/>
    <x v="4"/>
    <n v="3"/>
    <s v="Laki-laki"/>
    <x v="9"/>
    <x v="1"/>
    <n v="10"/>
  </r>
  <r>
    <s v="ORD00455"/>
    <n v="45573.747465277767"/>
    <x v="257"/>
    <s v="Kendari"/>
    <s v="Minyak Goreng - Brand A"/>
    <x v="8"/>
    <x v="2"/>
    <n v="16000"/>
    <n v="5"/>
    <n v="0"/>
    <n v="80000"/>
    <n v="0"/>
    <n v="80000"/>
    <n v="59000"/>
    <n v="139000"/>
    <x v="0"/>
    <s v="Cancelled"/>
    <x v="1"/>
    <n v="3"/>
    <s v="Perempuan"/>
    <x v="9"/>
    <x v="1"/>
    <n v="10"/>
  </r>
  <r>
    <s v="ORD01052"/>
    <n v="45573.881365740737"/>
    <x v="261"/>
    <s v="Serang"/>
    <s v="Susu Bubuk - Brand C"/>
    <x v="7"/>
    <x v="0"/>
    <n v="55000"/>
    <n v="2"/>
    <n v="0"/>
    <n v="110000"/>
    <n v="0"/>
    <n v="110000"/>
    <n v="57000"/>
    <n v="167000"/>
    <x v="3"/>
    <s v="Completed"/>
    <x v="1"/>
    <n v="5"/>
    <s v="Perempuan"/>
    <x v="9"/>
    <x v="1"/>
    <n v="10"/>
  </r>
  <r>
    <s v="ORD00155"/>
    <n v="45574.081747685188"/>
    <x v="196"/>
    <s v="Mamuju"/>
    <s v="Minyak Goreng - Brand C"/>
    <x v="8"/>
    <x v="0"/>
    <n v="18000"/>
    <n v="3"/>
    <n v="15"/>
    <n v="54000"/>
    <n v="8100"/>
    <n v="45900"/>
    <n v="46000"/>
    <n v="91900"/>
    <x v="0"/>
    <s v="Completed"/>
    <x v="0"/>
    <n v="1"/>
    <s v="Perempuan"/>
    <x v="9"/>
    <x v="1"/>
    <n v="10"/>
  </r>
  <r>
    <s v="ORD00155"/>
    <n v="45574.081747685188"/>
    <x v="196"/>
    <s v="Mamuju"/>
    <s v="Daging Ayam - Brand A"/>
    <x v="1"/>
    <x v="2"/>
    <n v="35000"/>
    <n v="3"/>
    <n v="20"/>
    <n v="105000"/>
    <n v="21000"/>
    <n v="84000"/>
    <n v="0"/>
    <n v="84000"/>
    <x v="0"/>
    <s v="Completed"/>
    <x v="0"/>
    <n v="1"/>
    <s v="Perempuan"/>
    <x v="9"/>
    <x v="1"/>
    <n v="10"/>
  </r>
  <r>
    <s v="ORD00716"/>
    <n v="45574.15121527778"/>
    <x v="26"/>
    <s v="Wamena"/>
    <s v="Daging Ayam - Brand B"/>
    <x v="1"/>
    <x v="1"/>
    <n v="40000"/>
    <n v="2"/>
    <n v="15"/>
    <n v="80000"/>
    <n v="12000"/>
    <n v="68000"/>
    <n v="15000"/>
    <n v="83000"/>
    <x v="0"/>
    <s v="Completed"/>
    <x v="4"/>
    <n v="5"/>
    <s v="Laki-laki"/>
    <x v="9"/>
    <x v="1"/>
    <n v="10"/>
  </r>
  <r>
    <s v="ORD01014"/>
    <n v="45574.197430555563"/>
    <x v="14"/>
    <s v="Jakarta"/>
    <s v="Daging Ayam - Brand A"/>
    <x v="1"/>
    <x v="2"/>
    <n v="35000"/>
    <n v="2"/>
    <n v="5"/>
    <n v="70000"/>
    <n v="3500"/>
    <n v="66500"/>
    <n v="97000"/>
    <n v="163500"/>
    <x v="0"/>
    <s v="Completed"/>
    <x v="2"/>
    <n v="5"/>
    <s v="Laki-laki"/>
    <x v="9"/>
    <x v="1"/>
    <n v="10"/>
  </r>
  <r>
    <s v="ORD01308"/>
    <n v="45574.236168981479"/>
    <x v="296"/>
    <s v="Surabaya"/>
    <s v="Telur Ayam - Brand A"/>
    <x v="4"/>
    <x v="2"/>
    <n v="22000"/>
    <n v="5"/>
    <n v="0"/>
    <n v="110000"/>
    <n v="0"/>
    <n v="110000"/>
    <n v="74000"/>
    <n v="184000"/>
    <x v="2"/>
    <s v="Completed"/>
    <x v="3"/>
    <n v="5"/>
    <s v="Laki-laki"/>
    <x v="9"/>
    <x v="1"/>
    <n v="10"/>
  </r>
  <r>
    <s v="ORD00585"/>
    <n v="45574.308252314811"/>
    <x v="265"/>
    <s v="Merauke"/>
    <s v="Susu Bubuk - Brand B"/>
    <x v="7"/>
    <x v="1"/>
    <n v="50000"/>
    <n v="3"/>
    <n v="5"/>
    <n v="150000"/>
    <n v="7500"/>
    <n v="142500"/>
    <n v="59000"/>
    <n v="201500"/>
    <x v="0"/>
    <s v="Completed"/>
    <x v="4"/>
    <n v="1"/>
    <s v="Perempuan"/>
    <x v="9"/>
    <x v="1"/>
    <n v="10"/>
  </r>
  <r>
    <s v="ORD01638"/>
    <n v="45574.792592592603"/>
    <x v="25"/>
    <s v="Bandar Lampung"/>
    <s v="Garam - Brand B"/>
    <x v="5"/>
    <x v="1"/>
    <n v="5000"/>
    <n v="1"/>
    <n v="5"/>
    <n v="5000"/>
    <n v="250"/>
    <n v="4750"/>
    <n v="28000"/>
    <n v="32750"/>
    <x v="3"/>
    <s v="Completed"/>
    <x v="1"/>
    <n v="2"/>
    <s v="Perempuan"/>
    <x v="9"/>
    <x v="1"/>
    <n v="10"/>
  </r>
  <r>
    <s v="ORD01844"/>
    <n v="45574.835451388892"/>
    <x v="64"/>
    <s v="Makassar"/>
    <s v="Telur Ayam - Brand B"/>
    <x v="4"/>
    <x v="1"/>
    <n v="25000"/>
    <n v="5"/>
    <n v="15"/>
    <n v="125000"/>
    <n v="18750"/>
    <n v="106250"/>
    <n v="84000"/>
    <n v="190250"/>
    <x v="2"/>
    <s v="Completed"/>
    <x v="2"/>
    <n v="2"/>
    <s v="Laki-laki"/>
    <x v="9"/>
    <x v="1"/>
    <n v="10"/>
  </r>
  <r>
    <s v="ORD00023"/>
    <n v="45574.890370370369"/>
    <x v="388"/>
    <s v="Merauke"/>
    <s v="Minyak Goreng - Brand C"/>
    <x v="8"/>
    <x v="0"/>
    <n v="18000"/>
    <n v="2"/>
    <n v="20"/>
    <n v="36000"/>
    <n v="7200"/>
    <n v="28800"/>
    <n v="59000"/>
    <n v="87800"/>
    <x v="2"/>
    <s v="Completed"/>
    <x v="1"/>
    <n v="1"/>
    <s v="Laki-laki"/>
    <x v="9"/>
    <x v="1"/>
    <n v="10"/>
  </r>
  <r>
    <s v="ORD01723"/>
    <n v="45575.103472222218"/>
    <x v="27"/>
    <s v="Sorong"/>
    <s v="Susu Bubuk - Brand B"/>
    <x v="7"/>
    <x v="1"/>
    <n v="50000"/>
    <n v="1"/>
    <n v="15"/>
    <n v="50000"/>
    <n v="7500"/>
    <n v="42500"/>
    <n v="87000"/>
    <n v="129500"/>
    <x v="2"/>
    <s v="Completed"/>
    <x v="2"/>
    <n v="5"/>
    <s v="Perempuan"/>
    <x v="9"/>
    <x v="1"/>
    <n v="10"/>
  </r>
  <r>
    <s v="ORD00286"/>
    <n v="45575.44390046296"/>
    <x v="389"/>
    <s v="Medan"/>
    <s v="Daging Ayam - Brand A"/>
    <x v="1"/>
    <x v="2"/>
    <n v="35000"/>
    <n v="1"/>
    <n v="10"/>
    <n v="35000"/>
    <n v="3500"/>
    <n v="31500"/>
    <n v="79000"/>
    <n v="110500"/>
    <x v="0"/>
    <s v="Completed"/>
    <x v="2"/>
    <n v="1"/>
    <s v="Perempuan"/>
    <x v="9"/>
    <x v="1"/>
    <n v="10"/>
  </r>
  <r>
    <s v="ORD00927"/>
    <n v="45575.883668981478"/>
    <x v="45"/>
    <s v="Jakarta"/>
    <s v="Bawang Merah - Brand B"/>
    <x v="3"/>
    <x v="1"/>
    <n v="35000"/>
    <n v="2"/>
    <n v="10"/>
    <n v="70000"/>
    <n v="7000"/>
    <n v="63000"/>
    <n v="97000"/>
    <n v="160000"/>
    <x v="2"/>
    <s v="Completed"/>
    <x v="2"/>
    <n v="1"/>
    <s v="Perempuan"/>
    <x v="9"/>
    <x v="1"/>
    <n v="10"/>
  </r>
  <r>
    <s v="ORD00754"/>
    <n v="45576.006597222222"/>
    <x v="311"/>
    <s v="Jayapura"/>
    <s v="Beras - Brand B"/>
    <x v="0"/>
    <x v="1"/>
    <n v="15000"/>
    <n v="5"/>
    <n v="20"/>
    <n v="75000"/>
    <n v="15000"/>
    <n v="60000"/>
    <n v="30000"/>
    <n v="90000"/>
    <x v="3"/>
    <s v="Completed"/>
    <x v="3"/>
    <n v="4"/>
    <s v="Perempuan"/>
    <x v="9"/>
    <x v="1"/>
    <n v="10"/>
  </r>
  <r>
    <s v="ORD00014"/>
    <n v="45576.337685185194"/>
    <x v="218"/>
    <s v="Sorong"/>
    <s v="Tepung Terigu - Brand C"/>
    <x v="2"/>
    <x v="0"/>
    <n v="14000"/>
    <n v="4"/>
    <n v="5"/>
    <n v="56000"/>
    <n v="2800"/>
    <n v="53200"/>
    <n v="87000"/>
    <n v="140200"/>
    <x v="1"/>
    <s v="Completed"/>
    <x v="4"/>
    <n v="4"/>
    <s v="Laki-laki"/>
    <x v="9"/>
    <x v="1"/>
    <n v="10"/>
  </r>
  <r>
    <s v="ORD00014"/>
    <n v="45576.337685185194"/>
    <x v="218"/>
    <s v="Sorong"/>
    <s v="Minyak Goreng - Brand C"/>
    <x v="8"/>
    <x v="0"/>
    <n v="18000"/>
    <n v="3"/>
    <n v="0"/>
    <n v="54000"/>
    <n v="0"/>
    <n v="54000"/>
    <n v="0"/>
    <n v="54000"/>
    <x v="1"/>
    <s v="Completed"/>
    <x v="4"/>
    <n v="4"/>
    <s v="Laki-laki"/>
    <x v="9"/>
    <x v="1"/>
    <n v="10"/>
  </r>
  <r>
    <s v="ORD00746"/>
    <n v="45576.468136574083"/>
    <x v="310"/>
    <s v="Jambi"/>
    <s v="Minyak Goreng - Brand C"/>
    <x v="8"/>
    <x v="0"/>
    <n v="18000"/>
    <n v="1"/>
    <n v="20"/>
    <n v="18000"/>
    <n v="3600"/>
    <n v="14400"/>
    <n v="87000"/>
    <n v="101400"/>
    <x v="3"/>
    <s v="Returned"/>
    <x v="4"/>
    <n v="3"/>
    <s v="Perempuan"/>
    <x v="9"/>
    <x v="1"/>
    <n v="10"/>
  </r>
  <r>
    <s v="ORD00229"/>
    <n v="45576.592407407406"/>
    <x v="68"/>
    <s v="Kendari"/>
    <s v="Daging Ayam - Brand C"/>
    <x v="1"/>
    <x v="0"/>
    <n v="45000"/>
    <n v="1"/>
    <n v="10"/>
    <n v="45000"/>
    <n v="4500"/>
    <n v="40500"/>
    <n v="59000"/>
    <n v="99500"/>
    <x v="2"/>
    <s v="Completed"/>
    <x v="0"/>
    <n v="4"/>
    <s v="Perempuan"/>
    <x v="9"/>
    <x v="1"/>
    <n v="10"/>
  </r>
  <r>
    <s v="ORD00229"/>
    <n v="45576.592407407406"/>
    <x v="68"/>
    <s v="Kendari"/>
    <s v="Daging Ayam - Brand C"/>
    <x v="1"/>
    <x v="0"/>
    <n v="45000"/>
    <n v="1"/>
    <n v="0"/>
    <n v="45000"/>
    <n v="0"/>
    <n v="45000"/>
    <n v="0"/>
    <n v="45000"/>
    <x v="2"/>
    <s v="Completed"/>
    <x v="0"/>
    <n v="4"/>
    <s v="Perempuan"/>
    <x v="9"/>
    <x v="1"/>
    <n v="10"/>
  </r>
  <r>
    <s v="ORD01201"/>
    <n v="45576.899918981479"/>
    <x v="40"/>
    <s v="Bengkulu"/>
    <s v="Daging Ayam - Brand B"/>
    <x v="1"/>
    <x v="1"/>
    <n v="40000"/>
    <n v="3"/>
    <n v="5"/>
    <n v="120000"/>
    <n v="6000"/>
    <n v="114000"/>
    <n v="72000"/>
    <n v="186000"/>
    <x v="2"/>
    <s v="Returned"/>
    <x v="3"/>
    <n v="2"/>
    <s v="Perempuan"/>
    <x v="9"/>
    <x v="1"/>
    <n v="10"/>
  </r>
  <r>
    <s v="ORD00156"/>
    <n v="45577.019085648149"/>
    <x v="164"/>
    <s v="Sorong"/>
    <s v="Susu Bubuk - Brand B"/>
    <x v="7"/>
    <x v="1"/>
    <n v="50000"/>
    <n v="5"/>
    <n v="15"/>
    <n v="250000"/>
    <n v="37500"/>
    <n v="212500"/>
    <n v="87000"/>
    <n v="299500"/>
    <x v="3"/>
    <s v="Completed"/>
    <x v="1"/>
    <n v="1"/>
    <s v="Perempuan"/>
    <x v="9"/>
    <x v="1"/>
    <n v="10"/>
  </r>
  <r>
    <s v="ORD00640"/>
    <n v="45577.086134259262"/>
    <x v="116"/>
    <s v="Jayapura"/>
    <s v="Beras - Brand B"/>
    <x v="0"/>
    <x v="1"/>
    <n v="15000"/>
    <n v="3"/>
    <n v="20"/>
    <n v="45000"/>
    <n v="9000"/>
    <n v="36000"/>
    <n v="30000"/>
    <n v="66000"/>
    <x v="0"/>
    <s v="Completed"/>
    <x v="3"/>
    <n v="5"/>
    <s v="Perempuan"/>
    <x v="9"/>
    <x v="1"/>
    <n v="10"/>
  </r>
  <r>
    <s v="ORD01106"/>
    <n v="45577.210648148153"/>
    <x v="229"/>
    <s v="Nabire"/>
    <s v="Gula Pasir - Brand A"/>
    <x v="6"/>
    <x v="2"/>
    <n v="16000"/>
    <n v="4"/>
    <n v="15"/>
    <n v="64000"/>
    <n v="9600"/>
    <n v="54400"/>
    <n v="89000"/>
    <n v="143400"/>
    <x v="0"/>
    <s v="Completed"/>
    <x v="4"/>
    <n v="2"/>
    <s v="Perempuan"/>
    <x v="9"/>
    <x v="1"/>
    <n v="10"/>
  </r>
  <r>
    <s v="ORD01630"/>
    <n v="45578.0231712963"/>
    <x v="281"/>
    <s v="Nabire"/>
    <s v="Telur Ayam - Brand A"/>
    <x v="4"/>
    <x v="2"/>
    <n v="22000"/>
    <n v="4"/>
    <n v="5"/>
    <n v="88000"/>
    <n v="4400"/>
    <n v="83600"/>
    <n v="89000"/>
    <n v="172600"/>
    <x v="3"/>
    <s v="Completed"/>
    <x v="4"/>
    <n v="5"/>
    <s v="Laki-laki"/>
    <x v="9"/>
    <x v="1"/>
    <n v="10"/>
  </r>
  <r>
    <s v="ORD01485"/>
    <n v="45578.09033564815"/>
    <x v="117"/>
    <s v="Serang"/>
    <s v="Susu Bubuk - Brand C"/>
    <x v="7"/>
    <x v="0"/>
    <n v="55000"/>
    <n v="1"/>
    <n v="5"/>
    <n v="55000"/>
    <n v="2750"/>
    <n v="52250"/>
    <n v="57000"/>
    <n v="109250"/>
    <x v="0"/>
    <s v="Completed"/>
    <x v="2"/>
    <n v="2"/>
    <s v="Perempuan"/>
    <x v="9"/>
    <x v="1"/>
    <n v="10"/>
  </r>
  <r>
    <s v="ORD00868"/>
    <n v="45578.308217592603"/>
    <x v="380"/>
    <s v="Tanjung Selor"/>
    <s v="Gula Pasir - Brand B"/>
    <x v="6"/>
    <x v="1"/>
    <n v="17000"/>
    <n v="3"/>
    <n v="20"/>
    <n v="51000"/>
    <n v="10200"/>
    <n v="40800"/>
    <n v="26000"/>
    <n v="66800"/>
    <x v="2"/>
    <s v="Completed"/>
    <x v="1"/>
    <n v="3"/>
    <s v="Perempuan"/>
    <x v="9"/>
    <x v="1"/>
    <n v="10"/>
  </r>
  <r>
    <s v="ORD01149"/>
    <n v="45578.389340277783"/>
    <x v="116"/>
    <s v="Jayapura"/>
    <s v="Garam - Brand C"/>
    <x v="5"/>
    <x v="0"/>
    <n v="6000"/>
    <n v="3"/>
    <n v="15"/>
    <n v="18000"/>
    <n v="2700"/>
    <n v="15300"/>
    <n v="30000"/>
    <n v="45300"/>
    <x v="2"/>
    <s v="Completed"/>
    <x v="0"/>
    <n v="5"/>
    <s v="Perempuan"/>
    <x v="9"/>
    <x v="1"/>
    <n v="10"/>
  </r>
  <r>
    <s v="ORD01707"/>
    <n v="45579.019826388889"/>
    <x v="316"/>
    <s v="Manokwari"/>
    <s v="Beras - Brand A"/>
    <x v="0"/>
    <x v="2"/>
    <n v="14000"/>
    <n v="1"/>
    <n v="0"/>
    <n v="14000"/>
    <n v="0"/>
    <n v="14000"/>
    <n v="18000"/>
    <n v="32000"/>
    <x v="0"/>
    <s v="Completed"/>
    <x v="0"/>
    <n v="5"/>
    <s v="Laki-laki"/>
    <x v="9"/>
    <x v="1"/>
    <n v="10"/>
  </r>
  <r>
    <s v="ORD01697"/>
    <n v="45579.089201388888"/>
    <x v="319"/>
    <s v="Pangkalpinang"/>
    <s v="Susu Bubuk - Brand A"/>
    <x v="7"/>
    <x v="2"/>
    <n v="45000"/>
    <n v="4"/>
    <n v="15"/>
    <n v="180000"/>
    <n v="27000"/>
    <n v="153000"/>
    <n v="18000"/>
    <n v="171000"/>
    <x v="3"/>
    <s v="Completed"/>
    <x v="0"/>
    <n v="5"/>
    <s v="Laki-laki"/>
    <x v="9"/>
    <x v="1"/>
    <n v="10"/>
  </r>
  <r>
    <s v="ORD00483"/>
    <n v="45579.285381944443"/>
    <x v="276"/>
    <s v="Palembang"/>
    <s v="Tepung Terigu - Brand A"/>
    <x v="2"/>
    <x v="2"/>
    <n v="10000"/>
    <n v="3"/>
    <n v="0"/>
    <n v="30000"/>
    <n v="0"/>
    <n v="30000"/>
    <n v="17000"/>
    <n v="47000"/>
    <x v="1"/>
    <s v="Completed"/>
    <x v="0"/>
    <n v="3"/>
    <s v="Perempuan"/>
    <x v="9"/>
    <x v="1"/>
    <n v="10"/>
  </r>
  <r>
    <s v="ORD00272"/>
    <n v="45579.436226851853"/>
    <x v="378"/>
    <s v="Palembang"/>
    <s v="Telur Ayam - Brand B"/>
    <x v="4"/>
    <x v="1"/>
    <n v="25000"/>
    <n v="1"/>
    <n v="5"/>
    <n v="25000"/>
    <n v="1250"/>
    <n v="23750"/>
    <n v="17000"/>
    <n v="40750"/>
    <x v="0"/>
    <s v="Completed"/>
    <x v="2"/>
    <n v="2"/>
    <s v="Perempuan"/>
    <x v="9"/>
    <x v="1"/>
    <n v="10"/>
  </r>
  <r>
    <s v="ORD01104"/>
    <n v="45579.47074074074"/>
    <x v="185"/>
    <s v="Kupang"/>
    <s v="Garam - Brand C"/>
    <x v="5"/>
    <x v="0"/>
    <n v="6000"/>
    <n v="5"/>
    <n v="5"/>
    <n v="30000"/>
    <n v="1500"/>
    <n v="28500"/>
    <n v="21000"/>
    <n v="49500"/>
    <x v="2"/>
    <s v="Completed"/>
    <x v="3"/>
    <n v="4"/>
    <s v="Laki-laki"/>
    <x v="9"/>
    <x v="1"/>
    <n v="10"/>
  </r>
  <r>
    <s v="ORD00522"/>
    <n v="45579.511793981481"/>
    <x v="139"/>
    <s v="Tanjungpinang"/>
    <s v="Daging Ayam - Brand A"/>
    <x v="1"/>
    <x v="2"/>
    <n v="35000"/>
    <n v="5"/>
    <n v="15"/>
    <n v="175000"/>
    <n v="26250"/>
    <n v="148750"/>
    <n v="48000"/>
    <n v="196750"/>
    <x v="3"/>
    <s v="Completed"/>
    <x v="4"/>
    <n v="4"/>
    <s v="Perempuan"/>
    <x v="9"/>
    <x v="1"/>
    <n v="10"/>
  </r>
  <r>
    <s v="ORD00807"/>
    <n v="45580.081608796303"/>
    <x v="252"/>
    <s v="Palembang"/>
    <s v="Bawang Merah - Brand B"/>
    <x v="3"/>
    <x v="1"/>
    <n v="35000"/>
    <n v="5"/>
    <n v="10"/>
    <n v="175000"/>
    <n v="17500"/>
    <n v="157500"/>
    <n v="17000"/>
    <n v="174500"/>
    <x v="0"/>
    <s v="Completed"/>
    <x v="4"/>
    <n v="2"/>
    <s v="Perempuan"/>
    <x v="9"/>
    <x v="1"/>
    <n v="10"/>
  </r>
  <r>
    <s v="ORD00269"/>
    <n v="45580.332685185182"/>
    <x v="312"/>
    <s v="Pontianak"/>
    <s v="Garam - Brand A"/>
    <x v="5"/>
    <x v="2"/>
    <n v="4000"/>
    <n v="2"/>
    <n v="0"/>
    <n v="8000"/>
    <n v="0"/>
    <n v="8000"/>
    <n v="85000"/>
    <n v="93000"/>
    <x v="2"/>
    <s v="Returned"/>
    <x v="1"/>
    <n v="3"/>
    <s v="Perempuan"/>
    <x v="9"/>
    <x v="1"/>
    <n v="10"/>
  </r>
  <r>
    <s v="ORD00733"/>
    <n v="45580.433888888889"/>
    <x v="89"/>
    <s v="Yogyakarta"/>
    <s v="Daging Ayam - Brand B"/>
    <x v="1"/>
    <x v="1"/>
    <n v="40000"/>
    <n v="4"/>
    <n v="5"/>
    <n v="160000"/>
    <n v="8000"/>
    <n v="152000"/>
    <n v="78000"/>
    <n v="230000"/>
    <x v="0"/>
    <s v="Completed"/>
    <x v="1"/>
    <n v="5"/>
    <s v="Perempuan"/>
    <x v="9"/>
    <x v="1"/>
    <n v="10"/>
  </r>
  <r>
    <s v="ORD00544"/>
    <n v="45580.58116898148"/>
    <x v="212"/>
    <s v="Kupang"/>
    <s v="Bawang Merah - Brand C"/>
    <x v="3"/>
    <x v="0"/>
    <n v="40000"/>
    <n v="2"/>
    <n v="15"/>
    <n v="80000"/>
    <n v="12000"/>
    <n v="68000"/>
    <n v="21000"/>
    <n v="89000"/>
    <x v="2"/>
    <s v="Cancelled"/>
    <x v="3"/>
    <n v="5"/>
    <s v="Perempuan"/>
    <x v="9"/>
    <x v="1"/>
    <n v="10"/>
  </r>
  <r>
    <s v="ORD00910"/>
    <n v="45580.70553240741"/>
    <x v="324"/>
    <s v="Samarinda"/>
    <s v="Susu Bubuk - Brand B"/>
    <x v="7"/>
    <x v="1"/>
    <n v="50000"/>
    <n v="1"/>
    <n v="5"/>
    <n v="50000"/>
    <n v="2500"/>
    <n v="47500"/>
    <n v="43000"/>
    <n v="90500"/>
    <x v="0"/>
    <s v="Completed"/>
    <x v="0"/>
    <n v="3"/>
    <s v="Laki-laki"/>
    <x v="9"/>
    <x v="1"/>
    <n v="10"/>
  </r>
  <r>
    <s v="ORD00305"/>
    <n v="45580.726215277777"/>
    <x v="74"/>
    <s v="Tanjungpinang"/>
    <s v="Susu Bubuk - Brand A"/>
    <x v="7"/>
    <x v="2"/>
    <n v="45000"/>
    <n v="5"/>
    <n v="10"/>
    <n v="225000"/>
    <n v="22500"/>
    <n v="202500"/>
    <n v="48000"/>
    <n v="250500"/>
    <x v="3"/>
    <s v="Completed"/>
    <x v="1"/>
    <n v="4"/>
    <s v="Perempuan"/>
    <x v="9"/>
    <x v="1"/>
    <n v="10"/>
  </r>
  <r>
    <s v="ORD01334"/>
    <n v="45580.737210648149"/>
    <x v="280"/>
    <s v="Yogyakarta"/>
    <s v="Susu Bubuk - Brand A"/>
    <x v="7"/>
    <x v="2"/>
    <n v="45000"/>
    <n v="3"/>
    <n v="0"/>
    <n v="135000"/>
    <n v="0"/>
    <n v="135000"/>
    <n v="78000"/>
    <n v="213000"/>
    <x v="0"/>
    <s v="Completed"/>
    <x v="4"/>
    <n v="5"/>
    <s v="Perempuan"/>
    <x v="9"/>
    <x v="1"/>
    <n v="10"/>
  </r>
  <r>
    <s v="ORD00383"/>
    <n v="45580.862592592603"/>
    <x v="45"/>
    <s v="Jakarta"/>
    <s v="Tepung Terigu - Brand C"/>
    <x v="2"/>
    <x v="0"/>
    <n v="14000"/>
    <n v="4"/>
    <n v="0"/>
    <n v="56000"/>
    <n v="0"/>
    <n v="56000"/>
    <n v="97000"/>
    <n v="153000"/>
    <x v="0"/>
    <s v="Returned"/>
    <x v="4"/>
    <n v="1"/>
    <s v="Perempuan"/>
    <x v="9"/>
    <x v="1"/>
    <n v="10"/>
  </r>
  <r>
    <s v="ORD00383"/>
    <n v="45580.862592592603"/>
    <x v="45"/>
    <s v="Jakarta"/>
    <s v="Gula Pasir - Brand B"/>
    <x v="6"/>
    <x v="1"/>
    <n v="17000"/>
    <n v="5"/>
    <n v="0"/>
    <n v="85000"/>
    <n v="0"/>
    <n v="85000"/>
    <n v="0"/>
    <n v="85000"/>
    <x v="0"/>
    <s v="Returned"/>
    <x v="4"/>
    <n v="1"/>
    <s v="Perempuan"/>
    <x v="9"/>
    <x v="1"/>
    <n v="10"/>
  </r>
  <r>
    <s v="ORD01601"/>
    <n v="45580.967118055552"/>
    <x v="342"/>
    <s v="Banda Aceh"/>
    <s v="Bawang Merah - Brand A"/>
    <x v="3"/>
    <x v="2"/>
    <n v="30000"/>
    <n v="5"/>
    <n v="5"/>
    <n v="150000"/>
    <n v="7500"/>
    <n v="142500"/>
    <n v="18000"/>
    <n v="160500"/>
    <x v="1"/>
    <s v="Completed"/>
    <x v="2"/>
    <n v="2"/>
    <s v="Perempuan"/>
    <x v="9"/>
    <x v="1"/>
    <n v="10"/>
  </r>
  <r>
    <s v="ORD01477"/>
    <n v="45581.035011574073"/>
    <x v="177"/>
    <s v="Kendari"/>
    <s v="Gula Pasir - Brand A"/>
    <x v="6"/>
    <x v="2"/>
    <n v="16000"/>
    <n v="1"/>
    <n v="20"/>
    <n v="16000"/>
    <n v="3200"/>
    <n v="12800"/>
    <n v="59000"/>
    <n v="71800"/>
    <x v="2"/>
    <s v="Completed"/>
    <x v="3"/>
    <n v="4"/>
    <s v="Laki-laki"/>
    <x v="9"/>
    <x v="1"/>
    <n v="10"/>
  </r>
  <r>
    <s v="ORD01232"/>
    <n v="45581.525694444441"/>
    <x v="13"/>
    <s v="Tanjungpinang"/>
    <s v="Telur Ayam - Brand B"/>
    <x v="4"/>
    <x v="1"/>
    <n v="25000"/>
    <n v="3"/>
    <n v="20"/>
    <n v="75000"/>
    <n v="15000"/>
    <n v="60000"/>
    <n v="48000"/>
    <n v="108000"/>
    <x v="0"/>
    <s v="Returned"/>
    <x v="0"/>
    <n v="4"/>
    <s v="Perempuan"/>
    <x v="9"/>
    <x v="1"/>
    <n v="10"/>
  </r>
  <r>
    <s v="ORD01409"/>
    <n v="45581.551469907397"/>
    <x v="17"/>
    <s v="Palembang"/>
    <s v="Minyak Goreng - Brand C"/>
    <x v="8"/>
    <x v="0"/>
    <n v="18000"/>
    <n v="1"/>
    <n v="5"/>
    <n v="18000"/>
    <n v="900"/>
    <n v="17100"/>
    <n v="17000"/>
    <n v="34100"/>
    <x v="2"/>
    <s v="Returned"/>
    <x v="2"/>
    <n v="2"/>
    <s v="Perempuan"/>
    <x v="9"/>
    <x v="1"/>
    <n v="10"/>
  </r>
  <r>
    <s v="ORD01435"/>
    <n v="45581.599340277768"/>
    <x v="173"/>
    <s v="Sofifi"/>
    <s v="Telur Ayam - Brand A"/>
    <x v="4"/>
    <x v="2"/>
    <n v="22000"/>
    <n v="3"/>
    <n v="5"/>
    <n v="66000"/>
    <n v="3300"/>
    <n v="62700"/>
    <n v="50000"/>
    <n v="112700"/>
    <x v="3"/>
    <s v="Completed"/>
    <x v="2"/>
    <n v="2"/>
    <s v="Perempuan"/>
    <x v="9"/>
    <x v="1"/>
    <n v="10"/>
  </r>
  <r>
    <s v="ORD01804"/>
    <n v="45581.850717592592"/>
    <x v="381"/>
    <s v="Mataram"/>
    <s v="Daging Ayam - Brand C"/>
    <x v="1"/>
    <x v="0"/>
    <n v="45000"/>
    <n v="1"/>
    <n v="20"/>
    <n v="45000"/>
    <n v="9000"/>
    <n v="36000"/>
    <n v="56000"/>
    <n v="92000"/>
    <x v="1"/>
    <s v="Cancelled"/>
    <x v="3"/>
    <n v="5"/>
    <s v="Laki-laki"/>
    <x v="9"/>
    <x v="1"/>
    <n v="10"/>
  </r>
  <r>
    <s v="ORD01156"/>
    <n v="45582.04446759259"/>
    <x v="105"/>
    <s v="Jakarta"/>
    <s v="Gula Pasir - Brand C"/>
    <x v="6"/>
    <x v="0"/>
    <n v="18000"/>
    <n v="2"/>
    <n v="15"/>
    <n v="36000"/>
    <n v="5400"/>
    <n v="30600"/>
    <n v="97000"/>
    <n v="127600"/>
    <x v="0"/>
    <s v="Completed"/>
    <x v="3"/>
    <n v="5"/>
    <s v="Perempuan"/>
    <x v="9"/>
    <x v="1"/>
    <n v="10"/>
  </r>
  <r>
    <s v="ORD00747"/>
    <n v="45582.439421296287"/>
    <x v="311"/>
    <s v="Jayapura"/>
    <s v="Telur Ayam - Brand A"/>
    <x v="4"/>
    <x v="2"/>
    <n v="22000"/>
    <n v="2"/>
    <n v="10"/>
    <n v="44000"/>
    <n v="4400"/>
    <n v="39600"/>
    <n v="30000"/>
    <n v="69600"/>
    <x v="2"/>
    <s v="Completed"/>
    <x v="2"/>
    <n v="1"/>
    <s v="Perempuan"/>
    <x v="9"/>
    <x v="1"/>
    <n v="10"/>
  </r>
  <r>
    <s v="ORD00278"/>
    <n v="45582.465902777767"/>
    <x v="121"/>
    <s v="Jambi"/>
    <s v="Bawang Merah - Brand A"/>
    <x v="3"/>
    <x v="2"/>
    <n v="30000"/>
    <n v="1"/>
    <n v="10"/>
    <n v="30000"/>
    <n v="3000"/>
    <n v="27000"/>
    <n v="87000"/>
    <n v="114000"/>
    <x v="1"/>
    <s v="Completed"/>
    <x v="0"/>
    <n v="3"/>
    <s v="Perempuan"/>
    <x v="9"/>
    <x v="1"/>
    <n v="10"/>
  </r>
  <r>
    <s v="ORD00111"/>
    <n v="45582.85765046296"/>
    <x v="235"/>
    <s v="Banjarbaru"/>
    <s v="Bawang Merah - Brand B"/>
    <x v="3"/>
    <x v="1"/>
    <n v="35000"/>
    <n v="4"/>
    <n v="15"/>
    <n v="140000"/>
    <n v="21000"/>
    <n v="119000"/>
    <n v="55000"/>
    <n v="174000"/>
    <x v="1"/>
    <s v="Completed"/>
    <x v="3"/>
    <n v="2"/>
    <s v="Perempuan"/>
    <x v="9"/>
    <x v="1"/>
    <n v="10"/>
  </r>
  <r>
    <s v="ORD00987"/>
    <n v="45583.083252314813"/>
    <x v="81"/>
    <s v="Nabire"/>
    <s v="Daging Ayam - Brand C"/>
    <x v="1"/>
    <x v="0"/>
    <n v="45000"/>
    <n v="5"/>
    <n v="10"/>
    <n v="225000"/>
    <n v="22500"/>
    <n v="202500"/>
    <n v="89000"/>
    <n v="291500"/>
    <x v="3"/>
    <s v="Completed"/>
    <x v="2"/>
    <n v="3"/>
    <s v="Perempuan"/>
    <x v="9"/>
    <x v="1"/>
    <n v="10"/>
  </r>
  <r>
    <s v="ORD00131"/>
    <n v="45583.400694444441"/>
    <x v="300"/>
    <s v="Kendari"/>
    <s v="Bawang Merah - Brand B"/>
    <x v="3"/>
    <x v="1"/>
    <n v="35000"/>
    <n v="1"/>
    <n v="0"/>
    <n v="35000"/>
    <n v="0"/>
    <n v="35000"/>
    <n v="59000"/>
    <n v="94000"/>
    <x v="3"/>
    <s v="Completed"/>
    <x v="0"/>
    <n v="1"/>
    <s v="Perempuan"/>
    <x v="9"/>
    <x v="1"/>
    <n v="10"/>
  </r>
  <r>
    <s v="ORD00131"/>
    <n v="45583.400694444441"/>
    <x v="300"/>
    <s v="Kendari"/>
    <s v="Tepung Terigu - Brand C"/>
    <x v="2"/>
    <x v="0"/>
    <n v="14000"/>
    <n v="3"/>
    <n v="20"/>
    <n v="42000"/>
    <n v="8400"/>
    <n v="33600"/>
    <n v="0"/>
    <n v="33600"/>
    <x v="3"/>
    <s v="Completed"/>
    <x v="0"/>
    <n v="1"/>
    <s v="Perempuan"/>
    <x v="9"/>
    <x v="1"/>
    <n v="10"/>
  </r>
  <r>
    <s v="ORD00995"/>
    <n v="45583.736875000002"/>
    <x v="43"/>
    <s v="Samarinda"/>
    <s v="Gula Pasir - Brand A"/>
    <x v="6"/>
    <x v="2"/>
    <n v="16000"/>
    <n v="4"/>
    <n v="10"/>
    <n v="64000"/>
    <n v="6400"/>
    <n v="57600"/>
    <n v="43000"/>
    <n v="100600"/>
    <x v="3"/>
    <s v="Returned"/>
    <x v="3"/>
    <n v="4"/>
    <s v="Perempuan"/>
    <x v="9"/>
    <x v="1"/>
    <n v="10"/>
  </r>
  <r>
    <s v="ORD00230"/>
    <n v="45583.761122685188"/>
    <x v="159"/>
    <s v="Merauke"/>
    <s v="Daging Ayam - Brand B"/>
    <x v="1"/>
    <x v="1"/>
    <n v="40000"/>
    <n v="1"/>
    <n v="20"/>
    <n v="40000"/>
    <n v="8000"/>
    <n v="32000"/>
    <n v="59000"/>
    <n v="91000"/>
    <x v="0"/>
    <s v="Completed"/>
    <x v="3"/>
    <n v="2"/>
    <s v="Perempuan"/>
    <x v="9"/>
    <x v="1"/>
    <n v="10"/>
  </r>
  <r>
    <s v="ORD00307"/>
    <n v="45583.808518518519"/>
    <x v="0"/>
    <s v="Sorong"/>
    <s v="Bawang Merah - Brand A"/>
    <x v="3"/>
    <x v="2"/>
    <n v="30000"/>
    <n v="1"/>
    <n v="20"/>
    <n v="30000"/>
    <n v="6000"/>
    <n v="24000"/>
    <n v="87000"/>
    <n v="111000"/>
    <x v="3"/>
    <s v="Completed"/>
    <x v="2"/>
    <n v="2"/>
    <s v="Perempuan"/>
    <x v="9"/>
    <x v="1"/>
    <n v="10"/>
  </r>
  <r>
    <s v="ORD01202"/>
    <n v="45584.355254629627"/>
    <x v="188"/>
    <s v="Pontianak"/>
    <s v="Garam - Brand B"/>
    <x v="5"/>
    <x v="1"/>
    <n v="5000"/>
    <n v="3"/>
    <n v="10"/>
    <n v="15000"/>
    <n v="1500"/>
    <n v="13500"/>
    <n v="85000"/>
    <n v="98500"/>
    <x v="2"/>
    <s v="Returned"/>
    <x v="1"/>
    <n v="5"/>
    <s v="Laki-laki"/>
    <x v="9"/>
    <x v="1"/>
    <n v="10"/>
  </r>
  <r>
    <s v="ORD00649"/>
    <n v="45584.36681712963"/>
    <x v="207"/>
    <s v="Pontianak"/>
    <s v="Minyak Goreng - Brand A"/>
    <x v="8"/>
    <x v="2"/>
    <n v="16000"/>
    <n v="4"/>
    <n v="0"/>
    <n v="64000"/>
    <n v="0"/>
    <n v="64000"/>
    <n v="85000"/>
    <n v="149000"/>
    <x v="1"/>
    <s v="Completed"/>
    <x v="4"/>
    <n v="3"/>
    <s v="Perempuan"/>
    <x v="9"/>
    <x v="1"/>
    <n v="10"/>
  </r>
  <r>
    <s v="ORD00024"/>
    <n v="45584.417337962957"/>
    <x v="130"/>
    <s v="Jakarta"/>
    <s v="Beras - Brand C"/>
    <x v="0"/>
    <x v="0"/>
    <n v="16000"/>
    <n v="2"/>
    <n v="10"/>
    <n v="32000"/>
    <n v="3200"/>
    <n v="28800"/>
    <n v="97000"/>
    <n v="125800"/>
    <x v="2"/>
    <s v="Returned"/>
    <x v="4"/>
    <n v="4"/>
    <s v="Laki-laki"/>
    <x v="9"/>
    <x v="1"/>
    <n v="10"/>
  </r>
  <r>
    <s v="ORD01739"/>
    <n v="45584.532777777778"/>
    <x v="311"/>
    <s v="Jayapura"/>
    <s v="Bawang Merah - Brand B"/>
    <x v="3"/>
    <x v="1"/>
    <n v="35000"/>
    <n v="2"/>
    <n v="10"/>
    <n v="70000"/>
    <n v="7000"/>
    <n v="63000"/>
    <n v="30000"/>
    <n v="93000"/>
    <x v="0"/>
    <s v="Completed"/>
    <x v="3"/>
    <n v="5"/>
    <s v="Perempuan"/>
    <x v="9"/>
    <x v="1"/>
    <n v="10"/>
  </r>
  <r>
    <s v="ORD00660"/>
    <n v="45584.6871875"/>
    <x v="255"/>
    <s v="Manado"/>
    <s v="Beras - Brand B"/>
    <x v="0"/>
    <x v="1"/>
    <n v="15000"/>
    <n v="3"/>
    <n v="0"/>
    <n v="45000"/>
    <n v="0"/>
    <n v="45000"/>
    <n v="93000"/>
    <n v="138000"/>
    <x v="2"/>
    <s v="Cancelled"/>
    <x v="1"/>
    <n v="2"/>
    <s v="Laki-laki"/>
    <x v="9"/>
    <x v="1"/>
    <n v="10"/>
  </r>
  <r>
    <s v="ORD00959"/>
    <n v="45585.006365740737"/>
    <x v="330"/>
    <s v="Pontianak"/>
    <s v="Gula Pasir - Brand B"/>
    <x v="6"/>
    <x v="1"/>
    <n v="17000"/>
    <n v="1"/>
    <n v="0"/>
    <n v="17000"/>
    <n v="0"/>
    <n v="17000"/>
    <n v="85000"/>
    <n v="102000"/>
    <x v="1"/>
    <s v="Completed"/>
    <x v="0"/>
    <n v="1"/>
    <s v="Perempuan"/>
    <x v="9"/>
    <x v="1"/>
    <n v="10"/>
  </r>
  <r>
    <s v="ORD00801"/>
    <n v="45585.27239583333"/>
    <x v="275"/>
    <s v="Mataram"/>
    <s v="Bawang Merah - Brand B"/>
    <x v="3"/>
    <x v="1"/>
    <n v="35000"/>
    <n v="2"/>
    <n v="10"/>
    <n v="70000"/>
    <n v="7000"/>
    <n v="63000"/>
    <n v="56000"/>
    <n v="119000"/>
    <x v="0"/>
    <s v="Returned"/>
    <x v="4"/>
    <n v="4"/>
    <s v="Laki-laki"/>
    <x v="9"/>
    <x v="1"/>
    <n v="10"/>
  </r>
  <r>
    <s v="ORD00143"/>
    <n v="45585.31559027778"/>
    <x v="34"/>
    <s v="Semarang"/>
    <s v="Bawang Merah - Brand A"/>
    <x v="3"/>
    <x v="2"/>
    <n v="30000"/>
    <n v="3"/>
    <n v="5"/>
    <n v="90000"/>
    <n v="4500"/>
    <n v="85500"/>
    <n v="76000"/>
    <n v="161500"/>
    <x v="3"/>
    <s v="Returned"/>
    <x v="3"/>
    <n v="1"/>
    <s v="Perempuan"/>
    <x v="9"/>
    <x v="1"/>
    <n v="10"/>
  </r>
  <r>
    <s v="ORD00143"/>
    <n v="45585.31559027778"/>
    <x v="34"/>
    <s v="Semarang"/>
    <s v="Gula Pasir - Brand C"/>
    <x v="6"/>
    <x v="0"/>
    <n v="18000"/>
    <n v="2"/>
    <n v="10"/>
    <n v="36000"/>
    <n v="3600"/>
    <n v="32400"/>
    <n v="0"/>
    <n v="32400"/>
    <x v="3"/>
    <s v="Returned"/>
    <x v="3"/>
    <n v="1"/>
    <s v="Perempuan"/>
    <x v="9"/>
    <x v="1"/>
    <n v="10"/>
  </r>
  <r>
    <s v="ORD00219"/>
    <n v="45585.430104166669"/>
    <x v="23"/>
    <s v="Bandung"/>
    <s v="Daging Ayam - Brand B"/>
    <x v="1"/>
    <x v="1"/>
    <n v="40000"/>
    <n v="5"/>
    <n v="15"/>
    <n v="200000"/>
    <n v="30000"/>
    <n v="170000"/>
    <n v="0"/>
    <n v="170000"/>
    <x v="3"/>
    <s v="Returned"/>
    <x v="4"/>
    <n v="2"/>
    <s v="Perempuan"/>
    <x v="9"/>
    <x v="1"/>
    <n v="10"/>
  </r>
  <r>
    <s v="ORD00228"/>
    <n v="45586.347326388888"/>
    <x v="87"/>
    <s v="Palu"/>
    <s v="Gula Pasir - Brand B"/>
    <x v="6"/>
    <x v="1"/>
    <n v="17000"/>
    <n v="2"/>
    <n v="20"/>
    <n v="34000"/>
    <n v="6800"/>
    <n v="27200"/>
    <n v="67000"/>
    <n v="94200"/>
    <x v="3"/>
    <s v="Returned"/>
    <x v="4"/>
    <n v="4"/>
    <s v="Perempuan"/>
    <x v="9"/>
    <x v="1"/>
    <n v="10"/>
  </r>
  <r>
    <s v="ORD01030"/>
    <n v="45586.38616898148"/>
    <x v="162"/>
    <s v="Kupang"/>
    <s v="Daging Ayam - Brand B"/>
    <x v="1"/>
    <x v="1"/>
    <n v="40000"/>
    <n v="3"/>
    <n v="5"/>
    <n v="120000"/>
    <n v="6000"/>
    <n v="114000"/>
    <n v="21000"/>
    <n v="135000"/>
    <x v="2"/>
    <s v="Completed"/>
    <x v="1"/>
    <n v="3"/>
    <s v="Perempuan"/>
    <x v="9"/>
    <x v="1"/>
    <n v="10"/>
  </r>
  <r>
    <s v="ORD00037"/>
    <n v="45587.162407407413"/>
    <x v="390"/>
    <s v="Bandung"/>
    <s v="Telur Ayam - Brand B"/>
    <x v="4"/>
    <x v="1"/>
    <n v="25000"/>
    <n v="1"/>
    <n v="0"/>
    <n v="25000"/>
    <n v="0"/>
    <n v="25000"/>
    <n v="0"/>
    <n v="25000"/>
    <x v="0"/>
    <s v="Completed"/>
    <x v="1"/>
    <n v="1"/>
    <s v="Laki-laki"/>
    <x v="9"/>
    <x v="1"/>
    <n v="10"/>
  </r>
  <r>
    <s v="ORD01263"/>
    <n v="45587.341643518521"/>
    <x v="70"/>
    <s v="Bengkulu"/>
    <s v="Gula Pasir - Brand A"/>
    <x v="6"/>
    <x v="2"/>
    <n v="16000"/>
    <n v="2"/>
    <n v="0"/>
    <n v="32000"/>
    <n v="0"/>
    <n v="32000"/>
    <n v="72000"/>
    <n v="104000"/>
    <x v="2"/>
    <s v="Completed"/>
    <x v="4"/>
    <n v="1"/>
    <s v="Laki-laki"/>
    <x v="9"/>
    <x v="1"/>
    <n v="10"/>
  </r>
  <r>
    <s v="ORD00782"/>
    <n v="45587.469409722216"/>
    <x v="88"/>
    <s v="Banda Aceh"/>
    <s v="Susu Bubuk - Brand A"/>
    <x v="7"/>
    <x v="2"/>
    <n v="45000"/>
    <n v="4"/>
    <n v="15"/>
    <n v="180000"/>
    <n v="27000"/>
    <n v="153000"/>
    <n v="18000"/>
    <n v="171000"/>
    <x v="3"/>
    <s v="Completed"/>
    <x v="0"/>
    <n v="1"/>
    <s v="Perempuan"/>
    <x v="9"/>
    <x v="1"/>
    <n v="10"/>
  </r>
  <r>
    <s v="ORD01565"/>
    <n v="45587.500289351847"/>
    <x v="336"/>
    <s v="Denpasar"/>
    <s v="Bawang Merah - Brand A"/>
    <x v="3"/>
    <x v="2"/>
    <n v="30000"/>
    <n v="1"/>
    <n v="20"/>
    <n v="30000"/>
    <n v="6000"/>
    <n v="24000"/>
    <n v="80000"/>
    <n v="104000"/>
    <x v="2"/>
    <s v="Completed"/>
    <x v="1"/>
    <n v="3"/>
    <s v="Laki-laki"/>
    <x v="9"/>
    <x v="1"/>
    <n v="10"/>
  </r>
  <r>
    <s v="ORD01280"/>
    <n v="45588.139120370368"/>
    <x v="77"/>
    <s v="Medan"/>
    <s v="Minyak Goreng - Brand B"/>
    <x v="8"/>
    <x v="1"/>
    <n v="17000"/>
    <n v="2"/>
    <n v="15"/>
    <n v="34000"/>
    <n v="5100"/>
    <n v="28900"/>
    <n v="79000"/>
    <n v="107900"/>
    <x v="0"/>
    <s v="Returned"/>
    <x v="2"/>
    <n v="5"/>
    <s v="Laki-laki"/>
    <x v="9"/>
    <x v="1"/>
    <n v="10"/>
  </r>
  <r>
    <s v="ORD00277"/>
    <n v="45588.201261574082"/>
    <x v="298"/>
    <s v="Samarinda"/>
    <s v="Minyak Goreng - Brand C"/>
    <x v="8"/>
    <x v="0"/>
    <n v="18000"/>
    <n v="5"/>
    <n v="5"/>
    <n v="90000"/>
    <n v="4500"/>
    <n v="85500"/>
    <n v="43000"/>
    <n v="128500"/>
    <x v="3"/>
    <s v="Completed"/>
    <x v="3"/>
    <n v="2"/>
    <s v="Perempuan"/>
    <x v="9"/>
    <x v="1"/>
    <n v="10"/>
  </r>
  <r>
    <s v="ORD00277"/>
    <n v="45588.201261574082"/>
    <x v="298"/>
    <s v="Samarinda"/>
    <s v="Susu Bubuk - Brand A"/>
    <x v="7"/>
    <x v="2"/>
    <n v="45000"/>
    <n v="5"/>
    <n v="20"/>
    <n v="225000"/>
    <n v="45000"/>
    <n v="180000"/>
    <n v="0"/>
    <n v="180000"/>
    <x v="3"/>
    <s v="Completed"/>
    <x v="3"/>
    <n v="2"/>
    <s v="Perempuan"/>
    <x v="9"/>
    <x v="1"/>
    <n v="10"/>
  </r>
  <r>
    <s v="ORD01543"/>
    <n v="45588.265324074076"/>
    <x v="282"/>
    <s v="Banjarbaru"/>
    <s v="Minyak Goreng - Brand A"/>
    <x v="8"/>
    <x v="2"/>
    <n v="16000"/>
    <n v="4"/>
    <n v="15"/>
    <n v="64000"/>
    <n v="9600"/>
    <n v="54400"/>
    <n v="55000"/>
    <n v="109400"/>
    <x v="0"/>
    <s v="Completed"/>
    <x v="0"/>
    <n v="1"/>
    <s v="Perempuan"/>
    <x v="9"/>
    <x v="1"/>
    <n v="10"/>
  </r>
  <r>
    <s v="ORD01046"/>
    <n v="45588.701157407413"/>
    <x v="60"/>
    <s v="Bengkulu"/>
    <s v="Tepung Terigu - Brand B"/>
    <x v="2"/>
    <x v="1"/>
    <n v="12000"/>
    <n v="4"/>
    <n v="5"/>
    <n v="48000"/>
    <n v="2400"/>
    <n v="45600"/>
    <n v="72000"/>
    <n v="117600"/>
    <x v="3"/>
    <s v="Completed"/>
    <x v="0"/>
    <n v="4"/>
    <s v="Perempuan"/>
    <x v="9"/>
    <x v="1"/>
    <n v="10"/>
  </r>
  <r>
    <s v="ORD01708"/>
    <n v="45588.701851851853"/>
    <x v="328"/>
    <s v="Palembang"/>
    <s v="Garam - Brand C"/>
    <x v="5"/>
    <x v="0"/>
    <n v="6000"/>
    <n v="4"/>
    <n v="10"/>
    <n v="24000"/>
    <n v="2400"/>
    <n v="21600"/>
    <n v="17000"/>
    <n v="38600"/>
    <x v="3"/>
    <s v="Completed"/>
    <x v="1"/>
    <n v="4"/>
    <s v="Laki-laki"/>
    <x v="9"/>
    <x v="1"/>
    <n v="10"/>
  </r>
  <r>
    <s v="ORD00225"/>
    <n v="45588.748912037037"/>
    <x v="272"/>
    <s v="Semarang"/>
    <s v="Susu Bubuk - Brand A"/>
    <x v="7"/>
    <x v="2"/>
    <n v="45000"/>
    <n v="3"/>
    <n v="15"/>
    <n v="135000"/>
    <n v="20250"/>
    <n v="114750"/>
    <n v="76000"/>
    <n v="190750"/>
    <x v="3"/>
    <s v="Completed"/>
    <x v="0"/>
    <n v="1"/>
    <s v="Perempuan"/>
    <x v="9"/>
    <x v="1"/>
    <n v="10"/>
  </r>
  <r>
    <s v="ORD00225"/>
    <n v="45588.748912037037"/>
    <x v="272"/>
    <s v="Semarang"/>
    <s v="Minyak Goreng - Brand B"/>
    <x v="8"/>
    <x v="1"/>
    <n v="17000"/>
    <n v="4"/>
    <n v="20"/>
    <n v="68000"/>
    <n v="13600"/>
    <n v="54400"/>
    <n v="0"/>
    <n v="54400"/>
    <x v="3"/>
    <s v="Completed"/>
    <x v="0"/>
    <n v="1"/>
    <s v="Perempuan"/>
    <x v="9"/>
    <x v="1"/>
    <n v="10"/>
  </r>
  <r>
    <s v="ORD00796"/>
    <n v="45589.446782407409"/>
    <x v="20"/>
    <s v="Surabaya"/>
    <s v="Telur Ayam - Brand A"/>
    <x v="4"/>
    <x v="2"/>
    <n v="22000"/>
    <n v="3"/>
    <n v="10"/>
    <n v="66000"/>
    <n v="6600"/>
    <n v="59400"/>
    <n v="74000"/>
    <n v="133400"/>
    <x v="1"/>
    <s v="Completed"/>
    <x v="1"/>
    <n v="3"/>
    <s v="Perempuan"/>
    <x v="9"/>
    <x v="1"/>
    <n v="10"/>
  </r>
  <r>
    <s v="ORD01720"/>
    <n v="45589.502523148149"/>
    <x v="253"/>
    <s v="Tanjung Selor"/>
    <s v="Telur Ayam - Brand B"/>
    <x v="4"/>
    <x v="1"/>
    <n v="25000"/>
    <n v="3"/>
    <n v="10"/>
    <n v="75000"/>
    <n v="7500"/>
    <n v="67500"/>
    <n v="26000"/>
    <n v="93500"/>
    <x v="3"/>
    <s v="Completed"/>
    <x v="4"/>
    <n v="5"/>
    <s v="Perempuan"/>
    <x v="9"/>
    <x v="1"/>
    <n v="10"/>
  </r>
  <r>
    <s v="ORD00034"/>
    <n v="45589.551249999997"/>
    <x v="135"/>
    <s v="Jayapura"/>
    <s v="Daging Ayam - Brand A"/>
    <x v="1"/>
    <x v="2"/>
    <n v="35000"/>
    <n v="3"/>
    <n v="0"/>
    <n v="105000"/>
    <n v="0"/>
    <n v="105000"/>
    <n v="30000"/>
    <n v="135000"/>
    <x v="0"/>
    <s v="Completed"/>
    <x v="0"/>
    <n v="1"/>
    <s v="Laki-laki"/>
    <x v="9"/>
    <x v="1"/>
    <n v="10"/>
  </r>
  <r>
    <s v="ORD01547"/>
    <n v="45589.828738425917"/>
    <x v="69"/>
    <s v="Bandung"/>
    <s v="Garam - Brand C"/>
    <x v="5"/>
    <x v="0"/>
    <n v="6000"/>
    <n v="5"/>
    <n v="15"/>
    <n v="30000"/>
    <n v="4500"/>
    <n v="25500"/>
    <n v="0"/>
    <n v="25500"/>
    <x v="0"/>
    <s v="Completed"/>
    <x v="0"/>
    <n v="3"/>
    <s v="Perempuan"/>
    <x v="9"/>
    <x v="1"/>
    <n v="10"/>
  </r>
  <r>
    <s v="ORD00519"/>
    <n v="45589.90861111111"/>
    <x v="263"/>
    <s v="Medan"/>
    <s v="Bawang Merah - Brand B"/>
    <x v="3"/>
    <x v="1"/>
    <n v="35000"/>
    <n v="4"/>
    <n v="20"/>
    <n v="140000"/>
    <n v="28000"/>
    <n v="112000"/>
    <n v="79000"/>
    <n v="191000"/>
    <x v="3"/>
    <s v="Completed"/>
    <x v="4"/>
    <n v="4"/>
    <s v="Laki-laki"/>
    <x v="9"/>
    <x v="1"/>
    <n v="10"/>
  </r>
  <r>
    <s v="ORD01088"/>
    <n v="45589.987604166658"/>
    <x v="366"/>
    <s v="Merauke"/>
    <s v="Bawang Merah - Brand C"/>
    <x v="3"/>
    <x v="0"/>
    <n v="40000"/>
    <n v="1"/>
    <n v="5"/>
    <n v="40000"/>
    <n v="2000"/>
    <n v="38000"/>
    <n v="59000"/>
    <n v="97000"/>
    <x v="1"/>
    <s v="Completed"/>
    <x v="3"/>
    <n v="5"/>
    <s v="Perempuan"/>
    <x v="9"/>
    <x v="1"/>
    <n v="10"/>
  </r>
  <r>
    <s v="ORD00905"/>
    <n v="45590.049872685187"/>
    <x v="12"/>
    <s v="Sofifi"/>
    <s v="Gula Pasir - Brand C"/>
    <x v="6"/>
    <x v="0"/>
    <n v="18000"/>
    <n v="1"/>
    <n v="10"/>
    <n v="18000"/>
    <n v="1800"/>
    <n v="16200"/>
    <n v="50000"/>
    <n v="66200"/>
    <x v="0"/>
    <s v="Completed"/>
    <x v="0"/>
    <n v="4"/>
    <s v="Perempuan"/>
    <x v="9"/>
    <x v="1"/>
    <n v="10"/>
  </r>
  <r>
    <s v="ORD00589"/>
    <n v="45590.060011574067"/>
    <x v="170"/>
    <s v="Bengkulu"/>
    <s v="Garam - Brand C"/>
    <x v="5"/>
    <x v="0"/>
    <n v="6000"/>
    <n v="4"/>
    <n v="5"/>
    <n v="24000"/>
    <n v="1200"/>
    <n v="22800"/>
    <n v="72000"/>
    <n v="94800"/>
    <x v="2"/>
    <s v="Completed"/>
    <x v="4"/>
    <n v="2"/>
    <s v="Perempuan"/>
    <x v="9"/>
    <x v="1"/>
    <n v="10"/>
  </r>
  <r>
    <s v="ORD00328"/>
    <n v="45590.070925925917"/>
    <x v="252"/>
    <s v="Palembang"/>
    <s v="Tepung Terigu - Brand B"/>
    <x v="2"/>
    <x v="1"/>
    <n v="12000"/>
    <n v="1"/>
    <n v="0"/>
    <n v="12000"/>
    <n v="0"/>
    <n v="12000"/>
    <n v="17000"/>
    <n v="29000"/>
    <x v="0"/>
    <s v="Completed"/>
    <x v="1"/>
    <n v="4"/>
    <s v="Perempuan"/>
    <x v="9"/>
    <x v="1"/>
    <n v="10"/>
  </r>
  <r>
    <s v="ORD00510"/>
    <n v="45590.156111111108"/>
    <x v="321"/>
    <s v="Yogyakarta"/>
    <s v="Beras - Brand A"/>
    <x v="0"/>
    <x v="2"/>
    <n v="14000"/>
    <n v="4"/>
    <n v="5"/>
    <n v="56000"/>
    <n v="2800"/>
    <n v="53200"/>
    <n v="78000"/>
    <n v="131200"/>
    <x v="3"/>
    <s v="Returned"/>
    <x v="1"/>
    <n v="1"/>
    <s v="Perempuan"/>
    <x v="9"/>
    <x v="1"/>
    <n v="10"/>
  </r>
  <r>
    <s v="ORD01325"/>
    <n v="45590.454780092587"/>
    <x v="127"/>
    <s v="Banda Aceh"/>
    <s v="Minyak Goreng - Brand A"/>
    <x v="8"/>
    <x v="2"/>
    <n v="16000"/>
    <n v="4"/>
    <n v="0"/>
    <n v="64000"/>
    <n v="0"/>
    <n v="64000"/>
    <n v="18000"/>
    <n v="82000"/>
    <x v="1"/>
    <s v="Completed"/>
    <x v="3"/>
    <n v="5"/>
    <s v="Perempuan"/>
    <x v="9"/>
    <x v="1"/>
    <n v="10"/>
  </r>
  <r>
    <s v="ORD00096"/>
    <n v="45590.681967592587"/>
    <x v="77"/>
    <s v="Medan"/>
    <s v="Daging Ayam - Brand C"/>
    <x v="1"/>
    <x v="0"/>
    <n v="45000"/>
    <n v="2"/>
    <n v="0"/>
    <n v="90000"/>
    <n v="0"/>
    <n v="90000"/>
    <n v="79000"/>
    <n v="169000"/>
    <x v="3"/>
    <s v="Completed"/>
    <x v="3"/>
    <n v="5"/>
    <s v="Laki-laki"/>
    <x v="9"/>
    <x v="1"/>
    <n v="10"/>
  </r>
  <r>
    <s v="ORD00835"/>
    <n v="45590.768460648149"/>
    <x v="249"/>
    <s v="Tanjungpinang"/>
    <s v="Susu Bubuk - Brand C"/>
    <x v="7"/>
    <x v="0"/>
    <n v="55000"/>
    <n v="5"/>
    <n v="5"/>
    <n v="275000"/>
    <n v="13750"/>
    <n v="261250"/>
    <n v="48000"/>
    <n v="309250"/>
    <x v="0"/>
    <s v="Returned"/>
    <x v="3"/>
    <n v="1"/>
    <s v="Perempuan"/>
    <x v="9"/>
    <x v="1"/>
    <n v="10"/>
  </r>
  <r>
    <s v="ORD00859"/>
    <n v="45590.867025462961"/>
    <x v="322"/>
    <s v="Jakarta"/>
    <s v="Minyak Goreng - Brand B"/>
    <x v="8"/>
    <x v="1"/>
    <n v="17000"/>
    <n v="3"/>
    <n v="15"/>
    <n v="51000"/>
    <n v="7650"/>
    <n v="43350"/>
    <n v="97000"/>
    <n v="140350"/>
    <x v="2"/>
    <s v="Completed"/>
    <x v="0"/>
    <n v="5"/>
    <s v="Laki-laki"/>
    <x v="9"/>
    <x v="1"/>
    <n v="10"/>
  </r>
  <r>
    <s v="ORD00238"/>
    <n v="45590.888842592591"/>
    <x v="139"/>
    <s v="Tanjungpinang"/>
    <s v="Telur Ayam - Brand A"/>
    <x v="4"/>
    <x v="2"/>
    <n v="22000"/>
    <n v="5"/>
    <n v="10"/>
    <n v="110000"/>
    <n v="11000"/>
    <n v="99000"/>
    <n v="48000"/>
    <n v="147000"/>
    <x v="1"/>
    <s v="Completed"/>
    <x v="3"/>
    <n v="3"/>
    <s v="Perempuan"/>
    <x v="9"/>
    <x v="1"/>
    <n v="10"/>
  </r>
  <r>
    <s v="ORD00735"/>
    <n v="45590.895532407398"/>
    <x v="264"/>
    <s v="Pontianak"/>
    <s v="Telur Ayam - Brand A"/>
    <x v="4"/>
    <x v="2"/>
    <n v="22000"/>
    <n v="3"/>
    <n v="0"/>
    <n v="66000"/>
    <n v="0"/>
    <n v="66000"/>
    <n v="85000"/>
    <n v="151000"/>
    <x v="0"/>
    <s v="Completed"/>
    <x v="1"/>
    <n v="1"/>
    <s v="Perempuan"/>
    <x v="9"/>
    <x v="1"/>
    <n v="10"/>
  </r>
  <r>
    <s v="ORD01712"/>
    <n v="45591.019918981481"/>
    <x v="134"/>
    <s v="Mamuju"/>
    <s v="Beras - Brand C"/>
    <x v="0"/>
    <x v="0"/>
    <n v="16000"/>
    <n v="5"/>
    <n v="10"/>
    <n v="80000"/>
    <n v="8000"/>
    <n v="72000"/>
    <n v="46000"/>
    <n v="118000"/>
    <x v="3"/>
    <s v="Completed"/>
    <x v="2"/>
    <n v="4"/>
    <s v="Perempuan"/>
    <x v="9"/>
    <x v="1"/>
    <n v="10"/>
  </r>
  <r>
    <s v="ORD00696"/>
    <n v="45591.140474537038"/>
    <x v="45"/>
    <s v="Jakarta"/>
    <s v="Bawang Merah - Brand B"/>
    <x v="3"/>
    <x v="1"/>
    <n v="35000"/>
    <n v="1"/>
    <n v="15"/>
    <n v="35000"/>
    <n v="5250"/>
    <n v="29750"/>
    <n v="97000"/>
    <n v="126750"/>
    <x v="2"/>
    <s v="Completed"/>
    <x v="4"/>
    <n v="5"/>
    <s v="Perempuan"/>
    <x v="9"/>
    <x v="1"/>
    <n v="10"/>
  </r>
  <r>
    <s v="ORD01323"/>
    <n v="45591.467962962961"/>
    <x v="376"/>
    <s v="Tanjungpinang"/>
    <s v="Telur Ayam - Brand A"/>
    <x v="4"/>
    <x v="2"/>
    <n v="22000"/>
    <n v="3"/>
    <n v="0"/>
    <n v="66000"/>
    <n v="0"/>
    <n v="66000"/>
    <n v="48000"/>
    <n v="114000"/>
    <x v="2"/>
    <s v="Completed"/>
    <x v="0"/>
    <n v="2"/>
    <s v="Perempuan"/>
    <x v="9"/>
    <x v="1"/>
    <n v="10"/>
  </r>
  <r>
    <s v="ORD00952"/>
    <n v="45591.748981481483"/>
    <x v="128"/>
    <s v="Samarinda"/>
    <s v="Susu Bubuk - Brand B"/>
    <x v="7"/>
    <x v="1"/>
    <n v="50000"/>
    <n v="5"/>
    <n v="15"/>
    <n v="250000"/>
    <n v="37500"/>
    <n v="212500"/>
    <n v="43000"/>
    <n v="255500"/>
    <x v="0"/>
    <s v="Completed"/>
    <x v="0"/>
    <n v="5"/>
    <s v="Perempuan"/>
    <x v="9"/>
    <x v="1"/>
    <n v="10"/>
  </r>
  <r>
    <s v="ORD01585"/>
    <n v="45591.931064814817"/>
    <x v="3"/>
    <s v="Wamena"/>
    <s v="Tepung Terigu - Brand B"/>
    <x v="2"/>
    <x v="1"/>
    <n v="12000"/>
    <n v="1"/>
    <n v="0"/>
    <n v="12000"/>
    <n v="0"/>
    <n v="12000"/>
    <n v="15000"/>
    <n v="27000"/>
    <x v="1"/>
    <s v="Completed"/>
    <x v="2"/>
    <n v="5"/>
    <s v="Perempuan"/>
    <x v="9"/>
    <x v="1"/>
    <n v="10"/>
  </r>
  <r>
    <s v="ORD01822"/>
    <n v="45591.96943287037"/>
    <x v="325"/>
    <s v="Tanjungpinang"/>
    <s v="Susu Bubuk - Brand C"/>
    <x v="7"/>
    <x v="0"/>
    <n v="55000"/>
    <n v="3"/>
    <n v="0"/>
    <n v="165000"/>
    <n v="0"/>
    <n v="165000"/>
    <n v="48000"/>
    <n v="213000"/>
    <x v="2"/>
    <s v="Completed"/>
    <x v="2"/>
    <n v="2"/>
    <s v="Perempuan"/>
    <x v="9"/>
    <x v="1"/>
    <n v="10"/>
  </r>
  <r>
    <s v="ORD00069"/>
    <n v="45592.29173611111"/>
    <x v="391"/>
    <s v="Pekanbaru"/>
    <s v="Daging Ayam - Brand C"/>
    <x v="1"/>
    <x v="0"/>
    <n v="45000"/>
    <n v="4"/>
    <n v="0"/>
    <n v="180000"/>
    <n v="0"/>
    <n v="180000"/>
    <n v="49000"/>
    <n v="229000"/>
    <x v="2"/>
    <s v="Returned"/>
    <x v="3"/>
    <n v="1"/>
    <s v="Laki-laki"/>
    <x v="9"/>
    <x v="1"/>
    <n v="10"/>
  </r>
  <r>
    <s v="ORD01347"/>
    <n v="45592.339837962973"/>
    <x v="249"/>
    <s v="Tanjungpinang"/>
    <s v="Bawang Merah - Brand B"/>
    <x v="3"/>
    <x v="1"/>
    <n v="35000"/>
    <n v="2"/>
    <n v="10"/>
    <n v="70000"/>
    <n v="7000"/>
    <n v="63000"/>
    <n v="48000"/>
    <n v="111000"/>
    <x v="0"/>
    <s v="Completed"/>
    <x v="3"/>
    <n v="1"/>
    <s v="Perempuan"/>
    <x v="9"/>
    <x v="1"/>
    <n v="10"/>
  </r>
  <r>
    <s v="ORD00993"/>
    <n v="45592.706921296303"/>
    <x v="80"/>
    <s v="Manado"/>
    <s v="Daging Ayam - Brand B"/>
    <x v="1"/>
    <x v="1"/>
    <n v="40000"/>
    <n v="5"/>
    <n v="0"/>
    <n v="200000"/>
    <n v="0"/>
    <n v="200000"/>
    <n v="93000"/>
    <n v="293000"/>
    <x v="1"/>
    <s v="Completed"/>
    <x v="1"/>
    <n v="2"/>
    <s v="Laki-laki"/>
    <x v="9"/>
    <x v="1"/>
    <n v="10"/>
  </r>
  <r>
    <s v="ORD01105"/>
    <n v="45592.76121527778"/>
    <x v="58"/>
    <s v="Ambon"/>
    <s v="Daging Ayam - Brand A"/>
    <x v="1"/>
    <x v="2"/>
    <n v="35000"/>
    <n v="5"/>
    <n v="10"/>
    <n v="175000"/>
    <n v="17500"/>
    <n v="157500"/>
    <n v="49000"/>
    <n v="206500"/>
    <x v="1"/>
    <s v="Returned"/>
    <x v="1"/>
    <n v="1"/>
    <s v="Laki-laki"/>
    <x v="9"/>
    <x v="1"/>
    <n v="10"/>
  </r>
  <r>
    <s v="ORD01853"/>
    <n v="45593.106770833343"/>
    <x v="224"/>
    <s v="Merauke"/>
    <s v="Garam - Brand B"/>
    <x v="5"/>
    <x v="1"/>
    <n v="5000"/>
    <n v="4"/>
    <n v="0"/>
    <n v="20000"/>
    <n v="0"/>
    <n v="20000"/>
    <n v="59000"/>
    <n v="79000"/>
    <x v="3"/>
    <s v="Completed"/>
    <x v="0"/>
    <n v="5"/>
    <s v="Perempuan"/>
    <x v="9"/>
    <x v="1"/>
    <n v="10"/>
  </r>
  <r>
    <s v="ORD00012"/>
    <n v="45593.151678240742"/>
    <x v="383"/>
    <s v="Pontianak"/>
    <s v="Minyak Goreng - Brand C"/>
    <x v="8"/>
    <x v="0"/>
    <n v="18000"/>
    <n v="2"/>
    <n v="10"/>
    <n v="36000"/>
    <n v="3600"/>
    <n v="32400"/>
    <n v="85000"/>
    <n v="117400"/>
    <x v="3"/>
    <s v="Completed"/>
    <x v="2"/>
    <n v="1"/>
    <s v="Laki-laki"/>
    <x v="9"/>
    <x v="1"/>
    <n v="10"/>
  </r>
  <r>
    <s v="ORD00836"/>
    <n v="45593.403321759259"/>
    <x v="44"/>
    <s v="Jakarta"/>
    <s v="Garam - Brand A"/>
    <x v="5"/>
    <x v="2"/>
    <n v="4000"/>
    <n v="4"/>
    <n v="0"/>
    <n v="16000"/>
    <n v="0"/>
    <n v="16000"/>
    <n v="97000"/>
    <n v="113000"/>
    <x v="2"/>
    <s v="Completed"/>
    <x v="3"/>
    <n v="2"/>
    <s v="Perempuan"/>
    <x v="9"/>
    <x v="1"/>
    <n v="10"/>
  </r>
  <r>
    <s v="ORD00575"/>
    <n v="45594.145104166673"/>
    <x v="100"/>
    <s v="Sorong"/>
    <s v="Garam - Brand A"/>
    <x v="5"/>
    <x v="2"/>
    <n v="4000"/>
    <n v="3"/>
    <n v="20"/>
    <n v="12000"/>
    <n v="2400"/>
    <n v="9600"/>
    <n v="87000"/>
    <n v="96600"/>
    <x v="0"/>
    <s v="Cancelled"/>
    <x v="1"/>
    <n v="4"/>
    <s v="Perempuan"/>
    <x v="9"/>
    <x v="1"/>
    <n v="10"/>
  </r>
  <r>
    <s v="ORD00816"/>
    <n v="45594.350405092591"/>
    <x v="9"/>
    <s v="Banjarbaru"/>
    <s v="Gula Pasir - Brand C"/>
    <x v="6"/>
    <x v="0"/>
    <n v="18000"/>
    <n v="3"/>
    <n v="10"/>
    <n v="54000"/>
    <n v="5400"/>
    <n v="48600"/>
    <n v="55000"/>
    <n v="103600"/>
    <x v="0"/>
    <s v="Completed"/>
    <x v="0"/>
    <n v="3"/>
    <s v="Perempuan"/>
    <x v="9"/>
    <x v="1"/>
    <n v="10"/>
  </r>
  <r>
    <s v="ORD00909"/>
    <n v="45594.41207175926"/>
    <x v="3"/>
    <s v="Wamena"/>
    <s v="Tepung Terigu - Brand C"/>
    <x v="2"/>
    <x v="0"/>
    <n v="14000"/>
    <n v="4"/>
    <n v="10"/>
    <n v="56000"/>
    <n v="5600"/>
    <n v="50400"/>
    <n v="15000"/>
    <n v="65400"/>
    <x v="2"/>
    <s v="Cancelled"/>
    <x v="3"/>
    <n v="2"/>
    <s v="Perempuan"/>
    <x v="9"/>
    <x v="1"/>
    <n v="10"/>
  </r>
  <r>
    <s v="ORD01328"/>
    <n v="45594.518923611111"/>
    <x v="240"/>
    <s v="Wamena"/>
    <s v="Tepung Terigu - Brand A"/>
    <x v="2"/>
    <x v="2"/>
    <n v="10000"/>
    <n v="4"/>
    <n v="10"/>
    <n v="40000"/>
    <n v="4000"/>
    <n v="36000"/>
    <n v="15000"/>
    <n v="51000"/>
    <x v="2"/>
    <s v="Completed"/>
    <x v="0"/>
    <n v="5"/>
    <s v="Laki-laki"/>
    <x v="9"/>
    <x v="1"/>
    <n v="10"/>
  </r>
  <r>
    <s v="ORD01259"/>
    <n v="45594.764247685183"/>
    <x v="327"/>
    <s v="Pekanbaru"/>
    <s v="Minyak Goreng - Brand B"/>
    <x v="8"/>
    <x v="1"/>
    <n v="17000"/>
    <n v="2"/>
    <n v="0"/>
    <n v="34000"/>
    <n v="0"/>
    <n v="34000"/>
    <n v="49000"/>
    <n v="83000"/>
    <x v="1"/>
    <s v="Completed"/>
    <x v="1"/>
    <n v="4"/>
    <s v="Perempuan"/>
    <x v="9"/>
    <x v="1"/>
    <n v="10"/>
  </r>
  <r>
    <s v="ORD00681"/>
    <n v="45594.980034722219"/>
    <x v="378"/>
    <s v="Palembang"/>
    <s v="Beras - Brand B"/>
    <x v="0"/>
    <x v="1"/>
    <n v="15000"/>
    <n v="4"/>
    <n v="10"/>
    <n v="60000"/>
    <n v="6000"/>
    <n v="54000"/>
    <n v="17000"/>
    <n v="71000"/>
    <x v="1"/>
    <s v="Completed"/>
    <x v="4"/>
    <n v="2"/>
    <s v="Perempuan"/>
    <x v="9"/>
    <x v="1"/>
    <n v="10"/>
  </r>
  <r>
    <s v="ORD00972"/>
    <n v="45595.261643518519"/>
    <x v="192"/>
    <s v="Tanjungpinang"/>
    <s v="Garam - Brand C"/>
    <x v="5"/>
    <x v="0"/>
    <n v="6000"/>
    <n v="3"/>
    <n v="20"/>
    <n v="18000"/>
    <n v="3600"/>
    <n v="14400"/>
    <n v="48000"/>
    <n v="62400"/>
    <x v="1"/>
    <s v="Completed"/>
    <x v="1"/>
    <n v="3"/>
    <s v="Perempuan"/>
    <x v="9"/>
    <x v="1"/>
    <n v="10"/>
  </r>
  <r>
    <s v="ORD01206"/>
    <n v="45595.439872685187"/>
    <x v="106"/>
    <s v="Tanjungpinang"/>
    <s v="Susu Bubuk - Brand B"/>
    <x v="7"/>
    <x v="1"/>
    <n v="50000"/>
    <n v="1"/>
    <n v="5"/>
    <n v="50000"/>
    <n v="2500"/>
    <n v="47500"/>
    <n v="48000"/>
    <n v="95500"/>
    <x v="1"/>
    <s v="Completed"/>
    <x v="2"/>
    <n v="2"/>
    <s v="Perempuan"/>
    <x v="9"/>
    <x v="1"/>
    <n v="10"/>
  </r>
  <r>
    <s v="ORD01050"/>
    <n v="45596.643530092602"/>
    <x v="121"/>
    <s v="Jambi"/>
    <s v="Garam - Brand A"/>
    <x v="5"/>
    <x v="2"/>
    <n v="4000"/>
    <n v="2"/>
    <n v="5"/>
    <n v="8000"/>
    <n v="400"/>
    <n v="7600"/>
    <n v="87000"/>
    <n v="94600"/>
    <x v="3"/>
    <s v="Completed"/>
    <x v="2"/>
    <n v="3"/>
    <s v="Perempuan"/>
    <x v="9"/>
    <x v="1"/>
    <n v="10"/>
  </r>
  <r>
    <s v="ORD01422"/>
    <n v="45597.015821759262"/>
    <x v="380"/>
    <s v="Tanjung Selor"/>
    <s v="Daging Ayam - Brand A"/>
    <x v="1"/>
    <x v="2"/>
    <n v="35000"/>
    <n v="2"/>
    <n v="0"/>
    <n v="70000"/>
    <n v="0"/>
    <n v="70000"/>
    <n v="26000"/>
    <n v="96000"/>
    <x v="0"/>
    <s v="Returned"/>
    <x v="1"/>
    <n v="2"/>
    <s v="Perempuan"/>
    <x v="10"/>
    <x v="1"/>
    <n v="11"/>
  </r>
  <r>
    <s v="ORD00653"/>
    <n v="45597.078587962962"/>
    <x v="32"/>
    <s v="Surabaya"/>
    <s v="Susu Bubuk - Brand C"/>
    <x v="7"/>
    <x v="0"/>
    <n v="55000"/>
    <n v="1"/>
    <n v="10"/>
    <n v="55000"/>
    <n v="5500"/>
    <n v="49500"/>
    <n v="74000"/>
    <n v="123500"/>
    <x v="1"/>
    <s v="Returned"/>
    <x v="2"/>
    <n v="3"/>
    <s v="Perempuan"/>
    <x v="10"/>
    <x v="1"/>
    <n v="11"/>
  </r>
  <r>
    <s v="ORD01732"/>
    <n v="45597.089837962973"/>
    <x v="250"/>
    <s v="Pontianak"/>
    <s v="Beras - Brand B"/>
    <x v="0"/>
    <x v="1"/>
    <n v="15000"/>
    <n v="1"/>
    <n v="5"/>
    <n v="15000"/>
    <n v="750"/>
    <n v="14250"/>
    <n v="85000"/>
    <n v="99250"/>
    <x v="1"/>
    <s v="Completed"/>
    <x v="0"/>
    <n v="5"/>
    <s v="Perempuan"/>
    <x v="10"/>
    <x v="1"/>
    <n v="11"/>
  </r>
  <r>
    <s v="ORD01700"/>
    <n v="45597.640682870369"/>
    <x v="141"/>
    <s v="Wamena"/>
    <s v="Bawang Merah - Brand C"/>
    <x v="3"/>
    <x v="0"/>
    <n v="40000"/>
    <n v="2"/>
    <n v="15"/>
    <n v="80000"/>
    <n v="12000"/>
    <n v="68000"/>
    <n v="15000"/>
    <n v="83000"/>
    <x v="0"/>
    <s v="Cancelled"/>
    <x v="4"/>
    <n v="3"/>
    <s v="Laki-laki"/>
    <x v="10"/>
    <x v="1"/>
    <n v="11"/>
  </r>
  <r>
    <s v="ORD01410"/>
    <n v="45597.866851851853"/>
    <x v="238"/>
    <s v="Manokwari"/>
    <s v="Susu Bubuk - Brand A"/>
    <x v="7"/>
    <x v="2"/>
    <n v="45000"/>
    <n v="4"/>
    <n v="0"/>
    <n v="180000"/>
    <n v="0"/>
    <n v="180000"/>
    <n v="18000"/>
    <n v="198000"/>
    <x v="3"/>
    <s v="Completed"/>
    <x v="2"/>
    <n v="4"/>
    <s v="Perempuan"/>
    <x v="10"/>
    <x v="1"/>
    <n v="11"/>
  </r>
  <r>
    <s v="ORD00821"/>
    <n v="45597.910775462973"/>
    <x v="73"/>
    <s v="Pekanbaru"/>
    <s v="Minyak Goreng - Brand B"/>
    <x v="8"/>
    <x v="1"/>
    <n v="17000"/>
    <n v="1"/>
    <n v="20"/>
    <n v="17000"/>
    <n v="3400"/>
    <n v="13600"/>
    <n v="49000"/>
    <n v="62600"/>
    <x v="3"/>
    <s v="Completed"/>
    <x v="0"/>
    <n v="3"/>
    <s v="Perempuan"/>
    <x v="10"/>
    <x v="1"/>
    <n v="11"/>
  </r>
  <r>
    <s v="ORD01835"/>
    <n v="45598.30060185185"/>
    <x v="329"/>
    <s v="Ambon"/>
    <s v="Bawang Merah - Brand C"/>
    <x v="3"/>
    <x v="0"/>
    <n v="40000"/>
    <n v="4"/>
    <n v="0"/>
    <n v="160000"/>
    <n v="0"/>
    <n v="160000"/>
    <n v="49000"/>
    <n v="209000"/>
    <x v="3"/>
    <s v="Completed"/>
    <x v="1"/>
    <n v="1"/>
    <s v="Perempuan"/>
    <x v="10"/>
    <x v="1"/>
    <n v="11"/>
  </r>
  <r>
    <s v="ORD01124"/>
    <n v="45598.751608796287"/>
    <x v="272"/>
    <s v="Semarang"/>
    <s v="Gula Pasir - Brand A"/>
    <x v="6"/>
    <x v="2"/>
    <n v="16000"/>
    <n v="1"/>
    <n v="10"/>
    <n v="16000"/>
    <n v="1600"/>
    <n v="14400"/>
    <n v="76000"/>
    <n v="90400"/>
    <x v="0"/>
    <s v="Returned"/>
    <x v="4"/>
    <n v="1"/>
    <s v="Perempuan"/>
    <x v="10"/>
    <x v="1"/>
    <n v="11"/>
  </r>
  <r>
    <s v="ORD00753"/>
    <n v="45598.904791666668"/>
    <x v="251"/>
    <s v="Banjarbaru"/>
    <s v="Minyak Goreng - Brand C"/>
    <x v="8"/>
    <x v="0"/>
    <n v="18000"/>
    <n v="5"/>
    <n v="0"/>
    <n v="90000"/>
    <n v="0"/>
    <n v="90000"/>
    <n v="55000"/>
    <n v="145000"/>
    <x v="2"/>
    <s v="Completed"/>
    <x v="3"/>
    <n v="2"/>
    <s v="Perempuan"/>
    <x v="10"/>
    <x v="1"/>
    <n v="11"/>
  </r>
  <r>
    <s v="ORD00391"/>
    <n v="45599.25885416667"/>
    <x v="24"/>
    <s v="Pangkalpinang"/>
    <s v="Susu Bubuk - Brand C"/>
    <x v="7"/>
    <x v="0"/>
    <n v="55000"/>
    <n v="3"/>
    <n v="0"/>
    <n v="165000"/>
    <n v="0"/>
    <n v="165000"/>
    <n v="18000"/>
    <n v="183000"/>
    <x v="1"/>
    <s v="Completed"/>
    <x v="2"/>
    <n v="2"/>
    <s v="Perempuan"/>
    <x v="10"/>
    <x v="1"/>
    <n v="11"/>
  </r>
  <r>
    <s v="ORD00391"/>
    <n v="45599.25885416667"/>
    <x v="24"/>
    <s v="Pangkalpinang"/>
    <s v="Garam - Brand B"/>
    <x v="5"/>
    <x v="1"/>
    <n v="5000"/>
    <n v="2"/>
    <n v="5"/>
    <n v="10000"/>
    <n v="500"/>
    <n v="9500"/>
    <n v="0"/>
    <n v="9500"/>
    <x v="1"/>
    <s v="Completed"/>
    <x v="2"/>
    <n v="2"/>
    <s v="Perempuan"/>
    <x v="10"/>
    <x v="1"/>
    <n v="11"/>
  </r>
  <r>
    <s v="ORD01125"/>
    <n v="45599.295289351852"/>
    <x v="300"/>
    <s v="Kendari"/>
    <s v="Tepung Terigu - Brand B"/>
    <x v="2"/>
    <x v="1"/>
    <n v="12000"/>
    <n v="2"/>
    <n v="15"/>
    <n v="24000"/>
    <n v="3600"/>
    <n v="20400"/>
    <n v="59000"/>
    <n v="79400"/>
    <x v="3"/>
    <s v="Completed"/>
    <x v="2"/>
    <n v="3"/>
    <s v="Perempuan"/>
    <x v="10"/>
    <x v="1"/>
    <n v="11"/>
  </r>
  <r>
    <s v="ORD01218"/>
    <n v="45599.459305555552"/>
    <x v="366"/>
    <s v="Merauke"/>
    <s v="Tepung Terigu - Brand B"/>
    <x v="2"/>
    <x v="1"/>
    <n v="12000"/>
    <n v="3"/>
    <n v="15"/>
    <n v="36000"/>
    <n v="5400"/>
    <n v="30600"/>
    <n v="59000"/>
    <n v="89600"/>
    <x v="2"/>
    <s v="Completed"/>
    <x v="2"/>
    <n v="3"/>
    <s v="Perempuan"/>
    <x v="10"/>
    <x v="1"/>
    <n v="11"/>
  </r>
  <r>
    <s v="ORD01307"/>
    <n v="45600.006215277783"/>
    <x v="300"/>
    <s v="Kendari"/>
    <s v="Susu Bubuk - Brand A"/>
    <x v="7"/>
    <x v="2"/>
    <n v="45000"/>
    <n v="4"/>
    <n v="15"/>
    <n v="180000"/>
    <n v="27000"/>
    <n v="153000"/>
    <n v="59000"/>
    <n v="212000"/>
    <x v="3"/>
    <s v="Completed"/>
    <x v="3"/>
    <n v="1"/>
    <s v="Perempuan"/>
    <x v="10"/>
    <x v="1"/>
    <n v="11"/>
  </r>
  <r>
    <s v="ORD01554"/>
    <n v="45600.688842592594"/>
    <x v="15"/>
    <s v="Denpasar"/>
    <s v="Tepung Terigu - Brand A"/>
    <x v="2"/>
    <x v="2"/>
    <n v="10000"/>
    <n v="4"/>
    <n v="20"/>
    <n v="40000"/>
    <n v="8000"/>
    <n v="32000"/>
    <n v="80000"/>
    <n v="112000"/>
    <x v="1"/>
    <s v="Completed"/>
    <x v="1"/>
    <n v="3"/>
    <s v="Laki-laki"/>
    <x v="10"/>
    <x v="1"/>
    <n v="11"/>
  </r>
  <r>
    <s v="ORD00795"/>
    <n v="45600.952939814822"/>
    <x v="41"/>
    <s v="Sofifi"/>
    <s v="Susu Bubuk - Brand A"/>
    <x v="7"/>
    <x v="2"/>
    <n v="45000"/>
    <n v="3"/>
    <n v="5"/>
    <n v="135000"/>
    <n v="6750"/>
    <n v="128250"/>
    <n v="50000"/>
    <n v="178250"/>
    <x v="3"/>
    <s v="Completed"/>
    <x v="0"/>
    <n v="3"/>
    <s v="Perempuan"/>
    <x v="10"/>
    <x v="1"/>
    <n v="11"/>
  </r>
  <r>
    <s v="ORD01775"/>
    <n v="45600.978148148148"/>
    <x v="67"/>
    <s v="Surabaya"/>
    <s v="Tepung Terigu - Brand C"/>
    <x v="2"/>
    <x v="0"/>
    <n v="14000"/>
    <n v="2"/>
    <n v="20"/>
    <n v="28000"/>
    <n v="5600"/>
    <n v="22400"/>
    <n v="74000"/>
    <n v="96400"/>
    <x v="0"/>
    <s v="Completed"/>
    <x v="1"/>
    <n v="4"/>
    <s v="Perempuan"/>
    <x v="10"/>
    <x v="1"/>
    <n v="11"/>
  </r>
  <r>
    <s v="ORD01293"/>
    <n v="45601.156458333331"/>
    <x v="232"/>
    <s v="Banjarbaru"/>
    <s v="Minyak Goreng - Brand A"/>
    <x v="8"/>
    <x v="2"/>
    <n v="16000"/>
    <n v="5"/>
    <n v="0"/>
    <n v="80000"/>
    <n v="0"/>
    <n v="80000"/>
    <n v="55000"/>
    <n v="135000"/>
    <x v="2"/>
    <s v="Completed"/>
    <x v="1"/>
    <n v="4"/>
    <s v="Laki-laki"/>
    <x v="10"/>
    <x v="1"/>
    <n v="11"/>
  </r>
  <r>
    <s v="ORD00939"/>
    <n v="45601.280624999999"/>
    <x v="278"/>
    <s v="Yogyakarta"/>
    <s v="Telur Ayam - Brand B"/>
    <x v="4"/>
    <x v="1"/>
    <n v="25000"/>
    <n v="3"/>
    <n v="20"/>
    <n v="75000"/>
    <n v="15000"/>
    <n v="60000"/>
    <n v="78000"/>
    <n v="138000"/>
    <x v="2"/>
    <s v="Completed"/>
    <x v="0"/>
    <n v="4"/>
    <s v="Perempuan"/>
    <x v="10"/>
    <x v="1"/>
    <n v="11"/>
  </r>
  <r>
    <s v="ORD00794"/>
    <n v="45601.289606481478"/>
    <x v="172"/>
    <s v="Sofifi"/>
    <s v="Beras - Brand B"/>
    <x v="0"/>
    <x v="1"/>
    <n v="15000"/>
    <n v="4"/>
    <n v="20"/>
    <n v="60000"/>
    <n v="12000"/>
    <n v="48000"/>
    <n v="50000"/>
    <n v="98000"/>
    <x v="1"/>
    <s v="Completed"/>
    <x v="1"/>
    <n v="4"/>
    <s v="Perempuan"/>
    <x v="10"/>
    <x v="1"/>
    <n v="11"/>
  </r>
  <r>
    <s v="ORD01316"/>
    <n v="45601.34511574074"/>
    <x v="259"/>
    <s v="Nabire"/>
    <s v="Minyak Goreng - Brand B"/>
    <x v="8"/>
    <x v="1"/>
    <n v="17000"/>
    <n v="4"/>
    <n v="15"/>
    <n v="68000"/>
    <n v="10200"/>
    <n v="57800"/>
    <n v="89000"/>
    <n v="146800"/>
    <x v="3"/>
    <s v="Completed"/>
    <x v="3"/>
    <n v="2"/>
    <s v="Perempuan"/>
    <x v="10"/>
    <x v="1"/>
    <n v="11"/>
  </r>
  <r>
    <s v="ORD00967"/>
    <n v="45602.008159722223"/>
    <x v="385"/>
    <s v="Bandung"/>
    <s v="Minyak Goreng - Brand C"/>
    <x v="8"/>
    <x v="0"/>
    <n v="18000"/>
    <n v="3"/>
    <n v="10"/>
    <n v="54000"/>
    <n v="5400"/>
    <n v="48600"/>
    <n v="0"/>
    <n v="48600"/>
    <x v="0"/>
    <s v="Completed"/>
    <x v="2"/>
    <n v="2"/>
    <s v="Laki-laki"/>
    <x v="10"/>
    <x v="1"/>
    <n v="11"/>
  </r>
  <r>
    <s v="ORD01003"/>
    <n v="45602.08697916667"/>
    <x v="241"/>
    <s v="Jakarta"/>
    <s v="Daging Ayam - Brand B"/>
    <x v="1"/>
    <x v="1"/>
    <n v="40000"/>
    <n v="2"/>
    <n v="15"/>
    <n v="80000"/>
    <n v="12000"/>
    <n v="68000"/>
    <n v="97000"/>
    <n v="165000"/>
    <x v="3"/>
    <s v="Cancelled"/>
    <x v="0"/>
    <n v="1"/>
    <s v="Perempuan"/>
    <x v="10"/>
    <x v="1"/>
    <n v="11"/>
  </r>
  <r>
    <s v="ORD00058"/>
    <n v="45602.363530092603"/>
    <x v="63"/>
    <s v="Pangkalpinang"/>
    <s v="Beras - Brand A"/>
    <x v="0"/>
    <x v="2"/>
    <n v="14000"/>
    <n v="1"/>
    <n v="10"/>
    <n v="14000"/>
    <n v="1400"/>
    <n v="12600"/>
    <n v="18000"/>
    <n v="30600"/>
    <x v="1"/>
    <s v="Cancelled"/>
    <x v="1"/>
    <n v="5"/>
    <s v="Laki-laki"/>
    <x v="10"/>
    <x v="1"/>
    <n v="11"/>
  </r>
  <r>
    <s v="ORD00674"/>
    <n v="45603.475717592592"/>
    <x v="386"/>
    <s v="Jakarta"/>
    <s v="Susu Bubuk - Brand B"/>
    <x v="7"/>
    <x v="1"/>
    <n v="50000"/>
    <n v="5"/>
    <n v="10"/>
    <n v="250000"/>
    <n v="25000"/>
    <n v="225000"/>
    <n v="97000"/>
    <n v="322000"/>
    <x v="3"/>
    <s v="Completed"/>
    <x v="4"/>
    <n v="3"/>
    <s v="Perempuan"/>
    <x v="10"/>
    <x v="1"/>
    <n v="11"/>
  </r>
  <r>
    <s v="ORD00697"/>
    <n v="45603.967615740738"/>
    <x v="328"/>
    <s v="Palembang"/>
    <s v="Susu Bubuk - Brand A"/>
    <x v="7"/>
    <x v="2"/>
    <n v="45000"/>
    <n v="3"/>
    <n v="0"/>
    <n v="135000"/>
    <n v="0"/>
    <n v="135000"/>
    <n v="17000"/>
    <n v="152000"/>
    <x v="3"/>
    <s v="Completed"/>
    <x v="1"/>
    <n v="2"/>
    <s v="Laki-laki"/>
    <x v="10"/>
    <x v="1"/>
    <n v="11"/>
  </r>
  <r>
    <s v="ORD01101"/>
    <n v="45604.19804398148"/>
    <x v="14"/>
    <s v="Jakarta"/>
    <s v="Minyak Goreng - Brand B"/>
    <x v="8"/>
    <x v="1"/>
    <n v="17000"/>
    <n v="1"/>
    <n v="20"/>
    <n v="17000"/>
    <n v="3400"/>
    <n v="13600"/>
    <n v="97000"/>
    <n v="110600"/>
    <x v="1"/>
    <s v="Completed"/>
    <x v="3"/>
    <n v="2"/>
    <s v="Laki-laki"/>
    <x v="10"/>
    <x v="1"/>
    <n v="11"/>
  </r>
  <r>
    <s v="ORD01119"/>
    <n v="45604.232210648152"/>
    <x v="160"/>
    <s v="Ambon"/>
    <s v="Gula Pasir - Brand C"/>
    <x v="6"/>
    <x v="0"/>
    <n v="18000"/>
    <n v="5"/>
    <n v="0"/>
    <n v="90000"/>
    <n v="0"/>
    <n v="90000"/>
    <n v="49000"/>
    <n v="139000"/>
    <x v="3"/>
    <s v="Completed"/>
    <x v="3"/>
    <n v="5"/>
    <s v="Perempuan"/>
    <x v="10"/>
    <x v="1"/>
    <n v="11"/>
  </r>
  <r>
    <s v="ORD00627"/>
    <n v="45604.992222222223"/>
    <x v="128"/>
    <s v="Samarinda"/>
    <s v="Minyak Goreng - Brand A"/>
    <x v="8"/>
    <x v="2"/>
    <n v="16000"/>
    <n v="5"/>
    <n v="10"/>
    <n v="80000"/>
    <n v="8000"/>
    <n v="72000"/>
    <n v="43000"/>
    <n v="115000"/>
    <x v="2"/>
    <s v="Completed"/>
    <x v="4"/>
    <n v="2"/>
    <s v="Perempuan"/>
    <x v="10"/>
    <x v="1"/>
    <n v="11"/>
  </r>
  <r>
    <s v="ORD00072"/>
    <n v="45605.157650462963"/>
    <x v="385"/>
    <s v="Bandung"/>
    <s v="Beras - Brand C"/>
    <x v="0"/>
    <x v="0"/>
    <n v="16000"/>
    <n v="2"/>
    <n v="20"/>
    <n v="32000"/>
    <n v="6400"/>
    <n v="25600"/>
    <n v="0"/>
    <n v="25600"/>
    <x v="1"/>
    <s v="Completed"/>
    <x v="1"/>
    <n v="4"/>
    <s v="Laki-laki"/>
    <x v="10"/>
    <x v="1"/>
    <n v="11"/>
  </r>
  <r>
    <s v="ORD00072"/>
    <n v="45605.157650462963"/>
    <x v="385"/>
    <s v="Bandung"/>
    <s v="Telur Ayam - Brand B"/>
    <x v="4"/>
    <x v="1"/>
    <n v="25000"/>
    <n v="2"/>
    <n v="10"/>
    <n v="50000"/>
    <n v="5000"/>
    <n v="45000"/>
    <n v="0"/>
    <n v="45000"/>
    <x v="1"/>
    <s v="Completed"/>
    <x v="1"/>
    <n v="4"/>
    <s v="Laki-laki"/>
    <x v="10"/>
    <x v="1"/>
    <n v="11"/>
  </r>
  <r>
    <s v="ORD01677"/>
    <n v="45605.213784722233"/>
    <x v="45"/>
    <s v="Jakarta"/>
    <s v="Susu Bubuk - Brand B"/>
    <x v="7"/>
    <x v="1"/>
    <n v="50000"/>
    <n v="4"/>
    <n v="20"/>
    <n v="200000"/>
    <n v="40000"/>
    <n v="160000"/>
    <n v="97000"/>
    <n v="257000"/>
    <x v="2"/>
    <s v="Completed"/>
    <x v="0"/>
    <n v="5"/>
    <s v="Perempuan"/>
    <x v="10"/>
    <x v="1"/>
    <n v="11"/>
  </r>
  <r>
    <s v="ORD01327"/>
    <n v="45605.499409722222"/>
    <x v="40"/>
    <s v="Bengkulu"/>
    <s v="Gula Pasir - Brand B"/>
    <x v="6"/>
    <x v="1"/>
    <n v="17000"/>
    <n v="5"/>
    <n v="5"/>
    <n v="85000"/>
    <n v="4250"/>
    <n v="80750"/>
    <n v="72000"/>
    <n v="152750"/>
    <x v="2"/>
    <s v="Completed"/>
    <x v="1"/>
    <n v="5"/>
    <s v="Perempuan"/>
    <x v="10"/>
    <x v="1"/>
    <n v="11"/>
  </r>
  <r>
    <s v="ORD00930"/>
    <n v="45605.63989583333"/>
    <x v="353"/>
    <s v="Palangka Raya"/>
    <s v="Susu Bubuk - Brand B"/>
    <x v="7"/>
    <x v="1"/>
    <n v="50000"/>
    <n v="3"/>
    <n v="15"/>
    <n v="150000"/>
    <n v="22500"/>
    <n v="127500"/>
    <n v="50000"/>
    <n v="177500"/>
    <x v="2"/>
    <s v="Completed"/>
    <x v="3"/>
    <n v="2"/>
    <s v="Perempuan"/>
    <x v="10"/>
    <x v="1"/>
    <n v="11"/>
  </r>
  <r>
    <s v="ORD00088"/>
    <n v="45605.801388888889"/>
    <x v="232"/>
    <s v="Banjarbaru"/>
    <s v="Beras - Brand B"/>
    <x v="0"/>
    <x v="1"/>
    <n v="15000"/>
    <n v="3"/>
    <n v="10"/>
    <n v="45000"/>
    <n v="4500"/>
    <n v="40500"/>
    <n v="55000"/>
    <n v="95500"/>
    <x v="0"/>
    <s v="Completed"/>
    <x v="3"/>
    <n v="1"/>
    <s v="Laki-laki"/>
    <x v="10"/>
    <x v="1"/>
    <n v="11"/>
  </r>
  <r>
    <s v="ORD01200"/>
    <n v="45606.352210648147"/>
    <x v="200"/>
    <s v="Sofifi"/>
    <s v="Tepung Terigu - Brand A"/>
    <x v="2"/>
    <x v="2"/>
    <n v="10000"/>
    <n v="4"/>
    <n v="20"/>
    <n v="40000"/>
    <n v="8000"/>
    <n v="32000"/>
    <n v="50000"/>
    <n v="82000"/>
    <x v="1"/>
    <s v="Completed"/>
    <x v="3"/>
    <n v="2"/>
    <s v="Perempuan"/>
    <x v="10"/>
    <x v="1"/>
    <n v="11"/>
  </r>
  <r>
    <s v="ORD01619"/>
    <n v="45606.393321759257"/>
    <x v="44"/>
    <s v="Jakarta"/>
    <s v="Telur Ayam - Brand B"/>
    <x v="4"/>
    <x v="1"/>
    <n v="25000"/>
    <n v="1"/>
    <n v="0"/>
    <n v="25000"/>
    <n v="0"/>
    <n v="25000"/>
    <n v="97000"/>
    <n v="122000"/>
    <x v="2"/>
    <s v="Completed"/>
    <x v="0"/>
    <n v="5"/>
    <s v="Perempuan"/>
    <x v="10"/>
    <x v="1"/>
    <n v="11"/>
  </r>
  <r>
    <s v="ORD00827"/>
    <n v="45606.654351851852"/>
    <x v="113"/>
    <s v="Palu"/>
    <s v="Gula Pasir - Brand B"/>
    <x v="6"/>
    <x v="1"/>
    <n v="17000"/>
    <n v="1"/>
    <n v="20"/>
    <n v="17000"/>
    <n v="3400"/>
    <n v="13600"/>
    <n v="67000"/>
    <n v="80600"/>
    <x v="3"/>
    <s v="Completed"/>
    <x v="4"/>
    <n v="2"/>
    <s v="Perempuan"/>
    <x v="10"/>
    <x v="1"/>
    <n v="11"/>
  </r>
  <r>
    <s v="ORD00781"/>
    <n v="45606.69021990741"/>
    <x v="46"/>
    <s v="Surabaya"/>
    <s v="Tepung Terigu - Brand A"/>
    <x v="2"/>
    <x v="2"/>
    <n v="10000"/>
    <n v="1"/>
    <n v="20"/>
    <n v="10000"/>
    <n v="2000"/>
    <n v="8000"/>
    <n v="74000"/>
    <n v="82000"/>
    <x v="2"/>
    <s v="Completed"/>
    <x v="2"/>
    <n v="4"/>
    <s v="Perempuan"/>
    <x v="10"/>
    <x v="1"/>
    <n v="11"/>
  </r>
  <r>
    <s v="ORD00904"/>
    <n v="45607.079050925917"/>
    <x v="112"/>
    <s v="Semarang"/>
    <s v="Gula Pasir - Brand A"/>
    <x v="6"/>
    <x v="2"/>
    <n v="16000"/>
    <n v="3"/>
    <n v="10"/>
    <n v="48000"/>
    <n v="4800"/>
    <n v="43200"/>
    <n v="76000"/>
    <n v="119200"/>
    <x v="3"/>
    <s v="Returned"/>
    <x v="4"/>
    <n v="2"/>
    <s v="Perempuan"/>
    <x v="10"/>
    <x v="1"/>
    <n v="11"/>
  </r>
  <r>
    <s v="ORD00334"/>
    <n v="45607.36209490741"/>
    <x v="125"/>
    <s v="Palembang"/>
    <s v="Gula Pasir - Brand C"/>
    <x v="6"/>
    <x v="0"/>
    <n v="18000"/>
    <n v="2"/>
    <n v="5"/>
    <n v="36000"/>
    <n v="1800"/>
    <n v="34200"/>
    <n v="17000"/>
    <n v="51200"/>
    <x v="3"/>
    <s v="Cancelled"/>
    <x v="4"/>
    <n v="4"/>
    <s v="Perempuan"/>
    <x v="10"/>
    <x v="1"/>
    <n v="11"/>
  </r>
  <r>
    <s v="ORD00438"/>
    <n v="45607.567719907413"/>
    <x v="106"/>
    <s v="Tanjungpinang"/>
    <s v="Minyak Goreng - Brand B"/>
    <x v="8"/>
    <x v="1"/>
    <n v="17000"/>
    <n v="3"/>
    <n v="10"/>
    <n v="51000"/>
    <n v="5100"/>
    <n v="45900"/>
    <n v="48000"/>
    <n v="93900"/>
    <x v="0"/>
    <s v="Completed"/>
    <x v="0"/>
    <n v="3"/>
    <s v="Perempuan"/>
    <x v="10"/>
    <x v="1"/>
    <n v="11"/>
  </r>
  <r>
    <s v="ORD00438"/>
    <n v="45607.567719907413"/>
    <x v="106"/>
    <s v="Tanjungpinang"/>
    <s v="Susu Bubuk - Brand B"/>
    <x v="7"/>
    <x v="1"/>
    <n v="50000"/>
    <n v="1"/>
    <n v="0"/>
    <n v="50000"/>
    <n v="0"/>
    <n v="50000"/>
    <n v="0"/>
    <n v="50000"/>
    <x v="0"/>
    <s v="Completed"/>
    <x v="0"/>
    <n v="3"/>
    <s v="Perempuan"/>
    <x v="10"/>
    <x v="1"/>
    <n v="11"/>
  </r>
  <r>
    <s v="ORD00875"/>
    <n v="45608.161423611113"/>
    <x v="219"/>
    <s v="Denpasar"/>
    <s v="Bawang Merah - Brand B"/>
    <x v="3"/>
    <x v="1"/>
    <n v="35000"/>
    <n v="3"/>
    <n v="0"/>
    <n v="105000"/>
    <n v="0"/>
    <n v="105000"/>
    <n v="80000"/>
    <n v="185000"/>
    <x v="0"/>
    <s v="Completed"/>
    <x v="0"/>
    <n v="1"/>
    <s v="Laki-laki"/>
    <x v="10"/>
    <x v="1"/>
    <n v="11"/>
  </r>
  <r>
    <s v="ORD01116"/>
    <n v="45608.472233796303"/>
    <x v="272"/>
    <s v="Semarang"/>
    <s v="Susu Bubuk - Brand B"/>
    <x v="7"/>
    <x v="1"/>
    <n v="50000"/>
    <n v="5"/>
    <n v="15"/>
    <n v="250000"/>
    <n v="37500"/>
    <n v="212500"/>
    <n v="76000"/>
    <n v="288500"/>
    <x v="2"/>
    <s v="Completed"/>
    <x v="2"/>
    <n v="2"/>
    <s v="Perempuan"/>
    <x v="10"/>
    <x v="1"/>
    <n v="11"/>
  </r>
  <r>
    <s v="ORD01672"/>
    <n v="45608.480902777781"/>
    <x v="301"/>
    <s v="Tanjung Selor"/>
    <s v="Gula Pasir - Brand A"/>
    <x v="6"/>
    <x v="2"/>
    <n v="16000"/>
    <n v="1"/>
    <n v="10"/>
    <n v="16000"/>
    <n v="1600"/>
    <n v="14400"/>
    <n v="26000"/>
    <n v="40400"/>
    <x v="0"/>
    <s v="Completed"/>
    <x v="4"/>
    <n v="4"/>
    <s v="Perempuan"/>
    <x v="10"/>
    <x v="1"/>
    <n v="11"/>
  </r>
  <r>
    <s v="ORD00908"/>
    <n v="45608.974733796298"/>
    <x v="45"/>
    <s v="Jakarta"/>
    <s v="Beras - Brand B"/>
    <x v="0"/>
    <x v="1"/>
    <n v="15000"/>
    <n v="3"/>
    <n v="5"/>
    <n v="45000"/>
    <n v="2250"/>
    <n v="42750"/>
    <n v="97000"/>
    <n v="139750"/>
    <x v="0"/>
    <s v="Completed"/>
    <x v="3"/>
    <n v="4"/>
    <s v="Perempuan"/>
    <x v="10"/>
    <x v="1"/>
    <n v="11"/>
  </r>
  <r>
    <s v="ORD00453"/>
    <n v="45609.019490740742"/>
    <x v="241"/>
    <s v="Jakarta"/>
    <s v="Tepung Terigu - Brand B"/>
    <x v="2"/>
    <x v="1"/>
    <n v="12000"/>
    <n v="1"/>
    <n v="20"/>
    <n v="12000"/>
    <n v="2400"/>
    <n v="9600"/>
    <n v="97000"/>
    <n v="106600"/>
    <x v="2"/>
    <s v="Completed"/>
    <x v="3"/>
    <n v="3"/>
    <s v="Perempuan"/>
    <x v="10"/>
    <x v="1"/>
    <n v="11"/>
  </r>
  <r>
    <s v="ORD00453"/>
    <n v="45609.019490740742"/>
    <x v="241"/>
    <s v="Jakarta"/>
    <s v="Minyak Goreng - Brand B"/>
    <x v="8"/>
    <x v="1"/>
    <n v="17000"/>
    <n v="5"/>
    <n v="10"/>
    <n v="85000"/>
    <n v="8500"/>
    <n v="76500"/>
    <n v="0"/>
    <n v="76500"/>
    <x v="2"/>
    <s v="Completed"/>
    <x v="3"/>
    <n v="3"/>
    <s v="Perempuan"/>
    <x v="10"/>
    <x v="1"/>
    <n v="11"/>
  </r>
  <r>
    <s v="ORD01340"/>
    <n v="45609.193136574067"/>
    <x v="11"/>
    <s v="Palu"/>
    <s v="Telur Ayam - Brand A"/>
    <x v="4"/>
    <x v="2"/>
    <n v="22000"/>
    <n v="1"/>
    <n v="15"/>
    <n v="22000"/>
    <n v="3300"/>
    <n v="18700"/>
    <n v="67000"/>
    <n v="85700"/>
    <x v="3"/>
    <s v="Returned"/>
    <x v="1"/>
    <n v="2"/>
    <s v="Perempuan"/>
    <x v="10"/>
    <x v="1"/>
    <n v="11"/>
  </r>
  <r>
    <s v="ORD01851"/>
    <n v="45609.333831018521"/>
    <x v="286"/>
    <s v="Jayapura"/>
    <s v="Garam - Brand B"/>
    <x v="5"/>
    <x v="1"/>
    <n v="5000"/>
    <n v="4"/>
    <n v="0"/>
    <n v="20000"/>
    <n v="0"/>
    <n v="20000"/>
    <n v="30000"/>
    <n v="50000"/>
    <x v="1"/>
    <s v="Returned"/>
    <x v="3"/>
    <n v="2"/>
    <s v="Perempuan"/>
    <x v="10"/>
    <x v="1"/>
    <n v="11"/>
  </r>
  <r>
    <s v="ORD00576"/>
    <n v="45609.545034722221"/>
    <x v="234"/>
    <s v="Tanjung Selor"/>
    <s v="Bawang Merah - Brand B"/>
    <x v="3"/>
    <x v="1"/>
    <n v="35000"/>
    <n v="2"/>
    <n v="10"/>
    <n v="70000"/>
    <n v="7000"/>
    <n v="63000"/>
    <n v="26000"/>
    <n v="89000"/>
    <x v="3"/>
    <s v="Returned"/>
    <x v="0"/>
    <n v="2"/>
    <s v="Perempuan"/>
    <x v="10"/>
    <x v="1"/>
    <n v="11"/>
  </r>
  <r>
    <s v="ORD00541"/>
    <n v="45610.736064814817"/>
    <x v="204"/>
    <s v="Pontianak"/>
    <s v="Beras - Brand B"/>
    <x v="0"/>
    <x v="1"/>
    <n v="15000"/>
    <n v="4"/>
    <n v="5"/>
    <n v="60000"/>
    <n v="3000"/>
    <n v="57000"/>
    <n v="85000"/>
    <n v="142000"/>
    <x v="2"/>
    <s v="Completed"/>
    <x v="3"/>
    <n v="4"/>
    <s v="Perempuan"/>
    <x v="10"/>
    <x v="1"/>
    <n v="11"/>
  </r>
  <r>
    <s v="ORD00661"/>
    <n v="45610.784502314818"/>
    <x v="362"/>
    <s v="Palangka Raya"/>
    <s v="Daging Ayam - Brand C"/>
    <x v="1"/>
    <x v="0"/>
    <n v="45000"/>
    <n v="2"/>
    <n v="15"/>
    <n v="90000"/>
    <n v="13500"/>
    <n v="76500"/>
    <n v="50000"/>
    <n v="126500"/>
    <x v="0"/>
    <s v="Completed"/>
    <x v="2"/>
    <n v="5"/>
    <s v="Perempuan"/>
    <x v="10"/>
    <x v="1"/>
    <n v="11"/>
  </r>
  <r>
    <s v="ORD00684"/>
    <n v="45610.841840277782"/>
    <x v="55"/>
    <s v="Pangkalpinang"/>
    <s v="Bawang Merah - Brand C"/>
    <x v="3"/>
    <x v="0"/>
    <n v="40000"/>
    <n v="2"/>
    <n v="10"/>
    <n v="80000"/>
    <n v="8000"/>
    <n v="72000"/>
    <n v="18000"/>
    <n v="90000"/>
    <x v="3"/>
    <s v="Completed"/>
    <x v="0"/>
    <n v="4"/>
    <s v="Laki-laki"/>
    <x v="10"/>
    <x v="1"/>
    <n v="11"/>
  </r>
  <r>
    <s v="ORD01413"/>
    <n v="45611.286041666674"/>
    <x v="46"/>
    <s v="Surabaya"/>
    <s v="Gula Pasir - Brand C"/>
    <x v="6"/>
    <x v="0"/>
    <n v="18000"/>
    <n v="1"/>
    <n v="20"/>
    <n v="18000"/>
    <n v="3600"/>
    <n v="14400"/>
    <n v="74000"/>
    <n v="88400"/>
    <x v="3"/>
    <s v="Completed"/>
    <x v="1"/>
    <n v="1"/>
    <s v="Perempuan"/>
    <x v="10"/>
    <x v="1"/>
    <n v="11"/>
  </r>
  <r>
    <s v="ORD01605"/>
    <n v="45611.544317129628"/>
    <x v="154"/>
    <s v="Bandar Lampung"/>
    <s v="Garam - Brand A"/>
    <x v="5"/>
    <x v="2"/>
    <n v="4000"/>
    <n v="1"/>
    <n v="0"/>
    <n v="4000"/>
    <n v="0"/>
    <n v="4000"/>
    <n v="28000"/>
    <n v="32000"/>
    <x v="2"/>
    <s v="Completed"/>
    <x v="0"/>
    <n v="4"/>
    <s v="Perempuan"/>
    <x v="10"/>
    <x v="1"/>
    <n v="11"/>
  </r>
  <r>
    <s v="ORD01704"/>
    <n v="45611.797002314823"/>
    <x v="348"/>
    <s v="Sorong"/>
    <s v="Gula Pasir - Brand C"/>
    <x v="6"/>
    <x v="0"/>
    <n v="18000"/>
    <n v="2"/>
    <n v="5"/>
    <n v="36000"/>
    <n v="1800"/>
    <n v="34200"/>
    <n v="87000"/>
    <n v="121200"/>
    <x v="1"/>
    <s v="Completed"/>
    <x v="4"/>
    <n v="4"/>
    <s v="Perempuan"/>
    <x v="10"/>
    <x v="1"/>
    <n v="11"/>
  </r>
  <r>
    <s v="ORD00471"/>
    <n v="45612.002303240741"/>
    <x v="152"/>
    <s v="Jakarta"/>
    <s v="Telur Ayam - Brand A"/>
    <x v="4"/>
    <x v="2"/>
    <n v="22000"/>
    <n v="5"/>
    <n v="5"/>
    <n v="110000"/>
    <n v="5500"/>
    <n v="104500"/>
    <n v="97000"/>
    <n v="201500"/>
    <x v="1"/>
    <s v="Completed"/>
    <x v="2"/>
    <n v="4"/>
    <s v="Perempuan"/>
    <x v="10"/>
    <x v="1"/>
    <n v="11"/>
  </r>
  <r>
    <s v="ORD01177"/>
    <n v="45612.389988425923"/>
    <x v="124"/>
    <s v="Nabire"/>
    <s v="Minyak Goreng - Brand A"/>
    <x v="8"/>
    <x v="2"/>
    <n v="16000"/>
    <n v="3"/>
    <n v="20"/>
    <n v="48000"/>
    <n v="9600"/>
    <n v="38400"/>
    <n v="89000"/>
    <n v="127400"/>
    <x v="3"/>
    <s v="Completed"/>
    <x v="0"/>
    <n v="3"/>
    <s v="Perempuan"/>
    <x v="10"/>
    <x v="1"/>
    <n v="11"/>
  </r>
  <r>
    <s v="ORD00870"/>
    <n v="45612.498726851853"/>
    <x v="49"/>
    <s v="Tanjung Selor"/>
    <s v="Bawang Merah - Brand B"/>
    <x v="3"/>
    <x v="1"/>
    <n v="35000"/>
    <n v="1"/>
    <n v="5"/>
    <n v="35000"/>
    <n v="1750"/>
    <n v="33250"/>
    <n v="26000"/>
    <n v="59250"/>
    <x v="3"/>
    <s v="Completed"/>
    <x v="4"/>
    <n v="4"/>
    <s v="Perempuan"/>
    <x v="10"/>
    <x v="1"/>
    <n v="11"/>
  </r>
  <r>
    <s v="ORD01057"/>
    <n v="45612.743634259263"/>
    <x v="88"/>
    <s v="Banda Aceh"/>
    <s v="Beras - Brand C"/>
    <x v="0"/>
    <x v="0"/>
    <n v="16000"/>
    <n v="2"/>
    <n v="5"/>
    <n v="32000"/>
    <n v="1600"/>
    <n v="30400"/>
    <n v="18000"/>
    <n v="48400"/>
    <x v="0"/>
    <s v="Completed"/>
    <x v="0"/>
    <n v="2"/>
    <s v="Perempuan"/>
    <x v="10"/>
    <x v="1"/>
    <n v="11"/>
  </r>
  <r>
    <s v="ORD00144"/>
    <n v="45612.747106481482"/>
    <x v="176"/>
    <s v="Bandung"/>
    <s v="Telur Ayam - Brand B"/>
    <x v="4"/>
    <x v="1"/>
    <n v="25000"/>
    <n v="4"/>
    <n v="0"/>
    <n v="100000"/>
    <n v="0"/>
    <n v="100000"/>
    <n v="0"/>
    <n v="100000"/>
    <x v="1"/>
    <s v="Completed"/>
    <x v="4"/>
    <n v="3"/>
    <s v="Perempuan"/>
    <x v="10"/>
    <x v="1"/>
    <n v="11"/>
  </r>
  <r>
    <s v="ORD00706"/>
    <n v="45612.995729166672"/>
    <x v="351"/>
    <s v="Banda Aceh"/>
    <s v="Minyak Goreng - Brand A"/>
    <x v="8"/>
    <x v="2"/>
    <n v="16000"/>
    <n v="3"/>
    <n v="20"/>
    <n v="48000"/>
    <n v="9600"/>
    <n v="38400"/>
    <n v="18000"/>
    <n v="56400"/>
    <x v="3"/>
    <s v="Returned"/>
    <x v="1"/>
    <n v="1"/>
    <s v="Perempuan"/>
    <x v="10"/>
    <x v="1"/>
    <n v="11"/>
  </r>
  <r>
    <s v="ORD00297"/>
    <n v="45613.129432870373"/>
    <x v="151"/>
    <s v="Banjarbaru"/>
    <s v="Susu Bubuk - Brand C"/>
    <x v="7"/>
    <x v="0"/>
    <n v="55000"/>
    <n v="4"/>
    <n v="20"/>
    <n v="220000"/>
    <n v="44000"/>
    <n v="176000"/>
    <n v="55000"/>
    <n v="231000"/>
    <x v="3"/>
    <s v="Completed"/>
    <x v="4"/>
    <n v="2"/>
    <s v="Perempuan"/>
    <x v="10"/>
    <x v="1"/>
    <n v="11"/>
  </r>
  <r>
    <s v="ORD00513"/>
    <n v="45613.286724537043"/>
    <x v="159"/>
    <s v="Merauke"/>
    <s v="Telur Ayam - Brand C"/>
    <x v="4"/>
    <x v="0"/>
    <n v="28000"/>
    <n v="5"/>
    <n v="5"/>
    <n v="140000"/>
    <n v="7000"/>
    <n v="133000"/>
    <n v="59000"/>
    <n v="192000"/>
    <x v="2"/>
    <s v="Completed"/>
    <x v="4"/>
    <n v="1"/>
    <s v="Perempuan"/>
    <x v="10"/>
    <x v="1"/>
    <n v="11"/>
  </r>
  <r>
    <s v="ORD01798"/>
    <n v="45613.345520833333"/>
    <x v="179"/>
    <s v="Samarinda"/>
    <s v="Tepung Terigu - Brand B"/>
    <x v="2"/>
    <x v="1"/>
    <n v="12000"/>
    <n v="1"/>
    <n v="0"/>
    <n v="12000"/>
    <n v="0"/>
    <n v="12000"/>
    <n v="43000"/>
    <n v="55000"/>
    <x v="1"/>
    <s v="Completed"/>
    <x v="2"/>
    <n v="4"/>
    <s v="Perempuan"/>
    <x v="10"/>
    <x v="1"/>
    <n v="11"/>
  </r>
  <r>
    <s v="ORD01505"/>
    <n v="45613.462488425917"/>
    <x v="375"/>
    <s v="Surabaya"/>
    <s v="Bawang Merah - Brand A"/>
    <x v="3"/>
    <x v="2"/>
    <n v="30000"/>
    <n v="2"/>
    <n v="15"/>
    <n v="60000"/>
    <n v="9000"/>
    <n v="51000"/>
    <n v="74000"/>
    <n v="125000"/>
    <x v="2"/>
    <s v="Completed"/>
    <x v="3"/>
    <n v="2"/>
    <s v="Perempuan"/>
    <x v="10"/>
    <x v="1"/>
    <n v="11"/>
  </r>
  <r>
    <s v="ORD00618"/>
    <n v="45613.683703703697"/>
    <x v="9"/>
    <s v="Banjarbaru"/>
    <s v="Beras - Brand C"/>
    <x v="0"/>
    <x v="0"/>
    <n v="16000"/>
    <n v="4"/>
    <n v="15"/>
    <n v="64000"/>
    <n v="9600"/>
    <n v="54400"/>
    <n v="55000"/>
    <n v="109400"/>
    <x v="3"/>
    <s v="Completed"/>
    <x v="0"/>
    <n v="1"/>
    <s v="Perempuan"/>
    <x v="10"/>
    <x v="1"/>
    <n v="11"/>
  </r>
  <r>
    <s v="ORD00366"/>
    <n v="45613.832777777781"/>
    <x v="44"/>
    <s v="Jakarta"/>
    <s v="Daging Ayam - Brand C"/>
    <x v="1"/>
    <x v="0"/>
    <n v="45000"/>
    <n v="2"/>
    <n v="20"/>
    <n v="90000"/>
    <n v="18000"/>
    <n v="72000"/>
    <n v="97000"/>
    <n v="169000"/>
    <x v="0"/>
    <s v="Completed"/>
    <x v="1"/>
    <n v="2"/>
    <s v="Perempuan"/>
    <x v="10"/>
    <x v="1"/>
    <n v="11"/>
  </r>
  <r>
    <s v="ORD00366"/>
    <n v="45613.832777777781"/>
    <x v="44"/>
    <s v="Jakarta"/>
    <s v="Minyak Goreng - Brand B"/>
    <x v="8"/>
    <x v="1"/>
    <n v="17000"/>
    <n v="1"/>
    <n v="5"/>
    <n v="17000"/>
    <n v="850"/>
    <n v="16150"/>
    <n v="0"/>
    <n v="16150"/>
    <x v="0"/>
    <s v="Completed"/>
    <x v="1"/>
    <n v="2"/>
    <s v="Perempuan"/>
    <x v="10"/>
    <x v="1"/>
    <n v="11"/>
  </r>
  <r>
    <s v="ORD00428"/>
    <n v="45614.040023148147"/>
    <x v="42"/>
    <s v="Kupang"/>
    <s v="Telur Ayam - Brand C"/>
    <x v="4"/>
    <x v="0"/>
    <n v="28000"/>
    <n v="2"/>
    <n v="10"/>
    <n v="56000"/>
    <n v="5600"/>
    <n v="50400"/>
    <n v="21000"/>
    <n v="71400"/>
    <x v="1"/>
    <s v="Completed"/>
    <x v="1"/>
    <n v="1"/>
    <s v="Perempuan"/>
    <x v="10"/>
    <x v="1"/>
    <n v="11"/>
  </r>
  <r>
    <s v="ORD01725"/>
    <n v="45614.308680555558"/>
    <x v="187"/>
    <s v="Jayapura"/>
    <s v="Beras - Brand B"/>
    <x v="0"/>
    <x v="1"/>
    <n v="15000"/>
    <n v="3"/>
    <n v="15"/>
    <n v="45000"/>
    <n v="6750"/>
    <n v="38250"/>
    <n v="30000"/>
    <n v="68250"/>
    <x v="0"/>
    <s v="Completed"/>
    <x v="2"/>
    <n v="4"/>
    <s v="Perempuan"/>
    <x v="10"/>
    <x v="1"/>
    <n v="11"/>
  </r>
  <r>
    <s v="ORD01108"/>
    <n v="45614.526041666657"/>
    <x v="11"/>
    <s v="Palu"/>
    <s v="Daging Ayam - Brand A"/>
    <x v="1"/>
    <x v="2"/>
    <n v="35000"/>
    <n v="5"/>
    <n v="0"/>
    <n v="175000"/>
    <n v="0"/>
    <n v="175000"/>
    <n v="67000"/>
    <n v="242000"/>
    <x v="3"/>
    <s v="Returned"/>
    <x v="3"/>
    <n v="2"/>
    <s v="Perempuan"/>
    <x v="10"/>
    <x v="1"/>
    <n v="11"/>
  </r>
  <r>
    <s v="ORD00380"/>
    <n v="45614.849224537043"/>
    <x v="164"/>
    <s v="Sorong"/>
    <s v="Daging Ayam - Brand C"/>
    <x v="1"/>
    <x v="0"/>
    <n v="45000"/>
    <n v="3"/>
    <n v="20"/>
    <n v="135000"/>
    <n v="27000"/>
    <n v="108000"/>
    <n v="87000"/>
    <n v="195000"/>
    <x v="1"/>
    <s v="Completed"/>
    <x v="3"/>
    <n v="1"/>
    <s v="Perempuan"/>
    <x v="10"/>
    <x v="1"/>
    <n v="11"/>
  </r>
  <r>
    <s v="ORD01214"/>
    <n v="45615.017175925917"/>
    <x v="392"/>
    <s v="Palu"/>
    <s v="Susu Bubuk - Brand A"/>
    <x v="7"/>
    <x v="2"/>
    <n v="45000"/>
    <n v="3"/>
    <n v="20"/>
    <n v="135000"/>
    <n v="27000"/>
    <n v="108000"/>
    <n v="67000"/>
    <n v="175000"/>
    <x v="2"/>
    <s v="Completed"/>
    <x v="0"/>
    <n v="2"/>
    <s v="Perempuan"/>
    <x v="10"/>
    <x v="1"/>
    <n v="11"/>
  </r>
  <r>
    <s v="ORD00358"/>
    <n v="45615.215370370373"/>
    <x v="223"/>
    <s v="Palangka Raya"/>
    <s v="Gula Pasir - Brand C"/>
    <x v="6"/>
    <x v="0"/>
    <n v="18000"/>
    <n v="2"/>
    <n v="15"/>
    <n v="36000"/>
    <n v="5400"/>
    <n v="30600"/>
    <n v="50000"/>
    <n v="80600"/>
    <x v="2"/>
    <s v="Completed"/>
    <x v="2"/>
    <n v="2"/>
    <s v="Perempuan"/>
    <x v="10"/>
    <x v="1"/>
    <n v="11"/>
  </r>
  <r>
    <s v="ORD01580"/>
    <n v="45615.262997685182"/>
    <x v="29"/>
    <s v="Bandung"/>
    <s v="Beras - Brand B"/>
    <x v="0"/>
    <x v="1"/>
    <n v="15000"/>
    <n v="3"/>
    <n v="0"/>
    <n v="45000"/>
    <n v="0"/>
    <n v="45000"/>
    <n v="0"/>
    <n v="45000"/>
    <x v="3"/>
    <s v="Completed"/>
    <x v="4"/>
    <n v="2"/>
    <s v="Laki-laki"/>
    <x v="10"/>
    <x v="1"/>
    <n v="11"/>
  </r>
  <r>
    <s v="ORD01460"/>
    <n v="45615.423321759263"/>
    <x v="96"/>
    <s v="Denpasar"/>
    <s v="Minyak Goreng - Brand A"/>
    <x v="8"/>
    <x v="2"/>
    <n v="16000"/>
    <n v="1"/>
    <n v="10"/>
    <n v="16000"/>
    <n v="1600"/>
    <n v="14400"/>
    <n v="80000"/>
    <n v="94400"/>
    <x v="3"/>
    <s v="Completed"/>
    <x v="3"/>
    <n v="2"/>
    <s v="Perempuan"/>
    <x v="10"/>
    <x v="1"/>
    <n v="11"/>
  </r>
  <r>
    <s v="ORD00162"/>
    <n v="45615.481932870367"/>
    <x v="109"/>
    <s v="Banda Aceh"/>
    <s v="Telur Ayam - Brand A"/>
    <x v="4"/>
    <x v="2"/>
    <n v="22000"/>
    <n v="5"/>
    <n v="10"/>
    <n v="110000"/>
    <n v="11000"/>
    <n v="99000"/>
    <n v="18000"/>
    <n v="117000"/>
    <x v="3"/>
    <s v="Completed"/>
    <x v="3"/>
    <n v="5"/>
    <s v="Perempuan"/>
    <x v="10"/>
    <x v="1"/>
    <n v="11"/>
  </r>
  <r>
    <s v="ORD00843"/>
    <n v="45615.579155092593"/>
    <x v="215"/>
    <s v="Palangka Raya"/>
    <s v="Daging Ayam - Brand B"/>
    <x v="1"/>
    <x v="1"/>
    <n v="40000"/>
    <n v="5"/>
    <n v="0"/>
    <n v="200000"/>
    <n v="0"/>
    <n v="200000"/>
    <n v="50000"/>
    <n v="250000"/>
    <x v="0"/>
    <s v="Returned"/>
    <x v="4"/>
    <n v="5"/>
    <s v="Perempuan"/>
    <x v="10"/>
    <x v="1"/>
    <n v="11"/>
  </r>
  <r>
    <s v="ORD01584"/>
    <n v="45616.226400462961"/>
    <x v="18"/>
    <s v="Medan"/>
    <s v="Minyak Goreng - Brand B"/>
    <x v="8"/>
    <x v="1"/>
    <n v="17000"/>
    <n v="3"/>
    <n v="5"/>
    <n v="51000"/>
    <n v="2550"/>
    <n v="48450"/>
    <n v="79000"/>
    <n v="127450"/>
    <x v="3"/>
    <s v="Completed"/>
    <x v="4"/>
    <n v="1"/>
    <s v="Perempuan"/>
    <x v="10"/>
    <x v="1"/>
    <n v="11"/>
  </r>
  <r>
    <s v="ORD00657"/>
    <n v="45616.279016203713"/>
    <x v="327"/>
    <s v="Pekanbaru"/>
    <s v="Daging Ayam - Brand B"/>
    <x v="1"/>
    <x v="1"/>
    <n v="40000"/>
    <n v="4"/>
    <n v="10"/>
    <n v="160000"/>
    <n v="16000"/>
    <n v="144000"/>
    <n v="49000"/>
    <n v="193000"/>
    <x v="3"/>
    <s v="Completed"/>
    <x v="4"/>
    <n v="4"/>
    <s v="Perempuan"/>
    <x v="10"/>
    <x v="1"/>
    <n v="11"/>
  </r>
  <r>
    <s v="ORD01438"/>
    <n v="45616.395312499997"/>
    <x v="250"/>
    <s v="Pontianak"/>
    <s v="Bawang Merah - Brand A"/>
    <x v="3"/>
    <x v="2"/>
    <n v="30000"/>
    <n v="2"/>
    <n v="15"/>
    <n v="60000"/>
    <n v="9000"/>
    <n v="51000"/>
    <n v="85000"/>
    <n v="136000"/>
    <x v="0"/>
    <s v="Completed"/>
    <x v="4"/>
    <n v="4"/>
    <s v="Perempuan"/>
    <x v="10"/>
    <x v="1"/>
    <n v="11"/>
  </r>
  <r>
    <s v="ORD00409"/>
    <n v="45616.472708333327"/>
    <x v="249"/>
    <s v="Tanjungpinang"/>
    <s v="Minyak Goreng - Brand C"/>
    <x v="8"/>
    <x v="0"/>
    <n v="18000"/>
    <n v="2"/>
    <n v="10"/>
    <n v="36000"/>
    <n v="3600"/>
    <n v="32400"/>
    <n v="48000"/>
    <n v="80400"/>
    <x v="3"/>
    <s v="Completed"/>
    <x v="1"/>
    <n v="4"/>
    <s v="Perempuan"/>
    <x v="10"/>
    <x v="1"/>
    <n v="11"/>
  </r>
  <r>
    <s v="ORD01353"/>
    <n v="45616.565740740742"/>
    <x v="30"/>
    <s v="Wamena"/>
    <s v="Daging Ayam - Brand C"/>
    <x v="1"/>
    <x v="0"/>
    <n v="45000"/>
    <n v="1"/>
    <n v="0"/>
    <n v="45000"/>
    <n v="0"/>
    <n v="45000"/>
    <n v="15000"/>
    <n v="60000"/>
    <x v="0"/>
    <s v="Completed"/>
    <x v="4"/>
    <n v="3"/>
    <s v="Laki-laki"/>
    <x v="10"/>
    <x v="1"/>
    <n v="11"/>
  </r>
  <r>
    <s v="ORD00511"/>
    <n v="45616.811388888891"/>
    <x v="344"/>
    <s v="Kendari"/>
    <s v="Daging Ayam - Brand B"/>
    <x v="1"/>
    <x v="1"/>
    <n v="40000"/>
    <n v="2"/>
    <n v="5"/>
    <n v="80000"/>
    <n v="4000"/>
    <n v="76000"/>
    <n v="59000"/>
    <n v="135000"/>
    <x v="0"/>
    <s v="Completed"/>
    <x v="1"/>
    <n v="3"/>
    <s v="Laki-laki"/>
    <x v="10"/>
    <x v="1"/>
    <n v="11"/>
  </r>
  <r>
    <s v="ORD00548"/>
    <n v="45617.048101851848"/>
    <x v="48"/>
    <s v="Merauke"/>
    <s v="Beras - Brand B"/>
    <x v="0"/>
    <x v="1"/>
    <n v="15000"/>
    <n v="1"/>
    <n v="10"/>
    <n v="15000"/>
    <n v="1500"/>
    <n v="13500"/>
    <n v="59000"/>
    <n v="72500"/>
    <x v="1"/>
    <s v="Completed"/>
    <x v="1"/>
    <n v="4"/>
    <s v="Perempuan"/>
    <x v="10"/>
    <x v="1"/>
    <n v="11"/>
  </r>
  <r>
    <s v="ORD00504"/>
    <n v="45617.547268518523"/>
    <x v="186"/>
    <s v="Pontianak"/>
    <s v="Garam - Brand A"/>
    <x v="5"/>
    <x v="2"/>
    <n v="4000"/>
    <n v="2"/>
    <n v="0"/>
    <n v="8000"/>
    <n v="0"/>
    <n v="8000"/>
    <n v="85000"/>
    <n v="93000"/>
    <x v="1"/>
    <s v="Completed"/>
    <x v="4"/>
    <n v="5"/>
    <s v="Perempuan"/>
    <x v="10"/>
    <x v="1"/>
    <n v="11"/>
  </r>
  <r>
    <s v="ORD00832"/>
    <n v="45617.552997685183"/>
    <x v="40"/>
    <s v="Bengkulu"/>
    <s v="Daging Ayam - Brand B"/>
    <x v="1"/>
    <x v="1"/>
    <n v="40000"/>
    <n v="5"/>
    <n v="0"/>
    <n v="200000"/>
    <n v="0"/>
    <n v="200000"/>
    <n v="72000"/>
    <n v="272000"/>
    <x v="2"/>
    <s v="Returned"/>
    <x v="3"/>
    <n v="2"/>
    <s v="Perempuan"/>
    <x v="10"/>
    <x v="1"/>
    <n v="11"/>
  </r>
  <r>
    <s v="ORD00090"/>
    <n v="45617.958738425928"/>
    <x v="104"/>
    <s v="Sorong"/>
    <s v="Minyak Goreng - Brand A"/>
    <x v="8"/>
    <x v="2"/>
    <n v="16000"/>
    <n v="2"/>
    <n v="10"/>
    <n v="32000"/>
    <n v="3200"/>
    <n v="28800"/>
    <n v="87000"/>
    <n v="115800"/>
    <x v="1"/>
    <s v="Completed"/>
    <x v="4"/>
    <n v="5"/>
    <s v="Laki-laki"/>
    <x v="10"/>
    <x v="1"/>
    <n v="11"/>
  </r>
  <r>
    <s v="ORD00346"/>
    <n v="45618.118530092594"/>
    <x v="238"/>
    <s v="Manokwari"/>
    <s v="Beras - Brand B"/>
    <x v="0"/>
    <x v="1"/>
    <n v="15000"/>
    <n v="3"/>
    <n v="0"/>
    <n v="45000"/>
    <n v="0"/>
    <n v="45000"/>
    <n v="18000"/>
    <n v="63000"/>
    <x v="2"/>
    <s v="Completed"/>
    <x v="4"/>
    <n v="5"/>
    <s v="Perempuan"/>
    <x v="10"/>
    <x v="1"/>
    <n v="11"/>
  </r>
  <r>
    <s v="ORD01768"/>
    <n v="45618.215092592603"/>
    <x v="192"/>
    <s v="Tanjungpinang"/>
    <s v="Telur Ayam - Brand A"/>
    <x v="4"/>
    <x v="2"/>
    <n v="22000"/>
    <n v="5"/>
    <n v="0"/>
    <n v="110000"/>
    <n v="0"/>
    <n v="110000"/>
    <n v="48000"/>
    <n v="158000"/>
    <x v="3"/>
    <s v="Completed"/>
    <x v="1"/>
    <n v="1"/>
    <s v="Perempuan"/>
    <x v="10"/>
    <x v="1"/>
    <n v="11"/>
  </r>
  <r>
    <s v="ORD00662"/>
    <n v="45618.394178240742"/>
    <x v="16"/>
    <s v="Padang"/>
    <s v="Susu Bubuk - Brand C"/>
    <x v="7"/>
    <x v="0"/>
    <n v="55000"/>
    <n v="2"/>
    <n v="5"/>
    <n v="110000"/>
    <n v="5500"/>
    <n v="104500"/>
    <n v="68000"/>
    <n v="172500"/>
    <x v="1"/>
    <s v="Completed"/>
    <x v="2"/>
    <n v="2"/>
    <s v="Perempuan"/>
    <x v="10"/>
    <x v="1"/>
    <n v="11"/>
  </r>
  <r>
    <s v="ORD00888"/>
    <n v="45618.446053240739"/>
    <x v="161"/>
    <s v="Gorontalo"/>
    <s v="Susu Bubuk - Brand A"/>
    <x v="7"/>
    <x v="2"/>
    <n v="45000"/>
    <n v="5"/>
    <n v="15"/>
    <n v="225000"/>
    <n v="33750"/>
    <n v="191250"/>
    <n v="80000"/>
    <n v="271250"/>
    <x v="2"/>
    <s v="Completed"/>
    <x v="0"/>
    <n v="2"/>
    <s v="Perempuan"/>
    <x v="10"/>
    <x v="1"/>
    <n v="11"/>
  </r>
  <r>
    <s v="ORD00444"/>
    <n v="45618.534259259257"/>
    <x v="180"/>
    <s v="Pangkalpinang"/>
    <s v="Tepung Terigu - Brand B"/>
    <x v="2"/>
    <x v="1"/>
    <n v="12000"/>
    <n v="5"/>
    <n v="15"/>
    <n v="60000"/>
    <n v="9000"/>
    <n v="51000"/>
    <n v="18000"/>
    <n v="69000"/>
    <x v="3"/>
    <s v="Completed"/>
    <x v="1"/>
    <n v="5"/>
    <s v="Perempuan"/>
    <x v="10"/>
    <x v="1"/>
    <n v="11"/>
  </r>
  <r>
    <s v="ORD00444"/>
    <n v="45618.534259259257"/>
    <x v="180"/>
    <s v="Pangkalpinang"/>
    <s v="Telur Ayam - Brand C"/>
    <x v="4"/>
    <x v="0"/>
    <n v="28000"/>
    <n v="2"/>
    <n v="5"/>
    <n v="56000"/>
    <n v="2800"/>
    <n v="53200"/>
    <n v="0"/>
    <n v="53200"/>
    <x v="3"/>
    <s v="Completed"/>
    <x v="1"/>
    <n v="5"/>
    <s v="Perempuan"/>
    <x v="10"/>
    <x v="1"/>
    <n v="11"/>
  </r>
  <r>
    <s v="ORD01769"/>
    <n v="45618.840358796297"/>
    <x v="63"/>
    <s v="Pangkalpinang"/>
    <s v="Tepung Terigu - Brand C"/>
    <x v="2"/>
    <x v="0"/>
    <n v="14000"/>
    <n v="1"/>
    <n v="15"/>
    <n v="14000"/>
    <n v="2100"/>
    <n v="11900"/>
    <n v="18000"/>
    <n v="29900"/>
    <x v="2"/>
    <s v="Completed"/>
    <x v="2"/>
    <n v="5"/>
    <s v="Laki-laki"/>
    <x v="10"/>
    <x v="1"/>
    <n v="11"/>
  </r>
  <r>
    <s v="ORD01636"/>
    <n v="45618.88616898148"/>
    <x v="187"/>
    <s v="Jayapura"/>
    <s v="Bawang Merah - Brand A"/>
    <x v="3"/>
    <x v="2"/>
    <n v="30000"/>
    <n v="4"/>
    <n v="15"/>
    <n v="120000"/>
    <n v="18000"/>
    <n v="102000"/>
    <n v="30000"/>
    <n v="132000"/>
    <x v="0"/>
    <s v="Completed"/>
    <x v="4"/>
    <n v="2"/>
    <s v="Perempuan"/>
    <x v="10"/>
    <x v="1"/>
    <n v="11"/>
  </r>
  <r>
    <s v="ORD00376"/>
    <n v="45618.896921296298"/>
    <x v="10"/>
    <s v="Mataram"/>
    <s v="Daging Ayam - Brand B"/>
    <x v="1"/>
    <x v="1"/>
    <n v="40000"/>
    <n v="3"/>
    <n v="5"/>
    <n v="120000"/>
    <n v="6000"/>
    <n v="114000"/>
    <n v="56000"/>
    <n v="170000"/>
    <x v="1"/>
    <s v="Completed"/>
    <x v="4"/>
    <n v="1"/>
    <s v="Perempuan"/>
    <x v="10"/>
    <x v="1"/>
    <n v="11"/>
  </r>
  <r>
    <s v="ORD00376"/>
    <n v="45618.896921296298"/>
    <x v="10"/>
    <s v="Mataram"/>
    <s v="Daging Ayam - Brand B"/>
    <x v="1"/>
    <x v="1"/>
    <n v="40000"/>
    <n v="3"/>
    <n v="5"/>
    <n v="120000"/>
    <n v="6000"/>
    <n v="114000"/>
    <n v="0"/>
    <n v="114000"/>
    <x v="1"/>
    <s v="Completed"/>
    <x v="4"/>
    <n v="1"/>
    <s v="Perempuan"/>
    <x v="10"/>
    <x v="1"/>
    <n v="11"/>
  </r>
  <r>
    <s v="ORD00646"/>
    <n v="45618.925833333327"/>
    <x v="268"/>
    <s v="Tanjungpinang"/>
    <s v="Beras - Brand A"/>
    <x v="0"/>
    <x v="2"/>
    <n v="14000"/>
    <n v="1"/>
    <n v="15"/>
    <n v="14000"/>
    <n v="2100"/>
    <n v="11900"/>
    <n v="48000"/>
    <n v="59900"/>
    <x v="1"/>
    <s v="Returned"/>
    <x v="4"/>
    <n v="1"/>
    <s v="Laki-laki"/>
    <x v="10"/>
    <x v="1"/>
    <n v="11"/>
  </r>
  <r>
    <s v="ORD00580"/>
    <n v="45619.086608796293"/>
    <x v="390"/>
    <s v="Bandung"/>
    <s v="Susu Bubuk - Brand A"/>
    <x v="7"/>
    <x v="2"/>
    <n v="45000"/>
    <n v="5"/>
    <n v="5"/>
    <n v="225000"/>
    <n v="11250"/>
    <n v="213750"/>
    <n v="0"/>
    <n v="213750"/>
    <x v="0"/>
    <s v="Completed"/>
    <x v="3"/>
    <n v="5"/>
    <s v="Laki-laki"/>
    <x v="10"/>
    <x v="1"/>
    <n v="11"/>
  </r>
  <r>
    <s v="ORD00535"/>
    <n v="45619.327951388892"/>
    <x v="158"/>
    <s v="Kupang"/>
    <s v="Beras - Brand B"/>
    <x v="0"/>
    <x v="1"/>
    <n v="15000"/>
    <n v="2"/>
    <n v="0"/>
    <n v="30000"/>
    <n v="0"/>
    <n v="30000"/>
    <n v="21000"/>
    <n v="51000"/>
    <x v="1"/>
    <s v="Completed"/>
    <x v="3"/>
    <n v="1"/>
    <s v="Perempuan"/>
    <x v="10"/>
    <x v="1"/>
    <n v="11"/>
  </r>
  <r>
    <s v="ORD01406"/>
    <n v="45619.772673611107"/>
    <x v="82"/>
    <s v="Sorong"/>
    <s v="Daging Ayam - Brand B"/>
    <x v="1"/>
    <x v="1"/>
    <n v="40000"/>
    <n v="3"/>
    <n v="0"/>
    <n v="120000"/>
    <n v="0"/>
    <n v="120000"/>
    <n v="87000"/>
    <n v="207000"/>
    <x v="2"/>
    <s v="Completed"/>
    <x v="4"/>
    <n v="2"/>
    <s v="Laki-laki"/>
    <x v="10"/>
    <x v="1"/>
    <n v="11"/>
  </r>
  <r>
    <s v="ORD00213"/>
    <n v="45619.772916666669"/>
    <x v="59"/>
    <s v="Samarinda"/>
    <s v="Minyak Goreng - Brand A"/>
    <x v="8"/>
    <x v="2"/>
    <n v="16000"/>
    <n v="3"/>
    <n v="20"/>
    <n v="48000"/>
    <n v="9600"/>
    <n v="38400"/>
    <n v="43000"/>
    <n v="81400"/>
    <x v="1"/>
    <s v="Completed"/>
    <x v="4"/>
    <n v="4"/>
    <s v="Perempuan"/>
    <x v="10"/>
    <x v="1"/>
    <n v="11"/>
  </r>
  <r>
    <s v="ORD00213"/>
    <n v="45619.772916666669"/>
    <x v="59"/>
    <s v="Samarinda"/>
    <s v="Tepung Terigu - Brand C"/>
    <x v="2"/>
    <x v="0"/>
    <n v="14000"/>
    <n v="2"/>
    <n v="15"/>
    <n v="28000"/>
    <n v="4200"/>
    <n v="23800"/>
    <n v="0"/>
    <n v="23800"/>
    <x v="1"/>
    <s v="Completed"/>
    <x v="4"/>
    <n v="4"/>
    <s v="Perempuan"/>
    <x v="10"/>
    <x v="1"/>
    <n v="11"/>
  </r>
  <r>
    <s v="ORD00394"/>
    <n v="45620.43949074074"/>
    <x v="280"/>
    <s v="Yogyakarta"/>
    <s v="Garam - Brand B"/>
    <x v="5"/>
    <x v="1"/>
    <n v="5000"/>
    <n v="4"/>
    <n v="5"/>
    <n v="20000"/>
    <n v="1000"/>
    <n v="19000"/>
    <n v="78000"/>
    <n v="97000"/>
    <x v="3"/>
    <s v="Returned"/>
    <x v="2"/>
    <n v="5"/>
    <s v="Perempuan"/>
    <x v="10"/>
    <x v="1"/>
    <n v="11"/>
  </r>
  <r>
    <s v="ORD00379"/>
    <n v="45620.572939814818"/>
    <x v="119"/>
    <s v="Sorong"/>
    <s v="Daging Ayam - Brand C"/>
    <x v="1"/>
    <x v="0"/>
    <n v="45000"/>
    <n v="1"/>
    <n v="20"/>
    <n v="45000"/>
    <n v="9000"/>
    <n v="36000"/>
    <n v="87000"/>
    <n v="123000"/>
    <x v="2"/>
    <s v="Completed"/>
    <x v="3"/>
    <n v="4"/>
    <s v="Perempuan"/>
    <x v="10"/>
    <x v="1"/>
    <n v="11"/>
  </r>
  <r>
    <s v="ORD00397"/>
    <n v="45620.671018518522"/>
    <x v="374"/>
    <s v="Samarinda"/>
    <s v="Minyak Goreng - Brand A"/>
    <x v="8"/>
    <x v="2"/>
    <n v="16000"/>
    <n v="3"/>
    <n v="5"/>
    <n v="48000"/>
    <n v="2400"/>
    <n v="45600"/>
    <n v="43000"/>
    <n v="88600"/>
    <x v="1"/>
    <s v="Completed"/>
    <x v="0"/>
    <n v="3"/>
    <s v="Perempuan"/>
    <x v="10"/>
    <x v="1"/>
    <n v="11"/>
  </r>
  <r>
    <s v="ORD00397"/>
    <n v="45620.671018518522"/>
    <x v="374"/>
    <s v="Samarinda"/>
    <s v="Tepung Terigu - Brand B"/>
    <x v="2"/>
    <x v="1"/>
    <n v="12000"/>
    <n v="4"/>
    <n v="0"/>
    <n v="48000"/>
    <n v="0"/>
    <n v="48000"/>
    <n v="0"/>
    <n v="48000"/>
    <x v="1"/>
    <s v="Completed"/>
    <x v="0"/>
    <n v="3"/>
    <s v="Perempuan"/>
    <x v="10"/>
    <x v="1"/>
    <n v="11"/>
  </r>
  <r>
    <s v="ORD00249"/>
    <n v="45620.862060185187"/>
    <x v="234"/>
    <s v="Tanjung Selor"/>
    <s v="Susu Bubuk - Brand B"/>
    <x v="7"/>
    <x v="1"/>
    <n v="50000"/>
    <n v="2"/>
    <n v="15"/>
    <n v="100000"/>
    <n v="15000"/>
    <n v="85000"/>
    <n v="26000"/>
    <n v="111000"/>
    <x v="3"/>
    <s v="Completed"/>
    <x v="3"/>
    <n v="1"/>
    <s v="Perempuan"/>
    <x v="10"/>
    <x v="1"/>
    <n v="11"/>
  </r>
  <r>
    <s v="ORD01403"/>
    <n v="45621.116562499999"/>
    <x v="287"/>
    <s v="Manado"/>
    <s v="Beras - Brand C"/>
    <x v="0"/>
    <x v="0"/>
    <n v="16000"/>
    <n v="2"/>
    <n v="5"/>
    <n v="32000"/>
    <n v="1600"/>
    <n v="30400"/>
    <n v="93000"/>
    <n v="123400"/>
    <x v="3"/>
    <s v="Returned"/>
    <x v="4"/>
    <n v="1"/>
    <s v="Perempuan"/>
    <x v="10"/>
    <x v="1"/>
    <n v="11"/>
  </r>
  <r>
    <s v="ORD01579"/>
    <n v="45621.266608796293"/>
    <x v="68"/>
    <s v="Kendari"/>
    <s v="Bawang Merah - Brand C"/>
    <x v="3"/>
    <x v="0"/>
    <n v="40000"/>
    <n v="5"/>
    <n v="5"/>
    <n v="200000"/>
    <n v="10000"/>
    <n v="190000"/>
    <n v="59000"/>
    <n v="249000"/>
    <x v="2"/>
    <s v="Completed"/>
    <x v="3"/>
    <n v="3"/>
    <s v="Perempuan"/>
    <x v="10"/>
    <x v="1"/>
    <n v="11"/>
  </r>
  <r>
    <s v="ORD00191"/>
    <n v="45621.36173611111"/>
    <x v="293"/>
    <s v="Kendari"/>
    <s v="Tepung Terigu - Brand B"/>
    <x v="2"/>
    <x v="1"/>
    <n v="12000"/>
    <n v="2"/>
    <n v="20"/>
    <n v="24000"/>
    <n v="4800"/>
    <n v="19200"/>
    <n v="59000"/>
    <n v="78200"/>
    <x v="1"/>
    <s v="Completed"/>
    <x v="4"/>
    <n v="1"/>
    <s v="Perempuan"/>
    <x v="10"/>
    <x v="1"/>
    <n v="11"/>
  </r>
  <r>
    <s v="ORD00191"/>
    <n v="45621.36173611111"/>
    <x v="293"/>
    <s v="Kendari"/>
    <s v="Tepung Terigu - Brand C"/>
    <x v="2"/>
    <x v="0"/>
    <n v="14000"/>
    <n v="4"/>
    <n v="0"/>
    <n v="56000"/>
    <n v="0"/>
    <n v="56000"/>
    <n v="0"/>
    <n v="56000"/>
    <x v="1"/>
    <s v="Completed"/>
    <x v="4"/>
    <n v="1"/>
    <s v="Perempuan"/>
    <x v="10"/>
    <x v="1"/>
    <n v="11"/>
  </r>
  <r>
    <s v="ORD01667"/>
    <n v="45621.43341435185"/>
    <x v="354"/>
    <s v="Wamena"/>
    <s v="Minyak Goreng - Brand C"/>
    <x v="8"/>
    <x v="0"/>
    <n v="18000"/>
    <n v="4"/>
    <n v="15"/>
    <n v="72000"/>
    <n v="10800"/>
    <n v="61200"/>
    <n v="15000"/>
    <n v="76200"/>
    <x v="3"/>
    <s v="Completed"/>
    <x v="3"/>
    <n v="3"/>
    <s v="Perempuan"/>
    <x v="10"/>
    <x v="1"/>
    <n v="11"/>
  </r>
  <r>
    <s v="ORD00515"/>
    <n v="45621.628136574072"/>
    <x v="131"/>
    <s v="Banjarbaru"/>
    <s v="Susu Bubuk - Brand B"/>
    <x v="7"/>
    <x v="1"/>
    <n v="50000"/>
    <n v="4"/>
    <n v="5"/>
    <n v="200000"/>
    <n v="10000"/>
    <n v="190000"/>
    <n v="55000"/>
    <n v="245000"/>
    <x v="3"/>
    <s v="Completed"/>
    <x v="1"/>
    <n v="3"/>
    <s v="Perempuan"/>
    <x v="10"/>
    <x v="1"/>
    <n v="11"/>
  </r>
  <r>
    <s v="ORD00402"/>
    <n v="45621.71665509259"/>
    <x v="393"/>
    <s v="Padang"/>
    <s v="Gula Pasir - Brand A"/>
    <x v="6"/>
    <x v="2"/>
    <n v="16000"/>
    <n v="5"/>
    <n v="0"/>
    <n v="80000"/>
    <n v="0"/>
    <n v="80000"/>
    <n v="68000"/>
    <n v="148000"/>
    <x v="0"/>
    <s v="Returned"/>
    <x v="0"/>
    <n v="2"/>
    <s v="Perempuan"/>
    <x v="10"/>
    <x v="1"/>
    <n v="11"/>
  </r>
  <r>
    <s v="ORD00105"/>
    <n v="45622.093738425923"/>
    <x v="113"/>
    <s v="Palu"/>
    <s v="Telur Ayam - Brand A"/>
    <x v="4"/>
    <x v="2"/>
    <n v="22000"/>
    <n v="3"/>
    <n v="15"/>
    <n v="66000"/>
    <n v="9900"/>
    <n v="56100"/>
    <n v="67000"/>
    <n v="123100"/>
    <x v="3"/>
    <s v="Completed"/>
    <x v="3"/>
    <n v="4"/>
    <s v="Perempuan"/>
    <x v="10"/>
    <x v="1"/>
    <n v="11"/>
  </r>
  <r>
    <s v="ORD00105"/>
    <n v="45622.093738425923"/>
    <x v="113"/>
    <s v="Palu"/>
    <s v="Bawang Merah - Brand B"/>
    <x v="3"/>
    <x v="1"/>
    <n v="35000"/>
    <n v="1"/>
    <n v="20"/>
    <n v="35000"/>
    <n v="7000"/>
    <n v="28000"/>
    <n v="0"/>
    <n v="28000"/>
    <x v="3"/>
    <s v="Completed"/>
    <x v="3"/>
    <n v="4"/>
    <s v="Perempuan"/>
    <x v="10"/>
    <x v="1"/>
    <n v="11"/>
  </r>
  <r>
    <s v="ORD01205"/>
    <n v="45622.118726851862"/>
    <x v="159"/>
    <s v="Merauke"/>
    <s v="Bawang Merah - Brand B"/>
    <x v="3"/>
    <x v="1"/>
    <n v="35000"/>
    <n v="3"/>
    <n v="20"/>
    <n v="105000"/>
    <n v="21000"/>
    <n v="84000"/>
    <n v="59000"/>
    <n v="143000"/>
    <x v="3"/>
    <s v="Completed"/>
    <x v="1"/>
    <n v="3"/>
    <s v="Perempuan"/>
    <x v="10"/>
    <x v="1"/>
    <n v="11"/>
  </r>
  <r>
    <s v="ORD00538"/>
    <n v="45622.37572916667"/>
    <x v="250"/>
    <s v="Pontianak"/>
    <s v="Minyak Goreng - Brand A"/>
    <x v="8"/>
    <x v="2"/>
    <n v="16000"/>
    <n v="3"/>
    <n v="0"/>
    <n v="48000"/>
    <n v="0"/>
    <n v="48000"/>
    <n v="85000"/>
    <n v="133000"/>
    <x v="1"/>
    <s v="Completed"/>
    <x v="2"/>
    <n v="5"/>
    <s v="Perempuan"/>
    <x v="10"/>
    <x v="1"/>
    <n v="11"/>
  </r>
  <r>
    <s v="ORD00761"/>
    <n v="45622.427384259259"/>
    <x v="275"/>
    <s v="Mataram"/>
    <s v="Gula Pasir - Brand B"/>
    <x v="6"/>
    <x v="1"/>
    <n v="17000"/>
    <n v="2"/>
    <n v="15"/>
    <n v="34000"/>
    <n v="5100"/>
    <n v="28900"/>
    <n v="56000"/>
    <n v="84900"/>
    <x v="0"/>
    <s v="Returned"/>
    <x v="0"/>
    <n v="3"/>
    <s v="Laki-laki"/>
    <x v="10"/>
    <x v="1"/>
    <n v="11"/>
  </r>
  <r>
    <s v="ORD01616"/>
    <n v="45622.655358796299"/>
    <x v="388"/>
    <s v="Merauke"/>
    <s v="Garam - Brand A"/>
    <x v="5"/>
    <x v="2"/>
    <n v="4000"/>
    <n v="4"/>
    <n v="20"/>
    <n v="16000"/>
    <n v="3200"/>
    <n v="12800"/>
    <n v="59000"/>
    <n v="71800"/>
    <x v="1"/>
    <s v="Completed"/>
    <x v="1"/>
    <n v="5"/>
    <s v="Laki-laki"/>
    <x v="10"/>
    <x v="1"/>
    <n v="11"/>
  </r>
  <r>
    <s v="ORD00220"/>
    <n v="45622.663969907408"/>
    <x v="173"/>
    <s v="Sofifi"/>
    <s v="Gula Pasir - Brand C"/>
    <x v="6"/>
    <x v="0"/>
    <n v="18000"/>
    <n v="1"/>
    <n v="15"/>
    <n v="18000"/>
    <n v="2700"/>
    <n v="15300"/>
    <n v="50000"/>
    <n v="65300"/>
    <x v="2"/>
    <s v="Completed"/>
    <x v="3"/>
    <n v="4"/>
    <s v="Perempuan"/>
    <x v="10"/>
    <x v="1"/>
    <n v="11"/>
  </r>
  <r>
    <s v="ORD01539"/>
    <n v="45622.683680555558"/>
    <x v="176"/>
    <s v="Bandung"/>
    <s v="Susu Bubuk - Brand C"/>
    <x v="7"/>
    <x v="0"/>
    <n v="55000"/>
    <n v="2"/>
    <n v="10"/>
    <n v="110000"/>
    <n v="11000"/>
    <n v="99000"/>
    <n v="0"/>
    <n v="99000"/>
    <x v="0"/>
    <s v="Completed"/>
    <x v="2"/>
    <n v="4"/>
    <s v="Perempuan"/>
    <x v="10"/>
    <x v="1"/>
    <n v="11"/>
  </r>
  <r>
    <s v="ORD00879"/>
    <n v="45622.748402777783"/>
    <x v="345"/>
    <s v="Manokwari"/>
    <s v="Susu Bubuk - Brand C"/>
    <x v="7"/>
    <x v="0"/>
    <n v="55000"/>
    <n v="4"/>
    <n v="10"/>
    <n v="220000"/>
    <n v="22000"/>
    <n v="198000"/>
    <n v="18000"/>
    <n v="216000"/>
    <x v="0"/>
    <s v="Completed"/>
    <x v="2"/>
    <n v="2"/>
    <s v="Perempuan"/>
    <x v="10"/>
    <x v="1"/>
    <n v="11"/>
  </r>
  <r>
    <s v="ORD01198"/>
    <n v="45622.824826388889"/>
    <x v="194"/>
    <s v="Pangkalpinang"/>
    <s v="Minyak Goreng - Brand A"/>
    <x v="8"/>
    <x v="2"/>
    <n v="16000"/>
    <n v="5"/>
    <n v="5"/>
    <n v="80000"/>
    <n v="4000"/>
    <n v="76000"/>
    <n v="18000"/>
    <n v="94000"/>
    <x v="0"/>
    <s v="Completed"/>
    <x v="3"/>
    <n v="5"/>
    <s v="Perempuan"/>
    <x v="10"/>
    <x v="1"/>
    <n v="11"/>
  </r>
  <r>
    <s v="ORD00038"/>
    <n v="45623.118333333332"/>
    <x v="365"/>
    <s v="Palembang"/>
    <s v="Susu Bubuk - Brand A"/>
    <x v="7"/>
    <x v="2"/>
    <n v="45000"/>
    <n v="5"/>
    <n v="15"/>
    <n v="225000"/>
    <n v="33750"/>
    <n v="191250"/>
    <n v="17000"/>
    <n v="208250"/>
    <x v="0"/>
    <s v="Returned"/>
    <x v="2"/>
    <n v="1"/>
    <s v="Laki-laki"/>
    <x v="10"/>
    <x v="1"/>
    <n v="11"/>
  </r>
  <r>
    <s v="ORD00903"/>
    <n v="45623.428807870368"/>
    <x v="173"/>
    <s v="Sofifi"/>
    <s v="Minyak Goreng - Brand B"/>
    <x v="8"/>
    <x v="1"/>
    <n v="17000"/>
    <n v="2"/>
    <n v="15"/>
    <n v="34000"/>
    <n v="5100"/>
    <n v="28900"/>
    <n v="50000"/>
    <n v="78900"/>
    <x v="0"/>
    <s v="Completed"/>
    <x v="3"/>
    <n v="3"/>
    <s v="Perempuan"/>
    <x v="10"/>
    <x v="1"/>
    <n v="11"/>
  </r>
  <r>
    <s v="ORD01827"/>
    <n v="45623.495648148149"/>
    <x v="80"/>
    <s v="Manado"/>
    <s v="Daging Ayam - Brand C"/>
    <x v="1"/>
    <x v="0"/>
    <n v="45000"/>
    <n v="2"/>
    <n v="20"/>
    <n v="90000"/>
    <n v="18000"/>
    <n v="72000"/>
    <n v="93000"/>
    <n v="165000"/>
    <x v="0"/>
    <s v="Completed"/>
    <x v="0"/>
    <n v="3"/>
    <s v="Laki-laki"/>
    <x v="10"/>
    <x v="1"/>
    <n v="11"/>
  </r>
  <r>
    <s v="ORD00084"/>
    <n v="45623.603171296287"/>
    <x v="322"/>
    <s v="Jakarta"/>
    <s v="Minyak Goreng - Brand A"/>
    <x v="8"/>
    <x v="2"/>
    <n v="16000"/>
    <n v="4"/>
    <n v="0"/>
    <n v="64000"/>
    <n v="0"/>
    <n v="64000"/>
    <n v="97000"/>
    <n v="161000"/>
    <x v="2"/>
    <s v="Cancelled"/>
    <x v="3"/>
    <n v="2"/>
    <s v="Laki-laki"/>
    <x v="10"/>
    <x v="1"/>
    <n v="11"/>
  </r>
  <r>
    <s v="ORD00780"/>
    <n v="45623.647187499999"/>
    <x v="233"/>
    <s v="Jayapura"/>
    <s v="Minyak Goreng - Brand B"/>
    <x v="8"/>
    <x v="1"/>
    <n v="17000"/>
    <n v="2"/>
    <n v="20"/>
    <n v="34000"/>
    <n v="6800"/>
    <n v="27200"/>
    <n v="30000"/>
    <n v="57200"/>
    <x v="1"/>
    <s v="Completed"/>
    <x v="3"/>
    <n v="3"/>
    <s v="Perempuan"/>
    <x v="10"/>
    <x v="1"/>
    <n v="11"/>
  </r>
  <r>
    <s v="ORD00059"/>
    <n v="45623.852164351847"/>
    <x v="360"/>
    <s v="Ambon"/>
    <s v="Beras - Brand A"/>
    <x v="0"/>
    <x v="2"/>
    <n v="14000"/>
    <n v="2"/>
    <n v="20"/>
    <n v="28000"/>
    <n v="5600"/>
    <n v="22400"/>
    <n v="49000"/>
    <n v="71400"/>
    <x v="1"/>
    <s v="Returned"/>
    <x v="2"/>
    <n v="3"/>
    <s v="Laki-laki"/>
    <x v="10"/>
    <x v="1"/>
    <n v="11"/>
  </r>
  <r>
    <s v="ORD00451"/>
    <n v="45623.93167824074"/>
    <x v="194"/>
    <s v="Pangkalpinang"/>
    <s v="Susu Bubuk - Brand A"/>
    <x v="7"/>
    <x v="2"/>
    <n v="45000"/>
    <n v="2"/>
    <n v="5"/>
    <n v="90000"/>
    <n v="4500"/>
    <n v="85500"/>
    <n v="18000"/>
    <n v="103500"/>
    <x v="2"/>
    <s v="Completed"/>
    <x v="1"/>
    <n v="4"/>
    <s v="Perempuan"/>
    <x v="10"/>
    <x v="1"/>
    <n v="11"/>
  </r>
  <r>
    <s v="ORD00404"/>
    <n v="45624.106539351851"/>
    <x v="155"/>
    <s v="Bandung"/>
    <s v="Bawang Merah - Brand A"/>
    <x v="3"/>
    <x v="2"/>
    <n v="30000"/>
    <n v="5"/>
    <n v="10"/>
    <n v="150000"/>
    <n v="15000"/>
    <n v="135000"/>
    <n v="0"/>
    <n v="135000"/>
    <x v="3"/>
    <s v="Returned"/>
    <x v="1"/>
    <n v="1"/>
    <s v="Perempuan"/>
    <x v="10"/>
    <x v="1"/>
    <n v="11"/>
  </r>
  <r>
    <s v="ORD00404"/>
    <n v="45624.106539351851"/>
    <x v="155"/>
    <s v="Bandung"/>
    <s v="Garam - Brand B"/>
    <x v="5"/>
    <x v="1"/>
    <n v="5000"/>
    <n v="1"/>
    <n v="20"/>
    <n v="5000"/>
    <n v="1000"/>
    <n v="4000"/>
    <n v="0"/>
    <n v="4000"/>
    <x v="3"/>
    <s v="Returned"/>
    <x v="1"/>
    <n v="1"/>
    <s v="Perempuan"/>
    <x v="10"/>
    <x v="1"/>
    <n v="11"/>
  </r>
  <r>
    <s v="ORD01506"/>
    <n v="45624.178356481483"/>
    <x v="305"/>
    <s v="Bandung"/>
    <s v="Gula Pasir - Brand B"/>
    <x v="6"/>
    <x v="1"/>
    <n v="17000"/>
    <n v="3"/>
    <n v="5"/>
    <n v="51000"/>
    <n v="2550"/>
    <n v="48450"/>
    <n v="0"/>
    <n v="48450"/>
    <x v="3"/>
    <s v="Completed"/>
    <x v="3"/>
    <n v="5"/>
    <s v="Perempuan"/>
    <x v="10"/>
    <x v="1"/>
    <n v="11"/>
  </r>
  <r>
    <s v="ORD00025"/>
    <n v="45624.512974537043"/>
    <x v="337"/>
    <s v="Palangka Raya"/>
    <s v="Beras - Brand A"/>
    <x v="0"/>
    <x v="2"/>
    <n v="14000"/>
    <n v="4"/>
    <n v="10"/>
    <n v="56000"/>
    <n v="5600"/>
    <n v="50400"/>
    <n v="50000"/>
    <n v="100400"/>
    <x v="1"/>
    <s v="Completed"/>
    <x v="4"/>
    <n v="4"/>
    <s v="Laki-laki"/>
    <x v="10"/>
    <x v="1"/>
    <n v="11"/>
  </r>
  <r>
    <s v="ORD00025"/>
    <n v="45624.512974537043"/>
    <x v="337"/>
    <s v="Palangka Raya"/>
    <s v="Daging Ayam - Brand B"/>
    <x v="1"/>
    <x v="1"/>
    <n v="40000"/>
    <n v="2"/>
    <n v="15"/>
    <n v="80000"/>
    <n v="12000"/>
    <n v="68000"/>
    <n v="0"/>
    <n v="68000"/>
    <x v="1"/>
    <s v="Completed"/>
    <x v="4"/>
    <n v="4"/>
    <s v="Laki-laki"/>
    <x v="10"/>
    <x v="1"/>
    <n v="11"/>
  </r>
  <r>
    <s v="ORD01439"/>
    <n v="45624.686874999999"/>
    <x v="254"/>
    <s v="Bandar Lampung"/>
    <s v="Tepung Terigu - Brand A"/>
    <x v="2"/>
    <x v="2"/>
    <n v="10000"/>
    <n v="4"/>
    <n v="0"/>
    <n v="40000"/>
    <n v="0"/>
    <n v="40000"/>
    <n v="28000"/>
    <n v="68000"/>
    <x v="0"/>
    <s v="Returned"/>
    <x v="3"/>
    <n v="5"/>
    <s v="Laki-laki"/>
    <x v="10"/>
    <x v="1"/>
    <n v="11"/>
  </r>
  <r>
    <s v="ORD01586"/>
    <n v="45624.811597222222"/>
    <x v="44"/>
    <s v="Jakarta"/>
    <s v="Susu Bubuk - Brand A"/>
    <x v="7"/>
    <x v="2"/>
    <n v="45000"/>
    <n v="4"/>
    <n v="20"/>
    <n v="180000"/>
    <n v="36000"/>
    <n v="144000"/>
    <n v="97000"/>
    <n v="241000"/>
    <x v="2"/>
    <s v="Completed"/>
    <x v="1"/>
    <n v="4"/>
    <s v="Perempuan"/>
    <x v="10"/>
    <x v="1"/>
    <n v="11"/>
  </r>
  <r>
    <s v="ORD01330"/>
    <n v="45625.003437500003"/>
    <x v="348"/>
    <s v="Sorong"/>
    <s v="Susu Bubuk - Brand C"/>
    <x v="7"/>
    <x v="0"/>
    <n v="55000"/>
    <n v="3"/>
    <n v="5"/>
    <n v="165000"/>
    <n v="8250"/>
    <n v="156750"/>
    <n v="87000"/>
    <n v="243750"/>
    <x v="3"/>
    <s v="Completed"/>
    <x v="3"/>
    <n v="2"/>
    <s v="Perempuan"/>
    <x v="10"/>
    <x v="1"/>
    <n v="11"/>
  </r>
  <r>
    <s v="ORD00789"/>
    <n v="45625.054247685177"/>
    <x v="295"/>
    <s v="Yogyakarta"/>
    <s v="Garam - Brand A"/>
    <x v="5"/>
    <x v="2"/>
    <n v="4000"/>
    <n v="2"/>
    <n v="5"/>
    <n v="8000"/>
    <n v="400"/>
    <n v="7600"/>
    <n v="78000"/>
    <n v="85600"/>
    <x v="1"/>
    <s v="Completed"/>
    <x v="3"/>
    <n v="2"/>
    <s v="Perempuan"/>
    <x v="10"/>
    <x v="1"/>
    <n v="11"/>
  </r>
  <r>
    <s v="ORD00273"/>
    <n v="45625.054560185177"/>
    <x v="91"/>
    <s v="Serang"/>
    <s v="Beras - Brand B"/>
    <x v="0"/>
    <x v="1"/>
    <n v="15000"/>
    <n v="2"/>
    <n v="10"/>
    <n v="30000"/>
    <n v="3000"/>
    <n v="27000"/>
    <n v="57000"/>
    <n v="84000"/>
    <x v="0"/>
    <s v="Completed"/>
    <x v="1"/>
    <n v="4"/>
    <s v="Perempuan"/>
    <x v="10"/>
    <x v="1"/>
    <n v="11"/>
  </r>
  <r>
    <s v="ORD01109"/>
    <n v="45625.092488425929"/>
    <x v="203"/>
    <s v="Kendari"/>
    <s v="Minyak Goreng - Brand C"/>
    <x v="8"/>
    <x v="0"/>
    <n v="18000"/>
    <n v="4"/>
    <n v="0"/>
    <n v="72000"/>
    <n v="0"/>
    <n v="72000"/>
    <n v="59000"/>
    <n v="131000"/>
    <x v="1"/>
    <s v="Completed"/>
    <x v="4"/>
    <n v="5"/>
    <s v="Perempuan"/>
    <x v="10"/>
    <x v="1"/>
    <n v="11"/>
  </r>
  <r>
    <s v="ORD01857"/>
    <n v="45625.140717592592"/>
    <x v="202"/>
    <s v="Bengkulu"/>
    <s v="Bawang Merah - Brand A"/>
    <x v="3"/>
    <x v="2"/>
    <n v="30000"/>
    <n v="4"/>
    <n v="20"/>
    <n v="120000"/>
    <n v="24000"/>
    <n v="96000"/>
    <n v="72000"/>
    <n v="168000"/>
    <x v="2"/>
    <s v="Completed"/>
    <x v="1"/>
    <n v="4"/>
    <s v="Perempuan"/>
    <x v="10"/>
    <x v="1"/>
    <n v="11"/>
  </r>
  <r>
    <s v="ORD00458"/>
    <n v="45625.605902777781"/>
    <x v="203"/>
    <s v="Kendari"/>
    <s v="Bawang Merah - Brand B"/>
    <x v="3"/>
    <x v="1"/>
    <n v="35000"/>
    <n v="2"/>
    <n v="20"/>
    <n v="70000"/>
    <n v="14000"/>
    <n v="56000"/>
    <n v="59000"/>
    <n v="115000"/>
    <x v="0"/>
    <s v="Completed"/>
    <x v="2"/>
    <n v="3"/>
    <s v="Perempuan"/>
    <x v="10"/>
    <x v="1"/>
    <n v="11"/>
  </r>
  <r>
    <s v="ORD00330"/>
    <n v="45625.796550925923"/>
    <x v="78"/>
    <s v="Mataram"/>
    <s v="Daging Ayam - Brand C"/>
    <x v="1"/>
    <x v="0"/>
    <n v="45000"/>
    <n v="4"/>
    <n v="10"/>
    <n v="180000"/>
    <n v="18000"/>
    <n v="162000"/>
    <n v="56000"/>
    <n v="218000"/>
    <x v="1"/>
    <s v="Completed"/>
    <x v="1"/>
    <n v="5"/>
    <s v="Perempuan"/>
    <x v="10"/>
    <x v="1"/>
    <n v="11"/>
  </r>
  <r>
    <s v="ORD01495"/>
    <n v="45625.893275462957"/>
    <x v="79"/>
    <s v="Pontianak"/>
    <s v="Minyak Goreng - Brand C"/>
    <x v="8"/>
    <x v="0"/>
    <n v="18000"/>
    <n v="1"/>
    <n v="0"/>
    <n v="18000"/>
    <n v="0"/>
    <n v="18000"/>
    <n v="85000"/>
    <n v="103000"/>
    <x v="1"/>
    <s v="Returned"/>
    <x v="2"/>
    <n v="3"/>
    <s v="Perempuan"/>
    <x v="10"/>
    <x v="1"/>
    <n v="11"/>
  </r>
  <r>
    <s v="ORD00175"/>
    <n v="45626.462916666656"/>
    <x v="394"/>
    <s v="Pangkalpinang"/>
    <s v="Susu Bubuk - Brand B"/>
    <x v="7"/>
    <x v="1"/>
    <n v="50000"/>
    <n v="4"/>
    <n v="10"/>
    <n v="200000"/>
    <n v="20000"/>
    <n v="180000"/>
    <n v="18000"/>
    <n v="198000"/>
    <x v="3"/>
    <s v="Completed"/>
    <x v="4"/>
    <n v="4"/>
    <s v="Perempuan"/>
    <x v="10"/>
    <x v="1"/>
    <n v="11"/>
  </r>
  <r>
    <s v="ORD00175"/>
    <n v="45626.462916666656"/>
    <x v="394"/>
    <s v="Pangkalpinang"/>
    <s v="Gula Pasir - Brand C"/>
    <x v="6"/>
    <x v="0"/>
    <n v="18000"/>
    <n v="1"/>
    <n v="0"/>
    <n v="18000"/>
    <n v="0"/>
    <n v="18000"/>
    <n v="0"/>
    <n v="18000"/>
    <x v="3"/>
    <s v="Completed"/>
    <x v="4"/>
    <n v="4"/>
    <s v="Perempuan"/>
    <x v="10"/>
    <x v="1"/>
    <n v="11"/>
  </r>
  <r>
    <s v="ORD00645"/>
    <n v="45626.525057870371"/>
    <x v="220"/>
    <s v="Kendari"/>
    <s v="Bawang Merah - Brand C"/>
    <x v="3"/>
    <x v="0"/>
    <n v="40000"/>
    <n v="2"/>
    <n v="10"/>
    <n v="80000"/>
    <n v="8000"/>
    <n v="72000"/>
    <n v="59000"/>
    <n v="131000"/>
    <x v="3"/>
    <s v="Completed"/>
    <x v="3"/>
    <n v="4"/>
    <s v="Perempuan"/>
    <x v="10"/>
    <x v="1"/>
    <n v="11"/>
  </r>
  <r>
    <s v="ORD01123"/>
    <n v="45626.606817129628"/>
    <x v="135"/>
    <s v="Jayapura"/>
    <s v="Minyak Goreng - Brand A"/>
    <x v="8"/>
    <x v="2"/>
    <n v="16000"/>
    <n v="3"/>
    <n v="0"/>
    <n v="48000"/>
    <n v="0"/>
    <n v="48000"/>
    <n v="30000"/>
    <n v="78000"/>
    <x v="0"/>
    <s v="Completed"/>
    <x v="3"/>
    <n v="4"/>
    <s v="Laki-laki"/>
    <x v="10"/>
    <x v="1"/>
    <n v="11"/>
  </r>
  <r>
    <s v="ORD00365"/>
    <n v="45626.795601851853"/>
    <x v="159"/>
    <s v="Merauke"/>
    <s v="Bawang Merah - Brand B"/>
    <x v="3"/>
    <x v="1"/>
    <n v="35000"/>
    <n v="3"/>
    <n v="15"/>
    <n v="105000"/>
    <n v="15750"/>
    <n v="89250"/>
    <n v="59000"/>
    <n v="148250"/>
    <x v="2"/>
    <s v="Cancelled"/>
    <x v="4"/>
    <n v="5"/>
    <s v="Perempuan"/>
    <x v="10"/>
    <x v="1"/>
    <n v="11"/>
  </r>
  <r>
    <s v="ORD01670"/>
    <n v="45627.091238425928"/>
    <x v="40"/>
    <s v="Bengkulu"/>
    <s v="Tepung Terigu - Brand B"/>
    <x v="2"/>
    <x v="1"/>
    <n v="12000"/>
    <n v="3"/>
    <n v="20"/>
    <n v="36000"/>
    <n v="7200"/>
    <n v="28800"/>
    <n v="72000"/>
    <n v="100800"/>
    <x v="3"/>
    <s v="Completed"/>
    <x v="4"/>
    <n v="2"/>
    <s v="Perempuan"/>
    <x v="11"/>
    <x v="1"/>
    <n v="12"/>
  </r>
  <r>
    <s v="ORD00017"/>
    <n v="45627.266261574077"/>
    <x v="214"/>
    <s v="Ambon"/>
    <s v="Garam - Brand B"/>
    <x v="5"/>
    <x v="1"/>
    <n v="5000"/>
    <n v="2"/>
    <n v="15"/>
    <n v="10000"/>
    <n v="1500"/>
    <n v="8500"/>
    <n v="49000"/>
    <n v="57500"/>
    <x v="3"/>
    <s v="Completed"/>
    <x v="4"/>
    <n v="4"/>
    <s v="Laki-laki"/>
    <x v="11"/>
    <x v="1"/>
    <n v="12"/>
  </r>
  <r>
    <s v="ORD01511"/>
    <n v="45627.554027777784"/>
    <x v="19"/>
    <s v="Denpasar"/>
    <s v="Gula Pasir - Brand B"/>
    <x v="6"/>
    <x v="1"/>
    <n v="17000"/>
    <n v="1"/>
    <n v="0"/>
    <n v="17000"/>
    <n v="0"/>
    <n v="17000"/>
    <n v="80000"/>
    <n v="97000"/>
    <x v="0"/>
    <s v="Completed"/>
    <x v="3"/>
    <n v="1"/>
    <s v="Perempuan"/>
    <x v="11"/>
    <x v="1"/>
    <n v="12"/>
  </r>
  <r>
    <s v="ORD00315"/>
    <n v="45627.61445601852"/>
    <x v="313"/>
    <s v="Banda Aceh"/>
    <s v="Susu Bubuk - Brand C"/>
    <x v="7"/>
    <x v="0"/>
    <n v="55000"/>
    <n v="3"/>
    <n v="0"/>
    <n v="165000"/>
    <n v="0"/>
    <n v="165000"/>
    <n v="18000"/>
    <n v="183000"/>
    <x v="1"/>
    <s v="Returned"/>
    <x v="0"/>
    <n v="3"/>
    <s v="Perempuan"/>
    <x v="11"/>
    <x v="1"/>
    <n v="12"/>
  </r>
  <r>
    <s v="ORD01131"/>
    <n v="45627.638541666667"/>
    <x v="191"/>
    <s v="Banda Aceh"/>
    <s v="Susu Bubuk - Brand C"/>
    <x v="7"/>
    <x v="0"/>
    <n v="55000"/>
    <n v="1"/>
    <n v="0"/>
    <n v="55000"/>
    <n v="0"/>
    <n v="55000"/>
    <n v="18000"/>
    <n v="73000"/>
    <x v="2"/>
    <s v="Completed"/>
    <x v="0"/>
    <n v="4"/>
    <s v="Laki-laki"/>
    <x v="11"/>
    <x v="1"/>
    <n v="12"/>
  </r>
  <r>
    <s v="ORD01711"/>
    <n v="45627.976539351846"/>
    <x v="235"/>
    <s v="Banjarbaru"/>
    <s v="Telur Ayam - Brand C"/>
    <x v="4"/>
    <x v="0"/>
    <n v="28000"/>
    <n v="3"/>
    <n v="10"/>
    <n v="84000"/>
    <n v="8400"/>
    <n v="75600"/>
    <n v="55000"/>
    <n v="130600"/>
    <x v="1"/>
    <s v="Completed"/>
    <x v="3"/>
    <n v="5"/>
    <s v="Perempuan"/>
    <x v="11"/>
    <x v="1"/>
    <n v="12"/>
  </r>
  <r>
    <s v="ORD00539"/>
    <n v="45628.068935185183"/>
    <x v="183"/>
    <s v="Jambi"/>
    <s v="Gula Pasir - Brand A"/>
    <x v="6"/>
    <x v="2"/>
    <n v="16000"/>
    <n v="3"/>
    <n v="10"/>
    <n v="48000"/>
    <n v="4800"/>
    <n v="43200"/>
    <n v="87000"/>
    <n v="130200"/>
    <x v="2"/>
    <s v="Completed"/>
    <x v="2"/>
    <n v="5"/>
    <s v="Perempuan"/>
    <x v="11"/>
    <x v="1"/>
    <n v="12"/>
  </r>
  <r>
    <s v="ORD01659"/>
    <n v="45628.098298611112"/>
    <x v="272"/>
    <s v="Semarang"/>
    <s v="Tepung Terigu - Brand A"/>
    <x v="2"/>
    <x v="2"/>
    <n v="10000"/>
    <n v="5"/>
    <n v="0"/>
    <n v="50000"/>
    <n v="0"/>
    <n v="50000"/>
    <n v="76000"/>
    <n v="126000"/>
    <x v="0"/>
    <s v="Completed"/>
    <x v="4"/>
    <n v="1"/>
    <s v="Perempuan"/>
    <x v="11"/>
    <x v="1"/>
    <n v="12"/>
  </r>
  <r>
    <s v="ORD01278"/>
    <n v="45628.253842592603"/>
    <x v="236"/>
    <s v="Mamuju"/>
    <s v="Beras - Brand C"/>
    <x v="0"/>
    <x v="0"/>
    <n v="16000"/>
    <n v="4"/>
    <n v="5"/>
    <n v="64000"/>
    <n v="3200"/>
    <n v="60800"/>
    <n v="46000"/>
    <n v="106800"/>
    <x v="0"/>
    <s v="Completed"/>
    <x v="3"/>
    <n v="1"/>
    <s v="Perempuan"/>
    <x v="11"/>
    <x v="1"/>
    <n v="12"/>
  </r>
  <r>
    <s v="ORD01773"/>
    <n v="45628.472118055557"/>
    <x v="301"/>
    <s v="Tanjung Selor"/>
    <s v="Garam - Brand B"/>
    <x v="5"/>
    <x v="1"/>
    <n v="5000"/>
    <n v="1"/>
    <n v="0"/>
    <n v="5000"/>
    <n v="0"/>
    <n v="5000"/>
    <n v="26000"/>
    <n v="31000"/>
    <x v="0"/>
    <s v="Completed"/>
    <x v="0"/>
    <n v="4"/>
    <s v="Perempuan"/>
    <x v="11"/>
    <x v="1"/>
    <n v="12"/>
  </r>
  <r>
    <s v="ORD01695"/>
    <n v="45628.478425925918"/>
    <x v="161"/>
    <s v="Gorontalo"/>
    <s v="Telur Ayam - Brand B"/>
    <x v="4"/>
    <x v="1"/>
    <n v="25000"/>
    <n v="1"/>
    <n v="10"/>
    <n v="25000"/>
    <n v="2500"/>
    <n v="22500"/>
    <n v="80000"/>
    <n v="102500"/>
    <x v="0"/>
    <s v="Cancelled"/>
    <x v="4"/>
    <n v="4"/>
    <s v="Perempuan"/>
    <x v="11"/>
    <x v="1"/>
    <n v="12"/>
  </r>
  <r>
    <s v="ORD01193"/>
    <n v="45628.526504629634"/>
    <x v="164"/>
    <s v="Sorong"/>
    <s v="Susu Bubuk - Brand A"/>
    <x v="7"/>
    <x v="2"/>
    <n v="45000"/>
    <n v="2"/>
    <n v="10"/>
    <n v="90000"/>
    <n v="9000"/>
    <n v="81000"/>
    <n v="87000"/>
    <n v="168000"/>
    <x v="3"/>
    <s v="Completed"/>
    <x v="0"/>
    <n v="5"/>
    <s v="Perempuan"/>
    <x v="11"/>
    <x v="1"/>
    <n v="12"/>
  </r>
  <r>
    <s v="ORD00386"/>
    <n v="45628.564050925917"/>
    <x v="234"/>
    <s v="Tanjung Selor"/>
    <s v="Tepung Terigu - Brand C"/>
    <x v="2"/>
    <x v="0"/>
    <n v="14000"/>
    <n v="5"/>
    <n v="0"/>
    <n v="70000"/>
    <n v="0"/>
    <n v="70000"/>
    <n v="26000"/>
    <n v="96000"/>
    <x v="2"/>
    <s v="Completed"/>
    <x v="4"/>
    <n v="5"/>
    <s v="Perempuan"/>
    <x v="11"/>
    <x v="1"/>
    <n v="12"/>
  </r>
  <r>
    <s v="ORD01304"/>
    <n v="45628.596377314818"/>
    <x v="46"/>
    <s v="Surabaya"/>
    <s v="Beras - Brand C"/>
    <x v="0"/>
    <x v="0"/>
    <n v="16000"/>
    <n v="3"/>
    <n v="20"/>
    <n v="48000"/>
    <n v="9600"/>
    <n v="38400"/>
    <n v="74000"/>
    <n v="112400"/>
    <x v="0"/>
    <s v="Cancelled"/>
    <x v="0"/>
    <n v="5"/>
    <s v="Perempuan"/>
    <x v="11"/>
    <x v="1"/>
    <n v="12"/>
  </r>
  <r>
    <s v="ORD01710"/>
    <n v="45629.14199074074"/>
    <x v="65"/>
    <s v="Mataram"/>
    <s v="Minyak Goreng - Brand A"/>
    <x v="8"/>
    <x v="2"/>
    <n v="16000"/>
    <n v="1"/>
    <n v="0"/>
    <n v="16000"/>
    <n v="0"/>
    <n v="16000"/>
    <n v="56000"/>
    <n v="72000"/>
    <x v="3"/>
    <s v="Returned"/>
    <x v="2"/>
    <n v="5"/>
    <s v="Perempuan"/>
    <x v="11"/>
    <x v="1"/>
    <n v="12"/>
  </r>
  <r>
    <s v="ORD01519"/>
    <n v="45629.167129629634"/>
    <x v="21"/>
    <s v="Serang"/>
    <s v="Bawang Merah - Brand C"/>
    <x v="3"/>
    <x v="0"/>
    <n v="40000"/>
    <n v="5"/>
    <n v="15"/>
    <n v="200000"/>
    <n v="30000"/>
    <n v="170000"/>
    <n v="57000"/>
    <n v="227000"/>
    <x v="1"/>
    <s v="Returned"/>
    <x v="0"/>
    <n v="4"/>
    <s v="Perempuan"/>
    <x v="11"/>
    <x v="1"/>
    <n v="12"/>
  </r>
  <r>
    <s v="ORD00167"/>
    <n v="45629.321921296287"/>
    <x v="79"/>
    <s v="Pontianak"/>
    <s v="Telur Ayam - Brand A"/>
    <x v="4"/>
    <x v="2"/>
    <n v="22000"/>
    <n v="2"/>
    <n v="0"/>
    <n v="44000"/>
    <n v="0"/>
    <n v="44000"/>
    <n v="85000"/>
    <n v="129000"/>
    <x v="3"/>
    <s v="Completed"/>
    <x v="1"/>
    <n v="4"/>
    <s v="Perempuan"/>
    <x v="11"/>
    <x v="1"/>
    <n v="12"/>
  </r>
  <r>
    <s v="ORD00167"/>
    <n v="45629.321921296287"/>
    <x v="79"/>
    <s v="Pontianak"/>
    <s v="Tepung Terigu - Brand B"/>
    <x v="2"/>
    <x v="1"/>
    <n v="12000"/>
    <n v="3"/>
    <n v="20"/>
    <n v="36000"/>
    <n v="7200"/>
    <n v="28800"/>
    <n v="0"/>
    <n v="28800"/>
    <x v="3"/>
    <s v="Completed"/>
    <x v="1"/>
    <n v="4"/>
    <s v="Perempuan"/>
    <x v="11"/>
    <x v="1"/>
    <n v="12"/>
  </r>
  <r>
    <s v="ORD01246"/>
    <n v="45629.390451388892"/>
    <x v="171"/>
    <s v="Kupang"/>
    <s v="Daging Ayam - Brand A"/>
    <x v="1"/>
    <x v="2"/>
    <n v="35000"/>
    <n v="2"/>
    <n v="0"/>
    <n v="70000"/>
    <n v="0"/>
    <n v="70000"/>
    <n v="21000"/>
    <n v="91000"/>
    <x v="0"/>
    <s v="Completed"/>
    <x v="2"/>
    <n v="1"/>
    <s v="Perempuan"/>
    <x v="11"/>
    <x v="1"/>
    <n v="12"/>
  </r>
  <r>
    <s v="ORD01607"/>
    <n v="45629.426365740743"/>
    <x v="241"/>
    <s v="Jakarta"/>
    <s v="Bawang Merah - Brand C"/>
    <x v="3"/>
    <x v="0"/>
    <n v="40000"/>
    <n v="3"/>
    <n v="0"/>
    <n v="120000"/>
    <n v="0"/>
    <n v="120000"/>
    <n v="97000"/>
    <n v="217000"/>
    <x v="1"/>
    <s v="Completed"/>
    <x v="3"/>
    <n v="5"/>
    <s v="Perempuan"/>
    <x v="11"/>
    <x v="1"/>
    <n v="12"/>
  </r>
  <r>
    <s v="ORD00261"/>
    <n v="45629.528148148151"/>
    <x v="96"/>
    <s v="Denpasar"/>
    <s v="Tepung Terigu - Brand C"/>
    <x v="2"/>
    <x v="0"/>
    <n v="14000"/>
    <n v="1"/>
    <n v="5"/>
    <n v="14000"/>
    <n v="700"/>
    <n v="13300"/>
    <n v="80000"/>
    <n v="93300"/>
    <x v="2"/>
    <s v="Completed"/>
    <x v="3"/>
    <n v="4"/>
    <s v="Perempuan"/>
    <x v="11"/>
    <x v="1"/>
    <n v="12"/>
  </r>
  <r>
    <s v="ORD00542"/>
    <n v="45629.953587962962"/>
    <x v="86"/>
    <s v="Padang"/>
    <s v="Tepung Terigu - Brand C"/>
    <x v="2"/>
    <x v="0"/>
    <n v="14000"/>
    <n v="4"/>
    <n v="0"/>
    <n v="56000"/>
    <n v="0"/>
    <n v="56000"/>
    <n v="68000"/>
    <n v="124000"/>
    <x v="2"/>
    <s v="Completed"/>
    <x v="3"/>
    <n v="1"/>
    <s v="Perempuan"/>
    <x v="11"/>
    <x v="1"/>
    <n v="12"/>
  </r>
  <r>
    <s v="ORD01498"/>
    <n v="45630.617152777777"/>
    <x v="168"/>
    <s v="Semarang"/>
    <s v="Susu Bubuk - Brand A"/>
    <x v="7"/>
    <x v="2"/>
    <n v="45000"/>
    <n v="2"/>
    <n v="15"/>
    <n v="90000"/>
    <n v="13500"/>
    <n v="76500"/>
    <n v="76000"/>
    <n v="152500"/>
    <x v="2"/>
    <s v="Returned"/>
    <x v="0"/>
    <n v="4"/>
    <s v="Perempuan"/>
    <x v="11"/>
    <x v="1"/>
    <n v="12"/>
  </r>
  <r>
    <s v="ORD01464"/>
    <n v="45631.069363425922"/>
    <x v="369"/>
    <s v="Surabaya"/>
    <s v="Telur Ayam - Brand A"/>
    <x v="4"/>
    <x v="2"/>
    <n v="22000"/>
    <n v="5"/>
    <n v="20"/>
    <n v="110000"/>
    <n v="22000"/>
    <n v="88000"/>
    <n v="74000"/>
    <n v="162000"/>
    <x v="2"/>
    <s v="Completed"/>
    <x v="3"/>
    <n v="4"/>
    <s v="Perempuan"/>
    <x v="11"/>
    <x v="1"/>
    <n v="12"/>
  </r>
  <r>
    <s v="ORD00932"/>
    <n v="45631.320868055547"/>
    <x v="253"/>
    <s v="Tanjung Selor"/>
    <s v="Garam - Brand C"/>
    <x v="5"/>
    <x v="0"/>
    <n v="6000"/>
    <n v="2"/>
    <n v="0"/>
    <n v="12000"/>
    <n v="0"/>
    <n v="12000"/>
    <n v="26000"/>
    <n v="38000"/>
    <x v="3"/>
    <s v="Completed"/>
    <x v="4"/>
    <n v="1"/>
    <s v="Perempuan"/>
    <x v="11"/>
    <x v="1"/>
    <n v="12"/>
  </r>
  <r>
    <s v="ORD00028"/>
    <n v="45631.402430555558"/>
    <x v="372"/>
    <s v="Bandar Lampung"/>
    <s v="Minyak Goreng - Brand C"/>
    <x v="8"/>
    <x v="0"/>
    <n v="18000"/>
    <n v="2"/>
    <n v="5"/>
    <n v="36000"/>
    <n v="1800"/>
    <n v="34200"/>
    <n v="28000"/>
    <n v="62200"/>
    <x v="2"/>
    <s v="Completed"/>
    <x v="3"/>
    <n v="3"/>
    <s v="Laki-laki"/>
    <x v="11"/>
    <x v="1"/>
    <n v="12"/>
  </r>
  <r>
    <s v="ORD00028"/>
    <n v="45631.402430555558"/>
    <x v="372"/>
    <s v="Bandar Lampung"/>
    <s v="Gula Pasir - Brand C"/>
    <x v="6"/>
    <x v="0"/>
    <n v="18000"/>
    <n v="2"/>
    <n v="20"/>
    <n v="36000"/>
    <n v="7200"/>
    <n v="28800"/>
    <n v="0"/>
    <n v="28800"/>
    <x v="2"/>
    <s v="Completed"/>
    <x v="3"/>
    <n v="3"/>
    <s v="Laki-laki"/>
    <x v="11"/>
    <x v="1"/>
    <n v="12"/>
  </r>
  <r>
    <s v="ORD00876"/>
    <n v="45631.572511574072"/>
    <x v="390"/>
    <s v="Bandung"/>
    <s v="Gula Pasir - Brand B"/>
    <x v="6"/>
    <x v="1"/>
    <n v="17000"/>
    <n v="3"/>
    <n v="20"/>
    <n v="51000"/>
    <n v="10200"/>
    <n v="40800"/>
    <n v="0"/>
    <n v="40800"/>
    <x v="0"/>
    <s v="Completed"/>
    <x v="4"/>
    <n v="4"/>
    <s v="Laki-laki"/>
    <x v="11"/>
    <x v="1"/>
    <n v="12"/>
  </r>
  <r>
    <s v="ORD00678"/>
    <n v="45631.768067129633"/>
    <x v="46"/>
    <s v="Surabaya"/>
    <s v="Tepung Terigu - Brand B"/>
    <x v="2"/>
    <x v="1"/>
    <n v="12000"/>
    <n v="4"/>
    <n v="20"/>
    <n v="48000"/>
    <n v="9600"/>
    <n v="38400"/>
    <n v="74000"/>
    <n v="112400"/>
    <x v="3"/>
    <s v="Completed"/>
    <x v="4"/>
    <n v="2"/>
    <s v="Perempuan"/>
    <x v="11"/>
    <x v="1"/>
    <n v="12"/>
  </r>
  <r>
    <s v="ORD01535"/>
    <n v="45631.862500000003"/>
    <x v="359"/>
    <s v="Bandar Lampung"/>
    <s v="Susu Bubuk - Brand C"/>
    <x v="7"/>
    <x v="0"/>
    <n v="55000"/>
    <n v="1"/>
    <n v="15"/>
    <n v="55000"/>
    <n v="8250"/>
    <n v="46750"/>
    <n v="28000"/>
    <n v="74750"/>
    <x v="2"/>
    <s v="Cancelled"/>
    <x v="2"/>
    <n v="5"/>
    <s v="Perempuan"/>
    <x v="11"/>
    <x v="1"/>
    <n v="12"/>
  </r>
  <r>
    <s v="ORD00566"/>
    <n v="45632.22550925926"/>
    <x v="254"/>
    <s v="Bandar Lampung"/>
    <s v="Daging Ayam - Brand A"/>
    <x v="1"/>
    <x v="2"/>
    <n v="35000"/>
    <n v="4"/>
    <n v="5"/>
    <n v="140000"/>
    <n v="7000"/>
    <n v="133000"/>
    <n v="28000"/>
    <n v="161000"/>
    <x v="1"/>
    <s v="Completed"/>
    <x v="1"/>
    <n v="1"/>
    <s v="Laki-laki"/>
    <x v="11"/>
    <x v="1"/>
    <n v="12"/>
  </r>
  <r>
    <s v="ORD01212"/>
    <n v="45632.448240740741"/>
    <x v="290"/>
    <s v="Semarang"/>
    <s v="Daging Ayam - Brand B"/>
    <x v="1"/>
    <x v="1"/>
    <n v="40000"/>
    <n v="2"/>
    <n v="20"/>
    <n v="80000"/>
    <n v="16000"/>
    <n v="64000"/>
    <n v="76000"/>
    <n v="140000"/>
    <x v="3"/>
    <s v="Completed"/>
    <x v="2"/>
    <n v="5"/>
    <s v="Laki-laki"/>
    <x v="11"/>
    <x v="1"/>
    <n v="12"/>
  </r>
  <r>
    <s v="ORD00918"/>
    <n v="45633.222604166673"/>
    <x v="128"/>
    <s v="Samarinda"/>
    <s v="Garam - Brand B"/>
    <x v="5"/>
    <x v="1"/>
    <n v="5000"/>
    <n v="4"/>
    <n v="5"/>
    <n v="20000"/>
    <n v="1000"/>
    <n v="19000"/>
    <n v="43000"/>
    <n v="62000"/>
    <x v="2"/>
    <s v="Completed"/>
    <x v="0"/>
    <n v="3"/>
    <s v="Perempuan"/>
    <x v="11"/>
    <x v="1"/>
    <n v="12"/>
  </r>
  <r>
    <s v="ORD00536"/>
    <n v="45633.321956018517"/>
    <x v="33"/>
    <s v="Jambi"/>
    <s v="Gula Pasir - Brand B"/>
    <x v="6"/>
    <x v="1"/>
    <n v="17000"/>
    <n v="4"/>
    <n v="5"/>
    <n v="68000"/>
    <n v="3400"/>
    <n v="64600"/>
    <n v="87000"/>
    <n v="151600"/>
    <x v="1"/>
    <s v="Completed"/>
    <x v="4"/>
    <n v="1"/>
    <s v="Perempuan"/>
    <x v="11"/>
    <x v="1"/>
    <n v="12"/>
  </r>
  <r>
    <s v="ORD01192"/>
    <n v="45633.470682870371"/>
    <x v="42"/>
    <s v="Kupang"/>
    <s v="Telur Ayam - Brand B"/>
    <x v="4"/>
    <x v="1"/>
    <n v="25000"/>
    <n v="2"/>
    <n v="5"/>
    <n v="50000"/>
    <n v="2500"/>
    <n v="47500"/>
    <n v="21000"/>
    <n v="68500"/>
    <x v="2"/>
    <s v="Completed"/>
    <x v="3"/>
    <n v="5"/>
    <s v="Perempuan"/>
    <x v="11"/>
    <x v="1"/>
    <n v="12"/>
  </r>
  <r>
    <s v="ORD01010"/>
    <n v="45633.724930555552"/>
    <x v="316"/>
    <s v="Manokwari"/>
    <s v="Garam - Brand B"/>
    <x v="5"/>
    <x v="1"/>
    <n v="5000"/>
    <n v="3"/>
    <n v="20"/>
    <n v="15000"/>
    <n v="3000"/>
    <n v="12000"/>
    <n v="18000"/>
    <n v="30000"/>
    <x v="0"/>
    <s v="Cancelled"/>
    <x v="3"/>
    <n v="4"/>
    <s v="Laki-laki"/>
    <x v="11"/>
    <x v="1"/>
    <n v="12"/>
  </r>
  <r>
    <s v="ORD00439"/>
    <n v="45634.066932870373"/>
    <x v="18"/>
    <s v="Medan"/>
    <s v="Daging Ayam - Brand C"/>
    <x v="1"/>
    <x v="0"/>
    <n v="45000"/>
    <n v="3"/>
    <n v="20"/>
    <n v="135000"/>
    <n v="27000"/>
    <n v="108000"/>
    <n v="79000"/>
    <n v="187000"/>
    <x v="0"/>
    <s v="Returned"/>
    <x v="4"/>
    <n v="5"/>
    <s v="Perempuan"/>
    <x v="11"/>
    <x v="1"/>
    <n v="12"/>
  </r>
  <r>
    <s v="ORD01514"/>
    <n v="45634.884618055563"/>
    <x v="308"/>
    <s v="Jayapura"/>
    <s v="Garam - Brand C"/>
    <x v="5"/>
    <x v="0"/>
    <n v="6000"/>
    <n v="4"/>
    <n v="10"/>
    <n v="24000"/>
    <n v="2400"/>
    <n v="21600"/>
    <n v="30000"/>
    <n v="51600"/>
    <x v="0"/>
    <s v="Returned"/>
    <x v="1"/>
    <n v="2"/>
    <s v="Perempuan"/>
    <x v="11"/>
    <x v="1"/>
    <n v="12"/>
  </r>
  <r>
    <s v="ORD01375"/>
    <n v="45635.087650462963"/>
    <x v="235"/>
    <s v="Banjarbaru"/>
    <s v="Beras - Brand A"/>
    <x v="0"/>
    <x v="2"/>
    <n v="14000"/>
    <n v="5"/>
    <n v="10"/>
    <n v="70000"/>
    <n v="7000"/>
    <n v="63000"/>
    <n v="55000"/>
    <n v="118000"/>
    <x v="0"/>
    <s v="Completed"/>
    <x v="0"/>
    <n v="2"/>
    <s v="Perempuan"/>
    <x v="11"/>
    <x v="1"/>
    <n v="12"/>
  </r>
  <r>
    <s v="ORD00431"/>
    <n v="45635.399953703702"/>
    <x v="40"/>
    <s v="Bengkulu"/>
    <s v="Beras - Brand C"/>
    <x v="0"/>
    <x v="0"/>
    <n v="16000"/>
    <n v="4"/>
    <n v="15"/>
    <n v="64000"/>
    <n v="9600"/>
    <n v="54400"/>
    <n v="72000"/>
    <n v="126400"/>
    <x v="1"/>
    <s v="Returned"/>
    <x v="4"/>
    <n v="5"/>
    <s v="Perempuan"/>
    <x v="11"/>
    <x v="1"/>
    <n v="12"/>
  </r>
  <r>
    <s v="ORD00940"/>
    <n v="45635.575624999998"/>
    <x v="200"/>
    <s v="Sofifi"/>
    <s v="Telur Ayam - Brand A"/>
    <x v="4"/>
    <x v="2"/>
    <n v="22000"/>
    <n v="3"/>
    <n v="10"/>
    <n v="66000"/>
    <n v="6600"/>
    <n v="59400"/>
    <n v="50000"/>
    <n v="109400"/>
    <x v="1"/>
    <s v="Completed"/>
    <x v="1"/>
    <n v="5"/>
    <s v="Perempuan"/>
    <x v="11"/>
    <x v="1"/>
    <n v="12"/>
  </r>
  <r>
    <s v="ORD00779"/>
    <n v="45635.641793981478"/>
    <x v="309"/>
    <s v="Manokwari"/>
    <s v="Minyak Goreng - Brand B"/>
    <x v="8"/>
    <x v="1"/>
    <n v="17000"/>
    <n v="5"/>
    <n v="20"/>
    <n v="85000"/>
    <n v="17000"/>
    <n v="68000"/>
    <n v="18000"/>
    <n v="86000"/>
    <x v="3"/>
    <s v="Completed"/>
    <x v="1"/>
    <n v="1"/>
    <s v="Perempuan"/>
    <x v="11"/>
    <x v="1"/>
    <n v="12"/>
  </r>
  <r>
    <s v="ORD01099"/>
    <n v="45635.762002314812"/>
    <x v="288"/>
    <s v="Pangkalpinang"/>
    <s v="Gula Pasir - Brand C"/>
    <x v="6"/>
    <x v="0"/>
    <n v="18000"/>
    <n v="1"/>
    <n v="5"/>
    <n v="18000"/>
    <n v="900"/>
    <n v="17100"/>
    <n v="18000"/>
    <n v="35100"/>
    <x v="1"/>
    <s v="Completed"/>
    <x v="3"/>
    <n v="3"/>
    <s v="Perempuan"/>
    <x v="11"/>
    <x v="1"/>
    <n v="12"/>
  </r>
  <r>
    <s v="ORD01767"/>
    <n v="45636.287418981483"/>
    <x v="195"/>
    <s v="Pontianak"/>
    <s v="Susu Bubuk - Brand C"/>
    <x v="7"/>
    <x v="0"/>
    <n v="55000"/>
    <n v="4"/>
    <n v="10"/>
    <n v="220000"/>
    <n v="22000"/>
    <n v="198000"/>
    <n v="85000"/>
    <n v="283000"/>
    <x v="2"/>
    <s v="Completed"/>
    <x v="2"/>
    <n v="2"/>
    <s v="Perempuan"/>
    <x v="11"/>
    <x v="1"/>
    <n v="12"/>
  </r>
  <r>
    <s v="ORD01006"/>
    <n v="45636.340405092589"/>
    <x v="62"/>
    <s v="Bandung"/>
    <s v="Minyak Goreng - Brand C"/>
    <x v="8"/>
    <x v="0"/>
    <n v="18000"/>
    <n v="2"/>
    <n v="10"/>
    <n v="36000"/>
    <n v="3600"/>
    <n v="32400"/>
    <n v="0"/>
    <n v="32400"/>
    <x v="0"/>
    <s v="Completed"/>
    <x v="4"/>
    <n v="2"/>
    <s v="Perempuan"/>
    <x v="11"/>
    <x v="1"/>
    <n v="12"/>
  </r>
  <r>
    <s v="ORD01815"/>
    <n v="45636.710740740738"/>
    <x v="65"/>
    <s v="Mataram"/>
    <s v="Daging Ayam - Brand B"/>
    <x v="1"/>
    <x v="1"/>
    <n v="40000"/>
    <n v="5"/>
    <n v="15"/>
    <n v="200000"/>
    <n v="30000"/>
    <n v="170000"/>
    <n v="56000"/>
    <n v="226000"/>
    <x v="2"/>
    <s v="Completed"/>
    <x v="3"/>
    <n v="4"/>
    <s v="Perempuan"/>
    <x v="11"/>
    <x v="1"/>
    <n v="12"/>
  </r>
  <r>
    <s v="ORD01678"/>
    <n v="45637.073472222219"/>
    <x v="175"/>
    <s v="Manokwari"/>
    <s v="Tepung Terigu - Brand C"/>
    <x v="2"/>
    <x v="0"/>
    <n v="14000"/>
    <n v="1"/>
    <n v="20"/>
    <n v="14000"/>
    <n v="2800"/>
    <n v="11200"/>
    <n v="18000"/>
    <n v="29200"/>
    <x v="2"/>
    <s v="Completed"/>
    <x v="4"/>
    <n v="2"/>
    <s v="Perempuan"/>
    <x v="11"/>
    <x v="1"/>
    <n v="12"/>
  </r>
  <r>
    <s v="ORD01658"/>
    <n v="45637.589143518519"/>
    <x v="148"/>
    <s v="Mataram"/>
    <s v="Beras - Brand A"/>
    <x v="0"/>
    <x v="2"/>
    <n v="14000"/>
    <n v="1"/>
    <n v="5"/>
    <n v="14000"/>
    <n v="700"/>
    <n v="13300"/>
    <n v="56000"/>
    <n v="69300"/>
    <x v="0"/>
    <s v="Completed"/>
    <x v="1"/>
    <n v="1"/>
    <s v="Perempuan"/>
    <x v="11"/>
    <x v="1"/>
    <n v="12"/>
  </r>
  <r>
    <s v="ORD01428"/>
    <n v="45638.143275462957"/>
    <x v="317"/>
    <s v="Bengkulu"/>
    <s v="Daging Ayam - Brand C"/>
    <x v="1"/>
    <x v="0"/>
    <n v="45000"/>
    <n v="2"/>
    <n v="10"/>
    <n v="90000"/>
    <n v="9000"/>
    <n v="81000"/>
    <n v="72000"/>
    <n v="153000"/>
    <x v="0"/>
    <s v="Returned"/>
    <x v="4"/>
    <n v="1"/>
    <s v="Perempuan"/>
    <x v="11"/>
    <x v="1"/>
    <n v="12"/>
  </r>
  <r>
    <s v="ORD01138"/>
    <n v="45638.296215277784"/>
    <x v="246"/>
    <s v="Jakarta"/>
    <s v="Beras - Brand C"/>
    <x v="0"/>
    <x v="0"/>
    <n v="16000"/>
    <n v="2"/>
    <n v="5"/>
    <n v="32000"/>
    <n v="1600"/>
    <n v="30400"/>
    <n v="97000"/>
    <n v="127400"/>
    <x v="1"/>
    <s v="Completed"/>
    <x v="3"/>
    <n v="5"/>
    <s v="Perempuan"/>
    <x v="11"/>
    <x v="1"/>
    <n v="12"/>
  </r>
  <r>
    <s v="ORD00564"/>
    <n v="45638.342916666668"/>
    <x v="81"/>
    <s v="Nabire"/>
    <s v="Telur Ayam - Brand C"/>
    <x v="4"/>
    <x v="0"/>
    <n v="28000"/>
    <n v="3"/>
    <n v="20"/>
    <n v="84000"/>
    <n v="16800"/>
    <n v="67200"/>
    <n v="89000"/>
    <n v="156200"/>
    <x v="2"/>
    <s v="Cancelled"/>
    <x v="1"/>
    <n v="2"/>
    <s v="Perempuan"/>
    <x v="11"/>
    <x v="1"/>
    <n v="12"/>
  </r>
  <r>
    <s v="ORD01649"/>
    <n v="45638.383379629631"/>
    <x v="147"/>
    <s v="Gorontalo"/>
    <s v="Tepung Terigu - Brand C"/>
    <x v="2"/>
    <x v="0"/>
    <n v="14000"/>
    <n v="5"/>
    <n v="20"/>
    <n v="70000"/>
    <n v="14000"/>
    <n v="56000"/>
    <n v="80000"/>
    <n v="136000"/>
    <x v="1"/>
    <s v="Returned"/>
    <x v="4"/>
    <n v="5"/>
    <s v="Laki-laki"/>
    <x v="11"/>
    <x v="1"/>
    <n v="12"/>
  </r>
  <r>
    <s v="ORD01561"/>
    <n v="45638.577847222223"/>
    <x v="382"/>
    <s v="Bengkulu"/>
    <s v="Beras - Brand C"/>
    <x v="0"/>
    <x v="0"/>
    <n v="16000"/>
    <n v="1"/>
    <n v="5"/>
    <n v="16000"/>
    <n v="800"/>
    <n v="15200"/>
    <n v="72000"/>
    <n v="87200"/>
    <x v="3"/>
    <s v="Completed"/>
    <x v="2"/>
    <n v="3"/>
    <s v="Perempuan"/>
    <x v="11"/>
    <x v="1"/>
    <n v="12"/>
  </r>
  <r>
    <s v="ORD00762"/>
    <n v="45638.803784722222"/>
    <x v="69"/>
    <s v="Bandung"/>
    <s v="Bawang Merah - Brand A"/>
    <x v="3"/>
    <x v="2"/>
    <n v="30000"/>
    <n v="1"/>
    <n v="15"/>
    <n v="30000"/>
    <n v="4500"/>
    <n v="25500"/>
    <n v="0"/>
    <n v="25500"/>
    <x v="0"/>
    <s v="Completed"/>
    <x v="4"/>
    <n v="4"/>
    <s v="Perempuan"/>
    <x v="11"/>
    <x v="1"/>
    <n v="12"/>
  </r>
  <r>
    <s v="ORD00871"/>
    <n v="45638.838831018518"/>
    <x v="190"/>
    <s v="Nabire"/>
    <s v="Telur Ayam - Brand A"/>
    <x v="4"/>
    <x v="2"/>
    <n v="22000"/>
    <n v="1"/>
    <n v="20"/>
    <n v="22000"/>
    <n v="4400"/>
    <n v="17600"/>
    <n v="89000"/>
    <n v="106600"/>
    <x v="0"/>
    <s v="Completed"/>
    <x v="4"/>
    <n v="2"/>
    <s v="Perempuan"/>
    <x v="11"/>
    <x v="1"/>
    <n v="12"/>
  </r>
  <r>
    <s v="ORD00887"/>
    <n v="45638.972013888888"/>
    <x v="281"/>
    <s v="Nabire"/>
    <s v="Beras - Brand A"/>
    <x v="0"/>
    <x v="2"/>
    <n v="14000"/>
    <n v="4"/>
    <n v="20"/>
    <n v="56000"/>
    <n v="11200"/>
    <n v="44800"/>
    <n v="89000"/>
    <n v="133800"/>
    <x v="1"/>
    <s v="Completed"/>
    <x v="0"/>
    <n v="2"/>
    <s v="Laki-laki"/>
    <x v="11"/>
    <x v="1"/>
    <n v="12"/>
  </r>
  <r>
    <s v="ORD00991"/>
    <n v="45639.236122685194"/>
    <x v="7"/>
    <s v="Tanjung Selor"/>
    <s v="Susu Bubuk - Brand C"/>
    <x v="7"/>
    <x v="0"/>
    <n v="55000"/>
    <n v="2"/>
    <n v="5"/>
    <n v="110000"/>
    <n v="5500"/>
    <n v="104500"/>
    <n v="26000"/>
    <n v="130500"/>
    <x v="3"/>
    <s v="Completed"/>
    <x v="4"/>
    <n v="4"/>
    <s v="Laki-laki"/>
    <x v="11"/>
    <x v="1"/>
    <n v="12"/>
  </r>
  <r>
    <s v="ORD00808"/>
    <n v="45639.284942129627"/>
    <x v="51"/>
    <s v="Bandung"/>
    <s v="Garam - Brand B"/>
    <x v="5"/>
    <x v="1"/>
    <n v="5000"/>
    <n v="4"/>
    <n v="0"/>
    <n v="20000"/>
    <n v="0"/>
    <n v="20000"/>
    <n v="0"/>
    <n v="20000"/>
    <x v="1"/>
    <s v="Completed"/>
    <x v="3"/>
    <n v="4"/>
    <s v="Perempuan"/>
    <x v="11"/>
    <x v="1"/>
    <n v="12"/>
  </r>
  <r>
    <s v="ORD01538"/>
    <n v="45639.31113425926"/>
    <x v="81"/>
    <s v="Nabire"/>
    <s v="Tepung Terigu - Brand B"/>
    <x v="2"/>
    <x v="1"/>
    <n v="12000"/>
    <n v="2"/>
    <n v="10"/>
    <n v="24000"/>
    <n v="2400"/>
    <n v="21600"/>
    <n v="89000"/>
    <n v="110600"/>
    <x v="2"/>
    <s v="Completed"/>
    <x v="4"/>
    <n v="5"/>
    <s v="Perempuan"/>
    <x v="11"/>
    <x v="1"/>
    <n v="12"/>
  </r>
  <r>
    <s v="ORD00584"/>
    <n v="45639.444768518522"/>
    <x v="77"/>
    <s v="Medan"/>
    <s v="Susu Bubuk - Brand B"/>
    <x v="7"/>
    <x v="1"/>
    <n v="50000"/>
    <n v="2"/>
    <n v="15"/>
    <n v="100000"/>
    <n v="15000"/>
    <n v="85000"/>
    <n v="79000"/>
    <n v="164000"/>
    <x v="2"/>
    <s v="Completed"/>
    <x v="3"/>
    <n v="1"/>
    <s v="Laki-laki"/>
    <x v="11"/>
    <x v="1"/>
    <n v="12"/>
  </r>
  <r>
    <s v="ORD01655"/>
    <n v="45639.711747685193"/>
    <x v="160"/>
    <s v="Ambon"/>
    <s v="Tepung Terigu - Brand C"/>
    <x v="2"/>
    <x v="0"/>
    <n v="14000"/>
    <n v="5"/>
    <n v="15"/>
    <n v="70000"/>
    <n v="10500"/>
    <n v="59500"/>
    <n v="49000"/>
    <n v="108500"/>
    <x v="1"/>
    <s v="Completed"/>
    <x v="2"/>
    <n v="4"/>
    <s v="Perempuan"/>
    <x v="11"/>
    <x v="1"/>
    <n v="12"/>
  </r>
  <r>
    <s v="ORD00320"/>
    <n v="45640.079641203702"/>
    <x v="174"/>
    <s v="Wamena"/>
    <s v="Gula Pasir - Brand B"/>
    <x v="6"/>
    <x v="1"/>
    <n v="17000"/>
    <n v="3"/>
    <n v="20"/>
    <n v="51000"/>
    <n v="10200"/>
    <n v="40800"/>
    <n v="15000"/>
    <n v="55800"/>
    <x v="0"/>
    <s v="Completed"/>
    <x v="0"/>
    <n v="4"/>
    <s v="Perempuan"/>
    <x v="11"/>
    <x v="1"/>
    <n v="12"/>
  </r>
  <r>
    <s v="ORD00320"/>
    <n v="45640.079641203702"/>
    <x v="174"/>
    <s v="Wamena"/>
    <s v="Beras - Brand C"/>
    <x v="0"/>
    <x v="0"/>
    <n v="16000"/>
    <n v="4"/>
    <n v="5"/>
    <n v="64000"/>
    <n v="3200"/>
    <n v="60800"/>
    <n v="0"/>
    <n v="60800"/>
    <x v="0"/>
    <s v="Completed"/>
    <x v="0"/>
    <n v="4"/>
    <s v="Perempuan"/>
    <x v="11"/>
    <x v="1"/>
    <n v="12"/>
  </r>
  <r>
    <s v="ORD01373"/>
    <n v="45640.598009259258"/>
    <x v="338"/>
    <s v="Makassar"/>
    <s v="Garam - Brand B"/>
    <x v="5"/>
    <x v="1"/>
    <n v="5000"/>
    <n v="3"/>
    <n v="20"/>
    <n v="15000"/>
    <n v="3000"/>
    <n v="12000"/>
    <n v="84000"/>
    <n v="96000"/>
    <x v="1"/>
    <s v="Completed"/>
    <x v="4"/>
    <n v="4"/>
    <s v="Perempuan"/>
    <x v="11"/>
    <x v="1"/>
    <n v="12"/>
  </r>
  <r>
    <s v="ORD01582"/>
    <n v="45641.33452546296"/>
    <x v="165"/>
    <s v="Samarinda"/>
    <s v="Bawang Merah - Brand C"/>
    <x v="3"/>
    <x v="0"/>
    <n v="40000"/>
    <n v="2"/>
    <n v="5"/>
    <n v="80000"/>
    <n v="4000"/>
    <n v="76000"/>
    <n v="43000"/>
    <n v="119000"/>
    <x v="3"/>
    <s v="Cancelled"/>
    <x v="3"/>
    <n v="5"/>
    <s v="Perempuan"/>
    <x v="11"/>
    <x v="1"/>
    <n v="12"/>
  </r>
  <r>
    <s v="ORD00922"/>
    <n v="45641.411006944443"/>
    <x v="189"/>
    <s v="Medan"/>
    <s v="Gula Pasir - Brand C"/>
    <x v="6"/>
    <x v="0"/>
    <n v="18000"/>
    <n v="2"/>
    <n v="15"/>
    <n v="36000"/>
    <n v="5400"/>
    <n v="30600"/>
    <n v="79000"/>
    <n v="109600"/>
    <x v="3"/>
    <s v="Completed"/>
    <x v="2"/>
    <n v="5"/>
    <s v="Perempuan"/>
    <x v="11"/>
    <x v="1"/>
    <n v="12"/>
  </r>
  <r>
    <s v="ORD00936"/>
    <n v="45641.500902777778"/>
    <x v="10"/>
    <s v="Mataram"/>
    <s v="Beras - Brand C"/>
    <x v="0"/>
    <x v="0"/>
    <n v="16000"/>
    <n v="5"/>
    <n v="15"/>
    <n v="80000"/>
    <n v="12000"/>
    <n v="68000"/>
    <n v="56000"/>
    <n v="124000"/>
    <x v="2"/>
    <s v="Completed"/>
    <x v="0"/>
    <n v="5"/>
    <s v="Perempuan"/>
    <x v="11"/>
    <x v="1"/>
    <n v="12"/>
  </r>
  <r>
    <s v="ORD00289"/>
    <n v="45641.504328703697"/>
    <x v="115"/>
    <s v="Tanjung Selor"/>
    <s v="Minyak Goreng - Brand A"/>
    <x v="8"/>
    <x v="2"/>
    <n v="16000"/>
    <n v="3"/>
    <n v="10"/>
    <n v="48000"/>
    <n v="4800"/>
    <n v="43200"/>
    <n v="26000"/>
    <n v="69200"/>
    <x v="3"/>
    <s v="Completed"/>
    <x v="3"/>
    <n v="1"/>
    <s v="Perempuan"/>
    <x v="11"/>
    <x v="1"/>
    <n v="12"/>
  </r>
  <r>
    <s v="ORD01404"/>
    <n v="45641.529745370368"/>
    <x v="252"/>
    <s v="Palembang"/>
    <s v="Minyak Goreng - Brand A"/>
    <x v="8"/>
    <x v="2"/>
    <n v="16000"/>
    <n v="3"/>
    <n v="0"/>
    <n v="48000"/>
    <n v="0"/>
    <n v="48000"/>
    <n v="17000"/>
    <n v="65000"/>
    <x v="2"/>
    <s v="Completed"/>
    <x v="3"/>
    <n v="5"/>
    <s v="Perempuan"/>
    <x v="11"/>
    <x v="1"/>
    <n v="12"/>
  </r>
  <r>
    <s v="ORD01574"/>
    <n v="45641.617743055547"/>
    <x v="318"/>
    <s v="Jayapura"/>
    <s v="Daging Ayam - Brand B"/>
    <x v="1"/>
    <x v="1"/>
    <n v="40000"/>
    <n v="5"/>
    <n v="10"/>
    <n v="200000"/>
    <n v="20000"/>
    <n v="180000"/>
    <n v="30000"/>
    <n v="210000"/>
    <x v="3"/>
    <s v="Completed"/>
    <x v="2"/>
    <n v="3"/>
    <s v="Perempuan"/>
    <x v="11"/>
    <x v="1"/>
    <n v="12"/>
  </r>
  <r>
    <s v="ORD00591"/>
    <n v="45642.436053240737"/>
    <x v="198"/>
    <s v="Semarang"/>
    <s v="Minyak Goreng - Brand A"/>
    <x v="8"/>
    <x v="2"/>
    <n v="16000"/>
    <n v="3"/>
    <n v="0"/>
    <n v="48000"/>
    <n v="0"/>
    <n v="48000"/>
    <n v="76000"/>
    <n v="124000"/>
    <x v="1"/>
    <s v="Completed"/>
    <x v="2"/>
    <n v="3"/>
    <s v="Perempuan"/>
    <x v="11"/>
    <x v="1"/>
    <n v="12"/>
  </r>
  <r>
    <s v="ORD01248"/>
    <n v="45642.484791666669"/>
    <x v="28"/>
    <s v="Bengkulu"/>
    <s v="Telur Ayam - Brand B"/>
    <x v="4"/>
    <x v="1"/>
    <n v="25000"/>
    <n v="5"/>
    <n v="0"/>
    <n v="125000"/>
    <n v="0"/>
    <n v="125000"/>
    <n v="72000"/>
    <n v="197000"/>
    <x v="1"/>
    <s v="Completed"/>
    <x v="1"/>
    <n v="5"/>
    <s v="Perempuan"/>
    <x v="11"/>
    <x v="1"/>
    <n v="12"/>
  </r>
  <r>
    <s v="ORD00573"/>
    <n v="45642.491030092591"/>
    <x v="284"/>
    <s v="Pekanbaru"/>
    <s v="Susu Bubuk - Brand B"/>
    <x v="7"/>
    <x v="1"/>
    <n v="50000"/>
    <n v="3"/>
    <n v="5"/>
    <n v="150000"/>
    <n v="7500"/>
    <n v="142500"/>
    <n v="49000"/>
    <n v="191500"/>
    <x v="3"/>
    <s v="Completed"/>
    <x v="0"/>
    <n v="1"/>
    <s v="Perempuan"/>
    <x v="11"/>
    <x v="1"/>
    <n v="12"/>
  </r>
  <r>
    <s v="ORD01044"/>
    <n v="45642.536064814813"/>
    <x v="209"/>
    <s v="Sofifi"/>
    <s v="Tepung Terigu - Brand C"/>
    <x v="2"/>
    <x v="0"/>
    <n v="14000"/>
    <n v="4"/>
    <n v="20"/>
    <n v="56000"/>
    <n v="11200"/>
    <n v="44800"/>
    <n v="50000"/>
    <n v="94800"/>
    <x v="3"/>
    <s v="Completed"/>
    <x v="3"/>
    <n v="2"/>
    <s v="Perempuan"/>
    <x v="11"/>
    <x v="1"/>
    <n v="12"/>
  </r>
  <r>
    <s v="ORD01644"/>
    <n v="45642.787106481483"/>
    <x v="160"/>
    <s v="Ambon"/>
    <s v="Daging Ayam - Brand B"/>
    <x v="1"/>
    <x v="1"/>
    <n v="40000"/>
    <n v="4"/>
    <n v="15"/>
    <n v="160000"/>
    <n v="24000"/>
    <n v="136000"/>
    <n v="49000"/>
    <n v="185000"/>
    <x v="3"/>
    <s v="Completed"/>
    <x v="0"/>
    <n v="2"/>
    <s v="Perempuan"/>
    <x v="11"/>
    <x v="1"/>
    <n v="12"/>
  </r>
  <r>
    <s v="ORD00372"/>
    <n v="45643.473877314813"/>
    <x v="89"/>
    <s v="Yogyakarta"/>
    <s v="Susu Bubuk - Brand B"/>
    <x v="7"/>
    <x v="1"/>
    <n v="50000"/>
    <n v="4"/>
    <n v="15"/>
    <n v="200000"/>
    <n v="30000"/>
    <n v="170000"/>
    <n v="78000"/>
    <n v="248000"/>
    <x v="2"/>
    <s v="Completed"/>
    <x v="2"/>
    <n v="2"/>
    <s v="Perempuan"/>
    <x v="11"/>
    <x v="1"/>
    <n v="12"/>
  </r>
  <r>
    <s v="ORD00300"/>
    <n v="45643.491828703707"/>
    <x v="395"/>
    <s v="Makassar"/>
    <s v="Beras - Brand A"/>
    <x v="0"/>
    <x v="2"/>
    <n v="14000"/>
    <n v="4"/>
    <n v="10"/>
    <n v="56000"/>
    <n v="5600"/>
    <n v="50400"/>
    <n v="84000"/>
    <n v="134400"/>
    <x v="1"/>
    <s v="Completed"/>
    <x v="0"/>
    <n v="5"/>
    <s v="Perempuan"/>
    <x v="11"/>
    <x v="1"/>
    <n v="12"/>
  </r>
  <r>
    <s v="ORD01187"/>
    <n v="45643.807789351849"/>
    <x v="210"/>
    <s v="Merauke"/>
    <s v="Tepung Terigu - Brand B"/>
    <x v="2"/>
    <x v="1"/>
    <n v="12000"/>
    <n v="4"/>
    <n v="20"/>
    <n v="48000"/>
    <n v="9600"/>
    <n v="38400"/>
    <n v="59000"/>
    <n v="97400"/>
    <x v="2"/>
    <s v="Completed"/>
    <x v="1"/>
    <n v="1"/>
    <s v="Perempuan"/>
    <x v="11"/>
    <x v="1"/>
    <n v="12"/>
  </r>
  <r>
    <s v="ORD00355"/>
    <n v="45643.960775462961"/>
    <x v="132"/>
    <s v="Makassar"/>
    <s v="Garam - Brand B"/>
    <x v="5"/>
    <x v="1"/>
    <n v="5000"/>
    <n v="2"/>
    <n v="0"/>
    <n v="10000"/>
    <n v="0"/>
    <n v="10000"/>
    <n v="84000"/>
    <n v="94000"/>
    <x v="3"/>
    <s v="Completed"/>
    <x v="3"/>
    <n v="4"/>
    <s v="Perempuan"/>
    <x v="11"/>
    <x v="1"/>
    <n v="12"/>
  </r>
  <r>
    <s v="ORD00400"/>
    <n v="45644.162418981483"/>
    <x v="79"/>
    <s v="Pontianak"/>
    <s v="Gula Pasir - Brand A"/>
    <x v="6"/>
    <x v="2"/>
    <n v="16000"/>
    <n v="3"/>
    <n v="10"/>
    <n v="48000"/>
    <n v="4800"/>
    <n v="43200"/>
    <n v="85000"/>
    <n v="128200"/>
    <x v="0"/>
    <s v="Completed"/>
    <x v="4"/>
    <n v="1"/>
    <s v="Perempuan"/>
    <x v="11"/>
    <x v="1"/>
    <n v="12"/>
  </r>
  <r>
    <s v="ORD00400"/>
    <n v="45644.162418981483"/>
    <x v="79"/>
    <s v="Pontianak"/>
    <s v="Gula Pasir - Brand B"/>
    <x v="6"/>
    <x v="1"/>
    <n v="17000"/>
    <n v="4"/>
    <n v="5"/>
    <n v="68000"/>
    <n v="3400"/>
    <n v="64600"/>
    <n v="0"/>
    <n v="64600"/>
    <x v="0"/>
    <s v="Completed"/>
    <x v="4"/>
    <n v="1"/>
    <s v="Perempuan"/>
    <x v="11"/>
    <x v="1"/>
    <n v="12"/>
  </r>
  <r>
    <s v="ORD00638"/>
    <n v="45645.030231481483"/>
    <x v="385"/>
    <s v="Bandung"/>
    <s v="Telur Ayam - Brand A"/>
    <x v="4"/>
    <x v="2"/>
    <n v="22000"/>
    <n v="1"/>
    <n v="20"/>
    <n v="22000"/>
    <n v="4400"/>
    <n v="17600"/>
    <n v="0"/>
    <n v="17600"/>
    <x v="0"/>
    <s v="Completed"/>
    <x v="4"/>
    <n v="1"/>
    <s v="Laki-laki"/>
    <x v="11"/>
    <x v="1"/>
    <n v="12"/>
  </r>
  <r>
    <s v="ORD01036"/>
    <n v="45645.036539351851"/>
    <x v="312"/>
    <s v="Pontianak"/>
    <s v="Gula Pasir - Brand C"/>
    <x v="6"/>
    <x v="0"/>
    <n v="18000"/>
    <n v="5"/>
    <n v="5"/>
    <n v="90000"/>
    <n v="4500"/>
    <n v="85500"/>
    <n v="85000"/>
    <n v="170500"/>
    <x v="2"/>
    <s v="Returned"/>
    <x v="0"/>
    <n v="5"/>
    <s v="Perempuan"/>
    <x v="11"/>
    <x v="1"/>
    <n v="12"/>
  </r>
  <r>
    <s v="ORD01661"/>
    <n v="45645.045162037037"/>
    <x v="181"/>
    <s v="Wamena"/>
    <s v="Susu Bubuk - Brand A"/>
    <x v="7"/>
    <x v="2"/>
    <n v="45000"/>
    <n v="1"/>
    <n v="20"/>
    <n v="45000"/>
    <n v="9000"/>
    <n v="36000"/>
    <n v="15000"/>
    <n v="51000"/>
    <x v="2"/>
    <s v="Completed"/>
    <x v="3"/>
    <n v="1"/>
    <s v="Perempuan"/>
    <x v="11"/>
    <x v="1"/>
    <n v="12"/>
  </r>
  <r>
    <s v="ORD00352"/>
    <n v="45645.126064814824"/>
    <x v="67"/>
    <s v="Surabaya"/>
    <s v="Telur Ayam - Brand C"/>
    <x v="4"/>
    <x v="0"/>
    <n v="28000"/>
    <n v="3"/>
    <n v="15"/>
    <n v="84000"/>
    <n v="12600"/>
    <n v="71400"/>
    <n v="74000"/>
    <n v="145400"/>
    <x v="1"/>
    <s v="Returned"/>
    <x v="3"/>
    <n v="5"/>
    <s v="Perempuan"/>
    <x v="11"/>
    <x v="1"/>
    <n v="12"/>
  </r>
  <r>
    <s v="ORD00352"/>
    <n v="45645.126064814824"/>
    <x v="67"/>
    <s v="Surabaya"/>
    <s v="Beras - Brand B"/>
    <x v="0"/>
    <x v="1"/>
    <n v="15000"/>
    <n v="4"/>
    <n v="15"/>
    <n v="60000"/>
    <n v="9000"/>
    <n v="51000"/>
    <n v="0"/>
    <n v="51000"/>
    <x v="1"/>
    <s v="Returned"/>
    <x v="3"/>
    <n v="5"/>
    <s v="Perempuan"/>
    <x v="11"/>
    <x v="1"/>
    <n v="12"/>
  </r>
  <r>
    <s v="ORD00030"/>
    <n v="45645.420300925929"/>
    <x v="7"/>
    <s v="Tanjung Selor"/>
    <s v="Gula Pasir - Brand B"/>
    <x v="6"/>
    <x v="1"/>
    <n v="17000"/>
    <n v="1"/>
    <n v="20"/>
    <n v="17000"/>
    <n v="3400"/>
    <n v="13600"/>
    <n v="26000"/>
    <n v="39600"/>
    <x v="1"/>
    <s v="Returned"/>
    <x v="1"/>
    <n v="4"/>
    <s v="Laki-laki"/>
    <x v="11"/>
    <x v="1"/>
    <n v="12"/>
  </r>
  <r>
    <s v="ORD01078"/>
    <n v="45645.752430555563"/>
    <x v="21"/>
    <s v="Serang"/>
    <s v="Minyak Goreng - Brand B"/>
    <x v="8"/>
    <x v="1"/>
    <n v="17000"/>
    <n v="3"/>
    <n v="5"/>
    <n v="51000"/>
    <n v="2550"/>
    <n v="48450"/>
    <n v="57000"/>
    <n v="105450"/>
    <x v="2"/>
    <s v="Completed"/>
    <x v="4"/>
    <n v="1"/>
    <s v="Perempuan"/>
    <x v="11"/>
    <x v="1"/>
    <n v="12"/>
  </r>
  <r>
    <s v="ORD01290"/>
    <n v="45645.80196759259"/>
    <x v="277"/>
    <s v="Merauke"/>
    <s v="Minyak Goreng - Brand B"/>
    <x v="8"/>
    <x v="1"/>
    <n v="17000"/>
    <n v="3"/>
    <n v="5"/>
    <n v="51000"/>
    <n v="2550"/>
    <n v="48450"/>
    <n v="59000"/>
    <n v="107450"/>
    <x v="2"/>
    <s v="Completed"/>
    <x v="1"/>
    <n v="4"/>
    <s v="Perempuan"/>
    <x v="11"/>
    <x v="1"/>
    <n v="12"/>
  </r>
  <r>
    <s v="ORD01380"/>
    <n v="45645.90215277778"/>
    <x v="84"/>
    <s v="Mataram"/>
    <s v="Susu Bubuk - Brand A"/>
    <x v="7"/>
    <x v="2"/>
    <n v="45000"/>
    <n v="1"/>
    <n v="10"/>
    <n v="45000"/>
    <n v="4500"/>
    <n v="40500"/>
    <n v="56000"/>
    <n v="96500"/>
    <x v="0"/>
    <s v="Completed"/>
    <x v="2"/>
    <n v="5"/>
    <s v="Laki-laki"/>
    <x v="11"/>
    <x v="1"/>
    <n v="12"/>
  </r>
  <r>
    <s v="ORD00667"/>
    <n v="45646.222916666673"/>
    <x v="66"/>
    <s v="Semarang"/>
    <s v="Bawang Merah - Brand C"/>
    <x v="3"/>
    <x v="0"/>
    <n v="40000"/>
    <n v="2"/>
    <n v="5"/>
    <n v="80000"/>
    <n v="4000"/>
    <n v="76000"/>
    <n v="76000"/>
    <n v="152000"/>
    <x v="1"/>
    <s v="Returned"/>
    <x v="0"/>
    <n v="2"/>
    <s v="Laki-laki"/>
    <x v="11"/>
    <x v="1"/>
    <n v="12"/>
  </r>
  <r>
    <s v="ORD01487"/>
    <n v="45646.841527777768"/>
    <x v="337"/>
    <s v="Palangka Raya"/>
    <s v="Minyak Goreng - Brand C"/>
    <x v="8"/>
    <x v="0"/>
    <n v="18000"/>
    <n v="4"/>
    <n v="20"/>
    <n v="72000"/>
    <n v="14400"/>
    <n v="57600"/>
    <n v="50000"/>
    <n v="107600"/>
    <x v="1"/>
    <s v="Completed"/>
    <x v="1"/>
    <n v="2"/>
    <s v="Laki-laki"/>
    <x v="11"/>
    <x v="1"/>
    <n v="12"/>
  </r>
  <r>
    <s v="ORD01600"/>
    <n v="45647.412569444437"/>
    <x v="182"/>
    <s v="Pangkalpinang"/>
    <s v="Telur Ayam - Brand C"/>
    <x v="4"/>
    <x v="0"/>
    <n v="28000"/>
    <n v="3"/>
    <n v="0"/>
    <n v="84000"/>
    <n v="0"/>
    <n v="84000"/>
    <n v="18000"/>
    <n v="102000"/>
    <x v="2"/>
    <s v="Returned"/>
    <x v="4"/>
    <n v="3"/>
    <s v="Perempuan"/>
    <x v="11"/>
    <x v="1"/>
    <n v="12"/>
  </r>
  <r>
    <s v="ORD01146"/>
    <n v="45647.72111111111"/>
    <x v="219"/>
    <s v="Denpasar"/>
    <s v="Telur Ayam - Brand A"/>
    <x v="4"/>
    <x v="2"/>
    <n v="22000"/>
    <n v="1"/>
    <n v="10"/>
    <n v="22000"/>
    <n v="2200"/>
    <n v="19800"/>
    <n v="80000"/>
    <n v="99800"/>
    <x v="0"/>
    <s v="Completed"/>
    <x v="0"/>
    <n v="5"/>
    <s v="Laki-laki"/>
    <x v="11"/>
    <x v="1"/>
    <n v="12"/>
  </r>
  <r>
    <s v="ORD00234"/>
    <n v="45647.795694444438"/>
    <x v="386"/>
    <s v="Jakarta"/>
    <s v="Susu Bubuk - Brand A"/>
    <x v="7"/>
    <x v="2"/>
    <n v="45000"/>
    <n v="3"/>
    <n v="0"/>
    <n v="135000"/>
    <n v="0"/>
    <n v="135000"/>
    <n v="97000"/>
    <n v="232000"/>
    <x v="1"/>
    <s v="Cancelled"/>
    <x v="4"/>
    <n v="3"/>
    <s v="Perempuan"/>
    <x v="11"/>
    <x v="1"/>
    <n v="12"/>
  </r>
  <r>
    <s v="ORD00943"/>
    <n v="45648.021932870368"/>
    <x v="362"/>
    <s v="Palangka Raya"/>
    <s v="Susu Bubuk - Brand A"/>
    <x v="7"/>
    <x v="2"/>
    <n v="45000"/>
    <n v="2"/>
    <n v="10"/>
    <n v="90000"/>
    <n v="9000"/>
    <n v="81000"/>
    <n v="50000"/>
    <n v="131000"/>
    <x v="0"/>
    <s v="Returned"/>
    <x v="3"/>
    <n v="5"/>
    <s v="Perempuan"/>
    <x v="11"/>
    <x v="1"/>
    <n v="12"/>
  </r>
  <r>
    <s v="ORD01017"/>
    <n v="45648.123842592591"/>
    <x v="310"/>
    <s v="Jambi"/>
    <s v="Tepung Terigu - Brand C"/>
    <x v="2"/>
    <x v="0"/>
    <n v="14000"/>
    <n v="5"/>
    <n v="20"/>
    <n v="70000"/>
    <n v="14000"/>
    <n v="56000"/>
    <n v="87000"/>
    <n v="143000"/>
    <x v="3"/>
    <s v="Completed"/>
    <x v="2"/>
    <n v="3"/>
    <s v="Perempuan"/>
    <x v="11"/>
    <x v="1"/>
    <n v="12"/>
  </r>
  <r>
    <s v="ORD01045"/>
    <n v="45648.368576388893"/>
    <x v="98"/>
    <s v="Bandung"/>
    <s v="Minyak Goreng - Brand B"/>
    <x v="8"/>
    <x v="1"/>
    <n v="17000"/>
    <n v="3"/>
    <n v="0"/>
    <n v="51000"/>
    <n v="0"/>
    <n v="51000"/>
    <n v="0"/>
    <n v="51000"/>
    <x v="2"/>
    <s v="Completed"/>
    <x v="0"/>
    <n v="1"/>
    <s v="Perempuan"/>
    <x v="11"/>
    <x v="1"/>
    <n v="12"/>
  </r>
  <r>
    <s v="ORD00214"/>
    <n v="45648.407673611109"/>
    <x v="225"/>
    <s v="Jakarta"/>
    <s v="Garam - Brand C"/>
    <x v="5"/>
    <x v="0"/>
    <n v="6000"/>
    <n v="2"/>
    <n v="10"/>
    <n v="12000"/>
    <n v="1200"/>
    <n v="10800"/>
    <n v="97000"/>
    <n v="107800"/>
    <x v="0"/>
    <s v="Completed"/>
    <x v="2"/>
    <n v="2"/>
    <s v="Perempuan"/>
    <x v="11"/>
    <x v="1"/>
    <n v="12"/>
  </r>
  <r>
    <s v="ORD01831"/>
    <n v="45648.446574074071"/>
    <x v="312"/>
    <s v="Pontianak"/>
    <s v="Telur Ayam - Brand A"/>
    <x v="4"/>
    <x v="2"/>
    <n v="22000"/>
    <n v="3"/>
    <n v="10"/>
    <n v="66000"/>
    <n v="6600"/>
    <n v="59400"/>
    <n v="85000"/>
    <n v="144400"/>
    <x v="2"/>
    <s v="Completed"/>
    <x v="1"/>
    <n v="2"/>
    <s v="Perempuan"/>
    <x v="11"/>
    <x v="1"/>
    <n v="12"/>
  </r>
  <r>
    <s v="ORD01753"/>
    <n v="45648.832685185182"/>
    <x v="327"/>
    <s v="Pekanbaru"/>
    <s v="Telur Ayam - Brand A"/>
    <x v="4"/>
    <x v="2"/>
    <n v="22000"/>
    <n v="1"/>
    <n v="15"/>
    <n v="22000"/>
    <n v="3300"/>
    <n v="18700"/>
    <n v="49000"/>
    <n v="67700"/>
    <x v="1"/>
    <s v="Returned"/>
    <x v="2"/>
    <n v="4"/>
    <s v="Perempuan"/>
    <x v="11"/>
    <x v="1"/>
    <n v="12"/>
  </r>
  <r>
    <s v="ORD01345"/>
    <n v="45648.892569444448"/>
    <x v="269"/>
    <s v="Merauke"/>
    <s v="Beras - Brand A"/>
    <x v="0"/>
    <x v="2"/>
    <n v="14000"/>
    <n v="5"/>
    <n v="5"/>
    <n v="70000"/>
    <n v="3500"/>
    <n v="66500"/>
    <n v="59000"/>
    <n v="125500"/>
    <x v="2"/>
    <s v="Completed"/>
    <x v="0"/>
    <n v="1"/>
    <s v="Perempuan"/>
    <x v="11"/>
    <x v="1"/>
    <n v="12"/>
  </r>
  <r>
    <s v="ORD01310"/>
    <n v="45649.169560185182"/>
    <x v="38"/>
    <s v="Kendari"/>
    <s v="Daging Ayam - Brand A"/>
    <x v="1"/>
    <x v="2"/>
    <n v="35000"/>
    <n v="1"/>
    <n v="20"/>
    <n v="35000"/>
    <n v="7000"/>
    <n v="28000"/>
    <n v="59000"/>
    <n v="87000"/>
    <x v="2"/>
    <s v="Completed"/>
    <x v="0"/>
    <n v="5"/>
    <s v="Laki-laki"/>
    <x v="11"/>
    <x v="1"/>
    <n v="12"/>
  </r>
  <r>
    <s v="ORD00361"/>
    <n v="45649.226145833331"/>
    <x v="149"/>
    <s v="Banjarbaru"/>
    <s v="Tepung Terigu - Brand C"/>
    <x v="2"/>
    <x v="0"/>
    <n v="14000"/>
    <n v="3"/>
    <n v="20"/>
    <n v="42000"/>
    <n v="8400"/>
    <n v="33600"/>
    <n v="55000"/>
    <n v="88600"/>
    <x v="1"/>
    <s v="Completed"/>
    <x v="0"/>
    <n v="5"/>
    <s v="Perempuan"/>
    <x v="11"/>
    <x v="1"/>
    <n v="12"/>
  </r>
  <r>
    <s v="ORD00098"/>
    <n v="45649.30395833333"/>
    <x v="350"/>
    <s v="Jayapura"/>
    <s v="Beras - Brand B"/>
    <x v="0"/>
    <x v="1"/>
    <n v="15000"/>
    <n v="4"/>
    <n v="15"/>
    <n v="60000"/>
    <n v="9000"/>
    <n v="51000"/>
    <n v="30000"/>
    <n v="81000"/>
    <x v="3"/>
    <s v="Completed"/>
    <x v="2"/>
    <n v="3"/>
    <s v="Laki-laki"/>
    <x v="11"/>
    <x v="1"/>
    <n v="12"/>
  </r>
  <r>
    <s v="ORD01001"/>
    <n v="45649.355266203696"/>
    <x v="247"/>
    <s v="Gorontalo"/>
    <s v="Gula Pasir - Brand A"/>
    <x v="6"/>
    <x v="2"/>
    <n v="16000"/>
    <n v="5"/>
    <n v="0"/>
    <n v="80000"/>
    <n v="0"/>
    <n v="80000"/>
    <n v="80000"/>
    <n v="160000"/>
    <x v="1"/>
    <s v="Returned"/>
    <x v="0"/>
    <n v="2"/>
    <s v="Perempuan"/>
    <x v="11"/>
    <x v="1"/>
    <n v="12"/>
  </r>
  <r>
    <s v="ORD01497"/>
    <n v="45649.702384259261"/>
    <x v="179"/>
    <s v="Samarinda"/>
    <s v="Gula Pasir - Brand C"/>
    <x v="6"/>
    <x v="0"/>
    <n v="18000"/>
    <n v="2"/>
    <n v="10"/>
    <n v="36000"/>
    <n v="3600"/>
    <n v="32400"/>
    <n v="43000"/>
    <n v="75400"/>
    <x v="2"/>
    <s v="Completed"/>
    <x v="3"/>
    <n v="4"/>
    <s v="Perempuan"/>
    <x v="11"/>
    <x v="1"/>
    <n v="12"/>
  </r>
  <r>
    <s v="ORD01023"/>
    <n v="45650.087824074071"/>
    <x v="131"/>
    <s v="Banjarbaru"/>
    <s v="Beras - Brand A"/>
    <x v="0"/>
    <x v="2"/>
    <n v="14000"/>
    <n v="4"/>
    <n v="15"/>
    <n v="56000"/>
    <n v="8400"/>
    <n v="47600"/>
    <n v="55000"/>
    <n v="102600"/>
    <x v="0"/>
    <s v="Completed"/>
    <x v="3"/>
    <n v="5"/>
    <s v="Perempuan"/>
    <x v="11"/>
    <x v="1"/>
    <n v="12"/>
  </r>
  <r>
    <s v="ORD00031"/>
    <n v="45650.222685185188"/>
    <x v="346"/>
    <s v="Manado"/>
    <s v="Beras - Brand A"/>
    <x v="0"/>
    <x v="2"/>
    <n v="14000"/>
    <n v="2"/>
    <n v="10"/>
    <n v="28000"/>
    <n v="2800"/>
    <n v="25200"/>
    <n v="93000"/>
    <n v="118200"/>
    <x v="2"/>
    <s v="Completed"/>
    <x v="2"/>
    <n v="1"/>
    <s v="Laki-laki"/>
    <x v="11"/>
    <x v="1"/>
    <n v="12"/>
  </r>
  <r>
    <s v="ORD00031"/>
    <n v="45650.222685185188"/>
    <x v="346"/>
    <s v="Manado"/>
    <s v="Garam - Brand B"/>
    <x v="5"/>
    <x v="1"/>
    <n v="5000"/>
    <n v="2"/>
    <n v="0"/>
    <n v="10000"/>
    <n v="0"/>
    <n v="10000"/>
    <n v="0"/>
    <n v="10000"/>
    <x v="2"/>
    <s v="Completed"/>
    <x v="2"/>
    <n v="1"/>
    <s v="Laki-laki"/>
    <x v="11"/>
    <x v="1"/>
    <n v="12"/>
  </r>
  <r>
    <s v="ORD00512"/>
    <n v="45650.247152777767"/>
    <x v="89"/>
    <s v="Yogyakarta"/>
    <s v="Tepung Terigu - Brand A"/>
    <x v="2"/>
    <x v="2"/>
    <n v="10000"/>
    <n v="4"/>
    <n v="20"/>
    <n v="40000"/>
    <n v="8000"/>
    <n v="32000"/>
    <n v="78000"/>
    <n v="110000"/>
    <x v="0"/>
    <s v="Completed"/>
    <x v="0"/>
    <n v="4"/>
    <s v="Perempuan"/>
    <x v="11"/>
    <x v="1"/>
    <n v="12"/>
  </r>
  <r>
    <s v="ORD01515"/>
    <n v="45650.374699074076"/>
    <x v="22"/>
    <s v="Palangka Raya"/>
    <s v="Telur Ayam - Brand A"/>
    <x v="4"/>
    <x v="2"/>
    <n v="22000"/>
    <n v="1"/>
    <n v="5"/>
    <n v="22000"/>
    <n v="1100"/>
    <n v="20900"/>
    <n v="50000"/>
    <n v="70900"/>
    <x v="0"/>
    <s v="Completed"/>
    <x v="0"/>
    <n v="2"/>
    <s v="Perempuan"/>
    <x v="11"/>
    <x v="1"/>
    <n v="12"/>
  </r>
  <r>
    <s v="ORD01449"/>
    <n v="45651.000578703701"/>
    <x v="28"/>
    <s v="Bengkulu"/>
    <s v="Telur Ayam - Brand A"/>
    <x v="4"/>
    <x v="2"/>
    <n v="22000"/>
    <n v="1"/>
    <n v="0"/>
    <n v="22000"/>
    <n v="0"/>
    <n v="22000"/>
    <n v="72000"/>
    <n v="94000"/>
    <x v="1"/>
    <s v="Completed"/>
    <x v="0"/>
    <n v="2"/>
    <s v="Perempuan"/>
    <x v="11"/>
    <x v="1"/>
    <n v="12"/>
  </r>
  <r>
    <s v="ORD01144"/>
    <n v="45651.293402777781"/>
    <x v="41"/>
    <s v="Sofifi"/>
    <s v="Garam - Brand B"/>
    <x v="5"/>
    <x v="1"/>
    <n v="5000"/>
    <n v="3"/>
    <n v="5"/>
    <n v="15000"/>
    <n v="750"/>
    <n v="14250"/>
    <n v="50000"/>
    <n v="64250"/>
    <x v="3"/>
    <s v="Completed"/>
    <x v="4"/>
    <n v="5"/>
    <s v="Perempuan"/>
    <x v="11"/>
    <x v="1"/>
    <n v="12"/>
  </r>
  <r>
    <s v="ORD00520"/>
    <n v="45651.500891203701"/>
    <x v="81"/>
    <s v="Nabire"/>
    <s v="Bawang Merah - Brand A"/>
    <x v="3"/>
    <x v="2"/>
    <n v="30000"/>
    <n v="1"/>
    <n v="10"/>
    <n v="30000"/>
    <n v="3000"/>
    <n v="27000"/>
    <n v="89000"/>
    <n v="116000"/>
    <x v="1"/>
    <s v="Completed"/>
    <x v="2"/>
    <n v="2"/>
    <s v="Perempuan"/>
    <x v="11"/>
    <x v="1"/>
    <n v="12"/>
  </r>
  <r>
    <s v="ORD00865"/>
    <n v="45651.696226851847"/>
    <x v="8"/>
    <s v="Wamena"/>
    <s v="Telur Ayam - Brand A"/>
    <x v="4"/>
    <x v="2"/>
    <n v="22000"/>
    <n v="1"/>
    <n v="0"/>
    <n v="22000"/>
    <n v="0"/>
    <n v="22000"/>
    <n v="15000"/>
    <n v="37000"/>
    <x v="2"/>
    <s v="Completed"/>
    <x v="1"/>
    <n v="5"/>
    <s v="Laki-laki"/>
    <x v="11"/>
    <x v="1"/>
    <n v="12"/>
  </r>
  <r>
    <s v="ORD01034"/>
    <n v="45651.779803240737"/>
    <x v="100"/>
    <s v="Sorong"/>
    <s v="Telur Ayam - Brand C"/>
    <x v="4"/>
    <x v="0"/>
    <n v="28000"/>
    <n v="4"/>
    <n v="20"/>
    <n v="112000"/>
    <n v="22400"/>
    <n v="89600"/>
    <n v="87000"/>
    <n v="176600"/>
    <x v="1"/>
    <s v="Completed"/>
    <x v="0"/>
    <n v="3"/>
    <s v="Perempuan"/>
    <x v="11"/>
    <x v="1"/>
    <n v="12"/>
  </r>
  <r>
    <s v="ORD00725"/>
    <n v="45652.07130787037"/>
    <x v="19"/>
    <s v="Denpasar"/>
    <s v="Susu Bubuk - Brand A"/>
    <x v="7"/>
    <x v="2"/>
    <n v="45000"/>
    <n v="3"/>
    <n v="0"/>
    <n v="135000"/>
    <n v="0"/>
    <n v="135000"/>
    <n v="80000"/>
    <n v="215000"/>
    <x v="3"/>
    <s v="Completed"/>
    <x v="1"/>
    <n v="4"/>
    <s v="Perempuan"/>
    <x v="11"/>
    <x v="1"/>
    <n v="12"/>
  </r>
  <r>
    <s v="ORD00989"/>
    <n v="45652.446261574078"/>
    <x v="225"/>
    <s v="Jakarta"/>
    <s v="Minyak Goreng - Brand C"/>
    <x v="8"/>
    <x v="0"/>
    <n v="18000"/>
    <n v="1"/>
    <n v="5"/>
    <n v="18000"/>
    <n v="900"/>
    <n v="17100"/>
    <n v="97000"/>
    <n v="114100"/>
    <x v="2"/>
    <s v="Completed"/>
    <x v="3"/>
    <n v="3"/>
    <s v="Perempuan"/>
    <x v="11"/>
    <x v="1"/>
    <n v="12"/>
  </r>
  <r>
    <s v="ORD01265"/>
    <n v="45652.465567129628"/>
    <x v="24"/>
    <s v="Pangkalpinang"/>
    <s v="Susu Bubuk - Brand A"/>
    <x v="7"/>
    <x v="2"/>
    <n v="45000"/>
    <n v="1"/>
    <n v="10"/>
    <n v="45000"/>
    <n v="4500"/>
    <n v="40500"/>
    <n v="18000"/>
    <n v="58500"/>
    <x v="1"/>
    <s v="Returned"/>
    <x v="4"/>
    <n v="4"/>
    <s v="Perempuan"/>
    <x v="11"/>
    <x v="1"/>
    <n v="12"/>
  </r>
  <r>
    <s v="ORD00434"/>
    <n v="45652.688263888893"/>
    <x v="86"/>
    <s v="Padang"/>
    <s v="Tepung Terigu - Brand B"/>
    <x v="2"/>
    <x v="1"/>
    <n v="12000"/>
    <n v="5"/>
    <n v="15"/>
    <n v="60000"/>
    <n v="9000"/>
    <n v="51000"/>
    <n v="68000"/>
    <n v="119000"/>
    <x v="2"/>
    <s v="Cancelled"/>
    <x v="4"/>
    <n v="5"/>
    <s v="Perempuan"/>
    <x v="11"/>
    <x v="1"/>
    <n v="12"/>
  </r>
  <r>
    <s v="ORD00823"/>
    <n v="45652.693229166667"/>
    <x v="88"/>
    <s v="Banda Aceh"/>
    <s v="Telur Ayam - Brand A"/>
    <x v="4"/>
    <x v="2"/>
    <n v="22000"/>
    <n v="5"/>
    <n v="20"/>
    <n v="110000"/>
    <n v="22000"/>
    <n v="88000"/>
    <n v="18000"/>
    <n v="106000"/>
    <x v="1"/>
    <s v="Completed"/>
    <x v="2"/>
    <n v="1"/>
    <s v="Perempuan"/>
    <x v="11"/>
    <x v="1"/>
    <n v="12"/>
  </r>
  <r>
    <s v="ORD00493"/>
    <n v="45652.890289351853"/>
    <x v="31"/>
    <s v="Mamuju"/>
    <s v="Beras - Brand B"/>
    <x v="0"/>
    <x v="1"/>
    <n v="15000"/>
    <n v="2"/>
    <n v="20"/>
    <n v="30000"/>
    <n v="6000"/>
    <n v="24000"/>
    <n v="46000"/>
    <n v="70000"/>
    <x v="1"/>
    <s v="Completed"/>
    <x v="4"/>
    <n v="2"/>
    <s v="Perempuan"/>
    <x v="11"/>
    <x v="1"/>
    <n v="12"/>
  </r>
  <r>
    <s v="ORD01465"/>
    <n v="45652.929050925923"/>
    <x v="273"/>
    <s v="Jakarta"/>
    <s v="Gula Pasir - Brand A"/>
    <x v="6"/>
    <x v="2"/>
    <n v="16000"/>
    <n v="1"/>
    <n v="5"/>
    <n v="16000"/>
    <n v="800"/>
    <n v="15200"/>
    <n v="97000"/>
    <n v="112200"/>
    <x v="2"/>
    <s v="Returned"/>
    <x v="1"/>
    <n v="2"/>
    <s v="Perempuan"/>
    <x v="11"/>
    <x v="1"/>
    <n v="12"/>
  </r>
  <r>
    <s v="ORD00882"/>
    <n v="45653.071111111109"/>
    <x v="45"/>
    <s v="Jakarta"/>
    <s v="Beras - Brand B"/>
    <x v="0"/>
    <x v="1"/>
    <n v="15000"/>
    <n v="5"/>
    <n v="20"/>
    <n v="75000"/>
    <n v="15000"/>
    <n v="60000"/>
    <n v="97000"/>
    <n v="157000"/>
    <x v="0"/>
    <s v="Completed"/>
    <x v="2"/>
    <n v="3"/>
    <s v="Perempuan"/>
    <x v="11"/>
    <x v="1"/>
    <n v="12"/>
  </r>
  <r>
    <s v="ORD01357"/>
    <n v="45653.131284722222"/>
    <x v="310"/>
    <s v="Jambi"/>
    <s v="Tepung Terigu - Brand C"/>
    <x v="2"/>
    <x v="0"/>
    <n v="14000"/>
    <n v="2"/>
    <n v="15"/>
    <n v="28000"/>
    <n v="4200"/>
    <n v="23800"/>
    <n v="87000"/>
    <n v="110800"/>
    <x v="1"/>
    <s v="Completed"/>
    <x v="2"/>
    <n v="4"/>
    <s v="Perempuan"/>
    <x v="11"/>
    <x v="1"/>
    <n v="12"/>
  </r>
  <r>
    <s v="ORD00316"/>
    <n v="45654.395462962973"/>
    <x v="276"/>
    <s v="Palembang"/>
    <s v="Telur Ayam - Brand C"/>
    <x v="4"/>
    <x v="0"/>
    <n v="28000"/>
    <n v="3"/>
    <n v="5"/>
    <n v="84000"/>
    <n v="4200"/>
    <n v="79800"/>
    <n v="17000"/>
    <n v="96800"/>
    <x v="1"/>
    <s v="Completed"/>
    <x v="3"/>
    <n v="2"/>
    <s v="Perempuan"/>
    <x v="11"/>
    <x v="1"/>
    <n v="12"/>
  </r>
  <r>
    <s v="ORD00475"/>
    <n v="45654.502337962957"/>
    <x v="331"/>
    <s v="Pekanbaru"/>
    <s v="Beras - Brand B"/>
    <x v="0"/>
    <x v="1"/>
    <n v="15000"/>
    <n v="2"/>
    <n v="0"/>
    <n v="30000"/>
    <n v="0"/>
    <n v="30000"/>
    <n v="49000"/>
    <n v="79000"/>
    <x v="0"/>
    <s v="Completed"/>
    <x v="2"/>
    <n v="3"/>
    <s v="Perempuan"/>
    <x v="11"/>
    <x v="1"/>
    <n v="12"/>
  </r>
  <r>
    <s v="ORD00475"/>
    <n v="45654.502337962957"/>
    <x v="331"/>
    <s v="Pekanbaru"/>
    <s v="Daging Ayam - Brand A"/>
    <x v="1"/>
    <x v="2"/>
    <n v="35000"/>
    <n v="1"/>
    <n v="5"/>
    <n v="35000"/>
    <n v="1750"/>
    <n v="33250"/>
    <n v="0"/>
    <n v="33250"/>
    <x v="0"/>
    <s v="Completed"/>
    <x v="2"/>
    <n v="3"/>
    <s v="Perempuan"/>
    <x v="11"/>
    <x v="1"/>
    <n v="12"/>
  </r>
  <r>
    <s v="ORD00071"/>
    <n v="45654.514606481483"/>
    <x v="260"/>
    <s v="Manado"/>
    <s v="Telur Ayam - Brand A"/>
    <x v="4"/>
    <x v="2"/>
    <n v="22000"/>
    <n v="2"/>
    <n v="10"/>
    <n v="44000"/>
    <n v="4400"/>
    <n v="39600"/>
    <n v="93000"/>
    <n v="132600"/>
    <x v="2"/>
    <s v="Completed"/>
    <x v="2"/>
    <n v="1"/>
    <s v="Laki-laki"/>
    <x v="11"/>
    <x v="1"/>
    <n v="12"/>
  </r>
  <r>
    <s v="ORD00071"/>
    <n v="45654.514606481483"/>
    <x v="260"/>
    <s v="Manado"/>
    <s v="Garam - Brand B"/>
    <x v="5"/>
    <x v="1"/>
    <n v="5000"/>
    <n v="2"/>
    <n v="10"/>
    <n v="10000"/>
    <n v="1000"/>
    <n v="9000"/>
    <n v="0"/>
    <n v="9000"/>
    <x v="2"/>
    <s v="Completed"/>
    <x v="2"/>
    <n v="1"/>
    <s v="Laki-laki"/>
    <x v="11"/>
    <x v="1"/>
    <n v="12"/>
  </r>
  <r>
    <s v="ORD01139"/>
    <n v="45654.560034722221"/>
    <x v="180"/>
    <s v="Pangkalpinang"/>
    <s v="Garam - Brand C"/>
    <x v="5"/>
    <x v="0"/>
    <n v="6000"/>
    <n v="3"/>
    <n v="15"/>
    <n v="18000"/>
    <n v="2700"/>
    <n v="15300"/>
    <n v="18000"/>
    <n v="33300"/>
    <x v="2"/>
    <s v="Completed"/>
    <x v="2"/>
    <n v="2"/>
    <s v="Perempuan"/>
    <x v="11"/>
    <x v="1"/>
    <n v="12"/>
  </r>
  <r>
    <s v="ORD00120"/>
    <n v="45654.772094907406"/>
    <x v="17"/>
    <s v="Palembang"/>
    <s v="Garam - Brand B"/>
    <x v="5"/>
    <x v="1"/>
    <n v="5000"/>
    <n v="4"/>
    <n v="15"/>
    <n v="20000"/>
    <n v="3000"/>
    <n v="17000"/>
    <n v="17000"/>
    <n v="34000"/>
    <x v="1"/>
    <s v="Completed"/>
    <x v="1"/>
    <n v="5"/>
    <s v="Perempuan"/>
    <x v="11"/>
    <x v="1"/>
    <n v="12"/>
  </r>
  <r>
    <s v="ORD01813"/>
    <n v="45654.837314814817"/>
    <x v="128"/>
    <s v="Samarinda"/>
    <s v="Telur Ayam - Brand A"/>
    <x v="4"/>
    <x v="2"/>
    <n v="22000"/>
    <n v="2"/>
    <n v="15"/>
    <n v="44000"/>
    <n v="6600"/>
    <n v="37400"/>
    <n v="43000"/>
    <n v="80400"/>
    <x v="3"/>
    <s v="Cancelled"/>
    <x v="4"/>
    <n v="2"/>
    <s v="Perempuan"/>
    <x v="11"/>
    <x v="1"/>
    <n v="12"/>
  </r>
  <r>
    <s v="ORD00710"/>
    <n v="45654.920648148152"/>
    <x v="285"/>
    <s v="Pontianak"/>
    <s v="Telur Ayam - Brand B"/>
    <x v="4"/>
    <x v="1"/>
    <n v="25000"/>
    <n v="5"/>
    <n v="20"/>
    <n v="125000"/>
    <n v="25000"/>
    <n v="100000"/>
    <n v="85000"/>
    <n v="185000"/>
    <x v="1"/>
    <s v="Completed"/>
    <x v="0"/>
    <n v="5"/>
    <s v="Laki-laki"/>
    <x v="11"/>
    <x v="1"/>
    <n v="12"/>
  </r>
  <r>
    <s v="ORD00509"/>
    <n v="45654.936238425929"/>
    <x v="148"/>
    <s v="Mataram"/>
    <s v="Gula Pasir - Brand B"/>
    <x v="6"/>
    <x v="1"/>
    <n v="17000"/>
    <n v="4"/>
    <n v="20"/>
    <n v="68000"/>
    <n v="13600"/>
    <n v="54400"/>
    <n v="56000"/>
    <n v="110400"/>
    <x v="3"/>
    <s v="Completed"/>
    <x v="3"/>
    <n v="3"/>
    <s v="Perempuan"/>
    <x v="11"/>
    <x v="1"/>
    <n v="12"/>
  </r>
  <r>
    <s v="ORD00996"/>
    <n v="45655.067314814813"/>
    <x v="169"/>
    <s v="Manado"/>
    <s v="Susu Bubuk - Brand B"/>
    <x v="7"/>
    <x v="1"/>
    <n v="50000"/>
    <n v="2"/>
    <n v="0"/>
    <n v="100000"/>
    <n v="0"/>
    <n v="100000"/>
    <n v="93000"/>
    <n v="193000"/>
    <x v="0"/>
    <s v="Completed"/>
    <x v="4"/>
    <n v="1"/>
    <s v="Perempuan"/>
    <x v="11"/>
    <x v="1"/>
    <n v="12"/>
  </r>
  <r>
    <s v="ORD00663"/>
    <n v="45655.068379629629"/>
    <x v="262"/>
    <s v="Makassar"/>
    <s v="Gula Pasir - Brand C"/>
    <x v="6"/>
    <x v="0"/>
    <n v="18000"/>
    <n v="4"/>
    <n v="5"/>
    <n v="72000"/>
    <n v="3600"/>
    <n v="68400"/>
    <n v="84000"/>
    <n v="152400"/>
    <x v="0"/>
    <s v="Completed"/>
    <x v="4"/>
    <n v="1"/>
    <s v="Laki-laki"/>
    <x v="11"/>
    <x v="1"/>
    <n v="12"/>
  </r>
  <r>
    <s v="ORD00508"/>
    <n v="45655.187175925923"/>
    <x v="308"/>
    <s v="Jayapura"/>
    <s v="Bawang Merah - Brand B"/>
    <x v="3"/>
    <x v="1"/>
    <n v="35000"/>
    <n v="1"/>
    <n v="10"/>
    <n v="35000"/>
    <n v="3500"/>
    <n v="31500"/>
    <n v="30000"/>
    <n v="61500"/>
    <x v="2"/>
    <s v="Completed"/>
    <x v="3"/>
    <n v="3"/>
    <s v="Perempuan"/>
    <x v="11"/>
    <x v="1"/>
    <n v="12"/>
  </r>
  <r>
    <s v="ORD00824"/>
    <n v="45655.374756944453"/>
    <x v="26"/>
    <s v="Wamena"/>
    <s v="Bawang Merah - Brand A"/>
    <x v="3"/>
    <x v="2"/>
    <n v="30000"/>
    <n v="2"/>
    <n v="20"/>
    <n v="60000"/>
    <n v="12000"/>
    <n v="48000"/>
    <n v="15000"/>
    <n v="63000"/>
    <x v="1"/>
    <s v="Completed"/>
    <x v="3"/>
    <n v="1"/>
    <s v="Laki-laki"/>
    <x v="11"/>
    <x v="1"/>
    <n v="12"/>
  </r>
  <r>
    <s v="ORD00916"/>
    <n v="45655.458425925928"/>
    <x v="203"/>
    <s v="Kendari"/>
    <s v="Garam - Brand B"/>
    <x v="5"/>
    <x v="1"/>
    <n v="5000"/>
    <n v="3"/>
    <n v="10"/>
    <n v="15000"/>
    <n v="1500"/>
    <n v="13500"/>
    <n v="59000"/>
    <n v="72500"/>
    <x v="1"/>
    <s v="Returned"/>
    <x v="2"/>
    <n v="4"/>
    <s v="Perempuan"/>
    <x v="11"/>
    <x v="1"/>
    <n v="12"/>
  </r>
  <r>
    <s v="ORD01728"/>
    <n v="45655.817673611113"/>
    <x v="63"/>
    <s v="Pangkalpinang"/>
    <s v="Gula Pasir - Brand C"/>
    <x v="6"/>
    <x v="0"/>
    <n v="18000"/>
    <n v="2"/>
    <n v="0"/>
    <n v="36000"/>
    <n v="0"/>
    <n v="36000"/>
    <n v="18000"/>
    <n v="54000"/>
    <x v="3"/>
    <s v="Cancelled"/>
    <x v="4"/>
    <n v="2"/>
    <s v="Laki-laki"/>
    <x v="11"/>
    <x v="1"/>
    <n v="12"/>
  </r>
  <r>
    <s v="ORD00861"/>
    <n v="45656.280972222223"/>
    <x v="41"/>
    <s v="Sofifi"/>
    <s v="Beras - Brand A"/>
    <x v="0"/>
    <x v="2"/>
    <n v="14000"/>
    <n v="5"/>
    <n v="15"/>
    <n v="70000"/>
    <n v="10500"/>
    <n v="59500"/>
    <n v="50000"/>
    <n v="109500"/>
    <x v="1"/>
    <s v="Completed"/>
    <x v="4"/>
    <n v="5"/>
    <s v="Perempuan"/>
    <x v="11"/>
    <x v="1"/>
    <n v="12"/>
  </r>
  <r>
    <s v="ORD00108"/>
    <n v="45656.804756944453"/>
    <x v="291"/>
    <s v="Sorong"/>
    <s v="Tepung Terigu - Brand A"/>
    <x v="2"/>
    <x v="2"/>
    <n v="10000"/>
    <n v="4"/>
    <n v="5"/>
    <n v="40000"/>
    <n v="2000"/>
    <n v="38000"/>
    <n v="87000"/>
    <n v="125000"/>
    <x v="3"/>
    <s v="Completed"/>
    <x v="3"/>
    <n v="2"/>
    <s v="Perempuan"/>
    <x v="11"/>
    <x v="1"/>
    <n v="12"/>
  </r>
  <r>
    <s v="ORD00785"/>
    <n v="45656.917453703703"/>
    <x v="97"/>
    <s v="Palembang"/>
    <s v="Minyak Goreng - Brand A"/>
    <x v="8"/>
    <x v="2"/>
    <n v="16000"/>
    <n v="4"/>
    <n v="15"/>
    <n v="64000"/>
    <n v="9600"/>
    <n v="54400"/>
    <n v="17000"/>
    <n v="71400"/>
    <x v="3"/>
    <s v="Returned"/>
    <x v="3"/>
    <n v="2"/>
    <s v="Perempuan"/>
    <x v="11"/>
    <x v="1"/>
    <n v="12"/>
  </r>
  <r>
    <s v="ORD00145"/>
    <n v="45656.930266203701"/>
    <x v="359"/>
    <s v="Bandar Lampung"/>
    <s v="Garam - Brand A"/>
    <x v="5"/>
    <x v="2"/>
    <n v="4000"/>
    <n v="1"/>
    <n v="5"/>
    <n v="4000"/>
    <n v="200"/>
    <n v="3800"/>
    <n v="28000"/>
    <n v="31800"/>
    <x v="0"/>
    <s v="Completed"/>
    <x v="2"/>
    <n v="1"/>
    <s v="Perempuan"/>
    <x v="11"/>
    <x v="1"/>
    <n v="12"/>
  </r>
  <r>
    <s v="ORD01652"/>
    <n v="45657.015648148154"/>
    <x v="312"/>
    <s v="Pontianak"/>
    <s v="Gula Pasir - Brand B"/>
    <x v="6"/>
    <x v="1"/>
    <n v="17000"/>
    <n v="3"/>
    <n v="0"/>
    <n v="51000"/>
    <n v="0"/>
    <n v="51000"/>
    <n v="85000"/>
    <n v="136000"/>
    <x v="2"/>
    <s v="Returned"/>
    <x v="2"/>
    <n v="4"/>
    <s v="Perempuan"/>
    <x v="11"/>
    <x v="1"/>
    <n v="12"/>
  </r>
  <r>
    <s v="ORD00086"/>
    <n v="45657.066030092603"/>
    <x v="303"/>
    <s v="Medan"/>
    <s v="Minyak Goreng - Brand B"/>
    <x v="8"/>
    <x v="1"/>
    <n v="17000"/>
    <n v="3"/>
    <n v="0"/>
    <n v="51000"/>
    <n v="0"/>
    <n v="51000"/>
    <n v="79000"/>
    <n v="130000"/>
    <x v="3"/>
    <s v="Returned"/>
    <x v="0"/>
    <n v="4"/>
    <s v="Laki-laki"/>
    <x v="11"/>
    <x v="1"/>
    <n v="12"/>
  </r>
  <r>
    <s v="ORD01029"/>
    <n v="45657.206493055557"/>
    <x v="214"/>
    <s v="Ambon"/>
    <s v="Beras - Brand B"/>
    <x v="0"/>
    <x v="1"/>
    <n v="15000"/>
    <n v="2"/>
    <n v="0"/>
    <n v="30000"/>
    <n v="0"/>
    <n v="30000"/>
    <n v="49000"/>
    <n v="79000"/>
    <x v="3"/>
    <s v="Completed"/>
    <x v="1"/>
    <n v="4"/>
    <s v="Laki-laki"/>
    <x v="11"/>
    <x v="1"/>
    <n v="12"/>
  </r>
  <r>
    <s v="ORD00748"/>
    <n v="45657.253738425927"/>
    <x v="229"/>
    <s v="Nabire"/>
    <s v="Tepung Terigu - Brand C"/>
    <x v="2"/>
    <x v="0"/>
    <n v="14000"/>
    <n v="1"/>
    <n v="10"/>
    <n v="14000"/>
    <n v="1400"/>
    <n v="12600"/>
    <n v="89000"/>
    <n v="101600"/>
    <x v="3"/>
    <s v="Completed"/>
    <x v="1"/>
    <n v="1"/>
    <s v="Perempuan"/>
    <x v="11"/>
    <x v="1"/>
    <n v="12"/>
  </r>
  <r>
    <s v="ORD00044"/>
    <n v="45657.470694444448"/>
    <x v="255"/>
    <s v="Manado"/>
    <s v="Susu Bubuk - Brand C"/>
    <x v="7"/>
    <x v="0"/>
    <n v="55000"/>
    <n v="2"/>
    <n v="10"/>
    <n v="110000"/>
    <n v="11000"/>
    <n v="99000"/>
    <n v="93000"/>
    <n v="192000"/>
    <x v="1"/>
    <s v="Completed"/>
    <x v="4"/>
    <n v="1"/>
    <s v="Laki-laki"/>
    <x v="11"/>
    <x v="1"/>
    <n v="12"/>
  </r>
  <r>
    <s v="ORD00961"/>
    <n v="45657.500381944446"/>
    <x v="24"/>
    <s v="Pangkalpinang"/>
    <s v="Garam - Brand C"/>
    <x v="5"/>
    <x v="0"/>
    <n v="6000"/>
    <n v="5"/>
    <n v="5"/>
    <n v="30000"/>
    <n v="1500"/>
    <n v="28500"/>
    <n v="18000"/>
    <n v="46500"/>
    <x v="0"/>
    <s v="Completed"/>
    <x v="1"/>
    <n v="3"/>
    <s v="Perempuan"/>
    <x v="11"/>
    <x v="1"/>
    <n v="12"/>
  </r>
  <r>
    <s v="ORD00262"/>
    <n v="45657.556770833333"/>
    <x v="295"/>
    <s v="Yogyakarta"/>
    <s v="Daging Ayam - Brand A"/>
    <x v="1"/>
    <x v="2"/>
    <n v="35000"/>
    <n v="3"/>
    <n v="0"/>
    <n v="105000"/>
    <n v="0"/>
    <n v="105000"/>
    <n v="78000"/>
    <n v="183000"/>
    <x v="3"/>
    <s v="Completed"/>
    <x v="2"/>
    <n v="5"/>
    <s v="Perempuan"/>
    <x v="11"/>
    <x v="1"/>
    <n v="12"/>
  </r>
  <r>
    <s v="ORD01764"/>
    <n v="45657.661597222221"/>
    <x v="32"/>
    <s v="Surabaya"/>
    <s v="Garam - Brand A"/>
    <x v="5"/>
    <x v="2"/>
    <n v="4000"/>
    <n v="4"/>
    <n v="10"/>
    <n v="16000"/>
    <n v="1600"/>
    <n v="14400"/>
    <n v="74000"/>
    <n v="88400"/>
    <x v="0"/>
    <s v="Returned"/>
    <x v="4"/>
    <n v="5"/>
    <s v="Perempuan"/>
    <x v="11"/>
    <x v="1"/>
    <n v="12"/>
  </r>
  <r>
    <s v="ORD00406"/>
    <n v="45657.785000000003"/>
    <x v="198"/>
    <s v="Semarang"/>
    <s v="Tepung Terigu - Brand A"/>
    <x v="2"/>
    <x v="2"/>
    <n v="10000"/>
    <n v="4"/>
    <n v="10"/>
    <n v="40000"/>
    <n v="4000"/>
    <n v="36000"/>
    <n v="76000"/>
    <n v="112000"/>
    <x v="3"/>
    <s v="Completed"/>
    <x v="0"/>
    <n v="1"/>
    <s v="Perempuan"/>
    <x v="11"/>
    <x v="1"/>
    <n v="12"/>
  </r>
  <r>
    <s v="ORD00406"/>
    <n v="45657.785000000003"/>
    <x v="198"/>
    <s v="Semarang"/>
    <s v="Susu Bubuk - Brand C"/>
    <x v="7"/>
    <x v="0"/>
    <n v="55000"/>
    <n v="2"/>
    <n v="15"/>
    <n v="110000"/>
    <n v="16500"/>
    <n v="93500"/>
    <n v="0"/>
    <n v="93500"/>
    <x v="3"/>
    <s v="Completed"/>
    <x v="0"/>
    <n v="1"/>
    <s v="Perempuan"/>
    <x v="11"/>
    <x v="1"/>
    <n v="12"/>
  </r>
  <r>
    <s v="ORD00233"/>
    <n v="45657.819618055553"/>
    <x v="392"/>
    <s v="Palu"/>
    <s v="Tepung Terigu - Brand C"/>
    <x v="2"/>
    <x v="0"/>
    <n v="14000"/>
    <n v="1"/>
    <n v="20"/>
    <n v="14000"/>
    <n v="2800"/>
    <n v="11200"/>
    <n v="67000"/>
    <n v="78200"/>
    <x v="0"/>
    <s v="Completed"/>
    <x v="3"/>
    <n v="4"/>
    <s v="Perempuan"/>
    <x v="11"/>
    <x v="1"/>
    <n v="12"/>
  </r>
  <r>
    <s v="ORD01065"/>
    <n v="45657.956782407397"/>
    <x v="212"/>
    <s v="Kupang"/>
    <s v="Garam - Brand C"/>
    <x v="5"/>
    <x v="0"/>
    <n v="6000"/>
    <n v="3"/>
    <n v="20"/>
    <n v="18000"/>
    <n v="3600"/>
    <n v="14400"/>
    <n v="21000"/>
    <n v="35400"/>
    <x v="0"/>
    <s v="Completed"/>
    <x v="4"/>
    <n v="5"/>
    <s v="Perempuan"/>
    <x v="11"/>
    <x v="1"/>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6BA8AD-1393-49EB-B606-9B2B1F9E165C}" name="Jenis Platform"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4:W9"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Fields count="1">
    <field x="17"/>
  </rowFields>
  <rowItems count="5">
    <i>
      <x/>
    </i>
    <i>
      <x v="1"/>
    </i>
    <i>
      <x v="2"/>
    </i>
    <i>
      <x v="3"/>
    </i>
    <i>
      <x v="4"/>
    </i>
  </rowItems>
  <colItems count="1">
    <i/>
  </colItems>
  <dataFields count="1">
    <dataField name="Sum of Total Sales" fld="12" baseField="0" baseItem="0"/>
  </dataFields>
  <formats count="1">
    <format dxfId="280">
      <pivotArea collapsedLevelsAreSubtotals="1" fieldPosition="0">
        <references count="1">
          <reference field="1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621A0A-68B8-433B-B458-BC0F4F114927}" name="Cara Pembayaran"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H4:AI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0"/>
        <item x="2"/>
        <item x="1"/>
        <item x="3"/>
        <item t="default"/>
      </items>
    </pivotField>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Fields count="1">
    <field x="15"/>
  </rowFields>
  <rowItems count="4">
    <i>
      <x/>
    </i>
    <i>
      <x v="1"/>
    </i>
    <i>
      <x v="2"/>
    </i>
    <i>
      <x v="3"/>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0A929E-CB74-4268-B861-86DBBB7D8FAF}" name="Penjualanan/Tahun"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N4:AO6"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axis="axisRow" showAll="0" sortType="descending">
      <items count="3">
        <item x="0"/>
        <item x="1"/>
        <item t="default"/>
      </items>
    </pivotField>
    <pivotField showAll="0"/>
  </pivotFields>
  <rowFields count="1">
    <field x="21"/>
  </rowFields>
  <rowItems count="2">
    <i>
      <x/>
    </i>
    <i>
      <x v="1"/>
    </i>
  </rowItems>
  <colItems count="1">
    <i/>
  </colItems>
  <dataFields count="1">
    <dataField name="Sum of Total Sales" fld="12" baseField="0" baseItem="0" numFmtId="42"/>
  </dataFields>
  <formats count="1">
    <format dxfId="281">
      <pivotArea outline="0" collapsedLevelsAreSubtotals="1" fieldPosition="0"/>
    </format>
  </formats>
  <chartFormats count="5">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1" count="1" selected="0">
            <x v="1"/>
          </reference>
        </references>
      </pivotArea>
    </chartFormat>
    <chartFormat chart="6" format="4">
      <pivotArea type="data" outline="0" fieldPosition="0">
        <references count="2">
          <reference field="4294967294" count="1" selected="0">
            <x v="0"/>
          </reference>
          <reference field="21" count="1" selected="0">
            <x v="0"/>
          </reference>
        </references>
      </pivotArea>
    </chartFormat>
    <chartFormat chart="6"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D0E1B7-166E-420D-B5E8-FC66387F31D6}" name="Penjualan Perbulan"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G4:H16"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3"/>
        <item x="1"/>
        <item x="0"/>
        <item x="2"/>
        <item x="4"/>
        <item t="default"/>
      </items>
    </pivotField>
    <pivotField showAll="0"/>
    <pivotField showAll="0"/>
    <pivotField axis="axisRow" showAll="0">
      <items count="13">
        <item x="0"/>
        <item x="1"/>
        <item x="2"/>
        <item x="3"/>
        <item x="4"/>
        <item x="5"/>
        <item x="6"/>
        <item x="7"/>
        <item x="8"/>
        <item x="9"/>
        <item x="10"/>
        <item x="11"/>
        <item t="default"/>
      </items>
    </pivotField>
    <pivotField showAll="0">
      <items count="3">
        <item x="1"/>
        <item x="0"/>
        <item t="default"/>
      </items>
    </pivotField>
    <pivotField showAll="0"/>
  </pivotFields>
  <rowFields count="1">
    <field x="20"/>
  </rowFields>
  <rowItems count="12">
    <i>
      <x/>
    </i>
    <i>
      <x v="1"/>
    </i>
    <i>
      <x v="2"/>
    </i>
    <i>
      <x v="3"/>
    </i>
    <i>
      <x v="4"/>
    </i>
    <i>
      <x v="5"/>
    </i>
    <i>
      <x v="6"/>
    </i>
    <i>
      <x v="7"/>
    </i>
    <i>
      <x v="8"/>
    </i>
    <i>
      <x v="9"/>
    </i>
    <i>
      <x v="10"/>
    </i>
    <i>
      <x v="11"/>
    </i>
  </rowItems>
  <colItems count="1">
    <i/>
  </colItems>
  <dataFields count="1">
    <dataField name="Sum of Total Sales" fld="12" baseField="0" baseItem="0" numFmtId="42"/>
  </dataFields>
  <formats count="1">
    <format dxfId="2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ACCA58-4AEF-4FAD-9702-8F182B2B5B9F}" name="15 Cust teratas"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C4:AD19" firstHeaderRow="1" firstDataRow="1" firstDataCol="1"/>
  <pivotFields count="23">
    <pivotField showAll="0"/>
    <pivotField showAll="0"/>
    <pivotField axis="axisRow" showAll="0" measureFilter="1" sortType="ascending">
      <items count="397">
        <item x="339"/>
        <item x="320"/>
        <item x="383"/>
        <item x="146"/>
        <item x="372"/>
        <item x="185"/>
        <item x="117"/>
        <item x="60"/>
        <item x="45"/>
        <item x="173"/>
        <item x="128"/>
        <item x="192"/>
        <item x="259"/>
        <item x="258"/>
        <item x="41"/>
        <item x="236"/>
        <item x="151"/>
        <item x="325"/>
        <item x="219"/>
        <item x="384"/>
        <item x="205"/>
        <item x="243"/>
        <item x="364"/>
        <item x="250"/>
        <item x="246"/>
        <item x="206"/>
        <item x="266"/>
        <item x="67"/>
        <item x="375"/>
        <item x="222"/>
        <item x="370"/>
        <item x="72"/>
        <item x="39"/>
        <item x="310"/>
        <item x="138"/>
        <item x="154"/>
        <item x="93"/>
        <item x="292"/>
        <item x="2"/>
        <item x="89"/>
        <item x="122"/>
        <item x="107"/>
        <item x="296"/>
        <item x="281"/>
        <item x="135"/>
        <item x="340"/>
        <item x="322"/>
        <item x="283"/>
        <item x="276"/>
        <item x="221"/>
        <item x="34"/>
        <item x="189"/>
        <item x="257"/>
        <item x="53"/>
        <item x="131"/>
        <item x="282"/>
        <item x="203"/>
        <item x="204"/>
        <item x="36"/>
        <item x="342"/>
        <item x="162"/>
        <item x="86"/>
        <item x="346"/>
        <item x="141"/>
        <item x="133"/>
        <item x="275"/>
        <item x="156"/>
        <item x="230"/>
        <item x="23"/>
        <item x="329"/>
        <item x="159"/>
        <item x="210"/>
        <item x="362"/>
        <item x="269"/>
        <item x="35"/>
        <item x="28"/>
        <item x="209"/>
        <item x="207"/>
        <item x="199"/>
        <item x="134"/>
        <item x="211"/>
        <item x="62"/>
        <item x="287"/>
        <item x="145"/>
        <item x="120"/>
        <item x="24"/>
        <item x="105"/>
        <item x="330"/>
        <item x="44"/>
        <item x="267"/>
        <item x="106"/>
        <item x="113"/>
        <item x="175"/>
        <item x="248"/>
        <item x="180"/>
        <item x="22"/>
        <item x="212"/>
        <item x="298"/>
        <item x="139"/>
        <item x="50"/>
        <item x="351"/>
        <item x="302"/>
        <item x="304"/>
        <item x="47"/>
        <item x="394"/>
        <item x="79"/>
        <item x="318"/>
        <item x="253"/>
        <item x="295"/>
        <item x="196"/>
        <item x="231"/>
        <item x="241"/>
        <item x="110"/>
        <item x="98"/>
        <item x="187"/>
        <item x="130"/>
        <item x="337"/>
        <item x="381"/>
        <item x="63"/>
        <item x="29"/>
        <item x="315"/>
        <item x="347"/>
        <item x="153"/>
        <item x="327"/>
        <item x="164"/>
        <item x="74"/>
        <item x="158"/>
        <item x="386"/>
        <item x="376"/>
        <item x="85"/>
        <item x="224"/>
        <item x="172"/>
        <item x="306"/>
        <item x="307"/>
        <item x="87"/>
        <item x="132"/>
        <item x="332"/>
        <item x="169"/>
        <item x="166"/>
        <item x="102"/>
        <item x="208"/>
        <item x="356"/>
        <item x="198"/>
        <item x="155"/>
        <item x="373"/>
        <item x="165"/>
        <item x="201"/>
        <item x="13"/>
        <item x="225"/>
        <item x="380"/>
        <item x="76"/>
        <item x="324"/>
        <item x="184"/>
        <item x="348"/>
        <item x="65"/>
        <item x="226"/>
        <item x="25"/>
        <item x="202"/>
        <item x="115"/>
        <item x="176"/>
        <item x="100"/>
        <item x="271"/>
        <item x="127"/>
        <item x="179"/>
        <item x="96"/>
        <item x="313"/>
        <item x="216"/>
        <item x="359"/>
        <item x="352"/>
        <item x="123"/>
        <item x="80"/>
        <item x="15"/>
        <item x="279"/>
        <item x="309"/>
        <item x="19"/>
        <item x="150"/>
        <item x="68"/>
        <item x="111"/>
        <item x="136"/>
        <item x="215"/>
        <item x="137"/>
        <item x="280"/>
        <item x="389"/>
        <item x="4"/>
        <item x="157"/>
        <item x="273"/>
        <item x="73"/>
        <item x="245"/>
        <item x="393"/>
        <item x="261"/>
        <item x="365"/>
        <item x="387"/>
        <item x="214"/>
        <item x="390"/>
        <item x="260"/>
        <item x="239"/>
        <item x="144"/>
        <item x="299"/>
        <item x="357"/>
        <item x="213"/>
        <item x="149"/>
        <item x="294"/>
        <item x="1"/>
        <item x="193"/>
        <item x="256"/>
        <item x="392"/>
        <item x="223"/>
        <item x="167"/>
        <item x="40"/>
        <item x="265"/>
        <item x="182"/>
        <item x="27"/>
        <item x="152"/>
        <item x="186"/>
        <item x="119"/>
        <item x="103"/>
        <item x="129"/>
        <item x="46"/>
        <item x="286"/>
        <item x="71"/>
        <item x="108"/>
        <item x="358"/>
        <item x="317"/>
        <item x="78"/>
        <item x="395"/>
        <item x="140"/>
        <item x="0"/>
        <item x="350"/>
        <item x="6"/>
        <item x="26"/>
        <item x="126"/>
        <item x="7"/>
        <item x="323"/>
        <item x="360"/>
        <item x="228"/>
        <item x="84"/>
        <item x="290"/>
        <item x="66"/>
        <item x="188"/>
        <item x="385"/>
        <item x="64"/>
        <item x="344"/>
        <item x="58"/>
        <item x="254"/>
        <item x="331"/>
        <item x="148"/>
        <item x="171"/>
        <item x="338"/>
        <item x="227"/>
        <item x="59"/>
        <item x="178"/>
        <item x="377"/>
        <item x="183"/>
        <item x="11"/>
        <item x="349"/>
        <item x="112"/>
        <item x="264"/>
        <item x="251"/>
        <item x="369"/>
        <item x="353"/>
        <item x="374"/>
        <item x="83"/>
        <item x="92"/>
        <item x="109"/>
        <item x="288"/>
        <item x="301"/>
        <item x="57"/>
        <item x="75"/>
        <item x="69"/>
        <item x="367"/>
        <item x="177"/>
        <item x="262"/>
        <item x="263"/>
        <item x="336"/>
        <item x="388"/>
        <item x="237"/>
        <item x="285"/>
        <item x="218"/>
        <item x="255"/>
        <item x="82"/>
        <item x="328"/>
        <item x="391"/>
        <item x="316"/>
        <item x="234"/>
        <item x="16"/>
        <item x="99"/>
        <item x="52"/>
        <item x="190"/>
        <item x="300"/>
        <item x="194"/>
        <item x="289"/>
        <item x="195"/>
        <item x="277"/>
        <item x="31"/>
        <item x="116"/>
        <item x="217"/>
        <item x="249"/>
        <item x="32"/>
        <item x="270"/>
        <item x="97"/>
        <item x="341"/>
        <item x="94"/>
        <item x="95"/>
        <item x="366"/>
        <item x="181"/>
        <item x="252"/>
        <item x="121"/>
        <item x="311"/>
        <item x="21"/>
        <item x="361"/>
        <item x="335"/>
        <item x="147"/>
        <item x="104"/>
        <item x="274"/>
        <item x="319"/>
        <item x="371"/>
        <item x="368"/>
        <item x="291"/>
        <item x="343"/>
        <item x="235"/>
        <item x="168"/>
        <item x="170"/>
        <item x="18"/>
        <item x="242"/>
        <item x="88"/>
        <item x="37"/>
        <item x="163"/>
        <item x="247"/>
        <item x="314"/>
        <item x="48"/>
        <item x="293"/>
        <item x="54"/>
        <item x="38"/>
        <item x="118"/>
        <item x="56"/>
        <item x="5"/>
        <item x="363"/>
        <item x="333"/>
        <item x="30"/>
        <item x="70"/>
        <item x="233"/>
        <item x="43"/>
        <item x="297"/>
        <item x="334"/>
        <item x="229"/>
        <item x="142"/>
        <item x="90"/>
        <item x="3"/>
        <item x="345"/>
        <item x="244"/>
        <item x="326"/>
        <item x="305"/>
        <item x="284"/>
        <item x="268"/>
        <item x="77"/>
        <item x="8"/>
        <item x="14"/>
        <item x="55"/>
        <item x="10"/>
        <item x="200"/>
        <item x="161"/>
        <item x="220"/>
        <item x="143"/>
        <item x="125"/>
        <item x="378"/>
        <item x="17"/>
        <item x="61"/>
        <item x="42"/>
        <item x="312"/>
        <item x="308"/>
        <item x="272"/>
        <item x="91"/>
        <item x="33"/>
        <item x="20"/>
        <item x="191"/>
        <item x="240"/>
        <item x="232"/>
        <item x="303"/>
        <item x="51"/>
        <item x="160"/>
        <item x="101"/>
        <item x="355"/>
        <item x="238"/>
        <item x="174"/>
        <item x="49"/>
        <item x="354"/>
        <item x="321"/>
        <item x="124"/>
        <item x="278"/>
        <item x="382"/>
        <item x="379"/>
        <item x="81"/>
        <item x="114"/>
        <item x="9"/>
        <item x="12"/>
        <item x="19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Fields count="1">
    <field x="2"/>
  </rowFields>
  <rowItems count="15">
    <i>
      <x v="253"/>
    </i>
    <i>
      <x v="111"/>
    </i>
    <i>
      <x v="391"/>
    </i>
    <i>
      <x v="99"/>
    </i>
    <i>
      <x v="276"/>
    </i>
    <i>
      <x v="383"/>
    </i>
    <i>
      <x v="94"/>
    </i>
    <i>
      <x v="27"/>
    </i>
    <i>
      <x v="379"/>
    </i>
    <i>
      <x v="8"/>
    </i>
    <i>
      <x v="10"/>
    </i>
    <i>
      <x v="217"/>
    </i>
    <i>
      <x v="358"/>
    </i>
    <i>
      <x v="325"/>
    </i>
    <i>
      <x v="75"/>
    </i>
  </rowItems>
  <colItems count="1">
    <i/>
  </colItems>
  <dataFields count="1">
    <dataField name="Sum of Total Sales" fld="12" baseField="0" baseItem="0" numFmtId="42"/>
  </dataFields>
  <formats count="1">
    <format dxfId="283">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086082-8405-44E4-B45C-6B978396F916}" name="Product Terlaris"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4:M13" firstHeaderRow="1" firstDataRow="1" firstDataCol="1"/>
  <pivotFields count="23">
    <pivotField showAll="0"/>
    <pivotField showAll="0"/>
    <pivotField showAll="0"/>
    <pivotField showAll="0"/>
    <pivotField showAll="0"/>
    <pivotField axis="axisRow" showAll="0" sortType="descending">
      <items count="10">
        <item x="3"/>
        <item x="0"/>
        <item x="1"/>
        <item x="5"/>
        <item x="6"/>
        <item x="8"/>
        <item x="7"/>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Fields count="1">
    <field x="5"/>
  </rowFields>
  <rowItems count="9">
    <i>
      <x v="2"/>
    </i>
    <i>
      <x v="7"/>
    </i>
    <i>
      <x v="3"/>
    </i>
    <i>
      <x v="6"/>
    </i>
    <i>
      <x v="8"/>
    </i>
    <i>
      <x v="4"/>
    </i>
    <i>
      <x v="5"/>
    </i>
    <i>
      <x v="1"/>
    </i>
    <i>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A48DC8-3379-4353-B5FB-5DAD22F33771}" name="Total Product Sa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5">
        <item x="0"/>
        <item x="2"/>
        <item x="1"/>
        <item x="3"/>
        <item t="default"/>
      </items>
    </pivotField>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Items count="1">
    <i/>
  </rowItems>
  <colItems count="1">
    <i/>
  </colItems>
  <dataFields count="1">
    <dataField name="Sum of Quantity" fld="8" baseField="0" baseItem="0" numFmtId="41"/>
  </dataFields>
  <formats count="1">
    <format dxfId="2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A421BD-D5A6-453E-978D-70D8D12B884E}" name="Total Sa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Items count="1">
    <i/>
  </rowItems>
  <colItems count="1">
    <i/>
  </colItems>
  <dataFields count="1">
    <dataField name="Sum of Total Sales" fld="12" baseField="0" baseItem="0" numFmtId="42"/>
  </dataFields>
  <formats count="1">
    <format dxfId="2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530A77-2800-4DDB-8CB9-68B54E8E83B5}" name="Total Transaks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Items count="1">
    <i/>
  </rowItems>
  <colItems count="1">
    <i/>
  </colItems>
  <dataFields count="1">
    <dataField name="Count of Order ID" fld="0" subtotal="count" baseField="0" baseItem="0" numFmtId="41"/>
  </dataFields>
  <formats count="1">
    <format dxfId="2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30139B-94E8-49FD-9F14-FD3DCD0C7983}" name="Brand Terlar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8" firstHeaderRow="1" firstDataRow="1" firstDataCol="1"/>
  <pivotFields count="23">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pivotFields>
  <rowFields count="1">
    <field x="6"/>
  </rowFields>
  <rowItems count="4">
    <i>
      <x v="1"/>
    </i>
    <i>
      <x/>
    </i>
    <i>
      <x v="2"/>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8D17FB-9D0C-4381-8576-85FF49282E86}" sourceName="Month">
  <pivotTables>
    <pivotTable tabId="8" name="Total Sale"/>
    <pivotTable tabId="8" name="15 Cust teratas"/>
    <pivotTable tabId="8" name="Brand Terlaris"/>
    <pivotTable tabId="8" name="Cara Pembayaran"/>
    <pivotTable tabId="8" name="Jenis Platform"/>
    <pivotTable tabId="8" name="Penjualan Perbulan"/>
    <pivotTable tabId="8" name="Penjualanan/Tahun"/>
    <pivotTable tabId="8" name="Product Terlaris"/>
    <pivotTable tabId="8" name="Total Product Sale"/>
    <pivotTable tabId="8" name="Total Transaksi"/>
  </pivotTables>
  <data>
    <tabular pivotCacheId="214178248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BB8DB0D-17F7-4BE2-B275-6196687D6E74}" sourceName="Platform">
  <pivotTables>
    <pivotTable tabId="8" name="Total Product Sale"/>
    <pivotTable tabId="8" name="Cara Pembayaran"/>
    <pivotTable tabId="8" name="Jenis Platform"/>
    <pivotTable tabId="8" name="Penjualan Perbulan"/>
    <pivotTable tabId="8" name="Penjualanan/Tahun"/>
    <pivotTable tabId="8" name="Product Terlaris"/>
    <pivotTable tabId="8" name="Total Sale"/>
    <pivotTable tabId="8" name="Total Transaksi"/>
    <pivotTable tabId="8" name="15 Cust teratas"/>
    <pivotTable tabId="8" name="Brand Terlaris"/>
  </pivotTables>
  <data>
    <tabular pivotCacheId="2141782484" showMissing="0" crossFilter="none">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1F72E2-3FC3-4374-BA8C-C1CD2E85D860}" sourceName="Year">
  <pivotTables>
    <pivotTable tabId="8" name="Total Sale"/>
    <pivotTable tabId="8" name="Brand Terlaris"/>
    <pivotTable tabId="8" name="Jenis Platform"/>
    <pivotTable tabId="8" name="15 Cust teratas"/>
    <pivotTable tabId="8" name="Cara Pembayaran"/>
    <pivotTable tabId="8" name="Penjualanan/Tahun"/>
    <pivotTable tabId="8" name="Total Product Sale"/>
    <pivotTable tabId="8" name="Total Transaksi"/>
    <pivotTable tabId="8" name="Penjualan Perbulan"/>
    <pivotTable tabId="8" name="Product Terlaris"/>
  </pivotTables>
  <data>
    <tabular pivotCacheId="21417824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A8CA92F-A80A-46E0-A1DC-6BA262E2EC30}" cache="Slicer_Month" caption="Month" columnCount="2" showCaption="0" style="SlicerStyleLight2" rowHeight="241300"/>
  <slicer name="Platform" xr10:uid="{F64B22EF-066E-4751-8DED-7ED3C60C6A47}" cache="Slicer_Platform" caption="Platform" columnCount="2" showCaption="0" style="SlicerStyleLight2" rowHeight="241300"/>
  <slicer name="Year" xr10:uid="{243135C7-E9DE-4BCF-8E0C-6A51CD9672A5}" cache="Slicer_Year" caption="Year" columnCount="2" showCaption="0"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C685E6-B0FB-4F38-BA27-1ECFC8BC269B}" name="Table2" displayName="Table2" ref="A1:W2001" totalsRowShown="0">
  <autoFilter ref="A1:W2001" xr:uid="{43C685E6-B0FB-4F38-BA27-1ECFC8BC269B}"/>
  <tableColumns count="23">
    <tableColumn id="1" xr3:uid="{D4A60ADD-5A0F-420E-8224-8318C4C3D90E}" name="Order ID"/>
    <tableColumn id="2" xr3:uid="{C40A9CB6-F2DC-4FF1-86D6-CD4AD1260940}" name="Order Date"/>
    <tableColumn id="3" xr3:uid="{4CC779A0-DE83-4471-ABBF-97A2629B061F}" name="Customer Name"/>
    <tableColumn id="4" xr3:uid="{1ECC294B-7753-4502-A56B-F64415981E33}" name="City"/>
    <tableColumn id="5" xr3:uid="{5BE017C1-859B-413D-B67B-DC41BB1E4F3A}" name="Product Name"/>
    <tableColumn id="6" xr3:uid="{5E13AF5C-39CA-4A8B-94BB-FEFBABEBF5BD}" name="Product"/>
    <tableColumn id="7" xr3:uid="{EA09F4CF-8473-4B9F-A165-68976FFA99C6}" name="Brand"/>
    <tableColumn id="8" xr3:uid="{9E87C20B-9994-49CE-BAAE-AC68220F3872}" name="Unit Price"/>
    <tableColumn id="9" xr3:uid="{41B850C1-9374-47E2-ACF7-DA7ECE8E546A}" name="Quantity"/>
    <tableColumn id="10" xr3:uid="{801C4DA3-753C-416A-AE67-89FAC1C509FA}" name="Discount (%)"/>
    <tableColumn id="11" xr3:uid="{B36825B6-097A-473C-B9F8-C922D2629207}" name="Subtotal"/>
    <tableColumn id="12" xr3:uid="{9BDD0570-3DF0-4BC0-98E2-8CAF08A5ABA6}" name="Discount Amount"/>
    <tableColumn id="13" xr3:uid="{1737842A-CDA4-4F03-BA55-E7051FFF2741}" name="Total Sales"/>
    <tableColumn id="14" xr3:uid="{E157733C-C087-445A-BB0A-F77C80943924}" name="Shipping Fee"/>
    <tableColumn id="15" xr3:uid="{00C8514B-4E86-4071-B205-05C34859E586}" name="Grand Total"/>
    <tableColumn id="16" xr3:uid="{165D974B-36AA-4118-9F48-FE8D1DFD0C35}" name="Payment Method"/>
    <tableColumn id="17" xr3:uid="{C2F0E184-E3B3-497A-97C2-45D1A24D224F}" name="Order Status"/>
    <tableColumn id="18" xr3:uid="{A1C8C1A0-6058-41E3-9B1B-7CBA33A3C07B}" name="Platform"/>
    <tableColumn id="19" xr3:uid="{71743EAE-2BB8-4986-B687-C0DB38D86262}" name="Customer Rating"/>
    <tableColumn id="20" xr3:uid="{0A2ED62C-C32C-47D2-99E2-C95365CD216D}" name="Jenis Kelamin"/>
    <tableColumn id="21" xr3:uid="{F5629E0D-8D18-4465-845F-45FFC77DAE31}" name="Month"/>
    <tableColumn id="22" xr3:uid="{92A4EC1B-C568-48F7-AA9B-959FA0CD4405}" name="Year"/>
    <tableColumn id="23" xr3:uid="{B89B529C-1A26-4310-80ED-8C4465D40AA8}" name="Sor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01"/>
  <sheetViews>
    <sheetView topLeftCell="K1" zoomScaleNormal="100" workbookViewId="0">
      <pane ySplit="1" topLeftCell="A1983" activePane="bottomLeft" state="frozen"/>
      <selection activeCell="F1" sqref="F1"/>
      <selection pane="bottomLeft" activeCell="U2" sqref="U2:U2001"/>
    </sheetView>
  </sheetViews>
  <sheetFormatPr defaultColWidth="14.42578125" defaultRowHeight="15" customHeight="1" x14ac:dyDescent="0.25"/>
  <cols>
    <col min="1" max="1" width="9.42578125" customWidth="1"/>
    <col min="2" max="2" width="18.28515625" bestFit="1" customWidth="1"/>
    <col min="3" max="3" width="15.42578125" customWidth="1"/>
    <col min="4" max="4" width="13.85546875" customWidth="1"/>
    <col min="5" max="5" width="23.140625" bestFit="1" customWidth="1"/>
    <col min="6" max="7" width="23.140625" customWidth="1"/>
    <col min="8" max="8" width="11" style="6" customWidth="1"/>
    <col min="9" max="9" width="14" customWidth="1"/>
    <col min="10" max="10" width="16.7109375" bestFit="1" customWidth="1"/>
    <col min="11" max="11" width="13" style="6" bestFit="1" customWidth="1"/>
    <col min="12" max="12" width="21" style="6" bestFit="1" customWidth="1"/>
    <col min="13" max="13" width="15" style="6" bestFit="1" customWidth="1"/>
    <col min="14" max="14" width="12.42578125" style="6" bestFit="1" customWidth="1"/>
    <col min="15" max="15" width="11.28515625" style="6" bestFit="1" customWidth="1"/>
    <col min="16" max="16" width="16.5703125" bestFit="1" customWidth="1"/>
    <col min="17" max="17" width="12" bestFit="1" customWidth="1"/>
    <col min="18" max="18" width="12.140625" bestFit="1" customWidth="1"/>
    <col min="19" max="19" width="15.7109375" bestFit="1" customWidth="1"/>
    <col min="20" max="20" width="13.28515625" bestFit="1" customWidth="1"/>
  </cols>
  <sheetData>
    <row r="1" spans="1:23" x14ac:dyDescent="0.25">
      <c r="A1" s="1" t="s">
        <v>0</v>
      </c>
      <c r="B1" s="1" t="s">
        <v>1</v>
      </c>
      <c r="C1" s="1" t="s">
        <v>2</v>
      </c>
      <c r="D1" s="1" t="s">
        <v>3</v>
      </c>
      <c r="E1" s="1" t="s">
        <v>4</v>
      </c>
      <c r="F1" s="13" t="s">
        <v>2376</v>
      </c>
      <c r="G1" s="13" t="s">
        <v>2375</v>
      </c>
      <c r="H1" s="4" t="s">
        <v>5</v>
      </c>
      <c r="I1" s="1" t="s">
        <v>6</v>
      </c>
      <c r="J1" s="1" t="s">
        <v>7</v>
      </c>
      <c r="K1" s="7" t="s">
        <v>8</v>
      </c>
      <c r="L1" s="7" t="s">
        <v>9</v>
      </c>
      <c r="M1" s="7" t="s">
        <v>10</v>
      </c>
      <c r="N1" s="4" t="s">
        <v>11</v>
      </c>
      <c r="O1" s="7" t="s">
        <v>12</v>
      </c>
      <c r="P1" s="1" t="s">
        <v>13</v>
      </c>
      <c r="Q1" s="9" t="s">
        <v>14</v>
      </c>
      <c r="R1" s="1" t="s">
        <v>15</v>
      </c>
      <c r="S1" s="1" t="s">
        <v>16</v>
      </c>
      <c r="T1" s="1" t="s">
        <v>17</v>
      </c>
      <c r="U1" s="11" t="s">
        <v>2369</v>
      </c>
      <c r="V1" s="11" t="s">
        <v>2370</v>
      </c>
      <c r="W1" s="24" t="s">
        <v>2381</v>
      </c>
    </row>
    <row r="2" spans="1:23" x14ac:dyDescent="0.25">
      <c r="A2" s="2" t="s">
        <v>914</v>
      </c>
      <c r="B2" s="3">
        <v>45658.068738425929</v>
      </c>
      <c r="C2" s="2" t="s">
        <v>273</v>
      </c>
      <c r="D2" s="2" t="s">
        <v>195</v>
      </c>
      <c r="E2" s="2" t="s">
        <v>54</v>
      </c>
      <c r="F2" s="2" t="str" cm="1">
        <f t="array" ref="F2:G2">_xlfn.TEXTSPLIT(E2," - ")</f>
        <v>Beras</v>
      </c>
      <c r="G2" s="2" t="str">
        <v>Brand C</v>
      </c>
      <c r="H2" s="5">
        <v>16000</v>
      </c>
      <c r="I2" s="2">
        <v>5</v>
      </c>
      <c r="J2" s="2">
        <v>0</v>
      </c>
      <c r="K2" s="8">
        <f t="shared" ref="K2:K65" si="0">H2*I2</f>
        <v>80000</v>
      </c>
      <c r="L2" s="8">
        <f t="shared" ref="L2:L65" si="1">K2*J2%</f>
        <v>0</v>
      </c>
      <c r="M2" s="8">
        <f t="shared" ref="M2:M65" si="2">K2-L2</f>
        <v>80000</v>
      </c>
      <c r="N2" s="5">
        <v>87000</v>
      </c>
      <c r="O2" s="8">
        <f t="shared" ref="O2:O65" si="3">M2+N2</f>
        <v>167000</v>
      </c>
      <c r="P2" s="2" t="s">
        <v>35</v>
      </c>
      <c r="Q2" s="10" t="str">
        <f>VLOOKUP(A2,Status!A:B,2,0)</f>
        <v>Completed</v>
      </c>
      <c r="R2" s="2" t="s">
        <v>36</v>
      </c>
      <c r="S2" s="2">
        <v>4</v>
      </c>
      <c r="T2" s="2" t="s">
        <v>24</v>
      </c>
      <c r="U2" s="10" t="str">
        <f>TEXT(B2,"MMM")</f>
        <v>Jan</v>
      </c>
      <c r="V2" s="10">
        <f t="shared" ref="V2:V65" si="4">YEAR(B2)</f>
        <v>2025</v>
      </c>
      <c r="W2" t="e" cm="1">
        <f t="array" ref="W2">_xlfn.IFS(U2="January",1,U2="February",2,U2="March",3,U2="April",4,U2="May",5,U2="June",6,U2="July",7,U2="August",8,U2="September",9,U2="October",10,U2="November",11,U2="December",12)</f>
        <v>#N/A</v>
      </c>
    </row>
    <row r="3" spans="1:23" x14ac:dyDescent="0.25">
      <c r="A3" s="2" t="s">
        <v>915</v>
      </c>
      <c r="B3" s="3">
        <v>45658.182245370372</v>
      </c>
      <c r="C3" s="2" t="s">
        <v>916</v>
      </c>
      <c r="D3" s="2" t="s">
        <v>96</v>
      </c>
      <c r="E3" s="2" t="s">
        <v>45</v>
      </c>
      <c r="F3" s="2" t="str" cm="1">
        <f t="array" ref="F3:G3">_xlfn.TEXTSPLIT(E3," - ")</f>
        <v>Daging Ayam</v>
      </c>
      <c r="G3" s="2" t="str">
        <v>Brand B</v>
      </c>
      <c r="H3" s="5">
        <v>40000</v>
      </c>
      <c r="I3" s="2">
        <v>4</v>
      </c>
      <c r="J3" s="2">
        <v>20</v>
      </c>
      <c r="K3" s="8">
        <f t="shared" si="0"/>
        <v>160000</v>
      </c>
      <c r="L3" s="8">
        <f t="shared" si="1"/>
        <v>32000</v>
      </c>
      <c r="M3" s="8">
        <f t="shared" si="2"/>
        <v>128000</v>
      </c>
      <c r="N3" s="5">
        <v>49000</v>
      </c>
      <c r="O3" s="8">
        <f t="shared" si="3"/>
        <v>177000</v>
      </c>
      <c r="P3" s="2" t="s">
        <v>22</v>
      </c>
      <c r="Q3" s="10" t="str">
        <f>VLOOKUP(A3,Status!A:B,2,0)</f>
        <v>Completed</v>
      </c>
      <c r="R3" s="2" t="s">
        <v>23</v>
      </c>
      <c r="S3" s="2">
        <v>4</v>
      </c>
      <c r="T3" s="2" t="s">
        <v>24</v>
      </c>
      <c r="U3" s="10" t="str">
        <f t="shared" ref="U3:U66" si="5">TEXT(B3,"MMM")</f>
        <v>Jan</v>
      </c>
      <c r="V3" s="10">
        <f t="shared" si="4"/>
        <v>2025</v>
      </c>
      <c r="W3" t="e" cm="1">
        <f t="array" ref="W3">_xlfn.IFS(U3="January",1,U3="February",2,U3="March",3,U3="April",4,U3="May",5,U3="June",6,U3="July",7,U3="August",8,U3="September",9,U3="October",10,U3="November",11,U3="December",12)</f>
        <v>#N/A</v>
      </c>
    </row>
    <row r="4" spans="1:23" x14ac:dyDescent="0.25">
      <c r="A4" s="2" t="s">
        <v>917</v>
      </c>
      <c r="B4" s="3">
        <v>45658.31627314815</v>
      </c>
      <c r="C4" s="2" t="s">
        <v>918</v>
      </c>
      <c r="D4" s="2" t="s">
        <v>296</v>
      </c>
      <c r="E4" s="2" t="s">
        <v>136</v>
      </c>
      <c r="F4" s="2" t="str" cm="1">
        <f t="array" ref="F4:G4">_xlfn.TEXTSPLIT(E4," - ")</f>
        <v>Tepung Terigu</v>
      </c>
      <c r="G4" s="2" t="str">
        <v>Brand B</v>
      </c>
      <c r="H4" s="5">
        <v>12000</v>
      </c>
      <c r="I4" s="2">
        <v>4</v>
      </c>
      <c r="J4" s="2">
        <v>20</v>
      </c>
      <c r="K4" s="8">
        <f t="shared" si="0"/>
        <v>48000</v>
      </c>
      <c r="L4" s="8">
        <f t="shared" si="1"/>
        <v>9600</v>
      </c>
      <c r="M4" s="8">
        <f t="shared" si="2"/>
        <v>38400</v>
      </c>
      <c r="N4" s="5">
        <v>79000</v>
      </c>
      <c r="O4" s="8">
        <f t="shared" si="3"/>
        <v>117400</v>
      </c>
      <c r="P4" s="2" t="s">
        <v>63</v>
      </c>
      <c r="Q4" s="10" t="str">
        <f>VLOOKUP(A4,Status!A:B,2,0)</f>
        <v>Completed</v>
      </c>
      <c r="R4" s="2" t="s">
        <v>30</v>
      </c>
      <c r="S4" s="2">
        <v>2</v>
      </c>
      <c r="T4" s="2" t="s">
        <v>24</v>
      </c>
      <c r="U4" s="10" t="str">
        <f t="shared" si="5"/>
        <v>Jan</v>
      </c>
      <c r="V4" s="10">
        <f t="shared" si="4"/>
        <v>2025</v>
      </c>
      <c r="W4" t="e" cm="1">
        <f t="array" ref="W4">_xlfn.IFS(U4="January",1,U4="February",2,U4="March",3,U4="April",4,U4="May",5,U4="June",6,U4="July",7,U4="August",8,U4="September",9,U4="October",10,U4="November",11,U4="December",12)</f>
        <v>#N/A</v>
      </c>
    </row>
    <row r="5" spans="1:23" x14ac:dyDescent="0.25">
      <c r="A5" s="2" t="s">
        <v>919</v>
      </c>
      <c r="B5" s="3">
        <v>45658.476342592592</v>
      </c>
      <c r="C5" s="2" t="s">
        <v>203</v>
      </c>
      <c r="D5" s="2" t="s">
        <v>20</v>
      </c>
      <c r="E5" s="2" t="s">
        <v>104</v>
      </c>
      <c r="F5" s="2" t="str" cm="1">
        <f t="array" ref="F5:G5">_xlfn.TEXTSPLIT(E5," - ")</f>
        <v>Bawang Merah</v>
      </c>
      <c r="G5" s="2" t="str">
        <v>Brand A</v>
      </c>
      <c r="H5" s="5">
        <v>30000</v>
      </c>
      <c r="I5" s="2">
        <v>3</v>
      </c>
      <c r="J5" s="2">
        <v>20</v>
      </c>
      <c r="K5" s="8">
        <f t="shared" si="0"/>
        <v>90000</v>
      </c>
      <c r="L5" s="8">
        <f t="shared" si="1"/>
        <v>18000</v>
      </c>
      <c r="M5" s="8">
        <f t="shared" si="2"/>
        <v>72000</v>
      </c>
      <c r="N5" s="5">
        <v>15000</v>
      </c>
      <c r="O5" s="8">
        <f t="shared" si="3"/>
        <v>87000</v>
      </c>
      <c r="P5" s="2" t="s">
        <v>63</v>
      </c>
      <c r="Q5" s="10" t="str">
        <f>VLOOKUP(A5,Status!A:B,2,0)</f>
        <v>Completed</v>
      </c>
      <c r="R5" s="2" t="s">
        <v>82</v>
      </c>
      <c r="S5" s="2">
        <v>4</v>
      </c>
      <c r="T5" s="2" t="s">
        <v>24</v>
      </c>
      <c r="U5" s="10" t="str">
        <f t="shared" si="5"/>
        <v>Jan</v>
      </c>
      <c r="V5" s="10">
        <f t="shared" si="4"/>
        <v>2025</v>
      </c>
      <c r="W5" t="e" cm="1">
        <f t="array" ref="W5">_xlfn.IFS(U5="January",1,U5="February",2,U5="March",3,U5="April",4,U5="May",5,U5="June",6,U5="July",7,U5="August",8,U5="September",9,U5="October",10,U5="November",11,U5="December",12)</f>
        <v>#N/A</v>
      </c>
    </row>
    <row r="6" spans="1:23" x14ac:dyDescent="0.25">
      <c r="A6" s="2" t="s">
        <v>920</v>
      </c>
      <c r="B6" s="3">
        <v>45658.606747685182</v>
      </c>
      <c r="C6" s="2" t="s">
        <v>321</v>
      </c>
      <c r="D6" s="2" t="s">
        <v>80</v>
      </c>
      <c r="E6" s="2" t="s">
        <v>38</v>
      </c>
      <c r="F6" s="2" t="str" cm="1">
        <f t="array" ref="F6:G6">_xlfn.TEXTSPLIT(E6," - ")</f>
        <v>Telur Ayam</v>
      </c>
      <c r="G6" s="2" t="str">
        <v>Brand C</v>
      </c>
      <c r="H6" s="5">
        <v>28000</v>
      </c>
      <c r="I6" s="2">
        <v>5</v>
      </c>
      <c r="J6" s="2">
        <v>5</v>
      </c>
      <c r="K6" s="8">
        <f t="shared" si="0"/>
        <v>140000</v>
      </c>
      <c r="L6" s="8">
        <f t="shared" si="1"/>
        <v>7000</v>
      </c>
      <c r="M6" s="8">
        <f t="shared" si="2"/>
        <v>133000</v>
      </c>
      <c r="N6" s="5">
        <v>74000</v>
      </c>
      <c r="O6" s="8">
        <f t="shared" si="3"/>
        <v>207000</v>
      </c>
      <c r="P6" s="2" t="s">
        <v>35</v>
      </c>
      <c r="Q6" s="10" t="str">
        <f>VLOOKUP(A6,Status!A:B,2,0)</f>
        <v>Completed</v>
      </c>
      <c r="R6" s="2" t="s">
        <v>46</v>
      </c>
      <c r="S6" s="2">
        <v>3</v>
      </c>
      <c r="T6" s="2" t="s">
        <v>24</v>
      </c>
      <c r="U6" s="10" t="str">
        <f t="shared" si="5"/>
        <v>Jan</v>
      </c>
      <c r="V6" s="10">
        <f t="shared" si="4"/>
        <v>2025</v>
      </c>
      <c r="W6" t="e" cm="1">
        <f t="array" ref="W6">_xlfn.IFS(U6="January",1,U6="February",2,U6="March",3,U6="April",4,U6="May",5,U6="June",6,U6="July",7,U6="August",8,U6="September",9,U6="October",10,U6="November",11,U6="December",12)</f>
        <v>#N/A</v>
      </c>
    </row>
    <row r="7" spans="1:23" x14ac:dyDescent="0.25">
      <c r="A7" s="2" t="s">
        <v>921</v>
      </c>
      <c r="B7" s="3">
        <v>45658.663425925923</v>
      </c>
      <c r="C7" s="2" t="s">
        <v>922</v>
      </c>
      <c r="D7" s="2" t="s">
        <v>33</v>
      </c>
      <c r="E7" s="2" t="s">
        <v>110</v>
      </c>
      <c r="F7" s="2" t="str" cm="1">
        <f t="array" ref="F7:G7">_xlfn.TEXTSPLIT(E7," - ")</f>
        <v>Garam</v>
      </c>
      <c r="G7" s="2" t="str">
        <v>Brand C</v>
      </c>
      <c r="H7" s="5">
        <v>6000</v>
      </c>
      <c r="I7" s="2">
        <v>4</v>
      </c>
      <c r="J7" s="2">
        <v>10</v>
      </c>
      <c r="K7" s="8">
        <f t="shared" si="0"/>
        <v>24000</v>
      </c>
      <c r="L7" s="8">
        <f t="shared" si="1"/>
        <v>2400</v>
      </c>
      <c r="M7" s="8">
        <f t="shared" si="2"/>
        <v>21600</v>
      </c>
      <c r="N7" s="5">
        <v>76000</v>
      </c>
      <c r="O7" s="8">
        <f t="shared" si="3"/>
        <v>97600</v>
      </c>
      <c r="P7" s="2" t="s">
        <v>29</v>
      </c>
      <c r="Q7" s="10" t="str">
        <f>VLOOKUP(A7,Status!A:B,2,0)</f>
        <v>Returned</v>
      </c>
      <c r="R7" s="2" t="s">
        <v>36</v>
      </c>
      <c r="S7" s="2">
        <v>3</v>
      </c>
      <c r="T7" s="2" t="s">
        <v>37</v>
      </c>
      <c r="U7" s="10" t="str">
        <f t="shared" si="5"/>
        <v>Jan</v>
      </c>
      <c r="V7" s="10">
        <f t="shared" si="4"/>
        <v>2025</v>
      </c>
      <c r="W7" t="e" cm="1">
        <f t="array" ref="W7">_xlfn.IFS(U7="January",1,U7="February",2,U7="March",3,U7="April",4,U7="May",5,U7="June",6,U7="July",7,U7="August",8,U7="September",9,U7="October",10,U7="November",11,U7="December",12)</f>
        <v>#N/A</v>
      </c>
    </row>
    <row r="8" spans="1:23" x14ac:dyDescent="0.25">
      <c r="A8" s="2" t="s">
        <v>923</v>
      </c>
      <c r="B8" s="3">
        <v>45658.793900462973</v>
      </c>
      <c r="C8" s="2" t="s">
        <v>924</v>
      </c>
      <c r="D8" s="2" t="s">
        <v>20</v>
      </c>
      <c r="E8" s="2" t="s">
        <v>123</v>
      </c>
      <c r="F8" s="2" t="str" cm="1">
        <f t="array" ref="F8:G8">_xlfn.TEXTSPLIT(E8," - ")</f>
        <v>Telur Ayam</v>
      </c>
      <c r="G8" s="2" t="str">
        <v>Brand A</v>
      </c>
      <c r="H8" s="5">
        <v>22000</v>
      </c>
      <c r="I8" s="2">
        <v>1</v>
      </c>
      <c r="J8" s="2">
        <v>10</v>
      </c>
      <c r="K8" s="8">
        <f t="shared" si="0"/>
        <v>22000</v>
      </c>
      <c r="L8" s="8">
        <f t="shared" si="1"/>
        <v>2200</v>
      </c>
      <c r="M8" s="8">
        <f t="shared" si="2"/>
        <v>19800</v>
      </c>
      <c r="N8" s="5">
        <v>15000</v>
      </c>
      <c r="O8" s="8">
        <f t="shared" si="3"/>
        <v>34800</v>
      </c>
      <c r="P8" s="2" t="s">
        <v>35</v>
      </c>
      <c r="Q8" s="10" t="str">
        <f>VLOOKUP(A8,Status!A:B,2,0)</f>
        <v>Completed</v>
      </c>
      <c r="R8" s="2" t="s">
        <v>30</v>
      </c>
      <c r="S8" s="2">
        <v>1</v>
      </c>
      <c r="T8" s="2" t="s">
        <v>37</v>
      </c>
      <c r="U8" s="10" t="str">
        <f t="shared" si="5"/>
        <v>Jan</v>
      </c>
      <c r="V8" s="10">
        <f t="shared" si="4"/>
        <v>2025</v>
      </c>
      <c r="W8" t="e" cm="1">
        <f t="array" ref="W8">_xlfn.IFS(U8="January",1,U8="February",2,U8="March",3,U8="April",4,U8="May",5,U8="June",6,U8="July",7,U8="August",8,U8="September",9,U8="October",10,U8="November",11,U8="December",12)</f>
        <v>#N/A</v>
      </c>
    </row>
    <row r="9" spans="1:23" x14ac:dyDescent="0.25">
      <c r="A9" s="2" t="s">
        <v>925</v>
      </c>
      <c r="B9" s="3">
        <v>45658.815000000002</v>
      </c>
      <c r="C9" s="2" t="s">
        <v>794</v>
      </c>
      <c r="D9" s="2" t="s">
        <v>61</v>
      </c>
      <c r="E9" s="2" t="s">
        <v>144</v>
      </c>
      <c r="F9" s="2" t="str" cm="1">
        <f t="array" ref="F9:G9">_xlfn.TEXTSPLIT(E9," - ")</f>
        <v>Gula Pasir</v>
      </c>
      <c r="G9" s="2" t="str">
        <v>Brand C</v>
      </c>
      <c r="H9" s="5">
        <v>18000</v>
      </c>
      <c r="I9" s="2">
        <v>1</v>
      </c>
      <c r="J9" s="2">
        <v>5</v>
      </c>
      <c r="K9" s="8">
        <f t="shared" si="0"/>
        <v>18000</v>
      </c>
      <c r="L9" s="8">
        <f t="shared" si="1"/>
        <v>900</v>
      </c>
      <c r="M9" s="8">
        <f t="shared" si="2"/>
        <v>17100</v>
      </c>
      <c r="N9" s="5">
        <v>26000</v>
      </c>
      <c r="O9" s="8">
        <f t="shared" si="3"/>
        <v>43100</v>
      </c>
      <c r="P9" s="2" t="s">
        <v>29</v>
      </c>
      <c r="Q9" s="10" t="str">
        <f>VLOOKUP(A9,Status!A:B,2,0)</f>
        <v>Completed</v>
      </c>
      <c r="R9" s="2" t="s">
        <v>30</v>
      </c>
      <c r="S9" s="2">
        <v>5</v>
      </c>
      <c r="T9" s="2" t="s">
        <v>37</v>
      </c>
      <c r="U9" s="10" t="str">
        <f t="shared" si="5"/>
        <v>Jan</v>
      </c>
      <c r="V9" s="10">
        <f t="shared" si="4"/>
        <v>2025</v>
      </c>
      <c r="W9" t="e" cm="1">
        <f t="array" ref="W9">_xlfn.IFS(U9="January",1,U9="February",2,U9="March",3,U9="April",4,U9="May",5,U9="June",6,U9="July",7,U9="August",8,U9="September",9,U9="October",10,U9="November",11,U9="December",12)</f>
        <v>#N/A</v>
      </c>
    </row>
    <row r="10" spans="1:23" x14ac:dyDescent="0.25">
      <c r="A10" s="2" t="s">
        <v>926</v>
      </c>
      <c r="B10" s="3">
        <v>45658.849780092591</v>
      </c>
      <c r="C10" s="2" t="s">
        <v>867</v>
      </c>
      <c r="D10" s="2" t="s">
        <v>20</v>
      </c>
      <c r="E10" s="2" t="s">
        <v>41</v>
      </c>
      <c r="F10" s="2" t="str" cm="1">
        <f t="array" ref="F10:G10">_xlfn.TEXTSPLIT(E10," - ")</f>
        <v>Garam</v>
      </c>
      <c r="G10" s="2" t="str">
        <v>Brand A</v>
      </c>
      <c r="H10" s="5">
        <v>4000</v>
      </c>
      <c r="I10" s="2">
        <v>1</v>
      </c>
      <c r="J10" s="2">
        <v>20</v>
      </c>
      <c r="K10" s="8">
        <f t="shared" si="0"/>
        <v>4000</v>
      </c>
      <c r="L10" s="8">
        <f t="shared" si="1"/>
        <v>800</v>
      </c>
      <c r="M10" s="8">
        <f t="shared" si="2"/>
        <v>3200</v>
      </c>
      <c r="N10" s="5">
        <v>15000</v>
      </c>
      <c r="O10" s="8">
        <f t="shared" si="3"/>
        <v>18200</v>
      </c>
      <c r="P10" s="2" t="s">
        <v>63</v>
      </c>
      <c r="Q10" s="10" t="str">
        <f>VLOOKUP(A10,Status!A:B,2,0)</f>
        <v>Completed</v>
      </c>
      <c r="R10" s="2" t="s">
        <v>46</v>
      </c>
      <c r="S10" s="2">
        <v>3</v>
      </c>
      <c r="T10" s="2" t="s">
        <v>37</v>
      </c>
      <c r="U10" s="10" t="str">
        <f t="shared" si="5"/>
        <v>Jan</v>
      </c>
      <c r="V10" s="10">
        <f t="shared" si="4"/>
        <v>2025</v>
      </c>
      <c r="W10" t="e" cm="1">
        <f t="array" ref="W10">_xlfn.IFS(U10="January",1,U10="February",2,U10="March",3,U10="April",4,U10="May",5,U10="June",6,U10="July",7,U10="August",8,U10="September",9,U10="October",10,U10="November",11,U10="December",12)</f>
        <v>#N/A</v>
      </c>
    </row>
    <row r="11" spans="1:23" x14ac:dyDescent="0.25">
      <c r="A11" s="2" t="s">
        <v>927</v>
      </c>
      <c r="B11" s="3">
        <v>45659.141805555562</v>
      </c>
      <c r="C11" s="2" t="s">
        <v>281</v>
      </c>
      <c r="D11" s="2" t="s">
        <v>151</v>
      </c>
      <c r="E11" s="2" t="s">
        <v>138</v>
      </c>
      <c r="F11" s="2" t="str" cm="1">
        <f t="array" ref="F11:G11">_xlfn.TEXTSPLIT(E11," - ")</f>
        <v>Gula Pasir</v>
      </c>
      <c r="G11" s="2" t="str">
        <v>Brand B</v>
      </c>
      <c r="H11" s="5">
        <v>17000</v>
      </c>
      <c r="I11" s="2">
        <v>1</v>
      </c>
      <c r="J11" s="2">
        <v>10</v>
      </c>
      <c r="K11" s="8">
        <f t="shared" si="0"/>
        <v>17000</v>
      </c>
      <c r="L11" s="8">
        <f t="shared" si="1"/>
        <v>1700</v>
      </c>
      <c r="M11" s="8">
        <f t="shared" si="2"/>
        <v>15300</v>
      </c>
      <c r="N11" s="5">
        <v>55000</v>
      </c>
      <c r="O11" s="8">
        <f t="shared" si="3"/>
        <v>70300</v>
      </c>
      <c r="P11" s="2" t="s">
        <v>22</v>
      </c>
      <c r="Q11" s="10" t="str">
        <f>VLOOKUP(A11,Status!A:B,2,0)</f>
        <v>Returned</v>
      </c>
      <c r="R11" s="2" t="s">
        <v>36</v>
      </c>
      <c r="S11" s="2">
        <v>2</v>
      </c>
      <c r="T11" s="2" t="s">
        <v>24</v>
      </c>
      <c r="U11" s="10" t="str">
        <f t="shared" si="5"/>
        <v>Jan</v>
      </c>
      <c r="V11" s="10">
        <f t="shared" si="4"/>
        <v>2025</v>
      </c>
      <c r="W11" t="e" cm="1">
        <f t="array" ref="W11">_xlfn.IFS(U11="January",1,U11="February",2,U11="March",3,U11="April",4,U11="May",5,U11="June",6,U11="July",7,U11="August",8,U11="September",9,U11="October",10,U11="November",11,U11="December",12)</f>
        <v>#N/A</v>
      </c>
    </row>
    <row r="12" spans="1:23" x14ac:dyDescent="0.25">
      <c r="A12" s="2" t="s">
        <v>928</v>
      </c>
      <c r="B12" s="3">
        <v>45659.260381944441</v>
      </c>
      <c r="C12" s="2" t="s">
        <v>649</v>
      </c>
      <c r="D12" s="2" t="s">
        <v>177</v>
      </c>
      <c r="E12" s="2" t="s">
        <v>67</v>
      </c>
      <c r="F12" s="2" t="str" cm="1">
        <f t="array" ref="F12:G12">_xlfn.TEXTSPLIT(E12," - ")</f>
        <v>Beras</v>
      </c>
      <c r="G12" s="2" t="str">
        <v>Brand B</v>
      </c>
      <c r="H12" s="5">
        <v>15000</v>
      </c>
      <c r="I12" s="2">
        <v>2</v>
      </c>
      <c r="J12" s="2">
        <v>0</v>
      </c>
      <c r="K12" s="8">
        <f t="shared" si="0"/>
        <v>30000</v>
      </c>
      <c r="L12" s="8">
        <f t="shared" si="1"/>
        <v>0</v>
      </c>
      <c r="M12" s="8">
        <f t="shared" si="2"/>
        <v>30000</v>
      </c>
      <c r="N12" s="5">
        <v>56000</v>
      </c>
      <c r="O12" s="8">
        <f t="shared" si="3"/>
        <v>86000</v>
      </c>
      <c r="P12" s="2" t="s">
        <v>63</v>
      </c>
      <c r="Q12" s="10" t="str">
        <f>VLOOKUP(A12,Status!A:B,2,0)</f>
        <v>Completed</v>
      </c>
      <c r="R12" s="2" t="s">
        <v>23</v>
      </c>
      <c r="S12" s="2">
        <v>1</v>
      </c>
      <c r="T12" s="2" t="s">
        <v>24</v>
      </c>
      <c r="U12" s="10" t="str">
        <f t="shared" si="5"/>
        <v>Jan</v>
      </c>
      <c r="V12" s="10">
        <f t="shared" si="4"/>
        <v>2025</v>
      </c>
      <c r="W12" t="e" cm="1">
        <f t="array" ref="W12">_xlfn.IFS(U12="January",1,U12="February",2,U12="March",3,U12="April",4,U12="May",5,U12="June",6,U12="July",7,U12="August",8,U12="September",9,U12="October",10,U12="November",11,U12="December",12)</f>
        <v>#N/A</v>
      </c>
    </row>
    <row r="13" spans="1:23" x14ac:dyDescent="0.25">
      <c r="A13" s="2" t="s">
        <v>929</v>
      </c>
      <c r="B13" s="3">
        <v>45659.447696759264</v>
      </c>
      <c r="C13" s="2" t="s">
        <v>582</v>
      </c>
      <c r="D13" s="2" t="s">
        <v>435</v>
      </c>
      <c r="E13" s="2" t="s">
        <v>58</v>
      </c>
      <c r="F13" s="2" t="str" cm="1">
        <f t="array" ref="F13:G13">_xlfn.TEXTSPLIT(E13," - ")</f>
        <v>Gula Pasir</v>
      </c>
      <c r="G13" s="2" t="str">
        <v>Brand A</v>
      </c>
      <c r="H13" s="5">
        <v>16000</v>
      </c>
      <c r="I13" s="2">
        <v>2</v>
      </c>
      <c r="J13" s="2">
        <v>10</v>
      </c>
      <c r="K13" s="8">
        <f t="shared" si="0"/>
        <v>32000</v>
      </c>
      <c r="L13" s="8">
        <f t="shared" si="1"/>
        <v>3200</v>
      </c>
      <c r="M13" s="8">
        <f t="shared" si="2"/>
        <v>28800</v>
      </c>
      <c r="N13" s="5">
        <v>67000</v>
      </c>
      <c r="O13" s="8">
        <f t="shared" si="3"/>
        <v>95800</v>
      </c>
      <c r="P13" s="2" t="s">
        <v>22</v>
      </c>
      <c r="Q13" s="10" t="str">
        <f>VLOOKUP(A13,Status!A:B,2,0)</f>
        <v>Completed</v>
      </c>
      <c r="R13" s="2" t="s">
        <v>30</v>
      </c>
      <c r="S13" s="2">
        <v>3</v>
      </c>
      <c r="T13" s="2" t="s">
        <v>24</v>
      </c>
      <c r="U13" s="10" t="str">
        <f t="shared" si="5"/>
        <v>Jan</v>
      </c>
      <c r="V13" s="10">
        <f t="shared" si="4"/>
        <v>2025</v>
      </c>
      <c r="W13" t="e" cm="1">
        <f t="array" ref="W13">_xlfn.IFS(U13="January",1,U13="February",2,U13="March",3,U13="April",4,U13="May",5,U13="June",6,U13="July",7,U13="August",8,U13="September",9,U13="October",10,U13="November",11,U13="December",12)</f>
        <v>#N/A</v>
      </c>
    </row>
    <row r="14" spans="1:23" x14ac:dyDescent="0.25">
      <c r="A14" s="2" t="s">
        <v>929</v>
      </c>
      <c r="B14" s="3">
        <v>45659.447696759264</v>
      </c>
      <c r="C14" s="2" t="s">
        <v>582</v>
      </c>
      <c r="D14" s="2" t="s">
        <v>435</v>
      </c>
      <c r="E14" s="2" t="s">
        <v>21</v>
      </c>
      <c r="F14" s="2" t="str" cm="1">
        <f t="array" ref="F14:G14">_xlfn.TEXTSPLIT(E14," - ")</f>
        <v>Daging Ayam</v>
      </c>
      <c r="G14" s="2" t="str">
        <v>Brand C</v>
      </c>
      <c r="H14" s="5">
        <v>45000</v>
      </c>
      <c r="I14" s="2">
        <v>1</v>
      </c>
      <c r="J14" s="2">
        <v>20</v>
      </c>
      <c r="K14" s="8">
        <f t="shared" si="0"/>
        <v>45000</v>
      </c>
      <c r="L14" s="8">
        <f t="shared" si="1"/>
        <v>9000</v>
      </c>
      <c r="M14" s="8">
        <f t="shared" si="2"/>
        <v>36000</v>
      </c>
      <c r="N14" s="5">
        <v>0</v>
      </c>
      <c r="O14" s="8">
        <f t="shared" si="3"/>
        <v>36000</v>
      </c>
      <c r="P14" s="2" t="s">
        <v>22</v>
      </c>
      <c r="Q14" s="10" t="str">
        <f>VLOOKUP(A14,Status!A:B,2,0)</f>
        <v>Completed</v>
      </c>
      <c r="R14" s="2" t="s">
        <v>30</v>
      </c>
      <c r="S14" s="2">
        <v>3</v>
      </c>
      <c r="T14" s="2" t="s">
        <v>24</v>
      </c>
      <c r="U14" s="10" t="str">
        <f t="shared" si="5"/>
        <v>Jan</v>
      </c>
      <c r="V14" s="10">
        <f t="shared" si="4"/>
        <v>2025</v>
      </c>
      <c r="W14" t="e" cm="1">
        <f t="array" ref="W14">_xlfn.IFS(U14="January",1,U14="February",2,U14="March",3,U14="April",4,U14="May",5,U14="June",6,U14="July",7,U14="August",8,U14="September",9,U14="October",10,U14="November",11,U14="December",12)</f>
        <v>#N/A</v>
      </c>
    </row>
    <row r="15" spans="1:23" x14ac:dyDescent="0.25">
      <c r="A15" s="2" t="s">
        <v>930</v>
      </c>
      <c r="B15" s="3">
        <v>45659.823842592603</v>
      </c>
      <c r="C15" s="2" t="s">
        <v>468</v>
      </c>
      <c r="D15" s="2" t="s">
        <v>163</v>
      </c>
      <c r="E15" s="2" t="s">
        <v>190</v>
      </c>
      <c r="F15" s="2" t="str" cm="1">
        <f t="array" ref="F15:G15">_xlfn.TEXTSPLIT(E15," - ")</f>
        <v>Bawang Merah</v>
      </c>
      <c r="G15" s="2" t="str">
        <v>Brand B</v>
      </c>
      <c r="H15" s="5">
        <v>35000</v>
      </c>
      <c r="I15" s="2">
        <v>4</v>
      </c>
      <c r="J15" s="2">
        <v>15</v>
      </c>
      <c r="K15" s="8">
        <f t="shared" si="0"/>
        <v>140000</v>
      </c>
      <c r="L15" s="8">
        <f t="shared" si="1"/>
        <v>21000</v>
      </c>
      <c r="M15" s="8">
        <f t="shared" si="2"/>
        <v>119000</v>
      </c>
      <c r="N15" s="5">
        <v>50000</v>
      </c>
      <c r="O15" s="8">
        <f t="shared" si="3"/>
        <v>169000</v>
      </c>
      <c r="P15" s="2" t="s">
        <v>35</v>
      </c>
      <c r="Q15" s="10" t="str">
        <f>VLOOKUP(A15,Status!A:B,2,0)</f>
        <v>Completed</v>
      </c>
      <c r="R15" s="2" t="s">
        <v>46</v>
      </c>
      <c r="S15" s="2">
        <v>2</v>
      </c>
      <c r="T15" s="2" t="s">
        <v>24</v>
      </c>
      <c r="U15" s="10" t="str">
        <f t="shared" si="5"/>
        <v>Jan</v>
      </c>
      <c r="V15" s="10">
        <f t="shared" si="4"/>
        <v>2025</v>
      </c>
      <c r="W15" t="e" cm="1">
        <f t="array" ref="W15">_xlfn.IFS(U15="January",1,U15="February",2,U15="March",3,U15="April",4,U15="May",5,U15="June",6,U15="July",7,U15="August",8,U15="September",9,U15="October",10,U15="November",11,U15="December",12)</f>
        <v>#N/A</v>
      </c>
    </row>
    <row r="16" spans="1:23" x14ac:dyDescent="0.25">
      <c r="A16" s="2" t="s">
        <v>931</v>
      </c>
      <c r="B16" s="3">
        <v>45659.885300925933</v>
      </c>
      <c r="C16" s="2" t="s">
        <v>398</v>
      </c>
      <c r="D16" s="2" t="s">
        <v>182</v>
      </c>
      <c r="E16" s="2" t="s">
        <v>75</v>
      </c>
      <c r="F16" s="2" t="str" cm="1">
        <f t="array" ref="F16:G16">_xlfn.TEXTSPLIT(E16," - ")</f>
        <v>Susu Bubuk</v>
      </c>
      <c r="G16" s="2" t="str">
        <v>Brand C</v>
      </c>
      <c r="H16" s="5">
        <v>55000</v>
      </c>
      <c r="I16" s="2">
        <v>1</v>
      </c>
      <c r="J16" s="2">
        <v>10</v>
      </c>
      <c r="K16" s="8">
        <f t="shared" si="0"/>
        <v>55000</v>
      </c>
      <c r="L16" s="8">
        <f t="shared" si="1"/>
        <v>5500</v>
      </c>
      <c r="M16" s="8">
        <f t="shared" si="2"/>
        <v>49500</v>
      </c>
      <c r="N16" s="5">
        <v>48000</v>
      </c>
      <c r="O16" s="8">
        <f t="shared" si="3"/>
        <v>97500</v>
      </c>
      <c r="P16" s="2" t="s">
        <v>22</v>
      </c>
      <c r="Q16" s="10" t="str">
        <f>VLOOKUP(A16,Status!A:B,2,0)</f>
        <v>Returned</v>
      </c>
      <c r="R16" s="2" t="s">
        <v>82</v>
      </c>
      <c r="S16" s="2">
        <v>2</v>
      </c>
      <c r="T16" s="2" t="s">
        <v>24</v>
      </c>
      <c r="U16" s="10" t="str">
        <f t="shared" si="5"/>
        <v>Jan</v>
      </c>
      <c r="V16" s="10">
        <f t="shared" si="4"/>
        <v>2025</v>
      </c>
      <c r="W16" t="e" cm="1">
        <f t="array" ref="W16">_xlfn.IFS(U16="January",1,U16="February",2,U16="March",3,U16="April",4,U16="May",5,U16="June",6,U16="July",7,U16="August",8,U16="September",9,U16="October",10,U16="November",11,U16="December",12)</f>
        <v>#N/A</v>
      </c>
    </row>
    <row r="17" spans="1:23" x14ac:dyDescent="0.25">
      <c r="A17" s="2" t="s">
        <v>932</v>
      </c>
      <c r="B17" s="3">
        <v>45660.335324074083</v>
      </c>
      <c r="C17" s="2" t="s">
        <v>333</v>
      </c>
      <c r="D17" s="2" t="s">
        <v>107</v>
      </c>
      <c r="E17" s="2" t="s">
        <v>58</v>
      </c>
      <c r="F17" s="2" t="str" cm="1">
        <f t="array" ref="F17:G17">_xlfn.TEXTSPLIT(E17," - ")</f>
        <v>Gula Pasir</v>
      </c>
      <c r="G17" s="2" t="str">
        <v>Brand A</v>
      </c>
      <c r="H17" s="5">
        <v>16000</v>
      </c>
      <c r="I17" s="2">
        <v>1</v>
      </c>
      <c r="J17" s="2">
        <v>15</v>
      </c>
      <c r="K17" s="8">
        <f t="shared" si="0"/>
        <v>16000</v>
      </c>
      <c r="L17" s="8">
        <f t="shared" si="1"/>
        <v>2400</v>
      </c>
      <c r="M17" s="8">
        <f t="shared" si="2"/>
        <v>13600</v>
      </c>
      <c r="N17" s="5">
        <v>97000</v>
      </c>
      <c r="O17" s="8">
        <f t="shared" si="3"/>
        <v>110600</v>
      </c>
      <c r="P17" s="2" t="s">
        <v>63</v>
      </c>
      <c r="Q17" s="10" t="str">
        <f>VLOOKUP(A17,Status!A:B,2,0)</f>
        <v>Returned</v>
      </c>
      <c r="R17" s="2" t="s">
        <v>36</v>
      </c>
      <c r="S17" s="2">
        <v>4</v>
      </c>
      <c r="T17" s="2" t="s">
        <v>37</v>
      </c>
      <c r="U17" s="10" t="str">
        <f t="shared" si="5"/>
        <v>Jan</v>
      </c>
      <c r="V17" s="10">
        <f t="shared" si="4"/>
        <v>2025</v>
      </c>
      <c r="W17" t="e" cm="1">
        <f t="array" ref="W17">_xlfn.IFS(U17="January",1,U17="February",2,U17="March",3,U17="April",4,U17="May",5,U17="June",6,U17="July",7,U17="August",8,U17="September",9,U17="October",10,U17="November",11,U17="December",12)</f>
        <v>#N/A</v>
      </c>
    </row>
    <row r="18" spans="1:23" x14ac:dyDescent="0.25">
      <c r="A18" s="2" t="s">
        <v>933</v>
      </c>
      <c r="B18" s="3">
        <v>45660.382800925923</v>
      </c>
      <c r="C18" s="2" t="s">
        <v>537</v>
      </c>
      <c r="D18" s="2" t="s">
        <v>57</v>
      </c>
      <c r="E18" s="2" t="s">
        <v>45</v>
      </c>
      <c r="F18" s="2" t="str" cm="1">
        <f t="array" ref="F18:G18">_xlfn.TEXTSPLIT(E18," - ")</f>
        <v>Daging Ayam</v>
      </c>
      <c r="G18" s="2" t="str">
        <v>Brand B</v>
      </c>
      <c r="H18" s="5">
        <v>40000</v>
      </c>
      <c r="I18" s="2">
        <v>4</v>
      </c>
      <c r="J18" s="2">
        <v>15</v>
      </c>
      <c r="K18" s="8">
        <f t="shared" si="0"/>
        <v>160000</v>
      </c>
      <c r="L18" s="8">
        <f t="shared" si="1"/>
        <v>24000</v>
      </c>
      <c r="M18" s="8">
        <f t="shared" si="2"/>
        <v>136000</v>
      </c>
      <c r="N18" s="5">
        <v>80000</v>
      </c>
      <c r="O18" s="8">
        <f t="shared" si="3"/>
        <v>216000</v>
      </c>
      <c r="P18" s="2" t="s">
        <v>63</v>
      </c>
      <c r="Q18" s="10" t="str">
        <f>VLOOKUP(A18,Status!A:B,2,0)</f>
        <v>Completed</v>
      </c>
      <c r="R18" s="2" t="s">
        <v>82</v>
      </c>
      <c r="S18" s="2">
        <v>5</v>
      </c>
      <c r="T18" s="2" t="s">
        <v>37</v>
      </c>
      <c r="U18" s="10" t="str">
        <f t="shared" si="5"/>
        <v>Jan</v>
      </c>
      <c r="V18" s="10">
        <f t="shared" si="4"/>
        <v>2025</v>
      </c>
      <c r="W18" t="e" cm="1">
        <f t="array" ref="W18">_xlfn.IFS(U18="January",1,U18="February",2,U18="March",3,U18="April",4,U18="May",5,U18="June",6,U18="July",7,U18="August",8,U18="September",9,U18="October",10,U18="November",11,U18="December",12)</f>
        <v>#N/A</v>
      </c>
    </row>
    <row r="19" spans="1:23" x14ac:dyDescent="0.25">
      <c r="A19" s="2" t="s">
        <v>934</v>
      </c>
      <c r="B19" s="3">
        <v>45660.525092592587</v>
      </c>
      <c r="C19" s="2" t="s">
        <v>642</v>
      </c>
      <c r="D19" s="2" t="s">
        <v>160</v>
      </c>
      <c r="E19" s="2" t="s">
        <v>190</v>
      </c>
      <c r="F19" s="2" t="str" cm="1">
        <f t="array" ref="F19:G19">_xlfn.TEXTSPLIT(E19," - ")</f>
        <v>Bawang Merah</v>
      </c>
      <c r="G19" s="2" t="str">
        <v>Brand B</v>
      </c>
      <c r="H19" s="5">
        <v>35000</v>
      </c>
      <c r="I19" s="2">
        <v>4</v>
      </c>
      <c r="J19" s="2">
        <v>15</v>
      </c>
      <c r="K19" s="8">
        <f t="shared" si="0"/>
        <v>140000</v>
      </c>
      <c r="L19" s="8">
        <f t="shared" si="1"/>
        <v>21000</v>
      </c>
      <c r="M19" s="8">
        <f t="shared" si="2"/>
        <v>119000</v>
      </c>
      <c r="N19" s="5">
        <v>68000</v>
      </c>
      <c r="O19" s="8">
        <f t="shared" si="3"/>
        <v>187000</v>
      </c>
      <c r="P19" s="2" t="s">
        <v>35</v>
      </c>
      <c r="Q19" s="10" t="str">
        <f>VLOOKUP(A19,Status!A:B,2,0)</f>
        <v>Completed</v>
      </c>
      <c r="R19" s="2" t="s">
        <v>30</v>
      </c>
      <c r="S19" s="2">
        <v>4</v>
      </c>
      <c r="T19" s="2" t="s">
        <v>24</v>
      </c>
      <c r="U19" s="10" t="str">
        <f t="shared" si="5"/>
        <v>Jan</v>
      </c>
      <c r="V19" s="10">
        <f t="shared" si="4"/>
        <v>2025</v>
      </c>
      <c r="W19" t="e" cm="1">
        <f t="array" ref="W19">_xlfn.IFS(U19="January",1,U19="February",2,U19="March",3,U19="April",4,U19="May",5,U19="June",6,U19="July",7,U19="August",8,U19="September",9,U19="October",10,U19="November",11,U19="December",12)</f>
        <v>#N/A</v>
      </c>
    </row>
    <row r="20" spans="1:23" x14ac:dyDescent="0.25">
      <c r="A20" s="2" t="s">
        <v>934</v>
      </c>
      <c r="B20" s="3">
        <v>45660.525092592587</v>
      </c>
      <c r="C20" s="2" t="s">
        <v>642</v>
      </c>
      <c r="D20" s="2" t="s">
        <v>160</v>
      </c>
      <c r="E20" s="2" t="s">
        <v>138</v>
      </c>
      <c r="F20" s="2" t="str" cm="1">
        <f t="array" ref="F20:G20">_xlfn.TEXTSPLIT(E20," - ")</f>
        <v>Gula Pasir</v>
      </c>
      <c r="G20" s="2" t="str">
        <v>Brand B</v>
      </c>
      <c r="H20" s="5">
        <v>17000</v>
      </c>
      <c r="I20" s="2">
        <v>5</v>
      </c>
      <c r="J20" s="2">
        <v>20</v>
      </c>
      <c r="K20" s="8">
        <f t="shared" si="0"/>
        <v>85000</v>
      </c>
      <c r="L20" s="8">
        <f t="shared" si="1"/>
        <v>17000</v>
      </c>
      <c r="M20" s="8">
        <f t="shared" si="2"/>
        <v>68000</v>
      </c>
      <c r="N20" s="5">
        <v>0</v>
      </c>
      <c r="O20" s="8">
        <f t="shared" si="3"/>
        <v>68000</v>
      </c>
      <c r="P20" s="2" t="s">
        <v>35</v>
      </c>
      <c r="Q20" s="10" t="str">
        <f>VLOOKUP(A20,Status!A:B,2,0)</f>
        <v>Completed</v>
      </c>
      <c r="R20" s="2" t="s">
        <v>30</v>
      </c>
      <c r="S20" s="2">
        <v>4</v>
      </c>
      <c r="T20" s="2" t="s">
        <v>24</v>
      </c>
      <c r="U20" s="10" t="str">
        <f t="shared" si="5"/>
        <v>Jan</v>
      </c>
      <c r="V20" s="10">
        <f t="shared" si="4"/>
        <v>2025</v>
      </c>
      <c r="W20" t="e" cm="1">
        <f t="array" ref="W20">_xlfn.IFS(U20="January",1,U20="February",2,U20="March",3,U20="April",4,U20="May",5,U20="June",6,U20="July",7,U20="August",8,U20="September",9,U20="October",10,U20="November",11,U20="December",12)</f>
        <v>#N/A</v>
      </c>
    </row>
    <row r="21" spans="1:23" ht="15.75" customHeight="1" x14ac:dyDescent="0.25">
      <c r="A21" s="2" t="s">
        <v>935</v>
      </c>
      <c r="B21" s="3">
        <v>45660.566180555557</v>
      </c>
      <c r="C21" s="2" t="s">
        <v>400</v>
      </c>
      <c r="D21" s="2" t="s">
        <v>27</v>
      </c>
      <c r="E21" s="2" t="s">
        <v>75</v>
      </c>
      <c r="F21" s="2" t="str" cm="1">
        <f t="array" ref="F21:G21">_xlfn.TEXTSPLIT(E21," - ")</f>
        <v>Susu Bubuk</v>
      </c>
      <c r="G21" s="2" t="str">
        <v>Brand C</v>
      </c>
      <c r="H21" s="5">
        <v>55000</v>
      </c>
      <c r="I21" s="2">
        <v>4</v>
      </c>
      <c r="J21" s="2">
        <v>0</v>
      </c>
      <c r="K21" s="8">
        <f t="shared" si="0"/>
        <v>220000</v>
      </c>
      <c r="L21" s="8">
        <f t="shared" si="1"/>
        <v>0</v>
      </c>
      <c r="M21" s="8">
        <f t="shared" si="2"/>
        <v>220000</v>
      </c>
      <c r="N21" s="5">
        <v>17000</v>
      </c>
      <c r="O21" s="8">
        <f t="shared" si="3"/>
        <v>237000</v>
      </c>
      <c r="P21" s="2" t="s">
        <v>35</v>
      </c>
      <c r="Q21" s="10" t="str">
        <f>VLOOKUP(A21,Status!A:B,2,0)</f>
        <v>Completed</v>
      </c>
      <c r="R21" s="2" t="s">
        <v>36</v>
      </c>
      <c r="S21" s="2">
        <v>3</v>
      </c>
      <c r="T21" s="2" t="s">
        <v>24</v>
      </c>
      <c r="U21" s="10" t="str">
        <f t="shared" si="5"/>
        <v>Jan</v>
      </c>
      <c r="V21" s="10">
        <f t="shared" si="4"/>
        <v>2025</v>
      </c>
      <c r="W21" t="e" cm="1">
        <f t="array" ref="W21">_xlfn.IFS(U21="January",1,U21="February",2,U21="March",3,U21="April",4,U21="May",5,U21="June",6,U21="July",7,U21="August",8,U21="September",9,U21="October",10,U21="November",11,U21="December",12)</f>
        <v>#N/A</v>
      </c>
    </row>
    <row r="22" spans="1:23" ht="15.75" customHeight="1" x14ac:dyDescent="0.25">
      <c r="A22" s="2" t="s">
        <v>936</v>
      </c>
      <c r="B22" s="3">
        <v>45660.567129629628</v>
      </c>
      <c r="C22" s="2" t="s">
        <v>626</v>
      </c>
      <c r="D22" s="2" t="s">
        <v>296</v>
      </c>
      <c r="E22" s="2" t="s">
        <v>41</v>
      </c>
      <c r="F22" s="2" t="str" cm="1">
        <f t="array" ref="F22:G22">_xlfn.TEXTSPLIT(E22," - ")</f>
        <v>Garam</v>
      </c>
      <c r="G22" s="2" t="str">
        <v>Brand A</v>
      </c>
      <c r="H22" s="5">
        <v>4000</v>
      </c>
      <c r="I22" s="2">
        <v>5</v>
      </c>
      <c r="J22" s="2">
        <v>10</v>
      </c>
      <c r="K22" s="8">
        <f t="shared" si="0"/>
        <v>20000</v>
      </c>
      <c r="L22" s="8">
        <f t="shared" si="1"/>
        <v>2000</v>
      </c>
      <c r="M22" s="8">
        <f t="shared" si="2"/>
        <v>18000</v>
      </c>
      <c r="N22" s="5">
        <v>79000</v>
      </c>
      <c r="O22" s="8">
        <f t="shared" si="3"/>
        <v>97000</v>
      </c>
      <c r="P22" s="2" t="s">
        <v>63</v>
      </c>
      <c r="Q22" s="10" t="str">
        <f>VLOOKUP(A22,Status!A:B,2,0)</f>
        <v>Completed</v>
      </c>
      <c r="R22" s="2" t="s">
        <v>30</v>
      </c>
      <c r="S22" s="2">
        <v>2</v>
      </c>
      <c r="T22" s="2" t="s">
        <v>24</v>
      </c>
      <c r="U22" s="10" t="str">
        <f t="shared" si="5"/>
        <v>Jan</v>
      </c>
      <c r="V22" s="10">
        <f t="shared" si="4"/>
        <v>2025</v>
      </c>
      <c r="W22" t="e" cm="1">
        <f t="array" ref="W22">_xlfn.IFS(U22="January",1,U22="February",2,U22="March",3,U22="April",4,U22="May",5,U22="June",6,U22="July",7,U22="August",8,U22="September",9,U22="October",10,U22="November",11,U22="December",12)</f>
        <v>#N/A</v>
      </c>
    </row>
    <row r="23" spans="1:23" ht="15.75" customHeight="1" x14ac:dyDescent="0.25">
      <c r="A23" s="2" t="s">
        <v>937</v>
      </c>
      <c r="B23" s="3">
        <v>45660.773831018523</v>
      </c>
      <c r="C23" s="2" t="s">
        <v>722</v>
      </c>
      <c r="D23" s="2" t="s">
        <v>57</v>
      </c>
      <c r="E23" s="2" t="s">
        <v>85</v>
      </c>
      <c r="F23" s="2" t="str" cm="1">
        <f t="array" ref="F23:G23">_xlfn.TEXTSPLIT(E23," - ")</f>
        <v>Daging Ayam</v>
      </c>
      <c r="G23" s="2" t="str">
        <v>Brand A</v>
      </c>
      <c r="H23" s="5">
        <v>35000</v>
      </c>
      <c r="I23" s="2">
        <v>1</v>
      </c>
      <c r="J23" s="2">
        <v>5</v>
      </c>
      <c r="K23" s="8">
        <f t="shared" si="0"/>
        <v>35000</v>
      </c>
      <c r="L23" s="8">
        <f t="shared" si="1"/>
        <v>1750</v>
      </c>
      <c r="M23" s="8">
        <f t="shared" si="2"/>
        <v>33250</v>
      </c>
      <c r="N23" s="5">
        <v>80000</v>
      </c>
      <c r="O23" s="8">
        <f t="shared" si="3"/>
        <v>113250</v>
      </c>
      <c r="P23" s="2" t="s">
        <v>35</v>
      </c>
      <c r="Q23" s="10" t="str">
        <f>VLOOKUP(A23,Status!A:B,2,0)</f>
        <v>Completed</v>
      </c>
      <c r="R23" s="2" t="s">
        <v>46</v>
      </c>
      <c r="S23" s="2">
        <v>2</v>
      </c>
      <c r="T23" s="2" t="s">
        <v>24</v>
      </c>
      <c r="U23" s="10" t="str">
        <f t="shared" si="5"/>
        <v>Jan</v>
      </c>
      <c r="V23" s="10">
        <f t="shared" si="4"/>
        <v>2025</v>
      </c>
      <c r="W23" t="e" cm="1">
        <f t="array" ref="W23">_xlfn.IFS(U23="January",1,U23="February",2,U23="March",3,U23="April",4,U23="May",5,U23="June",6,U23="July",7,U23="August",8,U23="September",9,U23="October",10,U23="November",11,U23="December",12)</f>
        <v>#N/A</v>
      </c>
    </row>
    <row r="24" spans="1:23" ht="15.75" customHeight="1" x14ac:dyDescent="0.25">
      <c r="A24" s="2" t="s">
        <v>938</v>
      </c>
      <c r="B24" s="3">
        <v>45661.125057870369</v>
      </c>
      <c r="C24" s="2" t="s">
        <v>457</v>
      </c>
      <c r="D24" s="2" t="s">
        <v>80</v>
      </c>
      <c r="E24" s="2" t="s">
        <v>41</v>
      </c>
      <c r="F24" s="2" t="str" cm="1">
        <f t="array" ref="F24:G24">_xlfn.TEXTSPLIT(E24," - ")</f>
        <v>Garam</v>
      </c>
      <c r="G24" s="2" t="str">
        <v>Brand A</v>
      </c>
      <c r="H24" s="5">
        <v>4000</v>
      </c>
      <c r="I24" s="2">
        <v>3</v>
      </c>
      <c r="J24" s="2">
        <v>15</v>
      </c>
      <c r="K24" s="8">
        <f t="shared" si="0"/>
        <v>12000</v>
      </c>
      <c r="L24" s="8">
        <f t="shared" si="1"/>
        <v>1800</v>
      </c>
      <c r="M24" s="8">
        <f t="shared" si="2"/>
        <v>10200</v>
      </c>
      <c r="N24" s="5">
        <v>74000</v>
      </c>
      <c r="O24" s="8">
        <f t="shared" si="3"/>
        <v>84200</v>
      </c>
      <c r="P24" s="2" t="s">
        <v>35</v>
      </c>
      <c r="Q24" s="10" t="str">
        <f>VLOOKUP(A24,Status!A:B,2,0)</f>
        <v>Completed</v>
      </c>
      <c r="R24" s="2" t="s">
        <v>23</v>
      </c>
      <c r="S24" s="2">
        <v>1</v>
      </c>
      <c r="T24" s="2" t="s">
        <v>24</v>
      </c>
      <c r="U24" s="10" t="str">
        <f t="shared" si="5"/>
        <v>Jan</v>
      </c>
      <c r="V24" s="10">
        <f t="shared" si="4"/>
        <v>2025</v>
      </c>
      <c r="W24" t="e" cm="1">
        <f t="array" ref="W24">_xlfn.IFS(U24="January",1,U24="February",2,U24="March",3,U24="April",4,U24="May",5,U24="June",6,U24="July",7,U24="August",8,U24="September",9,U24="October",10,U24="November",11,U24="December",12)</f>
        <v>#N/A</v>
      </c>
    </row>
    <row r="25" spans="1:23" ht="15.75" customHeight="1" x14ac:dyDescent="0.25">
      <c r="A25" s="2" t="s">
        <v>938</v>
      </c>
      <c r="B25" s="3">
        <v>45661.125057870369</v>
      </c>
      <c r="C25" s="2" t="s">
        <v>457</v>
      </c>
      <c r="D25" s="2" t="s">
        <v>80</v>
      </c>
      <c r="E25" s="2" t="s">
        <v>138</v>
      </c>
      <c r="F25" s="2" t="str" cm="1">
        <f t="array" ref="F25:G25">_xlfn.TEXTSPLIT(E25," - ")</f>
        <v>Gula Pasir</v>
      </c>
      <c r="G25" s="2" t="str">
        <v>Brand B</v>
      </c>
      <c r="H25" s="5">
        <v>17000</v>
      </c>
      <c r="I25" s="2">
        <v>2</v>
      </c>
      <c r="J25" s="2">
        <v>10</v>
      </c>
      <c r="K25" s="8">
        <f t="shared" si="0"/>
        <v>34000</v>
      </c>
      <c r="L25" s="8">
        <f t="shared" si="1"/>
        <v>3400</v>
      </c>
      <c r="M25" s="8">
        <f t="shared" si="2"/>
        <v>30600</v>
      </c>
      <c r="N25" s="5">
        <v>0</v>
      </c>
      <c r="O25" s="8">
        <f t="shared" si="3"/>
        <v>30600</v>
      </c>
      <c r="P25" s="2" t="s">
        <v>35</v>
      </c>
      <c r="Q25" s="10" t="str">
        <f>VLOOKUP(A25,Status!A:B,2,0)</f>
        <v>Completed</v>
      </c>
      <c r="R25" s="2" t="s">
        <v>23</v>
      </c>
      <c r="S25" s="2">
        <v>1</v>
      </c>
      <c r="T25" s="2" t="s">
        <v>24</v>
      </c>
      <c r="U25" s="10" t="str">
        <f t="shared" si="5"/>
        <v>Jan</v>
      </c>
      <c r="V25" s="10">
        <f t="shared" si="4"/>
        <v>2025</v>
      </c>
      <c r="W25" t="e" cm="1">
        <f t="array" ref="W25">_xlfn.IFS(U25="January",1,U25="February",2,U25="March",3,U25="April",4,U25="May",5,U25="June",6,U25="July",7,U25="August",8,U25="September",9,U25="October",10,U25="November",11,U25="December",12)</f>
        <v>#N/A</v>
      </c>
    </row>
    <row r="26" spans="1:23" ht="15.75" customHeight="1" x14ac:dyDescent="0.25">
      <c r="A26" s="2" t="s">
        <v>939</v>
      </c>
      <c r="B26" s="3">
        <v>45661.288460648153</v>
      </c>
      <c r="C26" s="2" t="s">
        <v>741</v>
      </c>
      <c r="D26" s="2" t="s">
        <v>189</v>
      </c>
      <c r="E26" s="2" t="s">
        <v>28</v>
      </c>
      <c r="F26" s="2" t="str" cm="1">
        <f t="array" ref="F26:G26">_xlfn.TEXTSPLIT(E26," - ")</f>
        <v>Garam</v>
      </c>
      <c r="G26" s="2" t="str">
        <v>Brand B</v>
      </c>
      <c r="H26" s="5">
        <v>5000</v>
      </c>
      <c r="I26" s="2">
        <v>5</v>
      </c>
      <c r="J26" s="2">
        <v>0</v>
      </c>
      <c r="K26" s="8">
        <f t="shared" si="0"/>
        <v>25000</v>
      </c>
      <c r="L26" s="8">
        <f t="shared" si="1"/>
        <v>0</v>
      </c>
      <c r="M26" s="8">
        <f t="shared" si="2"/>
        <v>25000</v>
      </c>
      <c r="N26" s="5">
        <v>57000</v>
      </c>
      <c r="O26" s="8">
        <f t="shared" si="3"/>
        <v>82000</v>
      </c>
      <c r="P26" s="2" t="s">
        <v>22</v>
      </c>
      <c r="Q26" s="10" t="str">
        <f>VLOOKUP(A26,Status!A:B,2,0)</f>
        <v>Completed</v>
      </c>
      <c r="R26" s="2" t="s">
        <v>82</v>
      </c>
      <c r="S26" s="2">
        <v>1</v>
      </c>
      <c r="T26" s="2" t="s">
        <v>24</v>
      </c>
      <c r="U26" s="10" t="str">
        <f t="shared" si="5"/>
        <v>Jan</v>
      </c>
      <c r="V26" s="10">
        <f t="shared" si="4"/>
        <v>2025</v>
      </c>
      <c r="W26" t="e" cm="1">
        <f t="array" ref="W26">_xlfn.IFS(U26="January",1,U26="February",2,U26="March",3,U26="April",4,U26="May",5,U26="June",6,U26="July",7,U26="August",8,U26="September",9,U26="October",10,U26="November",11,U26="December",12)</f>
        <v>#N/A</v>
      </c>
    </row>
    <row r="27" spans="1:23" ht="15.75" customHeight="1" x14ac:dyDescent="0.25">
      <c r="A27" s="2" t="s">
        <v>940</v>
      </c>
      <c r="B27" s="3">
        <v>45661.564328703702</v>
      </c>
      <c r="C27" s="2" t="s">
        <v>305</v>
      </c>
      <c r="D27" s="2" t="s">
        <v>143</v>
      </c>
      <c r="E27" s="2" t="s">
        <v>58</v>
      </c>
      <c r="F27" s="2" t="str" cm="1">
        <f t="array" ref="F27:G27">_xlfn.TEXTSPLIT(E27," - ")</f>
        <v>Gula Pasir</v>
      </c>
      <c r="G27" s="2" t="str">
        <v>Brand A</v>
      </c>
      <c r="H27" s="5">
        <v>16000</v>
      </c>
      <c r="I27" s="2">
        <v>1</v>
      </c>
      <c r="J27" s="2">
        <v>5</v>
      </c>
      <c r="K27" s="8">
        <f t="shared" si="0"/>
        <v>16000</v>
      </c>
      <c r="L27" s="8">
        <f t="shared" si="1"/>
        <v>800</v>
      </c>
      <c r="M27" s="8">
        <f t="shared" si="2"/>
        <v>15200</v>
      </c>
      <c r="N27" s="5">
        <v>50000</v>
      </c>
      <c r="O27" s="8">
        <f t="shared" si="3"/>
        <v>65200</v>
      </c>
      <c r="P27" s="2" t="s">
        <v>63</v>
      </c>
      <c r="Q27" s="10" t="str">
        <f>VLOOKUP(A27,Status!A:B,2,0)</f>
        <v>Completed</v>
      </c>
      <c r="R27" s="2" t="s">
        <v>46</v>
      </c>
      <c r="S27" s="2">
        <v>1</v>
      </c>
      <c r="T27" s="2" t="s">
        <v>24</v>
      </c>
      <c r="U27" s="10" t="str">
        <f t="shared" si="5"/>
        <v>Jan</v>
      </c>
      <c r="V27" s="10">
        <f t="shared" si="4"/>
        <v>2025</v>
      </c>
      <c r="W27" t="e" cm="1">
        <f t="array" ref="W27">_xlfn.IFS(U27="January",1,U27="February",2,U27="March",3,U27="April",4,U27="May",5,U27="June",6,U27="July",7,U27="August",8,U27="September",9,U27="October",10,U27="November",11,U27="December",12)</f>
        <v>#N/A</v>
      </c>
    </row>
    <row r="28" spans="1:23" ht="15.75" customHeight="1" x14ac:dyDescent="0.25">
      <c r="A28" s="2" t="s">
        <v>941</v>
      </c>
      <c r="B28" s="3">
        <v>45661.673703703702</v>
      </c>
      <c r="C28" s="2" t="s">
        <v>265</v>
      </c>
      <c r="D28" s="2" t="s">
        <v>119</v>
      </c>
      <c r="E28" s="2" t="s">
        <v>67</v>
      </c>
      <c r="F28" s="2" t="str" cm="1">
        <f t="array" ref="F28:G28">_xlfn.TEXTSPLIT(E28," - ")</f>
        <v>Beras</v>
      </c>
      <c r="G28" s="2" t="str">
        <v>Brand B</v>
      </c>
      <c r="H28" s="5">
        <v>15000</v>
      </c>
      <c r="I28" s="2">
        <v>1</v>
      </c>
      <c r="J28" s="2">
        <v>15</v>
      </c>
      <c r="K28" s="8">
        <f t="shared" si="0"/>
        <v>15000</v>
      </c>
      <c r="L28" s="8">
        <f t="shared" si="1"/>
        <v>2250</v>
      </c>
      <c r="M28" s="8">
        <f t="shared" si="2"/>
        <v>12750</v>
      </c>
      <c r="N28" s="5">
        <v>0</v>
      </c>
      <c r="O28" s="8">
        <f t="shared" si="3"/>
        <v>12750</v>
      </c>
      <c r="P28" s="2" t="s">
        <v>35</v>
      </c>
      <c r="Q28" s="10" t="str">
        <f>VLOOKUP(A28,Status!A:B,2,0)</f>
        <v>Completed</v>
      </c>
      <c r="R28" s="2" t="s">
        <v>23</v>
      </c>
      <c r="S28" s="2">
        <v>1</v>
      </c>
      <c r="T28" s="2" t="s">
        <v>24</v>
      </c>
      <c r="U28" s="10" t="str">
        <f t="shared" si="5"/>
        <v>Jan</v>
      </c>
      <c r="V28" s="10">
        <f t="shared" si="4"/>
        <v>2025</v>
      </c>
      <c r="W28" t="e" cm="1">
        <f t="array" ref="W28">_xlfn.IFS(U28="January",1,U28="February",2,U28="March",3,U28="April",4,U28="May",5,U28="June",6,U28="July",7,U28="August",8,U28="September",9,U28="October",10,U28="November",11,U28="December",12)</f>
        <v>#N/A</v>
      </c>
    </row>
    <row r="29" spans="1:23" ht="15.75" customHeight="1" x14ac:dyDescent="0.25">
      <c r="A29" s="2" t="s">
        <v>942</v>
      </c>
      <c r="B29" s="3">
        <v>45661.797893518517</v>
      </c>
      <c r="C29" s="2" t="s">
        <v>532</v>
      </c>
      <c r="D29" s="2" t="s">
        <v>262</v>
      </c>
      <c r="E29" s="2" t="s">
        <v>174</v>
      </c>
      <c r="F29" s="2" t="str" cm="1">
        <f t="array" ref="F29:G29">_xlfn.TEXTSPLIT(E29," - ")</f>
        <v>Tepung Terigu</v>
      </c>
      <c r="G29" s="2" t="str">
        <v>Brand A</v>
      </c>
      <c r="H29" s="5">
        <v>10000</v>
      </c>
      <c r="I29" s="2">
        <v>1</v>
      </c>
      <c r="J29" s="2">
        <v>5</v>
      </c>
      <c r="K29" s="8">
        <f t="shared" si="0"/>
        <v>10000</v>
      </c>
      <c r="L29" s="8">
        <f t="shared" si="1"/>
        <v>500</v>
      </c>
      <c r="M29" s="8">
        <f t="shared" si="2"/>
        <v>9500</v>
      </c>
      <c r="N29" s="5">
        <v>18000</v>
      </c>
      <c r="O29" s="8">
        <f t="shared" si="3"/>
        <v>27500</v>
      </c>
      <c r="P29" s="2" t="s">
        <v>22</v>
      </c>
      <c r="Q29" s="10" t="str">
        <f>VLOOKUP(A29,Status!A:B,2,0)</f>
        <v>Completed</v>
      </c>
      <c r="R29" s="2" t="s">
        <v>23</v>
      </c>
      <c r="S29" s="2">
        <v>3</v>
      </c>
      <c r="T29" s="2" t="s">
        <v>24</v>
      </c>
      <c r="U29" s="10" t="str">
        <f t="shared" si="5"/>
        <v>Jan</v>
      </c>
      <c r="V29" s="10">
        <f t="shared" si="4"/>
        <v>2025</v>
      </c>
      <c r="W29" t="e" cm="1">
        <f t="array" ref="W29">_xlfn.IFS(U29="January",1,U29="February",2,U29="March",3,U29="April",4,U29="May",5,U29="June",6,U29="July",7,U29="August",8,U29="September",9,U29="October",10,U29="November",11,U29="December",12)</f>
        <v>#N/A</v>
      </c>
    </row>
    <row r="30" spans="1:23" ht="15.75" customHeight="1" x14ac:dyDescent="0.25">
      <c r="A30" s="2" t="s">
        <v>943</v>
      </c>
      <c r="B30" s="3">
        <v>45661.802129629628</v>
      </c>
      <c r="C30" s="2" t="s">
        <v>246</v>
      </c>
      <c r="D30" s="2" t="s">
        <v>238</v>
      </c>
      <c r="E30" s="2" t="s">
        <v>138</v>
      </c>
      <c r="F30" s="2" t="str" cm="1">
        <f t="array" ref="F30:G30">_xlfn.TEXTSPLIT(E30," - ")</f>
        <v>Gula Pasir</v>
      </c>
      <c r="G30" s="2" t="str">
        <v>Brand B</v>
      </c>
      <c r="H30" s="5">
        <v>17000</v>
      </c>
      <c r="I30" s="2">
        <v>5</v>
      </c>
      <c r="J30" s="2">
        <v>10</v>
      </c>
      <c r="K30" s="8">
        <f t="shared" si="0"/>
        <v>85000</v>
      </c>
      <c r="L30" s="8">
        <f t="shared" si="1"/>
        <v>8500</v>
      </c>
      <c r="M30" s="8">
        <f t="shared" si="2"/>
        <v>76500</v>
      </c>
      <c r="N30" s="5">
        <v>28000</v>
      </c>
      <c r="O30" s="8">
        <f t="shared" si="3"/>
        <v>104500</v>
      </c>
      <c r="P30" s="2" t="s">
        <v>63</v>
      </c>
      <c r="Q30" s="10" t="str">
        <f>VLOOKUP(A30,Status!A:B,2,0)</f>
        <v>Returned</v>
      </c>
      <c r="R30" s="2" t="s">
        <v>36</v>
      </c>
      <c r="S30" s="2">
        <v>5</v>
      </c>
      <c r="T30" s="2" t="s">
        <v>24</v>
      </c>
      <c r="U30" s="10" t="str">
        <f t="shared" si="5"/>
        <v>Jan</v>
      </c>
      <c r="V30" s="10">
        <f t="shared" si="4"/>
        <v>2025</v>
      </c>
      <c r="W30" t="e" cm="1">
        <f t="array" ref="W30">_xlfn.IFS(U30="January",1,U30="February",2,U30="March",3,U30="April",4,U30="May",5,U30="June",6,U30="July",7,U30="August",8,U30="September",9,U30="October",10,U30="November",11,U30="December",12)</f>
        <v>#N/A</v>
      </c>
    </row>
    <row r="31" spans="1:23" ht="15.75" customHeight="1" x14ac:dyDescent="0.25">
      <c r="A31" s="2" t="s">
        <v>944</v>
      </c>
      <c r="B31" s="3">
        <v>45661.808518518519</v>
      </c>
      <c r="C31" s="2" t="s">
        <v>331</v>
      </c>
      <c r="D31" s="2" t="s">
        <v>20</v>
      </c>
      <c r="E31" s="2" t="s">
        <v>67</v>
      </c>
      <c r="F31" s="2" t="str" cm="1">
        <f t="array" ref="F31:G31">_xlfn.TEXTSPLIT(E31," - ")</f>
        <v>Beras</v>
      </c>
      <c r="G31" s="2" t="str">
        <v>Brand B</v>
      </c>
      <c r="H31" s="5">
        <v>15000</v>
      </c>
      <c r="I31" s="2">
        <v>3</v>
      </c>
      <c r="J31" s="2">
        <v>15</v>
      </c>
      <c r="K31" s="8">
        <f t="shared" si="0"/>
        <v>45000</v>
      </c>
      <c r="L31" s="8">
        <f t="shared" si="1"/>
        <v>6750</v>
      </c>
      <c r="M31" s="8">
        <f t="shared" si="2"/>
        <v>38250</v>
      </c>
      <c r="N31" s="5">
        <v>15000</v>
      </c>
      <c r="O31" s="8">
        <f t="shared" si="3"/>
        <v>53250</v>
      </c>
      <c r="P31" s="2" t="s">
        <v>29</v>
      </c>
      <c r="Q31" s="10" t="str">
        <f>VLOOKUP(A31,Status!A:B,2,0)</f>
        <v>Completed</v>
      </c>
      <c r="R31" s="2" t="s">
        <v>82</v>
      </c>
      <c r="S31" s="2">
        <v>4</v>
      </c>
      <c r="T31" s="2" t="s">
        <v>37</v>
      </c>
      <c r="U31" s="10" t="str">
        <f t="shared" si="5"/>
        <v>Jan</v>
      </c>
      <c r="V31" s="10">
        <f t="shared" si="4"/>
        <v>2025</v>
      </c>
      <c r="W31" t="e" cm="1">
        <f t="array" ref="W31">_xlfn.IFS(U31="January",1,U31="February",2,U31="March",3,U31="April",4,U31="May",5,U31="June",6,U31="July",7,U31="August",8,U31="September",9,U31="October",10,U31="November",11,U31="December",12)</f>
        <v>#N/A</v>
      </c>
    </row>
    <row r="32" spans="1:23" ht="15.75" customHeight="1" x14ac:dyDescent="0.25">
      <c r="A32" s="2" t="s">
        <v>945</v>
      </c>
      <c r="B32" s="3">
        <v>45662.358553240738</v>
      </c>
      <c r="C32" s="2" t="s">
        <v>344</v>
      </c>
      <c r="D32" s="2" t="s">
        <v>195</v>
      </c>
      <c r="E32" s="2" t="s">
        <v>38</v>
      </c>
      <c r="F32" s="2" t="str" cm="1">
        <f t="array" ref="F32:G32">_xlfn.TEXTSPLIT(E32," - ")</f>
        <v>Telur Ayam</v>
      </c>
      <c r="G32" s="2" t="str">
        <v>Brand C</v>
      </c>
      <c r="H32" s="5">
        <v>28000</v>
      </c>
      <c r="I32" s="2">
        <v>5</v>
      </c>
      <c r="J32" s="2">
        <v>10</v>
      </c>
      <c r="K32" s="8">
        <f t="shared" si="0"/>
        <v>140000</v>
      </c>
      <c r="L32" s="8">
        <f t="shared" si="1"/>
        <v>14000</v>
      </c>
      <c r="M32" s="8">
        <f t="shared" si="2"/>
        <v>126000</v>
      </c>
      <c r="N32" s="5">
        <v>87000</v>
      </c>
      <c r="O32" s="8">
        <f t="shared" si="3"/>
        <v>213000</v>
      </c>
      <c r="P32" s="2" t="s">
        <v>22</v>
      </c>
      <c r="Q32" s="10" t="str">
        <f>VLOOKUP(A32,Status!A:B,2,0)</f>
        <v>Returned</v>
      </c>
      <c r="R32" s="2" t="s">
        <v>23</v>
      </c>
      <c r="S32" s="2">
        <v>5</v>
      </c>
      <c r="T32" s="2" t="s">
        <v>24</v>
      </c>
      <c r="U32" s="10" t="str">
        <f t="shared" si="5"/>
        <v>Jan</v>
      </c>
      <c r="V32" s="10">
        <f t="shared" si="4"/>
        <v>2025</v>
      </c>
      <c r="W32" t="e" cm="1">
        <f t="array" ref="W32">_xlfn.IFS(U32="January",1,U32="February",2,U32="March",3,U32="April",4,U32="May",5,U32="June",6,U32="July",7,U32="August",8,U32="September",9,U32="October",10,U32="November",11,U32="December",12)</f>
        <v>#N/A</v>
      </c>
    </row>
    <row r="33" spans="1:23" ht="15.75" customHeight="1" x14ac:dyDescent="0.25">
      <c r="A33" s="2" t="s">
        <v>945</v>
      </c>
      <c r="B33" s="3">
        <v>45662.358553240738</v>
      </c>
      <c r="C33" s="2" t="s">
        <v>344</v>
      </c>
      <c r="D33" s="2" t="s">
        <v>195</v>
      </c>
      <c r="E33" s="2" t="s">
        <v>144</v>
      </c>
      <c r="F33" s="2" t="str" cm="1">
        <f t="array" ref="F33:G33">_xlfn.TEXTSPLIT(E33," - ")</f>
        <v>Gula Pasir</v>
      </c>
      <c r="G33" s="2" t="str">
        <v>Brand C</v>
      </c>
      <c r="H33" s="5">
        <v>18000</v>
      </c>
      <c r="I33" s="2">
        <v>4</v>
      </c>
      <c r="J33" s="2">
        <v>10</v>
      </c>
      <c r="K33" s="8">
        <f t="shared" si="0"/>
        <v>72000</v>
      </c>
      <c r="L33" s="8">
        <f t="shared" si="1"/>
        <v>7200</v>
      </c>
      <c r="M33" s="8">
        <f t="shared" si="2"/>
        <v>64800</v>
      </c>
      <c r="N33" s="5">
        <v>0</v>
      </c>
      <c r="O33" s="8">
        <f t="shared" si="3"/>
        <v>64800</v>
      </c>
      <c r="P33" s="2" t="s">
        <v>22</v>
      </c>
      <c r="Q33" s="10" t="str">
        <f>VLOOKUP(A33,Status!A:B,2,0)</f>
        <v>Returned</v>
      </c>
      <c r="R33" s="2" t="s">
        <v>23</v>
      </c>
      <c r="S33" s="2">
        <v>5</v>
      </c>
      <c r="T33" s="2" t="s">
        <v>24</v>
      </c>
      <c r="U33" s="10" t="str">
        <f t="shared" si="5"/>
        <v>Jan</v>
      </c>
      <c r="V33" s="10">
        <f t="shared" si="4"/>
        <v>2025</v>
      </c>
      <c r="W33" t="e" cm="1">
        <f t="array" ref="W33">_xlfn.IFS(U33="January",1,U33="February",2,U33="March",3,U33="April",4,U33="May",5,U33="June",6,U33="July",7,U33="August",8,U33="September",9,U33="October",10,U33="November",11,U33="December",12)</f>
        <v>#N/A</v>
      </c>
    </row>
    <row r="34" spans="1:23" ht="15.75" customHeight="1" x14ac:dyDescent="0.25">
      <c r="A34" s="2" t="s">
        <v>946</v>
      </c>
      <c r="B34" s="3">
        <v>45662.811562499999</v>
      </c>
      <c r="C34" s="2" t="s">
        <v>311</v>
      </c>
      <c r="D34" s="2" t="s">
        <v>116</v>
      </c>
      <c r="E34" s="2" t="s">
        <v>186</v>
      </c>
      <c r="F34" s="2" t="str" cm="1">
        <f t="array" ref="F34:G34">_xlfn.TEXTSPLIT(E34," - ")</f>
        <v>Susu Bubuk</v>
      </c>
      <c r="G34" s="2" t="str">
        <v>Brand A</v>
      </c>
      <c r="H34" s="5">
        <v>45000</v>
      </c>
      <c r="I34" s="2">
        <v>4</v>
      </c>
      <c r="J34" s="2">
        <v>0</v>
      </c>
      <c r="K34" s="8">
        <f t="shared" si="0"/>
        <v>180000</v>
      </c>
      <c r="L34" s="8">
        <f t="shared" si="1"/>
        <v>0</v>
      </c>
      <c r="M34" s="8">
        <f t="shared" si="2"/>
        <v>180000</v>
      </c>
      <c r="N34" s="5">
        <v>72000</v>
      </c>
      <c r="O34" s="8">
        <f t="shared" si="3"/>
        <v>252000</v>
      </c>
      <c r="P34" s="2" t="s">
        <v>35</v>
      </c>
      <c r="Q34" s="10" t="str">
        <f>VLOOKUP(A34,Status!A:B,2,0)</f>
        <v>Completed</v>
      </c>
      <c r="R34" s="2" t="s">
        <v>36</v>
      </c>
      <c r="S34" s="2">
        <v>4</v>
      </c>
      <c r="T34" s="2" t="s">
        <v>24</v>
      </c>
      <c r="U34" s="10" t="str">
        <f t="shared" si="5"/>
        <v>Jan</v>
      </c>
      <c r="V34" s="10">
        <f t="shared" si="4"/>
        <v>2025</v>
      </c>
      <c r="W34" t="e" cm="1">
        <f t="array" ref="W34">_xlfn.IFS(U34="January",1,U34="February",2,U34="March",3,U34="April",4,U34="May",5,U34="June",6,U34="July",7,U34="August",8,U34="September",9,U34="October",10,U34="November",11,U34="December",12)</f>
        <v>#N/A</v>
      </c>
    </row>
    <row r="35" spans="1:23" ht="15.75" customHeight="1" x14ac:dyDescent="0.25">
      <c r="A35" s="2" t="s">
        <v>947</v>
      </c>
      <c r="B35" s="3">
        <v>45662.846122685187</v>
      </c>
      <c r="C35" s="2" t="s">
        <v>197</v>
      </c>
      <c r="D35" s="2" t="s">
        <v>119</v>
      </c>
      <c r="E35" s="2" t="s">
        <v>85</v>
      </c>
      <c r="F35" s="2" t="str" cm="1">
        <f t="array" ref="F35:G35">_xlfn.TEXTSPLIT(E35," - ")</f>
        <v>Daging Ayam</v>
      </c>
      <c r="G35" s="2" t="str">
        <v>Brand A</v>
      </c>
      <c r="H35" s="5">
        <v>35000</v>
      </c>
      <c r="I35" s="2">
        <v>3</v>
      </c>
      <c r="J35" s="2">
        <v>15</v>
      </c>
      <c r="K35" s="8">
        <f t="shared" si="0"/>
        <v>105000</v>
      </c>
      <c r="L35" s="8">
        <f t="shared" si="1"/>
        <v>15750</v>
      </c>
      <c r="M35" s="8">
        <f t="shared" si="2"/>
        <v>89250</v>
      </c>
      <c r="N35" s="5">
        <v>0</v>
      </c>
      <c r="O35" s="8">
        <f t="shared" si="3"/>
        <v>89250</v>
      </c>
      <c r="P35" s="2" t="s">
        <v>22</v>
      </c>
      <c r="Q35" s="10" t="str">
        <f>VLOOKUP(A35,Status!A:B,2,0)</f>
        <v>Completed</v>
      </c>
      <c r="R35" s="2" t="s">
        <v>46</v>
      </c>
      <c r="S35" s="2">
        <v>1</v>
      </c>
      <c r="T35" s="2" t="s">
        <v>37</v>
      </c>
      <c r="U35" s="10" t="str">
        <f t="shared" si="5"/>
        <v>Jan</v>
      </c>
      <c r="V35" s="10">
        <f t="shared" si="4"/>
        <v>2025</v>
      </c>
      <c r="W35" t="e" cm="1">
        <f t="array" ref="W35">_xlfn.IFS(U35="January",1,U35="February",2,U35="March",3,U35="April",4,U35="May",5,U35="June",6,U35="July",7,U35="August",8,U35="September",9,U35="October",10,U35="November",11,U35="December",12)</f>
        <v>#N/A</v>
      </c>
    </row>
    <row r="36" spans="1:23" ht="15.75" customHeight="1" x14ac:dyDescent="0.25">
      <c r="A36" s="2" t="s">
        <v>948</v>
      </c>
      <c r="B36" s="3">
        <v>45662.909571759257</v>
      </c>
      <c r="C36" s="2" t="s">
        <v>631</v>
      </c>
      <c r="D36" s="2" t="s">
        <v>20</v>
      </c>
      <c r="E36" s="2" t="s">
        <v>41</v>
      </c>
      <c r="F36" s="2" t="str" cm="1">
        <f t="array" ref="F36:G36">_xlfn.TEXTSPLIT(E36," - ")</f>
        <v>Garam</v>
      </c>
      <c r="G36" s="2" t="str">
        <v>Brand A</v>
      </c>
      <c r="H36" s="5">
        <v>4000</v>
      </c>
      <c r="I36" s="2">
        <v>3</v>
      </c>
      <c r="J36" s="2">
        <v>10</v>
      </c>
      <c r="K36" s="8">
        <f t="shared" si="0"/>
        <v>12000</v>
      </c>
      <c r="L36" s="8">
        <f t="shared" si="1"/>
        <v>1200</v>
      </c>
      <c r="M36" s="8">
        <f t="shared" si="2"/>
        <v>10800</v>
      </c>
      <c r="N36" s="5">
        <v>15000</v>
      </c>
      <c r="O36" s="8">
        <f t="shared" si="3"/>
        <v>25800</v>
      </c>
      <c r="P36" s="2" t="s">
        <v>22</v>
      </c>
      <c r="Q36" s="10" t="str">
        <f>VLOOKUP(A36,Status!A:B,2,0)</f>
        <v>Completed</v>
      </c>
      <c r="R36" s="2" t="s">
        <v>23</v>
      </c>
      <c r="S36" s="2">
        <v>4</v>
      </c>
      <c r="T36" s="2" t="s">
        <v>37</v>
      </c>
      <c r="U36" s="10" t="str">
        <f t="shared" si="5"/>
        <v>Jan</v>
      </c>
      <c r="V36" s="10">
        <f t="shared" si="4"/>
        <v>2025</v>
      </c>
      <c r="W36" t="e" cm="1">
        <f t="array" ref="W36">_xlfn.IFS(U36="January",1,U36="February",2,U36="March",3,U36="April",4,U36="May",5,U36="June",6,U36="July",7,U36="August",8,U36="September",9,U36="October",10,U36="November",11,U36="December",12)</f>
        <v>#N/A</v>
      </c>
    </row>
    <row r="37" spans="1:23" ht="15.75" customHeight="1" x14ac:dyDescent="0.25">
      <c r="A37" s="2" t="s">
        <v>949</v>
      </c>
      <c r="B37" s="3">
        <v>45662.963043981479</v>
      </c>
      <c r="C37" s="2" t="s">
        <v>875</v>
      </c>
      <c r="D37" s="2" t="s">
        <v>170</v>
      </c>
      <c r="E37" s="2" t="s">
        <v>250</v>
      </c>
      <c r="F37" s="2" t="str" cm="1">
        <f t="array" ref="F37:G37">_xlfn.TEXTSPLIT(E37," - ")</f>
        <v>Minyak Goreng</v>
      </c>
      <c r="G37" s="2" t="str">
        <v>Brand C</v>
      </c>
      <c r="H37" s="5">
        <v>18000</v>
      </c>
      <c r="I37" s="2">
        <v>3</v>
      </c>
      <c r="J37" s="2">
        <v>5</v>
      </c>
      <c r="K37" s="8">
        <f t="shared" si="0"/>
        <v>54000</v>
      </c>
      <c r="L37" s="8">
        <f t="shared" si="1"/>
        <v>2700</v>
      </c>
      <c r="M37" s="8">
        <f t="shared" si="2"/>
        <v>51300</v>
      </c>
      <c r="N37" s="5">
        <v>46000</v>
      </c>
      <c r="O37" s="8">
        <f t="shared" si="3"/>
        <v>97300</v>
      </c>
      <c r="P37" s="2" t="s">
        <v>29</v>
      </c>
      <c r="Q37" s="10" t="str">
        <f>VLOOKUP(A37,Status!A:B,2,0)</f>
        <v>Completed</v>
      </c>
      <c r="R37" s="2" t="s">
        <v>30</v>
      </c>
      <c r="S37" s="2">
        <v>2</v>
      </c>
      <c r="T37" s="2" t="s">
        <v>24</v>
      </c>
      <c r="U37" s="10" t="str">
        <f t="shared" si="5"/>
        <v>Jan</v>
      </c>
      <c r="V37" s="10">
        <f t="shared" si="4"/>
        <v>2025</v>
      </c>
      <c r="W37" t="e" cm="1">
        <f t="array" ref="W37">_xlfn.IFS(U37="January",1,U37="February",2,U37="March",3,U37="April",4,U37="May",5,U37="June",6,U37="July",7,U37="August",8,U37="September",9,U37="October",10,U37="November",11,U37="December",12)</f>
        <v>#N/A</v>
      </c>
    </row>
    <row r="38" spans="1:23" ht="15.75" customHeight="1" x14ac:dyDescent="0.25">
      <c r="A38" s="2" t="s">
        <v>950</v>
      </c>
      <c r="B38" s="3">
        <v>45663.178402777783</v>
      </c>
      <c r="C38" s="2" t="s">
        <v>87</v>
      </c>
      <c r="D38" s="2" t="s">
        <v>80</v>
      </c>
      <c r="E38" s="2" t="s">
        <v>174</v>
      </c>
      <c r="F38" s="2" t="str" cm="1">
        <f t="array" ref="F38:G38">_xlfn.TEXTSPLIT(E38," - ")</f>
        <v>Tepung Terigu</v>
      </c>
      <c r="G38" s="2" t="str">
        <v>Brand A</v>
      </c>
      <c r="H38" s="5">
        <v>10000</v>
      </c>
      <c r="I38" s="2">
        <v>2</v>
      </c>
      <c r="J38" s="2">
        <v>10</v>
      </c>
      <c r="K38" s="8">
        <f t="shared" si="0"/>
        <v>20000</v>
      </c>
      <c r="L38" s="8">
        <f t="shared" si="1"/>
        <v>2000</v>
      </c>
      <c r="M38" s="8">
        <f t="shared" si="2"/>
        <v>18000</v>
      </c>
      <c r="N38" s="5">
        <v>74000</v>
      </c>
      <c r="O38" s="8">
        <f t="shared" si="3"/>
        <v>92000</v>
      </c>
      <c r="P38" s="2" t="s">
        <v>35</v>
      </c>
      <c r="Q38" s="10" t="str">
        <f>VLOOKUP(A38,Status!A:B,2,0)</f>
        <v>Completed</v>
      </c>
      <c r="R38" s="2" t="s">
        <v>82</v>
      </c>
      <c r="S38" s="2">
        <v>5</v>
      </c>
      <c r="T38" s="2" t="s">
        <v>24</v>
      </c>
      <c r="U38" s="10" t="str">
        <f t="shared" si="5"/>
        <v>Jan</v>
      </c>
      <c r="V38" s="10">
        <f t="shared" si="4"/>
        <v>2025</v>
      </c>
      <c r="W38" t="e" cm="1">
        <f t="array" ref="W38">_xlfn.IFS(U38="January",1,U38="February",2,U38="March",3,U38="April",4,U38="May",5,U38="June",6,U38="July",7,U38="August",8,U38="September",9,U38="October",10,U38="November",11,U38="December",12)</f>
        <v>#N/A</v>
      </c>
    </row>
    <row r="39" spans="1:23" ht="15.75" customHeight="1" x14ac:dyDescent="0.25">
      <c r="A39" s="2" t="s">
        <v>951</v>
      </c>
      <c r="B39" s="3">
        <v>45663.301747685182</v>
      </c>
      <c r="C39" s="2" t="s">
        <v>763</v>
      </c>
      <c r="D39" s="2" t="s">
        <v>74</v>
      </c>
      <c r="E39" s="2" t="s">
        <v>67</v>
      </c>
      <c r="F39" s="2" t="str" cm="1">
        <f t="array" ref="F39:G39">_xlfn.TEXTSPLIT(E39," - ")</f>
        <v>Beras</v>
      </c>
      <c r="G39" s="2" t="str">
        <v>Brand B</v>
      </c>
      <c r="H39" s="5">
        <v>15000</v>
      </c>
      <c r="I39" s="2">
        <v>3</v>
      </c>
      <c r="J39" s="2">
        <v>20</v>
      </c>
      <c r="K39" s="8">
        <f t="shared" si="0"/>
        <v>45000</v>
      </c>
      <c r="L39" s="8">
        <f t="shared" si="1"/>
        <v>9000</v>
      </c>
      <c r="M39" s="8">
        <f t="shared" si="2"/>
        <v>36000</v>
      </c>
      <c r="N39" s="5">
        <v>87000</v>
      </c>
      <c r="O39" s="8">
        <f t="shared" si="3"/>
        <v>123000</v>
      </c>
      <c r="P39" s="2" t="s">
        <v>22</v>
      </c>
      <c r="Q39" s="10" t="str">
        <f>VLOOKUP(A39,Status!A:B,2,0)</f>
        <v>Completed</v>
      </c>
      <c r="R39" s="2" t="s">
        <v>46</v>
      </c>
      <c r="S39" s="2">
        <v>2</v>
      </c>
      <c r="T39" s="2" t="s">
        <v>24</v>
      </c>
      <c r="U39" s="10" t="str">
        <f t="shared" si="5"/>
        <v>Jan</v>
      </c>
      <c r="V39" s="10">
        <f t="shared" si="4"/>
        <v>2025</v>
      </c>
      <c r="W39" t="e" cm="1">
        <f t="array" ref="W39">_xlfn.IFS(U39="January",1,U39="February",2,U39="March",3,U39="April",4,U39="May",5,U39="June",6,U39="July",7,U39="August",8,U39="September",9,U39="October",10,U39="November",11,U39="December",12)</f>
        <v>#N/A</v>
      </c>
    </row>
    <row r="40" spans="1:23" ht="15.75" customHeight="1" x14ac:dyDescent="0.25">
      <c r="A40" s="2" t="s">
        <v>952</v>
      </c>
      <c r="B40" s="3">
        <v>45663.370370370372</v>
      </c>
      <c r="C40" s="2" t="s">
        <v>431</v>
      </c>
      <c r="D40" s="2" t="s">
        <v>33</v>
      </c>
      <c r="E40" s="2" t="s">
        <v>123</v>
      </c>
      <c r="F40" s="2" t="str" cm="1">
        <f t="array" ref="F40:G40">_xlfn.TEXTSPLIT(E40," - ")</f>
        <v>Telur Ayam</v>
      </c>
      <c r="G40" s="2" t="str">
        <v>Brand A</v>
      </c>
      <c r="H40" s="5">
        <v>22000</v>
      </c>
      <c r="I40" s="2">
        <v>1</v>
      </c>
      <c r="J40" s="2">
        <v>10</v>
      </c>
      <c r="K40" s="8">
        <f t="shared" si="0"/>
        <v>22000</v>
      </c>
      <c r="L40" s="8">
        <f t="shared" si="1"/>
        <v>2200</v>
      </c>
      <c r="M40" s="8">
        <f t="shared" si="2"/>
        <v>19800</v>
      </c>
      <c r="N40" s="5">
        <v>76000</v>
      </c>
      <c r="O40" s="8">
        <f t="shared" si="3"/>
        <v>95800</v>
      </c>
      <c r="P40" s="2" t="s">
        <v>22</v>
      </c>
      <c r="Q40" s="10" t="str">
        <f>VLOOKUP(A40,Status!A:B,2,0)</f>
        <v>Completed</v>
      </c>
      <c r="R40" s="2" t="s">
        <v>82</v>
      </c>
      <c r="S40" s="2">
        <v>3</v>
      </c>
      <c r="T40" s="2" t="s">
        <v>24</v>
      </c>
      <c r="U40" s="10" t="str">
        <f t="shared" si="5"/>
        <v>Jan</v>
      </c>
      <c r="V40" s="10">
        <f t="shared" si="4"/>
        <v>2025</v>
      </c>
      <c r="W40" t="e" cm="1">
        <f t="array" ref="W40">_xlfn.IFS(U40="January",1,U40="February",2,U40="March",3,U40="April",4,U40="May",5,U40="June",6,U40="July",7,U40="August",8,U40="September",9,U40="October",10,U40="November",11,U40="December",12)</f>
        <v>#N/A</v>
      </c>
    </row>
    <row r="41" spans="1:23" ht="15.75" customHeight="1" x14ac:dyDescent="0.25">
      <c r="A41" s="2" t="s">
        <v>953</v>
      </c>
      <c r="B41" s="3">
        <v>45663.487719907411</v>
      </c>
      <c r="C41" s="2" t="s">
        <v>954</v>
      </c>
      <c r="D41" s="2" t="s">
        <v>44</v>
      </c>
      <c r="E41" s="2" t="s">
        <v>123</v>
      </c>
      <c r="F41" s="2" t="str" cm="1">
        <f t="array" ref="F41:G41">_xlfn.TEXTSPLIT(E41," - ")</f>
        <v>Telur Ayam</v>
      </c>
      <c r="G41" s="2" t="str">
        <v>Brand A</v>
      </c>
      <c r="H41" s="5">
        <v>22000</v>
      </c>
      <c r="I41" s="2">
        <v>4</v>
      </c>
      <c r="J41" s="2">
        <v>15</v>
      </c>
      <c r="K41" s="8">
        <f t="shared" si="0"/>
        <v>88000</v>
      </c>
      <c r="L41" s="8">
        <f t="shared" si="1"/>
        <v>13200</v>
      </c>
      <c r="M41" s="8">
        <f t="shared" si="2"/>
        <v>74800</v>
      </c>
      <c r="N41" s="5">
        <v>93000</v>
      </c>
      <c r="O41" s="8">
        <f t="shared" si="3"/>
        <v>167800</v>
      </c>
      <c r="P41" s="2" t="s">
        <v>22</v>
      </c>
      <c r="Q41" s="10" t="str">
        <f>VLOOKUP(A41,Status!A:B,2,0)</f>
        <v>Completed</v>
      </c>
      <c r="R41" s="2" t="s">
        <v>23</v>
      </c>
      <c r="S41" s="2">
        <v>2</v>
      </c>
      <c r="T41" s="2" t="s">
        <v>24</v>
      </c>
      <c r="U41" s="10" t="str">
        <f t="shared" si="5"/>
        <v>Jan</v>
      </c>
      <c r="V41" s="10">
        <f t="shared" si="4"/>
        <v>2025</v>
      </c>
      <c r="W41" t="e" cm="1">
        <f t="array" ref="W41">_xlfn.IFS(U41="January",1,U41="February",2,U41="March",3,U41="April",4,U41="May",5,U41="June",6,U41="July",7,U41="August",8,U41="September",9,U41="October",10,U41="November",11,U41="December",12)</f>
        <v>#N/A</v>
      </c>
    </row>
    <row r="42" spans="1:23" ht="15.75" customHeight="1" x14ac:dyDescent="0.25">
      <c r="A42" s="2" t="s">
        <v>953</v>
      </c>
      <c r="B42" s="3">
        <v>45663.487719907411</v>
      </c>
      <c r="C42" s="2" t="s">
        <v>954</v>
      </c>
      <c r="D42" s="2" t="s">
        <v>44</v>
      </c>
      <c r="E42" s="2" t="s">
        <v>62</v>
      </c>
      <c r="F42" s="2" t="str" cm="1">
        <f t="array" ref="F42:G42">_xlfn.TEXTSPLIT(E42," - ")</f>
        <v>Susu Bubuk</v>
      </c>
      <c r="G42" s="2" t="str">
        <v>Brand B</v>
      </c>
      <c r="H42" s="5">
        <v>50000</v>
      </c>
      <c r="I42" s="2">
        <v>2</v>
      </c>
      <c r="J42" s="2">
        <v>10</v>
      </c>
      <c r="K42" s="8">
        <f t="shared" si="0"/>
        <v>100000</v>
      </c>
      <c r="L42" s="8">
        <f t="shared" si="1"/>
        <v>10000</v>
      </c>
      <c r="M42" s="8">
        <f t="shared" si="2"/>
        <v>90000</v>
      </c>
      <c r="N42" s="5">
        <v>0</v>
      </c>
      <c r="O42" s="8">
        <f t="shared" si="3"/>
        <v>90000</v>
      </c>
      <c r="P42" s="2" t="s">
        <v>22</v>
      </c>
      <c r="Q42" s="10" t="str">
        <f>VLOOKUP(A42,Status!A:B,2,0)</f>
        <v>Completed</v>
      </c>
      <c r="R42" s="2" t="s">
        <v>23</v>
      </c>
      <c r="S42" s="2">
        <v>2</v>
      </c>
      <c r="T42" s="2" t="s">
        <v>24</v>
      </c>
      <c r="U42" s="10" t="str">
        <f t="shared" si="5"/>
        <v>Jan</v>
      </c>
      <c r="V42" s="10">
        <f t="shared" si="4"/>
        <v>2025</v>
      </c>
      <c r="W42" t="e" cm="1">
        <f t="array" ref="W42">_xlfn.IFS(U42="January",1,U42="February",2,U42="March",3,U42="April",4,U42="May",5,U42="June",6,U42="July",7,U42="August",8,U42="September",9,U42="October",10,U42="November",11,U42="December",12)</f>
        <v>#N/A</v>
      </c>
    </row>
    <row r="43" spans="1:23" ht="15.75" customHeight="1" x14ac:dyDescent="0.25">
      <c r="A43" s="2" t="s">
        <v>955</v>
      </c>
      <c r="B43" s="3">
        <v>45663.562696759262</v>
      </c>
      <c r="C43" s="2" t="s">
        <v>60</v>
      </c>
      <c r="D43" s="2" t="s">
        <v>61</v>
      </c>
      <c r="E43" s="2" t="s">
        <v>45</v>
      </c>
      <c r="F43" s="2" t="str" cm="1">
        <f t="array" ref="F43:G43">_xlfn.TEXTSPLIT(E43," - ")</f>
        <v>Daging Ayam</v>
      </c>
      <c r="G43" s="2" t="str">
        <v>Brand B</v>
      </c>
      <c r="H43" s="5">
        <v>40000</v>
      </c>
      <c r="I43" s="2">
        <v>3</v>
      </c>
      <c r="J43" s="2">
        <v>0</v>
      </c>
      <c r="K43" s="8">
        <f t="shared" si="0"/>
        <v>120000</v>
      </c>
      <c r="L43" s="8">
        <f t="shared" si="1"/>
        <v>0</v>
      </c>
      <c r="M43" s="8">
        <f t="shared" si="2"/>
        <v>120000</v>
      </c>
      <c r="N43" s="5">
        <v>26000</v>
      </c>
      <c r="O43" s="8">
        <f t="shared" si="3"/>
        <v>146000</v>
      </c>
      <c r="P43" s="2" t="s">
        <v>29</v>
      </c>
      <c r="Q43" s="10" t="str">
        <f>VLOOKUP(A43,Status!A:B,2,0)</f>
        <v>Completed</v>
      </c>
      <c r="R43" s="2" t="s">
        <v>36</v>
      </c>
      <c r="S43" s="2">
        <v>1</v>
      </c>
      <c r="T43" s="2" t="s">
        <v>24</v>
      </c>
      <c r="U43" s="10" t="str">
        <f t="shared" si="5"/>
        <v>Jan</v>
      </c>
      <c r="V43" s="10">
        <f t="shared" si="4"/>
        <v>2025</v>
      </c>
      <c r="W43" t="e" cm="1">
        <f t="array" ref="W43">_xlfn.IFS(U43="January",1,U43="February",2,U43="March",3,U43="April",4,U43="May",5,U43="June",6,U43="July",7,U43="August",8,U43="September",9,U43="October",10,U43="November",11,U43="December",12)</f>
        <v>#N/A</v>
      </c>
    </row>
    <row r="44" spans="1:23" ht="15.75" customHeight="1" x14ac:dyDescent="0.25">
      <c r="A44" s="2" t="s">
        <v>956</v>
      </c>
      <c r="B44" s="3">
        <v>45663.761481481481</v>
      </c>
      <c r="C44" s="2" t="s">
        <v>192</v>
      </c>
      <c r="D44" s="2" t="s">
        <v>107</v>
      </c>
      <c r="E44" s="2" t="s">
        <v>28</v>
      </c>
      <c r="F44" s="2" t="str" cm="1">
        <f t="array" ref="F44:G44">_xlfn.TEXTSPLIT(E44," - ")</f>
        <v>Garam</v>
      </c>
      <c r="G44" s="2" t="str">
        <v>Brand B</v>
      </c>
      <c r="H44" s="5">
        <v>5000</v>
      </c>
      <c r="I44" s="2">
        <v>2</v>
      </c>
      <c r="J44" s="2">
        <v>15</v>
      </c>
      <c r="K44" s="8">
        <f t="shared" si="0"/>
        <v>10000</v>
      </c>
      <c r="L44" s="8">
        <f t="shared" si="1"/>
        <v>1500</v>
      </c>
      <c r="M44" s="8">
        <f t="shared" si="2"/>
        <v>8500</v>
      </c>
      <c r="N44" s="5">
        <v>97000</v>
      </c>
      <c r="O44" s="8">
        <f t="shared" si="3"/>
        <v>105500</v>
      </c>
      <c r="P44" s="2" t="s">
        <v>63</v>
      </c>
      <c r="Q44" s="10" t="str">
        <f>VLOOKUP(A44,Status!A:B,2,0)</f>
        <v>Completed</v>
      </c>
      <c r="R44" s="2" t="s">
        <v>46</v>
      </c>
      <c r="S44" s="2">
        <v>5</v>
      </c>
      <c r="T44" s="2" t="s">
        <v>24</v>
      </c>
      <c r="U44" s="10" t="str">
        <f t="shared" si="5"/>
        <v>Jan</v>
      </c>
      <c r="V44" s="10">
        <f t="shared" si="4"/>
        <v>2025</v>
      </c>
      <c r="W44" t="e" cm="1">
        <f t="array" ref="W44">_xlfn.IFS(U44="January",1,U44="February",2,U44="March",3,U44="April",4,U44="May",5,U44="June",6,U44="July",7,U44="August",8,U44="September",9,U44="October",10,U44="November",11,U44="December",12)</f>
        <v>#N/A</v>
      </c>
    </row>
    <row r="45" spans="1:23" ht="15.75" customHeight="1" x14ac:dyDescent="0.25">
      <c r="A45" s="2" t="s">
        <v>957</v>
      </c>
      <c r="B45" s="3">
        <v>45664.102361111109</v>
      </c>
      <c r="C45" s="2" t="s">
        <v>851</v>
      </c>
      <c r="D45" s="2" t="s">
        <v>66</v>
      </c>
      <c r="E45" s="2" t="s">
        <v>38</v>
      </c>
      <c r="F45" s="2" t="str" cm="1">
        <f t="array" ref="F45:G45">_xlfn.TEXTSPLIT(E45," - ")</f>
        <v>Telur Ayam</v>
      </c>
      <c r="G45" s="2" t="str">
        <v>Brand C</v>
      </c>
      <c r="H45" s="5">
        <v>28000</v>
      </c>
      <c r="I45" s="2">
        <v>4</v>
      </c>
      <c r="J45" s="2">
        <v>20</v>
      </c>
      <c r="K45" s="8">
        <f t="shared" si="0"/>
        <v>112000</v>
      </c>
      <c r="L45" s="8">
        <f t="shared" si="1"/>
        <v>22400</v>
      </c>
      <c r="M45" s="8">
        <f t="shared" si="2"/>
        <v>89600</v>
      </c>
      <c r="N45" s="5">
        <v>59000</v>
      </c>
      <c r="O45" s="8">
        <f t="shared" si="3"/>
        <v>148600</v>
      </c>
      <c r="P45" s="2" t="s">
        <v>29</v>
      </c>
      <c r="Q45" s="10" t="str">
        <f>VLOOKUP(A45,Status!A:B,2,0)</f>
        <v>Completed</v>
      </c>
      <c r="R45" s="2" t="s">
        <v>36</v>
      </c>
      <c r="S45" s="2">
        <v>1</v>
      </c>
      <c r="T45" s="2" t="s">
        <v>37</v>
      </c>
      <c r="U45" s="10" t="str">
        <f t="shared" si="5"/>
        <v>Jan</v>
      </c>
      <c r="V45" s="10">
        <f t="shared" si="4"/>
        <v>2025</v>
      </c>
      <c r="W45" t="e" cm="1">
        <f t="array" ref="W45">_xlfn.IFS(U45="January",1,U45="February",2,U45="March",3,U45="April",4,U45="May",5,U45="June",6,U45="July",7,U45="August",8,U45="September",9,U45="October",10,U45="November",11,U45="December",12)</f>
        <v>#N/A</v>
      </c>
    </row>
    <row r="46" spans="1:23" ht="15.75" customHeight="1" x14ac:dyDescent="0.25">
      <c r="A46" s="2" t="s">
        <v>958</v>
      </c>
      <c r="B46" s="3">
        <v>45664.147615740738</v>
      </c>
      <c r="C46" s="2" t="s">
        <v>959</v>
      </c>
      <c r="D46" s="2" t="s">
        <v>182</v>
      </c>
      <c r="E46" s="2" t="s">
        <v>138</v>
      </c>
      <c r="F46" s="2" t="str" cm="1">
        <f t="array" ref="F46:G46">_xlfn.TEXTSPLIT(E46," - ")</f>
        <v>Gula Pasir</v>
      </c>
      <c r="G46" s="2" t="str">
        <v>Brand B</v>
      </c>
      <c r="H46" s="5">
        <v>17000</v>
      </c>
      <c r="I46" s="2">
        <v>2</v>
      </c>
      <c r="J46" s="2">
        <v>5</v>
      </c>
      <c r="K46" s="8">
        <f t="shared" si="0"/>
        <v>34000</v>
      </c>
      <c r="L46" s="8">
        <f t="shared" si="1"/>
        <v>1700</v>
      </c>
      <c r="M46" s="8">
        <f t="shared" si="2"/>
        <v>32300</v>
      </c>
      <c r="N46" s="5">
        <v>48000</v>
      </c>
      <c r="O46" s="8">
        <f t="shared" si="3"/>
        <v>80300</v>
      </c>
      <c r="P46" s="2" t="s">
        <v>22</v>
      </c>
      <c r="Q46" s="10" t="str">
        <f>VLOOKUP(A46,Status!A:B,2,0)</f>
        <v>Completed</v>
      </c>
      <c r="R46" s="2" t="s">
        <v>46</v>
      </c>
      <c r="S46" s="2">
        <v>2</v>
      </c>
      <c r="T46" s="2" t="s">
        <v>24</v>
      </c>
      <c r="U46" s="10" t="str">
        <f t="shared" si="5"/>
        <v>Jan</v>
      </c>
      <c r="V46" s="10">
        <f t="shared" si="4"/>
        <v>2025</v>
      </c>
      <c r="W46" t="e" cm="1">
        <f t="array" ref="W46">_xlfn.IFS(U46="January",1,U46="February",2,U46="March",3,U46="April",4,U46="May",5,U46="June",6,U46="July",7,U46="August",8,U46="September",9,U46="October",10,U46="November",11,U46="December",12)</f>
        <v>#N/A</v>
      </c>
    </row>
    <row r="47" spans="1:23" ht="15.75" customHeight="1" x14ac:dyDescent="0.25">
      <c r="A47" s="2" t="s">
        <v>960</v>
      </c>
      <c r="B47" s="3">
        <v>45664.243032407408</v>
      </c>
      <c r="C47" s="2" t="s">
        <v>355</v>
      </c>
      <c r="D47" s="2" t="s">
        <v>116</v>
      </c>
      <c r="E47" s="2" t="s">
        <v>190</v>
      </c>
      <c r="F47" s="2" t="str" cm="1">
        <f t="array" ref="F47:G47">_xlfn.TEXTSPLIT(E47," - ")</f>
        <v>Bawang Merah</v>
      </c>
      <c r="G47" s="2" t="str">
        <v>Brand B</v>
      </c>
      <c r="H47" s="5">
        <v>35000</v>
      </c>
      <c r="I47" s="2">
        <v>5</v>
      </c>
      <c r="J47" s="2">
        <v>15</v>
      </c>
      <c r="K47" s="8">
        <f t="shared" si="0"/>
        <v>175000</v>
      </c>
      <c r="L47" s="8">
        <f t="shared" si="1"/>
        <v>26250</v>
      </c>
      <c r="M47" s="8">
        <f t="shared" si="2"/>
        <v>148750</v>
      </c>
      <c r="N47" s="5">
        <v>72000</v>
      </c>
      <c r="O47" s="8">
        <f t="shared" si="3"/>
        <v>220750</v>
      </c>
      <c r="P47" s="2" t="s">
        <v>35</v>
      </c>
      <c r="Q47" s="10" t="str">
        <f>VLOOKUP(A47,Status!A:B,2,0)</f>
        <v>Completed</v>
      </c>
      <c r="R47" s="2" t="s">
        <v>30</v>
      </c>
      <c r="S47" s="2">
        <v>3</v>
      </c>
      <c r="T47" s="2" t="s">
        <v>24</v>
      </c>
      <c r="U47" s="10" t="str">
        <f t="shared" si="5"/>
        <v>Jan</v>
      </c>
      <c r="V47" s="10">
        <f t="shared" si="4"/>
        <v>2025</v>
      </c>
      <c r="W47" t="e" cm="1">
        <f t="array" ref="W47">_xlfn.IFS(U47="January",1,U47="February",2,U47="March",3,U47="April",4,U47="May",5,U47="June",6,U47="July",7,U47="August",8,U47="September",9,U47="October",10,U47="November",11,U47="December",12)</f>
        <v>#N/A</v>
      </c>
    </row>
    <row r="48" spans="1:23" ht="15.75" customHeight="1" x14ac:dyDescent="0.25">
      <c r="A48" s="2" t="s">
        <v>961</v>
      </c>
      <c r="B48" s="3">
        <v>45664.35565972222</v>
      </c>
      <c r="C48" s="2" t="s">
        <v>299</v>
      </c>
      <c r="D48" s="2" t="s">
        <v>163</v>
      </c>
      <c r="E48" s="2" t="s">
        <v>144</v>
      </c>
      <c r="F48" s="2" t="str" cm="1">
        <f t="array" ref="F48:G48">_xlfn.TEXTSPLIT(E48," - ")</f>
        <v>Gula Pasir</v>
      </c>
      <c r="G48" s="2" t="str">
        <v>Brand C</v>
      </c>
      <c r="H48" s="5">
        <v>18000</v>
      </c>
      <c r="I48" s="2">
        <v>2</v>
      </c>
      <c r="J48" s="2">
        <v>0</v>
      </c>
      <c r="K48" s="8">
        <f t="shared" si="0"/>
        <v>36000</v>
      </c>
      <c r="L48" s="8">
        <f t="shared" si="1"/>
        <v>0</v>
      </c>
      <c r="M48" s="8">
        <f t="shared" si="2"/>
        <v>36000</v>
      </c>
      <c r="N48" s="5">
        <v>50000</v>
      </c>
      <c r="O48" s="8">
        <f t="shared" si="3"/>
        <v>86000</v>
      </c>
      <c r="P48" s="2" t="s">
        <v>22</v>
      </c>
      <c r="Q48" s="10" t="str">
        <f>VLOOKUP(A48,Status!A:B,2,0)</f>
        <v>Completed</v>
      </c>
      <c r="R48" s="2" t="s">
        <v>30</v>
      </c>
      <c r="S48" s="2">
        <v>3</v>
      </c>
      <c r="T48" s="2" t="s">
        <v>24</v>
      </c>
      <c r="U48" s="10" t="str">
        <f t="shared" si="5"/>
        <v>Jan</v>
      </c>
      <c r="V48" s="10">
        <f t="shared" si="4"/>
        <v>2025</v>
      </c>
      <c r="W48" t="e" cm="1">
        <f t="array" ref="W48">_xlfn.IFS(U48="January",1,U48="February",2,U48="March",3,U48="April",4,U48="May",5,U48="June",6,U48="July",7,U48="August",8,U48="September",9,U48="October",10,U48="November",11,U48="December",12)</f>
        <v>#N/A</v>
      </c>
    </row>
    <row r="49" spans="1:23" ht="15.75" customHeight="1" x14ac:dyDescent="0.25">
      <c r="A49" s="2" t="s">
        <v>962</v>
      </c>
      <c r="B49" s="3">
        <v>45664.535694444443</v>
      </c>
      <c r="C49" s="2" t="s">
        <v>613</v>
      </c>
      <c r="D49" s="2" t="s">
        <v>375</v>
      </c>
      <c r="E49" s="2" t="s">
        <v>21</v>
      </c>
      <c r="F49" s="2" t="str" cm="1">
        <f t="array" ref="F49:G49">_xlfn.TEXTSPLIT(E49," - ")</f>
        <v>Daging Ayam</v>
      </c>
      <c r="G49" s="2" t="str">
        <v>Brand C</v>
      </c>
      <c r="H49" s="5">
        <v>45000</v>
      </c>
      <c r="I49" s="2">
        <v>4</v>
      </c>
      <c r="J49" s="2">
        <v>0</v>
      </c>
      <c r="K49" s="8">
        <f t="shared" si="0"/>
        <v>180000</v>
      </c>
      <c r="L49" s="8">
        <f t="shared" si="1"/>
        <v>0</v>
      </c>
      <c r="M49" s="8">
        <f t="shared" si="2"/>
        <v>180000</v>
      </c>
      <c r="N49" s="5">
        <v>21000</v>
      </c>
      <c r="O49" s="8">
        <f t="shared" si="3"/>
        <v>201000</v>
      </c>
      <c r="P49" s="2" t="s">
        <v>63</v>
      </c>
      <c r="Q49" s="10" t="str">
        <f>VLOOKUP(A49,Status!A:B,2,0)</f>
        <v>Cancelled</v>
      </c>
      <c r="R49" s="2" t="s">
        <v>82</v>
      </c>
      <c r="S49" s="2">
        <v>4</v>
      </c>
      <c r="T49" s="2" t="s">
        <v>24</v>
      </c>
      <c r="U49" s="10" t="str">
        <f t="shared" si="5"/>
        <v>Jan</v>
      </c>
      <c r="V49" s="10">
        <f t="shared" si="4"/>
        <v>2025</v>
      </c>
      <c r="W49" t="e" cm="1">
        <f t="array" ref="W49">_xlfn.IFS(U49="January",1,U49="February",2,U49="March",3,U49="April",4,U49="May",5,U49="June",6,U49="July",7,U49="August",8,U49="September",9,U49="October",10,U49="November",11,U49="December",12)</f>
        <v>#N/A</v>
      </c>
    </row>
    <row r="50" spans="1:23" ht="15.75" customHeight="1" x14ac:dyDescent="0.25">
      <c r="A50" s="2" t="s">
        <v>963</v>
      </c>
      <c r="B50" s="3">
        <v>45664.562488425923</v>
      </c>
      <c r="C50" s="2" t="s">
        <v>109</v>
      </c>
      <c r="D50" s="2" t="s">
        <v>49</v>
      </c>
      <c r="E50" s="2" t="s">
        <v>45</v>
      </c>
      <c r="F50" s="2" t="str" cm="1">
        <f t="array" ref="F50:G50">_xlfn.TEXTSPLIT(E50," - ")</f>
        <v>Daging Ayam</v>
      </c>
      <c r="G50" s="2" t="str">
        <v>Brand B</v>
      </c>
      <c r="H50" s="5">
        <v>40000</v>
      </c>
      <c r="I50" s="2">
        <v>1</v>
      </c>
      <c r="J50" s="2">
        <v>0</v>
      </c>
      <c r="K50" s="8">
        <f t="shared" si="0"/>
        <v>40000</v>
      </c>
      <c r="L50" s="8">
        <f t="shared" si="1"/>
        <v>0</v>
      </c>
      <c r="M50" s="8">
        <f t="shared" si="2"/>
        <v>40000</v>
      </c>
      <c r="N50" s="5">
        <v>43000</v>
      </c>
      <c r="O50" s="8">
        <f t="shared" si="3"/>
        <v>83000</v>
      </c>
      <c r="P50" s="2" t="s">
        <v>35</v>
      </c>
      <c r="Q50" s="10" t="str">
        <f>VLOOKUP(A50,Status!A:B,2,0)</f>
        <v>Returned</v>
      </c>
      <c r="R50" s="2" t="s">
        <v>46</v>
      </c>
      <c r="S50" s="2">
        <v>1</v>
      </c>
      <c r="T50" s="2" t="s">
        <v>24</v>
      </c>
      <c r="U50" s="10" t="str">
        <f t="shared" si="5"/>
        <v>Jan</v>
      </c>
      <c r="V50" s="10">
        <f t="shared" si="4"/>
        <v>2025</v>
      </c>
      <c r="W50" t="e" cm="1">
        <f t="array" ref="W50">_xlfn.IFS(U50="January",1,U50="February",2,U50="March",3,U50="April",4,U50="May",5,U50="June",6,U50="July",7,U50="August",8,U50="September",9,U50="October",10,U50="November",11,U50="December",12)</f>
        <v>#N/A</v>
      </c>
    </row>
    <row r="51" spans="1:23" ht="15.75" customHeight="1" x14ac:dyDescent="0.25">
      <c r="A51" s="2" t="s">
        <v>963</v>
      </c>
      <c r="B51" s="3">
        <v>45664.562488425923</v>
      </c>
      <c r="C51" s="2" t="s">
        <v>109</v>
      </c>
      <c r="D51" s="2" t="s">
        <v>49</v>
      </c>
      <c r="E51" s="2" t="s">
        <v>81</v>
      </c>
      <c r="F51" s="2" t="str" cm="1">
        <f t="array" ref="F51:G51">_xlfn.TEXTSPLIT(E51," - ")</f>
        <v>Minyak Goreng</v>
      </c>
      <c r="G51" s="2" t="str">
        <v>Brand B</v>
      </c>
      <c r="H51" s="5">
        <v>17000</v>
      </c>
      <c r="I51" s="2">
        <v>1</v>
      </c>
      <c r="J51" s="2">
        <v>10</v>
      </c>
      <c r="K51" s="8">
        <f t="shared" si="0"/>
        <v>17000</v>
      </c>
      <c r="L51" s="8">
        <f t="shared" si="1"/>
        <v>1700</v>
      </c>
      <c r="M51" s="8">
        <f t="shared" si="2"/>
        <v>15300</v>
      </c>
      <c r="N51" s="5">
        <v>0</v>
      </c>
      <c r="O51" s="8">
        <f t="shared" si="3"/>
        <v>15300</v>
      </c>
      <c r="P51" s="2" t="s">
        <v>35</v>
      </c>
      <c r="Q51" s="10" t="str">
        <f>VLOOKUP(A51,Status!A:B,2,0)</f>
        <v>Returned</v>
      </c>
      <c r="R51" s="2" t="s">
        <v>46</v>
      </c>
      <c r="S51" s="2">
        <v>1</v>
      </c>
      <c r="T51" s="2" t="s">
        <v>24</v>
      </c>
      <c r="U51" s="10" t="str">
        <f t="shared" si="5"/>
        <v>Jan</v>
      </c>
      <c r="V51" s="10">
        <f t="shared" si="4"/>
        <v>2025</v>
      </c>
      <c r="W51" t="e" cm="1">
        <f t="array" ref="W51">_xlfn.IFS(U51="January",1,U51="February",2,U51="March",3,U51="April",4,U51="May",5,U51="June",6,U51="July",7,U51="August",8,U51="September",9,U51="October",10,U51="November",11,U51="December",12)</f>
        <v>#N/A</v>
      </c>
    </row>
    <row r="52" spans="1:23" ht="15.75" customHeight="1" x14ac:dyDescent="0.25">
      <c r="A52" s="2" t="s">
        <v>964</v>
      </c>
      <c r="B52" s="3">
        <v>45664.605219907397</v>
      </c>
      <c r="C52" s="2" t="s">
        <v>502</v>
      </c>
      <c r="D52" s="2" t="s">
        <v>107</v>
      </c>
      <c r="E52" s="2" t="s">
        <v>50</v>
      </c>
      <c r="F52" s="2" t="str" cm="1">
        <f t="array" ref="F52:G52">_xlfn.TEXTSPLIT(E52," - ")</f>
        <v>Tepung Terigu</v>
      </c>
      <c r="G52" s="2" t="str">
        <v>Brand C</v>
      </c>
      <c r="H52" s="5">
        <v>14000</v>
      </c>
      <c r="I52" s="2">
        <v>4</v>
      </c>
      <c r="J52" s="2">
        <v>10</v>
      </c>
      <c r="K52" s="8">
        <f t="shared" si="0"/>
        <v>56000</v>
      </c>
      <c r="L52" s="8">
        <f t="shared" si="1"/>
        <v>5600</v>
      </c>
      <c r="M52" s="8">
        <f t="shared" si="2"/>
        <v>50400</v>
      </c>
      <c r="N52" s="5">
        <v>97000</v>
      </c>
      <c r="O52" s="8">
        <f t="shared" si="3"/>
        <v>147400</v>
      </c>
      <c r="P52" s="2" t="s">
        <v>29</v>
      </c>
      <c r="Q52" s="10" t="str">
        <f>VLOOKUP(A52,Status!A:B,2,0)</f>
        <v>Completed</v>
      </c>
      <c r="R52" s="2" t="s">
        <v>23</v>
      </c>
      <c r="S52" s="2">
        <v>3</v>
      </c>
      <c r="T52" s="2" t="s">
        <v>24</v>
      </c>
      <c r="U52" s="10" t="str">
        <f t="shared" si="5"/>
        <v>Jan</v>
      </c>
      <c r="V52" s="10">
        <f t="shared" si="4"/>
        <v>2025</v>
      </c>
      <c r="W52" t="e" cm="1">
        <f t="array" ref="W52">_xlfn.IFS(U52="January",1,U52="February",2,U52="March",3,U52="April",4,U52="May",5,U52="June",6,U52="July",7,U52="August",8,U52="September",9,U52="October",10,U52="November",11,U52="December",12)</f>
        <v>#N/A</v>
      </c>
    </row>
    <row r="53" spans="1:23" ht="15.75" customHeight="1" x14ac:dyDescent="0.25">
      <c r="A53" s="2" t="s">
        <v>965</v>
      </c>
      <c r="B53" s="3">
        <v>45664.648668981477</v>
      </c>
      <c r="C53" s="2" t="s">
        <v>201</v>
      </c>
      <c r="D53" s="2" t="s">
        <v>107</v>
      </c>
      <c r="E53" s="2" t="s">
        <v>123</v>
      </c>
      <c r="F53" s="2" t="str" cm="1">
        <f t="array" ref="F53:G53">_xlfn.TEXTSPLIT(E53," - ")</f>
        <v>Telur Ayam</v>
      </c>
      <c r="G53" s="2" t="str">
        <v>Brand A</v>
      </c>
      <c r="H53" s="5">
        <v>22000</v>
      </c>
      <c r="I53" s="2">
        <v>5</v>
      </c>
      <c r="J53" s="2">
        <v>20</v>
      </c>
      <c r="K53" s="8">
        <f t="shared" si="0"/>
        <v>110000</v>
      </c>
      <c r="L53" s="8">
        <f t="shared" si="1"/>
        <v>22000</v>
      </c>
      <c r="M53" s="8">
        <f t="shared" si="2"/>
        <v>88000</v>
      </c>
      <c r="N53" s="5">
        <v>97000</v>
      </c>
      <c r="O53" s="8">
        <f t="shared" si="3"/>
        <v>185000</v>
      </c>
      <c r="P53" s="2" t="s">
        <v>29</v>
      </c>
      <c r="Q53" s="10" t="str">
        <f>VLOOKUP(A53,Status!A:B,2,0)</f>
        <v>Completed</v>
      </c>
      <c r="R53" s="2" t="s">
        <v>30</v>
      </c>
      <c r="S53" s="2">
        <v>4</v>
      </c>
      <c r="T53" s="2" t="s">
        <v>24</v>
      </c>
      <c r="U53" s="10" t="str">
        <f t="shared" si="5"/>
        <v>Jan</v>
      </c>
      <c r="V53" s="10">
        <f t="shared" si="4"/>
        <v>2025</v>
      </c>
      <c r="W53" t="e" cm="1">
        <f t="array" ref="W53">_xlfn.IFS(U53="January",1,U53="February",2,U53="March",3,U53="April",4,U53="May",5,U53="June",6,U53="July",7,U53="August",8,U53="September",9,U53="October",10,U53="November",11,U53="December",12)</f>
        <v>#N/A</v>
      </c>
    </row>
    <row r="54" spans="1:23" ht="15.75" customHeight="1" x14ac:dyDescent="0.25">
      <c r="A54" s="2" t="s">
        <v>966</v>
      </c>
      <c r="B54" s="3">
        <v>45664.860509259262</v>
      </c>
      <c r="C54" s="2" t="s">
        <v>570</v>
      </c>
      <c r="D54" s="2" t="s">
        <v>80</v>
      </c>
      <c r="E54" s="2" t="s">
        <v>136</v>
      </c>
      <c r="F54" s="2" t="str" cm="1">
        <f t="array" ref="F54:G54">_xlfn.TEXTSPLIT(E54," - ")</f>
        <v>Tepung Terigu</v>
      </c>
      <c r="G54" s="2" t="str">
        <v>Brand B</v>
      </c>
      <c r="H54" s="5">
        <v>12000</v>
      </c>
      <c r="I54" s="2">
        <v>2</v>
      </c>
      <c r="J54" s="2">
        <v>10</v>
      </c>
      <c r="K54" s="8">
        <f t="shared" si="0"/>
        <v>24000</v>
      </c>
      <c r="L54" s="8">
        <f t="shared" si="1"/>
        <v>2400</v>
      </c>
      <c r="M54" s="8">
        <f t="shared" si="2"/>
        <v>21600</v>
      </c>
      <c r="N54" s="5">
        <v>74000</v>
      </c>
      <c r="O54" s="8">
        <f t="shared" si="3"/>
        <v>95600</v>
      </c>
      <c r="P54" s="2" t="s">
        <v>63</v>
      </c>
      <c r="Q54" s="10" t="str">
        <f>VLOOKUP(A54,Status!A:B,2,0)</f>
        <v>Completed</v>
      </c>
      <c r="R54" s="2" t="s">
        <v>30</v>
      </c>
      <c r="S54" s="2">
        <v>1</v>
      </c>
      <c r="T54" s="2" t="s">
        <v>24</v>
      </c>
      <c r="U54" s="10" t="str">
        <f t="shared" si="5"/>
        <v>Jan</v>
      </c>
      <c r="V54" s="10">
        <f t="shared" si="4"/>
        <v>2025</v>
      </c>
      <c r="W54" t="e" cm="1">
        <f t="array" ref="W54">_xlfn.IFS(U54="January",1,U54="February",2,U54="March",3,U54="April",4,U54="May",5,U54="June",6,U54="July",7,U54="August",8,U54="September",9,U54="October",10,U54="November",11,U54="December",12)</f>
        <v>#N/A</v>
      </c>
    </row>
    <row r="55" spans="1:23" ht="15.75" customHeight="1" x14ac:dyDescent="0.25">
      <c r="A55" s="2" t="s">
        <v>967</v>
      </c>
      <c r="B55" s="3">
        <v>45664.912847222222</v>
      </c>
      <c r="C55" s="2" t="s">
        <v>201</v>
      </c>
      <c r="D55" s="2" t="s">
        <v>107</v>
      </c>
      <c r="E55" s="2" t="s">
        <v>50</v>
      </c>
      <c r="F55" s="2" t="str" cm="1">
        <f t="array" ref="F55:G55">_xlfn.TEXTSPLIT(E55," - ")</f>
        <v>Tepung Terigu</v>
      </c>
      <c r="G55" s="2" t="str">
        <v>Brand C</v>
      </c>
      <c r="H55" s="5">
        <v>14000</v>
      </c>
      <c r="I55" s="2">
        <v>2</v>
      </c>
      <c r="J55" s="2">
        <v>0</v>
      </c>
      <c r="K55" s="8">
        <f t="shared" si="0"/>
        <v>28000</v>
      </c>
      <c r="L55" s="8">
        <f t="shared" si="1"/>
        <v>0</v>
      </c>
      <c r="M55" s="8">
        <f t="shared" si="2"/>
        <v>28000</v>
      </c>
      <c r="N55" s="5">
        <v>97000</v>
      </c>
      <c r="O55" s="8">
        <f t="shared" si="3"/>
        <v>125000</v>
      </c>
      <c r="P55" s="2" t="s">
        <v>35</v>
      </c>
      <c r="Q55" s="10" t="str">
        <f>VLOOKUP(A55,Status!A:B,2,0)</f>
        <v>Completed</v>
      </c>
      <c r="R55" s="2" t="s">
        <v>30</v>
      </c>
      <c r="S55" s="2">
        <v>5</v>
      </c>
      <c r="T55" s="2" t="s">
        <v>24</v>
      </c>
      <c r="U55" s="10" t="str">
        <f t="shared" si="5"/>
        <v>Jan</v>
      </c>
      <c r="V55" s="10">
        <f t="shared" si="4"/>
        <v>2025</v>
      </c>
      <c r="W55" t="e" cm="1">
        <f t="array" ref="W55">_xlfn.IFS(U55="January",1,U55="February",2,U55="March",3,U55="April",4,U55="May",5,U55="June",6,U55="July",7,U55="August",8,U55="September",9,U55="October",10,U55="November",11,U55="December",12)</f>
        <v>#N/A</v>
      </c>
    </row>
    <row r="56" spans="1:23" ht="15.75" customHeight="1" x14ac:dyDescent="0.25">
      <c r="A56" s="2" t="s">
        <v>968</v>
      </c>
      <c r="B56" s="3">
        <v>45664.963333333333</v>
      </c>
      <c r="C56" s="2" t="s">
        <v>969</v>
      </c>
      <c r="D56" s="2" t="s">
        <v>177</v>
      </c>
      <c r="E56" s="2" t="s">
        <v>250</v>
      </c>
      <c r="F56" s="2" t="str" cm="1">
        <f t="array" ref="F56:G56">_xlfn.TEXTSPLIT(E56," - ")</f>
        <v>Minyak Goreng</v>
      </c>
      <c r="G56" s="2" t="str">
        <v>Brand C</v>
      </c>
      <c r="H56" s="5">
        <v>18000</v>
      </c>
      <c r="I56" s="2">
        <v>3</v>
      </c>
      <c r="J56" s="2">
        <v>10</v>
      </c>
      <c r="K56" s="8">
        <f t="shared" si="0"/>
        <v>54000</v>
      </c>
      <c r="L56" s="8">
        <f t="shared" si="1"/>
        <v>5400</v>
      </c>
      <c r="M56" s="8">
        <f t="shared" si="2"/>
        <v>48600</v>
      </c>
      <c r="N56" s="5">
        <v>56000</v>
      </c>
      <c r="O56" s="8">
        <f t="shared" si="3"/>
        <v>104600</v>
      </c>
      <c r="P56" s="2" t="s">
        <v>29</v>
      </c>
      <c r="Q56" s="10" t="str">
        <f>VLOOKUP(A56,Status!A:B,2,0)</f>
        <v>Completed</v>
      </c>
      <c r="R56" s="2" t="s">
        <v>82</v>
      </c>
      <c r="S56" s="2">
        <v>3</v>
      </c>
      <c r="T56" s="2" t="s">
        <v>24</v>
      </c>
      <c r="U56" s="10" t="str">
        <f t="shared" si="5"/>
        <v>Jan</v>
      </c>
      <c r="V56" s="10">
        <f t="shared" si="4"/>
        <v>2025</v>
      </c>
      <c r="W56" t="e" cm="1">
        <f t="array" ref="W56">_xlfn.IFS(U56="January",1,U56="February",2,U56="March",3,U56="April",4,U56="May",5,U56="June",6,U56="July",7,U56="August",8,U56="September",9,U56="October",10,U56="November",11,U56="December",12)</f>
        <v>#N/A</v>
      </c>
    </row>
    <row r="57" spans="1:23" ht="15.75" customHeight="1" x14ac:dyDescent="0.25">
      <c r="A57" s="2" t="s">
        <v>970</v>
      </c>
      <c r="B57" s="3">
        <v>45665.305381944447</v>
      </c>
      <c r="C57" s="2" t="s">
        <v>457</v>
      </c>
      <c r="D57" s="2" t="s">
        <v>80</v>
      </c>
      <c r="E57" s="2" t="s">
        <v>85</v>
      </c>
      <c r="F57" s="2" t="str" cm="1">
        <f t="array" ref="F57:G57">_xlfn.TEXTSPLIT(E57," - ")</f>
        <v>Daging Ayam</v>
      </c>
      <c r="G57" s="2" t="str">
        <v>Brand A</v>
      </c>
      <c r="H57" s="5">
        <v>35000</v>
      </c>
      <c r="I57" s="2">
        <v>4</v>
      </c>
      <c r="J57" s="2">
        <v>15</v>
      </c>
      <c r="K57" s="8">
        <f t="shared" si="0"/>
        <v>140000</v>
      </c>
      <c r="L57" s="8">
        <f t="shared" si="1"/>
        <v>21000</v>
      </c>
      <c r="M57" s="8">
        <f t="shared" si="2"/>
        <v>119000</v>
      </c>
      <c r="N57" s="5">
        <v>74000</v>
      </c>
      <c r="O57" s="8">
        <f t="shared" si="3"/>
        <v>193000</v>
      </c>
      <c r="P57" s="2" t="s">
        <v>63</v>
      </c>
      <c r="Q57" s="10" t="str">
        <f>VLOOKUP(A57,Status!A:B,2,0)</f>
        <v>Completed</v>
      </c>
      <c r="R57" s="2" t="s">
        <v>82</v>
      </c>
      <c r="S57" s="2">
        <v>1</v>
      </c>
      <c r="T57" s="2" t="s">
        <v>24</v>
      </c>
      <c r="U57" s="10" t="str">
        <f t="shared" si="5"/>
        <v>Jan</v>
      </c>
      <c r="V57" s="10">
        <f t="shared" si="4"/>
        <v>2025</v>
      </c>
      <c r="W57" t="e" cm="1">
        <f t="array" ref="W57">_xlfn.IFS(U57="January",1,U57="February",2,U57="March",3,U57="April",4,U57="May",5,U57="June",6,U57="July",7,U57="August",8,U57="September",9,U57="October",10,U57="November",11,U57="December",12)</f>
        <v>#N/A</v>
      </c>
    </row>
    <row r="58" spans="1:23" ht="15.75" customHeight="1" x14ac:dyDescent="0.25">
      <c r="A58" s="2" t="s">
        <v>970</v>
      </c>
      <c r="B58" s="3">
        <v>45665.305381944447</v>
      </c>
      <c r="C58" s="2" t="s">
        <v>457</v>
      </c>
      <c r="D58" s="2" t="s">
        <v>80</v>
      </c>
      <c r="E58" s="2" t="s">
        <v>88</v>
      </c>
      <c r="F58" s="2" t="str" cm="1">
        <f t="array" ref="F58:G58">_xlfn.TEXTSPLIT(E58," - ")</f>
        <v>Beras</v>
      </c>
      <c r="G58" s="2" t="str">
        <v>Brand A</v>
      </c>
      <c r="H58" s="5">
        <v>14000</v>
      </c>
      <c r="I58" s="2">
        <v>3</v>
      </c>
      <c r="J58" s="2">
        <v>10</v>
      </c>
      <c r="K58" s="8">
        <f t="shared" si="0"/>
        <v>42000</v>
      </c>
      <c r="L58" s="8">
        <f t="shared" si="1"/>
        <v>4200</v>
      </c>
      <c r="M58" s="8">
        <f t="shared" si="2"/>
        <v>37800</v>
      </c>
      <c r="N58" s="5">
        <v>0</v>
      </c>
      <c r="O58" s="8">
        <f t="shared" si="3"/>
        <v>37800</v>
      </c>
      <c r="P58" s="2" t="s">
        <v>63</v>
      </c>
      <c r="Q58" s="10" t="str">
        <f>VLOOKUP(A58,Status!A:B,2,0)</f>
        <v>Completed</v>
      </c>
      <c r="R58" s="2" t="s">
        <v>82</v>
      </c>
      <c r="S58" s="2">
        <v>1</v>
      </c>
      <c r="T58" s="2" t="s">
        <v>24</v>
      </c>
      <c r="U58" s="10" t="str">
        <f t="shared" si="5"/>
        <v>Jan</v>
      </c>
      <c r="V58" s="10">
        <f t="shared" si="4"/>
        <v>2025</v>
      </c>
      <c r="W58" t="e" cm="1">
        <f t="array" ref="W58">_xlfn.IFS(U58="January",1,U58="February",2,U58="March",3,U58="April",4,U58="May",5,U58="June",6,U58="July",7,U58="August",8,U58="September",9,U58="October",10,U58="November",11,U58="December",12)</f>
        <v>#N/A</v>
      </c>
    </row>
    <row r="59" spans="1:23" ht="15.75" customHeight="1" x14ac:dyDescent="0.25">
      <c r="A59" s="2" t="s">
        <v>971</v>
      </c>
      <c r="B59" s="3">
        <v>45666.095324074071</v>
      </c>
      <c r="C59" s="2" t="s">
        <v>252</v>
      </c>
      <c r="D59" s="2" t="s">
        <v>131</v>
      </c>
      <c r="E59" s="2" t="s">
        <v>21</v>
      </c>
      <c r="F59" s="2" t="str" cm="1">
        <f t="array" ref="F59:G59">_xlfn.TEXTSPLIT(E59," - ")</f>
        <v>Daging Ayam</v>
      </c>
      <c r="G59" s="2" t="str">
        <v>Brand C</v>
      </c>
      <c r="H59" s="5">
        <v>45000</v>
      </c>
      <c r="I59" s="2">
        <v>1</v>
      </c>
      <c r="J59" s="2">
        <v>5</v>
      </c>
      <c r="K59" s="8">
        <f t="shared" si="0"/>
        <v>45000</v>
      </c>
      <c r="L59" s="8">
        <f t="shared" si="1"/>
        <v>2250</v>
      </c>
      <c r="M59" s="8">
        <f t="shared" si="2"/>
        <v>42750</v>
      </c>
      <c r="N59" s="5">
        <v>59000</v>
      </c>
      <c r="O59" s="8">
        <f t="shared" si="3"/>
        <v>101750</v>
      </c>
      <c r="P59" s="2" t="s">
        <v>22</v>
      </c>
      <c r="Q59" s="10" t="str">
        <f>VLOOKUP(A59,Status!A:B,2,0)</f>
        <v>Returned</v>
      </c>
      <c r="R59" s="2" t="s">
        <v>46</v>
      </c>
      <c r="S59" s="2">
        <v>4</v>
      </c>
      <c r="T59" s="2" t="s">
        <v>24</v>
      </c>
      <c r="U59" s="10" t="str">
        <f t="shared" si="5"/>
        <v>Jan</v>
      </c>
      <c r="V59" s="10">
        <f t="shared" si="4"/>
        <v>2025</v>
      </c>
      <c r="W59" t="e" cm="1">
        <f t="array" ref="W59">_xlfn.IFS(U59="January",1,U59="February",2,U59="March",3,U59="April",4,U59="May",5,U59="June",6,U59="July",7,U59="August",8,U59="September",9,U59="October",10,U59="November",11,U59="December",12)</f>
        <v>#N/A</v>
      </c>
    </row>
    <row r="60" spans="1:23" ht="15.75" customHeight="1" x14ac:dyDescent="0.25">
      <c r="A60" s="2" t="s">
        <v>972</v>
      </c>
      <c r="B60" s="3">
        <v>45667.553425925929</v>
      </c>
      <c r="C60" s="2" t="s">
        <v>598</v>
      </c>
      <c r="D60" s="2" t="s">
        <v>61</v>
      </c>
      <c r="E60" s="2" t="s">
        <v>138</v>
      </c>
      <c r="F60" s="2" t="str" cm="1">
        <f t="array" ref="F60:G60">_xlfn.TEXTSPLIT(E60," - ")</f>
        <v>Gula Pasir</v>
      </c>
      <c r="G60" s="2" t="str">
        <v>Brand B</v>
      </c>
      <c r="H60" s="5">
        <v>17000</v>
      </c>
      <c r="I60" s="2">
        <v>4</v>
      </c>
      <c r="J60" s="2">
        <v>5</v>
      </c>
      <c r="K60" s="8">
        <f t="shared" si="0"/>
        <v>68000</v>
      </c>
      <c r="L60" s="8">
        <f t="shared" si="1"/>
        <v>3400</v>
      </c>
      <c r="M60" s="8">
        <f t="shared" si="2"/>
        <v>64600</v>
      </c>
      <c r="N60" s="5">
        <v>26000</v>
      </c>
      <c r="O60" s="8">
        <f t="shared" si="3"/>
        <v>90600</v>
      </c>
      <c r="P60" s="2" t="s">
        <v>35</v>
      </c>
      <c r="Q60" s="10" t="str">
        <f>VLOOKUP(A60,Status!A:B,2,0)</f>
        <v>Returned</v>
      </c>
      <c r="R60" s="2" t="s">
        <v>23</v>
      </c>
      <c r="S60" s="2">
        <v>3</v>
      </c>
      <c r="T60" s="2" t="s">
        <v>24</v>
      </c>
      <c r="U60" s="10" t="str">
        <f t="shared" si="5"/>
        <v>Jan</v>
      </c>
      <c r="V60" s="10">
        <f t="shared" si="4"/>
        <v>2025</v>
      </c>
      <c r="W60" t="e" cm="1">
        <f t="array" ref="W60">_xlfn.IFS(U60="January",1,U60="February",2,U60="March",3,U60="April",4,U60="May",5,U60="June",6,U60="July",7,U60="August",8,U60="September",9,U60="October",10,U60="November",11,U60="December",12)</f>
        <v>#N/A</v>
      </c>
    </row>
    <row r="61" spans="1:23" ht="15.75" customHeight="1" x14ac:dyDescent="0.25">
      <c r="A61" s="2" t="s">
        <v>973</v>
      </c>
      <c r="B61" s="3">
        <v>45667.567615740743</v>
      </c>
      <c r="C61" s="2" t="s">
        <v>314</v>
      </c>
      <c r="D61" s="2" t="s">
        <v>113</v>
      </c>
      <c r="E61" s="2" t="s">
        <v>38</v>
      </c>
      <c r="F61" s="2" t="str" cm="1">
        <f t="array" ref="F61:G61">_xlfn.TEXTSPLIT(E61," - ")</f>
        <v>Telur Ayam</v>
      </c>
      <c r="G61" s="2" t="str">
        <v>Brand C</v>
      </c>
      <c r="H61" s="5">
        <v>28000</v>
      </c>
      <c r="I61" s="2">
        <v>5</v>
      </c>
      <c r="J61" s="2">
        <v>10</v>
      </c>
      <c r="K61" s="8">
        <f t="shared" si="0"/>
        <v>140000</v>
      </c>
      <c r="L61" s="8">
        <f t="shared" si="1"/>
        <v>14000</v>
      </c>
      <c r="M61" s="8">
        <f t="shared" si="2"/>
        <v>126000</v>
      </c>
      <c r="N61" s="5">
        <v>18000</v>
      </c>
      <c r="O61" s="8">
        <f t="shared" si="3"/>
        <v>144000</v>
      </c>
      <c r="P61" s="2" t="s">
        <v>63</v>
      </c>
      <c r="Q61" s="10" t="str">
        <f>VLOOKUP(A61,Status!A:B,2,0)</f>
        <v>Completed</v>
      </c>
      <c r="R61" s="2" t="s">
        <v>36</v>
      </c>
      <c r="S61" s="2">
        <v>1</v>
      </c>
      <c r="T61" s="2" t="s">
        <v>24</v>
      </c>
      <c r="U61" s="10" t="str">
        <f t="shared" si="5"/>
        <v>Jan</v>
      </c>
      <c r="V61" s="10">
        <f t="shared" si="4"/>
        <v>2025</v>
      </c>
      <c r="W61" t="e" cm="1">
        <f t="array" ref="W61">_xlfn.IFS(U61="January",1,U61="February",2,U61="March",3,U61="April",4,U61="May",5,U61="June",6,U61="July",7,U61="August",8,U61="September",9,U61="October",10,U61="November",11,U61="December",12)</f>
        <v>#N/A</v>
      </c>
    </row>
    <row r="62" spans="1:23" ht="15.75" customHeight="1" x14ac:dyDescent="0.25">
      <c r="A62" s="2" t="s">
        <v>973</v>
      </c>
      <c r="B62" s="3">
        <v>45667.567615740743</v>
      </c>
      <c r="C62" s="2" t="s">
        <v>314</v>
      </c>
      <c r="D62" s="2" t="s">
        <v>113</v>
      </c>
      <c r="E62" s="2" t="s">
        <v>136</v>
      </c>
      <c r="F62" s="2" t="str" cm="1">
        <f t="array" ref="F62:G62">_xlfn.TEXTSPLIT(E62," - ")</f>
        <v>Tepung Terigu</v>
      </c>
      <c r="G62" s="2" t="str">
        <v>Brand B</v>
      </c>
      <c r="H62" s="5">
        <v>12000</v>
      </c>
      <c r="I62" s="2">
        <v>3</v>
      </c>
      <c r="J62" s="2">
        <v>5</v>
      </c>
      <c r="K62" s="8">
        <f t="shared" si="0"/>
        <v>36000</v>
      </c>
      <c r="L62" s="8">
        <f t="shared" si="1"/>
        <v>1800</v>
      </c>
      <c r="M62" s="8">
        <f t="shared" si="2"/>
        <v>34200</v>
      </c>
      <c r="N62" s="5">
        <v>0</v>
      </c>
      <c r="O62" s="8">
        <f t="shared" si="3"/>
        <v>34200</v>
      </c>
      <c r="P62" s="2" t="s">
        <v>63</v>
      </c>
      <c r="Q62" s="10" t="str">
        <f>VLOOKUP(A62,Status!A:B,2,0)</f>
        <v>Completed</v>
      </c>
      <c r="R62" s="2" t="s">
        <v>36</v>
      </c>
      <c r="S62" s="2">
        <v>1</v>
      </c>
      <c r="T62" s="2" t="s">
        <v>24</v>
      </c>
      <c r="U62" s="10" t="str">
        <f t="shared" si="5"/>
        <v>Jan</v>
      </c>
      <c r="V62" s="10">
        <f t="shared" si="4"/>
        <v>2025</v>
      </c>
      <c r="W62" t="e" cm="1">
        <f t="array" ref="W62">_xlfn.IFS(U62="January",1,U62="February",2,U62="March",3,U62="April",4,U62="May",5,U62="June",6,U62="July",7,U62="August",8,U62="September",9,U62="October",10,U62="November",11,U62="December",12)</f>
        <v>#N/A</v>
      </c>
    </row>
    <row r="63" spans="1:23" ht="15.75" customHeight="1" x14ac:dyDescent="0.25">
      <c r="A63" s="2" t="s">
        <v>974</v>
      </c>
      <c r="B63" s="3">
        <v>45667.742673611108</v>
      </c>
      <c r="C63" s="2" t="s">
        <v>796</v>
      </c>
      <c r="D63" s="2" t="s">
        <v>119</v>
      </c>
      <c r="E63" s="2" t="s">
        <v>174</v>
      </c>
      <c r="F63" s="2" t="str" cm="1">
        <f t="array" ref="F63:G63">_xlfn.TEXTSPLIT(E63," - ")</f>
        <v>Tepung Terigu</v>
      </c>
      <c r="G63" s="2" t="str">
        <v>Brand A</v>
      </c>
      <c r="H63" s="5">
        <v>10000</v>
      </c>
      <c r="I63" s="2">
        <v>4</v>
      </c>
      <c r="J63" s="2">
        <v>15</v>
      </c>
      <c r="K63" s="8">
        <f t="shared" si="0"/>
        <v>40000</v>
      </c>
      <c r="L63" s="8">
        <f t="shared" si="1"/>
        <v>6000</v>
      </c>
      <c r="M63" s="8">
        <f t="shared" si="2"/>
        <v>34000</v>
      </c>
      <c r="N63" s="5">
        <v>0</v>
      </c>
      <c r="O63" s="8">
        <f t="shared" si="3"/>
        <v>34000</v>
      </c>
      <c r="P63" s="2" t="s">
        <v>29</v>
      </c>
      <c r="Q63" s="10" t="str">
        <f>VLOOKUP(A63,Status!A:B,2,0)</f>
        <v>Completed</v>
      </c>
      <c r="R63" s="2" t="s">
        <v>23</v>
      </c>
      <c r="S63" s="2">
        <v>3</v>
      </c>
      <c r="T63" s="2" t="s">
        <v>24</v>
      </c>
      <c r="U63" s="10" t="str">
        <f t="shared" si="5"/>
        <v>Jan</v>
      </c>
      <c r="V63" s="10">
        <f t="shared" si="4"/>
        <v>2025</v>
      </c>
      <c r="W63" t="e" cm="1">
        <f t="array" ref="W63">_xlfn.IFS(U63="January",1,U63="February",2,U63="March",3,U63="April",4,U63="May",5,U63="June",6,U63="July",7,U63="August",8,U63="September",9,U63="October",10,U63="November",11,U63="December",12)</f>
        <v>#N/A</v>
      </c>
    </row>
    <row r="64" spans="1:23" ht="15.75" customHeight="1" x14ac:dyDescent="0.25">
      <c r="A64" s="2" t="s">
        <v>975</v>
      </c>
      <c r="B64" s="3">
        <v>45667.815451388888</v>
      </c>
      <c r="C64" s="2" t="s">
        <v>976</v>
      </c>
      <c r="D64" s="2" t="s">
        <v>182</v>
      </c>
      <c r="E64" s="2" t="s">
        <v>41</v>
      </c>
      <c r="F64" s="2" t="str" cm="1">
        <f t="array" ref="F64:G64">_xlfn.TEXTSPLIT(E64," - ")</f>
        <v>Garam</v>
      </c>
      <c r="G64" s="2" t="str">
        <v>Brand A</v>
      </c>
      <c r="H64" s="5">
        <v>4000</v>
      </c>
      <c r="I64" s="2">
        <v>3</v>
      </c>
      <c r="J64" s="2">
        <v>20</v>
      </c>
      <c r="K64" s="8">
        <f t="shared" si="0"/>
        <v>12000</v>
      </c>
      <c r="L64" s="8">
        <f t="shared" si="1"/>
        <v>2400</v>
      </c>
      <c r="M64" s="8">
        <f t="shared" si="2"/>
        <v>9600</v>
      </c>
      <c r="N64" s="5">
        <v>48000</v>
      </c>
      <c r="O64" s="8">
        <f t="shared" si="3"/>
        <v>57600</v>
      </c>
      <c r="P64" s="2" t="s">
        <v>29</v>
      </c>
      <c r="Q64" s="10" t="str">
        <f>VLOOKUP(A64,Status!A:B,2,0)</f>
        <v>Completed</v>
      </c>
      <c r="R64" s="2" t="s">
        <v>30</v>
      </c>
      <c r="S64" s="2">
        <v>3</v>
      </c>
      <c r="T64" s="2" t="s">
        <v>24</v>
      </c>
      <c r="U64" s="10" t="str">
        <f t="shared" si="5"/>
        <v>Jan</v>
      </c>
      <c r="V64" s="10">
        <f t="shared" si="4"/>
        <v>2025</v>
      </c>
      <c r="W64" t="e" cm="1">
        <f t="array" ref="W64">_xlfn.IFS(U64="January",1,U64="February",2,U64="March",3,U64="April",4,U64="May",5,U64="June",6,U64="July",7,U64="August",8,U64="September",9,U64="October",10,U64="November",11,U64="December",12)</f>
        <v>#N/A</v>
      </c>
    </row>
    <row r="65" spans="1:23" ht="15.75" customHeight="1" x14ac:dyDescent="0.25">
      <c r="A65" s="2" t="s">
        <v>977</v>
      </c>
      <c r="B65" s="3">
        <v>45668.026458333326</v>
      </c>
      <c r="C65" s="2" t="s">
        <v>205</v>
      </c>
      <c r="D65" s="2" t="s">
        <v>96</v>
      </c>
      <c r="E65" s="2" t="s">
        <v>45</v>
      </c>
      <c r="F65" s="2" t="str" cm="1">
        <f t="array" ref="F65:G65">_xlfn.TEXTSPLIT(E65," - ")</f>
        <v>Daging Ayam</v>
      </c>
      <c r="G65" s="2" t="str">
        <v>Brand B</v>
      </c>
      <c r="H65" s="5">
        <v>40000</v>
      </c>
      <c r="I65" s="2">
        <v>1</v>
      </c>
      <c r="J65" s="2">
        <v>10</v>
      </c>
      <c r="K65" s="8">
        <f t="shared" si="0"/>
        <v>40000</v>
      </c>
      <c r="L65" s="8">
        <f t="shared" si="1"/>
        <v>4000</v>
      </c>
      <c r="M65" s="8">
        <f t="shared" si="2"/>
        <v>36000</v>
      </c>
      <c r="N65" s="5">
        <v>49000</v>
      </c>
      <c r="O65" s="8">
        <f t="shared" si="3"/>
        <v>85000</v>
      </c>
      <c r="P65" s="2" t="s">
        <v>63</v>
      </c>
      <c r="Q65" s="10" t="str">
        <f>VLOOKUP(A65,Status!A:B,2,0)</f>
        <v>Returned</v>
      </c>
      <c r="R65" s="2" t="s">
        <v>82</v>
      </c>
      <c r="S65" s="2">
        <v>1</v>
      </c>
      <c r="T65" s="2" t="s">
        <v>24</v>
      </c>
      <c r="U65" s="10" t="str">
        <f t="shared" si="5"/>
        <v>Jan</v>
      </c>
      <c r="V65" s="10">
        <f t="shared" si="4"/>
        <v>2025</v>
      </c>
      <c r="W65" t="e" cm="1">
        <f t="array" ref="W65">_xlfn.IFS(U65="January",1,U65="February",2,U65="March",3,U65="April",4,U65="May",5,U65="June",6,U65="July",7,U65="August",8,U65="September",9,U65="October",10,U65="November",11,U65="December",12)</f>
        <v>#N/A</v>
      </c>
    </row>
    <row r="66" spans="1:23" ht="15.75" customHeight="1" x14ac:dyDescent="0.25">
      <c r="A66" s="2" t="s">
        <v>978</v>
      </c>
      <c r="B66" s="3">
        <v>45668.094340277778</v>
      </c>
      <c r="C66" s="2" t="s">
        <v>979</v>
      </c>
      <c r="D66" s="2" t="s">
        <v>49</v>
      </c>
      <c r="E66" s="2" t="s">
        <v>104</v>
      </c>
      <c r="F66" s="2" t="str" cm="1">
        <f t="array" ref="F66:G66">_xlfn.TEXTSPLIT(E66," - ")</f>
        <v>Bawang Merah</v>
      </c>
      <c r="G66" s="2" t="str">
        <v>Brand A</v>
      </c>
      <c r="H66" s="5">
        <v>30000</v>
      </c>
      <c r="I66" s="2">
        <v>3</v>
      </c>
      <c r="J66" s="2">
        <v>10</v>
      </c>
      <c r="K66" s="8">
        <f t="shared" ref="K66:K129" si="6">H66*I66</f>
        <v>90000</v>
      </c>
      <c r="L66" s="8">
        <f t="shared" ref="L66:L129" si="7">K66*J66%</f>
        <v>9000</v>
      </c>
      <c r="M66" s="8">
        <f t="shared" ref="M66:M129" si="8">K66-L66</f>
        <v>81000</v>
      </c>
      <c r="N66" s="5">
        <v>43000</v>
      </c>
      <c r="O66" s="8">
        <f t="shared" ref="O66:O129" si="9">M66+N66</f>
        <v>124000</v>
      </c>
      <c r="P66" s="2" t="s">
        <v>35</v>
      </c>
      <c r="Q66" s="10" t="str">
        <f>VLOOKUP(A66,Status!A:B,2,0)</f>
        <v>Completed</v>
      </c>
      <c r="R66" s="2" t="s">
        <v>46</v>
      </c>
      <c r="S66" s="2">
        <v>2</v>
      </c>
      <c r="T66" s="2" t="s">
        <v>24</v>
      </c>
      <c r="U66" s="10" t="str">
        <f t="shared" si="5"/>
        <v>Jan</v>
      </c>
      <c r="V66" s="10">
        <f t="shared" ref="V66:V129" si="10">YEAR(B66)</f>
        <v>2025</v>
      </c>
      <c r="W66" t="e" cm="1">
        <f t="array" ref="W66">_xlfn.IFS(U66="January",1,U66="February",2,U66="March",3,U66="April",4,U66="May",5,U66="June",6,U66="July",7,U66="August",8,U66="September",9,U66="October",10,U66="November",11,U66="December",12)</f>
        <v>#N/A</v>
      </c>
    </row>
    <row r="67" spans="1:23" ht="15.75" customHeight="1" x14ac:dyDescent="0.25">
      <c r="A67" s="2" t="s">
        <v>980</v>
      </c>
      <c r="B67" s="3">
        <v>45668.260451388887</v>
      </c>
      <c r="C67" s="2" t="s">
        <v>589</v>
      </c>
      <c r="D67" s="2" t="s">
        <v>262</v>
      </c>
      <c r="E67" s="2" t="s">
        <v>71</v>
      </c>
      <c r="F67" s="2" t="str" cm="1">
        <f t="array" ref="F67:G67">_xlfn.TEXTSPLIT(E67," - ")</f>
        <v>Bawang Merah</v>
      </c>
      <c r="G67" s="2" t="str">
        <v>Brand C</v>
      </c>
      <c r="H67" s="5">
        <v>40000</v>
      </c>
      <c r="I67" s="2">
        <v>2</v>
      </c>
      <c r="J67" s="2">
        <v>5</v>
      </c>
      <c r="K67" s="8">
        <f t="shared" si="6"/>
        <v>80000</v>
      </c>
      <c r="L67" s="8">
        <f t="shared" si="7"/>
        <v>4000</v>
      </c>
      <c r="M67" s="8">
        <f t="shared" si="8"/>
        <v>76000</v>
      </c>
      <c r="N67" s="5">
        <v>18000</v>
      </c>
      <c r="O67" s="8">
        <f t="shared" si="9"/>
        <v>94000</v>
      </c>
      <c r="P67" s="2" t="s">
        <v>35</v>
      </c>
      <c r="Q67" s="10" t="str">
        <f>VLOOKUP(A67,Status!A:B,2,0)</f>
        <v>Cancelled</v>
      </c>
      <c r="R67" s="2" t="s">
        <v>82</v>
      </c>
      <c r="S67" s="2">
        <v>4</v>
      </c>
      <c r="T67" s="2" t="s">
        <v>37</v>
      </c>
      <c r="U67" s="10" t="str">
        <f t="shared" ref="U67:U130" si="11">TEXT(B67,"MMM")</f>
        <v>Jan</v>
      </c>
      <c r="V67" s="10">
        <f t="shared" si="10"/>
        <v>2025</v>
      </c>
      <c r="W67" t="e" cm="1">
        <f t="array" ref="W67">_xlfn.IFS(U67="January",1,U67="February",2,U67="March",3,U67="April",4,U67="May",5,U67="June",6,U67="July",7,U67="August",8,U67="September",9,U67="October",10,U67="November",11,U67="December",12)</f>
        <v>#N/A</v>
      </c>
    </row>
    <row r="68" spans="1:23" ht="15.75" customHeight="1" x14ac:dyDescent="0.25">
      <c r="A68" s="2" t="s">
        <v>981</v>
      </c>
      <c r="B68" s="3">
        <v>45668.354583333326</v>
      </c>
      <c r="C68" s="2" t="s">
        <v>314</v>
      </c>
      <c r="D68" s="2" t="s">
        <v>113</v>
      </c>
      <c r="E68" s="2" t="s">
        <v>41</v>
      </c>
      <c r="F68" s="2" t="str" cm="1">
        <f t="array" ref="F68:G68">_xlfn.TEXTSPLIT(E68," - ")</f>
        <v>Garam</v>
      </c>
      <c r="G68" s="2" t="str">
        <v>Brand A</v>
      </c>
      <c r="H68" s="5">
        <v>4000</v>
      </c>
      <c r="I68" s="2">
        <v>3</v>
      </c>
      <c r="J68" s="2">
        <v>10</v>
      </c>
      <c r="K68" s="8">
        <f t="shared" si="6"/>
        <v>12000</v>
      </c>
      <c r="L68" s="8">
        <f t="shared" si="7"/>
        <v>1200</v>
      </c>
      <c r="M68" s="8">
        <f t="shared" si="8"/>
        <v>10800</v>
      </c>
      <c r="N68" s="5">
        <v>18000</v>
      </c>
      <c r="O68" s="8">
        <f t="shared" si="9"/>
        <v>28800</v>
      </c>
      <c r="P68" s="2" t="s">
        <v>29</v>
      </c>
      <c r="Q68" s="10" t="str">
        <f>VLOOKUP(A68,Status!A:B,2,0)</f>
        <v>Cancelled</v>
      </c>
      <c r="R68" s="2" t="s">
        <v>36</v>
      </c>
      <c r="S68" s="2">
        <v>2</v>
      </c>
      <c r="T68" s="2" t="s">
        <v>24</v>
      </c>
      <c r="U68" s="10" t="str">
        <f t="shared" si="11"/>
        <v>Jan</v>
      </c>
      <c r="V68" s="10">
        <f t="shared" si="10"/>
        <v>2025</v>
      </c>
      <c r="W68" t="e" cm="1">
        <f t="array" ref="W68">_xlfn.IFS(U68="January",1,U68="February",2,U68="March",3,U68="April",4,U68="May",5,U68="June",6,U68="July",7,U68="August",8,U68="September",9,U68="October",10,U68="November",11,U68="December",12)</f>
        <v>#N/A</v>
      </c>
    </row>
    <row r="69" spans="1:23" ht="15.75" customHeight="1" x14ac:dyDescent="0.25">
      <c r="A69" s="2" t="s">
        <v>982</v>
      </c>
      <c r="B69" s="3">
        <v>45668.670682870368</v>
      </c>
      <c r="C69" s="2" t="s">
        <v>983</v>
      </c>
      <c r="D69" s="2" t="s">
        <v>262</v>
      </c>
      <c r="E69" s="2" t="s">
        <v>190</v>
      </c>
      <c r="F69" s="2" t="str" cm="1">
        <f t="array" ref="F69:G69">_xlfn.TEXTSPLIT(E69," - ")</f>
        <v>Bawang Merah</v>
      </c>
      <c r="G69" s="2" t="str">
        <v>Brand B</v>
      </c>
      <c r="H69" s="5">
        <v>35000</v>
      </c>
      <c r="I69" s="2">
        <v>2</v>
      </c>
      <c r="J69" s="2">
        <v>5</v>
      </c>
      <c r="K69" s="8">
        <f t="shared" si="6"/>
        <v>70000</v>
      </c>
      <c r="L69" s="8">
        <f t="shared" si="7"/>
        <v>3500</v>
      </c>
      <c r="M69" s="8">
        <f t="shared" si="8"/>
        <v>66500</v>
      </c>
      <c r="N69" s="5">
        <v>18000</v>
      </c>
      <c r="O69" s="8">
        <f t="shared" si="9"/>
        <v>84500</v>
      </c>
      <c r="P69" s="2" t="s">
        <v>35</v>
      </c>
      <c r="Q69" s="10" t="str">
        <f>VLOOKUP(A69,Status!A:B,2,0)</f>
        <v>Returned</v>
      </c>
      <c r="R69" s="2" t="s">
        <v>46</v>
      </c>
      <c r="S69" s="2">
        <v>2</v>
      </c>
      <c r="T69" s="2" t="s">
        <v>37</v>
      </c>
      <c r="U69" s="10" t="str">
        <f t="shared" si="11"/>
        <v>Jan</v>
      </c>
      <c r="V69" s="10">
        <f t="shared" si="10"/>
        <v>2025</v>
      </c>
      <c r="W69" t="e" cm="1">
        <f t="array" ref="W69">_xlfn.IFS(U69="January",1,U69="February",2,U69="March",3,U69="April",4,U69="May",5,U69="June",6,U69="July",7,U69="August",8,U69="September",9,U69="October",10,U69="November",11,U69="December",12)</f>
        <v>#N/A</v>
      </c>
    </row>
    <row r="70" spans="1:23" ht="15.75" customHeight="1" x14ac:dyDescent="0.25">
      <c r="A70" s="2" t="s">
        <v>984</v>
      </c>
      <c r="B70" s="3">
        <v>45668.785856481481</v>
      </c>
      <c r="C70" s="2" t="s">
        <v>985</v>
      </c>
      <c r="D70" s="2" t="s">
        <v>53</v>
      </c>
      <c r="E70" s="2" t="s">
        <v>93</v>
      </c>
      <c r="F70" s="2" t="str" cm="1">
        <f t="array" ref="F70:G70">_xlfn.TEXTSPLIT(E70," - ")</f>
        <v>Telur Ayam</v>
      </c>
      <c r="G70" s="2" t="str">
        <v>Brand B</v>
      </c>
      <c r="H70" s="5">
        <v>25000</v>
      </c>
      <c r="I70" s="2">
        <v>4</v>
      </c>
      <c r="J70" s="2">
        <v>0</v>
      </c>
      <c r="K70" s="8">
        <f t="shared" si="6"/>
        <v>100000</v>
      </c>
      <c r="L70" s="8">
        <f t="shared" si="7"/>
        <v>0</v>
      </c>
      <c r="M70" s="8">
        <f t="shared" si="8"/>
        <v>100000</v>
      </c>
      <c r="N70" s="5">
        <v>18000</v>
      </c>
      <c r="O70" s="8">
        <f t="shared" si="9"/>
        <v>118000</v>
      </c>
      <c r="P70" s="2" t="s">
        <v>22</v>
      </c>
      <c r="Q70" s="10" t="str">
        <f>VLOOKUP(A70,Status!A:B,2,0)</f>
        <v>Returned</v>
      </c>
      <c r="R70" s="2" t="s">
        <v>46</v>
      </c>
      <c r="S70" s="2">
        <v>5</v>
      </c>
      <c r="T70" s="2" t="s">
        <v>24</v>
      </c>
      <c r="U70" s="10" t="str">
        <f t="shared" si="11"/>
        <v>Jan</v>
      </c>
      <c r="V70" s="10">
        <f t="shared" si="10"/>
        <v>2025</v>
      </c>
      <c r="W70" t="e" cm="1">
        <f t="array" ref="W70">_xlfn.IFS(U70="January",1,U70="February",2,U70="March",3,U70="April",4,U70="May",5,U70="June",6,U70="July",7,U70="August",8,U70="September",9,U70="October",10,U70="November",11,U70="December",12)</f>
        <v>#N/A</v>
      </c>
    </row>
    <row r="71" spans="1:23" ht="15.75" customHeight="1" x14ac:dyDescent="0.25">
      <c r="A71" s="2" t="s">
        <v>986</v>
      </c>
      <c r="B71" s="3">
        <v>45668.833958333344</v>
      </c>
      <c r="C71" s="2" t="s">
        <v>497</v>
      </c>
      <c r="D71" s="2" t="s">
        <v>173</v>
      </c>
      <c r="E71" s="2" t="s">
        <v>174</v>
      </c>
      <c r="F71" s="2" t="str" cm="1">
        <f t="array" ref="F71:G71">_xlfn.TEXTSPLIT(E71," - ")</f>
        <v>Tepung Terigu</v>
      </c>
      <c r="G71" s="2" t="str">
        <v>Brand A</v>
      </c>
      <c r="H71" s="5">
        <v>10000</v>
      </c>
      <c r="I71" s="2">
        <v>3</v>
      </c>
      <c r="J71" s="2">
        <v>15</v>
      </c>
      <c r="K71" s="8">
        <f t="shared" si="6"/>
        <v>30000</v>
      </c>
      <c r="L71" s="8">
        <f t="shared" si="7"/>
        <v>4500</v>
      </c>
      <c r="M71" s="8">
        <f t="shared" si="8"/>
        <v>25500</v>
      </c>
      <c r="N71" s="5">
        <v>49000</v>
      </c>
      <c r="O71" s="8">
        <f t="shared" si="9"/>
        <v>74500</v>
      </c>
      <c r="P71" s="2" t="s">
        <v>63</v>
      </c>
      <c r="Q71" s="10" t="str">
        <f>VLOOKUP(A71,Status!A:B,2,0)</f>
        <v>Completed</v>
      </c>
      <c r="R71" s="2" t="s">
        <v>30</v>
      </c>
      <c r="S71" s="2">
        <v>3</v>
      </c>
      <c r="T71" s="2" t="s">
        <v>37</v>
      </c>
      <c r="U71" s="10" t="str">
        <f t="shared" si="11"/>
        <v>Jan</v>
      </c>
      <c r="V71" s="10">
        <f t="shared" si="10"/>
        <v>2025</v>
      </c>
      <c r="W71" t="e" cm="1">
        <f t="array" ref="W71">_xlfn.IFS(U71="January",1,U71="February",2,U71="March",3,U71="April",4,U71="May",5,U71="June",6,U71="July",7,U71="August",8,U71="September",9,U71="October",10,U71="November",11,U71="December",12)</f>
        <v>#N/A</v>
      </c>
    </row>
    <row r="72" spans="1:23" ht="15.75" customHeight="1" x14ac:dyDescent="0.25">
      <c r="A72" s="2" t="s">
        <v>987</v>
      </c>
      <c r="B72" s="3">
        <v>45668.920104166667</v>
      </c>
      <c r="C72" s="2" t="s">
        <v>211</v>
      </c>
      <c r="D72" s="2" t="s">
        <v>49</v>
      </c>
      <c r="E72" s="2" t="s">
        <v>85</v>
      </c>
      <c r="F72" s="2" t="str" cm="1">
        <f t="array" ref="F72:G72">_xlfn.TEXTSPLIT(E72," - ")</f>
        <v>Daging Ayam</v>
      </c>
      <c r="G72" s="2" t="str">
        <v>Brand A</v>
      </c>
      <c r="H72" s="5">
        <v>35000</v>
      </c>
      <c r="I72" s="2">
        <v>3</v>
      </c>
      <c r="J72" s="2">
        <v>5</v>
      </c>
      <c r="K72" s="8">
        <f t="shared" si="6"/>
        <v>105000</v>
      </c>
      <c r="L72" s="8">
        <f t="shared" si="7"/>
        <v>5250</v>
      </c>
      <c r="M72" s="8">
        <f t="shared" si="8"/>
        <v>99750</v>
      </c>
      <c r="N72" s="5">
        <v>43000</v>
      </c>
      <c r="O72" s="8">
        <f t="shared" si="9"/>
        <v>142750</v>
      </c>
      <c r="P72" s="2" t="s">
        <v>29</v>
      </c>
      <c r="Q72" s="10" t="str">
        <f>VLOOKUP(A72,Status!A:B,2,0)</f>
        <v>Returned</v>
      </c>
      <c r="R72" s="2" t="s">
        <v>46</v>
      </c>
      <c r="S72" s="2">
        <v>3</v>
      </c>
      <c r="T72" s="2" t="s">
        <v>24</v>
      </c>
      <c r="U72" s="10" t="str">
        <f t="shared" si="11"/>
        <v>Jan</v>
      </c>
      <c r="V72" s="10">
        <f t="shared" si="10"/>
        <v>2025</v>
      </c>
      <c r="W72" t="e" cm="1">
        <f t="array" ref="W72">_xlfn.IFS(U72="January",1,U72="February",2,U72="March",3,U72="April",4,U72="May",5,U72="June",6,U72="July",7,U72="August",8,U72="September",9,U72="October",10,U72="November",11,U72="December",12)</f>
        <v>#N/A</v>
      </c>
    </row>
    <row r="73" spans="1:23" ht="15.75" customHeight="1" x14ac:dyDescent="0.25">
      <c r="A73" s="2" t="s">
        <v>988</v>
      </c>
      <c r="B73" s="3">
        <v>45669.207800925928</v>
      </c>
      <c r="C73" s="2" t="s">
        <v>451</v>
      </c>
      <c r="D73" s="2" t="s">
        <v>116</v>
      </c>
      <c r="E73" s="2" t="s">
        <v>104</v>
      </c>
      <c r="F73" s="2" t="str" cm="1">
        <f t="array" ref="F73:G73">_xlfn.TEXTSPLIT(E73," - ")</f>
        <v>Bawang Merah</v>
      </c>
      <c r="G73" s="2" t="str">
        <v>Brand A</v>
      </c>
      <c r="H73" s="5">
        <v>30000</v>
      </c>
      <c r="I73" s="2">
        <v>2</v>
      </c>
      <c r="J73" s="2">
        <v>10</v>
      </c>
      <c r="K73" s="8">
        <f t="shared" si="6"/>
        <v>60000</v>
      </c>
      <c r="L73" s="8">
        <f t="shared" si="7"/>
        <v>6000</v>
      </c>
      <c r="M73" s="8">
        <f t="shared" si="8"/>
        <v>54000</v>
      </c>
      <c r="N73" s="5">
        <v>72000</v>
      </c>
      <c r="O73" s="8">
        <f t="shared" si="9"/>
        <v>126000</v>
      </c>
      <c r="P73" s="2" t="s">
        <v>63</v>
      </c>
      <c r="Q73" s="10" t="str">
        <f>VLOOKUP(A73,Status!A:B,2,0)</f>
        <v>Cancelled</v>
      </c>
      <c r="R73" s="2" t="s">
        <v>30</v>
      </c>
      <c r="S73" s="2">
        <v>5</v>
      </c>
      <c r="T73" s="2" t="s">
        <v>24</v>
      </c>
      <c r="U73" s="10" t="str">
        <f t="shared" si="11"/>
        <v>Jan</v>
      </c>
      <c r="V73" s="10">
        <f t="shared" si="10"/>
        <v>2025</v>
      </c>
      <c r="W73" t="e" cm="1">
        <f t="array" ref="W73">_xlfn.IFS(U73="January",1,U73="February",2,U73="March",3,U73="April",4,U73="May",5,U73="June",6,U73="July",7,U73="August",8,U73="September",9,U73="October",10,U73="November",11,U73="December",12)</f>
        <v>#N/A</v>
      </c>
    </row>
    <row r="74" spans="1:23" ht="15.75" customHeight="1" x14ac:dyDescent="0.25">
      <c r="A74" s="2" t="s">
        <v>989</v>
      </c>
      <c r="B74" s="3">
        <v>45669.40253472222</v>
      </c>
      <c r="C74" s="2" t="s">
        <v>990</v>
      </c>
      <c r="D74" s="2" t="s">
        <v>173</v>
      </c>
      <c r="E74" s="2" t="s">
        <v>138</v>
      </c>
      <c r="F74" s="2" t="str" cm="1">
        <f t="array" ref="F74:G74">_xlfn.TEXTSPLIT(E74," - ")</f>
        <v>Gula Pasir</v>
      </c>
      <c r="G74" s="2" t="str">
        <v>Brand B</v>
      </c>
      <c r="H74" s="5">
        <v>17000</v>
      </c>
      <c r="I74" s="2">
        <v>4</v>
      </c>
      <c r="J74" s="2">
        <v>20</v>
      </c>
      <c r="K74" s="8">
        <f t="shared" si="6"/>
        <v>68000</v>
      </c>
      <c r="L74" s="8">
        <f t="shared" si="7"/>
        <v>13600</v>
      </c>
      <c r="M74" s="8">
        <f t="shared" si="8"/>
        <v>54400</v>
      </c>
      <c r="N74" s="5">
        <v>49000</v>
      </c>
      <c r="O74" s="8">
        <f t="shared" si="9"/>
        <v>103400</v>
      </c>
      <c r="P74" s="2" t="s">
        <v>22</v>
      </c>
      <c r="Q74" s="10" t="str">
        <f>VLOOKUP(A74,Status!A:B,2,0)</f>
        <v>Completed</v>
      </c>
      <c r="R74" s="2" t="s">
        <v>82</v>
      </c>
      <c r="S74" s="2">
        <v>1</v>
      </c>
      <c r="T74" s="2" t="s">
        <v>24</v>
      </c>
      <c r="U74" s="10" t="str">
        <f t="shared" si="11"/>
        <v>Jan</v>
      </c>
      <c r="V74" s="10">
        <f t="shared" si="10"/>
        <v>2025</v>
      </c>
      <c r="W74" t="e" cm="1">
        <f t="array" ref="W74">_xlfn.IFS(U74="January",1,U74="February",2,U74="March",3,U74="April",4,U74="May",5,U74="June",6,U74="July",7,U74="August",8,U74="September",9,U74="October",10,U74="November",11,U74="December",12)</f>
        <v>#N/A</v>
      </c>
    </row>
    <row r="75" spans="1:23" ht="15.75" customHeight="1" x14ac:dyDescent="0.25">
      <c r="A75" s="2" t="s">
        <v>989</v>
      </c>
      <c r="B75" s="3">
        <v>45669.40253472222</v>
      </c>
      <c r="C75" s="2" t="s">
        <v>990</v>
      </c>
      <c r="D75" s="2" t="s">
        <v>173</v>
      </c>
      <c r="E75" s="2" t="s">
        <v>174</v>
      </c>
      <c r="F75" s="2" t="str" cm="1">
        <f t="array" ref="F75:G75">_xlfn.TEXTSPLIT(E75," - ")</f>
        <v>Tepung Terigu</v>
      </c>
      <c r="G75" s="2" t="str">
        <v>Brand A</v>
      </c>
      <c r="H75" s="5">
        <v>10000</v>
      </c>
      <c r="I75" s="2">
        <v>4</v>
      </c>
      <c r="J75" s="2">
        <v>10</v>
      </c>
      <c r="K75" s="8">
        <f t="shared" si="6"/>
        <v>40000</v>
      </c>
      <c r="L75" s="8">
        <f t="shared" si="7"/>
        <v>4000</v>
      </c>
      <c r="M75" s="8">
        <f t="shared" si="8"/>
        <v>36000</v>
      </c>
      <c r="N75" s="5">
        <v>0</v>
      </c>
      <c r="O75" s="8">
        <f t="shared" si="9"/>
        <v>36000</v>
      </c>
      <c r="P75" s="2" t="s">
        <v>22</v>
      </c>
      <c r="Q75" s="10" t="str">
        <f>VLOOKUP(A75,Status!A:B,2,0)</f>
        <v>Completed</v>
      </c>
      <c r="R75" s="2" t="s">
        <v>82</v>
      </c>
      <c r="S75" s="2">
        <v>1</v>
      </c>
      <c r="T75" s="2" t="s">
        <v>24</v>
      </c>
      <c r="U75" s="10" t="str">
        <f t="shared" si="11"/>
        <v>Jan</v>
      </c>
      <c r="V75" s="10">
        <f t="shared" si="10"/>
        <v>2025</v>
      </c>
      <c r="W75" t="e" cm="1">
        <f t="array" ref="W75">_xlfn.IFS(U75="January",1,U75="February",2,U75="March",3,U75="April",4,U75="May",5,U75="June",6,U75="July",7,U75="August",8,U75="September",9,U75="October",10,U75="November",11,U75="December",12)</f>
        <v>#N/A</v>
      </c>
    </row>
    <row r="76" spans="1:23" ht="15.75" customHeight="1" x14ac:dyDescent="0.25">
      <c r="A76" s="2" t="s">
        <v>991</v>
      </c>
      <c r="B76" s="3">
        <v>45669.504074074073</v>
      </c>
      <c r="C76" s="2" t="s">
        <v>983</v>
      </c>
      <c r="D76" s="2" t="s">
        <v>262</v>
      </c>
      <c r="E76" s="2" t="s">
        <v>104</v>
      </c>
      <c r="F76" s="2" t="str" cm="1">
        <f t="array" ref="F76:G76">_xlfn.TEXTSPLIT(E76," - ")</f>
        <v>Bawang Merah</v>
      </c>
      <c r="G76" s="2" t="str">
        <v>Brand A</v>
      </c>
      <c r="H76" s="5">
        <v>30000</v>
      </c>
      <c r="I76" s="2">
        <v>5</v>
      </c>
      <c r="J76" s="2">
        <v>5</v>
      </c>
      <c r="K76" s="8">
        <f t="shared" si="6"/>
        <v>150000</v>
      </c>
      <c r="L76" s="8">
        <f t="shared" si="7"/>
        <v>7500</v>
      </c>
      <c r="M76" s="8">
        <f t="shared" si="8"/>
        <v>142500</v>
      </c>
      <c r="N76" s="5">
        <v>18000</v>
      </c>
      <c r="O76" s="8">
        <f t="shared" si="9"/>
        <v>160500</v>
      </c>
      <c r="P76" s="2" t="s">
        <v>22</v>
      </c>
      <c r="Q76" s="10" t="str">
        <f>VLOOKUP(A76,Status!A:B,2,0)</f>
        <v>Cancelled</v>
      </c>
      <c r="R76" s="2" t="s">
        <v>23</v>
      </c>
      <c r="S76" s="2">
        <v>4</v>
      </c>
      <c r="T76" s="2" t="s">
        <v>37</v>
      </c>
      <c r="U76" s="10" t="str">
        <f t="shared" si="11"/>
        <v>Jan</v>
      </c>
      <c r="V76" s="10">
        <f t="shared" si="10"/>
        <v>2025</v>
      </c>
      <c r="W76" t="e" cm="1">
        <f t="array" ref="W76">_xlfn.IFS(U76="January",1,U76="February",2,U76="March",3,U76="April",4,U76="May",5,U76="June",6,U76="July",7,U76="August",8,U76="September",9,U76="October",10,U76="November",11,U76="December",12)</f>
        <v>#N/A</v>
      </c>
    </row>
    <row r="77" spans="1:23" ht="15.75" customHeight="1" x14ac:dyDescent="0.25">
      <c r="A77" s="2" t="s">
        <v>992</v>
      </c>
      <c r="B77" s="3">
        <v>45669.956365740742</v>
      </c>
      <c r="C77" s="2" t="s">
        <v>277</v>
      </c>
      <c r="D77" s="2" t="s">
        <v>119</v>
      </c>
      <c r="E77" s="2" t="s">
        <v>110</v>
      </c>
      <c r="F77" s="2" t="str" cm="1">
        <f t="array" ref="F77:G77">_xlfn.TEXTSPLIT(E77," - ")</f>
        <v>Garam</v>
      </c>
      <c r="G77" s="2" t="str">
        <v>Brand C</v>
      </c>
      <c r="H77" s="5">
        <v>6000</v>
      </c>
      <c r="I77" s="2">
        <v>2</v>
      </c>
      <c r="J77" s="2">
        <v>0</v>
      </c>
      <c r="K77" s="8">
        <f t="shared" si="6"/>
        <v>12000</v>
      </c>
      <c r="L77" s="8">
        <f t="shared" si="7"/>
        <v>0</v>
      </c>
      <c r="M77" s="8">
        <f t="shared" si="8"/>
        <v>12000</v>
      </c>
      <c r="N77" s="5">
        <v>0</v>
      </c>
      <c r="O77" s="8">
        <f t="shared" si="9"/>
        <v>12000</v>
      </c>
      <c r="P77" s="2" t="s">
        <v>35</v>
      </c>
      <c r="Q77" s="10" t="str">
        <f>VLOOKUP(A77,Status!A:B,2,0)</f>
        <v>Completed</v>
      </c>
      <c r="R77" s="2" t="s">
        <v>46</v>
      </c>
      <c r="S77" s="2">
        <v>5</v>
      </c>
      <c r="T77" s="2" t="s">
        <v>24</v>
      </c>
      <c r="U77" s="10" t="str">
        <f t="shared" si="11"/>
        <v>Jan</v>
      </c>
      <c r="V77" s="10">
        <f t="shared" si="10"/>
        <v>2025</v>
      </c>
      <c r="W77" t="e" cm="1">
        <f t="array" ref="W77">_xlfn.IFS(U77="January",1,U77="February",2,U77="March",3,U77="April",4,U77="May",5,U77="June",6,U77="July",7,U77="August",8,U77="September",9,U77="October",10,U77="November",11,U77="December",12)</f>
        <v>#N/A</v>
      </c>
    </row>
    <row r="78" spans="1:23" ht="15.75" customHeight="1" x14ac:dyDescent="0.25">
      <c r="A78" s="2" t="s">
        <v>993</v>
      </c>
      <c r="B78" s="3">
        <v>45670.63726851852</v>
      </c>
      <c r="C78" s="2" t="s">
        <v>551</v>
      </c>
      <c r="D78" s="2" t="s">
        <v>262</v>
      </c>
      <c r="E78" s="2" t="s">
        <v>144</v>
      </c>
      <c r="F78" s="2" t="str" cm="1">
        <f t="array" ref="F78:G78">_xlfn.TEXTSPLIT(E78," - ")</f>
        <v>Gula Pasir</v>
      </c>
      <c r="G78" s="2" t="str">
        <v>Brand C</v>
      </c>
      <c r="H78" s="5">
        <v>18000</v>
      </c>
      <c r="I78" s="2">
        <v>4</v>
      </c>
      <c r="J78" s="2">
        <v>10</v>
      </c>
      <c r="K78" s="8">
        <f t="shared" si="6"/>
        <v>72000</v>
      </c>
      <c r="L78" s="8">
        <f t="shared" si="7"/>
        <v>7200</v>
      </c>
      <c r="M78" s="8">
        <f t="shared" si="8"/>
        <v>64800</v>
      </c>
      <c r="N78" s="5">
        <v>18000</v>
      </c>
      <c r="O78" s="8">
        <f t="shared" si="9"/>
        <v>82800</v>
      </c>
      <c r="P78" s="2" t="s">
        <v>22</v>
      </c>
      <c r="Q78" s="10" t="str">
        <f>VLOOKUP(A78,Status!A:B,2,0)</f>
        <v>Completed</v>
      </c>
      <c r="R78" s="2" t="s">
        <v>46</v>
      </c>
      <c r="S78" s="2">
        <v>3</v>
      </c>
      <c r="T78" s="2" t="s">
        <v>37</v>
      </c>
      <c r="U78" s="10" t="str">
        <f t="shared" si="11"/>
        <v>Jan</v>
      </c>
      <c r="V78" s="10">
        <f t="shared" si="10"/>
        <v>2025</v>
      </c>
      <c r="W78" t="e" cm="1">
        <f t="array" ref="W78">_xlfn.IFS(U78="January",1,U78="February",2,U78="March",3,U78="April",4,U78="May",5,U78="June",6,U78="July",7,U78="August",8,U78="September",9,U78="October",10,U78="November",11,U78="December",12)</f>
        <v>#N/A</v>
      </c>
    </row>
    <row r="79" spans="1:23" ht="15.75" customHeight="1" x14ac:dyDescent="0.25">
      <c r="A79" s="2" t="s">
        <v>994</v>
      </c>
      <c r="B79" s="3">
        <v>45670.812037037038</v>
      </c>
      <c r="C79" s="2" t="s">
        <v>340</v>
      </c>
      <c r="D79" s="2" t="s">
        <v>126</v>
      </c>
      <c r="E79" s="2" t="s">
        <v>34</v>
      </c>
      <c r="F79" s="2" t="str" cm="1">
        <f t="array" ref="F79:G79">_xlfn.TEXTSPLIT(E79," - ")</f>
        <v>Minyak Goreng</v>
      </c>
      <c r="G79" s="2" t="str">
        <v>Brand A</v>
      </c>
      <c r="H79" s="5">
        <v>16000</v>
      </c>
      <c r="I79" s="2">
        <v>5</v>
      </c>
      <c r="J79" s="2">
        <v>0</v>
      </c>
      <c r="K79" s="8">
        <f t="shared" si="6"/>
        <v>80000</v>
      </c>
      <c r="L79" s="8">
        <f t="shared" si="7"/>
        <v>0</v>
      </c>
      <c r="M79" s="8">
        <f t="shared" si="8"/>
        <v>80000</v>
      </c>
      <c r="N79" s="5">
        <v>84000</v>
      </c>
      <c r="O79" s="8">
        <f t="shared" si="9"/>
        <v>164000</v>
      </c>
      <c r="P79" s="2" t="s">
        <v>63</v>
      </c>
      <c r="Q79" s="10" t="str">
        <f>VLOOKUP(A79,Status!A:B,2,0)</f>
        <v>Completed</v>
      </c>
      <c r="R79" s="2" t="s">
        <v>46</v>
      </c>
      <c r="S79" s="2">
        <v>3</v>
      </c>
      <c r="T79" s="2" t="s">
        <v>37</v>
      </c>
      <c r="U79" s="10" t="str">
        <f t="shared" si="11"/>
        <v>Jan</v>
      </c>
      <c r="V79" s="10">
        <f t="shared" si="10"/>
        <v>2025</v>
      </c>
      <c r="W79" t="e" cm="1">
        <f t="array" ref="W79">_xlfn.IFS(U79="January",1,U79="February",2,U79="March",3,U79="April",4,U79="May",5,U79="June",6,U79="July",7,U79="August",8,U79="September",9,U79="October",10,U79="November",11,U79="December",12)</f>
        <v>#N/A</v>
      </c>
    </row>
    <row r="80" spans="1:23" ht="15.75" customHeight="1" x14ac:dyDescent="0.25">
      <c r="A80" s="2" t="s">
        <v>995</v>
      </c>
      <c r="B80" s="3">
        <v>45670.892187500001</v>
      </c>
      <c r="C80" s="2" t="s">
        <v>739</v>
      </c>
      <c r="D80" s="2" t="s">
        <v>177</v>
      </c>
      <c r="E80" s="2" t="s">
        <v>93</v>
      </c>
      <c r="F80" s="2" t="str" cm="1">
        <f t="array" ref="F80:G80">_xlfn.TEXTSPLIT(E80," - ")</f>
        <v>Telur Ayam</v>
      </c>
      <c r="G80" s="2" t="str">
        <v>Brand B</v>
      </c>
      <c r="H80" s="5">
        <v>25000</v>
      </c>
      <c r="I80" s="2">
        <v>3</v>
      </c>
      <c r="J80" s="2">
        <v>0</v>
      </c>
      <c r="K80" s="8">
        <f t="shared" si="6"/>
        <v>75000</v>
      </c>
      <c r="L80" s="8">
        <f t="shared" si="7"/>
        <v>0</v>
      </c>
      <c r="M80" s="8">
        <f t="shared" si="8"/>
        <v>75000</v>
      </c>
      <c r="N80" s="5">
        <v>56000</v>
      </c>
      <c r="O80" s="8">
        <f t="shared" si="9"/>
        <v>131000</v>
      </c>
      <c r="P80" s="2" t="s">
        <v>22</v>
      </c>
      <c r="Q80" s="10" t="str">
        <f>VLOOKUP(A80,Status!A:B,2,0)</f>
        <v>Completed</v>
      </c>
      <c r="R80" s="2" t="s">
        <v>46</v>
      </c>
      <c r="S80" s="2">
        <v>3</v>
      </c>
      <c r="T80" s="2" t="s">
        <v>24</v>
      </c>
      <c r="U80" s="10" t="str">
        <f t="shared" si="11"/>
        <v>Jan</v>
      </c>
      <c r="V80" s="10">
        <f t="shared" si="10"/>
        <v>2025</v>
      </c>
      <c r="W80" t="e" cm="1">
        <f t="array" ref="W80">_xlfn.IFS(U80="January",1,U80="February",2,U80="March",3,U80="April",4,U80="May",5,U80="June",6,U80="July",7,U80="August",8,U80="September",9,U80="October",10,U80="November",11,U80="December",12)</f>
        <v>#N/A</v>
      </c>
    </row>
    <row r="81" spans="1:23" ht="15.75" customHeight="1" x14ac:dyDescent="0.25">
      <c r="A81" s="2" t="s">
        <v>996</v>
      </c>
      <c r="B81" s="3">
        <v>45671.350092592591</v>
      </c>
      <c r="C81" s="2" t="s">
        <v>836</v>
      </c>
      <c r="D81" s="2" t="s">
        <v>33</v>
      </c>
      <c r="E81" s="2" t="s">
        <v>71</v>
      </c>
      <c r="F81" s="2" t="str" cm="1">
        <f t="array" ref="F81:G81">_xlfn.TEXTSPLIT(E81," - ")</f>
        <v>Bawang Merah</v>
      </c>
      <c r="G81" s="2" t="str">
        <v>Brand C</v>
      </c>
      <c r="H81" s="5">
        <v>40000</v>
      </c>
      <c r="I81" s="2">
        <v>5</v>
      </c>
      <c r="J81" s="2">
        <v>10</v>
      </c>
      <c r="K81" s="8">
        <f t="shared" si="6"/>
        <v>200000</v>
      </c>
      <c r="L81" s="8">
        <f t="shared" si="7"/>
        <v>20000</v>
      </c>
      <c r="M81" s="8">
        <f t="shared" si="8"/>
        <v>180000</v>
      </c>
      <c r="N81" s="5">
        <v>76000</v>
      </c>
      <c r="O81" s="8">
        <f t="shared" si="9"/>
        <v>256000</v>
      </c>
      <c r="P81" s="2" t="s">
        <v>63</v>
      </c>
      <c r="Q81" s="10" t="str">
        <f>VLOOKUP(A81,Status!A:B,2,0)</f>
        <v>Cancelled</v>
      </c>
      <c r="R81" s="2" t="s">
        <v>23</v>
      </c>
      <c r="S81" s="2">
        <v>5</v>
      </c>
      <c r="T81" s="2" t="s">
        <v>37</v>
      </c>
      <c r="U81" s="10" t="str">
        <f t="shared" si="11"/>
        <v>Jan</v>
      </c>
      <c r="V81" s="10">
        <f t="shared" si="10"/>
        <v>2025</v>
      </c>
      <c r="W81" t="e" cm="1">
        <f t="array" ref="W81">_xlfn.IFS(U81="January",1,U81="February",2,U81="March",3,U81="April",4,U81="May",5,U81="June",6,U81="July",7,U81="August",8,U81="September",9,U81="October",10,U81="November",11,U81="December",12)</f>
        <v>#N/A</v>
      </c>
    </row>
    <row r="82" spans="1:23" ht="15.75" customHeight="1" x14ac:dyDescent="0.25">
      <c r="A82" s="2" t="s">
        <v>997</v>
      </c>
      <c r="B82" s="3">
        <v>45671.418981481482</v>
      </c>
      <c r="C82" s="2" t="s">
        <v>60</v>
      </c>
      <c r="D82" s="2" t="s">
        <v>61</v>
      </c>
      <c r="E82" s="2" t="s">
        <v>136</v>
      </c>
      <c r="F82" s="2" t="str" cm="1">
        <f t="array" ref="F82:G82">_xlfn.TEXTSPLIT(E82," - ")</f>
        <v>Tepung Terigu</v>
      </c>
      <c r="G82" s="2" t="str">
        <v>Brand B</v>
      </c>
      <c r="H82" s="5">
        <v>12000</v>
      </c>
      <c r="I82" s="2">
        <v>4</v>
      </c>
      <c r="J82" s="2">
        <v>0</v>
      </c>
      <c r="K82" s="8">
        <f t="shared" si="6"/>
        <v>48000</v>
      </c>
      <c r="L82" s="8">
        <f t="shared" si="7"/>
        <v>0</v>
      </c>
      <c r="M82" s="8">
        <f t="shared" si="8"/>
        <v>48000</v>
      </c>
      <c r="N82" s="5">
        <v>26000</v>
      </c>
      <c r="O82" s="8">
        <f t="shared" si="9"/>
        <v>74000</v>
      </c>
      <c r="P82" s="2" t="s">
        <v>22</v>
      </c>
      <c r="Q82" s="10" t="str">
        <f>VLOOKUP(A82,Status!A:B,2,0)</f>
        <v>Completed</v>
      </c>
      <c r="R82" s="2" t="s">
        <v>36</v>
      </c>
      <c r="S82" s="2">
        <v>2</v>
      </c>
      <c r="T82" s="2" t="s">
        <v>24</v>
      </c>
      <c r="U82" s="10" t="str">
        <f t="shared" si="11"/>
        <v>Jan</v>
      </c>
      <c r="V82" s="10">
        <f t="shared" si="10"/>
        <v>2025</v>
      </c>
      <c r="W82" t="e" cm="1">
        <f t="array" ref="W82">_xlfn.IFS(U82="January",1,U82="February",2,U82="March",3,U82="April",4,U82="May",5,U82="June",6,U82="July",7,U82="August",8,U82="September",9,U82="October",10,U82="November",11,U82="December",12)</f>
        <v>#N/A</v>
      </c>
    </row>
    <row r="83" spans="1:23" ht="15.75" customHeight="1" x14ac:dyDescent="0.25">
      <c r="A83" s="2" t="s">
        <v>998</v>
      </c>
      <c r="B83" s="3">
        <v>45671.572476851848</v>
      </c>
      <c r="C83" s="2" t="s">
        <v>79</v>
      </c>
      <c r="D83" s="2" t="s">
        <v>80</v>
      </c>
      <c r="E83" s="2" t="s">
        <v>75</v>
      </c>
      <c r="F83" s="2" t="str" cm="1">
        <f t="array" ref="F83:G83">_xlfn.TEXTSPLIT(E83," - ")</f>
        <v>Susu Bubuk</v>
      </c>
      <c r="G83" s="2" t="str">
        <v>Brand C</v>
      </c>
      <c r="H83" s="5">
        <v>55000</v>
      </c>
      <c r="I83" s="2">
        <v>5</v>
      </c>
      <c r="J83" s="2">
        <v>20</v>
      </c>
      <c r="K83" s="8">
        <f t="shared" si="6"/>
        <v>275000</v>
      </c>
      <c r="L83" s="8">
        <f t="shared" si="7"/>
        <v>55000</v>
      </c>
      <c r="M83" s="8">
        <f t="shared" si="8"/>
        <v>220000</v>
      </c>
      <c r="N83" s="5">
        <v>74000</v>
      </c>
      <c r="O83" s="8">
        <f t="shared" si="9"/>
        <v>294000</v>
      </c>
      <c r="P83" s="2" t="s">
        <v>35</v>
      </c>
      <c r="Q83" s="10" t="str">
        <f>VLOOKUP(A83,Status!A:B,2,0)</f>
        <v>Completed</v>
      </c>
      <c r="R83" s="2" t="s">
        <v>82</v>
      </c>
      <c r="S83" s="2">
        <v>4</v>
      </c>
      <c r="T83" s="2" t="s">
        <v>24</v>
      </c>
      <c r="U83" s="10" t="str">
        <f t="shared" si="11"/>
        <v>Jan</v>
      </c>
      <c r="V83" s="10">
        <f t="shared" si="10"/>
        <v>2025</v>
      </c>
      <c r="W83" t="e" cm="1">
        <f t="array" ref="W83">_xlfn.IFS(U83="January",1,U83="February",2,U83="March",3,U83="April",4,U83="May",5,U83="June",6,U83="July",7,U83="August",8,U83="September",9,U83="October",10,U83="November",11,U83="December",12)</f>
        <v>#N/A</v>
      </c>
    </row>
    <row r="84" spans="1:23" ht="15.75" customHeight="1" x14ac:dyDescent="0.25">
      <c r="A84" s="2" t="s">
        <v>999</v>
      </c>
      <c r="B84" s="3">
        <v>45671.795902777783</v>
      </c>
      <c r="C84" s="2" t="s">
        <v>353</v>
      </c>
      <c r="D84" s="2" t="s">
        <v>66</v>
      </c>
      <c r="E84" s="2" t="s">
        <v>34</v>
      </c>
      <c r="F84" s="2" t="str" cm="1">
        <f t="array" ref="F84:G84">_xlfn.TEXTSPLIT(E84," - ")</f>
        <v>Minyak Goreng</v>
      </c>
      <c r="G84" s="2" t="str">
        <v>Brand A</v>
      </c>
      <c r="H84" s="5">
        <v>16000</v>
      </c>
      <c r="I84" s="2">
        <v>4</v>
      </c>
      <c r="J84" s="2">
        <v>0</v>
      </c>
      <c r="K84" s="8">
        <f t="shared" si="6"/>
        <v>64000</v>
      </c>
      <c r="L84" s="8">
        <f t="shared" si="7"/>
        <v>0</v>
      </c>
      <c r="M84" s="8">
        <f t="shared" si="8"/>
        <v>64000</v>
      </c>
      <c r="N84" s="5">
        <v>59000</v>
      </c>
      <c r="O84" s="8">
        <f t="shared" si="9"/>
        <v>123000</v>
      </c>
      <c r="P84" s="2" t="s">
        <v>35</v>
      </c>
      <c r="Q84" s="10" t="str">
        <f>VLOOKUP(A84,Status!A:B,2,0)</f>
        <v>Completed</v>
      </c>
      <c r="R84" s="2" t="s">
        <v>82</v>
      </c>
      <c r="S84" s="2">
        <v>2</v>
      </c>
      <c r="T84" s="2" t="s">
        <v>24</v>
      </c>
      <c r="U84" s="10" t="str">
        <f t="shared" si="11"/>
        <v>Jan</v>
      </c>
      <c r="V84" s="10">
        <f t="shared" si="10"/>
        <v>2025</v>
      </c>
      <c r="W84" t="e" cm="1">
        <f t="array" ref="W84">_xlfn.IFS(U84="January",1,U84="February",2,U84="March",3,U84="April",4,U84="May",5,U84="June",6,U84="July",7,U84="August",8,U84="September",9,U84="October",10,U84="November",11,U84="December",12)</f>
        <v>#N/A</v>
      </c>
    </row>
    <row r="85" spans="1:23" ht="15.75" customHeight="1" x14ac:dyDescent="0.25">
      <c r="A85" s="2" t="s">
        <v>1000</v>
      </c>
      <c r="B85" s="3">
        <v>45671.801307870373</v>
      </c>
      <c r="C85" s="2" t="s">
        <v>118</v>
      </c>
      <c r="D85" s="2" t="s">
        <v>119</v>
      </c>
      <c r="E85" s="2" t="s">
        <v>28</v>
      </c>
      <c r="F85" s="2" t="str" cm="1">
        <f t="array" ref="F85:G85">_xlfn.TEXTSPLIT(E85," - ")</f>
        <v>Garam</v>
      </c>
      <c r="G85" s="2" t="str">
        <v>Brand B</v>
      </c>
      <c r="H85" s="5">
        <v>5000</v>
      </c>
      <c r="I85" s="2">
        <v>4</v>
      </c>
      <c r="J85" s="2">
        <v>5</v>
      </c>
      <c r="K85" s="8">
        <f t="shared" si="6"/>
        <v>20000</v>
      </c>
      <c r="L85" s="8">
        <f t="shared" si="7"/>
        <v>1000</v>
      </c>
      <c r="M85" s="8">
        <f t="shared" si="8"/>
        <v>19000</v>
      </c>
      <c r="N85" s="5">
        <v>0</v>
      </c>
      <c r="O85" s="8">
        <f t="shared" si="9"/>
        <v>19000</v>
      </c>
      <c r="P85" s="2" t="s">
        <v>63</v>
      </c>
      <c r="Q85" s="10" t="str">
        <f>VLOOKUP(A85,Status!A:B,2,0)</f>
        <v>Completed</v>
      </c>
      <c r="R85" s="2" t="s">
        <v>46</v>
      </c>
      <c r="S85" s="2">
        <v>3</v>
      </c>
      <c r="T85" s="2" t="s">
        <v>24</v>
      </c>
      <c r="U85" s="10" t="str">
        <f t="shared" si="11"/>
        <v>Jan</v>
      </c>
      <c r="V85" s="10">
        <f t="shared" si="10"/>
        <v>2025</v>
      </c>
      <c r="W85" t="e" cm="1">
        <f t="array" ref="W85">_xlfn.IFS(U85="January",1,U85="February",2,U85="March",3,U85="April",4,U85="May",5,U85="June",6,U85="July",7,U85="August",8,U85="September",9,U85="October",10,U85="November",11,U85="December",12)</f>
        <v>#N/A</v>
      </c>
    </row>
    <row r="86" spans="1:23" ht="15.75" customHeight="1" x14ac:dyDescent="0.25">
      <c r="A86" s="2" t="s">
        <v>1001</v>
      </c>
      <c r="B86" s="3">
        <v>45672.026736111111</v>
      </c>
      <c r="C86" s="2" t="s">
        <v>441</v>
      </c>
      <c r="D86" s="2" t="s">
        <v>116</v>
      </c>
      <c r="E86" s="2" t="s">
        <v>38</v>
      </c>
      <c r="F86" s="2" t="str" cm="1">
        <f t="array" ref="F86:G86">_xlfn.TEXTSPLIT(E86," - ")</f>
        <v>Telur Ayam</v>
      </c>
      <c r="G86" s="2" t="str">
        <v>Brand C</v>
      </c>
      <c r="H86" s="5">
        <v>28000</v>
      </c>
      <c r="I86" s="2">
        <v>2</v>
      </c>
      <c r="J86" s="2">
        <v>20</v>
      </c>
      <c r="K86" s="8">
        <f t="shared" si="6"/>
        <v>56000</v>
      </c>
      <c r="L86" s="8">
        <f t="shared" si="7"/>
        <v>11200</v>
      </c>
      <c r="M86" s="8">
        <f t="shared" si="8"/>
        <v>44800</v>
      </c>
      <c r="N86" s="5">
        <v>72000</v>
      </c>
      <c r="O86" s="8">
        <f t="shared" si="9"/>
        <v>116800</v>
      </c>
      <c r="P86" s="2" t="s">
        <v>29</v>
      </c>
      <c r="Q86" s="10" t="str">
        <f>VLOOKUP(A86,Status!A:B,2,0)</f>
        <v>Completed</v>
      </c>
      <c r="R86" s="2" t="s">
        <v>23</v>
      </c>
      <c r="S86" s="2">
        <v>2</v>
      </c>
      <c r="T86" s="2" t="s">
        <v>37</v>
      </c>
      <c r="U86" s="10" t="str">
        <f t="shared" si="11"/>
        <v>Jan</v>
      </c>
      <c r="V86" s="10">
        <f t="shared" si="10"/>
        <v>2025</v>
      </c>
      <c r="W86" t="e" cm="1">
        <f t="array" ref="W86">_xlfn.IFS(U86="January",1,U86="February",2,U86="March",3,U86="April",4,U86="May",5,U86="June",6,U86="July",7,U86="August",8,U86="September",9,U86="October",10,U86="November",11,U86="December",12)</f>
        <v>#N/A</v>
      </c>
    </row>
    <row r="87" spans="1:23" ht="15.75" customHeight="1" x14ac:dyDescent="0.25">
      <c r="A87" s="2" t="s">
        <v>1002</v>
      </c>
      <c r="B87" s="3">
        <v>45672.244618055563</v>
      </c>
      <c r="C87" s="2" t="s">
        <v>1003</v>
      </c>
      <c r="D87" s="2" t="s">
        <v>262</v>
      </c>
      <c r="E87" s="2" t="s">
        <v>38</v>
      </c>
      <c r="F87" s="2" t="str" cm="1">
        <f t="array" ref="F87:G87">_xlfn.TEXTSPLIT(E87," - ")</f>
        <v>Telur Ayam</v>
      </c>
      <c r="G87" s="2" t="str">
        <v>Brand C</v>
      </c>
      <c r="H87" s="5">
        <v>28000</v>
      </c>
      <c r="I87" s="2">
        <v>3</v>
      </c>
      <c r="J87" s="2">
        <v>0</v>
      </c>
      <c r="K87" s="8">
        <f t="shared" si="6"/>
        <v>84000</v>
      </c>
      <c r="L87" s="8">
        <f t="shared" si="7"/>
        <v>0</v>
      </c>
      <c r="M87" s="8">
        <f t="shared" si="8"/>
        <v>84000</v>
      </c>
      <c r="N87" s="5">
        <v>18000</v>
      </c>
      <c r="O87" s="8">
        <f t="shared" si="9"/>
        <v>102000</v>
      </c>
      <c r="P87" s="2" t="s">
        <v>22</v>
      </c>
      <c r="Q87" s="10" t="str">
        <f>VLOOKUP(A87,Status!A:B,2,0)</f>
        <v>Completed</v>
      </c>
      <c r="R87" s="2" t="s">
        <v>82</v>
      </c>
      <c r="S87" s="2">
        <v>1</v>
      </c>
      <c r="T87" s="2" t="s">
        <v>24</v>
      </c>
      <c r="U87" s="10" t="str">
        <f t="shared" si="11"/>
        <v>Jan</v>
      </c>
      <c r="V87" s="10">
        <f t="shared" si="10"/>
        <v>2025</v>
      </c>
      <c r="W87" t="e" cm="1">
        <f t="array" ref="W87">_xlfn.IFS(U87="January",1,U87="February",2,U87="March",3,U87="April",4,U87="May",5,U87="June",6,U87="July",7,U87="August",8,U87="September",9,U87="October",10,U87="November",11,U87="December",12)</f>
        <v>#N/A</v>
      </c>
    </row>
    <row r="88" spans="1:23" ht="15.75" customHeight="1" x14ac:dyDescent="0.25">
      <c r="A88" s="2" t="s">
        <v>1004</v>
      </c>
      <c r="B88" s="3">
        <v>45672.429814814823</v>
      </c>
      <c r="C88" s="2" t="s">
        <v>1005</v>
      </c>
      <c r="D88" s="2" t="s">
        <v>122</v>
      </c>
      <c r="E88" s="2" t="s">
        <v>71</v>
      </c>
      <c r="F88" s="2" t="str" cm="1">
        <f t="array" ref="F88:G88">_xlfn.TEXTSPLIT(E88," - ")</f>
        <v>Bawang Merah</v>
      </c>
      <c r="G88" s="2" t="str">
        <v>Brand C</v>
      </c>
      <c r="H88" s="5">
        <v>40000</v>
      </c>
      <c r="I88" s="2">
        <v>1</v>
      </c>
      <c r="J88" s="2">
        <v>0</v>
      </c>
      <c r="K88" s="8">
        <f t="shared" si="6"/>
        <v>40000</v>
      </c>
      <c r="L88" s="8">
        <f t="shared" si="7"/>
        <v>0</v>
      </c>
      <c r="M88" s="8">
        <f t="shared" si="8"/>
        <v>40000</v>
      </c>
      <c r="N88" s="5">
        <v>78000</v>
      </c>
      <c r="O88" s="8">
        <f t="shared" si="9"/>
        <v>118000</v>
      </c>
      <c r="P88" s="2" t="s">
        <v>35</v>
      </c>
      <c r="Q88" s="10" t="str">
        <f>VLOOKUP(A88,Status!A:B,2,0)</f>
        <v>Completed</v>
      </c>
      <c r="R88" s="2" t="s">
        <v>23</v>
      </c>
      <c r="S88" s="2">
        <v>5</v>
      </c>
      <c r="T88" s="2" t="s">
        <v>24</v>
      </c>
      <c r="U88" s="10" t="str">
        <f t="shared" si="11"/>
        <v>Jan</v>
      </c>
      <c r="V88" s="10">
        <f t="shared" si="10"/>
        <v>2025</v>
      </c>
      <c r="W88" t="e" cm="1">
        <f t="array" ref="W88">_xlfn.IFS(U88="January",1,U88="February",2,U88="March",3,U88="April",4,U88="May",5,U88="June",6,U88="July",7,U88="August",8,U88="September",9,U88="October",10,U88="November",11,U88="December",12)</f>
        <v>#N/A</v>
      </c>
    </row>
    <row r="89" spans="1:23" ht="15.75" customHeight="1" x14ac:dyDescent="0.25">
      <c r="A89" s="2" t="s">
        <v>1006</v>
      </c>
      <c r="B89" s="3">
        <v>45672.551921296297</v>
      </c>
      <c r="C89" s="2" t="s">
        <v>525</v>
      </c>
      <c r="D89" s="2" t="s">
        <v>96</v>
      </c>
      <c r="E89" s="2" t="s">
        <v>34</v>
      </c>
      <c r="F89" s="2" t="str" cm="1">
        <f t="array" ref="F89:G89">_xlfn.TEXTSPLIT(E89," - ")</f>
        <v>Minyak Goreng</v>
      </c>
      <c r="G89" s="2" t="str">
        <v>Brand A</v>
      </c>
      <c r="H89" s="5">
        <v>16000</v>
      </c>
      <c r="I89" s="2">
        <v>3</v>
      </c>
      <c r="J89" s="2">
        <v>0</v>
      </c>
      <c r="K89" s="8">
        <f t="shared" si="6"/>
        <v>48000</v>
      </c>
      <c r="L89" s="8">
        <f t="shared" si="7"/>
        <v>0</v>
      </c>
      <c r="M89" s="8">
        <f t="shared" si="8"/>
        <v>48000</v>
      </c>
      <c r="N89" s="5">
        <v>49000</v>
      </c>
      <c r="O89" s="8">
        <f t="shared" si="9"/>
        <v>97000</v>
      </c>
      <c r="P89" s="2" t="s">
        <v>35</v>
      </c>
      <c r="Q89" s="10" t="str">
        <f>VLOOKUP(A89,Status!A:B,2,0)</f>
        <v>Completed</v>
      </c>
      <c r="R89" s="2" t="s">
        <v>46</v>
      </c>
      <c r="S89" s="2">
        <v>3</v>
      </c>
      <c r="T89" s="2" t="s">
        <v>24</v>
      </c>
      <c r="U89" s="10" t="str">
        <f t="shared" si="11"/>
        <v>Jan</v>
      </c>
      <c r="V89" s="10">
        <f t="shared" si="10"/>
        <v>2025</v>
      </c>
      <c r="W89" t="e" cm="1">
        <f t="array" ref="W89">_xlfn.IFS(U89="January",1,U89="February",2,U89="March",3,U89="April",4,U89="May",5,U89="June",6,U89="July",7,U89="August",8,U89="September",9,U89="October",10,U89="November",11,U89="December",12)</f>
        <v>#N/A</v>
      </c>
    </row>
    <row r="90" spans="1:23" ht="15.75" customHeight="1" x14ac:dyDescent="0.25">
      <c r="A90" s="2" t="s">
        <v>1007</v>
      </c>
      <c r="B90" s="3">
        <v>45672.572013888886</v>
      </c>
      <c r="C90" s="2" t="s">
        <v>457</v>
      </c>
      <c r="D90" s="2" t="s">
        <v>80</v>
      </c>
      <c r="E90" s="2" t="s">
        <v>50</v>
      </c>
      <c r="F90" s="2" t="str" cm="1">
        <f t="array" ref="F90:G90">_xlfn.TEXTSPLIT(E90," - ")</f>
        <v>Tepung Terigu</v>
      </c>
      <c r="G90" s="2" t="str">
        <v>Brand C</v>
      </c>
      <c r="H90" s="5">
        <v>14000</v>
      </c>
      <c r="I90" s="2">
        <v>5</v>
      </c>
      <c r="J90" s="2">
        <v>5</v>
      </c>
      <c r="K90" s="8">
        <f t="shared" si="6"/>
        <v>70000</v>
      </c>
      <c r="L90" s="8">
        <f t="shared" si="7"/>
        <v>3500</v>
      </c>
      <c r="M90" s="8">
        <f t="shared" si="8"/>
        <v>66500</v>
      </c>
      <c r="N90" s="5">
        <v>74000</v>
      </c>
      <c r="O90" s="8">
        <f t="shared" si="9"/>
        <v>140500</v>
      </c>
      <c r="P90" s="2" t="s">
        <v>22</v>
      </c>
      <c r="Q90" s="10" t="str">
        <f>VLOOKUP(A90,Status!A:B,2,0)</f>
        <v>Completed</v>
      </c>
      <c r="R90" s="2" t="s">
        <v>36</v>
      </c>
      <c r="S90" s="2">
        <v>2</v>
      </c>
      <c r="T90" s="2" t="s">
        <v>24</v>
      </c>
      <c r="U90" s="10" t="str">
        <f t="shared" si="11"/>
        <v>Jan</v>
      </c>
      <c r="V90" s="10">
        <f t="shared" si="10"/>
        <v>2025</v>
      </c>
      <c r="W90" t="e" cm="1">
        <f t="array" ref="W90">_xlfn.IFS(U90="January",1,U90="February",2,U90="March",3,U90="April",4,U90="May",5,U90="June",6,U90="July",7,U90="August",8,U90="September",9,U90="October",10,U90="November",11,U90="December",12)</f>
        <v>#N/A</v>
      </c>
    </row>
    <row r="91" spans="1:23" ht="15.75" customHeight="1" x14ac:dyDescent="0.25">
      <c r="A91" s="2" t="s">
        <v>1008</v>
      </c>
      <c r="B91" s="3">
        <v>45672.579664351862</v>
      </c>
      <c r="C91" s="2" t="s">
        <v>389</v>
      </c>
      <c r="D91" s="2" t="s">
        <v>182</v>
      </c>
      <c r="E91" s="2" t="s">
        <v>93</v>
      </c>
      <c r="F91" s="2" t="str" cm="1">
        <f t="array" ref="F91:G91">_xlfn.TEXTSPLIT(E91," - ")</f>
        <v>Telur Ayam</v>
      </c>
      <c r="G91" s="2" t="str">
        <v>Brand B</v>
      </c>
      <c r="H91" s="5">
        <v>25000</v>
      </c>
      <c r="I91" s="2">
        <v>3</v>
      </c>
      <c r="J91" s="2">
        <v>0</v>
      </c>
      <c r="K91" s="8">
        <f t="shared" si="6"/>
        <v>75000</v>
      </c>
      <c r="L91" s="8">
        <f t="shared" si="7"/>
        <v>0</v>
      </c>
      <c r="M91" s="8">
        <f t="shared" si="8"/>
        <v>75000</v>
      </c>
      <c r="N91" s="5">
        <v>48000</v>
      </c>
      <c r="O91" s="8">
        <f t="shared" si="9"/>
        <v>123000</v>
      </c>
      <c r="P91" s="2" t="s">
        <v>22</v>
      </c>
      <c r="Q91" s="10" t="str">
        <f>VLOOKUP(A91,Status!A:B,2,0)</f>
        <v>Completed</v>
      </c>
      <c r="R91" s="2" t="s">
        <v>30</v>
      </c>
      <c r="S91" s="2">
        <v>4</v>
      </c>
      <c r="T91" s="2" t="s">
        <v>24</v>
      </c>
      <c r="U91" s="10" t="str">
        <f t="shared" si="11"/>
        <v>Jan</v>
      </c>
      <c r="V91" s="10">
        <f t="shared" si="10"/>
        <v>2025</v>
      </c>
      <c r="W91" t="e" cm="1">
        <f t="array" ref="W91">_xlfn.IFS(U91="January",1,U91="February",2,U91="March",3,U91="April",4,U91="May",5,U91="June",6,U91="July",7,U91="August",8,U91="September",9,U91="October",10,U91="November",11,U91="December",12)</f>
        <v>#N/A</v>
      </c>
    </row>
    <row r="92" spans="1:23" ht="15.75" customHeight="1" x14ac:dyDescent="0.25">
      <c r="A92" s="2" t="s">
        <v>1009</v>
      </c>
      <c r="B92" s="3">
        <v>45672.77065972222</v>
      </c>
      <c r="C92" s="2" t="s">
        <v>43</v>
      </c>
      <c r="D92" s="2" t="s">
        <v>44</v>
      </c>
      <c r="E92" s="2" t="s">
        <v>85</v>
      </c>
      <c r="F92" s="2" t="str" cm="1">
        <f t="array" ref="F92:G92">_xlfn.TEXTSPLIT(E92," - ")</f>
        <v>Daging Ayam</v>
      </c>
      <c r="G92" s="2" t="str">
        <v>Brand A</v>
      </c>
      <c r="H92" s="5">
        <v>35000</v>
      </c>
      <c r="I92" s="2">
        <v>3</v>
      </c>
      <c r="J92" s="2">
        <v>10</v>
      </c>
      <c r="K92" s="8">
        <f t="shared" si="6"/>
        <v>105000</v>
      </c>
      <c r="L92" s="8">
        <f t="shared" si="7"/>
        <v>10500</v>
      </c>
      <c r="M92" s="8">
        <f t="shared" si="8"/>
        <v>94500</v>
      </c>
      <c r="N92" s="5">
        <v>93000</v>
      </c>
      <c r="O92" s="8">
        <f t="shared" si="9"/>
        <v>187500</v>
      </c>
      <c r="P92" s="2" t="s">
        <v>29</v>
      </c>
      <c r="Q92" s="10" t="str">
        <f>VLOOKUP(A92,Status!A:B,2,0)</f>
        <v>Completed</v>
      </c>
      <c r="R92" s="2" t="s">
        <v>30</v>
      </c>
      <c r="S92" s="2">
        <v>4</v>
      </c>
      <c r="T92" s="2" t="s">
        <v>24</v>
      </c>
      <c r="U92" s="10" t="str">
        <f t="shared" si="11"/>
        <v>Jan</v>
      </c>
      <c r="V92" s="10">
        <f t="shared" si="10"/>
        <v>2025</v>
      </c>
      <c r="W92" t="e" cm="1">
        <f t="array" ref="W92">_xlfn.IFS(U92="January",1,U92="February",2,U92="March",3,U92="April",4,U92="May",5,U92="June",6,U92="July",7,U92="August",8,U92="September",9,U92="October",10,U92="November",11,U92="December",12)</f>
        <v>#N/A</v>
      </c>
    </row>
    <row r="93" spans="1:23" ht="15.75" customHeight="1" x14ac:dyDescent="0.25">
      <c r="A93" s="2" t="s">
        <v>1010</v>
      </c>
      <c r="B93" s="3">
        <v>45673.124606481477</v>
      </c>
      <c r="C93" s="2" t="s">
        <v>201</v>
      </c>
      <c r="D93" s="2" t="s">
        <v>107</v>
      </c>
      <c r="E93" s="2" t="s">
        <v>104</v>
      </c>
      <c r="F93" s="2" t="str" cm="1">
        <f t="array" ref="F93:G93">_xlfn.TEXTSPLIT(E93," - ")</f>
        <v>Bawang Merah</v>
      </c>
      <c r="G93" s="2" t="str">
        <v>Brand A</v>
      </c>
      <c r="H93" s="5">
        <v>30000</v>
      </c>
      <c r="I93" s="2">
        <v>3</v>
      </c>
      <c r="J93" s="2">
        <v>5</v>
      </c>
      <c r="K93" s="8">
        <f t="shared" si="6"/>
        <v>90000</v>
      </c>
      <c r="L93" s="8">
        <f t="shared" si="7"/>
        <v>4500</v>
      </c>
      <c r="M93" s="8">
        <f t="shared" si="8"/>
        <v>85500</v>
      </c>
      <c r="N93" s="5">
        <v>97000</v>
      </c>
      <c r="O93" s="8">
        <f t="shared" si="9"/>
        <v>182500</v>
      </c>
      <c r="P93" s="2" t="s">
        <v>29</v>
      </c>
      <c r="Q93" s="10" t="str">
        <f>VLOOKUP(A93,Status!A:B,2,0)</f>
        <v>Completed</v>
      </c>
      <c r="R93" s="2" t="s">
        <v>30</v>
      </c>
      <c r="S93" s="2">
        <v>5</v>
      </c>
      <c r="T93" s="2" t="s">
        <v>24</v>
      </c>
      <c r="U93" s="10" t="str">
        <f t="shared" si="11"/>
        <v>Jan</v>
      </c>
      <c r="V93" s="10">
        <f t="shared" si="10"/>
        <v>2025</v>
      </c>
      <c r="W93" t="e" cm="1">
        <f t="array" ref="W93">_xlfn.IFS(U93="January",1,U93="February",2,U93="March",3,U93="April",4,U93="May",5,U93="June",6,U93="July",7,U93="August",8,U93="September",9,U93="October",10,U93="November",11,U93="December",12)</f>
        <v>#N/A</v>
      </c>
    </row>
    <row r="94" spans="1:23" ht="15.75" customHeight="1" x14ac:dyDescent="0.25">
      <c r="A94" s="2" t="s">
        <v>1010</v>
      </c>
      <c r="B94" s="3">
        <v>45673.124606481477</v>
      </c>
      <c r="C94" s="2" t="s">
        <v>201</v>
      </c>
      <c r="D94" s="2" t="s">
        <v>107</v>
      </c>
      <c r="E94" s="2" t="s">
        <v>41</v>
      </c>
      <c r="F94" s="2" t="str" cm="1">
        <f t="array" ref="F94:G94">_xlfn.TEXTSPLIT(E94," - ")</f>
        <v>Garam</v>
      </c>
      <c r="G94" s="2" t="str">
        <v>Brand A</v>
      </c>
      <c r="H94" s="5">
        <v>4000</v>
      </c>
      <c r="I94" s="2">
        <v>2</v>
      </c>
      <c r="J94" s="2">
        <v>15</v>
      </c>
      <c r="K94" s="8">
        <f t="shared" si="6"/>
        <v>8000</v>
      </c>
      <c r="L94" s="8">
        <f t="shared" si="7"/>
        <v>1200</v>
      </c>
      <c r="M94" s="8">
        <f t="shared" si="8"/>
        <v>6800</v>
      </c>
      <c r="N94" s="5">
        <v>0</v>
      </c>
      <c r="O94" s="8">
        <f t="shared" si="9"/>
        <v>6800</v>
      </c>
      <c r="P94" s="2" t="s">
        <v>29</v>
      </c>
      <c r="Q94" s="10" t="str">
        <f>VLOOKUP(A94,Status!A:B,2,0)</f>
        <v>Completed</v>
      </c>
      <c r="R94" s="2" t="s">
        <v>30</v>
      </c>
      <c r="S94" s="2">
        <v>5</v>
      </c>
      <c r="T94" s="2" t="s">
        <v>24</v>
      </c>
      <c r="U94" s="10" t="str">
        <f t="shared" si="11"/>
        <v>Jan</v>
      </c>
      <c r="V94" s="10">
        <f t="shared" si="10"/>
        <v>2025</v>
      </c>
      <c r="W94" t="e" cm="1">
        <f t="array" ref="W94">_xlfn.IFS(U94="January",1,U94="February",2,U94="March",3,U94="April",4,U94="May",5,U94="June",6,U94="July",7,U94="August",8,U94="September",9,U94="October",10,U94="November",11,U94="December",12)</f>
        <v>#N/A</v>
      </c>
    </row>
    <row r="95" spans="1:23" ht="15.75" customHeight="1" x14ac:dyDescent="0.25">
      <c r="A95" s="2" t="s">
        <v>1011</v>
      </c>
      <c r="B95" s="3">
        <v>45673.358749999999</v>
      </c>
      <c r="C95" s="2" t="s">
        <v>1012</v>
      </c>
      <c r="D95" s="2" t="s">
        <v>177</v>
      </c>
      <c r="E95" s="2" t="s">
        <v>62</v>
      </c>
      <c r="F95" s="2" t="str" cm="1">
        <f t="array" ref="F95:G95">_xlfn.TEXTSPLIT(E95," - ")</f>
        <v>Susu Bubuk</v>
      </c>
      <c r="G95" s="2" t="str">
        <v>Brand B</v>
      </c>
      <c r="H95" s="5">
        <v>50000</v>
      </c>
      <c r="I95" s="2">
        <v>2</v>
      </c>
      <c r="J95" s="2">
        <v>10</v>
      </c>
      <c r="K95" s="8">
        <f t="shared" si="6"/>
        <v>100000</v>
      </c>
      <c r="L95" s="8">
        <f t="shared" si="7"/>
        <v>10000</v>
      </c>
      <c r="M95" s="8">
        <f t="shared" si="8"/>
        <v>90000</v>
      </c>
      <c r="N95" s="5">
        <v>56000</v>
      </c>
      <c r="O95" s="8">
        <f t="shared" si="9"/>
        <v>146000</v>
      </c>
      <c r="P95" s="2" t="s">
        <v>29</v>
      </c>
      <c r="Q95" s="10" t="str">
        <f>VLOOKUP(A95,Status!A:B,2,0)</f>
        <v>Completed</v>
      </c>
      <c r="R95" s="2" t="s">
        <v>46</v>
      </c>
      <c r="S95" s="2">
        <v>5</v>
      </c>
      <c r="T95" s="2" t="s">
        <v>37</v>
      </c>
      <c r="U95" s="10" t="str">
        <f t="shared" si="11"/>
        <v>Jan</v>
      </c>
      <c r="V95" s="10">
        <f t="shared" si="10"/>
        <v>2025</v>
      </c>
      <c r="W95" t="e" cm="1">
        <f t="array" ref="W95">_xlfn.IFS(U95="January",1,U95="February",2,U95="March",3,U95="April",4,U95="May",5,U95="June",6,U95="July",7,U95="August",8,U95="September",9,U95="October",10,U95="November",11,U95="December",12)</f>
        <v>#N/A</v>
      </c>
    </row>
    <row r="96" spans="1:23" ht="15.75" customHeight="1" x14ac:dyDescent="0.25">
      <c r="A96" s="2" t="s">
        <v>1013</v>
      </c>
      <c r="B96" s="3">
        <v>45673.649826388893</v>
      </c>
      <c r="C96" s="2" t="s">
        <v>446</v>
      </c>
      <c r="D96" s="2" t="s">
        <v>296</v>
      </c>
      <c r="E96" s="2" t="s">
        <v>38</v>
      </c>
      <c r="F96" s="2" t="str" cm="1">
        <f t="array" ref="F96:G96">_xlfn.TEXTSPLIT(E96," - ")</f>
        <v>Telur Ayam</v>
      </c>
      <c r="G96" s="2" t="str">
        <v>Brand C</v>
      </c>
      <c r="H96" s="5">
        <v>28000</v>
      </c>
      <c r="I96" s="2">
        <v>2</v>
      </c>
      <c r="J96" s="2">
        <v>20</v>
      </c>
      <c r="K96" s="8">
        <f t="shared" si="6"/>
        <v>56000</v>
      </c>
      <c r="L96" s="8">
        <f t="shared" si="7"/>
        <v>11200</v>
      </c>
      <c r="M96" s="8">
        <f t="shared" si="8"/>
        <v>44800</v>
      </c>
      <c r="N96" s="5">
        <v>79000</v>
      </c>
      <c r="O96" s="8">
        <f t="shared" si="9"/>
        <v>123800</v>
      </c>
      <c r="P96" s="2" t="s">
        <v>63</v>
      </c>
      <c r="Q96" s="10" t="str">
        <f>VLOOKUP(A96,Status!A:B,2,0)</f>
        <v>Returned</v>
      </c>
      <c r="R96" s="2" t="s">
        <v>82</v>
      </c>
      <c r="S96" s="2">
        <v>3</v>
      </c>
      <c r="T96" s="2" t="s">
        <v>37</v>
      </c>
      <c r="U96" s="10" t="str">
        <f t="shared" si="11"/>
        <v>Jan</v>
      </c>
      <c r="V96" s="10">
        <f t="shared" si="10"/>
        <v>2025</v>
      </c>
      <c r="W96" t="e" cm="1">
        <f t="array" ref="W96">_xlfn.IFS(U96="January",1,U96="February",2,U96="March",3,U96="April",4,U96="May",5,U96="June",6,U96="July",7,U96="August",8,U96="September",9,U96="October",10,U96="November",11,U96="December",12)</f>
        <v>#N/A</v>
      </c>
    </row>
    <row r="97" spans="1:23" ht="15.75" customHeight="1" x14ac:dyDescent="0.25">
      <c r="A97" s="2" t="s">
        <v>1014</v>
      </c>
      <c r="B97" s="3">
        <v>45673.654374999998</v>
      </c>
      <c r="C97" s="2" t="s">
        <v>711</v>
      </c>
      <c r="D97" s="2" t="s">
        <v>177</v>
      </c>
      <c r="E97" s="2" t="s">
        <v>123</v>
      </c>
      <c r="F97" s="2" t="str" cm="1">
        <f t="array" ref="F97:G97">_xlfn.TEXTSPLIT(E97," - ")</f>
        <v>Telur Ayam</v>
      </c>
      <c r="G97" s="2" t="str">
        <v>Brand A</v>
      </c>
      <c r="H97" s="5">
        <v>22000</v>
      </c>
      <c r="I97" s="2">
        <v>4</v>
      </c>
      <c r="J97" s="2">
        <v>15</v>
      </c>
      <c r="K97" s="8">
        <f t="shared" si="6"/>
        <v>88000</v>
      </c>
      <c r="L97" s="8">
        <f t="shared" si="7"/>
        <v>13200</v>
      </c>
      <c r="M97" s="8">
        <f t="shared" si="8"/>
        <v>74800</v>
      </c>
      <c r="N97" s="5">
        <v>56000</v>
      </c>
      <c r="O97" s="8">
        <f t="shared" si="9"/>
        <v>130800</v>
      </c>
      <c r="P97" s="2" t="s">
        <v>63</v>
      </c>
      <c r="Q97" s="10" t="str">
        <f>VLOOKUP(A97,Status!A:B,2,0)</f>
        <v>Completed</v>
      </c>
      <c r="R97" s="2" t="s">
        <v>82</v>
      </c>
      <c r="S97" s="2">
        <v>4</v>
      </c>
      <c r="T97" s="2" t="s">
        <v>24</v>
      </c>
      <c r="U97" s="10" t="str">
        <f t="shared" si="11"/>
        <v>Jan</v>
      </c>
      <c r="V97" s="10">
        <f t="shared" si="10"/>
        <v>2025</v>
      </c>
      <c r="W97" t="e" cm="1">
        <f t="array" ref="W97">_xlfn.IFS(U97="January",1,U97="February",2,U97="March",3,U97="April",4,U97="May",5,U97="June",6,U97="July",7,U97="August",8,U97="September",9,U97="October",10,U97="November",11,U97="December",12)</f>
        <v>#N/A</v>
      </c>
    </row>
    <row r="98" spans="1:23" ht="15.75" customHeight="1" x14ac:dyDescent="0.25">
      <c r="A98" s="2" t="s">
        <v>1015</v>
      </c>
      <c r="B98" s="3">
        <v>45673.704085648147</v>
      </c>
      <c r="C98" s="2" t="s">
        <v>323</v>
      </c>
      <c r="D98" s="2" t="s">
        <v>103</v>
      </c>
      <c r="E98" s="2" t="s">
        <v>21</v>
      </c>
      <c r="F98" s="2" t="str" cm="1">
        <f t="array" ref="F98:G98">_xlfn.TEXTSPLIT(E98," - ")</f>
        <v>Daging Ayam</v>
      </c>
      <c r="G98" s="2" t="str">
        <v>Brand C</v>
      </c>
      <c r="H98" s="5">
        <v>45000</v>
      </c>
      <c r="I98" s="2">
        <v>3</v>
      </c>
      <c r="J98" s="2">
        <v>10</v>
      </c>
      <c r="K98" s="8">
        <f t="shared" si="6"/>
        <v>135000</v>
      </c>
      <c r="L98" s="8">
        <f t="shared" si="7"/>
        <v>13500</v>
      </c>
      <c r="M98" s="8">
        <f t="shared" si="8"/>
        <v>121500</v>
      </c>
      <c r="N98" s="5">
        <v>85000</v>
      </c>
      <c r="O98" s="8">
        <f t="shared" si="9"/>
        <v>206500</v>
      </c>
      <c r="P98" s="2" t="s">
        <v>22</v>
      </c>
      <c r="Q98" s="10" t="str">
        <f>VLOOKUP(A98,Status!A:B,2,0)</f>
        <v>Completed</v>
      </c>
      <c r="R98" s="2" t="s">
        <v>30</v>
      </c>
      <c r="S98" s="2">
        <v>2</v>
      </c>
      <c r="T98" s="2" t="s">
        <v>24</v>
      </c>
      <c r="U98" s="10" t="str">
        <f t="shared" si="11"/>
        <v>Jan</v>
      </c>
      <c r="V98" s="10">
        <f t="shared" si="10"/>
        <v>2025</v>
      </c>
      <c r="W98" t="e" cm="1">
        <f t="array" ref="W98">_xlfn.IFS(U98="January",1,U98="February",2,U98="March",3,U98="April",4,U98="May",5,U98="June",6,U98="July",7,U98="August",8,U98="September",9,U98="October",10,U98="November",11,U98="December",12)</f>
        <v>#N/A</v>
      </c>
    </row>
    <row r="99" spans="1:23" ht="15.75" customHeight="1" x14ac:dyDescent="0.25">
      <c r="A99" s="2" t="s">
        <v>1016</v>
      </c>
      <c r="B99" s="3">
        <v>45673.794293981482</v>
      </c>
      <c r="C99" s="2" t="s">
        <v>495</v>
      </c>
      <c r="D99" s="2" t="s">
        <v>44</v>
      </c>
      <c r="E99" s="2" t="s">
        <v>144</v>
      </c>
      <c r="F99" s="2" t="str" cm="1">
        <f t="array" ref="F99:G99">_xlfn.TEXTSPLIT(E99," - ")</f>
        <v>Gula Pasir</v>
      </c>
      <c r="G99" s="2" t="str">
        <v>Brand C</v>
      </c>
      <c r="H99" s="5">
        <v>18000</v>
      </c>
      <c r="I99" s="2">
        <v>1</v>
      </c>
      <c r="J99" s="2">
        <v>20</v>
      </c>
      <c r="K99" s="8">
        <f t="shared" si="6"/>
        <v>18000</v>
      </c>
      <c r="L99" s="8">
        <f t="shared" si="7"/>
        <v>3600</v>
      </c>
      <c r="M99" s="8">
        <f t="shared" si="8"/>
        <v>14400</v>
      </c>
      <c r="N99" s="5">
        <v>93000</v>
      </c>
      <c r="O99" s="8">
        <f t="shared" si="9"/>
        <v>107400</v>
      </c>
      <c r="P99" s="2" t="s">
        <v>35</v>
      </c>
      <c r="Q99" s="10" t="str">
        <f>VLOOKUP(A99,Status!A:B,2,0)</f>
        <v>Cancelled</v>
      </c>
      <c r="R99" s="2" t="s">
        <v>23</v>
      </c>
      <c r="S99" s="2">
        <v>3</v>
      </c>
      <c r="T99" s="2" t="s">
        <v>37</v>
      </c>
      <c r="U99" s="10" t="str">
        <f t="shared" si="11"/>
        <v>Jan</v>
      </c>
      <c r="V99" s="10">
        <f t="shared" si="10"/>
        <v>2025</v>
      </c>
      <c r="W99" t="e" cm="1">
        <f t="array" ref="W99">_xlfn.IFS(U99="January",1,U99="February",2,U99="March",3,U99="April",4,U99="May",5,U99="June",6,U99="July",7,U99="August",8,U99="September",9,U99="October",10,U99="November",11,U99="December",12)</f>
        <v>#N/A</v>
      </c>
    </row>
    <row r="100" spans="1:23" ht="15.75" customHeight="1" x14ac:dyDescent="0.25">
      <c r="A100" s="2" t="s">
        <v>1017</v>
      </c>
      <c r="B100" s="3">
        <v>45673.907708333332</v>
      </c>
      <c r="C100" s="2" t="s">
        <v>722</v>
      </c>
      <c r="D100" s="2" t="s">
        <v>57</v>
      </c>
      <c r="E100" s="2" t="s">
        <v>38</v>
      </c>
      <c r="F100" s="2" t="str" cm="1">
        <f t="array" ref="F100:G100">_xlfn.TEXTSPLIT(E100," - ")</f>
        <v>Telur Ayam</v>
      </c>
      <c r="G100" s="2" t="str">
        <v>Brand C</v>
      </c>
      <c r="H100" s="5">
        <v>28000</v>
      </c>
      <c r="I100" s="2">
        <v>1</v>
      </c>
      <c r="J100" s="2">
        <v>5</v>
      </c>
      <c r="K100" s="8">
        <f t="shared" si="6"/>
        <v>28000</v>
      </c>
      <c r="L100" s="8">
        <f t="shared" si="7"/>
        <v>1400</v>
      </c>
      <c r="M100" s="8">
        <f t="shared" si="8"/>
        <v>26600</v>
      </c>
      <c r="N100" s="5">
        <v>80000</v>
      </c>
      <c r="O100" s="8">
        <f t="shared" si="9"/>
        <v>106600</v>
      </c>
      <c r="P100" s="2" t="s">
        <v>22</v>
      </c>
      <c r="Q100" s="10" t="str">
        <f>VLOOKUP(A100,Status!A:B,2,0)</f>
        <v>Completed</v>
      </c>
      <c r="R100" s="2" t="s">
        <v>46</v>
      </c>
      <c r="S100" s="2">
        <v>2</v>
      </c>
      <c r="T100" s="2" t="s">
        <v>24</v>
      </c>
      <c r="U100" s="10" t="str">
        <f t="shared" si="11"/>
        <v>Jan</v>
      </c>
      <c r="V100" s="10">
        <f t="shared" si="10"/>
        <v>2025</v>
      </c>
      <c r="W100" t="e" cm="1">
        <f t="array" ref="W100">_xlfn.IFS(U100="January",1,U100="February",2,U100="March",3,U100="April",4,U100="May",5,U100="June",6,U100="July",7,U100="August",8,U100="September",9,U100="October",10,U100="November",11,U100="December",12)</f>
        <v>#N/A</v>
      </c>
    </row>
    <row r="101" spans="1:23" ht="15.75" customHeight="1" x14ac:dyDescent="0.25">
      <c r="A101" s="2" t="s">
        <v>1018</v>
      </c>
      <c r="B101" s="3">
        <v>45674.179270833331</v>
      </c>
      <c r="C101" s="2" t="s">
        <v>412</v>
      </c>
      <c r="D101" s="2" t="s">
        <v>70</v>
      </c>
      <c r="E101" s="2" t="s">
        <v>110</v>
      </c>
      <c r="F101" s="2" t="str" cm="1">
        <f t="array" ref="F101:G101">_xlfn.TEXTSPLIT(E101," - ")</f>
        <v>Garam</v>
      </c>
      <c r="G101" s="2" t="str">
        <v>Brand C</v>
      </c>
      <c r="H101" s="5">
        <v>6000</v>
      </c>
      <c r="I101" s="2">
        <v>5</v>
      </c>
      <c r="J101" s="2">
        <v>20</v>
      </c>
      <c r="K101" s="8">
        <f t="shared" si="6"/>
        <v>30000</v>
      </c>
      <c r="L101" s="8">
        <f t="shared" si="7"/>
        <v>6000</v>
      </c>
      <c r="M101" s="8">
        <f t="shared" si="8"/>
        <v>24000</v>
      </c>
      <c r="N101" s="5">
        <v>89000</v>
      </c>
      <c r="O101" s="8">
        <f t="shared" si="9"/>
        <v>113000</v>
      </c>
      <c r="P101" s="2" t="s">
        <v>22</v>
      </c>
      <c r="Q101" s="10" t="str">
        <f>VLOOKUP(A101,Status!A:B,2,0)</f>
        <v>Completed</v>
      </c>
      <c r="R101" s="2" t="s">
        <v>30</v>
      </c>
      <c r="S101" s="2">
        <v>5</v>
      </c>
      <c r="T101" s="2" t="s">
        <v>24</v>
      </c>
      <c r="U101" s="10" t="str">
        <f t="shared" si="11"/>
        <v>Jan</v>
      </c>
      <c r="V101" s="10">
        <f t="shared" si="10"/>
        <v>2025</v>
      </c>
      <c r="W101" t="e" cm="1">
        <f t="array" ref="W101">_xlfn.IFS(U101="January",1,U101="February",2,U101="March",3,U101="April",4,U101="May",5,U101="June",6,U101="July",7,U101="August",8,U101="September",9,U101="October",10,U101="November",11,U101="December",12)</f>
        <v>#N/A</v>
      </c>
    </row>
    <row r="102" spans="1:23" ht="15.75" customHeight="1" x14ac:dyDescent="0.25">
      <c r="A102" s="2" t="s">
        <v>1019</v>
      </c>
      <c r="B102" s="3">
        <v>45674.37940972222</v>
      </c>
      <c r="C102" s="2" t="s">
        <v>918</v>
      </c>
      <c r="D102" s="2" t="s">
        <v>296</v>
      </c>
      <c r="E102" s="2" t="s">
        <v>174</v>
      </c>
      <c r="F102" s="2" t="str" cm="1">
        <f t="array" ref="F102:G102">_xlfn.TEXTSPLIT(E102," - ")</f>
        <v>Tepung Terigu</v>
      </c>
      <c r="G102" s="2" t="str">
        <v>Brand A</v>
      </c>
      <c r="H102" s="5">
        <v>10000</v>
      </c>
      <c r="I102" s="2">
        <v>4</v>
      </c>
      <c r="J102" s="2">
        <v>15</v>
      </c>
      <c r="K102" s="8">
        <f t="shared" si="6"/>
        <v>40000</v>
      </c>
      <c r="L102" s="8">
        <f t="shared" si="7"/>
        <v>6000</v>
      </c>
      <c r="M102" s="8">
        <f t="shared" si="8"/>
        <v>34000</v>
      </c>
      <c r="N102" s="5">
        <v>79000</v>
      </c>
      <c r="O102" s="8">
        <f t="shared" si="9"/>
        <v>113000</v>
      </c>
      <c r="P102" s="2" t="s">
        <v>63</v>
      </c>
      <c r="Q102" s="10" t="str">
        <f>VLOOKUP(A102,Status!A:B,2,0)</f>
        <v>Completed</v>
      </c>
      <c r="R102" s="2" t="s">
        <v>30</v>
      </c>
      <c r="S102" s="2">
        <v>2</v>
      </c>
      <c r="T102" s="2" t="s">
        <v>24</v>
      </c>
      <c r="U102" s="10" t="str">
        <f t="shared" si="11"/>
        <v>Jan</v>
      </c>
      <c r="V102" s="10">
        <f t="shared" si="10"/>
        <v>2025</v>
      </c>
      <c r="W102" t="e" cm="1">
        <f t="array" ref="W102">_xlfn.IFS(U102="January",1,U102="February",2,U102="March",3,U102="April",4,U102="May",5,U102="June",6,U102="July",7,U102="August",8,U102="September",9,U102="October",10,U102="November",11,U102="December",12)</f>
        <v>#N/A</v>
      </c>
    </row>
    <row r="103" spans="1:23" ht="15.75" customHeight="1" x14ac:dyDescent="0.25">
      <c r="A103" s="2" t="s">
        <v>1020</v>
      </c>
      <c r="B103" s="3">
        <v>45674.63821759259</v>
      </c>
      <c r="C103" s="2" t="s">
        <v>656</v>
      </c>
      <c r="D103" s="2" t="s">
        <v>195</v>
      </c>
      <c r="E103" s="2" t="s">
        <v>67</v>
      </c>
      <c r="F103" s="2" t="str" cm="1">
        <f t="array" ref="F103:G103">_xlfn.TEXTSPLIT(E103," - ")</f>
        <v>Beras</v>
      </c>
      <c r="G103" s="2" t="str">
        <v>Brand B</v>
      </c>
      <c r="H103" s="5">
        <v>15000</v>
      </c>
      <c r="I103" s="2">
        <v>1</v>
      </c>
      <c r="J103" s="2">
        <v>0</v>
      </c>
      <c r="K103" s="8">
        <f t="shared" si="6"/>
        <v>15000</v>
      </c>
      <c r="L103" s="8">
        <f t="shared" si="7"/>
        <v>0</v>
      </c>
      <c r="M103" s="8">
        <f t="shared" si="8"/>
        <v>15000</v>
      </c>
      <c r="N103" s="5">
        <v>87000</v>
      </c>
      <c r="O103" s="8">
        <f t="shared" si="9"/>
        <v>102000</v>
      </c>
      <c r="P103" s="2" t="s">
        <v>35</v>
      </c>
      <c r="Q103" s="10" t="str">
        <f>VLOOKUP(A103,Status!A:B,2,0)</f>
        <v>Completed</v>
      </c>
      <c r="R103" s="2" t="s">
        <v>30</v>
      </c>
      <c r="S103" s="2">
        <v>4</v>
      </c>
      <c r="T103" s="2" t="s">
        <v>37</v>
      </c>
      <c r="U103" s="10" t="str">
        <f t="shared" si="11"/>
        <v>Jan</v>
      </c>
      <c r="V103" s="10">
        <f t="shared" si="10"/>
        <v>2025</v>
      </c>
      <c r="W103" t="e" cm="1">
        <f t="array" ref="W103">_xlfn.IFS(U103="January",1,U103="February",2,U103="March",3,U103="April",4,U103="May",5,U103="June",6,U103="July",7,U103="August",8,U103="September",9,U103="October",10,U103="November",11,U103="December",12)</f>
        <v>#N/A</v>
      </c>
    </row>
    <row r="104" spans="1:23" ht="15.75" customHeight="1" x14ac:dyDescent="0.25">
      <c r="A104" s="2" t="s">
        <v>1021</v>
      </c>
      <c r="B104" s="3">
        <v>45674.68172453704</v>
      </c>
      <c r="C104" s="2" t="s">
        <v>1022</v>
      </c>
      <c r="D104" s="2" t="s">
        <v>177</v>
      </c>
      <c r="E104" s="2" t="s">
        <v>174</v>
      </c>
      <c r="F104" s="2" t="str" cm="1">
        <f t="array" ref="F104:G104">_xlfn.TEXTSPLIT(E104," - ")</f>
        <v>Tepung Terigu</v>
      </c>
      <c r="G104" s="2" t="str">
        <v>Brand A</v>
      </c>
      <c r="H104" s="5">
        <v>10000</v>
      </c>
      <c r="I104" s="2">
        <v>4</v>
      </c>
      <c r="J104" s="2">
        <v>15</v>
      </c>
      <c r="K104" s="8">
        <f t="shared" si="6"/>
        <v>40000</v>
      </c>
      <c r="L104" s="8">
        <f t="shared" si="7"/>
        <v>6000</v>
      </c>
      <c r="M104" s="8">
        <f t="shared" si="8"/>
        <v>34000</v>
      </c>
      <c r="N104" s="5">
        <v>56000</v>
      </c>
      <c r="O104" s="8">
        <f t="shared" si="9"/>
        <v>90000</v>
      </c>
      <c r="P104" s="2" t="s">
        <v>22</v>
      </c>
      <c r="Q104" s="10" t="str">
        <f>VLOOKUP(A104,Status!A:B,2,0)</f>
        <v>Completed</v>
      </c>
      <c r="R104" s="2" t="s">
        <v>23</v>
      </c>
      <c r="S104" s="2">
        <v>2</v>
      </c>
      <c r="T104" s="2" t="s">
        <v>24</v>
      </c>
      <c r="U104" s="10" t="str">
        <f t="shared" si="11"/>
        <v>Jan</v>
      </c>
      <c r="V104" s="10">
        <f t="shared" si="10"/>
        <v>2025</v>
      </c>
      <c r="W104" t="e" cm="1">
        <f t="array" ref="W104">_xlfn.IFS(U104="January",1,U104="February",2,U104="March",3,U104="April",4,U104="May",5,U104="June",6,U104="July",7,U104="August",8,U104="September",9,U104="October",10,U104="November",11,U104="December",12)</f>
        <v>#N/A</v>
      </c>
    </row>
    <row r="105" spans="1:23" ht="15.75" customHeight="1" x14ac:dyDescent="0.25">
      <c r="A105" s="2" t="s">
        <v>1023</v>
      </c>
      <c r="B105" s="3">
        <v>45674.723275462973</v>
      </c>
      <c r="C105" s="2" t="s">
        <v>834</v>
      </c>
      <c r="D105" s="2" t="s">
        <v>177</v>
      </c>
      <c r="E105" s="2" t="s">
        <v>110</v>
      </c>
      <c r="F105" s="2" t="str" cm="1">
        <f t="array" ref="F105:G105">_xlfn.TEXTSPLIT(E105," - ")</f>
        <v>Garam</v>
      </c>
      <c r="G105" s="2" t="str">
        <v>Brand C</v>
      </c>
      <c r="H105" s="5">
        <v>6000</v>
      </c>
      <c r="I105" s="2">
        <v>1</v>
      </c>
      <c r="J105" s="2">
        <v>20</v>
      </c>
      <c r="K105" s="8">
        <f t="shared" si="6"/>
        <v>6000</v>
      </c>
      <c r="L105" s="8">
        <f t="shared" si="7"/>
        <v>1200</v>
      </c>
      <c r="M105" s="8">
        <f t="shared" si="8"/>
        <v>4800</v>
      </c>
      <c r="N105" s="5">
        <v>56000</v>
      </c>
      <c r="O105" s="8">
        <f t="shared" si="9"/>
        <v>60800</v>
      </c>
      <c r="P105" s="2" t="s">
        <v>29</v>
      </c>
      <c r="Q105" s="10" t="str">
        <f>VLOOKUP(A105,Status!A:B,2,0)</f>
        <v>Returned</v>
      </c>
      <c r="R105" s="2" t="s">
        <v>82</v>
      </c>
      <c r="S105" s="2">
        <v>4</v>
      </c>
      <c r="T105" s="2" t="s">
        <v>37</v>
      </c>
      <c r="U105" s="10" t="str">
        <f t="shared" si="11"/>
        <v>Jan</v>
      </c>
      <c r="V105" s="10">
        <f t="shared" si="10"/>
        <v>2025</v>
      </c>
      <c r="W105" t="e" cm="1">
        <f t="array" ref="W105">_xlfn.IFS(U105="January",1,U105="February",2,U105="March",3,U105="April",4,U105="May",5,U105="June",6,U105="July",7,U105="August",8,U105="September",9,U105="October",10,U105="November",11,U105="December",12)</f>
        <v>#N/A</v>
      </c>
    </row>
    <row r="106" spans="1:23" ht="15.75" customHeight="1" x14ac:dyDescent="0.25">
      <c r="A106" s="2" t="s">
        <v>1024</v>
      </c>
      <c r="B106" s="3">
        <v>45674.734398148154</v>
      </c>
      <c r="C106" s="2" t="s">
        <v>1025</v>
      </c>
      <c r="D106" s="2" t="s">
        <v>119</v>
      </c>
      <c r="E106" s="2" t="s">
        <v>34</v>
      </c>
      <c r="F106" s="2" t="str" cm="1">
        <f t="array" ref="F106:G106">_xlfn.TEXTSPLIT(E106," - ")</f>
        <v>Minyak Goreng</v>
      </c>
      <c r="G106" s="2" t="str">
        <v>Brand A</v>
      </c>
      <c r="H106" s="5">
        <v>16000</v>
      </c>
      <c r="I106" s="2">
        <v>4</v>
      </c>
      <c r="J106" s="2">
        <v>5</v>
      </c>
      <c r="K106" s="8">
        <f t="shared" si="6"/>
        <v>64000</v>
      </c>
      <c r="L106" s="8">
        <f t="shared" si="7"/>
        <v>3200</v>
      </c>
      <c r="M106" s="8">
        <f t="shared" si="8"/>
        <v>60800</v>
      </c>
      <c r="N106" s="5">
        <v>0</v>
      </c>
      <c r="O106" s="8">
        <f t="shared" si="9"/>
        <v>60800</v>
      </c>
      <c r="P106" s="2" t="s">
        <v>29</v>
      </c>
      <c r="Q106" s="10" t="str">
        <f>VLOOKUP(A106,Status!A:B,2,0)</f>
        <v>Completed</v>
      </c>
      <c r="R106" s="2" t="s">
        <v>23</v>
      </c>
      <c r="S106" s="2">
        <v>5</v>
      </c>
      <c r="T106" s="2" t="s">
        <v>24</v>
      </c>
      <c r="U106" s="10" t="str">
        <f t="shared" si="11"/>
        <v>Jan</v>
      </c>
      <c r="V106" s="10">
        <f t="shared" si="10"/>
        <v>2025</v>
      </c>
      <c r="W106" t="e" cm="1">
        <f t="array" ref="W106">_xlfn.IFS(U106="January",1,U106="February",2,U106="March",3,U106="April",4,U106="May",5,U106="June",6,U106="July",7,U106="August",8,U106="September",9,U106="October",10,U106="November",11,U106="December",12)</f>
        <v>#N/A</v>
      </c>
    </row>
    <row r="107" spans="1:23" ht="15.75" customHeight="1" x14ac:dyDescent="0.25">
      <c r="A107" s="2" t="s">
        <v>1026</v>
      </c>
      <c r="B107" s="3">
        <v>45675.224085648151</v>
      </c>
      <c r="C107" s="2" t="s">
        <v>748</v>
      </c>
      <c r="D107" s="2" t="s">
        <v>160</v>
      </c>
      <c r="E107" s="2" t="s">
        <v>174</v>
      </c>
      <c r="F107" s="2" t="str" cm="1">
        <f t="array" ref="F107:G107">_xlfn.TEXTSPLIT(E107," - ")</f>
        <v>Tepung Terigu</v>
      </c>
      <c r="G107" s="2" t="str">
        <v>Brand A</v>
      </c>
      <c r="H107" s="5">
        <v>10000</v>
      </c>
      <c r="I107" s="2">
        <v>1</v>
      </c>
      <c r="J107" s="2">
        <v>20</v>
      </c>
      <c r="K107" s="8">
        <f t="shared" si="6"/>
        <v>10000</v>
      </c>
      <c r="L107" s="8">
        <f t="shared" si="7"/>
        <v>2000</v>
      </c>
      <c r="M107" s="8">
        <f t="shared" si="8"/>
        <v>8000</v>
      </c>
      <c r="N107" s="5">
        <v>68000</v>
      </c>
      <c r="O107" s="8">
        <f t="shared" si="9"/>
        <v>76000</v>
      </c>
      <c r="P107" s="2" t="s">
        <v>35</v>
      </c>
      <c r="Q107" s="10" t="str">
        <f>VLOOKUP(A107,Status!A:B,2,0)</f>
        <v>Completed</v>
      </c>
      <c r="R107" s="2" t="s">
        <v>23</v>
      </c>
      <c r="S107" s="2">
        <v>5</v>
      </c>
      <c r="T107" s="2" t="s">
        <v>24</v>
      </c>
      <c r="U107" s="10" t="str">
        <f t="shared" si="11"/>
        <v>Jan</v>
      </c>
      <c r="V107" s="10">
        <f t="shared" si="10"/>
        <v>2025</v>
      </c>
      <c r="W107" t="e" cm="1">
        <f t="array" ref="W107">_xlfn.IFS(U107="January",1,U107="February",2,U107="March",3,U107="April",4,U107="May",5,U107="June",6,U107="July",7,U107="August",8,U107="September",9,U107="October",10,U107="November",11,U107="December",12)</f>
        <v>#N/A</v>
      </c>
    </row>
    <row r="108" spans="1:23" ht="15.75" customHeight="1" x14ac:dyDescent="0.25">
      <c r="A108" s="2" t="s">
        <v>1027</v>
      </c>
      <c r="B108" s="3">
        <v>45675.290925925918</v>
      </c>
      <c r="C108" s="2" t="s">
        <v>434</v>
      </c>
      <c r="D108" s="2" t="s">
        <v>435</v>
      </c>
      <c r="E108" s="2" t="s">
        <v>41</v>
      </c>
      <c r="F108" s="2" t="str" cm="1">
        <f t="array" ref="F108:G108">_xlfn.TEXTSPLIT(E108," - ")</f>
        <v>Garam</v>
      </c>
      <c r="G108" s="2" t="str">
        <v>Brand A</v>
      </c>
      <c r="H108" s="5">
        <v>4000</v>
      </c>
      <c r="I108" s="2">
        <v>2</v>
      </c>
      <c r="J108" s="2">
        <v>5</v>
      </c>
      <c r="K108" s="8">
        <f t="shared" si="6"/>
        <v>8000</v>
      </c>
      <c r="L108" s="8">
        <f t="shared" si="7"/>
        <v>400</v>
      </c>
      <c r="M108" s="8">
        <f t="shared" si="8"/>
        <v>7600</v>
      </c>
      <c r="N108" s="5">
        <v>67000</v>
      </c>
      <c r="O108" s="8">
        <f t="shared" si="9"/>
        <v>74600</v>
      </c>
      <c r="P108" s="2" t="s">
        <v>22</v>
      </c>
      <c r="Q108" s="10" t="str">
        <f>VLOOKUP(A108,Status!A:B,2,0)</f>
        <v>Returned</v>
      </c>
      <c r="R108" s="2" t="s">
        <v>82</v>
      </c>
      <c r="S108" s="2">
        <v>2</v>
      </c>
      <c r="T108" s="2" t="s">
        <v>24</v>
      </c>
      <c r="U108" s="10" t="str">
        <f t="shared" si="11"/>
        <v>Jan</v>
      </c>
      <c r="V108" s="10">
        <f t="shared" si="10"/>
        <v>2025</v>
      </c>
      <c r="W108" t="e" cm="1">
        <f t="array" ref="W108">_xlfn.IFS(U108="January",1,U108="February",2,U108="March",3,U108="April",4,U108="May",5,U108="June",6,U108="July",7,U108="August",8,U108="September",9,U108="October",10,U108="November",11,U108="December",12)</f>
        <v>#N/A</v>
      </c>
    </row>
    <row r="109" spans="1:23" ht="15.75" customHeight="1" x14ac:dyDescent="0.25">
      <c r="A109" s="2" t="s">
        <v>1028</v>
      </c>
      <c r="B109" s="3">
        <v>45675.588506944441</v>
      </c>
      <c r="C109" s="2" t="s">
        <v>443</v>
      </c>
      <c r="D109" s="2" t="s">
        <v>53</v>
      </c>
      <c r="E109" s="2" t="s">
        <v>62</v>
      </c>
      <c r="F109" s="2" t="str" cm="1">
        <f t="array" ref="F109:G109">_xlfn.TEXTSPLIT(E109," - ")</f>
        <v>Susu Bubuk</v>
      </c>
      <c r="G109" s="2" t="str">
        <v>Brand B</v>
      </c>
      <c r="H109" s="5">
        <v>50000</v>
      </c>
      <c r="I109" s="2">
        <v>3</v>
      </c>
      <c r="J109" s="2">
        <v>20</v>
      </c>
      <c r="K109" s="8">
        <f t="shared" si="6"/>
        <v>150000</v>
      </c>
      <c r="L109" s="8">
        <f t="shared" si="7"/>
        <v>30000</v>
      </c>
      <c r="M109" s="8">
        <f t="shared" si="8"/>
        <v>120000</v>
      </c>
      <c r="N109" s="5">
        <v>18000</v>
      </c>
      <c r="O109" s="8">
        <f t="shared" si="9"/>
        <v>138000</v>
      </c>
      <c r="P109" s="2" t="s">
        <v>29</v>
      </c>
      <c r="Q109" s="10" t="str">
        <f>VLOOKUP(A109,Status!A:B,2,0)</f>
        <v>Completed</v>
      </c>
      <c r="R109" s="2" t="s">
        <v>23</v>
      </c>
      <c r="S109" s="2">
        <v>5</v>
      </c>
      <c r="T109" s="2" t="s">
        <v>24</v>
      </c>
      <c r="U109" s="10" t="str">
        <f t="shared" si="11"/>
        <v>Jan</v>
      </c>
      <c r="V109" s="10">
        <f t="shared" si="10"/>
        <v>2025</v>
      </c>
      <c r="W109" t="e" cm="1">
        <f t="array" ref="W109">_xlfn.IFS(U109="January",1,U109="February",2,U109="March",3,U109="April",4,U109="May",5,U109="June",6,U109="July",7,U109="August",8,U109="September",9,U109="October",10,U109="November",11,U109="December",12)</f>
        <v>#N/A</v>
      </c>
    </row>
    <row r="110" spans="1:23" ht="15.75" customHeight="1" x14ac:dyDescent="0.25">
      <c r="A110" s="2" t="s">
        <v>1029</v>
      </c>
      <c r="B110" s="3">
        <v>45675.945648148147</v>
      </c>
      <c r="C110" s="2" t="s">
        <v>383</v>
      </c>
      <c r="D110" s="2" t="s">
        <v>122</v>
      </c>
      <c r="E110" s="2" t="s">
        <v>250</v>
      </c>
      <c r="F110" s="2" t="str" cm="1">
        <f t="array" ref="F110:G110">_xlfn.TEXTSPLIT(E110," - ")</f>
        <v>Minyak Goreng</v>
      </c>
      <c r="G110" s="2" t="str">
        <v>Brand C</v>
      </c>
      <c r="H110" s="5">
        <v>18000</v>
      </c>
      <c r="I110" s="2">
        <v>4</v>
      </c>
      <c r="J110" s="2">
        <v>20</v>
      </c>
      <c r="K110" s="8">
        <f t="shared" si="6"/>
        <v>72000</v>
      </c>
      <c r="L110" s="8">
        <f t="shared" si="7"/>
        <v>14400</v>
      </c>
      <c r="M110" s="8">
        <f t="shared" si="8"/>
        <v>57600</v>
      </c>
      <c r="N110" s="5">
        <v>78000</v>
      </c>
      <c r="O110" s="8">
        <f t="shared" si="9"/>
        <v>135600</v>
      </c>
      <c r="P110" s="2" t="s">
        <v>22</v>
      </c>
      <c r="Q110" s="10" t="str">
        <f>VLOOKUP(A110,Status!A:B,2,0)</f>
        <v>Completed</v>
      </c>
      <c r="R110" s="2" t="s">
        <v>46</v>
      </c>
      <c r="S110" s="2">
        <v>2</v>
      </c>
      <c r="T110" s="2" t="s">
        <v>24</v>
      </c>
      <c r="U110" s="10" t="str">
        <f t="shared" si="11"/>
        <v>Jan</v>
      </c>
      <c r="V110" s="10">
        <f t="shared" si="10"/>
        <v>2025</v>
      </c>
      <c r="W110" t="e" cm="1">
        <f t="array" ref="W110">_xlfn.IFS(U110="January",1,U110="February",2,U110="March",3,U110="April",4,U110="May",5,U110="June",6,U110="July",7,U110="August",8,U110="September",9,U110="October",10,U110="November",11,U110="December",12)</f>
        <v>#N/A</v>
      </c>
    </row>
    <row r="111" spans="1:23" ht="15.75" customHeight="1" x14ac:dyDescent="0.25">
      <c r="A111" s="2" t="s">
        <v>1030</v>
      </c>
      <c r="B111" s="3">
        <v>45676.33221064815</v>
      </c>
      <c r="C111" s="2" t="s">
        <v>121</v>
      </c>
      <c r="D111" s="2" t="s">
        <v>122</v>
      </c>
      <c r="E111" s="2" t="s">
        <v>38</v>
      </c>
      <c r="F111" s="2" t="str" cm="1">
        <f t="array" ref="F111:G111">_xlfn.TEXTSPLIT(E111," - ")</f>
        <v>Telur Ayam</v>
      </c>
      <c r="G111" s="2" t="str">
        <v>Brand C</v>
      </c>
      <c r="H111" s="5">
        <v>28000</v>
      </c>
      <c r="I111" s="2">
        <v>5</v>
      </c>
      <c r="J111" s="2">
        <v>10</v>
      </c>
      <c r="K111" s="8">
        <f t="shared" si="6"/>
        <v>140000</v>
      </c>
      <c r="L111" s="8">
        <f t="shared" si="7"/>
        <v>14000</v>
      </c>
      <c r="M111" s="8">
        <f t="shared" si="8"/>
        <v>126000</v>
      </c>
      <c r="N111" s="5">
        <v>78000</v>
      </c>
      <c r="O111" s="8">
        <f t="shared" si="9"/>
        <v>204000</v>
      </c>
      <c r="P111" s="2" t="s">
        <v>63</v>
      </c>
      <c r="Q111" s="10" t="str">
        <f>VLOOKUP(A111,Status!A:B,2,0)</f>
        <v>Completed</v>
      </c>
      <c r="R111" s="2" t="s">
        <v>23</v>
      </c>
      <c r="S111" s="2">
        <v>5</v>
      </c>
      <c r="T111" s="2" t="s">
        <v>24</v>
      </c>
      <c r="U111" s="10" t="str">
        <f t="shared" si="11"/>
        <v>Jan</v>
      </c>
      <c r="V111" s="10">
        <f t="shared" si="10"/>
        <v>2025</v>
      </c>
      <c r="W111" t="e" cm="1">
        <f t="array" ref="W111">_xlfn.IFS(U111="January",1,U111="February",2,U111="March",3,U111="April",4,U111="May",5,U111="June",6,U111="July",7,U111="August",8,U111="September",9,U111="October",10,U111="November",11,U111="December",12)</f>
        <v>#N/A</v>
      </c>
    </row>
    <row r="112" spans="1:23" ht="15.75" customHeight="1" x14ac:dyDescent="0.25">
      <c r="A112" s="2" t="s">
        <v>1031</v>
      </c>
      <c r="B112" s="3">
        <v>45676.351226851853</v>
      </c>
      <c r="C112" s="2" t="s">
        <v>705</v>
      </c>
      <c r="D112" s="2" t="s">
        <v>189</v>
      </c>
      <c r="E112" s="2" t="s">
        <v>38</v>
      </c>
      <c r="F112" s="2" t="str" cm="1">
        <f t="array" ref="F112:G112">_xlfn.TEXTSPLIT(E112," - ")</f>
        <v>Telur Ayam</v>
      </c>
      <c r="G112" s="2" t="str">
        <v>Brand C</v>
      </c>
      <c r="H112" s="5">
        <v>28000</v>
      </c>
      <c r="I112" s="2">
        <v>2</v>
      </c>
      <c r="J112" s="2">
        <v>20</v>
      </c>
      <c r="K112" s="8">
        <f t="shared" si="6"/>
        <v>56000</v>
      </c>
      <c r="L112" s="8">
        <f t="shared" si="7"/>
        <v>11200</v>
      </c>
      <c r="M112" s="8">
        <f t="shared" si="8"/>
        <v>44800</v>
      </c>
      <c r="N112" s="5">
        <v>57000</v>
      </c>
      <c r="O112" s="8">
        <f t="shared" si="9"/>
        <v>101800</v>
      </c>
      <c r="P112" s="2" t="s">
        <v>29</v>
      </c>
      <c r="Q112" s="10" t="str">
        <f>VLOOKUP(A112,Status!A:B,2,0)</f>
        <v>Completed</v>
      </c>
      <c r="R112" s="2" t="s">
        <v>82</v>
      </c>
      <c r="S112" s="2">
        <v>4</v>
      </c>
      <c r="T112" s="2" t="s">
        <v>24</v>
      </c>
      <c r="U112" s="10" t="str">
        <f t="shared" si="11"/>
        <v>Jan</v>
      </c>
      <c r="V112" s="10">
        <f t="shared" si="10"/>
        <v>2025</v>
      </c>
      <c r="W112" t="e" cm="1">
        <f t="array" ref="W112">_xlfn.IFS(U112="January",1,U112="February",2,U112="March",3,U112="April",4,U112="May",5,U112="June",6,U112="July",7,U112="August",8,U112="September",9,U112="October",10,U112="November",11,U112="December",12)</f>
        <v>#N/A</v>
      </c>
    </row>
    <row r="113" spans="1:23" ht="15.75" customHeight="1" x14ac:dyDescent="0.25">
      <c r="A113" s="2" t="s">
        <v>1032</v>
      </c>
      <c r="B113" s="3">
        <v>45676.408773148149</v>
      </c>
      <c r="C113" s="2" t="s">
        <v>1033</v>
      </c>
      <c r="D113" s="2" t="s">
        <v>122</v>
      </c>
      <c r="E113" s="2" t="s">
        <v>38</v>
      </c>
      <c r="F113" s="2" t="str" cm="1">
        <f t="array" ref="F113:G113">_xlfn.TEXTSPLIT(E113," - ")</f>
        <v>Telur Ayam</v>
      </c>
      <c r="G113" s="2" t="str">
        <v>Brand C</v>
      </c>
      <c r="H113" s="5">
        <v>28000</v>
      </c>
      <c r="I113" s="2">
        <v>2</v>
      </c>
      <c r="J113" s="2">
        <v>15</v>
      </c>
      <c r="K113" s="8">
        <f t="shared" si="6"/>
        <v>56000</v>
      </c>
      <c r="L113" s="8">
        <f t="shared" si="7"/>
        <v>8400</v>
      </c>
      <c r="M113" s="8">
        <f t="shared" si="8"/>
        <v>47600</v>
      </c>
      <c r="N113" s="5">
        <v>78000</v>
      </c>
      <c r="O113" s="8">
        <f t="shared" si="9"/>
        <v>125600</v>
      </c>
      <c r="P113" s="2" t="s">
        <v>35</v>
      </c>
      <c r="Q113" s="10" t="str">
        <f>VLOOKUP(A113,Status!A:B,2,0)</f>
        <v>Completed</v>
      </c>
      <c r="R113" s="2" t="s">
        <v>23</v>
      </c>
      <c r="S113" s="2">
        <v>3</v>
      </c>
      <c r="T113" s="2" t="s">
        <v>24</v>
      </c>
      <c r="U113" s="10" t="str">
        <f t="shared" si="11"/>
        <v>Jan</v>
      </c>
      <c r="V113" s="10">
        <f t="shared" si="10"/>
        <v>2025</v>
      </c>
      <c r="W113" t="e" cm="1">
        <f t="array" ref="W113">_xlfn.IFS(U113="January",1,U113="February",2,U113="March",3,U113="April",4,U113="May",5,U113="June",6,U113="July",7,U113="August",8,U113="September",9,U113="October",10,U113="November",11,U113="December",12)</f>
        <v>#N/A</v>
      </c>
    </row>
    <row r="114" spans="1:23" ht="15.75" customHeight="1" x14ac:dyDescent="0.25">
      <c r="A114" s="2" t="s">
        <v>1034</v>
      </c>
      <c r="B114" s="3">
        <v>45676.610335648147</v>
      </c>
      <c r="C114" s="2" t="s">
        <v>1035</v>
      </c>
      <c r="D114" s="2" t="s">
        <v>66</v>
      </c>
      <c r="E114" s="2" t="s">
        <v>21</v>
      </c>
      <c r="F114" s="2" t="str" cm="1">
        <f t="array" ref="F114:G114">_xlfn.TEXTSPLIT(E114," - ")</f>
        <v>Daging Ayam</v>
      </c>
      <c r="G114" s="2" t="str">
        <v>Brand C</v>
      </c>
      <c r="H114" s="5">
        <v>45000</v>
      </c>
      <c r="I114" s="2">
        <v>4</v>
      </c>
      <c r="J114" s="2">
        <v>15</v>
      </c>
      <c r="K114" s="8">
        <f t="shared" si="6"/>
        <v>180000</v>
      </c>
      <c r="L114" s="8">
        <f t="shared" si="7"/>
        <v>27000</v>
      </c>
      <c r="M114" s="8">
        <f t="shared" si="8"/>
        <v>153000</v>
      </c>
      <c r="N114" s="5">
        <v>59000</v>
      </c>
      <c r="O114" s="8">
        <f t="shared" si="9"/>
        <v>212000</v>
      </c>
      <c r="P114" s="2" t="s">
        <v>29</v>
      </c>
      <c r="Q114" s="10" t="str">
        <f>VLOOKUP(A114,Status!A:B,2,0)</f>
        <v>Completed</v>
      </c>
      <c r="R114" s="2" t="s">
        <v>23</v>
      </c>
      <c r="S114" s="2">
        <v>4</v>
      </c>
      <c r="T114" s="2" t="s">
        <v>24</v>
      </c>
      <c r="U114" s="10" t="str">
        <f t="shared" si="11"/>
        <v>Jan</v>
      </c>
      <c r="V114" s="10">
        <f t="shared" si="10"/>
        <v>2025</v>
      </c>
      <c r="W114" t="e" cm="1">
        <f t="array" ref="W114">_xlfn.IFS(U114="January",1,U114="February",2,U114="March",3,U114="April",4,U114="May",5,U114="June",6,U114="July",7,U114="August",8,U114="September",9,U114="October",10,U114="November",11,U114="December",12)</f>
        <v>#N/A</v>
      </c>
    </row>
    <row r="115" spans="1:23" ht="15.75" customHeight="1" x14ac:dyDescent="0.25">
      <c r="A115" s="2" t="s">
        <v>1034</v>
      </c>
      <c r="B115" s="3">
        <v>45676.610335648147</v>
      </c>
      <c r="C115" s="2" t="s">
        <v>1035</v>
      </c>
      <c r="D115" s="2" t="s">
        <v>66</v>
      </c>
      <c r="E115" s="2" t="s">
        <v>54</v>
      </c>
      <c r="F115" s="2" t="str" cm="1">
        <f t="array" ref="F115:G115">_xlfn.TEXTSPLIT(E115," - ")</f>
        <v>Beras</v>
      </c>
      <c r="G115" s="2" t="str">
        <v>Brand C</v>
      </c>
      <c r="H115" s="5">
        <v>16000</v>
      </c>
      <c r="I115" s="2">
        <v>1</v>
      </c>
      <c r="J115" s="2">
        <v>10</v>
      </c>
      <c r="K115" s="8">
        <f t="shared" si="6"/>
        <v>16000</v>
      </c>
      <c r="L115" s="8">
        <f t="shared" si="7"/>
        <v>1600</v>
      </c>
      <c r="M115" s="8">
        <f t="shared" si="8"/>
        <v>14400</v>
      </c>
      <c r="N115" s="5">
        <v>0</v>
      </c>
      <c r="O115" s="8">
        <f t="shared" si="9"/>
        <v>14400</v>
      </c>
      <c r="P115" s="2" t="s">
        <v>29</v>
      </c>
      <c r="Q115" s="10" t="str">
        <f>VLOOKUP(A115,Status!A:B,2,0)</f>
        <v>Completed</v>
      </c>
      <c r="R115" s="2" t="s">
        <v>23</v>
      </c>
      <c r="S115" s="2">
        <v>4</v>
      </c>
      <c r="T115" s="2" t="s">
        <v>24</v>
      </c>
      <c r="U115" s="10" t="str">
        <f t="shared" si="11"/>
        <v>Jan</v>
      </c>
      <c r="V115" s="10">
        <f t="shared" si="10"/>
        <v>2025</v>
      </c>
      <c r="W115" t="e" cm="1">
        <f t="array" ref="W115">_xlfn.IFS(U115="January",1,U115="February",2,U115="March",3,U115="April",4,U115="May",5,U115="June",6,U115="July",7,U115="August",8,U115="September",9,U115="October",10,U115="November",11,U115="December",12)</f>
        <v>#N/A</v>
      </c>
    </row>
    <row r="116" spans="1:23" ht="15.75" customHeight="1" x14ac:dyDescent="0.25">
      <c r="A116" s="2" t="s">
        <v>1036</v>
      </c>
      <c r="B116" s="3">
        <v>45676.735034722216</v>
      </c>
      <c r="C116" s="2" t="s">
        <v>748</v>
      </c>
      <c r="D116" s="2" t="s">
        <v>160</v>
      </c>
      <c r="E116" s="2" t="s">
        <v>62</v>
      </c>
      <c r="F116" s="2" t="str" cm="1">
        <f t="array" ref="F116:G116">_xlfn.TEXTSPLIT(E116," - ")</f>
        <v>Susu Bubuk</v>
      </c>
      <c r="G116" s="2" t="str">
        <v>Brand B</v>
      </c>
      <c r="H116" s="5">
        <v>50000</v>
      </c>
      <c r="I116" s="2">
        <v>5</v>
      </c>
      <c r="J116" s="2">
        <v>20</v>
      </c>
      <c r="K116" s="8">
        <f t="shared" si="6"/>
        <v>250000</v>
      </c>
      <c r="L116" s="8">
        <f t="shared" si="7"/>
        <v>50000</v>
      </c>
      <c r="M116" s="8">
        <f t="shared" si="8"/>
        <v>200000</v>
      </c>
      <c r="N116" s="5">
        <v>68000</v>
      </c>
      <c r="O116" s="8">
        <f t="shared" si="9"/>
        <v>268000</v>
      </c>
      <c r="P116" s="2" t="s">
        <v>63</v>
      </c>
      <c r="Q116" s="10" t="str">
        <f>VLOOKUP(A116,Status!A:B,2,0)</f>
        <v>Completed</v>
      </c>
      <c r="R116" s="2" t="s">
        <v>82</v>
      </c>
      <c r="S116" s="2">
        <v>3</v>
      </c>
      <c r="T116" s="2" t="s">
        <v>24</v>
      </c>
      <c r="U116" s="10" t="str">
        <f t="shared" si="11"/>
        <v>Jan</v>
      </c>
      <c r="V116" s="10">
        <f t="shared" si="10"/>
        <v>2025</v>
      </c>
      <c r="W116" t="e" cm="1">
        <f t="array" ref="W116">_xlfn.IFS(U116="January",1,U116="February",2,U116="March",3,U116="April",4,U116="May",5,U116="June",6,U116="July",7,U116="August",8,U116="September",9,U116="October",10,U116="November",11,U116="December",12)</f>
        <v>#N/A</v>
      </c>
    </row>
    <row r="117" spans="1:23" ht="15.75" customHeight="1" x14ac:dyDescent="0.25">
      <c r="A117" s="2" t="s">
        <v>1037</v>
      </c>
      <c r="B117" s="3">
        <v>45676.761990740742</v>
      </c>
      <c r="C117" s="2" t="s">
        <v>1038</v>
      </c>
      <c r="D117" s="2" t="s">
        <v>53</v>
      </c>
      <c r="E117" s="2" t="s">
        <v>174</v>
      </c>
      <c r="F117" s="2" t="str" cm="1">
        <f t="array" ref="F117:G117">_xlfn.TEXTSPLIT(E117," - ")</f>
        <v>Tepung Terigu</v>
      </c>
      <c r="G117" s="2" t="str">
        <v>Brand A</v>
      </c>
      <c r="H117" s="5">
        <v>10000</v>
      </c>
      <c r="I117" s="2">
        <v>3</v>
      </c>
      <c r="J117" s="2">
        <v>5</v>
      </c>
      <c r="K117" s="8">
        <f t="shared" si="6"/>
        <v>30000</v>
      </c>
      <c r="L117" s="8">
        <f t="shared" si="7"/>
        <v>1500</v>
      </c>
      <c r="M117" s="8">
        <f t="shared" si="8"/>
        <v>28500</v>
      </c>
      <c r="N117" s="5">
        <v>18000</v>
      </c>
      <c r="O117" s="8">
        <f t="shared" si="9"/>
        <v>46500</v>
      </c>
      <c r="P117" s="2" t="s">
        <v>29</v>
      </c>
      <c r="Q117" s="10" t="str">
        <f>VLOOKUP(A117,Status!A:B,2,0)</f>
        <v>Completed</v>
      </c>
      <c r="R117" s="2" t="s">
        <v>46</v>
      </c>
      <c r="S117" s="2">
        <v>3</v>
      </c>
      <c r="T117" s="2" t="s">
        <v>24</v>
      </c>
      <c r="U117" s="10" t="str">
        <f t="shared" si="11"/>
        <v>Jan</v>
      </c>
      <c r="V117" s="10">
        <f t="shared" si="10"/>
        <v>2025</v>
      </c>
      <c r="W117" t="e" cm="1">
        <f t="array" ref="W117">_xlfn.IFS(U117="January",1,U117="February",2,U117="March",3,U117="April",4,U117="May",5,U117="June",6,U117="July",7,U117="August",8,U117="September",9,U117="October",10,U117="November",11,U117="December",12)</f>
        <v>#N/A</v>
      </c>
    </row>
    <row r="118" spans="1:23" ht="15.75" customHeight="1" x14ac:dyDescent="0.25">
      <c r="A118" s="2" t="s">
        <v>1039</v>
      </c>
      <c r="B118" s="3">
        <v>45676.824733796297</v>
      </c>
      <c r="C118" s="2" t="s">
        <v>1040</v>
      </c>
      <c r="D118" s="2" t="s">
        <v>61</v>
      </c>
      <c r="E118" s="2" t="s">
        <v>110</v>
      </c>
      <c r="F118" s="2" t="str" cm="1">
        <f t="array" ref="F118:G118">_xlfn.TEXTSPLIT(E118," - ")</f>
        <v>Garam</v>
      </c>
      <c r="G118" s="2" t="str">
        <v>Brand C</v>
      </c>
      <c r="H118" s="5">
        <v>6000</v>
      </c>
      <c r="I118" s="2">
        <v>2</v>
      </c>
      <c r="J118" s="2">
        <v>20</v>
      </c>
      <c r="K118" s="8">
        <f t="shared" si="6"/>
        <v>12000</v>
      </c>
      <c r="L118" s="8">
        <f t="shared" si="7"/>
        <v>2400</v>
      </c>
      <c r="M118" s="8">
        <f t="shared" si="8"/>
        <v>9600</v>
      </c>
      <c r="N118" s="5">
        <v>26000</v>
      </c>
      <c r="O118" s="8">
        <f t="shared" si="9"/>
        <v>35600</v>
      </c>
      <c r="P118" s="2" t="s">
        <v>29</v>
      </c>
      <c r="Q118" s="10" t="str">
        <f>VLOOKUP(A118,Status!A:B,2,0)</f>
        <v>Completed</v>
      </c>
      <c r="R118" s="2" t="s">
        <v>30</v>
      </c>
      <c r="S118" s="2">
        <v>1</v>
      </c>
      <c r="T118" s="2" t="s">
        <v>24</v>
      </c>
      <c r="U118" s="10" t="str">
        <f t="shared" si="11"/>
        <v>Jan</v>
      </c>
      <c r="V118" s="10">
        <f t="shared" si="10"/>
        <v>2025</v>
      </c>
      <c r="W118" t="e" cm="1">
        <f t="array" ref="W118">_xlfn.IFS(U118="January",1,U118="February",2,U118="March",3,U118="April",4,U118="May",5,U118="June",6,U118="July",7,U118="August",8,U118="September",9,U118="October",10,U118="November",11,U118="December",12)</f>
        <v>#N/A</v>
      </c>
    </row>
    <row r="119" spans="1:23" ht="15.75" customHeight="1" x14ac:dyDescent="0.25">
      <c r="A119" s="2" t="s">
        <v>1041</v>
      </c>
      <c r="B119" s="3">
        <v>45676.858136574083</v>
      </c>
      <c r="C119" s="2" t="s">
        <v>56</v>
      </c>
      <c r="D119" s="2" t="s">
        <v>57</v>
      </c>
      <c r="E119" s="2" t="s">
        <v>81</v>
      </c>
      <c r="F119" s="2" t="str" cm="1">
        <f t="array" ref="F119:G119">_xlfn.TEXTSPLIT(E119," - ")</f>
        <v>Minyak Goreng</v>
      </c>
      <c r="G119" s="2" t="str">
        <v>Brand B</v>
      </c>
      <c r="H119" s="5">
        <v>17000</v>
      </c>
      <c r="I119" s="2">
        <v>2</v>
      </c>
      <c r="J119" s="2">
        <v>0</v>
      </c>
      <c r="K119" s="8">
        <f t="shared" si="6"/>
        <v>34000</v>
      </c>
      <c r="L119" s="8">
        <f t="shared" si="7"/>
        <v>0</v>
      </c>
      <c r="M119" s="8">
        <f t="shared" si="8"/>
        <v>34000</v>
      </c>
      <c r="N119" s="5">
        <v>80000</v>
      </c>
      <c r="O119" s="8">
        <f t="shared" si="9"/>
        <v>114000</v>
      </c>
      <c r="P119" s="2" t="s">
        <v>29</v>
      </c>
      <c r="Q119" s="10" t="str">
        <f>VLOOKUP(A119,Status!A:B,2,0)</f>
        <v>Completed</v>
      </c>
      <c r="R119" s="2" t="s">
        <v>36</v>
      </c>
      <c r="S119" s="2">
        <v>4</v>
      </c>
      <c r="T119" s="2" t="s">
        <v>24</v>
      </c>
      <c r="U119" s="10" t="str">
        <f t="shared" si="11"/>
        <v>Jan</v>
      </c>
      <c r="V119" s="10">
        <f t="shared" si="10"/>
        <v>2025</v>
      </c>
      <c r="W119" t="e" cm="1">
        <f t="array" ref="W119">_xlfn.IFS(U119="January",1,U119="February",2,U119="March",3,U119="April",4,U119="May",5,U119="June",6,U119="July",7,U119="August",8,U119="September",9,U119="October",10,U119="November",11,U119="December",12)</f>
        <v>#N/A</v>
      </c>
    </row>
    <row r="120" spans="1:23" ht="15.75" customHeight="1" x14ac:dyDescent="0.25">
      <c r="A120" s="2" t="s">
        <v>1042</v>
      </c>
      <c r="B120" s="3">
        <v>45676.972048611111</v>
      </c>
      <c r="C120" s="2" t="s">
        <v>900</v>
      </c>
      <c r="D120" s="2" t="s">
        <v>27</v>
      </c>
      <c r="E120" s="2" t="s">
        <v>28</v>
      </c>
      <c r="F120" s="2" t="str" cm="1">
        <f t="array" ref="F120:G120">_xlfn.TEXTSPLIT(E120," - ")</f>
        <v>Garam</v>
      </c>
      <c r="G120" s="2" t="str">
        <v>Brand B</v>
      </c>
      <c r="H120" s="5">
        <v>5000</v>
      </c>
      <c r="I120" s="2">
        <v>3</v>
      </c>
      <c r="J120" s="2">
        <v>10</v>
      </c>
      <c r="K120" s="8">
        <f t="shared" si="6"/>
        <v>15000</v>
      </c>
      <c r="L120" s="8">
        <f t="shared" si="7"/>
        <v>1500</v>
      </c>
      <c r="M120" s="8">
        <f t="shared" si="8"/>
        <v>13500</v>
      </c>
      <c r="N120" s="5">
        <v>17000</v>
      </c>
      <c r="O120" s="8">
        <f t="shared" si="9"/>
        <v>30500</v>
      </c>
      <c r="P120" s="2" t="s">
        <v>63</v>
      </c>
      <c r="Q120" s="10" t="str">
        <f>VLOOKUP(A120,Status!A:B,2,0)</f>
        <v>Completed</v>
      </c>
      <c r="R120" s="2" t="s">
        <v>46</v>
      </c>
      <c r="S120" s="2">
        <v>4</v>
      </c>
      <c r="T120" s="2" t="s">
        <v>24</v>
      </c>
      <c r="U120" s="10" t="str">
        <f t="shared" si="11"/>
        <v>Jan</v>
      </c>
      <c r="V120" s="10">
        <f t="shared" si="10"/>
        <v>2025</v>
      </c>
      <c r="W120" t="e" cm="1">
        <f t="array" ref="W120">_xlfn.IFS(U120="January",1,U120="February",2,U120="March",3,U120="April",4,U120="May",5,U120="June",6,U120="July",7,U120="August",8,U120="September",9,U120="October",10,U120="November",11,U120="December",12)</f>
        <v>#N/A</v>
      </c>
    </row>
    <row r="121" spans="1:23" ht="15.75" customHeight="1" x14ac:dyDescent="0.25">
      <c r="A121" s="2" t="s">
        <v>1043</v>
      </c>
      <c r="B121" s="3">
        <v>45677.306423611109</v>
      </c>
      <c r="C121" s="2" t="s">
        <v>532</v>
      </c>
      <c r="D121" s="2" t="s">
        <v>262</v>
      </c>
      <c r="E121" s="2" t="s">
        <v>21</v>
      </c>
      <c r="F121" s="2" t="str" cm="1">
        <f t="array" ref="F121:G121">_xlfn.TEXTSPLIT(E121," - ")</f>
        <v>Daging Ayam</v>
      </c>
      <c r="G121" s="2" t="str">
        <v>Brand C</v>
      </c>
      <c r="H121" s="5">
        <v>45000</v>
      </c>
      <c r="I121" s="2">
        <v>5</v>
      </c>
      <c r="J121" s="2">
        <v>15</v>
      </c>
      <c r="K121" s="8">
        <f t="shared" si="6"/>
        <v>225000</v>
      </c>
      <c r="L121" s="8">
        <f t="shared" si="7"/>
        <v>33750</v>
      </c>
      <c r="M121" s="8">
        <f t="shared" si="8"/>
        <v>191250</v>
      </c>
      <c r="N121" s="5">
        <v>18000</v>
      </c>
      <c r="O121" s="8">
        <f t="shared" si="9"/>
        <v>209250</v>
      </c>
      <c r="P121" s="2" t="s">
        <v>29</v>
      </c>
      <c r="Q121" s="10" t="str">
        <f>VLOOKUP(A121,Status!A:B,2,0)</f>
        <v>Completed</v>
      </c>
      <c r="R121" s="2" t="s">
        <v>30</v>
      </c>
      <c r="S121" s="2">
        <v>3</v>
      </c>
      <c r="T121" s="2" t="s">
        <v>24</v>
      </c>
      <c r="U121" s="10" t="str">
        <f t="shared" si="11"/>
        <v>Jan</v>
      </c>
      <c r="V121" s="10">
        <f t="shared" si="10"/>
        <v>2025</v>
      </c>
      <c r="W121" t="e" cm="1">
        <f t="array" ref="W121">_xlfn.IFS(U121="January",1,U121="February",2,U121="March",3,U121="April",4,U121="May",5,U121="June",6,U121="July",7,U121="August",8,U121="September",9,U121="October",10,U121="November",11,U121="December",12)</f>
        <v>#N/A</v>
      </c>
    </row>
    <row r="122" spans="1:23" ht="15.75" customHeight="1" x14ac:dyDescent="0.25">
      <c r="A122" s="2" t="s">
        <v>1043</v>
      </c>
      <c r="B122" s="3">
        <v>45677.306423611109</v>
      </c>
      <c r="C122" s="2" t="s">
        <v>532</v>
      </c>
      <c r="D122" s="2" t="s">
        <v>262</v>
      </c>
      <c r="E122" s="2" t="s">
        <v>58</v>
      </c>
      <c r="F122" s="2" t="str" cm="1">
        <f t="array" ref="F122:G122">_xlfn.TEXTSPLIT(E122," - ")</f>
        <v>Gula Pasir</v>
      </c>
      <c r="G122" s="2" t="str">
        <v>Brand A</v>
      </c>
      <c r="H122" s="5">
        <v>16000</v>
      </c>
      <c r="I122" s="2">
        <v>4</v>
      </c>
      <c r="J122" s="2">
        <v>0</v>
      </c>
      <c r="K122" s="8">
        <f t="shared" si="6"/>
        <v>64000</v>
      </c>
      <c r="L122" s="8">
        <f t="shared" si="7"/>
        <v>0</v>
      </c>
      <c r="M122" s="8">
        <f t="shared" si="8"/>
        <v>64000</v>
      </c>
      <c r="N122" s="5">
        <v>0</v>
      </c>
      <c r="O122" s="8">
        <f t="shared" si="9"/>
        <v>64000</v>
      </c>
      <c r="P122" s="2" t="s">
        <v>29</v>
      </c>
      <c r="Q122" s="10" t="str">
        <f>VLOOKUP(A122,Status!A:B,2,0)</f>
        <v>Completed</v>
      </c>
      <c r="R122" s="2" t="s">
        <v>30</v>
      </c>
      <c r="S122" s="2">
        <v>3</v>
      </c>
      <c r="T122" s="2" t="s">
        <v>24</v>
      </c>
      <c r="U122" s="10" t="str">
        <f t="shared" si="11"/>
        <v>Jan</v>
      </c>
      <c r="V122" s="10">
        <f t="shared" si="10"/>
        <v>2025</v>
      </c>
      <c r="W122" t="e" cm="1">
        <f t="array" ref="W122">_xlfn.IFS(U122="January",1,U122="February",2,U122="March",3,U122="April",4,U122="May",5,U122="June",6,U122="July",7,U122="August",8,U122="September",9,U122="October",10,U122="November",11,U122="December",12)</f>
        <v>#N/A</v>
      </c>
    </row>
    <row r="123" spans="1:23" ht="15.75" customHeight="1" x14ac:dyDescent="0.25">
      <c r="A123" s="2" t="s">
        <v>1044</v>
      </c>
      <c r="B123" s="3">
        <v>45677.359699074077</v>
      </c>
      <c r="C123" s="2" t="s">
        <v>844</v>
      </c>
      <c r="D123" s="2" t="s">
        <v>119</v>
      </c>
      <c r="E123" s="2" t="s">
        <v>54</v>
      </c>
      <c r="F123" s="2" t="str" cm="1">
        <f t="array" ref="F123:G123">_xlfn.TEXTSPLIT(E123," - ")</f>
        <v>Beras</v>
      </c>
      <c r="G123" s="2" t="str">
        <v>Brand C</v>
      </c>
      <c r="H123" s="5">
        <v>16000</v>
      </c>
      <c r="I123" s="2">
        <v>1</v>
      </c>
      <c r="J123" s="2">
        <v>0</v>
      </c>
      <c r="K123" s="8">
        <f t="shared" si="6"/>
        <v>16000</v>
      </c>
      <c r="L123" s="8">
        <f t="shared" si="7"/>
        <v>0</v>
      </c>
      <c r="M123" s="8">
        <f t="shared" si="8"/>
        <v>16000</v>
      </c>
      <c r="N123" s="5">
        <v>0</v>
      </c>
      <c r="O123" s="8">
        <f t="shared" si="9"/>
        <v>16000</v>
      </c>
      <c r="P123" s="2" t="s">
        <v>29</v>
      </c>
      <c r="Q123" s="10" t="str">
        <f>VLOOKUP(A123,Status!A:B,2,0)</f>
        <v>Returned</v>
      </c>
      <c r="R123" s="2" t="s">
        <v>36</v>
      </c>
      <c r="S123" s="2">
        <v>4</v>
      </c>
      <c r="T123" s="2" t="s">
        <v>24</v>
      </c>
      <c r="U123" s="10" t="str">
        <f t="shared" si="11"/>
        <v>Jan</v>
      </c>
      <c r="V123" s="10">
        <f t="shared" si="10"/>
        <v>2025</v>
      </c>
      <c r="W123" t="e" cm="1">
        <f t="array" ref="W123">_xlfn.IFS(U123="January",1,U123="February",2,U123="March",3,U123="April",4,U123="May",5,U123="June",6,U123="July",7,U123="August",8,U123="September",9,U123="October",10,U123="November",11,U123="December",12)</f>
        <v>#N/A</v>
      </c>
    </row>
    <row r="124" spans="1:23" ht="15.75" customHeight="1" x14ac:dyDescent="0.25">
      <c r="A124" s="2" t="s">
        <v>1045</v>
      </c>
      <c r="B124" s="3">
        <v>45677.636365740742</v>
      </c>
      <c r="C124" s="2" t="s">
        <v>457</v>
      </c>
      <c r="D124" s="2" t="s">
        <v>80</v>
      </c>
      <c r="E124" s="2" t="s">
        <v>144</v>
      </c>
      <c r="F124" s="2" t="str" cm="1">
        <f t="array" ref="F124:G124">_xlfn.TEXTSPLIT(E124," - ")</f>
        <v>Gula Pasir</v>
      </c>
      <c r="G124" s="2" t="str">
        <v>Brand C</v>
      </c>
      <c r="H124" s="5">
        <v>18000</v>
      </c>
      <c r="I124" s="2">
        <v>5</v>
      </c>
      <c r="J124" s="2">
        <v>0</v>
      </c>
      <c r="K124" s="8">
        <f t="shared" si="6"/>
        <v>90000</v>
      </c>
      <c r="L124" s="8">
        <f t="shared" si="7"/>
        <v>0</v>
      </c>
      <c r="M124" s="8">
        <f t="shared" si="8"/>
        <v>90000</v>
      </c>
      <c r="N124" s="5">
        <v>74000</v>
      </c>
      <c r="O124" s="8">
        <f t="shared" si="9"/>
        <v>164000</v>
      </c>
      <c r="P124" s="2" t="s">
        <v>22</v>
      </c>
      <c r="Q124" s="10" t="str">
        <f>VLOOKUP(A124,Status!A:B,2,0)</f>
        <v>Completed</v>
      </c>
      <c r="R124" s="2" t="s">
        <v>36</v>
      </c>
      <c r="S124" s="2">
        <v>1</v>
      </c>
      <c r="T124" s="2" t="s">
        <v>24</v>
      </c>
      <c r="U124" s="10" t="str">
        <f t="shared" si="11"/>
        <v>Jan</v>
      </c>
      <c r="V124" s="10">
        <f t="shared" si="10"/>
        <v>2025</v>
      </c>
      <c r="W124" t="e" cm="1">
        <f t="array" ref="W124">_xlfn.IFS(U124="January",1,U124="February",2,U124="March",3,U124="April",4,U124="May",5,U124="June",6,U124="July",7,U124="August",8,U124="September",9,U124="October",10,U124="November",11,U124="December",12)</f>
        <v>#N/A</v>
      </c>
    </row>
    <row r="125" spans="1:23" ht="15.75" customHeight="1" x14ac:dyDescent="0.25">
      <c r="A125" s="2" t="s">
        <v>1046</v>
      </c>
      <c r="B125" s="3">
        <v>45677.75513888889</v>
      </c>
      <c r="C125" s="2" t="s">
        <v>1047</v>
      </c>
      <c r="D125" s="2" t="s">
        <v>160</v>
      </c>
      <c r="E125" s="2" t="s">
        <v>67</v>
      </c>
      <c r="F125" s="2" t="str" cm="1">
        <f t="array" ref="F125:G125">_xlfn.TEXTSPLIT(E125," - ")</f>
        <v>Beras</v>
      </c>
      <c r="G125" s="2" t="str">
        <v>Brand B</v>
      </c>
      <c r="H125" s="5">
        <v>15000</v>
      </c>
      <c r="I125" s="2">
        <v>5</v>
      </c>
      <c r="J125" s="2">
        <v>5</v>
      </c>
      <c r="K125" s="8">
        <f t="shared" si="6"/>
        <v>75000</v>
      </c>
      <c r="L125" s="8">
        <f t="shared" si="7"/>
        <v>3750</v>
      </c>
      <c r="M125" s="8">
        <f t="shared" si="8"/>
        <v>71250</v>
      </c>
      <c r="N125" s="5">
        <v>68000</v>
      </c>
      <c r="O125" s="8">
        <f t="shared" si="9"/>
        <v>139250</v>
      </c>
      <c r="P125" s="2" t="s">
        <v>29</v>
      </c>
      <c r="Q125" s="10" t="str">
        <f>VLOOKUP(A125,Status!A:B,2,0)</f>
        <v>Completed</v>
      </c>
      <c r="R125" s="2" t="s">
        <v>46</v>
      </c>
      <c r="S125" s="2">
        <v>4</v>
      </c>
      <c r="T125" s="2" t="s">
        <v>24</v>
      </c>
      <c r="U125" s="10" t="str">
        <f t="shared" si="11"/>
        <v>Jan</v>
      </c>
      <c r="V125" s="10">
        <f t="shared" si="10"/>
        <v>2025</v>
      </c>
      <c r="W125" t="e" cm="1">
        <f t="array" ref="W125">_xlfn.IFS(U125="January",1,U125="February",2,U125="March",3,U125="April",4,U125="May",5,U125="June",6,U125="July",7,U125="August",8,U125="September",9,U125="October",10,U125="November",11,U125="December",12)</f>
        <v>#N/A</v>
      </c>
    </row>
    <row r="126" spans="1:23" ht="15.75" customHeight="1" x14ac:dyDescent="0.25">
      <c r="A126" s="2" t="s">
        <v>1048</v>
      </c>
      <c r="B126" s="3">
        <v>45677.83971064815</v>
      </c>
      <c r="C126" s="2" t="s">
        <v>504</v>
      </c>
      <c r="D126" s="2" t="s">
        <v>195</v>
      </c>
      <c r="E126" s="2" t="s">
        <v>50</v>
      </c>
      <c r="F126" s="2" t="str" cm="1">
        <f t="array" ref="F126:G126">_xlfn.TEXTSPLIT(E126," - ")</f>
        <v>Tepung Terigu</v>
      </c>
      <c r="G126" s="2" t="str">
        <v>Brand C</v>
      </c>
      <c r="H126" s="5">
        <v>14000</v>
      </c>
      <c r="I126" s="2">
        <v>3</v>
      </c>
      <c r="J126" s="2">
        <v>10</v>
      </c>
      <c r="K126" s="8">
        <f t="shared" si="6"/>
        <v>42000</v>
      </c>
      <c r="L126" s="8">
        <f t="shared" si="7"/>
        <v>4200</v>
      </c>
      <c r="M126" s="8">
        <f t="shared" si="8"/>
        <v>37800</v>
      </c>
      <c r="N126" s="5">
        <v>87000</v>
      </c>
      <c r="O126" s="8">
        <f t="shared" si="9"/>
        <v>124800</v>
      </c>
      <c r="P126" s="2" t="s">
        <v>35</v>
      </c>
      <c r="Q126" s="10" t="str">
        <f>VLOOKUP(A126,Status!A:B,2,0)</f>
        <v>Completed</v>
      </c>
      <c r="R126" s="2" t="s">
        <v>23</v>
      </c>
      <c r="S126" s="2">
        <v>5</v>
      </c>
      <c r="T126" s="2" t="s">
        <v>24</v>
      </c>
      <c r="U126" s="10" t="str">
        <f t="shared" si="11"/>
        <v>Jan</v>
      </c>
      <c r="V126" s="10">
        <f t="shared" si="10"/>
        <v>2025</v>
      </c>
      <c r="W126" t="e" cm="1">
        <f t="array" ref="W126">_xlfn.IFS(U126="January",1,U126="February",2,U126="March",3,U126="April",4,U126="May",5,U126="June",6,U126="July",7,U126="August",8,U126="September",9,U126="October",10,U126="November",11,U126="December",12)</f>
        <v>#N/A</v>
      </c>
    </row>
    <row r="127" spans="1:23" ht="15.75" customHeight="1" x14ac:dyDescent="0.25">
      <c r="A127" s="2" t="s">
        <v>1049</v>
      </c>
      <c r="B127" s="3">
        <v>45678.375023148154</v>
      </c>
      <c r="C127" s="2" t="s">
        <v>1050</v>
      </c>
      <c r="D127" s="2" t="s">
        <v>92</v>
      </c>
      <c r="E127" s="2" t="s">
        <v>144</v>
      </c>
      <c r="F127" s="2" t="str" cm="1">
        <f t="array" ref="F127:G127">_xlfn.TEXTSPLIT(E127," - ")</f>
        <v>Gula Pasir</v>
      </c>
      <c r="G127" s="2" t="str">
        <v>Brand C</v>
      </c>
      <c r="H127" s="5">
        <v>18000</v>
      </c>
      <c r="I127" s="2">
        <v>4</v>
      </c>
      <c r="J127" s="2">
        <v>10</v>
      </c>
      <c r="K127" s="8">
        <f t="shared" si="6"/>
        <v>72000</v>
      </c>
      <c r="L127" s="8">
        <f t="shared" si="7"/>
        <v>7200</v>
      </c>
      <c r="M127" s="8">
        <f t="shared" si="8"/>
        <v>64800</v>
      </c>
      <c r="N127" s="5">
        <v>30000</v>
      </c>
      <c r="O127" s="8">
        <f t="shared" si="9"/>
        <v>94800</v>
      </c>
      <c r="P127" s="2" t="s">
        <v>22</v>
      </c>
      <c r="Q127" s="10" t="str">
        <f>VLOOKUP(A127,Status!A:B,2,0)</f>
        <v>Completed</v>
      </c>
      <c r="R127" s="2" t="s">
        <v>36</v>
      </c>
      <c r="S127" s="2">
        <v>5</v>
      </c>
      <c r="T127" s="2" t="s">
        <v>24</v>
      </c>
      <c r="U127" s="10" t="str">
        <f t="shared" si="11"/>
        <v>Jan</v>
      </c>
      <c r="V127" s="10">
        <f t="shared" si="10"/>
        <v>2025</v>
      </c>
      <c r="W127" t="e" cm="1">
        <f t="array" ref="W127">_xlfn.IFS(U127="January",1,U127="February",2,U127="March",3,U127="April",4,U127="May",5,U127="June",6,U127="July",7,U127="August",8,U127="September",9,U127="October",10,U127="November",11,U127="December",12)</f>
        <v>#N/A</v>
      </c>
    </row>
    <row r="128" spans="1:23" ht="15.75" customHeight="1" x14ac:dyDescent="0.25">
      <c r="A128" s="2" t="s">
        <v>1051</v>
      </c>
      <c r="B128" s="3">
        <v>45678.638749999998</v>
      </c>
      <c r="C128" s="2" t="s">
        <v>570</v>
      </c>
      <c r="D128" s="2" t="s">
        <v>80</v>
      </c>
      <c r="E128" s="2" t="s">
        <v>58</v>
      </c>
      <c r="F128" s="2" t="str" cm="1">
        <f t="array" ref="F128:G128">_xlfn.TEXTSPLIT(E128," - ")</f>
        <v>Gula Pasir</v>
      </c>
      <c r="G128" s="2" t="str">
        <v>Brand A</v>
      </c>
      <c r="H128" s="5">
        <v>16000</v>
      </c>
      <c r="I128" s="2">
        <v>2</v>
      </c>
      <c r="J128" s="2">
        <v>20</v>
      </c>
      <c r="K128" s="8">
        <f t="shared" si="6"/>
        <v>32000</v>
      </c>
      <c r="L128" s="8">
        <f t="shared" si="7"/>
        <v>6400</v>
      </c>
      <c r="M128" s="8">
        <f t="shared" si="8"/>
        <v>25600</v>
      </c>
      <c r="N128" s="5">
        <v>74000</v>
      </c>
      <c r="O128" s="8">
        <f t="shared" si="9"/>
        <v>99600</v>
      </c>
      <c r="P128" s="2" t="s">
        <v>22</v>
      </c>
      <c r="Q128" s="10" t="str">
        <f>VLOOKUP(A128,Status!A:B,2,0)</f>
        <v>Completed</v>
      </c>
      <c r="R128" s="2" t="s">
        <v>36</v>
      </c>
      <c r="S128" s="2">
        <v>2</v>
      </c>
      <c r="T128" s="2" t="s">
        <v>24</v>
      </c>
      <c r="U128" s="10" t="str">
        <f t="shared" si="11"/>
        <v>Jan</v>
      </c>
      <c r="V128" s="10">
        <f t="shared" si="10"/>
        <v>2025</v>
      </c>
      <c r="W128" t="e" cm="1">
        <f t="array" ref="W128">_xlfn.IFS(U128="January",1,U128="February",2,U128="March",3,U128="April",4,U128="May",5,U128="June",6,U128="July",7,U128="August",8,U128="September",9,U128="October",10,U128="November",11,U128="December",12)</f>
        <v>#N/A</v>
      </c>
    </row>
    <row r="129" spans="1:23" ht="15.75" customHeight="1" x14ac:dyDescent="0.25">
      <c r="A129" s="2" t="s">
        <v>1052</v>
      </c>
      <c r="B129" s="3">
        <v>45678.796331018522</v>
      </c>
      <c r="C129" s="2" t="s">
        <v>1053</v>
      </c>
      <c r="D129" s="2" t="s">
        <v>80</v>
      </c>
      <c r="E129" s="2" t="s">
        <v>104</v>
      </c>
      <c r="F129" s="2" t="str" cm="1">
        <f t="array" ref="F129:G129">_xlfn.TEXTSPLIT(E129," - ")</f>
        <v>Bawang Merah</v>
      </c>
      <c r="G129" s="2" t="str">
        <v>Brand A</v>
      </c>
      <c r="H129" s="5">
        <v>30000</v>
      </c>
      <c r="I129" s="2">
        <v>4</v>
      </c>
      <c r="J129" s="2">
        <v>0</v>
      </c>
      <c r="K129" s="8">
        <f t="shared" si="6"/>
        <v>120000</v>
      </c>
      <c r="L129" s="8">
        <f t="shared" si="7"/>
        <v>0</v>
      </c>
      <c r="M129" s="8">
        <f t="shared" si="8"/>
        <v>120000</v>
      </c>
      <c r="N129" s="5">
        <v>74000</v>
      </c>
      <c r="O129" s="8">
        <f t="shared" si="9"/>
        <v>194000</v>
      </c>
      <c r="P129" s="2" t="s">
        <v>35</v>
      </c>
      <c r="Q129" s="10" t="str">
        <f>VLOOKUP(A129,Status!A:B,2,0)</f>
        <v>Returned</v>
      </c>
      <c r="R129" s="2" t="s">
        <v>36</v>
      </c>
      <c r="S129" s="2">
        <v>1</v>
      </c>
      <c r="T129" s="2" t="s">
        <v>24</v>
      </c>
      <c r="U129" s="10" t="str">
        <f t="shared" si="11"/>
        <v>Jan</v>
      </c>
      <c r="V129" s="10">
        <f t="shared" si="10"/>
        <v>2025</v>
      </c>
      <c r="W129" t="e" cm="1">
        <f t="array" ref="W129">_xlfn.IFS(U129="January",1,U129="February",2,U129="March",3,U129="April",4,U129="May",5,U129="June",6,U129="July",7,U129="August",8,U129="September",9,U129="October",10,U129="November",11,U129="December",12)</f>
        <v>#N/A</v>
      </c>
    </row>
    <row r="130" spans="1:23" ht="15.75" customHeight="1" x14ac:dyDescent="0.25">
      <c r="A130" s="2" t="s">
        <v>1054</v>
      </c>
      <c r="B130" s="3">
        <v>45678.822465277779</v>
      </c>
      <c r="C130" s="2" t="s">
        <v>1055</v>
      </c>
      <c r="D130" s="2" t="s">
        <v>57</v>
      </c>
      <c r="E130" s="2" t="s">
        <v>75</v>
      </c>
      <c r="F130" s="2" t="str" cm="1">
        <f t="array" ref="F130:G130">_xlfn.TEXTSPLIT(E130," - ")</f>
        <v>Susu Bubuk</v>
      </c>
      <c r="G130" s="2" t="str">
        <v>Brand C</v>
      </c>
      <c r="H130" s="5">
        <v>55000</v>
      </c>
      <c r="I130" s="2">
        <v>3</v>
      </c>
      <c r="J130" s="2">
        <v>0</v>
      </c>
      <c r="K130" s="8">
        <f t="shared" ref="K130:K193" si="12">H130*I130</f>
        <v>165000</v>
      </c>
      <c r="L130" s="8">
        <f t="shared" ref="L130:L193" si="13">K130*J130%</f>
        <v>0</v>
      </c>
      <c r="M130" s="8">
        <f t="shared" ref="M130:M193" si="14">K130-L130</f>
        <v>165000</v>
      </c>
      <c r="N130" s="5">
        <v>80000</v>
      </c>
      <c r="O130" s="8">
        <f t="shared" ref="O130:O193" si="15">M130+N130</f>
        <v>245000</v>
      </c>
      <c r="P130" s="2" t="s">
        <v>35</v>
      </c>
      <c r="Q130" s="10" t="str">
        <f>VLOOKUP(A130,Status!A:B,2,0)</f>
        <v>Completed</v>
      </c>
      <c r="R130" s="2" t="s">
        <v>36</v>
      </c>
      <c r="S130" s="2">
        <v>5</v>
      </c>
      <c r="T130" s="2" t="s">
        <v>24</v>
      </c>
      <c r="U130" s="10" t="str">
        <f t="shared" si="11"/>
        <v>Jan</v>
      </c>
      <c r="V130" s="10">
        <f t="shared" ref="V130:V193" si="16">YEAR(B130)</f>
        <v>2025</v>
      </c>
      <c r="W130" t="e" cm="1">
        <f t="array" ref="W130">_xlfn.IFS(U130="January",1,U130="February",2,U130="March",3,U130="April",4,U130="May",5,U130="June",6,U130="July",7,U130="August",8,U130="September",9,U130="October",10,U130="November",11,U130="December",12)</f>
        <v>#N/A</v>
      </c>
    </row>
    <row r="131" spans="1:23" ht="15.75" customHeight="1" x14ac:dyDescent="0.25">
      <c r="A131" s="2" t="s">
        <v>1056</v>
      </c>
      <c r="B131" s="3">
        <v>45678.930277777778</v>
      </c>
      <c r="C131" s="2" t="s">
        <v>56</v>
      </c>
      <c r="D131" s="2" t="s">
        <v>57</v>
      </c>
      <c r="E131" s="2" t="s">
        <v>123</v>
      </c>
      <c r="F131" s="2" t="str" cm="1">
        <f t="array" ref="F131:G131">_xlfn.TEXTSPLIT(E131," - ")</f>
        <v>Telur Ayam</v>
      </c>
      <c r="G131" s="2" t="str">
        <v>Brand A</v>
      </c>
      <c r="H131" s="5">
        <v>22000</v>
      </c>
      <c r="I131" s="2">
        <v>3</v>
      </c>
      <c r="J131" s="2">
        <v>5</v>
      </c>
      <c r="K131" s="8">
        <f t="shared" si="12"/>
        <v>66000</v>
      </c>
      <c r="L131" s="8">
        <f t="shared" si="13"/>
        <v>3300</v>
      </c>
      <c r="M131" s="8">
        <f t="shared" si="14"/>
        <v>62700</v>
      </c>
      <c r="N131" s="5">
        <v>80000</v>
      </c>
      <c r="O131" s="8">
        <f t="shared" si="15"/>
        <v>142700</v>
      </c>
      <c r="P131" s="2" t="s">
        <v>35</v>
      </c>
      <c r="Q131" s="10" t="str">
        <f>VLOOKUP(A131,Status!A:B,2,0)</f>
        <v>Completed</v>
      </c>
      <c r="R131" s="2" t="s">
        <v>82</v>
      </c>
      <c r="S131" s="2">
        <v>4</v>
      </c>
      <c r="T131" s="2" t="s">
        <v>24</v>
      </c>
      <c r="U131" s="10" t="str">
        <f t="shared" ref="U131:U194" si="17">TEXT(B131,"MMM")</f>
        <v>Jan</v>
      </c>
      <c r="V131" s="10">
        <f t="shared" si="16"/>
        <v>2025</v>
      </c>
      <c r="W131" t="e" cm="1">
        <f t="array" ref="W131">_xlfn.IFS(U131="January",1,U131="February",2,U131="March",3,U131="April",4,U131="May",5,U131="June",6,U131="July",7,U131="August",8,U131="September",9,U131="October",10,U131="November",11,U131="December",12)</f>
        <v>#N/A</v>
      </c>
    </row>
    <row r="132" spans="1:23" ht="15.75" customHeight="1" x14ac:dyDescent="0.25">
      <c r="A132" s="2" t="s">
        <v>1057</v>
      </c>
      <c r="B132" s="3">
        <v>45679.285439814812</v>
      </c>
      <c r="C132" s="2" t="s">
        <v>638</v>
      </c>
      <c r="D132" s="2" t="s">
        <v>195</v>
      </c>
      <c r="E132" s="2" t="s">
        <v>21</v>
      </c>
      <c r="F132" s="2" t="str" cm="1">
        <f t="array" ref="F132:G132">_xlfn.TEXTSPLIT(E132," - ")</f>
        <v>Daging Ayam</v>
      </c>
      <c r="G132" s="2" t="str">
        <v>Brand C</v>
      </c>
      <c r="H132" s="5">
        <v>45000</v>
      </c>
      <c r="I132" s="2">
        <v>1</v>
      </c>
      <c r="J132" s="2">
        <v>10</v>
      </c>
      <c r="K132" s="8">
        <f t="shared" si="12"/>
        <v>45000</v>
      </c>
      <c r="L132" s="8">
        <f t="shared" si="13"/>
        <v>4500</v>
      </c>
      <c r="M132" s="8">
        <f t="shared" si="14"/>
        <v>40500</v>
      </c>
      <c r="N132" s="5">
        <v>87000</v>
      </c>
      <c r="O132" s="8">
        <f t="shared" si="15"/>
        <v>127500</v>
      </c>
      <c r="P132" s="2" t="s">
        <v>35</v>
      </c>
      <c r="Q132" s="10" t="str">
        <f>VLOOKUP(A132,Status!A:B,2,0)</f>
        <v>Returned</v>
      </c>
      <c r="R132" s="2" t="s">
        <v>36</v>
      </c>
      <c r="S132" s="2">
        <v>2</v>
      </c>
      <c r="T132" s="2" t="s">
        <v>37</v>
      </c>
      <c r="U132" s="10" t="str">
        <f t="shared" si="17"/>
        <v>Jan</v>
      </c>
      <c r="V132" s="10">
        <f t="shared" si="16"/>
        <v>2025</v>
      </c>
      <c r="W132" t="e" cm="1">
        <f t="array" ref="W132">_xlfn.IFS(U132="January",1,U132="February",2,U132="March",3,U132="April",4,U132="May",5,U132="June",6,U132="July",7,U132="August",8,U132="September",9,U132="October",10,U132="November",11,U132="December",12)</f>
        <v>#N/A</v>
      </c>
    </row>
    <row r="133" spans="1:23" ht="15.75" customHeight="1" x14ac:dyDescent="0.25">
      <c r="A133" s="2" t="s">
        <v>1058</v>
      </c>
      <c r="B133" s="3">
        <v>45679.472071759257</v>
      </c>
      <c r="C133" s="2" t="s">
        <v>256</v>
      </c>
      <c r="D133" s="2" t="s">
        <v>107</v>
      </c>
      <c r="E133" s="2" t="s">
        <v>144</v>
      </c>
      <c r="F133" s="2" t="str" cm="1">
        <f t="array" ref="F133:G133">_xlfn.TEXTSPLIT(E133," - ")</f>
        <v>Gula Pasir</v>
      </c>
      <c r="G133" s="2" t="str">
        <v>Brand C</v>
      </c>
      <c r="H133" s="5">
        <v>18000</v>
      </c>
      <c r="I133" s="2">
        <v>1</v>
      </c>
      <c r="J133" s="2">
        <v>15</v>
      </c>
      <c r="K133" s="8">
        <f t="shared" si="12"/>
        <v>18000</v>
      </c>
      <c r="L133" s="8">
        <f t="shared" si="13"/>
        <v>2700</v>
      </c>
      <c r="M133" s="8">
        <f t="shared" si="14"/>
        <v>15300</v>
      </c>
      <c r="N133" s="5">
        <v>97000</v>
      </c>
      <c r="O133" s="8">
        <f t="shared" si="15"/>
        <v>112300</v>
      </c>
      <c r="P133" s="2" t="s">
        <v>35</v>
      </c>
      <c r="Q133" s="10" t="str">
        <f>VLOOKUP(A133,Status!A:B,2,0)</f>
        <v>Returned</v>
      </c>
      <c r="R133" s="2" t="s">
        <v>82</v>
      </c>
      <c r="S133" s="2">
        <v>4</v>
      </c>
      <c r="T133" s="2" t="s">
        <v>24</v>
      </c>
      <c r="U133" s="10" t="str">
        <f t="shared" si="17"/>
        <v>Jan</v>
      </c>
      <c r="V133" s="10">
        <f t="shared" si="16"/>
        <v>2025</v>
      </c>
      <c r="W133" t="e" cm="1">
        <f t="array" ref="W133">_xlfn.IFS(U133="January",1,U133="February",2,U133="March",3,U133="April",4,U133="May",5,U133="June",6,U133="July",7,U133="August",8,U133="September",9,U133="October",10,U133="November",11,U133="December",12)</f>
        <v>#N/A</v>
      </c>
    </row>
    <row r="134" spans="1:23" ht="15.75" customHeight="1" x14ac:dyDescent="0.25">
      <c r="A134" s="2" t="s">
        <v>1059</v>
      </c>
      <c r="B134" s="3">
        <v>45679.556388888886</v>
      </c>
      <c r="C134" s="2" t="s">
        <v>515</v>
      </c>
      <c r="D134" s="2" t="s">
        <v>182</v>
      </c>
      <c r="E134" s="2" t="s">
        <v>28</v>
      </c>
      <c r="F134" s="2" t="str" cm="1">
        <f t="array" ref="F134:G134">_xlfn.TEXTSPLIT(E134," - ")</f>
        <v>Garam</v>
      </c>
      <c r="G134" s="2" t="str">
        <v>Brand B</v>
      </c>
      <c r="H134" s="5">
        <v>5000</v>
      </c>
      <c r="I134" s="2">
        <v>3</v>
      </c>
      <c r="J134" s="2">
        <v>0</v>
      </c>
      <c r="K134" s="8">
        <f t="shared" si="12"/>
        <v>15000</v>
      </c>
      <c r="L134" s="8">
        <f t="shared" si="13"/>
        <v>0</v>
      </c>
      <c r="M134" s="8">
        <f t="shared" si="14"/>
        <v>15000</v>
      </c>
      <c r="N134" s="5">
        <v>48000</v>
      </c>
      <c r="O134" s="8">
        <f t="shared" si="15"/>
        <v>63000</v>
      </c>
      <c r="P134" s="2" t="s">
        <v>29</v>
      </c>
      <c r="Q134" s="10" t="str">
        <f>VLOOKUP(A134,Status!A:B,2,0)</f>
        <v>Completed</v>
      </c>
      <c r="R134" s="2" t="s">
        <v>36</v>
      </c>
      <c r="S134" s="2">
        <v>5</v>
      </c>
      <c r="T134" s="2" t="s">
        <v>24</v>
      </c>
      <c r="U134" s="10" t="str">
        <f t="shared" si="17"/>
        <v>Jan</v>
      </c>
      <c r="V134" s="10">
        <f t="shared" si="16"/>
        <v>2025</v>
      </c>
      <c r="W134" t="e" cm="1">
        <f t="array" ref="W134">_xlfn.IFS(U134="January",1,U134="February",2,U134="March",3,U134="April",4,U134="May",5,U134="June",6,U134="July",7,U134="August",8,U134="September",9,U134="October",10,U134="November",11,U134="December",12)</f>
        <v>#N/A</v>
      </c>
    </row>
    <row r="135" spans="1:23" ht="15.75" customHeight="1" x14ac:dyDescent="0.25">
      <c r="A135" s="2" t="s">
        <v>1060</v>
      </c>
      <c r="B135" s="3">
        <v>45680.066099537027</v>
      </c>
      <c r="C135" s="2" t="s">
        <v>1061</v>
      </c>
      <c r="D135" s="2" t="s">
        <v>44</v>
      </c>
      <c r="E135" s="2" t="s">
        <v>81</v>
      </c>
      <c r="F135" s="2" t="str" cm="1">
        <f t="array" ref="F135:G135">_xlfn.TEXTSPLIT(E135," - ")</f>
        <v>Minyak Goreng</v>
      </c>
      <c r="G135" s="2" t="str">
        <v>Brand B</v>
      </c>
      <c r="H135" s="5">
        <v>17000</v>
      </c>
      <c r="I135" s="2">
        <v>3</v>
      </c>
      <c r="J135" s="2">
        <v>20</v>
      </c>
      <c r="K135" s="8">
        <f t="shared" si="12"/>
        <v>51000</v>
      </c>
      <c r="L135" s="8">
        <f t="shared" si="13"/>
        <v>10200</v>
      </c>
      <c r="M135" s="8">
        <f t="shared" si="14"/>
        <v>40800</v>
      </c>
      <c r="N135" s="5">
        <v>93000</v>
      </c>
      <c r="O135" s="8">
        <f t="shared" si="15"/>
        <v>133800</v>
      </c>
      <c r="P135" s="2" t="s">
        <v>22</v>
      </c>
      <c r="Q135" s="10" t="str">
        <f>VLOOKUP(A135,Status!A:B,2,0)</f>
        <v>Completed</v>
      </c>
      <c r="R135" s="2" t="s">
        <v>23</v>
      </c>
      <c r="S135" s="2">
        <v>1</v>
      </c>
      <c r="T135" s="2" t="s">
        <v>37</v>
      </c>
      <c r="U135" s="10" t="str">
        <f t="shared" si="17"/>
        <v>Jan</v>
      </c>
      <c r="V135" s="10">
        <f t="shared" si="16"/>
        <v>2025</v>
      </c>
      <c r="W135" t="e" cm="1">
        <f t="array" ref="W135">_xlfn.IFS(U135="January",1,U135="February",2,U135="March",3,U135="April",4,U135="May",5,U135="June",6,U135="July",7,U135="August",8,U135="September",9,U135="October",10,U135="November",11,U135="December",12)</f>
        <v>#N/A</v>
      </c>
    </row>
    <row r="136" spans="1:23" ht="15.75" customHeight="1" x14ac:dyDescent="0.25">
      <c r="A136" s="2" t="s">
        <v>1062</v>
      </c>
      <c r="B136" s="3">
        <v>45680.241643518522</v>
      </c>
      <c r="C136" s="2" t="s">
        <v>1063</v>
      </c>
      <c r="D136" s="2" t="s">
        <v>96</v>
      </c>
      <c r="E136" s="2" t="s">
        <v>138</v>
      </c>
      <c r="F136" s="2" t="str" cm="1">
        <f t="array" ref="F136:G136">_xlfn.TEXTSPLIT(E136," - ")</f>
        <v>Gula Pasir</v>
      </c>
      <c r="G136" s="2" t="str">
        <v>Brand B</v>
      </c>
      <c r="H136" s="5">
        <v>17000</v>
      </c>
      <c r="I136" s="2">
        <v>2</v>
      </c>
      <c r="J136" s="2">
        <v>15</v>
      </c>
      <c r="K136" s="8">
        <f t="shared" si="12"/>
        <v>34000</v>
      </c>
      <c r="L136" s="8">
        <f t="shared" si="13"/>
        <v>5100</v>
      </c>
      <c r="M136" s="8">
        <f t="shared" si="14"/>
        <v>28900</v>
      </c>
      <c r="N136" s="5">
        <v>49000</v>
      </c>
      <c r="O136" s="8">
        <f t="shared" si="15"/>
        <v>77900</v>
      </c>
      <c r="P136" s="2" t="s">
        <v>22</v>
      </c>
      <c r="Q136" s="10" t="str">
        <f>VLOOKUP(A136,Status!A:B,2,0)</f>
        <v>Completed</v>
      </c>
      <c r="R136" s="2" t="s">
        <v>36</v>
      </c>
      <c r="S136" s="2">
        <v>1</v>
      </c>
      <c r="T136" s="2" t="s">
        <v>24</v>
      </c>
      <c r="U136" s="10" t="str">
        <f t="shared" si="17"/>
        <v>Jan</v>
      </c>
      <c r="V136" s="10">
        <f t="shared" si="16"/>
        <v>2025</v>
      </c>
      <c r="W136" t="e" cm="1">
        <f t="array" ref="W136">_xlfn.IFS(U136="January",1,U136="February",2,U136="March",3,U136="April",4,U136="May",5,U136="June",6,U136="July",7,U136="August",8,U136="September",9,U136="October",10,U136="November",11,U136="December",12)</f>
        <v>#N/A</v>
      </c>
    </row>
    <row r="137" spans="1:23" ht="15.75" customHeight="1" x14ac:dyDescent="0.25">
      <c r="A137" s="2" t="s">
        <v>1064</v>
      </c>
      <c r="B137" s="3">
        <v>45680.610115740739</v>
      </c>
      <c r="C137" s="2" t="s">
        <v>220</v>
      </c>
      <c r="D137" s="2" t="s">
        <v>53</v>
      </c>
      <c r="E137" s="2" t="s">
        <v>41</v>
      </c>
      <c r="F137" s="2" t="str" cm="1">
        <f t="array" ref="F137:G137">_xlfn.TEXTSPLIT(E137," - ")</f>
        <v>Garam</v>
      </c>
      <c r="G137" s="2" t="str">
        <v>Brand A</v>
      </c>
      <c r="H137" s="5">
        <v>4000</v>
      </c>
      <c r="I137" s="2">
        <v>2</v>
      </c>
      <c r="J137" s="2">
        <v>15</v>
      </c>
      <c r="K137" s="8">
        <f t="shared" si="12"/>
        <v>8000</v>
      </c>
      <c r="L137" s="8">
        <f t="shared" si="13"/>
        <v>1200</v>
      </c>
      <c r="M137" s="8">
        <f t="shared" si="14"/>
        <v>6800</v>
      </c>
      <c r="N137" s="5">
        <v>18000</v>
      </c>
      <c r="O137" s="8">
        <f t="shared" si="15"/>
        <v>24800</v>
      </c>
      <c r="P137" s="2" t="s">
        <v>63</v>
      </c>
      <c r="Q137" s="10" t="str">
        <f>VLOOKUP(A137,Status!A:B,2,0)</f>
        <v>Completed</v>
      </c>
      <c r="R137" s="2" t="s">
        <v>23</v>
      </c>
      <c r="S137" s="2">
        <v>1</v>
      </c>
      <c r="T137" s="2" t="s">
        <v>24</v>
      </c>
      <c r="U137" s="10" t="str">
        <f t="shared" si="17"/>
        <v>Jan</v>
      </c>
      <c r="V137" s="10">
        <f t="shared" si="16"/>
        <v>2025</v>
      </c>
      <c r="W137" t="e" cm="1">
        <f t="array" ref="W137">_xlfn.IFS(U137="January",1,U137="February",2,U137="March",3,U137="April",4,U137="May",5,U137="June",6,U137="July",7,U137="August",8,U137="September",9,U137="October",10,U137="November",11,U137="December",12)</f>
        <v>#N/A</v>
      </c>
    </row>
    <row r="138" spans="1:23" ht="15.75" customHeight="1" x14ac:dyDescent="0.25">
      <c r="A138" s="2" t="s">
        <v>1065</v>
      </c>
      <c r="B138" s="3">
        <v>45680.813449074078</v>
      </c>
      <c r="C138" s="2" t="s">
        <v>1066</v>
      </c>
      <c r="D138" s="2" t="s">
        <v>113</v>
      </c>
      <c r="E138" s="2" t="s">
        <v>67</v>
      </c>
      <c r="F138" s="2" t="str" cm="1">
        <f t="array" ref="F138:G138">_xlfn.TEXTSPLIT(E138," - ")</f>
        <v>Beras</v>
      </c>
      <c r="G138" s="2" t="str">
        <v>Brand B</v>
      </c>
      <c r="H138" s="5">
        <v>15000</v>
      </c>
      <c r="I138" s="2">
        <v>3</v>
      </c>
      <c r="J138" s="2">
        <v>15</v>
      </c>
      <c r="K138" s="8">
        <f t="shared" si="12"/>
        <v>45000</v>
      </c>
      <c r="L138" s="8">
        <f t="shared" si="13"/>
        <v>6750</v>
      </c>
      <c r="M138" s="8">
        <f t="shared" si="14"/>
        <v>38250</v>
      </c>
      <c r="N138" s="5">
        <v>18000</v>
      </c>
      <c r="O138" s="8">
        <f t="shared" si="15"/>
        <v>56250</v>
      </c>
      <c r="P138" s="2" t="s">
        <v>35</v>
      </c>
      <c r="Q138" s="10" t="str">
        <f>VLOOKUP(A138,Status!A:B,2,0)</f>
        <v>Returned</v>
      </c>
      <c r="R138" s="2" t="s">
        <v>82</v>
      </c>
      <c r="S138" s="2">
        <v>3</v>
      </c>
      <c r="T138" s="2" t="s">
        <v>24</v>
      </c>
      <c r="U138" s="10" t="str">
        <f t="shared" si="17"/>
        <v>Jan</v>
      </c>
      <c r="V138" s="10">
        <f t="shared" si="16"/>
        <v>2025</v>
      </c>
      <c r="W138" t="e" cm="1">
        <f t="array" ref="W138">_xlfn.IFS(U138="January",1,U138="February",2,U138="March",3,U138="April",4,U138="May",5,U138="June",6,U138="July",7,U138="August",8,U138="September",9,U138="October",10,U138="November",11,U138="December",12)</f>
        <v>#N/A</v>
      </c>
    </row>
    <row r="139" spans="1:23" ht="15.75" customHeight="1" x14ac:dyDescent="0.25">
      <c r="A139" s="2" t="s">
        <v>1067</v>
      </c>
      <c r="B139" s="3">
        <v>45680.820555555547</v>
      </c>
      <c r="C139" s="2" t="s">
        <v>985</v>
      </c>
      <c r="D139" s="2" t="s">
        <v>53</v>
      </c>
      <c r="E139" s="2" t="s">
        <v>144</v>
      </c>
      <c r="F139" s="2" t="str" cm="1">
        <f t="array" ref="F139:G139">_xlfn.TEXTSPLIT(E139," - ")</f>
        <v>Gula Pasir</v>
      </c>
      <c r="G139" s="2" t="str">
        <v>Brand C</v>
      </c>
      <c r="H139" s="5">
        <v>18000</v>
      </c>
      <c r="I139" s="2">
        <v>5</v>
      </c>
      <c r="J139" s="2">
        <v>20</v>
      </c>
      <c r="K139" s="8">
        <f t="shared" si="12"/>
        <v>90000</v>
      </c>
      <c r="L139" s="8">
        <f t="shared" si="13"/>
        <v>18000</v>
      </c>
      <c r="M139" s="8">
        <f t="shared" si="14"/>
        <v>72000</v>
      </c>
      <c r="N139" s="5">
        <v>18000</v>
      </c>
      <c r="O139" s="8">
        <f t="shared" si="15"/>
        <v>90000</v>
      </c>
      <c r="P139" s="2" t="s">
        <v>29</v>
      </c>
      <c r="Q139" s="10" t="str">
        <f>VLOOKUP(A139,Status!A:B,2,0)</f>
        <v>Completed</v>
      </c>
      <c r="R139" s="2" t="s">
        <v>23</v>
      </c>
      <c r="S139" s="2">
        <v>3</v>
      </c>
      <c r="T139" s="2" t="s">
        <v>24</v>
      </c>
      <c r="U139" s="10" t="str">
        <f t="shared" si="17"/>
        <v>Jan</v>
      </c>
      <c r="V139" s="10">
        <f t="shared" si="16"/>
        <v>2025</v>
      </c>
      <c r="W139" t="e" cm="1">
        <f t="array" ref="W139">_xlfn.IFS(U139="January",1,U139="February",2,U139="March",3,U139="April",4,U139="May",5,U139="June",6,U139="July",7,U139="August",8,U139="September",9,U139="October",10,U139="November",11,U139="December",12)</f>
        <v>#N/A</v>
      </c>
    </row>
    <row r="140" spans="1:23" ht="15.75" customHeight="1" x14ac:dyDescent="0.25">
      <c r="A140" s="2" t="s">
        <v>1068</v>
      </c>
      <c r="B140" s="3">
        <v>45680.968819444453</v>
      </c>
      <c r="C140" s="2" t="s">
        <v>1069</v>
      </c>
      <c r="D140" s="2" t="s">
        <v>189</v>
      </c>
      <c r="E140" s="2" t="s">
        <v>45</v>
      </c>
      <c r="F140" s="2" t="str" cm="1">
        <f t="array" ref="F140:G140">_xlfn.TEXTSPLIT(E140," - ")</f>
        <v>Daging Ayam</v>
      </c>
      <c r="G140" s="2" t="str">
        <v>Brand B</v>
      </c>
      <c r="H140" s="5">
        <v>40000</v>
      </c>
      <c r="I140" s="2">
        <v>2</v>
      </c>
      <c r="J140" s="2">
        <v>15</v>
      </c>
      <c r="K140" s="8">
        <f t="shared" si="12"/>
        <v>80000</v>
      </c>
      <c r="L140" s="8">
        <f t="shared" si="13"/>
        <v>12000</v>
      </c>
      <c r="M140" s="8">
        <f t="shared" si="14"/>
        <v>68000</v>
      </c>
      <c r="N140" s="5">
        <v>57000</v>
      </c>
      <c r="O140" s="8">
        <f t="shared" si="15"/>
        <v>125000</v>
      </c>
      <c r="P140" s="2" t="s">
        <v>29</v>
      </c>
      <c r="Q140" s="10" t="str">
        <f>VLOOKUP(A140,Status!A:B,2,0)</f>
        <v>Returned</v>
      </c>
      <c r="R140" s="2" t="s">
        <v>30</v>
      </c>
      <c r="S140" s="2">
        <v>1</v>
      </c>
      <c r="T140" s="2" t="s">
        <v>24</v>
      </c>
      <c r="U140" s="10" t="str">
        <f t="shared" si="17"/>
        <v>Jan</v>
      </c>
      <c r="V140" s="10">
        <f t="shared" si="16"/>
        <v>2025</v>
      </c>
      <c r="W140" t="e" cm="1">
        <f t="array" ref="W140">_xlfn.IFS(U140="January",1,U140="February",2,U140="March",3,U140="April",4,U140="May",5,U140="June",6,U140="July",7,U140="August",8,U140="September",9,U140="October",10,U140="November",11,U140="December",12)</f>
        <v>#N/A</v>
      </c>
    </row>
    <row r="141" spans="1:23" ht="15.75" customHeight="1" x14ac:dyDescent="0.25">
      <c r="A141" s="2" t="s">
        <v>1070</v>
      </c>
      <c r="B141" s="3">
        <v>45681.229664351849</v>
      </c>
      <c r="C141" s="2" t="s">
        <v>572</v>
      </c>
      <c r="D141" s="2" t="s">
        <v>33</v>
      </c>
      <c r="E141" s="2" t="s">
        <v>50</v>
      </c>
      <c r="F141" s="2" t="str" cm="1">
        <f t="array" ref="F141:G141">_xlfn.TEXTSPLIT(E141," - ")</f>
        <v>Tepung Terigu</v>
      </c>
      <c r="G141" s="2" t="str">
        <v>Brand C</v>
      </c>
      <c r="H141" s="5">
        <v>14000</v>
      </c>
      <c r="I141" s="2">
        <v>1</v>
      </c>
      <c r="J141" s="2">
        <v>5</v>
      </c>
      <c r="K141" s="8">
        <f t="shared" si="12"/>
        <v>14000</v>
      </c>
      <c r="L141" s="8">
        <f t="shared" si="13"/>
        <v>700</v>
      </c>
      <c r="M141" s="8">
        <f t="shared" si="14"/>
        <v>13300</v>
      </c>
      <c r="N141" s="5">
        <v>76000</v>
      </c>
      <c r="O141" s="8">
        <f t="shared" si="15"/>
        <v>89300</v>
      </c>
      <c r="P141" s="2" t="s">
        <v>63</v>
      </c>
      <c r="Q141" s="10" t="str">
        <f>VLOOKUP(A141,Status!A:B,2,0)</f>
        <v>Completed</v>
      </c>
      <c r="R141" s="2" t="s">
        <v>23</v>
      </c>
      <c r="S141" s="2">
        <v>5</v>
      </c>
      <c r="T141" s="2" t="s">
        <v>24</v>
      </c>
      <c r="U141" s="10" t="str">
        <f t="shared" si="17"/>
        <v>Jan</v>
      </c>
      <c r="V141" s="10">
        <f t="shared" si="16"/>
        <v>2025</v>
      </c>
      <c r="W141" t="e" cm="1">
        <f t="array" ref="W141">_xlfn.IFS(U141="January",1,U141="February",2,U141="March",3,U141="April",4,U141="May",5,U141="June",6,U141="July",7,U141="August",8,U141="September",9,U141="October",10,U141="November",11,U141="December",12)</f>
        <v>#N/A</v>
      </c>
    </row>
    <row r="142" spans="1:23" ht="15.75" customHeight="1" x14ac:dyDescent="0.25">
      <c r="A142" s="2" t="s">
        <v>1071</v>
      </c>
      <c r="B142" s="3">
        <v>45681.394502314812</v>
      </c>
      <c r="C142" s="2" t="s">
        <v>568</v>
      </c>
      <c r="D142" s="2" t="s">
        <v>435</v>
      </c>
      <c r="E142" s="2" t="s">
        <v>45</v>
      </c>
      <c r="F142" s="2" t="str" cm="1">
        <f t="array" ref="F142:G142">_xlfn.TEXTSPLIT(E142," - ")</f>
        <v>Daging Ayam</v>
      </c>
      <c r="G142" s="2" t="str">
        <v>Brand B</v>
      </c>
      <c r="H142" s="5">
        <v>40000</v>
      </c>
      <c r="I142" s="2">
        <v>3</v>
      </c>
      <c r="J142" s="2">
        <v>5</v>
      </c>
      <c r="K142" s="8">
        <f t="shared" si="12"/>
        <v>120000</v>
      </c>
      <c r="L142" s="8">
        <f t="shared" si="13"/>
        <v>6000</v>
      </c>
      <c r="M142" s="8">
        <f t="shared" si="14"/>
        <v>114000</v>
      </c>
      <c r="N142" s="5">
        <v>67000</v>
      </c>
      <c r="O142" s="8">
        <f t="shared" si="15"/>
        <v>181000</v>
      </c>
      <c r="P142" s="2" t="s">
        <v>35</v>
      </c>
      <c r="Q142" s="10" t="str">
        <f>VLOOKUP(A142,Status!A:B,2,0)</f>
        <v>Completed</v>
      </c>
      <c r="R142" s="2" t="s">
        <v>30</v>
      </c>
      <c r="S142" s="2">
        <v>3</v>
      </c>
      <c r="T142" s="2" t="s">
        <v>24</v>
      </c>
      <c r="U142" s="10" t="str">
        <f t="shared" si="17"/>
        <v>Jan</v>
      </c>
      <c r="V142" s="10">
        <f t="shared" si="16"/>
        <v>2025</v>
      </c>
      <c r="W142" t="e" cm="1">
        <f t="array" ref="W142">_xlfn.IFS(U142="January",1,U142="February",2,U142="March",3,U142="April",4,U142="May",5,U142="June",6,U142="July",7,U142="August",8,U142="September",9,U142="October",10,U142="November",11,U142="December",12)</f>
        <v>#N/A</v>
      </c>
    </row>
    <row r="143" spans="1:23" ht="15.75" customHeight="1" x14ac:dyDescent="0.25">
      <c r="A143" s="2" t="s">
        <v>1072</v>
      </c>
      <c r="B143" s="3">
        <v>45681.422662037039</v>
      </c>
      <c r="C143" s="2" t="s">
        <v>1073</v>
      </c>
      <c r="D143" s="2" t="s">
        <v>27</v>
      </c>
      <c r="E143" s="2" t="s">
        <v>62</v>
      </c>
      <c r="F143" s="2" t="str" cm="1">
        <f t="array" ref="F143:G143">_xlfn.TEXTSPLIT(E143," - ")</f>
        <v>Susu Bubuk</v>
      </c>
      <c r="G143" s="2" t="str">
        <v>Brand B</v>
      </c>
      <c r="H143" s="5">
        <v>50000</v>
      </c>
      <c r="I143" s="2">
        <v>5</v>
      </c>
      <c r="J143" s="2">
        <v>10</v>
      </c>
      <c r="K143" s="8">
        <f t="shared" si="12"/>
        <v>250000</v>
      </c>
      <c r="L143" s="8">
        <f t="shared" si="13"/>
        <v>25000</v>
      </c>
      <c r="M143" s="8">
        <f t="shared" si="14"/>
        <v>225000</v>
      </c>
      <c r="N143" s="5">
        <v>17000</v>
      </c>
      <c r="O143" s="8">
        <f t="shared" si="15"/>
        <v>242000</v>
      </c>
      <c r="P143" s="2" t="s">
        <v>29</v>
      </c>
      <c r="Q143" s="10" t="str">
        <f>VLOOKUP(A143,Status!A:B,2,0)</f>
        <v>Completed</v>
      </c>
      <c r="R143" s="2" t="s">
        <v>30</v>
      </c>
      <c r="S143" s="2">
        <v>1</v>
      </c>
      <c r="T143" s="2" t="s">
        <v>24</v>
      </c>
      <c r="U143" s="10" t="str">
        <f t="shared" si="17"/>
        <v>Jan</v>
      </c>
      <c r="V143" s="10">
        <f t="shared" si="16"/>
        <v>2025</v>
      </c>
      <c r="W143" t="e" cm="1">
        <f t="array" ref="W143">_xlfn.IFS(U143="January",1,U143="February",2,U143="March",3,U143="April",4,U143="May",5,U143="June",6,U143="July",7,U143="August",8,U143="September",9,U143="October",10,U143="November",11,U143="December",12)</f>
        <v>#N/A</v>
      </c>
    </row>
    <row r="144" spans="1:23" ht="15.75" customHeight="1" x14ac:dyDescent="0.25">
      <c r="A144" s="2" t="s">
        <v>1074</v>
      </c>
      <c r="B144" s="3">
        <v>45681.651539351849</v>
      </c>
      <c r="C144" s="2" t="s">
        <v>808</v>
      </c>
      <c r="D144" s="2" t="s">
        <v>61</v>
      </c>
      <c r="E144" s="2" t="s">
        <v>190</v>
      </c>
      <c r="F144" s="2" t="str" cm="1">
        <f t="array" ref="F144:G144">_xlfn.TEXTSPLIT(E144," - ")</f>
        <v>Bawang Merah</v>
      </c>
      <c r="G144" s="2" t="str">
        <v>Brand B</v>
      </c>
      <c r="H144" s="5">
        <v>35000</v>
      </c>
      <c r="I144" s="2">
        <v>4</v>
      </c>
      <c r="J144" s="2">
        <v>20</v>
      </c>
      <c r="K144" s="8">
        <f t="shared" si="12"/>
        <v>140000</v>
      </c>
      <c r="L144" s="8">
        <f t="shared" si="13"/>
        <v>28000</v>
      </c>
      <c r="M144" s="8">
        <f t="shared" si="14"/>
        <v>112000</v>
      </c>
      <c r="N144" s="5">
        <v>26000</v>
      </c>
      <c r="O144" s="8">
        <f t="shared" si="15"/>
        <v>138000</v>
      </c>
      <c r="P144" s="2" t="s">
        <v>35</v>
      </c>
      <c r="Q144" s="10" t="str">
        <f>VLOOKUP(A144,Status!A:B,2,0)</f>
        <v>Completed</v>
      </c>
      <c r="R144" s="2" t="s">
        <v>30</v>
      </c>
      <c r="S144" s="2">
        <v>5</v>
      </c>
      <c r="T144" s="2" t="s">
        <v>24</v>
      </c>
      <c r="U144" s="10" t="str">
        <f t="shared" si="17"/>
        <v>Jan</v>
      </c>
      <c r="V144" s="10">
        <f t="shared" si="16"/>
        <v>2025</v>
      </c>
      <c r="W144" t="e" cm="1">
        <f t="array" ref="W144">_xlfn.IFS(U144="January",1,U144="February",2,U144="March",3,U144="April",4,U144="May",5,U144="June",6,U144="July",7,U144="August",8,U144="September",9,U144="October",10,U144="November",11,U144="December",12)</f>
        <v>#N/A</v>
      </c>
    </row>
    <row r="145" spans="1:23" ht="15.75" customHeight="1" x14ac:dyDescent="0.25">
      <c r="A145" s="2" t="s">
        <v>1075</v>
      </c>
      <c r="B145" s="3">
        <v>45681.790972222218</v>
      </c>
      <c r="C145" s="2" t="s">
        <v>140</v>
      </c>
      <c r="D145" s="2" t="s">
        <v>92</v>
      </c>
      <c r="E145" s="2" t="s">
        <v>67</v>
      </c>
      <c r="F145" s="2" t="str" cm="1">
        <f t="array" ref="F145:G145">_xlfn.TEXTSPLIT(E145," - ")</f>
        <v>Beras</v>
      </c>
      <c r="G145" s="2" t="str">
        <v>Brand B</v>
      </c>
      <c r="H145" s="5">
        <v>15000</v>
      </c>
      <c r="I145" s="2">
        <v>3</v>
      </c>
      <c r="J145" s="2">
        <v>15</v>
      </c>
      <c r="K145" s="8">
        <f t="shared" si="12"/>
        <v>45000</v>
      </c>
      <c r="L145" s="8">
        <f t="shared" si="13"/>
        <v>6750</v>
      </c>
      <c r="M145" s="8">
        <f t="shared" si="14"/>
        <v>38250</v>
      </c>
      <c r="N145" s="5">
        <v>30000</v>
      </c>
      <c r="O145" s="8">
        <f t="shared" si="15"/>
        <v>68250</v>
      </c>
      <c r="P145" s="2" t="s">
        <v>63</v>
      </c>
      <c r="Q145" s="10" t="str">
        <f>VLOOKUP(A145,Status!A:B,2,0)</f>
        <v>Completed</v>
      </c>
      <c r="R145" s="2" t="s">
        <v>36</v>
      </c>
      <c r="S145" s="2">
        <v>1</v>
      </c>
      <c r="T145" s="2" t="s">
        <v>24</v>
      </c>
      <c r="U145" s="10" t="str">
        <f t="shared" si="17"/>
        <v>Jan</v>
      </c>
      <c r="V145" s="10">
        <f t="shared" si="16"/>
        <v>2025</v>
      </c>
      <c r="W145" t="e" cm="1">
        <f t="array" ref="W145">_xlfn.IFS(U145="January",1,U145="February",2,U145="March",3,U145="April",4,U145="May",5,U145="June",6,U145="July",7,U145="August",8,U145="September",9,U145="October",10,U145="November",11,U145="December",12)</f>
        <v>#N/A</v>
      </c>
    </row>
    <row r="146" spans="1:23" ht="15.75" customHeight="1" x14ac:dyDescent="0.25">
      <c r="A146" s="2" t="s">
        <v>1076</v>
      </c>
      <c r="B146" s="3">
        <v>45681.946469907409</v>
      </c>
      <c r="C146" s="2" t="s">
        <v>1033</v>
      </c>
      <c r="D146" s="2" t="s">
        <v>122</v>
      </c>
      <c r="E146" s="2" t="s">
        <v>123</v>
      </c>
      <c r="F146" s="2" t="str" cm="1">
        <f t="array" ref="F146:G146">_xlfn.TEXTSPLIT(E146," - ")</f>
        <v>Telur Ayam</v>
      </c>
      <c r="G146" s="2" t="str">
        <v>Brand A</v>
      </c>
      <c r="H146" s="5">
        <v>22000</v>
      </c>
      <c r="I146" s="2">
        <v>3</v>
      </c>
      <c r="J146" s="2">
        <v>15</v>
      </c>
      <c r="K146" s="8">
        <f t="shared" si="12"/>
        <v>66000</v>
      </c>
      <c r="L146" s="8">
        <f t="shared" si="13"/>
        <v>9900</v>
      </c>
      <c r="M146" s="8">
        <f t="shared" si="14"/>
        <v>56100</v>
      </c>
      <c r="N146" s="5">
        <v>78000</v>
      </c>
      <c r="O146" s="8">
        <f t="shared" si="15"/>
        <v>134100</v>
      </c>
      <c r="P146" s="2" t="s">
        <v>63</v>
      </c>
      <c r="Q146" s="10" t="str">
        <f>VLOOKUP(A146,Status!A:B,2,0)</f>
        <v>Completed</v>
      </c>
      <c r="R146" s="2" t="s">
        <v>30</v>
      </c>
      <c r="S146" s="2">
        <v>3</v>
      </c>
      <c r="T146" s="2" t="s">
        <v>24</v>
      </c>
      <c r="U146" s="10" t="str">
        <f t="shared" si="17"/>
        <v>Jan</v>
      </c>
      <c r="V146" s="10">
        <f t="shared" si="16"/>
        <v>2025</v>
      </c>
      <c r="W146" t="e" cm="1">
        <f t="array" ref="W146">_xlfn.IFS(U146="January",1,U146="February",2,U146="March",3,U146="April",4,U146="May",5,U146="June",6,U146="July",7,U146="August",8,U146="September",9,U146="October",10,U146="November",11,U146="December",12)</f>
        <v>#N/A</v>
      </c>
    </row>
    <row r="147" spans="1:23" ht="15.75" customHeight="1" x14ac:dyDescent="0.25">
      <c r="A147" s="2" t="s">
        <v>1077</v>
      </c>
      <c r="B147" s="3">
        <v>45682.091898148137</v>
      </c>
      <c r="C147" s="2" t="s">
        <v>363</v>
      </c>
      <c r="D147" s="2" t="s">
        <v>189</v>
      </c>
      <c r="E147" s="2" t="s">
        <v>93</v>
      </c>
      <c r="F147" s="2" t="str" cm="1">
        <f t="array" ref="F147:G147">_xlfn.TEXTSPLIT(E147," - ")</f>
        <v>Telur Ayam</v>
      </c>
      <c r="G147" s="2" t="str">
        <v>Brand B</v>
      </c>
      <c r="H147" s="5">
        <v>25000</v>
      </c>
      <c r="I147" s="2">
        <v>3</v>
      </c>
      <c r="J147" s="2">
        <v>5</v>
      </c>
      <c r="K147" s="8">
        <f t="shared" si="12"/>
        <v>75000</v>
      </c>
      <c r="L147" s="8">
        <f t="shared" si="13"/>
        <v>3750</v>
      </c>
      <c r="M147" s="8">
        <f t="shared" si="14"/>
        <v>71250</v>
      </c>
      <c r="N147" s="5">
        <v>57000</v>
      </c>
      <c r="O147" s="8">
        <f t="shared" si="15"/>
        <v>128250</v>
      </c>
      <c r="P147" s="2" t="s">
        <v>63</v>
      </c>
      <c r="Q147" s="10" t="str">
        <f>VLOOKUP(A147,Status!A:B,2,0)</f>
        <v>Completed</v>
      </c>
      <c r="R147" s="2" t="s">
        <v>30</v>
      </c>
      <c r="S147" s="2">
        <v>4</v>
      </c>
      <c r="T147" s="2" t="s">
        <v>24</v>
      </c>
      <c r="U147" s="10" t="str">
        <f t="shared" si="17"/>
        <v>Jan</v>
      </c>
      <c r="V147" s="10">
        <f t="shared" si="16"/>
        <v>2025</v>
      </c>
      <c r="W147" t="e" cm="1">
        <f t="array" ref="W147">_xlfn.IFS(U147="January",1,U147="February",2,U147="March",3,U147="April",4,U147="May",5,U147="June",6,U147="July",7,U147="August",8,U147="September",9,U147="October",10,U147="November",11,U147="December",12)</f>
        <v>#N/A</v>
      </c>
    </row>
    <row r="148" spans="1:23" ht="15.75" customHeight="1" x14ac:dyDescent="0.25">
      <c r="A148" s="2" t="s">
        <v>1078</v>
      </c>
      <c r="B148" s="3">
        <v>45682.285428240742</v>
      </c>
      <c r="C148" s="2" t="s">
        <v>235</v>
      </c>
      <c r="D148" s="2" t="s">
        <v>189</v>
      </c>
      <c r="E148" s="2" t="s">
        <v>62</v>
      </c>
      <c r="F148" s="2" t="str" cm="1">
        <f t="array" ref="F148:G148">_xlfn.TEXTSPLIT(E148," - ")</f>
        <v>Susu Bubuk</v>
      </c>
      <c r="G148" s="2" t="str">
        <v>Brand B</v>
      </c>
      <c r="H148" s="5">
        <v>50000</v>
      </c>
      <c r="I148" s="2">
        <v>5</v>
      </c>
      <c r="J148" s="2">
        <v>10</v>
      </c>
      <c r="K148" s="8">
        <f t="shared" si="12"/>
        <v>250000</v>
      </c>
      <c r="L148" s="8">
        <f t="shared" si="13"/>
        <v>25000</v>
      </c>
      <c r="M148" s="8">
        <f t="shared" si="14"/>
        <v>225000</v>
      </c>
      <c r="N148" s="5">
        <v>57000</v>
      </c>
      <c r="O148" s="8">
        <f t="shared" si="15"/>
        <v>282000</v>
      </c>
      <c r="P148" s="2" t="s">
        <v>22</v>
      </c>
      <c r="Q148" s="10" t="str">
        <f>VLOOKUP(A148,Status!A:B,2,0)</f>
        <v>Completed</v>
      </c>
      <c r="R148" s="2" t="s">
        <v>46</v>
      </c>
      <c r="S148" s="2">
        <v>3</v>
      </c>
      <c r="T148" s="2" t="s">
        <v>37</v>
      </c>
      <c r="U148" s="10" t="str">
        <f t="shared" si="17"/>
        <v>Jan</v>
      </c>
      <c r="V148" s="10">
        <f t="shared" si="16"/>
        <v>2025</v>
      </c>
      <c r="W148" t="e" cm="1">
        <f t="array" ref="W148">_xlfn.IFS(U148="January",1,U148="February",2,U148="March",3,U148="April",4,U148="May",5,U148="June",6,U148="July",7,U148="August",8,U148="September",9,U148="October",10,U148="November",11,U148="December",12)</f>
        <v>#N/A</v>
      </c>
    </row>
    <row r="149" spans="1:23" ht="15.75" customHeight="1" x14ac:dyDescent="0.25">
      <c r="A149" s="2" t="s">
        <v>1079</v>
      </c>
      <c r="B149" s="3">
        <v>45682.301770833343</v>
      </c>
      <c r="C149" s="2" t="s">
        <v>56</v>
      </c>
      <c r="D149" s="2" t="s">
        <v>57</v>
      </c>
      <c r="E149" s="2" t="s">
        <v>144</v>
      </c>
      <c r="F149" s="2" t="str" cm="1">
        <f t="array" ref="F149:G149">_xlfn.TEXTSPLIT(E149," - ")</f>
        <v>Gula Pasir</v>
      </c>
      <c r="G149" s="2" t="str">
        <v>Brand C</v>
      </c>
      <c r="H149" s="5">
        <v>18000</v>
      </c>
      <c r="I149" s="2">
        <v>5</v>
      </c>
      <c r="J149" s="2">
        <v>20</v>
      </c>
      <c r="K149" s="8">
        <f t="shared" si="12"/>
        <v>90000</v>
      </c>
      <c r="L149" s="8">
        <f t="shared" si="13"/>
        <v>18000</v>
      </c>
      <c r="M149" s="8">
        <f t="shared" si="14"/>
        <v>72000</v>
      </c>
      <c r="N149" s="5">
        <v>80000</v>
      </c>
      <c r="O149" s="8">
        <f t="shared" si="15"/>
        <v>152000</v>
      </c>
      <c r="P149" s="2" t="s">
        <v>29</v>
      </c>
      <c r="Q149" s="10" t="str">
        <f>VLOOKUP(A149,Status!A:B,2,0)</f>
        <v>Completed</v>
      </c>
      <c r="R149" s="2" t="s">
        <v>30</v>
      </c>
      <c r="S149" s="2">
        <v>3</v>
      </c>
      <c r="T149" s="2" t="s">
        <v>24</v>
      </c>
      <c r="U149" s="10" t="str">
        <f t="shared" si="17"/>
        <v>Jan</v>
      </c>
      <c r="V149" s="10">
        <f t="shared" si="16"/>
        <v>2025</v>
      </c>
      <c r="W149" t="e" cm="1">
        <f t="array" ref="W149">_xlfn.IFS(U149="January",1,U149="February",2,U149="March",3,U149="April",4,U149="May",5,U149="June",6,U149="July",7,U149="August",8,U149="September",9,U149="October",10,U149="November",11,U149="December",12)</f>
        <v>#N/A</v>
      </c>
    </row>
    <row r="150" spans="1:23" ht="15.75" customHeight="1" x14ac:dyDescent="0.25">
      <c r="A150" s="2" t="s">
        <v>1080</v>
      </c>
      <c r="B150" s="3">
        <v>45682.525972222233</v>
      </c>
      <c r="C150" s="2" t="s">
        <v>582</v>
      </c>
      <c r="D150" s="2" t="s">
        <v>435</v>
      </c>
      <c r="E150" s="2" t="s">
        <v>28</v>
      </c>
      <c r="F150" s="2" t="str" cm="1">
        <f t="array" ref="F150:G150">_xlfn.TEXTSPLIT(E150," - ")</f>
        <v>Garam</v>
      </c>
      <c r="G150" s="2" t="str">
        <v>Brand B</v>
      </c>
      <c r="H150" s="5">
        <v>5000</v>
      </c>
      <c r="I150" s="2">
        <v>5</v>
      </c>
      <c r="J150" s="2">
        <v>10</v>
      </c>
      <c r="K150" s="8">
        <f t="shared" si="12"/>
        <v>25000</v>
      </c>
      <c r="L150" s="8">
        <f t="shared" si="13"/>
        <v>2500</v>
      </c>
      <c r="M150" s="8">
        <f t="shared" si="14"/>
        <v>22500</v>
      </c>
      <c r="N150" s="5">
        <v>67000</v>
      </c>
      <c r="O150" s="8">
        <f t="shared" si="15"/>
        <v>89500</v>
      </c>
      <c r="P150" s="2" t="s">
        <v>22</v>
      </c>
      <c r="Q150" s="10" t="str">
        <f>VLOOKUP(A150,Status!A:B,2,0)</f>
        <v>Completed</v>
      </c>
      <c r="R150" s="2" t="s">
        <v>30</v>
      </c>
      <c r="S150" s="2">
        <v>4</v>
      </c>
      <c r="T150" s="2" t="s">
        <v>24</v>
      </c>
      <c r="U150" s="10" t="str">
        <f t="shared" si="17"/>
        <v>Jan</v>
      </c>
      <c r="V150" s="10">
        <f t="shared" si="16"/>
        <v>2025</v>
      </c>
      <c r="W150" t="e" cm="1">
        <f t="array" ref="W150">_xlfn.IFS(U150="January",1,U150="February",2,U150="March",3,U150="April",4,U150="May",5,U150="June",6,U150="July",7,U150="August",8,U150="September",9,U150="October",10,U150="November",11,U150="December",12)</f>
        <v>#N/A</v>
      </c>
    </row>
    <row r="151" spans="1:23" ht="15.75" customHeight="1" x14ac:dyDescent="0.25">
      <c r="A151" s="2" t="s">
        <v>1081</v>
      </c>
      <c r="B151" s="3">
        <v>45682.660451388889</v>
      </c>
      <c r="C151" s="2" t="s">
        <v>194</v>
      </c>
      <c r="D151" s="2" t="s">
        <v>195</v>
      </c>
      <c r="E151" s="2" t="s">
        <v>104</v>
      </c>
      <c r="F151" s="2" t="str" cm="1">
        <f t="array" ref="F151:G151">_xlfn.TEXTSPLIT(E151," - ")</f>
        <v>Bawang Merah</v>
      </c>
      <c r="G151" s="2" t="str">
        <v>Brand A</v>
      </c>
      <c r="H151" s="5">
        <v>30000</v>
      </c>
      <c r="I151" s="2">
        <v>4</v>
      </c>
      <c r="J151" s="2">
        <v>15</v>
      </c>
      <c r="K151" s="8">
        <f t="shared" si="12"/>
        <v>120000</v>
      </c>
      <c r="L151" s="8">
        <f t="shared" si="13"/>
        <v>18000</v>
      </c>
      <c r="M151" s="8">
        <f t="shared" si="14"/>
        <v>102000</v>
      </c>
      <c r="N151" s="5">
        <v>87000</v>
      </c>
      <c r="O151" s="8">
        <f t="shared" si="15"/>
        <v>189000</v>
      </c>
      <c r="P151" s="2" t="s">
        <v>29</v>
      </c>
      <c r="Q151" s="10" t="str">
        <f>VLOOKUP(A151,Status!A:B,2,0)</f>
        <v>Completed</v>
      </c>
      <c r="R151" s="2" t="s">
        <v>23</v>
      </c>
      <c r="S151" s="2">
        <v>5</v>
      </c>
      <c r="T151" s="2" t="s">
        <v>24</v>
      </c>
      <c r="U151" s="10" t="str">
        <f t="shared" si="17"/>
        <v>Jan</v>
      </c>
      <c r="V151" s="10">
        <f t="shared" si="16"/>
        <v>2025</v>
      </c>
      <c r="W151" t="e" cm="1">
        <f t="array" ref="W151">_xlfn.IFS(U151="January",1,U151="February",2,U151="March",3,U151="April",4,U151="May",5,U151="June",6,U151="July",7,U151="August",8,U151="September",9,U151="October",10,U151="November",11,U151="December",12)</f>
        <v>#N/A</v>
      </c>
    </row>
    <row r="152" spans="1:23" ht="15.75" customHeight="1" x14ac:dyDescent="0.25">
      <c r="A152" s="2" t="s">
        <v>1082</v>
      </c>
      <c r="B152" s="3">
        <v>45682.917245370372</v>
      </c>
      <c r="C152" s="2" t="s">
        <v>1083</v>
      </c>
      <c r="D152" s="2" t="s">
        <v>170</v>
      </c>
      <c r="E152" s="2" t="s">
        <v>34</v>
      </c>
      <c r="F152" s="2" t="str" cm="1">
        <f t="array" ref="F152:G152">_xlfn.TEXTSPLIT(E152," - ")</f>
        <v>Minyak Goreng</v>
      </c>
      <c r="G152" s="2" t="str">
        <v>Brand A</v>
      </c>
      <c r="H152" s="5">
        <v>16000</v>
      </c>
      <c r="I152" s="2">
        <v>3</v>
      </c>
      <c r="J152" s="2">
        <v>20</v>
      </c>
      <c r="K152" s="8">
        <f t="shared" si="12"/>
        <v>48000</v>
      </c>
      <c r="L152" s="8">
        <f t="shared" si="13"/>
        <v>9600</v>
      </c>
      <c r="M152" s="8">
        <f t="shared" si="14"/>
        <v>38400</v>
      </c>
      <c r="N152" s="5">
        <v>46000</v>
      </c>
      <c r="O152" s="8">
        <f t="shared" si="15"/>
        <v>84400</v>
      </c>
      <c r="P152" s="2" t="s">
        <v>22</v>
      </c>
      <c r="Q152" s="10" t="str">
        <f>VLOOKUP(A152,Status!A:B,2,0)</f>
        <v>Completed</v>
      </c>
      <c r="R152" s="2" t="s">
        <v>46</v>
      </c>
      <c r="S152" s="2">
        <v>2</v>
      </c>
      <c r="T152" s="2" t="s">
        <v>24</v>
      </c>
      <c r="U152" s="10" t="str">
        <f t="shared" si="17"/>
        <v>Jan</v>
      </c>
      <c r="V152" s="10">
        <f t="shared" si="16"/>
        <v>2025</v>
      </c>
      <c r="W152" t="e" cm="1">
        <f t="array" ref="W152">_xlfn.IFS(U152="January",1,U152="February",2,U152="March",3,U152="April",4,U152="May",5,U152="June",6,U152="July",7,U152="August",8,U152="September",9,U152="October",10,U152="November",11,U152="December",12)</f>
        <v>#N/A</v>
      </c>
    </row>
    <row r="153" spans="1:23" ht="15.75" customHeight="1" x14ac:dyDescent="0.25">
      <c r="A153" s="2" t="s">
        <v>1084</v>
      </c>
      <c r="B153" s="3">
        <v>45683.408587962957</v>
      </c>
      <c r="C153" s="2" t="s">
        <v>959</v>
      </c>
      <c r="D153" s="2" t="s">
        <v>182</v>
      </c>
      <c r="E153" s="2" t="s">
        <v>93</v>
      </c>
      <c r="F153" s="2" t="str" cm="1">
        <f t="array" ref="F153:G153">_xlfn.TEXTSPLIT(E153," - ")</f>
        <v>Telur Ayam</v>
      </c>
      <c r="G153" s="2" t="str">
        <v>Brand B</v>
      </c>
      <c r="H153" s="5">
        <v>25000</v>
      </c>
      <c r="I153" s="2">
        <v>5</v>
      </c>
      <c r="J153" s="2">
        <v>0</v>
      </c>
      <c r="K153" s="8">
        <f t="shared" si="12"/>
        <v>125000</v>
      </c>
      <c r="L153" s="8">
        <f t="shared" si="13"/>
        <v>0</v>
      </c>
      <c r="M153" s="8">
        <f t="shared" si="14"/>
        <v>125000</v>
      </c>
      <c r="N153" s="5">
        <v>48000</v>
      </c>
      <c r="O153" s="8">
        <f t="shared" si="15"/>
        <v>173000</v>
      </c>
      <c r="P153" s="2" t="s">
        <v>35</v>
      </c>
      <c r="Q153" s="10" t="str">
        <f>VLOOKUP(A153,Status!A:B,2,0)</f>
        <v>Completed</v>
      </c>
      <c r="R153" s="2" t="s">
        <v>23</v>
      </c>
      <c r="S153" s="2">
        <v>5</v>
      </c>
      <c r="T153" s="2" t="s">
        <v>24</v>
      </c>
      <c r="U153" s="10" t="str">
        <f t="shared" si="17"/>
        <v>Jan</v>
      </c>
      <c r="V153" s="10">
        <f t="shared" si="16"/>
        <v>2025</v>
      </c>
      <c r="W153" t="e" cm="1">
        <f t="array" ref="W153">_xlfn.IFS(U153="January",1,U153="February",2,U153="March",3,U153="April",4,U153="May",5,U153="June",6,U153="July",7,U153="August",8,U153="September",9,U153="October",10,U153="November",11,U153="December",12)</f>
        <v>#N/A</v>
      </c>
    </row>
    <row r="154" spans="1:23" ht="15.75" customHeight="1" x14ac:dyDescent="0.25">
      <c r="A154" s="2" t="s">
        <v>1085</v>
      </c>
      <c r="B154" s="3">
        <v>45683.608252314807</v>
      </c>
      <c r="C154" s="2" t="s">
        <v>408</v>
      </c>
      <c r="D154" s="2" t="s">
        <v>74</v>
      </c>
      <c r="E154" s="2" t="s">
        <v>50</v>
      </c>
      <c r="F154" s="2" t="str" cm="1">
        <f t="array" ref="F154:G154">_xlfn.TEXTSPLIT(E154," - ")</f>
        <v>Tepung Terigu</v>
      </c>
      <c r="G154" s="2" t="str">
        <v>Brand C</v>
      </c>
      <c r="H154" s="5">
        <v>14000</v>
      </c>
      <c r="I154" s="2">
        <v>2</v>
      </c>
      <c r="J154" s="2">
        <v>15</v>
      </c>
      <c r="K154" s="8">
        <f t="shared" si="12"/>
        <v>28000</v>
      </c>
      <c r="L154" s="8">
        <f t="shared" si="13"/>
        <v>4200</v>
      </c>
      <c r="M154" s="8">
        <f t="shared" si="14"/>
        <v>23800</v>
      </c>
      <c r="N154" s="5">
        <v>87000</v>
      </c>
      <c r="O154" s="8">
        <f t="shared" si="15"/>
        <v>110800</v>
      </c>
      <c r="P154" s="2" t="s">
        <v>22</v>
      </c>
      <c r="Q154" s="10" t="str">
        <f>VLOOKUP(A154,Status!A:B,2,0)</f>
        <v>Completed</v>
      </c>
      <c r="R154" s="2" t="s">
        <v>82</v>
      </c>
      <c r="S154" s="2">
        <v>3</v>
      </c>
      <c r="T154" s="2" t="s">
        <v>24</v>
      </c>
      <c r="U154" s="10" t="str">
        <f t="shared" si="17"/>
        <v>Jan</v>
      </c>
      <c r="V154" s="10">
        <f t="shared" si="16"/>
        <v>2025</v>
      </c>
      <c r="W154" t="e" cm="1">
        <f t="array" ref="W154">_xlfn.IFS(U154="January",1,U154="February",2,U154="March",3,U154="April",4,U154="May",5,U154="June",6,U154="July",7,U154="August",8,U154="September",9,U154="October",10,U154="November",11,U154="December",12)</f>
        <v>#N/A</v>
      </c>
    </row>
    <row r="155" spans="1:23" ht="15.75" customHeight="1" x14ac:dyDescent="0.25">
      <c r="A155" s="2" t="s">
        <v>1086</v>
      </c>
      <c r="B155" s="3">
        <v>45683.758414351847</v>
      </c>
      <c r="C155" s="2" t="s">
        <v>1087</v>
      </c>
      <c r="D155" s="2" t="s">
        <v>143</v>
      </c>
      <c r="E155" s="2" t="s">
        <v>21</v>
      </c>
      <c r="F155" s="2" t="str" cm="1">
        <f t="array" ref="F155:G155">_xlfn.TEXTSPLIT(E155," - ")</f>
        <v>Daging Ayam</v>
      </c>
      <c r="G155" s="2" t="str">
        <v>Brand C</v>
      </c>
      <c r="H155" s="5">
        <v>45000</v>
      </c>
      <c r="I155" s="2">
        <v>5</v>
      </c>
      <c r="J155" s="2">
        <v>0</v>
      </c>
      <c r="K155" s="8">
        <f t="shared" si="12"/>
        <v>225000</v>
      </c>
      <c r="L155" s="8">
        <f t="shared" si="13"/>
        <v>0</v>
      </c>
      <c r="M155" s="8">
        <f t="shared" si="14"/>
        <v>225000</v>
      </c>
      <c r="N155" s="5">
        <v>50000</v>
      </c>
      <c r="O155" s="8">
        <f t="shared" si="15"/>
        <v>275000</v>
      </c>
      <c r="P155" s="2" t="s">
        <v>29</v>
      </c>
      <c r="Q155" s="10" t="str">
        <f>VLOOKUP(A155,Status!A:B,2,0)</f>
        <v>Completed</v>
      </c>
      <c r="R155" s="2" t="s">
        <v>82</v>
      </c>
      <c r="S155" s="2">
        <v>5</v>
      </c>
      <c r="T155" s="2" t="s">
        <v>24</v>
      </c>
      <c r="U155" s="10" t="str">
        <f t="shared" si="17"/>
        <v>Jan</v>
      </c>
      <c r="V155" s="10">
        <f t="shared" si="16"/>
        <v>2025</v>
      </c>
      <c r="W155" t="e" cm="1">
        <f t="array" ref="W155">_xlfn.IFS(U155="January",1,U155="February",2,U155="March",3,U155="April",4,U155="May",5,U155="June",6,U155="July",7,U155="August",8,U155="September",9,U155="October",10,U155="November",11,U155="December",12)</f>
        <v>#N/A</v>
      </c>
    </row>
    <row r="156" spans="1:23" ht="15.75" customHeight="1" x14ac:dyDescent="0.25">
      <c r="A156" s="2" t="s">
        <v>1088</v>
      </c>
      <c r="B156" s="3">
        <v>45683.790763888886</v>
      </c>
      <c r="C156" s="2" t="s">
        <v>763</v>
      </c>
      <c r="D156" s="2" t="s">
        <v>74</v>
      </c>
      <c r="E156" s="2" t="s">
        <v>81</v>
      </c>
      <c r="F156" s="2" t="str" cm="1">
        <f t="array" ref="F156:G156">_xlfn.TEXTSPLIT(E156," - ")</f>
        <v>Minyak Goreng</v>
      </c>
      <c r="G156" s="2" t="str">
        <v>Brand B</v>
      </c>
      <c r="H156" s="5">
        <v>17000</v>
      </c>
      <c r="I156" s="2">
        <v>4</v>
      </c>
      <c r="J156" s="2">
        <v>0</v>
      </c>
      <c r="K156" s="8">
        <f t="shared" si="12"/>
        <v>68000</v>
      </c>
      <c r="L156" s="8">
        <f t="shared" si="13"/>
        <v>0</v>
      </c>
      <c r="M156" s="8">
        <f t="shared" si="14"/>
        <v>68000</v>
      </c>
      <c r="N156" s="5">
        <v>87000</v>
      </c>
      <c r="O156" s="8">
        <f t="shared" si="15"/>
        <v>155000</v>
      </c>
      <c r="P156" s="2" t="s">
        <v>63</v>
      </c>
      <c r="Q156" s="10" t="str">
        <f>VLOOKUP(A156,Status!A:B,2,0)</f>
        <v>Completed</v>
      </c>
      <c r="R156" s="2" t="s">
        <v>82</v>
      </c>
      <c r="S156" s="2">
        <v>4</v>
      </c>
      <c r="T156" s="2" t="s">
        <v>24</v>
      </c>
      <c r="U156" s="10" t="str">
        <f t="shared" si="17"/>
        <v>Jan</v>
      </c>
      <c r="V156" s="10">
        <f t="shared" si="16"/>
        <v>2025</v>
      </c>
      <c r="W156" t="e" cm="1">
        <f t="array" ref="W156">_xlfn.IFS(U156="January",1,U156="February",2,U156="March",3,U156="April",4,U156="May",5,U156="June",6,U156="July",7,U156="August",8,U156="September",9,U156="October",10,U156="November",11,U156="December",12)</f>
        <v>#N/A</v>
      </c>
    </row>
    <row r="157" spans="1:23" ht="15.75" customHeight="1" x14ac:dyDescent="0.25">
      <c r="A157" s="2" t="s">
        <v>1089</v>
      </c>
      <c r="B157" s="3">
        <v>45684.484722222223</v>
      </c>
      <c r="C157" s="2" t="s">
        <v>412</v>
      </c>
      <c r="D157" s="2" t="s">
        <v>70</v>
      </c>
      <c r="E157" s="2" t="s">
        <v>110</v>
      </c>
      <c r="F157" s="2" t="str" cm="1">
        <f t="array" ref="F157:G157">_xlfn.TEXTSPLIT(E157," - ")</f>
        <v>Garam</v>
      </c>
      <c r="G157" s="2" t="str">
        <v>Brand C</v>
      </c>
      <c r="H157" s="5">
        <v>6000</v>
      </c>
      <c r="I157" s="2">
        <v>5</v>
      </c>
      <c r="J157" s="2">
        <v>10</v>
      </c>
      <c r="K157" s="8">
        <f t="shared" si="12"/>
        <v>30000</v>
      </c>
      <c r="L157" s="8">
        <f t="shared" si="13"/>
        <v>3000</v>
      </c>
      <c r="M157" s="8">
        <f t="shared" si="14"/>
        <v>27000</v>
      </c>
      <c r="N157" s="5">
        <v>89000</v>
      </c>
      <c r="O157" s="8">
        <f t="shared" si="15"/>
        <v>116000</v>
      </c>
      <c r="P157" s="2" t="s">
        <v>22</v>
      </c>
      <c r="Q157" s="10" t="str">
        <f>VLOOKUP(A157,Status!A:B,2,0)</f>
        <v>Returned</v>
      </c>
      <c r="R157" s="2" t="s">
        <v>36</v>
      </c>
      <c r="S157" s="2">
        <v>5</v>
      </c>
      <c r="T157" s="2" t="s">
        <v>24</v>
      </c>
      <c r="U157" s="10" t="str">
        <f t="shared" si="17"/>
        <v>Jan</v>
      </c>
      <c r="V157" s="10">
        <f t="shared" si="16"/>
        <v>2025</v>
      </c>
      <c r="W157" t="e" cm="1">
        <f t="array" ref="W157">_xlfn.IFS(U157="January",1,U157="February",2,U157="March",3,U157="April",4,U157="May",5,U157="June",6,U157="July",7,U157="August",8,U157="September",9,U157="October",10,U157="November",11,U157="December",12)</f>
        <v>#N/A</v>
      </c>
    </row>
    <row r="158" spans="1:23" ht="15.75" customHeight="1" x14ac:dyDescent="0.25">
      <c r="A158" s="2" t="s">
        <v>1090</v>
      </c>
      <c r="B158" s="3">
        <v>45684.688935185193</v>
      </c>
      <c r="C158" s="2" t="s">
        <v>1091</v>
      </c>
      <c r="D158" s="2" t="s">
        <v>160</v>
      </c>
      <c r="E158" s="2" t="s">
        <v>62</v>
      </c>
      <c r="F158" s="2" t="str" cm="1">
        <f t="array" ref="F158:G158">_xlfn.TEXTSPLIT(E158," - ")</f>
        <v>Susu Bubuk</v>
      </c>
      <c r="G158" s="2" t="str">
        <v>Brand B</v>
      </c>
      <c r="H158" s="5">
        <v>50000</v>
      </c>
      <c r="I158" s="2">
        <v>2</v>
      </c>
      <c r="J158" s="2">
        <v>10</v>
      </c>
      <c r="K158" s="8">
        <f t="shared" si="12"/>
        <v>100000</v>
      </c>
      <c r="L158" s="8">
        <f t="shared" si="13"/>
        <v>10000</v>
      </c>
      <c r="M158" s="8">
        <f t="shared" si="14"/>
        <v>90000</v>
      </c>
      <c r="N158" s="5">
        <v>68000</v>
      </c>
      <c r="O158" s="8">
        <f t="shared" si="15"/>
        <v>158000</v>
      </c>
      <c r="P158" s="2" t="s">
        <v>22</v>
      </c>
      <c r="Q158" s="10" t="str">
        <f>VLOOKUP(A158,Status!A:B,2,0)</f>
        <v>Completed</v>
      </c>
      <c r="R158" s="2" t="s">
        <v>30</v>
      </c>
      <c r="S158" s="2">
        <v>4</v>
      </c>
      <c r="T158" s="2" t="s">
        <v>37</v>
      </c>
      <c r="U158" s="10" t="str">
        <f t="shared" si="17"/>
        <v>Jan</v>
      </c>
      <c r="V158" s="10">
        <f t="shared" si="16"/>
        <v>2025</v>
      </c>
      <c r="W158" t="e" cm="1">
        <f t="array" ref="W158">_xlfn.IFS(U158="January",1,U158="February",2,U158="March",3,U158="April",4,U158="May",5,U158="June",6,U158="July",7,U158="August",8,U158="September",9,U158="October",10,U158="November",11,U158="December",12)</f>
        <v>#N/A</v>
      </c>
    </row>
    <row r="159" spans="1:23" ht="15.75" customHeight="1" x14ac:dyDescent="0.25">
      <c r="A159" s="2" t="s">
        <v>1092</v>
      </c>
      <c r="B159" s="3">
        <v>45685.353761574072</v>
      </c>
      <c r="C159" s="2" t="s">
        <v>596</v>
      </c>
      <c r="D159" s="2" t="s">
        <v>70</v>
      </c>
      <c r="E159" s="2" t="s">
        <v>45</v>
      </c>
      <c r="F159" s="2" t="str" cm="1">
        <f t="array" ref="F159:G159">_xlfn.TEXTSPLIT(E159," - ")</f>
        <v>Daging Ayam</v>
      </c>
      <c r="G159" s="2" t="str">
        <v>Brand B</v>
      </c>
      <c r="H159" s="5">
        <v>40000</v>
      </c>
      <c r="I159" s="2">
        <v>1</v>
      </c>
      <c r="J159" s="2">
        <v>15</v>
      </c>
      <c r="K159" s="8">
        <f t="shared" si="12"/>
        <v>40000</v>
      </c>
      <c r="L159" s="8">
        <f t="shared" si="13"/>
        <v>6000</v>
      </c>
      <c r="M159" s="8">
        <f t="shared" si="14"/>
        <v>34000</v>
      </c>
      <c r="N159" s="5">
        <v>89000</v>
      </c>
      <c r="O159" s="8">
        <f t="shared" si="15"/>
        <v>123000</v>
      </c>
      <c r="P159" s="2" t="s">
        <v>29</v>
      </c>
      <c r="Q159" s="10" t="str">
        <f>VLOOKUP(A159,Status!A:B,2,0)</f>
        <v>Completed</v>
      </c>
      <c r="R159" s="2" t="s">
        <v>30</v>
      </c>
      <c r="S159" s="2">
        <v>4</v>
      </c>
      <c r="T159" s="2" t="s">
        <v>24</v>
      </c>
      <c r="U159" s="10" t="str">
        <f t="shared" si="17"/>
        <v>Jan</v>
      </c>
      <c r="V159" s="10">
        <f t="shared" si="16"/>
        <v>2025</v>
      </c>
      <c r="W159" t="e" cm="1">
        <f t="array" ref="W159">_xlfn.IFS(U159="January",1,U159="February",2,U159="March",3,U159="April",4,U159="May",5,U159="June",6,U159="July",7,U159="August",8,U159="September",9,U159="October",10,U159="November",11,U159="December",12)</f>
        <v>#N/A</v>
      </c>
    </row>
    <row r="160" spans="1:23" ht="15.75" customHeight="1" x14ac:dyDescent="0.25">
      <c r="A160" s="2" t="s">
        <v>1093</v>
      </c>
      <c r="B160" s="3">
        <v>45685.369444444441</v>
      </c>
      <c r="C160" s="2" t="s">
        <v>40</v>
      </c>
      <c r="D160" s="2" t="s">
        <v>27</v>
      </c>
      <c r="E160" s="2" t="s">
        <v>88</v>
      </c>
      <c r="F160" s="2" t="str" cm="1">
        <f t="array" ref="F160:G160">_xlfn.TEXTSPLIT(E160," - ")</f>
        <v>Beras</v>
      </c>
      <c r="G160" s="2" t="str">
        <v>Brand A</v>
      </c>
      <c r="H160" s="5">
        <v>14000</v>
      </c>
      <c r="I160" s="2">
        <v>2</v>
      </c>
      <c r="J160" s="2">
        <v>15</v>
      </c>
      <c r="K160" s="8">
        <f t="shared" si="12"/>
        <v>28000</v>
      </c>
      <c r="L160" s="8">
        <f t="shared" si="13"/>
        <v>4200</v>
      </c>
      <c r="M160" s="8">
        <f t="shared" si="14"/>
        <v>23800</v>
      </c>
      <c r="N160" s="5">
        <v>17000</v>
      </c>
      <c r="O160" s="8">
        <f t="shared" si="15"/>
        <v>40800</v>
      </c>
      <c r="P160" s="2" t="s">
        <v>29</v>
      </c>
      <c r="Q160" s="10" t="str">
        <f>VLOOKUP(A160,Status!A:B,2,0)</f>
        <v>Completed</v>
      </c>
      <c r="R160" s="2" t="s">
        <v>23</v>
      </c>
      <c r="S160" s="2">
        <v>4</v>
      </c>
      <c r="T160" s="2" t="s">
        <v>24</v>
      </c>
      <c r="U160" s="10" t="str">
        <f t="shared" si="17"/>
        <v>Jan</v>
      </c>
      <c r="V160" s="10">
        <f t="shared" si="16"/>
        <v>2025</v>
      </c>
      <c r="W160" t="e" cm="1">
        <f t="array" ref="W160">_xlfn.IFS(U160="January",1,U160="February",2,U160="March",3,U160="April",4,U160="May",5,U160="June",6,U160="July",7,U160="August",8,U160="September",9,U160="October",10,U160="November",11,U160="December",12)</f>
        <v>#N/A</v>
      </c>
    </row>
    <row r="161" spans="1:23" ht="15.75" customHeight="1" x14ac:dyDescent="0.25">
      <c r="A161" s="2" t="s">
        <v>1094</v>
      </c>
      <c r="B161" s="3">
        <v>45685.746377314812</v>
      </c>
      <c r="C161" s="2" t="s">
        <v>1069</v>
      </c>
      <c r="D161" s="2" t="s">
        <v>189</v>
      </c>
      <c r="E161" s="2" t="s">
        <v>28</v>
      </c>
      <c r="F161" s="2" t="str" cm="1">
        <f t="array" ref="F161:G161">_xlfn.TEXTSPLIT(E161," - ")</f>
        <v>Garam</v>
      </c>
      <c r="G161" s="2" t="str">
        <v>Brand B</v>
      </c>
      <c r="H161" s="5">
        <v>5000</v>
      </c>
      <c r="I161" s="2">
        <v>1</v>
      </c>
      <c r="J161" s="2">
        <v>15</v>
      </c>
      <c r="K161" s="8">
        <f t="shared" si="12"/>
        <v>5000</v>
      </c>
      <c r="L161" s="8">
        <f t="shared" si="13"/>
        <v>750</v>
      </c>
      <c r="M161" s="8">
        <f t="shared" si="14"/>
        <v>4250</v>
      </c>
      <c r="N161" s="5">
        <v>57000</v>
      </c>
      <c r="O161" s="8">
        <f t="shared" si="15"/>
        <v>61250</v>
      </c>
      <c r="P161" s="2" t="s">
        <v>35</v>
      </c>
      <c r="Q161" s="10" t="str">
        <f>VLOOKUP(A161,Status!A:B,2,0)</f>
        <v>Completed</v>
      </c>
      <c r="R161" s="2" t="s">
        <v>36</v>
      </c>
      <c r="S161" s="2">
        <v>2</v>
      </c>
      <c r="T161" s="2" t="s">
        <v>24</v>
      </c>
      <c r="U161" s="10" t="str">
        <f t="shared" si="17"/>
        <v>Jan</v>
      </c>
      <c r="V161" s="10">
        <f t="shared" si="16"/>
        <v>2025</v>
      </c>
      <c r="W161" t="e" cm="1">
        <f t="array" ref="W161">_xlfn.IFS(U161="January",1,U161="February",2,U161="March",3,U161="April",4,U161="May",5,U161="June",6,U161="July",7,U161="August",8,U161="September",9,U161="October",10,U161="November",11,U161="December",12)</f>
        <v>#N/A</v>
      </c>
    </row>
    <row r="162" spans="1:23" ht="15.75" customHeight="1" x14ac:dyDescent="0.25">
      <c r="A162" s="2" t="s">
        <v>1095</v>
      </c>
      <c r="B162" s="3">
        <v>45686.106516203698</v>
      </c>
      <c r="C162" s="2" t="s">
        <v>875</v>
      </c>
      <c r="D162" s="2" t="s">
        <v>170</v>
      </c>
      <c r="E162" s="2" t="s">
        <v>93</v>
      </c>
      <c r="F162" s="2" t="str" cm="1">
        <f t="array" ref="F162:G162">_xlfn.TEXTSPLIT(E162," - ")</f>
        <v>Telur Ayam</v>
      </c>
      <c r="G162" s="2" t="str">
        <v>Brand B</v>
      </c>
      <c r="H162" s="5">
        <v>25000</v>
      </c>
      <c r="I162" s="2">
        <v>4</v>
      </c>
      <c r="J162" s="2">
        <v>0</v>
      </c>
      <c r="K162" s="8">
        <f t="shared" si="12"/>
        <v>100000</v>
      </c>
      <c r="L162" s="8">
        <f t="shared" si="13"/>
        <v>0</v>
      </c>
      <c r="M162" s="8">
        <f t="shared" si="14"/>
        <v>100000</v>
      </c>
      <c r="N162" s="5">
        <v>46000</v>
      </c>
      <c r="O162" s="8">
        <f t="shared" si="15"/>
        <v>146000</v>
      </c>
      <c r="P162" s="2" t="s">
        <v>63</v>
      </c>
      <c r="Q162" s="10" t="str">
        <f>VLOOKUP(A162,Status!A:B,2,0)</f>
        <v>Completed</v>
      </c>
      <c r="R162" s="2" t="s">
        <v>30</v>
      </c>
      <c r="S162" s="2">
        <v>1</v>
      </c>
      <c r="T162" s="2" t="s">
        <v>24</v>
      </c>
      <c r="U162" s="10" t="str">
        <f t="shared" si="17"/>
        <v>Jan</v>
      </c>
      <c r="V162" s="10">
        <f t="shared" si="16"/>
        <v>2025</v>
      </c>
      <c r="W162" t="e" cm="1">
        <f t="array" ref="W162">_xlfn.IFS(U162="January",1,U162="February",2,U162="March",3,U162="April",4,U162="May",5,U162="June",6,U162="July",7,U162="August",8,U162="September",9,U162="October",10,U162="November",11,U162="December",12)</f>
        <v>#N/A</v>
      </c>
    </row>
    <row r="163" spans="1:23" ht="15.75" customHeight="1" x14ac:dyDescent="0.25">
      <c r="A163" s="2" t="s">
        <v>1096</v>
      </c>
      <c r="B163" s="3">
        <v>45686.161377314813</v>
      </c>
      <c r="C163" s="2" t="s">
        <v>389</v>
      </c>
      <c r="D163" s="2" t="s">
        <v>182</v>
      </c>
      <c r="E163" s="2" t="s">
        <v>88</v>
      </c>
      <c r="F163" s="2" t="str" cm="1">
        <f t="array" ref="F163:G163">_xlfn.TEXTSPLIT(E163," - ")</f>
        <v>Beras</v>
      </c>
      <c r="G163" s="2" t="str">
        <v>Brand A</v>
      </c>
      <c r="H163" s="5">
        <v>14000</v>
      </c>
      <c r="I163" s="2">
        <v>2</v>
      </c>
      <c r="J163" s="2">
        <v>10</v>
      </c>
      <c r="K163" s="8">
        <f t="shared" si="12"/>
        <v>28000</v>
      </c>
      <c r="L163" s="8">
        <f t="shared" si="13"/>
        <v>2800</v>
      </c>
      <c r="M163" s="8">
        <f t="shared" si="14"/>
        <v>25200</v>
      </c>
      <c r="N163" s="5">
        <v>48000</v>
      </c>
      <c r="O163" s="8">
        <f t="shared" si="15"/>
        <v>73200</v>
      </c>
      <c r="P163" s="2" t="s">
        <v>35</v>
      </c>
      <c r="Q163" s="10" t="str">
        <f>VLOOKUP(A163,Status!A:B,2,0)</f>
        <v>Completed</v>
      </c>
      <c r="R163" s="2" t="s">
        <v>23</v>
      </c>
      <c r="S163" s="2">
        <v>4</v>
      </c>
      <c r="T163" s="2" t="s">
        <v>24</v>
      </c>
      <c r="U163" s="10" t="str">
        <f t="shared" si="17"/>
        <v>Jan</v>
      </c>
      <c r="V163" s="10">
        <f t="shared" si="16"/>
        <v>2025</v>
      </c>
      <c r="W163" t="e" cm="1">
        <f t="array" ref="W163">_xlfn.IFS(U163="January",1,U163="February",2,U163="March",3,U163="April",4,U163="May",5,U163="June",6,U163="July",7,U163="August",8,U163="September",9,U163="October",10,U163="November",11,U163="December",12)</f>
        <v>#N/A</v>
      </c>
    </row>
    <row r="164" spans="1:23" ht="15.75" customHeight="1" x14ac:dyDescent="0.25">
      <c r="A164" s="2" t="s">
        <v>1097</v>
      </c>
      <c r="B164" s="3">
        <v>45686.323159722233</v>
      </c>
      <c r="C164" s="2" t="s">
        <v>1098</v>
      </c>
      <c r="D164" s="2" t="s">
        <v>126</v>
      </c>
      <c r="E164" s="2" t="s">
        <v>58</v>
      </c>
      <c r="F164" s="2" t="str" cm="1">
        <f t="array" ref="F164:G164">_xlfn.TEXTSPLIT(E164," - ")</f>
        <v>Gula Pasir</v>
      </c>
      <c r="G164" s="2" t="str">
        <v>Brand A</v>
      </c>
      <c r="H164" s="5">
        <v>16000</v>
      </c>
      <c r="I164" s="2">
        <v>1</v>
      </c>
      <c r="J164" s="2">
        <v>10</v>
      </c>
      <c r="K164" s="8">
        <f t="shared" si="12"/>
        <v>16000</v>
      </c>
      <c r="L164" s="8">
        <f t="shared" si="13"/>
        <v>1600</v>
      </c>
      <c r="M164" s="8">
        <f t="shared" si="14"/>
        <v>14400</v>
      </c>
      <c r="N164" s="5">
        <v>84000</v>
      </c>
      <c r="O164" s="8">
        <f t="shared" si="15"/>
        <v>98400</v>
      </c>
      <c r="P164" s="2" t="s">
        <v>22</v>
      </c>
      <c r="Q164" s="10" t="str">
        <f>VLOOKUP(A164,Status!A:B,2,0)</f>
        <v>Completed</v>
      </c>
      <c r="R164" s="2" t="s">
        <v>82</v>
      </c>
      <c r="S164" s="2">
        <v>2</v>
      </c>
      <c r="T164" s="2" t="s">
        <v>37</v>
      </c>
      <c r="U164" s="10" t="str">
        <f t="shared" si="17"/>
        <v>Jan</v>
      </c>
      <c r="V164" s="10">
        <f t="shared" si="16"/>
        <v>2025</v>
      </c>
      <c r="W164" t="e" cm="1">
        <f t="array" ref="W164">_xlfn.IFS(U164="January",1,U164="February",2,U164="March",3,U164="April",4,U164="May",5,U164="June",6,U164="July",7,U164="August",8,U164="September",9,U164="October",10,U164="November",11,U164="December",12)</f>
        <v>#N/A</v>
      </c>
    </row>
    <row r="165" spans="1:23" ht="15.75" customHeight="1" x14ac:dyDescent="0.25">
      <c r="A165" s="2" t="s">
        <v>1099</v>
      </c>
      <c r="B165" s="3">
        <v>45686.779074074067</v>
      </c>
      <c r="C165" s="2" t="s">
        <v>340</v>
      </c>
      <c r="D165" s="2" t="s">
        <v>126</v>
      </c>
      <c r="E165" s="2" t="s">
        <v>28</v>
      </c>
      <c r="F165" s="2" t="str" cm="1">
        <f t="array" ref="F165:G165">_xlfn.TEXTSPLIT(E165," - ")</f>
        <v>Garam</v>
      </c>
      <c r="G165" s="2" t="str">
        <v>Brand B</v>
      </c>
      <c r="H165" s="5">
        <v>5000</v>
      </c>
      <c r="I165" s="2">
        <v>3</v>
      </c>
      <c r="J165" s="2">
        <v>15</v>
      </c>
      <c r="K165" s="8">
        <f t="shared" si="12"/>
        <v>15000</v>
      </c>
      <c r="L165" s="8">
        <f t="shared" si="13"/>
        <v>2250</v>
      </c>
      <c r="M165" s="8">
        <f t="shared" si="14"/>
        <v>12750</v>
      </c>
      <c r="N165" s="5">
        <v>84000</v>
      </c>
      <c r="O165" s="8">
        <f t="shared" si="15"/>
        <v>96750</v>
      </c>
      <c r="P165" s="2" t="s">
        <v>29</v>
      </c>
      <c r="Q165" s="10" t="str">
        <f>VLOOKUP(A165,Status!A:B,2,0)</f>
        <v>Completed</v>
      </c>
      <c r="R165" s="2" t="s">
        <v>36</v>
      </c>
      <c r="S165" s="2">
        <v>4</v>
      </c>
      <c r="T165" s="2" t="s">
        <v>37</v>
      </c>
      <c r="U165" s="10" t="str">
        <f t="shared" si="17"/>
        <v>Jan</v>
      </c>
      <c r="V165" s="10">
        <f t="shared" si="16"/>
        <v>2025</v>
      </c>
      <c r="W165" t="e" cm="1">
        <f t="array" ref="W165">_xlfn.IFS(U165="January",1,U165="February",2,U165="March",3,U165="April",4,U165="May",5,U165="June",6,U165="July",7,U165="August",8,U165="September",9,U165="October",10,U165="November",11,U165="December",12)</f>
        <v>#N/A</v>
      </c>
    </row>
    <row r="166" spans="1:23" ht="15.75" customHeight="1" x14ac:dyDescent="0.25">
      <c r="A166" s="2" t="s">
        <v>1100</v>
      </c>
      <c r="B166" s="3">
        <v>45687.633761574078</v>
      </c>
      <c r="C166" s="2" t="s">
        <v>598</v>
      </c>
      <c r="D166" s="2" t="s">
        <v>61</v>
      </c>
      <c r="E166" s="2" t="s">
        <v>41</v>
      </c>
      <c r="F166" s="2" t="str" cm="1">
        <f t="array" ref="F166:G166">_xlfn.TEXTSPLIT(E166," - ")</f>
        <v>Garam</v>
      </c>
      <c r="G166" s="2" t="str">
        <v>Brand A</v>
      </c>
      <c r="H166" s="5">
        <v>4000</v>
      </c>
      <c r="I166" s="2">
        <v>2</v>
      </c>
      <c r="J166" s="2">
        <v>5</v>
      </c>
      <c r="K166" s="8">
        <f t="shared" si="12"/>
        <v>8000</v>
      </c>
      <c r="L166" s="8">
        <f t="shared" si="13"/>
        <v>400</v>
      </c>
      <c r="M166" s="8">
        <f t="shared" si="14"/>
        <v>7600</v>
      </c>
      <c r="N166" s="5">
        <v>26000</v>
      </c>
      <c r="O166" s="8">
        <f t="shared" si="15"/>
        <v>33600</v>
      </c>
      <c r="P166" s="2" t="s">
        <v>29</v>
      </c>
      <c r="Q166" s="10" t="str">
        <f>VLOOKUP(A166,Status!A:B,2,0)</f>
        <v>Completed</v>
      </c>
      <c r="R166" s="2" t="s">
        <v>36</v>
      </c>
      <c r="S166" s="2">
        <v>1</v>
      </c>
      <c r="T166" s="2" t="s">
        <v>24</v>
      </c>
      <c r="U166" s="10" t="str">
        <f t="shared" si="17"/>
        <v>Jan</v>
      </c>
      <c r="V166" s="10">
        <f t="shared" si="16"/>
        <v>2025</v>
      </c>
      <c r="W166" t="e" cm="1">
        <f t="array" ref="W166">_xlfn.IFS(U166="January",1,U166="February",2,U166="March",3,U166="April",4,U166="May",5,U166="June",6,U166="July",7,U166="August",8,U166="September",9,U166="October",10,U166="November",11,U166="December",12)</f>
        <v>#N/A</v>
      </c>
    </row>
    <row r="167" spans="1:23" ht="15.75" customHeight="1" x14ac:dyDescent="0.25">
      <c r="A167" s="2" t="s">
        <v>1100</v>
      </c>
      <c r="B167" s="3">
        <v>45687.633761574078</v>
      </c>
      <c r="C167" s="2" t="s">
        <v>598</v>
      </c>
      <c r="D167" s="2" t="s">
        <v>61</v>
      </c>
      <c r="E167" s="2" t="s">
        <v>110</v>
      </c>
      <c r="F167" s="2" t="str" cm="1">
        <f t="array" ref="F167:G167">_xlfn.TEXTSPLIT(E167," - ")</f>
        <v>Garam</v>
      </c>
      <c r="G167" s="2" t="str">
        <v>Brand C</v>
      </c>
      <c r="H167" s="5">
        <v>6000</v>
      </c>
      <c r="I167" s="2">
        <v>1</v>
      </c>
      <c r="J167" s="2">
        <v>20</v>
      </c>
      <c r="K167" s="8">
        <f t="shared" si="12"/>
        <v>6000</v>
      </c>
      <c r="L167" s="8">
        <f t="shared" si="13"/>
        <v>1200</v>
      </c>
      <c r="M167" s="8">
        <f t="shared" si="14"/>
        <v>4800</v>
      </c>
      <c r="N167" s="5">
        <v>0</v>
      </c>
      <c r="O167" s="8">
        <f t="shared" si="15"/>
        <v>4800</v>
      </c>
      <c r="P167" s="2" t="s">
        <v>29</v>
      </c>
      <c r="Q167" s="10" t="str">
        <f>VLOOKUP(A167,Status!A:B,2,0)</f>
        <v>Completed</v>
      </c>
      <c r="R167" s="2" t="s">
        <v>36</v>
      </c>
      <c r="S167" s="2">
        <v>1</v>
      </c>
      <c r="T167" s="2" t="s">
        <v>24</v>
      </c>
      <c r="U167" s="10" t="str">
        <f t="shared" si="17"/>
        <v>Jan</v>
      </c>
      <c r="V167" s="10">
        <f t="shared" si="16"/>
        <v>2025</v>
      </c>
      <c r="W167" t="e" cm="1">
        <f t="array" ref="W167">_xlfn.IFS(U167="January",1,U167="February",2,U167="March",3,U167="April",4,U167="May",5,U167="June",6,U167="July",7,U167="August",8,U167="September",9,U167="October",10,U167="November",11,U167="December",12)</f>
        <v>#N/A</v>
      </c>
    </row>
    <row r="168" spans="1:23" ht="15.75" customHeight="1" x14ac:dyDescent="0.25">
      <c r="A168" s="2" t="s">
        <v>1101</v>
      </c>
      <c r="B168" s="3">
        <v>45687.905613425923</v>
      </c>
      <c r="C168" s="2" t="s">
        <v>52</v>
      </c>
      <c r="D168" s="2" t="s">
        <v>53</v>
      </c>
      <c r="E168" s="2" t="s">
        <v>50</v>
      </c>
      <c r="F168" s="2" t="str" cm="1">
        <f t="array" ref="F168:G168">_xlfn.TEXTSPLIT(E168," - ")</f>
        <v>Tepung Terigu</v>
      </c>
      <c r="G168" s="2" t="str">
        <v>Brand C</v>
      </c>
      <c r="H168" s="5">
        <v>14000</v>
      </c>
      <c r="I168" s="2">
        <v>1</v>
      </c>
      <c r="J168" s="2">
        <v>15</v>
      </c>
      <c r="K168" s="8">
        <f t="shared" si="12"/>
        <v>14000</v>
      </c>
      <c r="L168" s="8">
        <f t="shared" si="13"/>
        <v>2100</v>
      </c>
      <c r="M168" s="8">
        <f t="shared" si="14"/>
        <v>11900</v>
      </c>
      <c r="N168" s="5">
        <v>18000</v>
      </c>
      <c r="O168" s="8">
        <f t="shared" si="15"/>
        <v>29900</v>
      </c>
      <c r="P168" s="2" t="s">
        <v>29</v>
      </c>
      <c r="Q168" s="10" t="str">
        <f>VLOOKUP(A168,Status!A:B,2,0)</f>
        <v>Completed</v>
      </c>
      <c r="R168" s="2" t="s">
        <v>82</v>
      </c>
      <c r="S168" s="2">
        <v>4</v>
      </c>
      <c r="T168" s="2" t="s">
        <v>24</v>
      </c>
      <c r="U168" s="10" t="str">
        <f t="shared" si="17"/>
        <v>Jan</v>
      </c>
      <c r="V168" s="10">
        <f t="shared" si="16"/>
        <v>2025</v>
      </c>
      <c r="W168" t="e" cm="1">
        <f t="array" ref="W168">_xlfn.IFS(U168="January",1,U168="February",2,U168="March",3,U168="April",4,U168="May",5,U168="June",6,U168="July",7,U168="August",8,U168="September",9,U168="October",10,U168="November",11,U168="December",12)</f>
        <v>#N/A</v>
      </c>
    </row>
    <row r="169" spans="1:23" ht="15.75" customHeight="1" x14ac:dyDescent="0.25">
      <c r="A169" s="2" t="s">
        <v>1102</v>
      </c>
      <c r="B169" s="3">
        <v>45688.018125000002</v>
      </c>
      <c r="C169" s="2" t="s">
        <v>638</v>
      </c>
      <c r="D169" s="2" t="s">
        <v>195</v>
      </c>
      <c r="E169" s="2" t="s">
        <v>41</v>
      </c>
      <c r="F169" s="2" t="str" cm="1">
        <f t="array" ref="F169:G169">_xlfn.TEXTSPLIT(E169," - ")</f>
        <v>Garam</v>
      </c>
      <c r="G169" s="2" t="str">
        <v>Brand A</v>
      </c>
      <c r="H169" s="5">
        <v>4000</v>
      </c>
      <c r="I169" s="2">
        <v>5</v>
      </c>
      <c r="J169" s="2">
        <v>0</v>
      </c>
      <c r="K169" s="8">
        <f t="shared" si="12"/>
        <v>20000</v>
      </c>
      <c r="L169" s="8">
        <f t="shared" si="13"/>
        <v>0</v>
      </c>
      <c r="M169" s="8">
        <f t="shared" si="14"/>
        <v>20000</v>
      </c>
      <c r="N169" s="5">
        <v>87000</v>
      </c>
      <c r="O169" s="8">
        <f t="shared" si="15"/>
        <v>107000</v>
      </c>
      <c r="P169" s="2" t="s">
        <v>22</v>
      </c>
      <c r="Q169" s="10" t="str">
        <f>VLOOKUP(A169,Status!A:B,2,0)</f>
        <v>Completed</v>
      </c>
      <c r="R169" s="2" t="s">
        <v>46</v>
      </c>
      <c r="S169" s="2">
        <v>3</v>
      </c>
      <c r="T169" s="2" t="s">
        <v>37</v>
      </c>
      <c r="U169" s="10" t="str">
        <f t="shared" si="17"/>
        <v>Jan</v>
      </c>
      <c r="V169" s="10">
        <f t="shared" si="16"/>
        <v>2025</v>
      </c>
      <c r="W169" t="e" cm="1">
        <f t="array" ref="W169">_xlfn.IFS(U169="January",1,U169="February",2,U169="March",3,U169="April",4,U169="May",5,U169="June",6,U169="July",7,U169="August",8,U169="September",9,U169="October",10,U169="November",11,U169="December",12)</f>
        <v>#N/A</v>
      </c>
    </row>
    <row r="170" spans="1:23" ht="15.75" customHeight="1" x14ac:dyDescent="0.25">
      <c r="A170" s="2" t="s">
        <v>1103</v>
      </c>
      <c r="B170" s="3">
        <v>45688.090949074067</v>
      </c>
      <c r="C170" s="2" t="s">
        <v>488</v>
      </c>
      <c r="D170" s="2" t="s">
        <v>49</v>
      </c>
      <c r="E170" s="2" t="s">
        <v>123</v>
      </c>
      <c r="F170" s="2" t="str" cm="1">
        <f t="array" ref="F170:G170">_xlfn.TEXTSPLIT(E170," - ")</f>
        <v>Telur Ayam</v>
      </c>
      <c r="G170" s="2" t="str">
        <v>Brand A</v>
      </c>
      <c r="H170" s="5">
        <v>22000</v>
      </c>
      <c r="I170" s="2">
        <v>5</v>
      </c>
      <c r="J170" s="2">
        <v>10</v>
      </c>
      <c r="K170" s="8">
        <f t="shared" si="12"/>
        <v>110000</v>
      </c>
      <c r="L170" s="8">
        <f t="shared" si="13"/>
        <v>11000</v>
      </c>
      <c r="M170" s="8">
        <f t="shared" si="14"/>
        <v>99000</v>
      </c>
      <c r="N170" s="5">
        <v>43000</v>
      </c>
      <c r="O170" s="8">
        <f t="shared" si="15"/>
        <v>142000</v>
      </c>
      <c r="P170" s="2" t="s">
        <v>35</v>
      </c>
      <c r="Q170" s="10" t="str">
        <f>VLOOKUP(A170,Status!A:B,2,0)</f>
        <v>Completed</v>
      </c>
      <c r="R170" s="2" t="s">
        <v>46</v>
      </c>
      <c r="S170" s="2">
        <v>4</v>
      </c>
      <c r="T170" s="2" t="s">
        <v>24</v>
      </c>
      <c r="U170" s="10" t="str">
        <f t="shared" si="17"/>
        <v>Jan</v>
      </c>
      <c r="V170" s="10">
        <f t="shared" si="16"/>
        <v>2025</v>
      </c>
      <c r="W170" t="e" cm="1">
        <f t="array" ref="W170">_xlfn.IFS(U170="January",1,U170="February",2,U170="March",3,U170="April",4,U170="May",5,U170="June",6,U170="July",7,U170="August",8,U170="September",9,U170="October",10,U170="November",11,U170="December",12)</f>
        <v>#N/A</v>
      </c>
    </row>
    <row r="171" spans="1:23" ht="15.75" customHeight="1" x14ac:dyDescent="0.25">
      <c r="A171" s="2" t="s">
        <v>1104</v>
      </c>
      <c r="B171" s="3">
        <v>45688.387233796297</v>
      </c>
      <c r="C171" s="2" t="s">
        <v>649</v>
      </c>
      <c r="D171" s="2" t="s">
        <v>177</v>
      </c>
      <c r="E171" s="2" t="s">
        <v>75</v>
      </c>
      <c r="F171" s="2" t="str" cm="1">
        <f t="array" ref="F171:G171">_xlfn.TEXTSPLIT(E171," - ")</f>
        <v>Susu Bubuk</v>
      </c>
      <c r="G171" s="2" t="str">
        <v>Brand C</v>
      </c>
      <c r="H171" s="5">
        <v>55000</v>
      </c>
      <c r="I171" s="2">
        <v>5</v>
      </c>
      <c r="J171" s="2">
        <v>10</v>
      </c>
      <c r="K171" s="8">
        <f t="shared" si="12"/>
        <v>275000</v>
      </c>
      <c r="L171" s="8">
        <f t="shared" si="13"/>
        <v>27500</v>
      </c>
      <c r="M171" s="8">
        <f t="shared" si="14"/>
        <v>247500</v>
      </c>
      <c r="N171" s="5">
        <v>56000</v>
      </c>
      <c r="O171" s="8">
        <f t="shared" si="15"/>
        <v>303500</v>
      </c>
      <c r="P171" s="2" t="s">
        <v>29</v>
      </c>
      <c r="Q171" s="10" t="str">
        <f>VLOOKUP(A171,Status!A:B,2,0)</f>
        <v>Completed</v>
      </c>
      <c r="R171" s="2" t="s">
        <v>36</v>
      </c>
      <c r="S171" s="2">
        <v>1</v>
      </c>
      <c r="T171" s="2" t="s">
        <v>24</v>
      </c>
      <c r="U171" s="10" t="str">
        <f t="shared" si="17"/>
        <v>Jan</v>
      </c>
      <c r="V171" s="10">
        <f t="shared" si="16"/>
        <v>2025</v>
      </c>
      <c r="W171" t="e" cm="1">
        <f t="array" ref="W171">_xlfn.IFS(U171="January",1,U171="February",2,U171="March",3,U171="April",4,U171="May",5,U171="June",6,U171="July",7,U171="August",8,U171="September",9,U171="October",10,U171="November",11,U171="December",12)</f>
        <v>#N/A</v>
      </c>
    </row>
    <row r="172" spans="1:23" ht="15.75" customHeight="1" x14ac:dyDescent="0.25">
      <c r="A172" s="2" t="s">
        <v>1105</v>
      </c>
      <c r="B172" s="3">
        <v>45688.695543981477</v>
      </c>
      <c r="C172" s="2" t="s">
        <v>1106</v>
      </c>
      <c r="D172" s="2" t="s">
        <v>70</v>
      </c>
      <c r="E172" s="2" t="s">
        <v>138</v>
      </c>
      <c r="F172" s="2" t="str" cm="1">
        <f t="array" ref="F172:G172">_xlfn.TEXTSPLIT(E172," - ")</f>
        <v>Gula Pasir</v>
      </c>
      <c r="G172" s="2" t="str">
        <v>Brand B</v>
      </c>
      <c r="H172" s="5">
        <v>17000</v>
      </c>
      <c r="I172" s="2">
        <v>4</v>
      </c>
      <c r="J172" s="2">
        <v>10</v>
      </c>
      <c r="K172" s="8">
        <f t="shared" si="12"/>
        <v>68000</v>
      </c>
      <c r="L172" s="8">
        <f t="shared" si="13"/>
        <v>6800</v>
      </c>
      <c r="M172" s="8">
        <f t="shared" si="14"/>
        <v>61200</v>
      </c>
      <c r="N172" s="5">
        <v>89000</v>
      </c>
      <c r="O172" s="8">
        <f t="shared" si="15"/>
        <v>150200</v>
      </c>
      <c r="P172" s="2" t="s">
        <v>63</v>
      </c>
      <c r="Q172" s="10" t="str">
        <f>VLOOKUP(A172,Status!A:B,2,0)</f>
        <v>Cancelled</v>
      </c>
      <c r="R172" s="2" t="s">
        <v>30</v>
      </c>
      <c r="S172" s="2">
        <v>1</v>
      </c>
      <c r="T172" s="2" t="s">
        <v>24</v>
      </c>
      <c r="U172" s="10" t="str">
        <f t="shared" si="17"/>
        <v>Jan</v>
      </c>
      <c r="V172" s="10">
        <f t="shared" si="16"/>
        <v>2025</v>
      </c>
      <c r="W172" t="e" cm="1">
        <f t="array" ref="W172">_xlfn.IFS(U172="January",1,U172="February",2,U172="March",3,U172="April",4,U172="May",5,U172="June",6,U172="July",7,U172="August",8,U172="September",9,U172="October",10,U172="November",11,U172="December",12)</f>
        <v>#N/A</v>
      </c>
    </row>
    <row r="173" spans="1:23" ht="15.75" customHeight="1" x14ac:dyDescent="0.25">
      <c r="A173" s="2" t="s">
        <v>1107</v>
      </c>
      <c r="B173" s="3">
        <v>45688.908587962957</v>
      </c>
      <c r="C173" s="2" t="s">
        <v>309</v>
      </c>
      <c r="D173" s="2" t="s">
        <v>107</v>
      </c>
      <c r="E173" s="2" t="s">
        <v>71</v>
      </c>
      <c r="F173" s="2" t="str" cm="1">
        <f t="array" ref="F173:G173">_xlfn.TEXTSPLIT(E173," - ")</f>
        <v>Bawang Merah</v>
      </c>
      <c r="G173" s="2" t="str">
        <v>Brand C</v>
      </c>
      <c r="H173" s="5">
        <v>40000</v>
      </c>
      <c r="I173" s="2">
        <v>3</v>
      </c>
      <c r="J173" s="2">
        <v>5</v>
      </c>
      <c r="K173" s="8">
        <f t="shared" si="12"/>
        <v>120000</v>
      </c>
      <c r="L173" s="8">
        <f t="shared" si="13"/>
        <v>6000</v>
      </c>
      <c r="M173" s="8">
        <f t="shared" si="14"/>
        <v>114000</v>
      </c>
      <c r="N173" s="5">
        <v>97000</v>
      </c>
      <c r="O173" s="8">
        <f t="shared" si="15"/>
        <v>211000</v>
      </c>
      <c r="P173" s="2" t="s">
        <v>35</v>
      </c>
      <c r="Q173" s="10" t="str">
        <f>VLOOKUP(A173,Status!A:B,2,0)</f>
        <v>Completed</v>
      </c>
      <c r="R173" s="2" t="s">
        <v>23</v>
      </c>
      <c r="S173" s="2">
        <v>3</v>
      </c>
      <c r="T173" s="2" t="s">
        <v>37</v>
      </c>
      <c r="U173" s="10" t="str">
        <f t="shared" si="17"/>
        <v>Jan</v>
      </c>
      <c r="V173" s="10">
        <f t="shared" si="16"/>
        <v>2025</v>
      </c>
      <c r="W173" t="e" cm="1">
        <f t="array" ref="W173">_xlfn.IFS(U173="January",1,U173="February",2,U173="March",3,U173="April",4,U173="May",5,U173="June",6,U173="July",7,U173="August",8,U173="September",9,U173="October",10,U173="November",11,U173="December",12)</f>
        <v>#N/A</v>
      </c>
    </row>
    <row r="174" spans="1:23" ht="15.75" customHeight="1" x14ac:dyDescent="0.25">
      <c r="A174" s="2" t="s">
        <v>1108</v>
      </c>
      <c r="B174" s="3">
        <v>45689.01189814815</v>
      </c>
      <c r="C174" s="2" t="s">
        <v>669</v>
      </c>
      <c r="D174" s="2" t="s">
        <v>151</v>
      </c>
      <c r="E174" s="2" t="s">
        <v>110</v>
      </c>
      <c r="F174" s="2" t="str" cm="1">
        <f t="array" ref="F174:G174">_xlfn.TEXTSPLIT(E174," - ")</f>
        <v>Garam</v>
      </c>
      <c r="G174" s="2" t="str">
        <v>Brand C</v>
      </c>
      <c r="H174" s="5">
        <v>6000</v>
      </c>
      <c r="I174" s="2">
        <v>1</v>
      </c>
      <c r="J174" s="2">
        <v>20</v>
      </c>
      <c r="K174" s="8">
        <f t="shared" si="12"/>
        <v>6000</v>
      </c>
      <c r="L174" s="8">
        <f t="shared" si="13"/>
        <v>1200</v>
      </c>
      <c r="M174" s="8">
        <f t="shared" si="14"/>
        <v>4800</v>
      </c>
      <c r="N174" s="5">
        <v>55000</v>
      </c>
      <c r="O174" s="8">
        <f t="shared" si="15"/>
        <v>59800</v>
      </c>
      <c r="P174" s="2" t="s">
        <v>63</v>
      </c>
      <c r="Q174" s="10" t="str">
        <f>VLOOKUP(A174,Status!A:B,2,0)</f>
        <v>Completed</v>
      </c>
      <c r="R174" s="2" t="s">
        <v>36</v>
      </c>
      <c r="S174" s="2">
        <v>3</v>
      </c>
      <c r="T174" s="2" t="s">
        <v>24</v>
      </c>
      <c r="U174" s="10" t="str">
        <f t="shared" si="17"/>
        <v>Feb</v>
      </c>
      <c r="V174" s="10">
        <f t="shared" si="16"/>
        <v>2025</v>
      </c>
      <c r="W174" t="e" cm="1">
        <f t="array" ref="W174">_xlfn.IFS(U174="January",1,U174="February",2,U174="March",3,U174="April",4,U174="May",5,U174="June",6,U174="July",7,U174="August",8,U174="September",9,U174="October",10,U174="November",11,U174="December",12)</f>
        <v>#N/A</v>
      </c>
    </row>
    <row r="175" spans="1:23" ht="15.75" customHeight="1" x14ac:dyDescent="0.25">
      <c r="A175" s="2" t="s">
        <v>1109</v>
      </c>
      <c r="B175" s="3">
        <v>45689.021377314813</v>
      </c>
      <c r="C175" s="2" t="s">
        <v>125</v>
      </c>
      <c r="D175" s="2" t="s">
        <v>126</v>
      </c>
      <c r="E175" s="2" t="s">
        <v>85</v>
      </c>
      <c r="F175" s="2" t="str" cm="1">
        <f t="array" ref="F175:G175">_xlfn.TEXTSPLIT(E175," - ")</f>
        <v>Daging Ayam</v>
      </c>
      <c r="G175" s="2" t="str">
        <v>Brand A</v>
      </c>
      <c r="H175" s="5">
        <v>35000</v>
      </c>
      <c r="I175" s="2">
        <v>3</v>
      </c>
      <c r="J175" s="2">
        <v>0</v>
      </c>
      <c r="K175" s="8">
        <f t="shared" si="12"/>
        <v>105000</v>
      </c>
      <c r="L175" s="8">
        <f t="shared" si="13"/>
        <v>0</v>
      </c>
      <c r="M175" s="8">
        <f t="shared" si="14"/>
        <v>105000</v>
      </c>
      <c r="N175" s="5">
        <v>84000</v>
      </c>
      <c r="O175" s="8">
        <f t="shared" si="15"/>
        <v>189000</v>
      </c>
      <c r="P175" s="2" t="s">
        <v>35</v>
      </c>
      <c r="Q175" s="10" t="str">
        <f>VLOOKUP(A175,Status!A:B,2,0)</f>
        <v>Completed</v>
      </c>
      <c r="R175" s="2" t="s">
        <v>36</v>
      </c>
      <c r="S175" s="2">
        <v>2</v>
      </c>
      <c r="T175" s="2" t="s">
        <v>24</v>
      </c>
      <c r="U175" s="10" t="str">
        <f t="shared" si="17"/>
        <v>Feb</v>
      </c>
      <c r="V175" s="10">
        <f t="shared" si="16"/>
        <v>2025</v>
      </c>
      <c r="W175" t="e" cm="1">
        <f t="array" ref="W175">_xlfn.IFS(U175="January",1,U175="February",2,U175="March",3,U175="April",4,U175="May",5,U175="June",6,U175="July",7,U175="August",8,U175="September",9,U175="October",10,U175="November",11,U175="December",12)</f>
        <v>#N/A</v>
      </c>
    </row>
    <row r="176" spans="1:23" ht="15.75" customHeight="1" x14ac:dyDescent="0.25">
      <c r="A176" s="2" t="s">
        <v>1110</v>
      </c>
      <c r="B176" s="3">
        <v>45689.042731481481</v>
      </c>
      <c r="C176" s="2" t="s">
        <v>1111</v>
      </c>
      <c r="D176" s="2" t="s">
        <v>151</v>
      </c>
      <c r="E176" s="2" t="s">
        <v>138</v>
      </c>
      <c r="F176" s="2" t="str" cm="1">
        <f t="array" ref="F176:G176">_xlfn.TEXTSPLIT(E176," - ")</f>
        <v>Gula Pasir</v>
      </c>
      <c r="G176" s="2" t="str">
        <v>Brand B</v>
      </c>
      <c r="H176" s="5">
        <v>17000</v>
      </c>
      <c r="I176" s="2">
        <v>1</v>
      </c>
      <c r="J176" s="2">
        <v>5</v>
      </c>
      <c r="K176" s="8">
        <f t="shared" si="12"/>
        <v>17000</v>
      </c>
      <c r="L176" s="8">
        <f t="shared" si="13"/>
        <v>850</v>
      </c>
      <c r="M176" s="8">
        <f t="shared" si="14"/>
        <v>16150</v>
      </c>
      <c r="N176" s="5">
        <v>55000</v>
      </c>
      <c r="O176" s="8">
        <f t="shared" si="15"/>
        <v>71150</v>
      </c>
      <c r="P176" s="2" t="s">
        <v>35</v>
      </c>
      <c r="Q176" s="10" t="str">
        <f>VLOOKUP(A176,Status!A:B,2,0)</f>
        <v>Completed</v>
      </c>
      <c r="R176" s="2" t="s">
        <v>30</v>
      </c>
      <c r="S176" s="2">
        <v>2</v>
      </c>
      <c r="T176" s="2" t="s">
        <v>37</v>
      </c>
      <c r="U176" s="10" t="str">
        <f t="shared" si="17"/>
        <v>Feb</v>
      </c>
      <c r="V176" s="10">
        <f t="shared" si="16"/>
        <v>2025</v>
      </c>
      <c r="W176" t="e" cm="1">
        <f t="array" ref="W176">_xlfn.IFS(U176="January",1,U176="February",2,U176="March",3,U176="April",4,U176="May",5,U176="June",6,U176="July",7,U176="August",8,U176="September",9,U176="October",10,U176="November",11,U176="December",12)</f>
        <v>#N/A</v>
      </c>
    </row>
    <row r="177" spans="1:23" ht="15.75" customHeight="1" x14ac:dyDescent="0.25">
      <c r="A177" s="2" t="s">
        <v>1112</v>
      </c>
      <c r="B177" s="3">
        <v>45689.339363425926</v>
      </c>
      <c r="C177" s="2" t="s">
        <v>483</v>
      </c>
      <c r="D177" s="2" t="s">
        <v>170</v>
      </c>
      <c r="E177" s="2" t="s">
        <v>75</v>
      </c>
      <c r="F177" s="2" t="str" cm="1">
        <f t="array" ref="F177:G177">_xlfn.TEXTSPLIT(E177," - ")</f>
        <v>Susu Bubuk</v>
      </c>
      <c r="G177" s="2" t="str">
        <v>Brand C</v>
      </c>
      <c r="H177" s="5">
        <v>55000</v>
      </c>
      <c r="I177" s="2">
        <v>2</v>
      </c>
      <c r="J177" s="2">
        <v>20</v>
      </c>
      <c r="K177" s="8">
        <f t="shared" si="12"/>
        <v>110000</v>
      </c>
      <c r="L177" s="8">
        <f t="shared" si="13"/>
        <v>22000</v>
      </c>
      <c r="M177" s="8">
        <f t="shared" si="14"/>
        <v>88000</v>
      </c>
      <c r="N177" s="5">
        <v>46000</v>
      </c>
      <c r="O177" s="8">
        <f t="shared" si="15"/>
        <v>134000</v>
      </c>
      <c r="P177" s="2" t="s">
        <v>22</v>
      </c>
      <c r="Q177" s="10" t="str">
        <f>VLOOKUP(A177,Status!A:B,2,0)</f>
        <v>Cancelled</v>
      </c>
      <c r="R177" s="2" t="s">
        <v>30</v>
      </c>
      <c r="S177" s="2">
        <v>2</v>
      </c>
      <c r="T177" s="2" t="s">
        <v>24</v>
      </c>
      <c r="U177" s="10" t="str">
        <f t="shared" si="17"/>
        <v>Feb</v>
      </c>
      <c r="V177" s="10">
        <f t="shared" si="16"/>
        <v>2025</v>
      </c>
      <c r="W177" t="e" cm="1">
        <f t="array" ref="W177">_xlfn.IFS(U177="January",1,U177="February",2,U177="March",3,U177="April",4,U177="May",5,U177="June",6,U177="July",7,U177="August",8,U177="September",9,U177="October",10,U177="November",11,U177="December",12)</f>
        <v>#N/A</v>
      </c>
    </row>
    <row r="178" spans="1:23" ht="15.75" customHeight="1" x14ac:dyDescent="0.25">
      <c r="A178" s="2" t="s">
        <v>1113</v>
      </c>
      <c r="B178" s="3">
        <v>45689.554756944453</v>
      </c>
      <c r="C178" s="2" t="s">
        <v>741</v>
      </c>
      <c r="D178" s="2" t="s">
        <v>189</v>
      </c>
      <c r="E178" s="2" t="s">
        <v>144</v>
      </c>
      <c r="F178" s="2" t="str" cm="1">
        <f t="array" ref="F178:G178">_xlfn.TEXTSPLIT(E178," - ")</f>
        <v>Gula Pasir</v>
      </c>
      <c r="G178" s="2" t="str">
        <v>Brand C</v>
      </c>
      <c r="H178" s="5">
        <v>18000</v>
      </c>
      <c r="I178" s="2">
        <v>5</v>
      </c>
      <c r="J178" s="2">
        <v>20</v>
      </c>
      <c r="K178" s="8">
        <f t="shared" si="12"/>
        <v>90000</v>
      </c>
      <c r="L178" s="8">
        <f t="shared" si="13"/>
        <v>18000</v>
      </c>
      <c r="M178" s="8">
        <f t="shared" si="14"/>
        <v>72000</v>
      </c>
      <c r="N178" s="5">
        <v>57000</v>
      </c>
      <c r="O178" s="8">
        <f t="shared" si="15"/>
        <v>129000</v>
      </c>
      <c r="P178" s="2" t="s">
        <v>22</v>
      </c>
      <c r="Q178" s="10" t="str">
        <f>VLOOKUP(A178,Status!A:B,2,0)</f>
        <v>Completed</v>
      </c>
      <c r="R178" s="2" t="s">
        <v>30</v>
      </c>
      <c r="S178" s="2">
        <v>3</v>
      </c>
      <c r="T178" s="2" t="s">
        <v>24</v>
      </c>
      <c r="U178" s="10" t="str">
        <f t="shared" si="17"/>
        <v>Feb</v>
      </c>
      <c r="V178" s="10">
        <f t="shared" si="16"/>
        <v>2025</v>
      </c>
      <c r="W178" t="e" cm="1">
        <f t="array" ref="W178">_xlfn.IFS(U178="January",1,U178="February",2,U178="March",3,U178="April",4,U178="May",5,U178="June",6,U178="July",7,U178="August",8,U178="September",9,U178="October",10,U178="November",11,U178="December",12)</f>
        <v>#N/A</v>
      </c>
    </row>
    <row r="179" spans="1:23" ht="15.75" customHeight="1" x14ac:dyDescent="0.25">
      <c r="A179" s="2" t="s">
        <v>1114</v>
      </c>
      <c r="B179" s="3">
        <v>45689.659432870372</v>
      </c>
      <c r="C179" s="2" t="s">
        <v>461</v>
      </c>
      <c r="D179" s="2" t="s">
        <v>92</v>
      </c>
      <c r="E179" s="2" t="s">
        <v>62</v>
      </c>
      <c r="F179" s="2" t="str" cm="1">
        <f t="array" ref="F179:G179">_xlfn.TEXTSPLIT(E179," - ")</f>
        <v>Susu Bubuk</v>
      </c>
      <c r="G179" s="2" t="str">
        <v>Brand B</v>
      </c>
      <c r="H179" s="5">
        <v>50000</v>
      </c>
      <c r="I179" s="2">
        <v>1</v>
      </c>
      <c r="J179" s="2">
        <v>15</v>
      </c>
      <c r="K179" s="8">
        <f t="shared" si="12"/>
        <v>50000</v>
      </c>
      <c r="L179" s="8">
        <f t="shared" si="13"/>
        <v>7500</v>
      </c>
      <c r="M179" s="8">
        <f t="shared" si="14"/>
        <v>42500</v>
      </c>
      <c r="N179" s="5">
        <v>30000</v>
      </c>
      <c r="O179" s="8">
        <f t="shared" si="15"/>
        <v>72500</v>
      </c>
      <c r="P179" s="2" t="s">
        <v>29</v>
      </c>
      <c r="Q179" s="10" t="str">
        <f>VLOOKUP(A179,Status!A:B,2,0)</f>
        <v>Completed</v>
      </c>
      <c r="R179" s="2" t="s">
        <v>46</v>
      </c>
      <c r="S179" s="2">
        <v>3</v>
      </c>
      <c r="T179" s="2" t="s">
        <v>37</v>
      </c>
      <c r="U179" s="10" t="str">
        <f t="shared" si="17"/>
        <v>Feb</v>
      </c>
      <c r="V179" s="10">
        <f t="shared" si="16"/>
        <v>2025</v>
      </c>
      <c r="W179" t="e" cm="1">
        <f t="array" ref="W179">_xlfn.IFS(U179="January",1,U179="February",2,U179="March",3,U179="April",4,U179="May",5,U179="June",6,U179="July",7,U179="August",8,U179="September",9,U179="October",10,U179="November",11,U179="December",12)</f>
        <v>#N/A</v>
      </c>
    </row>
    <row r="180" spans="1:23" ht="15.75" customHeight="1" x14ac:dyDescent="0.25">
      <c r="A180" s="2" t="s">
        <v>1115</v>
      </c>
      <c r="B180" s="3">
        <v>45689.713287037041</v>
      </c>
      <c r="C180" s="2" t="s">
        <v>570</v>
      </c>
      <c r="D180" s="2" t="s">
        <v>80</v>
      </c>
      <c r="E180" s="2" t="s">
        <v>123</v>
      </c>
      <c r="F180" s="2" t="str" cm="1">
        <f t="array" ref="F180:G180">_xlfn.TEXTSPLIT(E180," - ")</f>
        <v>Telur Ayam</v>
      </c>
      <c r="G180" s="2" t="str">
        <v>Brand A</v>
      </c>
      <c r="H180" s="5">
        <v>22000</v>
      </c>
      <c r="I180" s="2">
        <v>4</v>
      </c>
      <c r="J180" s="2">
        <v>20</v>
      </c>
      <c r="K180" s="8">
        <f t="shared" si="12"/>
        <v>88000</v>
      </c>
      <c r="L180" s="8">
        <f t="shared" si="13"/>
        <v>17600</v>
      </c>
      <c r="M180" s="8">
        <f t="shared" si="14"/>
        <v>70400</v>
      </c>
      <c r="N180" s="5">
        <v>74000</v>
      </c>
      <c r="O180" s="8">
        <f t="shared" si="15"/>
        <v>144400</v>
      </c>
      <c r="P180" s="2" t="s">
        <v>29</v>
      </c>
      <c r="Q180" s="10" t="str">
        <f>VLOOKUP(A180,Status!A:B,2,0)</f>
        <v>Completed</v>
      </c>
      <c r="R180" s="2" t="s">
        <v>46</v>
      </c>
      <c r="S180" s="2">
        <v>2</v>
      </c>
      <c r="T180" s="2" t="s">
        <v>24</v>
      </c>
      <c r="U180" s="10" t="str">
        <f t="shared" si="17"/>
        <v>Feb</v>
      </c>
      <c r="V180" s="10">
        <f t="shared" si="16"/>
        <v>2025</v>
      </c>
      <c r="W180" t="e" cm="1">
        <f t="array" ref="W180">_xlfn.IFS(U180="January",1,U180="February",2,U180="March",3,U180="April",4,U180="May",5,U180="June",6,U180="July",7,U180="August",8,U180="September",9,U180="October",10,U180="November",11,U180="December",12)</f>
        <v>#N/A</v>
      </c>
    </row>
    <row r="181" spans="1:23" ht="15.75" customHeight="1" x14ac:dyDescent="0.25">
      <c r="A181" s="2" t="s">
        <v>1116</v>
      </c>
      <c r="B181" s="3">
        <v>45689.952928240738</v>
      </c>
      <c r="C181" s="2" t="s">
        <v>1117</v>
      </c>
      <c r="D181" s="2" t="s">
        <v>126</v>
      </c>
      <c r="E181" s="2" t="s">
        <v>250</v>
      </c>
      <c r="F181" s="2" t="str" cm="1">
        <f t="array" ref="F181:G181">_xlfn.TEXTSPLIT(E181," - ")</f>
        <v>Minyak Goreng</v>
      </c>
      <c r="G181" s="2" t="str">
        <v>Brand C</v>
      </c>
      <c r="H181" s="5">
        <v>18000</v>
      </c>
      <c r="I181" s="2">
        <v>1</v>
      </c>
      <c r="J181" s="2">
        <v>10</v>
      </c>
      <c r="K181" s="8">
        <f t="shared" si="12"/>
        <v>18000</v>
      </c>
      <c r="L181" s="8">
        <f t="shared" si="13"/>
        <v>1800</v>
      </c>
      <c r="M181" s="8">
        <f t="shared" si="14"/>
        <v>16200</v>
      </c>
      <c r="N181" s="5">
        <v>84000</v>
      </c>
      <c r="O181" s="8">
        <f t="shared" si="15"/>
        <v>100200</v>
      </c>
      <c r="P181" s="2" t="s">
        <v>63</v>
      </c>
      <c r="Q181" s="10" t="str">
        <f>VLOOKUP(A181,Status!A:B,2,0)</f>
        <v>Returned</v>
      </c>
      <c r="R181" s="2" t="s">
        <v>82</v>
      </c>
      <c r="S181" s="2">
        <v>1</v>
      </c>
      <c r="T181" s="2" t="s">
        <v>24</v>
      </c>
      <c r="U181" s="10" t="str">
        <f t="shared" si="17"/>
        <v>Feb</v>
      </c>
      <c r="V181" s="10">
        <f t="shared" si="16"/>
        <v>2025</v>
      </c>
      <c r="W181" t="e" cm="1">
        <f t="array" ref="W181">_xlfn.IFS(U181="January",1,U181="February",2,U181="March",3,U181="April",4,U181="May",5,U181="June",6,U181="July",7,U181="August",8,U181="September",9,U181="October",10,U181="November",11,U181="December",12)</f>
        <v>#N/A</v>
      </c>
    </row>
    <row r="182" spans="1:23" ht="15.75" customHeight="1" x14ac:dyDescent="0.25">
      <c r="A182" s="2" t="s">
        <v>1118</v>
      </c>
      <c r="B182" s="3">
        <v>45690.020752314813</v>
      </c>
      <c r="C182" s="2" t="s">
        <v>201</v>
      </c>
      <c r="D182" s="2" t="s">
        <v>107</v>
      </c>
      <c r="E182" s="2" t="s">
        <v>136</v>
      </c>
      <c r="F182" s="2" t="str" cm="1">
        <f t="array" ref="F182:G182">_xlfn.TEXTSPLIT(E182," - ")</f>
        <v>Tepung Terigu</v>
      </c>
      <c r="G182" s="2" t="str">
        <v>Brand B</v>
      </c>
      <c r="H182" s="5">
        <v>12000</v>
      </c>
      <c r="I182" s="2">
        <v>5</v>
      </c>
      <c r="J182" s="2">
        <v>20</v>
      </c>
      <c r="K182" s="8">
        <f t="shared" si="12"/>
        <v>60000</v>
      </c>
      <c r="L182" s="8">
        <f t="shared" si="13"/>
        <v>12000</v>
      </c>
      <c r="M182" s="8">
        <f t="shared" si="14"/>
        <v>48000</v>
      </c>
      <c r="N182" s="5">
        <v>97000</v>
      </c>
      <c r="O182" s="8">
        <f t="shared" si="15"/>
        <v>145000</v>
      </c>
      <c r="P182" s="2" t="s">
        <v>29</v>
      </c>
      <c r="Q182" s="10" t="str">
        <f>VLOOKUP(A182,Status!A:B,2,0)</f>
        <v>Completed</v>
      </c>
      <c r="R182" s="2" t="s">
        <v>36</v>
      </c>
      <c r="S182" s="2">
        <v>3</v>
      </c>
      <c r="T182" s="2" t="s">
        <v>24</v>
      </c>
      <c r="U182" s="10" t="str">
        <f t="shared" si="17"/>
        <v>Feb</v>
      </c>
      <c r="V182" s="10">
        <f t="shared" si="16"/>
        <v>2025</v>
      </c>
      <c r="W182" t="e" cm="1">
        <f t="array" ref="W182">_xlfn.IFS(U182="January",1,U182="February",2,U182="March",3,U182="April",4,U182="May",5,U182="June",6,U182="July",7,U182="August",8,U182="September",9,U182="October",10,U182="November",11,U182="December",12)</f>
        <v>#N/A</v>
      </c>
    </row>
    <row r="183" spans="1:23" ht="15.75" customHeight="1" x14ac:dyDescent="0.25">
      <c r="A183" s="2" t="s">
        <v>1119</v>
      </c>
      <c r="B183" s="3">
        <v>45690.148148148153</v>
      </c>
      <c r="C183" s="2" t="s">
        <v>1120</v>
      </c>
      <c r="D183" s="2" t="s">
        <v>173</v>
      </c>
      <c r="E183" s="2" t="s">
        <v>58</v>
      </c>
      <c r="F183" s="2" t="str" cm="1">
        <f t="array" ref="F183:G183">_xlfn.TEXTSPLIT(E183," - ")</f>
        <v>Gula Pasir</v>
      </c>
      <c r="G183" s="2" t="str">
        <v>Brand A</v>
      </c>
      <c r="H183" s="5">
        <v>16000</v>
      </c>
      <c r="I183" s="2">
        <v>4</v>
      </c>
      <c r="J183" s="2">
        <v>15</v>
      </c>
      <c r="K183" s="8">
        <f t="shared" si="12"/>
        <v>64000</v>
      </c>
      <c r="L183" s="8">
        <f t="shared" si="13"/>
        <v>9600</v>
      </c>
      <c r="M183" s="8">
        <f t="shared" si="14"/>
        <v>54400</v>
      </c>
      <c r="N183" s="5">
        <v>49000</v>
      </c>
      <c r="O183" s="8">
        <f t="shared" si="15"/>
        <v>103400</v>
      </c>
      <c r="P183" s="2" t="s">
        <v>63</v>
      </c>
      <c r="Q183" s="10" t="str">
        <f>VLOOKUP(A183,Status!A:B,2,0)</f>
        <v>Completed</v>
      </c>
      <c r="R183" s="2" t="s">
        <v>23</v>
      </c>
      <c r="S183" s="2">
        <v>4</v>
      </c>
      <c r="T183" s="2" t="s">
        <v>24</v>
      </c>
      <c r="U183" s="10" t="str">
        <f t="shared" si="17"/>
        <v>Feb</v>
      </c>
      <c r="V183" s="10">
        <f t="shared" si="16"/>
        <v>2025</v>
      </c>
      <c r="W183" t="e" cm="1">
        <f t="array" ref="W183">_xlfn.IFS(U183="January",1,U183="February",2,U183="March",3,U183="April",4,U183="May",5,U183="June",6,U183="July",7,U183="August",8,U183="September",9,U183="October",10,U183="November",11,U183="December",12)</f>
        <v>#N/A</v>
      </c>
    </row>
    <row r="184" spans="1:23" ht="15.75" customHeight="1" x14ac:dyDescent="0.25">
      <c r="A184" s="2" t="s">
        <v>1121</v>
      </c>
      <c r="B184" s="3">
        <v>45690.70416666667</v>
      </c>
      <c r="C184" s="2" t="s">
        <v>1122</v>
      </c>
      <c r="D184" s="2" t="s">
        <v>33</v>
      </c>
      <c r="E184" s="2" t="s">
        <v>21</v>
      </c>
      <c r="F184" s="2" t="str" cm="1">
        <f t="array" ref="F184:G184">_xlfn.TEXTSPLIT(E184," - ")</f>
        <v>Daging Ayam</v>
      </c>
      <c r="G184" s="2" t="str">
        <v>Brand C</v>
      </c>
      <c r="H184" s="5">
        <v>45000</v>
      </c>
      <c r="I184" s="2">
        <v>4</v>
      </c>
      <c r="J184" s="2">
        <v>15</v>
      </c>
      <c r="K184" s="8">
        <f t="shared" si="12"/>
        <v>180000</v>
      </c>
      <c r="L184" s="8">
        <f t="shared" si="13"/>
        <v>27000</v>
      </c>
      <c r="M184" s="8">
        <f t="shared" si="14"/>
        <v>153000</v>
      </c>
      <c r="N184" s="5">
        <v>76000</v>
      </c>
      <c r="O184" s="8">
        <f t="shared" si="15"/>
        <v>229000</v>
      </c>
      <c r="P184" s="2" t="s">
        <v>35</v>
      </c>
      <c r="Q184" s="10" t="str">
        <f>VLOOKUP(A184,Status!A:B,2,0)</f>
        <v>Returned</v>
      </c>
      <c r="R184" s="2" t="s">
        <v>46</v>
      </c>
      <c r="S184" s="2">
        <v>4</v>
      </c>
      <c r="T184" s="2" t="s">
        <v>24</v>
      </c>
      <c r="U184" s="10" t="str">
        <f t="shared" si="17"/>
        <v>Feb</v>
      </c>
      <c r="V184" s="10">
        <f t="shared" si="16"/>
        <v>2025</v>
      </c>
      <c r="W184" t="e" cm="1">
        <f t="array" ref="W184">_xlfn.IFS(U184="January",1,U184="February",2,U184="March",3,U184="April",4,U184="May",5,U184="June",6,U184="July",7,U184="August",8,U184="September",9,U184="October",10,U184="November",11,U184="December",12)</f>
        <v>#N/A</v>
      </c>
    </row>
    <row r="185" spans="1:23" ht="15.75" customHeight="1" x14ac:dyDescent="0.25">
      <c r="A185" s="2" t="s">
        <v>1121</v>
      </c>
      <c r="B185" s="3">
        <v>45690.70416666667</v>
      </c>
      <c r="C185" s="2" t="s">
        <v>1122</v>
      </c>
      <c r="D185" s="2" t="s">
        <v>33</v>
      </c>
      <c r="E185" s="2" t="s">
        <v>250</v>
      </c>
      <c r="F185" s="2" t="str" cm="1">
        <f t="array" ref="F185:G185">_xlfn.TEXTSPLIT(E185," - ")</f>
        <v>Minyak Goreng</v>
      </c>
      <c r="G185" s="2" t="str">
        <v>Brand C</v>
      </c>
      <c r="H185" s="5">
        <v>18000</v>
      </c>
      <c r="I185" s="2">
        <v>5</v>
      </c>
      <c r="J185" s="2">
        <v>10</v>
      </c>
      <c r="K185" s="8">
        <f t="shared" si="12"/>
        <v>90000</v>
      </c>
      <c r="L185" s="8">
        <f t="shared" si="13"/>
        <v>9000</v>
      </c>
      <c r="M185" s="8">
        <f t="shared" si="14"/>
        <v>81000</v>
      </c>
      <c r="N185" s="5">
        <v>0</v>
      </c>
      <c r="O185" s="8">
        <f t="shared" si="15"/>
        <v>81000</v>
      </c>
      <c r="P185" s="2" t="s">
        <v>35</v>
      </c>
      <c r="Q185" s="10" t="str">
        <f>VLOOKUP(A185,Status!A:B,2,0)</f>
        <v>Returned</v>
      </c>
      <c r="R185" s="2" t="s">
        <v>46</v>
      </c>
      <c r="S185" s="2">
        <v>4</v>
      </c>
      <c r="T185" s="2" t="s">
        <v>24</v>
      </c>
      <c r="U185" s="10" t="str">
        <f t="shared" si="17"/>
        <v>Feb</v>
      </c>
      <c r="V185" s="10">
        <f t="shared" si="16"/>
        <v>2025</v>
      </c>
      <c r="W185" t="e" cm="1">
        <f t="array" ref="W185">_xlfn.IFS(U185="January",1,U185="February",2,U185="March",3,U185="April",4,U185="May",5,U185="June",6,U185="July",7,U185="August",8,U185="September",9,U185="October",10,U185="November",11,U185="December",12)</f>
        <v>#N/A</v>
      </c>
    </row>
    <row r="186" spans="1:23" ht="15.75" customHeight="1" x14ac:dyDescent="0.25">
      <c r="A186" s="2" t="s">
        <v>1123</v>
      </c>
      <c r="B186" s="3">
        <v>45691.065671296303</v>
      </c>
      <c r="C186" s="2" t="s">
        <v>377</v>
      </c>
      <c r="D186" s="2" t="s">
        <v>182</v>
      </c>
      <c r="E186" s="2" t="s">
        <v>50</v>
      </c>
      <c r="F186" s="2" t="str" cm="1">
        <f t="array" ref="F186:G186">_xlfn.TEXTSPLIT(E186," - ")</f>
        <v>Tepung Terigu</v>
      </c>
      <c r="G186" s="2" t="str">
        <v>Brand C</v>
      </c>
      <c r="H186" s="5">
        <v>14000</v>
      </c>
      <c r="I186" s="2">
        <v>2</v>
      </c>
      <c r="J186" s="2">
        <v>0</v>
      </c>
      <c r="K186" s="8">
        <f t="shared" si="12"/>
        <v>28000</v>
      </c>
      <c r="L186" s="8">
        <f t="shared" si="13"/>
        <v>0</v>
      </c>
      <c r="M186" s="8">
        <f t="shared" si="14"/>
        <v>28000</v>
      </c>
      <c r="N186" s="5">
        <v>48000</v>
      </c>
      <c r="O186" s="8">
        <f t="shared" si="15"/>
        <v>76000</v>
      </c>
      <c r="P186" s="2" t="s">
        <v>63</v>
      </c>
      <c r="Q186" s="10" t="str">
        <f>VLOOKUP(A186,Status!A:B,2,0)</f>
        <v>Completed</v>
      </c>
      <c r="R186" s="2" t="s">
        <v>23</v>
      </c>
      <c r="S186" s="2">
        <v>4</v>
      </c>
      <c r="T186" s="2" t="s">
        <v>24</v>
      </c>
      <c r="U186" s="10" t="str">
        <f t="shared" si="17"/>
        <v>Feb</v>
      </c>
      <c r="V186" s="10">
        <f t="shared" si="16"/>
        <v>2025</v>
      </c>
      <c r="W186" t="e" cm="1">
        <f t="array" ref="W186">_xlfn.IFS(U186="January",1,U186="February",2,U186="March",3,U186="April",4,U186="May",5,U186="June",6,U186="July",7,U186="August",8,U186="September",9,U186="October",10,U186="November",11,U186="December",12)</f>
        <v>#N/A</v>
      </c>
    </row>
    <row r="187" spans="1:23" ht="15.75" customHeight="1" x14ac:dyDescent="0.25">
      <c r="A187" s="2" t="s">
        <v>1124</v>
      </c>
      <c r="B187" s="3">
        <v>45691.805914351848</v>
      </c>
      <c r="C187" s="2" t="s">
        <v>1125</v>
      </c>
      <c r="D187" s="2" t="s">
        <v>170</v>
      </c>
      <c r="E187" s="2" t="s">
        <v>45</v>
      </c>
      <c r="F187" s="2" t="str" cm="1">
        <f t="array" ref="F187:G187">_xlfn.TEXTSPLIT(E187," - ")</f>
        <v>Daging Ayam</v>
      </c>
      <c r="G187" s="2" t="str">
        <v>Brand B</v>
      </c>
      <c r="H187" s="5">
        <v>40000</v>
      </c>
      <c r="I187" s="2">
        <v>1</v>
      </c>
      <c r="J187" s="2">
        <v>15</v>
      </c>
      <c r="K187" s="8">
        <f t="shared" si="12"/>
        <v>40000</v>
      </c>
      <c r="L187" s="8">
        <f t="shared" si="13"/>
        <v>6000</v>
      </c>
      <c r="M187" s="8">
        <f t="shared" si="14"/>
        <v>34000</v>
      </c>
      <c r="N187" s="5">
        <v>46000</v>
      </c>
      <c r="O187" s="8">
        <f t="shared" si="15"/>
        <v>80000</v>
      </c>
      <c r="P187" s="2" t="s">
        <v>22</v>
      </c>
      <c r="Q187" s="10" t="str">
        <f>VLOOKUP(A187,Status!A:B,2,0)</f>
        <v>Completed</v>
      </c>
      <c r="R187" s="2" t="s">
        <v>46</v>
      </c>
      <c r="S187" s="2">
        <v>1</v>
      </c>
      <c r="T187" s="2" t="s">
        <v>24</v>
      </c>
      <c r="U187" s="10" t="str">
        <f t="shared" si="17"/>
        <v>Feb</v>
      </c>
      <c r="V187" s="10">
        <f t="shared" si="16"/>
        <v>2025</v>
      </c>
      <c r="W187" t="e" cm="1">
        <f t="array" ref="W187">_xlfn.IFS(U187="January",1,U187="February",2,U187="March",3,U187="April",4,U187="May",5,U187="June",6,U187="July",7,U187="August",8,U187="September",9,U187="October",10,U187="November",11,U187="December",12)</f>
        <v>#N/A</v>
      </c>
    </row>
    <row r="188" spans="1:23" ht="15.75" customHeight="1" x14ac:dyDescent="0.25">
      <c r="A188" s="2" t="s">
        <v>1126</v>
      </c>
      <c r="B188" s="3">
        <v>45692.066134259258</v>
      </c>
      <c r="C188" s="2" t="s">
        <v>285</v>
      </c>
      <c r="D188" s="2" t="s">
        <v>20</v>
      </c>
      <c r="E188" s="2" t="s">
        <v>85</v>
      </c>
      <c r="F188" s="2" t="str" cm="1">
        <f t="array" ref="F188:G188">_xlfn.TEXTSPLIT(E188," - ")</f>
        <v>Daging Ayam</v>
      </c>
      <c r="G188" s="2" t="str">
        <v>Brand A</v>
      </c>
      <c r="H188" s="5">
        <v>35000</v>
      </c>
      <c r="I188" s="2">
        <v>3</v>
      </c>
      <c r="J188" s="2">
        <v>5</v>
      </c>
      <c r="K188" s="8">
        <f t="shared" si="12"/>
        <v>105000</v>
      </c>
      <c r="L188" s="8">
        <f t="shared" si="13"/>
        <v>5250</v>
      </c>
      <c r="M188" s="8">
        <f t="shared" si="14"/>
        <v>99750</v>
      </c>
      <c r="N188" s="5">
        <v>15000</v>
      </c>
      <c r="O188" s="8">
        <f t="shared" si="15"/>
        <v>114750</v>
      </c>
      <c r="P188" s="2" t="s">
        <v>29</v>
      </c>
      <c r="Q188" s="10" t="str">
        <f>VLOOKUP(A188,Status!A:B,2,0)</f>
        <v>Completed</v>
      </c>
      <c r="R188" s="2" t="s">
        <v>30</v>
      </c>
      <c r="S188" s="2">
        <v>3</v>
      </c>
      <c r="T188" s="2" t="s">
        <v>37</v>
      </c>
      <c r="U188" s="10" t="str">
        <f t="shared" si="17"/>
        <v>Feb</v>
      </c>
      <c r="V188" s="10">
        <f t="shared" si="16"/>
        <v>2025</v>
      </c>
      <c r="W188" t="e" cm="1">
        <f t="array" ref="W188">_xlfn.IFS(U188="January",1,U188="February",2,U188="March",3,U188="April",4,U188="May",5,U188="June",6,U188="July",7,U188="August",8,U188="September",9,U188="October",10,U188="November",11,U188="December",12)</f>
        <v>#N/A</v>
      </c>
    </row>
    <row r="189" spans="1:23" ht="15.75" customHeight="1" x14ac:dyDescent="0.25">
      <c r="A189" s="2" t="s">
        <v>1127</v>
      </c>
      <c r="B189" s="3">
        <v>45692.273553240739</v>
      </c>
      <c r="C189" s="2" t="s">
        <v>1128</v>
      </c>
      <c r="D189" s="2" t="s">
        <v>113</v>
      </c>
      <c r="E189" s="2" t="s">
        <v>174</v>
      </c>
      <c r="F189" s="2" t="str" cm="1">
        <f t="array" ref="F189:G189">_xlfn.TEXTSPLIT(E189," - ")</f>
        <v>Tepung Terigu</v>
      </c>
      <c r="G189" s="2" t="str">
        <v>Brand A</v>
      </c>
      <c r="H189" s="5">
        <v>10000</v>
      </c>
      <c r="I189" s="2">
        <v>5</v>
      </c>
      <c r="J189" s="2">
        <v>20</v>
      </c>
      <c r="K189" s="8">
        <f t="shared" si="12"/>
        <v>50000</v>
      </c>
      <c r="L189" s="8">
        <f t="shared" si="13"/>
        <v>10000</v>
      </c>
      <c r="M189" s="8">
        <f t="shared" si="14"/>
        <v>40000</v>
      </c>
      <c r="N189" s="5">
        <v>18000</v>
      </c>
      <c r="O189" s="8">
        <f t="shared" si="15"/>
        <v>58000</v>
      </c>
      <c r="P189" s="2" t="s">
        <v>22</v>
      </c>
      <c r="Q189" s="10" t="str">
        <f>VLOOKUP(A189,Status!A:B,2,0)</f>
        <v>Completed</v>
      </c>
      <c r="R189" s="2" t="s">
        <v>46</v>
      </c>
      <c r="S189" s="2">
        <v>4</v>
      </c>
      <c r="T189" s="2" t="s">
        <v>24</v>
      </c>
      <c r="U189" s="10" t="str">
        <f t="shared" si="17"/>
        <v>Feb</v>
      </c>
      <c r="V189" s="10">
        <f t="shared" si="16"/>
        <v>2025</v>
      </c>
      <c r="W189" t="e" cm="1">
        <f t="array" ref="W189">_xlfn.IFS(U189="January",1,U189="February",2,U189="March",3,U189="April",4,U189="May",5,U189="June",6,U189="July",7,U189="August",8,U189="September",9,U189="October",10,U189="November",11,U189="December",12)</f>
        <v>#N/A</v>
      </c>
    </row>
    <row r="190" spans="1:23" ht="15.75" customHeight="1" x14ac:dyDescent="0.25">
      <c r="A190" s="2" t="s">
        <v>1129</v>
      </c>
      <c r="B190" s="3">
        <v>45692.610300925917</v>
      </c>
      <c r="C190" s="2" t="s">
        <v>1130</v>
      </c>
      <c r="D190" s="2" t="s">
        <v>122</v>
      </c>
      <c r="E190" s="2" t="s">
        <v>75</v>
      </c>
      <c r="F190" s="2" t="str" cm="1">
        <f t="array" ref="F190:G190">_xlfn.TEXTSPLIT(E190," - ")</f>
        <v>Susu Bubuk</v>
      </c>
      <c r="G190" s="2" t="str">
        <v>Brand C</v>
      </c>
      <c r="H190" s="5">
        <v>55000</v>
      </c>
      <c r="I190" s="2">
        <v>5</v>
      </c>
      <c r="J190" s="2">
        <v>20</v>
      </c>
      <c r="K190" s="8">
        <f t="shared" si="12"/>
        <v>275000</v>
      </c>
      <c r="L190" s="8">
        <f t="shared" si="13"/>
        <v>55000</v>
      </c>
      <c r="M190" s="8">
        <f t="shared" si="14"/>
        <v>220000</v>
      </c>
      <c r="N190" s="5">
        <v>78000</v>
      </c>
      <c r="O190" s="8">
        <f t="shared" si="15"/>
        <v>298000</v>
      </c>
      <c r="P190" s="2" t="s">
        <v>35</v>
      </c>
      <c r="Q190" s="10" t="str">
        <f>VLOOKUP(A190,Status!A:B,2,0)</f>
        <v>Completed</v>
      </c>
      <c r="R190" s="2" t="s">
        <v>82</v>
      </c>
      <c r="S190" s="2">
        <v>2</v>
      </c>
      <c r="T190" s="2" t="s">
        <v>24</v>
      </c>
      <c r="U190" s="10" t="str">
        <f t="shared" si="17"/>
        <v>Feb</v>
      </c>
      <c r="V190" s="10">
        <f t="shared" si="16"/>
        <v>2025</v>
      </c>
      <c r="W190" t="e" cm="1">
        <f t="array" ref="W190">_xlfn.IFS(U190="January",1,U190="February",2,U190="March",3,U190="April",4,U190="May",5,U190="June",6,U190="July",7,U190="August",8,U190="September",9,U190="October",10,U190="November",11,U190="December",12)</f>
        <v>#N/A</v>
      </c>
    </row>
    <row r="191" spans="1:23" ht="15.75" customHeight="1" x14ac:dyDescent="0.25">
      <c r="A191" s="2" t="s">
        <v>1131</v>
      </c>
      <c r="B191" s="3">
        <v>45692.876574074071</v>
      </c>
      <c r="C191" s="2" t="s">
        <v>457</v>
      </c>
      <c r="D191" s="2" t="s">
        <v>80</v>
      </c>
      <c r="E191" s="2" t="s">
        <v>138</v>
      </c>
      <c r="F191" s="2" t="str" cm="1">
        <f t="array" ref="F191:G191">_xlfn.TEXTSPLIT(E191," - ")</f>
        <v>Gula Pasir</v>
      </c>
      <c r="G191" s="2" t="str">
        <v>Brand B</v>
      </c>
      <c r="H191" s="5">
        <v>17000</v>
      </c>
      <c r="I191" s="2">
        <v>5</v>
      </c>
      <c r="J191" s="2">
        <v>15</v>
      </c>
      <c r="K191" s="8">
        <f t="shared" si="12"/>
        <v>85000</v>
      </c>
      <c r="L191" s="8">
        <f t="shared" si="13"/>
        <v>12750</v>
      </c>
      <c r="M191" s="8">
        <f t="shared" si="14"/>
        <v>72250</v>
      </c>
      <c r="N191" s="5">
        <v>74000</v>
      </c>
      <c r="O191" s="8">
        <f t="shared" si="15"/>
        <v>146250</v>
      </c>
      <c r="P191" s="2" t="s">
        <v>63</v>
      </c>
      <c r="Q191" s="10" t="str">
        <f>VLOOKUP(A191,Status!A:B,2,0)</f>
        <v>Completed</v>
      </c>
      <c r="R191" s="2" t="s">
        <v>23</v>
      </c>
      <c r="S191" s="2">
        <v>1</v>
      </c>
      <c r="T191" s="2" t="s">
        <v>24</v>
      </c>
      <c r="U191" s="10" t="str">
        <f t="shared" si="17"/>
        <v>Feb</v>
      </c>
      <c r="V191" s="10">
        <f t="shared" si="16"/>
        <v>2025</v>
      </c>
      <c r="W191" t="e" cm="1">
        <f t="array" ref="W191">_xlfn.IFS(U191="January",1,U191="February",2,U191="March",3,U191="April",4,U191="May",5,U191="June",6,U191="July",7,U191="August",8,U191="September",9,U191="October",10,U191="November",11,U191="December",12)</f>
        <v>#N/A</v>
      </c>
    </row>
    <row r="192" spans="1:23" ht="15.75" customHeight="1" x14ac:dyDescent="0.25">
      <c r="A192" s="2" t="s">
        <v>1132</v>
      </c>
      <c r="B192" s="3">
        <v>45692.893854166658</v>
      </c>
      <c r="C192" s="2" t="s">
        <v>1133</v>
      </c>
      <c r="D192" s="2" t="s">
        <v>80</v>
      </c>
      <c r="E192" s="2" t="s">
        <v>88</v>
      </c>
      <c r="F192" s="2" t="str" cm="1">
        <f t="array" ref="F192:G192">_xlfn.TEXTSPLIT(E192," - ")</f>
        <v>Beras</v>
      </c>
      <c r="G192" s="2" t="str">
        <v>Brand A</v>
      </c>
      <c r="H192" s="5">
        <v>14000</v>
      </c>
      <c r="I192" s="2">
        <v>5</v>
      </c>
      <c r="J192" s="2">
        <v>15</v>
      </c>
      <c r="K192" s="8">
        <f t="shared" si="12"/>
        <v>70000</v>
      </c>
      <c r="L192" s="8">
        <f t="shared" si="13"/>
        <v>10500</v>
      </c>
      <c r="M192" s="8">
        <f t="shared" si="14"/>
        <v>59500</v>
      </c>
      <c r="N192" s="5">
        <v>74000</v>
      </c>
      <c r="O192" s="8">
        <f t="shared" si="15"/>
        <v>133500</v>
      </c>
      <c r="P192" s="2" t="s">
        <v>35</v>
      </c>
      <c r="Q192" s="10" t="str">
        <f>VLOOKUP(A192,Status!A:B,2,0)</f>
        <v>Completed</v>
      </c>
      <c r="R192" s="2" t="s">
        <v>46</v>
      </c>
      <c r="S192" s="2">
        <v>5</v>
      </c>
      <c r="T192" s="2" t="s">
        <v>24</v>
      </c>
      <c r="U192" s="10" t="str">
        <f t="shared" si="17"/>
        <v>Feb</v>
      </c>
      <c r="V192" s="10">
        <f t="shared" si="16"/>
        <v>2025</v>
      </c>
      <c r="W192" t="e" cm="1">
        <f t="array" ref="W192">_xlfn.IFS(U192="January",1,U192="February",2,U192="March",3,U192="April",4,U192="May",5,U192="June",6,U192="July",7,U192="August",8,U192="September",9,U192="October",10,U192="November",11,U192="December",12)</f>
        <v>#N/A</v>
      </c>
    </row>
    <row r="193" spans="1:23" ht="15.75" customHeight="1" x14ac:dyDescent="0.25">
      <c r="A193" s="2" t="s">
        <v>1134</v>
      </c>
      <c r="B193" s="3">
        <v>45692.917812500003</v>
      </c>
      <c r="C193" s="2" t="s">
        <v>441</v>
      </c>
      <c r="D193" s="2" t="s">
        <v>116</v>
      </c>
      <c r="E193" s="2" t="s">
        <v>62</v>
      </c>
      <c r="F193" s="2" t="str" cm="1">
        <f t="array" ref="F193:G193">_xlfn.TEXTSPLIT(E193," - ")</f>
        <v>Susu Bubuk</v>
      </c>
      <c r="G193" s="2" t="str">
        <v>Brand B</v>
      </c>
      <c r="H193" s="5">
        <v>50000</v>
      </c>
      <c r="I193" s="2">
        <v>4</v>
      </c>
      <c r="J193" s="2">
        <v>5</v>
      </c>
      <c r="K193" s="8">
        <f t="shared" si="12"/>
        <v>200000</v>
      </c>
      <c r="L193" s="8">
        <f t="shared" si="13"/>
        <v>10000</v>
      </c>
      <c r="M193" s="8">
        <f t="shared" si="14"/>
        <v>190000</v>
      </c>
      <c r="N193" s="5">
        <v>72000</v>
      </c>
      <c r="O193" s="8">
        <f t="shared" si="15"/>
        <v>262000</v>
      </c>
      <c r="P193" s="2" t="s">
        <v>29</v>
      </c>
      <c r="Q193" s="10" t="str">
        <f>VLOOKUP(A193,Status!A:B,2,0)</f>
        <v>Completed</v>
      </c>
      <c r="R193" s="2" t="s">
        <v>36</v>
      </c>
      <c r="S193" s="2">
        <v>3</v>
      </c>
      <c r="T193" s="2" t="s">
        <v>37</v>
      </c>
      <c r="U193" s="10" t="str">
        <f t="shared" si="17"/>
        <v>Feb</v>
      </c>
      <c r="V193" s="10">
        <f t="shared" si="16"/>
        <v>2025</v>
      </c>
      <c r="W193" t="e" cm="1">
        <f t="array" ref="W193">_xlfn.IFS(U193="January",1,U193="February",2,U193="March",3,U193="April",4,U193="May",5,U193="June",6,U193="July",7,U193="August",8,U193="September",9,U193="October",10,U193="November",11,U193="December",12)</f>
        <v>#N/A</v>
      </c>
    </row>
    <row r="194" spans="1:23" ht="15.75" customHeight="1" x14ac:dyDescent="0.25">
      <c r="A194" s="2" t="s">
        <v>1135</v>
      </c>
      <c r="B194" s="3">
        <v>45692.964780092603</v>
      </c>
      <c r="C194" s="2" t="s">
        <v>1136</v>
      </c>
      <c r="D194" s="2" t="s">
        <v>195</v>
      </c>
      <c r="E194" s="2" t="s">
        <v>144</v>
      </c>
      <c r="F194" s="2" t="str" cm="1">
        <f t="array" ref="F194:G194">_xlfn.TEXTSPLIT(E194," - ")</f>
        <v>Gula Pasir</v>
      </c>
      <c r="G194" s="2" t="str">
        <v>Brand C</v>
      </c>
      <c r="H194" s="5">
        <v>18000</v>
      </c>
      <c r="I194" s="2">
        <v>5</v>
      </c>
      <c r="J194" s="2">
        <v>15</v>
      </c>
      <c r="K194" s="8">
        <f t="shared" ref="K194:K257" si="18">H194*I194</f>
        <v>90000</v>
      </c>
      <c r="L194" s="8">
        <f t="shared" ref="L194:L257" si="19">K194*J194%</f>
        <v>13500</v>
      </c>
      <c r="M194" s="8">
        <f t="shared" ref="M194:M257" si="20">K194-L194</f>
        <v>76500</v>
      </c>
      <c r="N194" s="5">
        <v>87000</v>
      </c>
      <c r="O194" s="8">
        <f t="shared" ref="O194:O257" si="21">M194+N194</f>
        <v>163500</v>
      </c>
      <c r="P194" s="2" t="s">
        <v>63</v>
      </c>
      <c r="Q194" s="10" t="str">
        <f>VLOOKUP(A194,Status!A:B,2,0)</f>
        <v>Completed</v>
      </c>
      <c r="R194" s="2" t="s">
        <v>46</v>
      </c>
      <c r="S194" s="2">
        <v>1</v>
      </c>
      <c r="T194" s="2" t="s">
        <v>24</v>
      </c>
      <c r="U194" s="10" t="str">
        <f t="shared" si="17"/>
        <v>Feb</v>
      </c>
      <c r="V194" s="10">
        <f t="shared" ref="V194:V257" si="22">YEAR(B194)</f>
        <v>2025</v>
      </c>
      <c r="W194" t="e" cm="1">
        <f t="array" ref="W194">_xlfn.IFS(U194="January",1,U194="February",2,U194="March",3,U194="April",4,U194="May",5,U194="June",6,U194="July",7,U194="August",8,U194="September",9,U194="October",10,U194="November",11,U194="December",12)</f>
        <v>#N/A</v>
      </c>
    </row>
    <row r="195" spans="1:23" ht="15.75" customHeight="1" x14ac:dyDescent="0.25">
      <c r="A195" s="2" t="s">
        <v>1137</v>
      </c>
      <c r="B195" s="3">
        <v>45693.053726851853</v>
      </c>
      <c r="C195" s="2" t="s">
        <v>598</v>
      </c>
      <c r="D195" s="2" t="s">
        <v>61</v>
      </c>
      <c r="E195" s="2" t="s">
        <v>67</v>
      </c>
      <c r="F195" s="2" t="str" cm="1">
        <f t="array" ref="F195:G195">_xlfn.TEXTSPLIT(E195," - ")</f>
        <v>Beras</v>
      </c>
      <c r="G195" s="2" t="str">
        <v>Brand B</v>
      </c>
      <c r="H195" s="5">
        <v>15000</v>
      </c>
      <c r="I195" s="2">
        <v>1</v>
      </c>
      <c r="J195" s="2">
        <v>15</v>
      </c>
      <c r="K195" s="8">
        <f t="shared" si="18"/>
        <v>15000</v>
      </c>
      <c r="L195" s="8">
        <f t="shared" si="19"/>
        <v>2250</v>
      </c>
      <c r="M195" s="8">
        <f t="shared" si="20"/>
        <v>12750</v>
      </c>
      <c r="N195" s="5">
        <v>26000</v>
      </c>
      <c r="O195" s="8">
        <f t="shared" si="21"/>
        <v>38750</v>
      </c>
      <c r="P195" s="2" t="s">
        <v>29</v>
      </c>
      <c r="Q195" s="10" t="str">
        <f>VLOOKUP(A195,Status!A:B,2,0)</f>
        <v>Cancelled</v>
      </c>
      <c r="R195" s="2" t="s">
        <v>30</v>
      </c>
      <c r="S195" s="2">
        <v>1</v>
      </c>
      <c r="T195" s="2" t="s">
        <v>24</v>
      </c>
      <c r="U195" s="10" t="str">
        <f t="shared" ref="U195:U258" si="23">TEXT(B195,"MMM")</f>
        <v>Feb</v>
      </c>
      <c r="V195" s="10">
        <f t="shared" si="22"/>
        <v>2025</v>
      </c>
      <c r="W195" t="e" cm="1">
        <f t="array" ref="W195">_xlfn.IFS(U195="January",1,U195="February",2,U195="March",3,U195="April",4,U195="May",5,U195="June",6,U195="July",7,U195="August",8,U195="September",9,U195="October",10,U195="November",11,U195="December",12)</f>
        <v>#N/A</v>
      </c>
    </row>
    <row r="196" spans="1:23" ht="15.75" customHeight="1" x14ac:dyDescent="0.25">
      <c r="A196" s="2" t="s">
        <v>1137</v>
      </c>
      <c r="B196" s="3">
        <v>45693.053726851853</v>
      </c>
      <c r="C196" s="2" t="s">
        <v>598</v>
      </c>
      <c r="D196" s="2" t="s">
        <v>61</v>
      </c>
      <c r="E196" s="2" t="s">
        <v>250</v>
      </c>
      <c r="F196" s="2" t="str" cm="1">
        <f t="array" ref="F196:G196">_xlfn.TEXTSPLIT(E196," - ")</f>
        <v>Minyak Goreng</v>
      </c>
      <c r="G196" s="2" t="str">
        <v>Brand C</v>
      </c>
      <c r="H196" s="5">
        <v>18000</v>
      </c>
      <c r="I196" s="2">
        <v>1</v>
      </c>
      <c r="J196" s="2">
        <v>0</v>
      </c>
      <c r="K196" s="8">
        <f t="shared" si="18"/>
        <v>18000</v>
      </c>
      <c r="L196" s="8">
        <f t="shared" si="19"/>
        <v>0</v>
      </c>
      <c r="M196" s="8">
        <f t="shared" si="20"/>
        <v>18000</v>
      </c>
      <c r="N196" s="5">
        <v>0</v>
      </c>
      <c r="O196" s="8">
        <f t="shared" si="21"/>
        <v>18000</v>
      </c>
      <c r="P196" s="2" t="s">
        <v>29</v>
      </c>
      <c r="Q196" s="10" t="str">
        <f>VLOOKUP(A196,Status!A:B,2,0)</f>
        <v>Cancelled</v>
      </c>
      <c r="R196" s="2" t="s">
        <v>30</v>
      </c>
      <c r="S196" s="2">
        <v>1</v>
      </c>
      <c r="T196" s="2" t="s">
        <v>24</v>
      </c>
      <c r="U196" s="10" t="str">
        <f t="shared" si="23"/>
        <v>Feb</v>
      </c>
      <c r="V196" s="10">
        <f t="shared" si="22"/>
        <v>2025</v>
      </c>
      <c r="W196" t="e" cm="1">
        <f t="array" ref="W196">_xlfn.IFS(U196="January",1,U196="February",2,U196="March",3,U196="April",4,U196="May",5,U196="June",6,U196="July",7,U196="August",8,U196="September",9,U196="October",10,U196="November",11,U196="December",12)</f>
        <v>#N/A</v>
      </c>
    </row>
    <row r="197" spans="1:23" ht="15.75" customHeight="1" x14ac:dyDescent="0.25">
      <c r="A197" s="2" t="s">
        <v>1138</v>
      </c>
      <c r="B197" s="3">
        <v>45693.254884259259</v>
      </c>
      <c r="C197" s="2" t="s">
        <v>1139</v>
      </c>
      <c r="D197" s="2" t="s">
        <v>53</v>
      </c>
      <c r="E197" s="2" t="s">
        <v>186</v>
      </c>
      <c r="F197" s="2" t="str" cm="1">
        <f t="array" ref="F197:G197">_xlfn.TEXTSPLIT(E197," - ")</f>
        <v>Susu Bubuk</v>
      </c>
      <c r="G197" s="2" t="str">
        <v>Brand A</v>
      </c>
      <c r="H197" s="5">
        <v>45000</v>
      </c>
      <c r="I197" s="2">
        <v>1</v>
      </c>
      <c r="J197" s="2">
        <v>20</v>
      </c>
      <c r="K197" s="8">
        <f t="shared" si="18"/>
        <v>45000</v>
      </c>
      <c r="L197" s="8">
        <f t="shared" si="19"/>
        <v>9000</v>
      </c>
      <c r="M197" s="8">
        <f t="shared" si="20"/>
        <v>36000</v>
      </c>
      <c r="N197" s="5">
        <v>18000</v>
      </c>
      <c r="O197" s="8">
        <f t="shared" si="21"/>
        <v>54000</v>
      </c>
      <c r="P197" s="2" t="s">
        <v>35</v>
      </c>
      <c r="Q197" s="10" t="str">
        <f>VLOOKUP(A197,Status!A:B,2,0)</f>
        <v>Completed</v>
      </c>
      <c r="R197" s="2" t="s">
        <v>46</v>
      </c>
      <c r="S197" s="2">
        <v>3</v>
      </c>
      <c r="T197" s="2" t="s">
        <v>37</v>
      </c>
      <c r="U197" s="10" t="str">
        <f t="shared" si="23"/>
        <v>Feb</v>
      </c>
      <c r="V197" s="10">
        <f t="shared" si="22"/>
        <v>2025</v>
      </c>
      <c r="W197" t="e" cm="1">
        <f t="array" ref="W197">_xlfn.IFS(U197="January",1,U197="February",2,U197="March",3,U197="April",4,U197="May",5,U197="June",6,U197="July",7,U197="August",8,U197="September",9,U197="October",10,U197="November",11,U197="December",12)</f>
        <v>#N/A</v>
      </c>
    </row>
    <row r="198" spans="1:23" ht="15.75" customHeight="1" x14ac:dyDescent="0.25">
      <c r="A198" s="2" t="s">
        <v>1140</v>
      </c>
      <c r="B198" s="3">
        <v>45693.429791666669</v>
      </c>
      <c r="C198" s="2" t="s">
        <v>483</v>
      </c>
      <c r="D198" s="2" t="s">
        <v>170</v>
      </c>
      <c r="E198" s="2" t="s">
        <v>186</v>
      </c>
      <c r="F198" s="2" t="str" cm="1">
        <f t="array" ref="F198:G198">_xlfn.TEXTSPLIT(E198," - ")</f>
        <v>Susu Bubuk</v>
      </c>
      <c r="G198" s="2" t="str">
        <v>Brand A</v>
      </c>
      <c r="H198" s="5">
        <v>45000</v>
      </c>
      <c r="I198" s="2">
        <v>2</v>
      </c>
      <c r="J198" s="2">
        <v>20</v>
      </c>
      <c r="K198" s="8">
        <f t="shared" si="18"/>
        <v>90000</v>
      </c>
      <c r="L198" s="8">
        <f t="shared" si="19"/>
        <v>18000</v>
      </c>
      <c r="M198" s="8">
        <f t="shared" si="20"/>
        <v>72000</v>
      </c>
      <c r="N198" s="5">
        <v>46000</v>
      </c>
      <c r="O198" s="8">
        <f t="shared" si="21"/>
        <v>118000</v>
      </c>
      <c r="P198" s="2" t="s">
        <v>63</v>
      </c>
      <c r="Q198" s="10" t="str">
        <f>VLOOKUP(A198,Status!A:B,2,0)</f>
        <v>Completed</v>
      </c>
      <c r="R198" s="2" t="s">
        <v>36</v>
      </c>
      <c r="S198" s="2">
        <v>2</v>
      </c>
      <c r="T198" s="2" t="s">
        <v>24</v>
      </c>
      <c r="U198" s="10" t="str">
        <f t="shared" si="23"/>
        <v>Feb</v>
      </c>
      <c r="V198" s="10">
        <f t="shared" si="22"/>
        <v>2025</v>
      </c>
      <c r="W198" t="e" cm="1">
        <f t="array" ref="W198">_xlfn.IFS(U198="January",1,U198="February",2,U198="March",3,U198="April",4,U198="May",5,U198="June",6,U198="July",7,U198="August",8,U198="September",9,U198="October",10,U198="November",11,U198="December",12)</f>
        <v>#N/A</v>
      </c>
    </row>
    <row r="199" spans="1:23" ht="15.75" customHeight="1" x14ac:dyDescent="0.25">
      <c r="A199" s="2" t="s">
        <v>1141</v>
      </c>
      <c r="B199" s="3">
        <v>45693.457546296297</v>
      </c>
      <c r="C199" s="2" t="s">
        <v>318</v>
      </c>
      <c r="D199" s="2" t="s">
        <v>244</v>
      </c>
      <c r="E199" s="2" t="s">
        <v>110</v>
      </c>
      <c r="F199" s="2" t="str" cm="1">
        <f t="array" ref="F199:G199">_xlfn.TEXTSPLIT(E199," - ")</f>
        <v>Garam</v>
      </c>
      <c r="G199" s="2" t="str">
        <v>Brand C</v>
      </c>
      <c r="H199" s="5">
        <v>6000</v>
      </c>
      <c r="I199" s="2">
        <v>2</v>
      </c>
      <c r="J199" s="2">
        <v>15</v>
      </c>
      <c r="K199" s="8">
        <f t="shared" si="18"/>
        <v>12000</v>
      </c>
      <c r="L199" s="8">
        <f t="shared" si="19"/>
        <v>1800</v>
      </c>
      <c r="M199" s="8">
        <f t="shared" si="20"/>
        <v>10200</v>
      </c>
      <c r="N199" s="5">
        <v>80000</v>
      </c>
      <c r="O199" s="8">
        <f t="shared" si="21"/>
        <v>90200</v>
      </c>
      <c r="P199" s="2" t="s">
        <v>29</v>
      </c>
      <c r="Q199" s="10" t="str">
        <f>VLOOKUP(A199,Status!A:B,2,0)</f>
        <v>Completed</v>
      </c>
      <c r="R199" s="2" t="s">
        <v>30</v>
      </c>
      <c r="S199" s="2">
        <v>3</v>
      </c>
      <c r="T199" s="2" t="s">
        <v>37</v>
      </c>
      <c r="U199" s="10" t="str">
        <f t="shared" si="23"/>
        <v>Feb</v>
      </c>
      <c r="V199" s="10">
        <f t="shared" si="22"/>
        <v>2025</v>
      </c>
      <c r="W199" t="e" cm="1">
        <f t="array" ref="W199">_xlfn.IFS(U199="January",1,U199="February",2,U199="March",3,U199="April",4,U199="May",5,U199="June",6,U199="July",7,U199="August",8,U199="September",9,U199="October",10,U199="November",11,U199="December",12)</f>
        <v>#N/A</v>
      </c>
    </row>
    <row r="200" spans="1:23" ht="15.75" customHeight="1" x14ac:dyDescent="0.25">
      <c r="A200" s="2" t="s">
        <v>1142</v>
      </c>
      <c r="B200" s="3">
        <v>45693.717557870368</v>
      </c>
      <c r="C200" s="2" t="s">
        <v>782</v>
      </c>
      <c r="D200" s="2" t="s">
        <v>177</v>
      </c>
      <c r="E200" s="2" t="s">
        <v>136</v>
      </c>
      <c r="F200" s="2" t="str" cm="1">
        <f t="array" ref="F200:G200">_xlfn.TEXTSPLIT(E200," - ")</f>
        <v>Tepung Terigu</v>
      </c>
      <c r="G200" s="2" t="str">
        <v>Brand B</v>
      </c>
      <c r="H200" s="5">
        <v>12000</v>
      </c>
      <c r="I200" s="2">
        <v>3</v>
      </c>
      <c r="J200" s="2">
        <v>0</v>
      </c>
      <c r="K200" s="8">
        <f t="shared" si="18"/>
        <v>36000</v>
      </c>
      <c r="L200" s="8">
        <f t="shared" si="19"/>
        <v>0</v>
      </c>
      <c r="M200" s="8">
        <f t="shared" si="20"/>
        <v>36000</v>
      </c>
      <c r="N200" s="5">
        <v>56000</v>
      </c>
      <c r="O200" s="8">
        <f t="shared" si="21"/>
        <v>92000</v>
      </c>
      <c r="P200" s="2" t="s">
        <v>22</v>
      </c>
      <c r="Q200" s="10" t="str">
        <f>VLOOKUP(A200,Status!A:B,2,0)</f>
        <v>Completed</v>
      </c>
      <c r="R200" s="2" t="s">
        <v>30</v>
      </c>
      <c r="S200" s="2">
        <v>5</v>
      </c>
      <c r="T200" s="2" t="s">
        <v>24</v>
      </c>
      <c r="U200" s="10" t="str">
        <f t="shared" si="23"/>
        <v>Feb</v>
      </c>
      <c r="V200" s="10">
        <f t="shared" si="22"/>
        <v>2025</v>
      </c>
      <c r="W200" t="e" cm="1">
        <f t="array" ref="W200">_xlfn.IFS(U200="January",1,U200="February",2,U200="March",3,U200="April",4,U200="May",5,U200="June",6,U200="July",7,U200="August",8,U200="September",9,U200="October",10,U200="November",11,U200="December",12)</f>
        <v>#N/A</v>
      </c>
    </row>
    <row r="201" spans="1:23" ht="15.75" customHeight="1" x14ac:dyDescent="0.25">
      <c r="A201" s="2" t="s">
        <v>1143</v>
      </c>
      <c r="B201" s="3">
        <v>45693.829722222217</v>
      </c>
      <c r="C201" s="2" t="s">
        <v>853</v>
      </c>
      <c r="D201" s="2" t="s">
        <v>151</v>
      </c>
      <c r="E201" s="2" t="s">
        <v>190</v>
      </c>
      <c r="F201" s="2" t="str" cm="1">
        <f t="array" ref="F201:G201">_xlfn.TEXTSPLIT(E201," - ")</f>
        <v>Bawang Merah</v>
      </c>
      <c r="G201" s="2" t="str">
        <v>Brand B</v>
      </c>
      <c r="H201" s="5">
        <v>35000</v>
      </c>
      <c r="I201" s="2">
        <v>5</v>
      </c>
      <c r="J201" s="2">
        <v>20</v>
      </c>
      <c r="K201" s="8">
        <f t="shared" si="18"/>
        <v>175000</v>
      </c>
      <c r="L201" s="8">
        <f t="shared" si="19"/>
        <v>35000</v>
      </c>
      <c r="M201" s="8">
        <f t="shared" si="20"/>
        <v>140000</v>
      </c>
      <c r="N201" s="5">
        <v>55000</v>
      </c>
      <c r="O201" s="8">
        <f t="shared" si="21"/>
        <v>195000</v>
      </c>
      <c r="P201" s="2" t="s">
        <v>35</v>
      </c>
      <c r="Q201" s="10" t="str">
        <f>VLOOKUP(A201,Status!A:B,2,0)</f>
        <v>Completed</v>
      </c>
      <c r="R201" s="2" t="s">
        <v>82</v>
      </c>
      <c r="S201" s="2">
        <v>1</v>
      </c>
      <c r="T201" s="2" t="s">
        <v>24</v>
      </c>
      <c r="U201" s="10" t="str">
        <f t="shared" si="23"/>
        <v>Feb</v>
      </c>
      <c r="V201" s="10">
        <f t="shared" si="22"/>
        <v>2025</v>
      </c>
      <c r="W201" t="e" cm="1">
        <f t="array" ref="W201">_xlfn.IFS(U201="January",1,U201="February",2,U201="March",3,U201="April",4,U201="May",5,U201="June",6,U201="July",7,U201="August",8,U201="September",9,U201="October",10,U201="November",11,U201="December",12)</f>
        <v>#N/A</v>
      </c>
    </row>
    <row r="202" spans="1:23" ht="15.75" customHeight="1" x14ac:dyDescent="0.25">
      <c r="A202" s="2" t="s">
        <v>1144</v>
      </c>
      <c r="B202" s="3">
        <v>45694.074432870373</v>
      </c>
      <c r="C202" s="2" t="s">
        <v>446</v>
      </c>
      <c r="D202" s="2" t="s">
        <v>296</v>
      </c>
      <c r="E202" s="2" t="s">
        <v>186</v>
      </c>
      <c r="F202" s="2" t="str" cm="1">
        <f t="array" ref="F202:G202">_xlfn.TEXTSPLIT(E202," - ")</f>
        <v>Susu Bubuk</v>
      </c>
      <c r="G202" s="2" t="str">
        <v>Brand A</v>
      </c>
      <c r="H202" s="5">
        <v>45000</v>
      </c>
      <c r="I202" s="2">
        <v>2</v>
      </c>
      <c r="J202" s="2">
        <v>5</v>
      </c>
      <c r="K202" s="8">
        <f t="shared" si="18"/>
        <v>90000</v>
      </c>
      <c r="L202" s="8">
        <f t="shared" si="19"/>
        <v>4500</v>
      </c>
      <c r="M202" s="8">
        <f t="shared" si="20"/>
        <v>85500</v>
      </c>
      <c r="N202" s="5">
        <v>79000</v>
      </c>
      <c r="O202" s="8">
        <f t="shared" si="21"/>
        <v>164500</v>
      </c>
      <c r="P202" s="2" t="s">
        <v>22</v>
      </c>
      <c r="Q202" s="10" t="str">
        <f>VLOOKUP(A202,Status!A:B,2,0)</f>
        <v>Returned</v>
      </c>
      <c r="R202" s="2" t="s">
        <v>46</v>
      </c>
      <c r="S202" s="2">
        <v>3</v>
      </c>
      <c r="T202" s="2" t="s">
        <v>37</v>
      </c>
      <c r="U202" s="10" t="str">
        <f t="shared" si="23"/>
        <v>Feb</v>
      </c>
      <c r="V202" s="10">
        <f t="shared" si="22"/>
        <v>2025</v>
      </c>
      <c r="W202" t="e" cm="1">
        <f t="array" ref="W202">_xlfn.IFS(U202="January",1,U202="February",2,U202="March",3,U202="April",4,U202="May",5,U202="June",6,U202="July",7,U202="August",8,U202="September",9,U202="October",10,U202="November",11,U202="December",12)</f>
        <v>#N/A</v>
      </c>
    </row>
    <row r="203" spans="1:23" ht="15.75" customHeight="1" x14ac:dyDescent="0.25">
      <c r="A203" s="2" t="s">
        <v>1145</v>
      </c>
      <c r="B203" s="3">
        <v>45694.231400462973</v>
      </c>
      <c r="C203" s="2" t="s">
        <v>1146</v>
      </c>
      <c r="D203" s="2" t="s">
        <v>116</v>
      </c>
      <c r="E203" s="2" t="s">
        <v>21</v>
      </c>
      <c r="F203" s="2" t="str" cm="1">
        <f t="array" ref="F203:G203">_xlfn.TEXTSPLIT(E203," - ")</f>
        <v>Daging Ayam</v>
      </c>
      <c r="G203" s="2" t="str">
        <v>Brand C</v>
      </c>
      <c r="H203" s="5">
        <v>45000</v>
      </c>
      <c r="I203" s="2">
        <v>1</v>
      </c>
      <c r="J203" s="2">
        <v>15</v>
      </c>
      <c r="K203" s="8">
        <f t="shared" si="18"/>
        <v>45000</v>
      </c>
      <c r="L203" s="8">
        <f t="shared" si="19"/>
        <v>6750</v>
      </c>
      <c r="M203" s="8">
        <f t="shared" si="20"/>
        <v>38250</v>
      </c>
      <c r="N203" s="5">
        <v>72000</v>
      </c>
      <c r="O203" s="8">
        <f t="shared" si="21"/>
        <v>110250</v>
      </c>
      <c r="P203" s="2" t="s">
        <v>35</v>
      </c>
      <c r="Q203" s="10" t="str">
        <f>VLOOKUP(A203,Status!A:B,2,0)</f>
        <v>Completed</v>
      </c>
      <c r="R203" s="2" t="s">
        <v>23</v>
      </c>
      <c r="S203" s="2">
        <v>3</v>
      </c>
      <c r="T203" s="2" t="s">
        <v>24</v>
      </c>
      <c r="U203" s="10" t="str">
        <f t="shared" si="23"/>
        <v>Feb</v>
      </c>
      <c r="V203" s="10">
        <f t="shared" si="22"/>
        <v>2025</v>
      </c>
      <c r="W203" t="e" cm="1">
        <f t="array" ref="W203">_xlfn.IFS(U203="January",1,U203="February",2,U203="March",3,U203="April",4,U203="May",5,U203="June",6,U203="July",7,U203="August",8,U203="September",9,U203="October",10,U203="November",11,U203="December",12)</f>
        <v>#N/A</v>
      </c>
    </row>
    <row r="204" spans="1:23" ht="15.75" customHeight="1" x14ac:dyDescent="0.25">
      <c r="A204" s="2" t="s">
        <v>1147</v>
      </c>
      <c r="B204" s="3">
        <v>45694.304247685177</v>
      </c>
      <c r="C204" s="2" t="s">
        <v>468</v>
      </c>
      <c r="D204" s="2" t="s">
        <v>163</v>
      </c>
      <c r="E204" s="2" t="s">
        <v>104</v>
      </c>
      <c r="F204" s="2" t="str" cm="1">
        <f t="array" ref="F204:G204">_xlfn.TEXTSPLIT(E204," - ")</f>
        <v>Bawang Merah</v>
      </c>
      <c r="G204" s="2" t="str">
        <v>Brand A</v>
      </c>
      <c r="H204" s="5">
        <v>30000</v>
      </c>
      <c r="I204" s="2">
        <v>2</v>
      </c>
      <c r="J204" s="2">
        <v>20</v>
      </c>
      <c r="K204" s="8">
        <f t="shared" si="18"/>
        <v>60000</v>
      </c>
      <c r="L204" s="8">
        <f t="shared" si="19"/>
        <v>12000</v>
      </c>
      <c r="M204" s="8">
        <f t="shared" si="20"/>
        <v>48000</v>
      </c>
      <c r="N204" s="5">
        <v>50000</v>
      </c>
      <c r="O204" s="8">
        <f t="shared" si="21"/>
        <v>98000</v>
      </c>
      <c r="P204" s="2" t="s">
        <v>29</v>
      </c>
      <c r="Q204" s="10" t="str">
        <f>VLOOKUP(A204,Status!A:B,2,0)</f>
        <v>Completed</v>
      </c>
      <c r="R204" s="2" t="s">
        <v>46</v>
      </c>
      <c r="S204" s="2">
        <v>1</v>
      </c>
      <c r="T204" s="2" t="s">
        <v>24</v>
      </c>
      <c r="U204" s="10" t="str">
        <f t="shared" si="23"/>
        <v>Feb</v>
      </c>
      <c r="V204" s="10">
        <f t="shared" si="22"/>
        <v>2025</v>
      </c>
      <c r="W204" t="e" cm="1">
        <f t="array" ref="W204">_xlfn.IFS(U204="January",1,U204="February",2,U204="March",3,U204="April",4,U204="May",5,U204="June",6,U204="July",7,U204="August",8,U204="September",9,U204="October",10,U204="November",11,U204="December",12)</f>
        <v>#N/A</v>
      </c>
    </row>
    <row r="205" spans="1:23" ht="15.75" customHeight="1" x14ac:dyDescent="0.25">
      <c r="A205" s="2" t="s">
        <v>1148</v>
      </c>
      <c r="B205" s="3">
        <v>45694.367881944447</v>
      </c>
      <c r="C205" s="2" t="s">
        <v>605</v>
      </c>
      <c r="D205" s="2" t="s">
        <v>151</v>
      </c>
      <c r="E205" s="2" t="s">
        <v>144</v>
      </c>
      <c r="F205" s="2" t="str" cm="1">
        <f t="array" ref="F205:G205">_xlfn.TEXTSPLIT(E205," - ")</f>
        <v>Gula Pasir</v>
      </c>
      <c r="G205" s="2" t="str">
        <v>Brand C</v>
      </c>
      <c r="H205" s="5">
        <v>18000</v>
      </c>
      <c r="I205" s="2">
        <v>1</v>
      </c>
      <c r="J205" s="2">
        <v>15</v>
      </c>
      <c r="K205" s="8">
        <f t="shared" si="18"/>
        <v>18000</v>
      </c>
      <c r="L205" s="8">
        <f t="shared" si="19"/>
        <v>2700</v>
      </c>
      <c r="M205" s="8">
        <f t="shared" si="20"/>
        <v>15300</v>
      </c>
      <c r="N205" s="5">
        <v>55000</v>
      </c>
      <c r="O205" s="8">
        <f t="shared" si="21"/>
        <v>70300</v>
      </c>
      <c r="P205" s="2" t="s">
        <v>29</v>
      </c>
      <c r="Q205" s="10" t="str">
        <f>VLOOKUP(A205,Status!A:B,2,0)</f>
        <v>Returned</v>
      </c>
      <c r="R205" s="2" t="s">
        <v>23</v>
      </c>
      <c r="S205" s="2">
        <v>1</v>
      </c>
      <c r="T205" s="2" t="s">
        <v>24</v>
      </c>
      <c r="U205" s="10" t="str">
        <f t="shared" si="23"/>
        <v>Feb</v>
      </c>
      <c r="V205" s="10">
        <f t="shared" si="22"/>
        <v>2025</v>
      </c>
      <c r="W205" t="e" cm="1">
        <f t="array" ref="W205">_xlfn.IFS(U205="January",1,U205="February",2,U205="March",3,U205="April",4,U205="May",5,U205="June",6,U205="July",7,U205="August",8,U205="September",9,U205="October",10,U205="November",11,U205="December",12)</f>
        <v>#N/A</v>
      </c>
    </row>
    <row r="206" spans="1:23" ht="15.75" customHeight="1" x14ac:dyDescent="0.25">
      <c r="A206" s="2" t="s">
        <v>1149</v>
      </c>
      <c r="B206" s="3">
        <v>45694.565115740741</v>
      </c>
      <c r="C206" s="2" t="s">
        <v>192</v>
      </c>
      <c r="D206" s="2" t="s">
        <v>107</v>
      </c>
      <c r="E206" s="2" t="s">
        <v>38</v>
      </c>
      <c r="F206" s="2" t="str" cm="1">
        <f t="array" ref="F206:G206">_xlfn.TEXTSPLIT(E206," - ")</f>
        <v>Telur Ayam</v>
      </c>
      <c r="G206" s="2" t="str">
        <v>Brand C</v>
      </c>
      <c r="H206" s="5">
        <v>28000</v>
      </c>
      <c r="I206" s="2">
        <v>1</v>
      </c>
      <c r="J206" s="2">
        <v>5</v>
      </c>
      <c r="K206" s="8">
        <f t="shared" si="18"/>
        <v>28000</v>
      </c>
      <c r="L206" s="8">
        <f t="shared" si="19"/>
        <v>1400</v>
      </c>
      <c r="M206" s="8">
        <f t="shared" si="20"/>
        <v>26600</v>
      </c>
      <c r="N206" s="5">
        <v>97000</v>
      </c>
      <c r="O206" s="8">
        <f t="shared" si="21"/>
        <v>123600</v>
      </c>
      <c r="P206" s="2" t="s">
        <v>22</v>
      </c>
      <c r="Q206" s="10" t="str">
        <f>VLOOKUP(A206,Status!A:B,2,0)</f>
        <v>Completed</v>
      </c>
      <c r="R206" s="2" t="s">
        <v>82</v>
      </c>
      <c r="S206" s="2">
        <v>3</v>
      </c>
      <c r="T206" s="2" t="s">
        <v>24</v>
      </c>
      <c r="U206" s="10" t="str">
        <f t="shared" si="23"/>
        <v>Feb</v>
      </c>
      <c r="V206" s="10">
        <f t="shared" si="22"/>
        <v>2025</v>
      </c>
      <c r="W206" t="e" cm="1">
        <f t="array" ref="W206">_xlfn.IFS(U206="January",1,U206="February",2,U206="March",3,U206="April",4,U206="May",5,U206="June",6,U206="July",7,U206="August",8,U206="September",9,U206="October",10,U206="November",11,U206="December",12)</f>
        <v>#N/A</v>
      </c>
    </row>
    <row r="207" spans="1:23" ht="15.75" customHeight="1" x14ac:dyDescent="0.25">
      <c r="A207" s="2" t="s">
        <v>1150</v>
      </c>
      <c r="B207" s="3">
        <v>45694.859965277778</v>
      </c>
      <c r="C207" s="2" t="s">
        <v>979</v>
      </c>
      <c r="D207" s="2" t="s">
        <v>49</v>
      </c>
      <c r="E207" s="2" t="s">
        <v>186</v>
      </c>
      <c r="F207" s="2" t="str" cm="1">
        <f t="array" ref="F207:G207">_xlfn.TEXTSPLIT(E207," - ")</f>
        <v>Susu Bubuk</v>
      </c>
      <c r="G207" s="2" t="str">
        <v>Brand A</v>
      </c>
      <c r="H207" s="5">
        <v>45000</v>
      </c>
      <c r="I207" s="2">
        <v>3</v>
      </c>
      <c r="J207" s="2">
        <v>15</v>
      </c>
      <c r="K207" s="8">
        <f t="shared" si="18"/>
        <v>135000</v>
      </c>
      <c r="L207" s="8">
        <f t="shared" si="19"/>
        <v>20250</v>
      </c>
      <c r="M207" s="8">
        <f t="shared" si="20"/>
        <v>114750</v>
      </c>
      <c r="N207" s="5">
        <v>43000</v>
      </c>
      <c r="O207" s="8">
        <f t="shared" si="21"/>
        <v>157750</v>
      </c>
      <c r="P207" s="2" t="s">
        <v>22</v>
      </c>
      <c r="Q207" s="10" t="str">
        <f>VLOOKUP(A207,Status!A:B,2,0)</f>
        <v>Completed</v>
      </c>
      <c r="R207" s="2" t="s">
        <v>23</v>
      </c>
      <c r="S207" s="2">
        <v>4</v>
      </c>
      <c r="T207" s="2" t="s">
        <v>24</v>
      </c>
      <c r="U207" s="10" t="str">
        <f t="shared" si="23"/>
        <v>Feb</v>
      </c>
      <c r="V207" s="10">
        <f t="shared" si="22"/>
        <v>2025</v>
      </c>
      <c r="W207" t="e" cm="1">
        <f t="array" ref="W207">_xlfn.IFS(U207="January",1,U207="February",2,U207="March",3,U207="April",4,U207="May",5,U207="June",6,U207="July",7,U207="August",8,U207="September",9,U207="October",10,U207="November",11,U207="December",12)</f>
        <v>#N/A</v>
      </c>
    </row>
    <row r="208" spans="1:23" ht="15.75" customHeight="1" x14ac:dyDescent="0.25">
      <c r="A208" s="2" t="s">
        <v>1151</v>
      </c>
      <c r="B208" s="3">
        <v>45695.20621527778</v>
      </c>
      <c r="C208" s="2" t="s">
        <v>106</v>
      </c>
      <c r="D208" s="2" t="s">
        <v>107</v>
      </c>
      <c r="E208" s="2" t="s">
        <v>93</v>
      </c>
      <c r="F208" s="2" t="str" cm="1">
        <f t="array" ref="F208:G208">_xlfn.TEXTSPLIT(E208," - ")</f>
        <v>Telur Ayam</v>
      </c>
      <c r="G208" s="2" t="str">
        <v>Brand B</v>
      </c>
      <c r="H208" s="5">
        <v>25000</v>
      </c>
      <c r="I208" s="2">
        <v>2</v>
      </c>
      <c r="J208" s="2">
        <v>0</v>
      </c>
      <c r="K208" s="8">
        <f t="shared" si="18"/>
        <v>50000</v>
      </c>
      <c r="L208" s="8">
        <f t="shared" si="19"/>
        <v>0</v>
      </c>
      <c r="M208" s="8">
        <f t="shared" si="20"/>
        <v>50000</v>
      </c>
      <c r="N208" s="5">
        <v>97000</v>
      </c>
      <c r="O208" s="8">
        <f t="shared" si="21"/>
        <v>147000</v>
      </c>
      <c r="P208" s="2" t="s">
        <v>29</v>
      </c>
      <c r="Q208" s="10" t="str">
        <f>VLOOKUP(A208,Status!A:B,2,0)</f>
        <v>Completed</v>
      </c>
      <c r="R208" s="2" t="s">
        <v>23</v>
      </c>
      <c r="S208" s="2">
        <v>1</v>
      </c>
      <c r="T208" s="2" t="s">
        <v>24</v>
      </c>
      <c r="U208" s="10" t="str">
        <f t="shared" si="23"/>
        <v>Feb</v>
      </c>
      <c r="V208" s="10">
        <f t="shared" si="22"/>
        <v>2025</v>
      </c>
      <c r="W208" t="e" cm="1">
        <f t="array" ref="W208">_xlfn.IFS(U208="January",1,U208="February",2,U208="March",3,U208="April",4,U208="May",5,U208="June",6,U208="July",7,U208="August",8,U208="September",9,U208="October",10,U208="November",11,U208="December",12)</f>
        <v>#N/A</v>
      </c>
    </row>
    <row r="209" spans="1:23" ht="15.75" customHeight="1" x14ac:dyDescent="0.25">
      <c r="A209" s="2" t="s">
        <v>1152</v>
      </c>
      <c r="B209" s="3">
        <v>45695.245104166657</v>
      </c>
      <c r="C209" s="2" t="s">
        <v>157</v>
      </c>
      <c r="D209" s="2" t="s">
        <v>20</v>
      </c>
      <c r="E209" s="2" t="s">
        <v>45</v>
      </c>
      <c r="F209" s="2" t="str" cm="1">
        <f t="array" ref="F209:G209">_xlfn.TEXTSPLIT(E209," - ")</f>
        <v>Daging Ayam</v>
      </c>
      <c r="G209" s="2" t="str">
        <v>Brand B</v>
      </c>
      <c r="H209" s="5">
        <v>40000</v>
      </c>
      <c r="I209" s="2">
        <v>5</v>
      </c>
      <c r="J209" s="2">
        <v>5</v>
      </c>
      <c r="K209" s="8">
        <f t="shared" si="18"/>
        <v>200000</v>
      </c>
      <c r="L209" s="8">
        <f t="shared" si="19"/>
        <v>10000</v>
      </c>
      <c r="M209" s="8">
        <f t="shared" si="20"/>
        <v>190000</v>
      </c>
      <c r="N209" s="5">
        <v>15000</v>
      </c>
      <c r="O209" s="8">
        <f t="shared" si="21"/>
        <v>205000</v>
      </c>
      <c r="P209" s="2" t="s">
        <v>35</v>
      </c>
      <c r="Q209" s="10" t="str">
        <f>VLOOKUP(A209,Status!A:B,2,0)</f>
        <v>Completed</v>
      </c>
      <c r="R209" s="2" t="s">
        <v>23</v>
      </c>
      <c r="S209" s="2">
        <v>4</v>
      </c>
      <c r="T209" s="2" t="s">
        <v>24</v>
      </c>
      <c r="U209" s="10" t="str">
        <f t="shared" si="23"/>
        <v>Feb</v>
      </c>
      <c r="V209" s="10">
        <f t="shared" si="22"/>
        <v>2025</v>
      </c>
      <c r="W209" t="e" cm="1">
        <f t="array" ref="W209">_xlfn.IFS(U209="January",1,U209="February",2,U209="March",3,U209="April",4,U209="May",5,U209="June",6,U209="July",7,U209="August",8,U209="September",9,U209="October",10,U209="November",11,U209="December",12)</f>
        <v>#N/A</v>
      </c>
    </row>
    <row r="210" spans="1:23" ht="15.75" customHeight="1" x14ac:dyDescent="0.25">
      <c r="A210" s="2" t="s">
        <v>1153</v>
      </c>
      <c r="B210" s="3">
        <v>45695.398715277777</v>
      </c>
      <c r="C210" s="2" t="s">
        <v>237</v>
      </c>
      <c r="D210" s="2" t="s">
        <v>238</v>
      </c>
      <c r="E210" s="2" t="s">
        <v>93</v>
      </c>
      <c r="F210" s="2" t="str" cm="1">
        <f t="array" ref="F210:G210">_xlfn.TEXTSPLIT(E210," - ")</f>
        <v>Telur Ayam</v>
      </c>
      <c r="G210" s="2" t="str">
        <v>Brand B</v>
      </c>
      <c r="H210" s="5">
        <v>25000</v>
      </c>
      <c r="I210" s="2">
        <v>3</v>
      </c>
      <c r="J210" s="2">
        <v>0</v>
      </c>
      <c r="K210" s="8">
        <f t="shared" si="18"/>
        <v>75000</v>
      </c>
      <c r="L210" s="8">
        <f t="shared" si="19"/>
        <v>0</v>
      </c>
      <c r="M210" s="8">
        <f t="shared" si="20"/>
        <v>75000</v>
      </c>
      <c r="N210" s="5">
        <v>28000</v>
      </c>
      <c r="O210" s="8">
        <f t="shared" si="21"/>
        <v>103000</v>
      </c>
      <c r="P210" s="2" t="s">
        <v>29</v>
      </c>
      <c r="Q210" s="10" t="str">
        <f>VLOOKUP(A210,Status!A:B,2,0)</f>
        <v>Completed</v>
      </c>
      <c r="R210" s="2" t="s">
        <v>46</v>
      </c>
      <c r="S210" s="2">
        <v>1</v>
      </c>
      <c r="T210" s="2" t="s">
        <v>24</v>
      </c>
      <c r="U210" s="10" t="str">
        <f t="shared" si="23"/>
        <v>Feb</v>
      </c>
      <c r="V210" s="10">
        <f t="shared" si="22"/>
        <v>2025</v>
      </c>
      <c r="W210" t="e" cm="1">
        <f t="array" ref="W210">_xlfn.IFS(U210="January",1,U210="February",2,U210="March",3,U210="April",4,U210="May",5,U210="June",6,U210="July",7,U210="August",8,U210="September",9,U210="October",10,U210="November",11,U210="December",12)</f>
        <v>#N/A</v>
      </c>
    </row>
    <row r="211" spans="1:23" ht="15.75" customHeight="1" x14ac:dyDescent="0.25">
      <c r="A211" s="2" t="s">
        <v>1154</v>
      </c>
      <c r="B211" s="3">
        <v>45695.789201388892</v>
      </c>
      <c r="C211" s="2" t="s">
        <v>900</v>
      </c>
      <c r="D211" s="2" t="s">
        <v>27</v>
      </c>
      <c r="E211" s="2" t="s">
        <v>62</v>
      </c>
      <c r="F211" s="2" t="str" cm="1">
        <f t="array" ref="F211:G211">_xlfn.TEXTSPLIT(E211," - ")</f>
        <v>Susu Bubuk</v>
      </c>
      <c r="G211" s="2" t="str">
        <v>Brand B</v>
      </c>
      <c r="H211" s="5">
        <v>50000</v>
      </c>
      <c r="I211" s="2">
        <v>5</v>
      </c>
      <c r="J211" s="2">
        <v>15</v>
      </c>
      <c r="K211" s="8">
        <f t="shared" si="18"/>
        <v>250000</v>
      </c>
      <c r="L211" s="8">
        <f t="shared" si="19"/>
        <v>37500</v>
      </c>
      <c r="M211" s="8">
        <f t="shared" si="20"/>
        <v>212500</v>
      </c>
      <c r="N211" s="5">
        <v>17000</v>
      </c>
      <c r="O211" s="8">
        <f t="shared" si="21"/>
        <v>229500</v>
      </c>
      <c r="P211" s="2" t="s">
        <v>22</v>
      </c>
      <c r="Q211" s="10" t="str">
        <f>VLOOKUP(A211,Status!A:B,2,0)</f>
        <v>Completed</v>
      </c>
      <c r="R211" s="2" t="s">
        <v>36</v>
      </c>
      <c r="S211" s="2">
        <v>3</v>
      </c>
      <c r="T211" s="2" t="s">
        <v>24</v>
      </c>
      <c r="U211" s="10" t="str">
        <f t="shared" si="23"/>
        <v>Feb</v>
      </c>
      <c r="V211" s="10">
        <f t="shared" si="22"/>
        <v>2025</v>
      </c>
      <c r="W211" t="e" cm="1">
        <f t="array" ref="W211">_xlfn.IFS(U211="January",1,U211="February",2,U211="March",3,U211="April",4,U211="May",5,U211="June",6,U211="July",7,U211="August",8,U211="September",9,U211="October",10,U211="November",11,U211="December",12)</f>
        <v>#N/A</v>
      </c>
    </row>
    <row r="212" spans="1:23" ht="15.75" customHeight="1" x14ac:dyDescent="0.25">
      <c r="A212" s="2" t="s">
        <v>1155</v>
      </c>
      <c r="B212" s="3">
        <v>45695.963761574072</v>
      </c>
      <c r="C212" s="2" t="s">
        <v>125</v>
      </c>
      <c r="D212" s="2" t="s">
        <v>126</v>
      </c>
      <c r="E212" s="2" t="s">
        <v>67</v>
      </c>
      <c r="F212" s="2" t="str" cm="1">
        <f t="array" ref="F212:G212">_xlfn.TEXTSPLIT(E212," - ")</f>
        <v>Beras</v>
      </c>
      <c r="G212" s="2" t="str">
        <v>Brand B</v>
      </c>
      <c r="H212" s="5">
        <v>15000</v>
      </c>
      <c r="I212" s="2">
        <v>3</v>
      </c>
      <c r="J212" s="2">
        <v>10</v>
      </c>
      <c r="K212" s="8">
        <f t="shared" si="18"/>
        <v>45000</v>
      </c>
      <c r="L212" s="8">
        <f t="shared" si="19"/>
        <v>4500</v>
      </c>
      <c r="M212" s="8">
        <f t="shared" si="20"/>
        <v>40500</v>
      </c>
      <c r="N212" s="5">
        <v>84000</v>
      </c>
      <c r="O212" s="8">
        <f t="shared" si="21"/>
        <v>124500</v>
      </c>
      <c r="P212" s="2" t="s">
        <v>22</v>
      </c>
      <c r="Q212" s="10" t="str">
        <f>VLOOKUP(A212,Status!A:B,2,0)</f>
        <v>Returned</v>
      </c>
      <c r="R212" s="2" t="s">
        <v>30</v>
      </c>
      <c r="S212" s="2">
        <v>5</v>
      </c>
      <c r="T212" s="2" t="s">
        <v>24</v>
      </c>
      <c r="U212" s="10" t="str">
        <f t="shared" si="23"/>
        <v>Feb</v>
      </c>
      <c r="V212" s="10">
        <f t="shared" si="22"/>
        <v>2025</v>
      </c>
      <c r="W212" t="e" cm="1">
        <f t="array" ref="W212">_xlfn.IFS(U212="January",1,U212="February",2,U212="March",3,U212="April",4,U212="May",5,U212="June",6,U212="July",7,U212="August",8,U212="September",9,U212="October",10,U212="November",11,U212="December",12)</f>
        <v>#N/A</v>
      </c>
    </row>
    <row r="213" spans="1:23" ht="15.75" customHeight="1" x14ac:dyDescent="0.25">
      <c r="A213" s="2" t="s">
        <v>1156</v>
      </c>
      <c r="B213" s="3">
        <v>45696.170405092591</v>
      </c>
      <c r="C213" s="2" t="s">
        <v>582</v>
      </c>
      <c r="D213" s="2" t="s">
        <v>435</v>
      </c>
      <c r="E213" s="2" t="s">
        <v>88</v>
      </c>
      <c r="F213" s="2" t="str" cm="1">
        <f t="array" ref="F213:G213">_xlfn.TEXTSPLIT(E213," - ")</f>
        <v>Beras</v>
      </c>
      <c r="G213" s="2" t="str">
        <v>Brand A</v>
      </c>
      <c r="H213" s="5">
        <v>14000</v>
      </c>
      <c r="I213" s="2">
        <v>1</v>
      </c>
      <c r="J213" s="2">
        <v>10</v>
      </c>
      <c r="K213" s="8">
        <f t="shared" si="18"/>
        <v>14000</v>
      </c>
      <c r="L213" s="8">
        <f t="shared" si="19"/>
        <v>1400</v>
      </c>
      <c r="M213" s="8">
        <f t="shared" si="20"/>
        <v>12600</v>
      </c>
      <c r="N213" s="5">
        <v>67000</v>
      </c>
      <c r="O213" s="8">
        <f t="shared" si="21"/>
        <v>79600</v>
      </c>
      <c r="P213" s="2" t="s">
        <v>22</v>
      </c>
      <c r="Q213" s="10" t="str">
        <f>VLOOKUP(A213,Status!A:B,2,0)</f>
        <v>Completed</v>
      </c>
      <c r="R213" s="2" t="s">
        <v>82</v>
      </c>
      <c r="S213" s="2">
        <v>1</v>
      </c>
      <c r="T213" s="2" t="s">
        <v>24</v>
      </c>
      <c r="U213" s="10" t="str">
        <f t="shared" si="23"/>
        <v>Feb</v>
      </c>
      <c r="V213" s="10">
        <f t="shared" si="22"/>
        <v>2025</v>
      </c>
      <c r="W213" t="e" cm="1">
        <f t="array" ref="W213">_xlfn.IFS(U213="January",1,U213="February",2,U213="March",3,U213="April",4,U213="May",5,U213="June",6,U213="July",7,U213="August",8,U213="September",9,U213="October",10,U213="November",11,U213="December",12)</f>
        <v>#N/A</v>
      </c>
    </row>
    <row r="214" spans="1:23" ht="15.75" customHeight="1" x14ac:dyDescent="0.25">
      <c r="A214" s="2" t="s">
        <v>1157</v>
      </c>
      <c r="B214" s="3">
        <v>45696.373900462961</v>
      </c>
      <c r="C214" s="2" t="s">
        <v>693</v>
      </c>
      <c r="D214" s="2" t="s">
        <v>119</v>
      </c>
      <c r="E214" s="2" t="s">
        <v>174</v>
      </c>
      <c r="F214" s="2" t="str" cm="1">
        <f t="array" ref="F214:G214">_xlfn.TEXTSPLIT(E214," - ")</f>
        <v>Tepung Terigu</v>
      </c>
      <c r="G214" s="2" t="str">
        <v>Brand A</v>
      </c>
      <c r="H214" s="5">
        <v>10000</v>
      </c>
      <c r="I214" s="2">
        <v>4</v>
      </c>
      <c r="J214" s="2">
        <v>20</v>
      </c>
      <c r="K214" s="8">
        <f t="shared" si="18"/>
        <v>40000</v>
      </c>
      <c r="L214" s="8">
        <f t="shared" si="19"/>
        <v>8000</v>
      </c>
      <c r="M214" s="8">
        <f t="shared" si="20"/>
        <v>32000</v>
      </c>
      <c r="N214" s="5">
        <v>0</v>
      </c>
      <c r="O214" s="8">
        <f t="shared" si="21"/>
        <v>32000</v>
      </c>
      <c r="P214" s="2" t="s">
        <v>22</v>
      </c>
      <c r="Q214" s="10" t="str">
        <f>VLOOKUP(A214,Status!A:B,2,0)</f>
        <v>Completed</v>
      </c>
      <c r="R214" s="2" t="s">
        <v>82</v>
      </c>
      <c r="S214" s="2">
        <v>1</v>
      </c>
      <c r="T214" s="2" t="s">
        <v>24</v>
      </c>
      <c r="U214" s="10" t="str">
        <f t="shared" si="23"/>
        <v>Feb</v>
      </c>
      <c r="V214" s="10">
        <f t="shared" si="22"/>
        <v>2025</v>
      </c>
      <c r="W214" t="e" cm="1">
        <f t="array" ref="W214">_xlfn.IFS(U214="January",1,U214="February",2,U214="March",3,U214="April",4,U214="May",5,U214="June",6,U214="July",7,U214="August",8,U214="September",9,U214="October",10,U214="November",11,U214="December",12)</f>
        <v>#N/A</v>
      </c>
    </row>
    <row r="215" spans="1:23" ht="15.75" customHeight="1" x14ac:dyDescent="0.25">
      <c r="A215" s="2" t="s">
        <v>1158</v>
      </c>
      <c r="B215" s="3">
        <v>45696.560844907413</v>
      </c>
      <c r="C215" s="2" t="s">
        <v>243</v>
      </c>
      <c r="D215" s="2" t="s">
        <v>244</v>
      </c>
      <c r="E215" s="2" t="s">
        <v>123</v>
      </c>
      <c r="F215" s="2" t="str" cm="1">
        <f t="array" ref="F215:G215">_xlfn.TEXTSPLIT(E215," - ")</f>
        <v>Telur Ayam</v>
      </c>
      <c r="G215" s="2" t="str">
        <v>Brand A</v>
      </c>
      <c r="H215" s="5">
        <v>22000</v>
      </c>
      <c r="I215" s="2">
        <v>3</v>
      </c>
      <c r="J215" s="2">
        <v>0</v>
      </c>
      <c r="K215" s="8">
        <f t="shared" si="18"/>
        <v>66000</v>
      </c>
      <c r="L215" s="8">
        <f t="shared" si="19"/>
        <v>0</v>
      </c>
      <c r="M215" s="8">
        <f t="shared" si="20"/>
        <v>66000</v>
      </c>
      <c r="N215" s="5">
        <v>80000</v>
      </c>
      <c r="O215" s="8">
        <f t="shared" si="21"/>
        <v>146000</v>
      </c>
      <c r="P215" s="2" t="s">
        <v>29</v>
      </c>
      <c r="Q215" s="10" t="str">
        <f>VLOOKUP(A215,Status!A:B,2,0)</f>
        <v>Completed</v>
      </c>
      <c r="R215" s="2" t="s">
        <v>36</v>
      </c>
      <c r="S215" s="2">
        <v>3</v>
      </c>
      <c r="T215" s="2" t="s">
        <v>37</v>
      </c>
      <c r="U215" s="10" t="str">
        <f t="shared" si="23"/>
        <v>Feb</v>
      </c>
      <c r="V215" s="10">
        <f t="shared" si="22"/>
        <v>2025</v>
      </c>
      <c r="W215" t="e" cm="1">
        <f t="array" ref="W215">_xlfn.IFS(U215="January",1,U215="February",2,U215="March",3,U215="April",4,U215="May",5,U215="June",6,U215="July",7,U215="August",8,U215="September",9,U215="October",10,U215="November",11,U215="December",12)</f>
        <v>#N/A</v>
      </c>
    </row>
    <row r="216" spans="1:23" ht="15.75" customHeight="1" x14ac:dyDescent="0.25">
      <c r="A216" s="2" t="s">
        <v>1159</v>
      </c>
      <c r="B216" s="3">
        <v>45696.675034722219</v>
      </c>
      <c r="C216" s="2" t="s">
        <v>1160</v>
      </c>
      <c r="D216" s="2" t="s">
        <v>96</v>
      </c>
      <c r="E216" s="2" t="s">
        <v>144</v>
      </c>
      <c r="F216" s="2" t="str" cm="1">
        <f t="array" ref="F216:G216">_xlfn.TEXTSPLIT(E216," - ")</f>
        <v>Gula Pasir</v>
      </c>
      <c r="G216" s="2" t="str">
        <v>Brand C</v>
      </c>
      <c r="H216" s="5">
        <v>18000</v>
      </c>
      <c r="I216" s="2">
        <v>2</v>
      </c>
      <c r="J216" s="2">
        <v>20</v>
      </c>
      <c r="K216" s="8">
        <f t="shared" si="18"/>
        <v>36000</v>
      </c>
      <c r="L216" s="8">
        <f t="shared" si="19"/>
        <v>7200</v>
      </c>
      <c r="M216" s="8">
        <f t="shared" si="20"/>
        <v>28800</v>
      </c>
      <c r="N216" s="5">
        <v>49000</v>
      </c>
      <c r="O216" s="8">
        <f t="shared" si="21"/>
        <v>77800</v>
      </c>
      <c r="P216" s="2" t="s">
        <v>63</v>
      </c>
      <c r="Q216" s="10" t="str">
        <f>VLOOKUP(A216,Status!A:B,2,0)</f>
        <v>Returned</v>
      </c>
      <c r="R216" s="2" t="s">
        <v>82</v>
      </c>
      <c r="S216" s="2">
        <v>3</v>
      </c>
      <c r="T216" s="2" t="s">
        <v>24</v>
      </c>
      <c r="U216" s="10" t="str">
        <f t="shared" si="23"/>
        <v>Feb</v>
      </c>
      <c r="V216" s="10">
        <f t="shared" si="22"/>
        <v>2025</v>
      </c>
      <c r="W216" t="e" cm="1">
        <f t="array" ref="W216">_xlfn.IFS(U216="January",1,U216="February",2,U216="March",3,U216="April",4,U216="May",5,U216="June",6,U216="July",7,U216="August",8,U216="September",9,U216="October",10,U216="November",11,U216="December",12)</f>
        <v>#N/A</v>
      </c>
    </row>
    <row r="217" spans="1:23" ht="15.75" customHeight="1" x14ac:dyDescent="0.25">
      <c r="A217" s="2" t="s">
        <v>1161</v>
      </c>
      <c r="B217" s="3">
        <v>45696.889548611107</v>
      </c>
      <c r="C217" s="2" t="s">
        <v>836</v>
      </c>
      <c r="D217" s="2" t="s">
        <v>33</v>
      </c>
      <c r="E217" s="2" t="s">
        <v>38</v>
      </c>
      <c r="F217" s="2" t="str" cm="1">
        <f t="array" ref="F217:G217">_xlfn.TEXTSPLIT(E217," - ")</f>
        <v>Telur Ayam</v>
      </c>
      <c r="G217" s="2" t="str">
        <v>Brand C</v>
      </c>
      <c r="H217" s="5">
        <v>28000</v>
      </c>
      <c r="I217" s="2">
        <v>2</v>
      </c>
      <c r="J217" s="2">
        <v>0</v>
      </c>
      <c r="K217" s="8">
        <f t="shared" si="18"/>
        <v>56000</v>
      </c>
      <c r="L217" s="8">
        <f t="shared" si="19"/>
        <v>0</v>
      </c>
      <c r="M217" s="8">
        <f t="shared" si="20"/>
        <v>56000</v>
      </c>
      <c r="N217" s="5">
        <v>76000</v>
      </c>
      <c r="O217" s="8">
        <f t="shared" si="21"/>
        <v>132000</v>
      </c>
      <c r="P217" s="2" t="s">
        <v>29</v>
      </c>
      <c r="Q217" s="10" t="str">
        <f>VLOOKUP(A217,Status!A:B,2,0)</f>
        <v>Completed</v>
      </c>
      <c r="R217" s="2" t="s">
        <v>46</v>
      </c>
      <c r="S217" s="2">
        <v>2</v>
      </c>
      <c r="T217" s="2" t="s">
        <v>37</v>
      </c>
      <c r="U217" s="10" t="str">
        <f t="shared" si="23"/>
        <v>Feb</v>
      </c>
      <c r="V217" s="10">
        <f t="shared" si="22"/>
        <v>2025</v>
      </c>
      <c r="W217" t="e" cm="1">
        <f t="array" ref="W217">_xlfn.IFS(U217="January",1,U217="February",2,U217="March",3,U217="April",4,U217="May",5,U217="June",6,U217="July",7,U217="August",8,U217="September",9,U217="October",10,U217="November",11,U217="December",12)</f>
        <v>#N/A</v>
      </c>
    </row>
    <row r="218" spans="1:23" ht="15.75" customHeight="1" x14ac:dyDescent="0.25">
      <c r="A218" s="2" t="s">
        <v>1162</v>
      </c>
      <c r="B218" s="3">
        <v>45696.894375000003</v>
      </c>
      <c r="C218" s="2" t="s">
        <v>1066</v>
      </c>
      <c r="D218" s="2" t="s">
        <v>113</v>
      </c>
      <c r="E218" s="2" t="s">
        <v>75</v>
      </c>
      <c r="F218" s="2" t="str" cm="1">
        <f t="array" ref="F218:G218">_xlfn.TEXTSPLIT(E218," - ")</f>
        <v>Susu Bubuk</v>
      </c>
      <c r="G218" s="2" t="str">
        <v>Brand C</v>
      </c>
      <c r="H218" s="5">
        <v>55000</v>
      </c>
      <c r="I218" s="2">
        <v>3</v>
      </c>
      <c r="J218" s="2">
        <v>5</v>
      </c>
      <c r="K218" s="8">
        <f t="shared" si="18"/>
        <v>165000</v>
      </c>
      <c r="L218" s="8">
        <f t="shared" si="19"/>
        <v>8250</v>
      </c>
      <c r="M218" s="8">
        <f t="shared" si="20"/>
        <v>156750</v>
      </c>
      <c r="N218" s="5">
        <v>18000</v>
      </c>
      <c r="O218" s="8">
        <f t="shared" si="21"/>
        <v>174750</v>
      </c>
      <c r="P218" s="2" t="s">
        <v>63</v>
      </c>
      <c r="Q218" s="10" t="str">
        <f>VLOOKUP(A218,Status!A:B,2,0)</f>
        <v>Cancelled</v>
      </c>
      <c r="R218" s="2" t="s">
        <v>36</v>
      </c>
      <c r="S218" s="2">
        <v>3</v>
      </c>
      <c r="T218" s="2" t="s">
        <v>24</v>
      </c>
      <c r="U218" s="10" t="str">
        <f t="shared" si="23"/>
        <v>Feb</v>
      </c>
      <c r="V218" s="10">
        <f t="shared" si="22"/>
        <v>2025</v>
      </c>
      <c r="W218" t="e" cm="1">
        <f t="array" ref="W218">_xlfn.IFS(U218="January",1,U218="February",2,U218="March",3,U218="April",4,U218="May",5,U218="June",6,U218="July",7,U218="August",8,U218="September",9,U218="October",10,U218="November",11,U218="December",12)</f>
        <v>#N/A</v>
      </c>
    </row>
    <row r="219" spans="1:23" ht="15.75" customHeight="1" x14ac:dyDescent="0.25">
      <c r="A219" s="2" t="s">
        <v>1163</v>
      </c>
      <c r="B219" s="3">
        <v>45697.154942129629</v>
      </c>
      <c r="C219" s="2" t="s">
        <v>654</v>
      </c>
      <c r="D219" s="2" t="s">
        <v>375</v>
      </c>
      <c r="E219" s="2" t="s">
        <v>54</v>
      </c>
      <c r="F219" s="2" t="str" cm="1">
        <f t="array" ref="F219:G219">_xlfn.TEXTSPLIT(E219," - ")</f>
        <v>Beras</v>
      </c>
      <c r="G219" s="2" t="str">
        <v>Brand C</v>
      </c>
      <c r="H219" s="5">
        <v>16000</v>
      </c>
      <c r="I219" s="2">
        <v>3</v>
      </c>
      <c r="J219" s="2">
        <v>5</v>
      </c>
      <c r="K219" s="8">
        <f t="shared" si="18"/>
        <v>48000</v>
      </c>
      <c r="L219" s="8">
        <f t="shared" si="19"/>
        <v>2400</v>
      </c>
      <c r="M219" s="8">
        <f t="shared" si="20"/>
        <v>45600</v>
      </c>
      <c r="N219" s="5">
        <v>21000</v>
      </c>
      <c r="O219" s="8">
        <f t="shared" si="21"/>
        <v>66600</v>
      </c>
      <c r="P219" s="2" t="s">
        <v>63</v>
      </c>
      <c r="Q219" s="10" t="str">
        <f>VLOOKUP(A219,Status!A:B,2,0)</f>
        <v>Completed</v>
      </c>
      <c r="R219" s="2" t="s">
        <v>23</v>
      </c>
      <c r="S219" s="2">
        <v>5</v>
      </c>
      <c r="T219" s="2" t="s">
        <v>24</v>
      </c>
      <c r="U219" s="10" t="str">
        <f t="shared" si="23"/>
        <v>Feb</v>
      </c>
      <c r="V219" s="10">
        <f t="shared" si="22"/>
        <v>2025</v>
      </c>
      <c r="W219" t="e" cm="1">
        <f t="array" ref="W219">_xlfn.IFS(U219="January",1,U219="February",2,U219="March",3,U219="April",4,U219="May",5,U219="June",6,U219="July",7,U219="August",8,U219="September",9,U219="October",10,U219="November",11,U219="December",12)</f>
        <v>#N/A</v>
      </c>
    </row>
    <row r="220" spans="1:23" ht="15.75" customHeight="1" x14ac:dyDescent="0.25">
      <c r="A220" s="2" t="s">
        <v>1164</v>
      </c>
      <c r="B220" s="3">
        <v>45697.373240740737</v>
      </c>
      <c r="C220" s="2" t="s">
        <v>311</v>
      </c>
      <c r="D220" s="2" t="s">
        <v>116</v>
      </c>
      <c r="E220" s="2" t="s">
        <v>62</v>
      </c>
      <c r="F220" s="2" t="str" cm="1">
        <f t="array" ref="F220:G220">_xlfn.TEXTSPLIT(E220," - ")</f>
        <v>Susu Bubuk</v>
      </c>
      <c r="G220" s="2" t="str">
        <v>Brand B</v>
      </c>
      <c r="H220" s="5">
        <v>50000</v>
      </c>
      <c r="I220" s="2">
        <v>5</v>
      </c>
      <c r="J220" s="2">
        <v>10</v>
      </c>
      <c r="K220" s="8">
        <f t="shared" si="18"/>
        <v>250000</v>
      </c>
      <c r="L220" s="8">
        <f t="shared" si="19"/>
        <v>25000</v>
      </c>
      <c r="M220" s="8">
        <f t="shared" si="20"/>
        <v>225000</v>
      </c>
      <c r="N220" s="5">
        <v>72000</v>
      </c>
      <c r="O220" s="8">
        <f t="shared" si="21"/>
        <v>297000</v>
      </c>
      <c r="P220" s="2" t="s">
        <v>63</v>
      </c>
      <c r="Q220" s="10" t="str">
        <f>VLOOKUP(A220,Status!A:B,2,0)</f>
        <v>Completed</v>
      </c>
      <c r="R220" s="2" t="s">
        <v>46</v>
      </c>
      <c r="S220" s="2">
        <v>3</v>
      </c>
      <c r="T220" s="2" t="s">
        <v>24</v>
      </c>
      <c r="U220" s="10" t="str">
        <f t="shared" si="23"/>
        <v>Feb</v>
      </c>
      <c r="V220" s="10">
        <f t="shared" si="22"/>
        <v>2025</v>
      </c>
      <c r="W220" t="e" cm="1">
        <f t="array" ref="W220">_xlfn.IFS(U220="January",1,U220="February",2,U220="March",3,U220="April",4,U220="May",5,U220="June",6,U220="July",7,U220="August",8,U220="September",9,U220="October",10,U220="November",11,U220="December",12)</f>
        <v>#N/A</v>
      </c>
    </row>
    <row r="221" spans="1:23" ht="15.75" customHeight="1" x14ac:dyDescent="0.25">
      <c r="A221" s="2" t="s">
        <v>1165</v>
      </c>
      <c r="B221" s="3">
        <v>45698.16673611111</v>
      </c>
      <c r="C221" s="2" t="s">
        <v>1047</v>
      </c>
      <c r="D221" s="2" t="s">
        <v>160</v>
      </c>
      <c r="E221" s="2" t="s">
        <v>250</v>
      </c>
      <c r="F221" s="2" t="str" cm="1">
        <f t="array" ref="F221:G221">_xlfn.TEXTSPLIT(E221," - ")</f>
        <v>Minyak Goreng</v>
      </c>
      <c r="G221" s="2" t="str">
        <v>Brand C</v>
      </c>
      <c r="H221" s="5">
        <v>18000</v>
      </c>
      <c r="I221" s="2">
        <v>3</v>
      </c>
      <c r="J221" s="2">
        <v>15</v>
      </c>
      <c r="K221" s="8">
        <f t="shared" si="18"/>
        <v>54000</v>
      </c>
      <c r="L221" s="8">
        <f t="shared" si="19"/>
        <v>8100</v>
      </c>
      <c r="M221" s="8">
        <f t="shared" si="20"/>
        <v>45900</v>
      </c>
      <c r="N221" s="5">
        <v>68000</v>
      </c>
      <c r="O221" s="8">
        <f t="shared" si="21"/>
        <v>113900</v>
      </c>
      <c r="P221" s="2" t="s">
        <v>63</v>
      </c>
      <c r="Q221" s="10" t="str">
        <f>VLOOKUP(A221,Status!A:B,2,0)</f>
        <v>Completed</v>
      </c>
      <c r="R221" s="2" t="s">
        <v>82</v>
      </c>
      <c r="S221" s="2">
        <v>4</v>
      </c>
      <c r="T221" s="2" t="s">
        <v>24</v>
      </c>
      <c r="U221" s="10" t="str">
        <f t="shared" si="23"/>
        <v>Feb</v>
      </c>
      <c r="V221" s="10">
        <f t="shared" si="22"/>
        <v>2025</v>
      </c>
      <c r="W221" t="e" cm="1">
        <f t="array" ref="W221">_xlfn.IFS(U221="January",1,U221="February",2,U221="March",3,U221="April",4,U221="May",5,U221="June",6,U221="July",7,U221="August",8,U221="September",9,U221="October",10,U221="November",11,U221="December",12)</f>
        <v>#N/A</v>
      </c>
    </row>
    <row r="222" spans="1:23" ht="15.75" customHeight="1" x14ac:dyDescent="0.25">
      <c r="A222" s="2" t="s">
        <v>1166</v>
      </c>
      <c r="B222" s="3">
        <v>45698.298506944448</v>
      </c>
      <c r="C222" s="2" t="s">
        <v>416</v>
      </c>
      <c r="D222" s="2" t="s">
        <v>131</v>
      </c>
      <c r="E222" s="2" t="s">
        <v>28</v>
      </c>
      <c r="F222" s="2" t="str" cm="1">
        <f t="array" ref="F222:G222">_xlfn.TEXTSPLIT(E222," - ")</f>
        <v>Garam</v>
      </c>
      <c r="G222" s="2" t="str">
        <v>Brand B</v>
      </c>
      <c r="H222" s="5">
        <v>5000</v>
      </c>
      <c r="I222" s="2">
        <v>1</v>
      </c>
      <c r="J222" s="2">
        <v>10</v>
      </c>
      <c r="K222" s="8">
        <f t="shared" si="18"/>
        <v>5000</v>
      </c>
      <c r="L222" s="8">
        <f t="shared" si="19"/>
        <v>500</v>
      </c>
      <c r="M222" s="8">
        <f t="shared" si="20"/>
        <v>4500</v>
      </c>
      <c r="N222" s="5">
        <v>59000</v>
      </c>
      <c r="O222" s="8">
        <f t="shared" si="21"/>
        <v>63500</v>
      </c>
      <c r="P222" s="2" t="s">
        <v>63</v>
      </c>
      <c r="Q222" s="10" t="str">
        <f>VLOOKUP(A222,Status!A:B,2,0)</f>
        <v>Completed</v>
      </c>
      <c r="R222" s="2" t="s">
        <v>36</v>
      </c>
      <c r="S222" s="2">
        <v>4</v>
      </c>
      <c r="T222" s="2" t="s">
        <v>24</v>
      </c>
      <c r="U222" s="10" t="str">
        <f t="shared" si="23"/>
        <v>Feb</v>
      </c>
      <c r="V222" s="10">
        <f t="shared" si="22"/>
        <v>2025</v>
      </c>
      <c r="W222" t="e" cm="1">
        <f t="array" ref="W222">_xlfn.IFS(U222="January",1,U222="February",2,U222="March",3,U222="April",4,U222="May",5,U222="June",6,U222="July",7,U222="August",8,U222="September",9,U222="October",10,U222="November",11,U222="December",12)</f>
        <v>#N/A</v>
      </c>
    </row>
    <row r="223" spans="1:23" ht="15.75" customHeight="1" x14ac:dyDescent="0.25">
      <c r="A223" s="2" t="s">
        <v>1167</v>
      </c>
      <c r="B223" s="3">
        <v>45698.61142361111</v>
      </c>
      <c r="C223" s="2" t="s">
        <v>557</v>
      </c>
      <c r="D223" s="2" t="s">
        <v>173</v>
      </c>
      <c r="E223" s="2" t="s">
        <v>21</v>
      </c>
      <c r="F223" s="2" t="str" cm="1">
        <f t="array" ref="F223:G223">_xlfn.TEXTSPLIT(E223," - ")</f>
        <v>Daging Ayam</v>
      </c>
      <c r="G223" s="2" t="str">
        <v>Brand C</v>
      </c>
      <c r="H223" s="5">
        <v>45000</v>
      </c>
      <c r="I223" s="2">
        <v>5</v>
      </c>
      <c r="J223" s="2">
        <v>20</v>
      </c>
      <c r="K223" s="8">
        <f t="shared" si="18"/>
        <v>225000</v>
      </c>
      <c r="L223" s="8">
        <f t="shared" si="19"/>
        <v>45000</v>
      </c>
      <c r="M223" s="8">
        <f t="shared" si="20"/>
        <v>180000</v>
      </c>
      <c r="N223" s="5">
        <v>49000</v>
      </c>
      <c r="O223" s="8">
        <f t="shared" si="21"/>
        <v>229000</v>
      </c>
      <c r="P223" s="2" t="s">
        <v>35</v>
      </c>
      <c r="Q223" s="10" t="str">
        <f>VLOOKUP(A223,Status!A:B,2,0)</f>
        <v>Returned</v>
      </c>
      <c r="R223" s="2" t="s">
        <v>23</v>
      </c>
      <c r="S223" s="2">
        <v>3</v>
      </c>
      <c r="T223" s="2" t="s">
        <v>24</v>
      </c>
      <c r="U223" s="10" t="str">
        <f t="shared" si="23"/>
        <v>Feb</v>
      </c>
      <c r="V223" s="10">
        <f t="shared" si="22"/>
        <v>2025</v>
      </c>
      <c r="W223" t="e" cm="1">
        <f t="array" ref="W223">_xlfn.IFS(U223="January",1,U223="February",2,U223="March",3,U223="April",4,U223="May",5,U223="June",6,U223="July",7,U223="August",8,U223="September",9,U223="October",10,U223="November",11,U223="December",12)</f>
        <v>#N/A</v>
      </c>
    </row>
    <row r="224" spans="1:23" ht="15.75" customHeight="1" x14ac:dyDescent="0.25">
      <c r="A224" s="2" t="s">
        <v>1168</v>
      </c>
      <c r="B224" s="3">
        <v>45698.775995370372</v>
      </c>
      <c r="C224" s="2" t="s">
        <v>598</v>
      </c>
      <c r="D224" s="2" t="s">
        <v>61</v>
      </c>
      <c r="E224" s="2" t="s">
        <v>138</v>
      </c>
      <c r="F224" s="2" t="str" cm="1">
        <f t="array" ref="F224:G224">_xlfn.TEXTSPLIT(E224," - ")</f>
        <v>Gula Pasir</v>
      </c>
      <c r="G224" s="2" t="str">
        <v>Brand B</v>
      </c>
      <c r="H224" s="5">
        <v>17000</v>
      </c>
      <c r="I224" s="2">
        <v>1</v>
      </c>
      <c r="J224" s="2">
        <v>20</v>
      </c>
      <c r="K224" s="8">
        <f t="shared" si="18"/>
        <v>17000</v>
      </c>
      <c r="L224" s="8">
        <f t="shared" si="19"/>
        <v>3400</v>
      </c>
      <c r="M224" s="8">
        <f t="shared" si="20"/>
        <v>13600</v>
      </c>
      <c r="N224" s="5">
        <v>26000</v>
      </c>
      <c r="O224" s="8">
        <f t="shared" si="21"/>
        <v>39600</v>
      </c>
      <c r="P224" s="2" t="s">
        <v>35</v>
      </c>
      <c r="Q224" s="10" t="str">
        <f>VLOOKUP(A224,Status!A:B,2,0)</f>
        <v>Completed</v>
      </c>
      <c r="R224" s="2" t="s">
        <v>30</v>
      </c>
      <c r="S224" s="2">
        <v>3</v>
      </c>
      <c r="T224" s="2" t="s">
        <v>24</v>
      </c>
      <c r="U224" s="10" t="str">
        <f t="shared" si="23"/>
        <v>Feb</v>
      </c>
      <c r="V224" s="10">
        <f t="shared" si="22"/>
        <v>2025</v>
      </c>
      <c r="W224" t="e" cm="1">
        <f t="array" ref="W224">_xlfn.IFS(U224="January",1,U224="February",2,U224="March",3,U224="April",4,U224="May",5,U224="June",6,U224="July",7,U224="August",8,U224="September",9,U224="October",10,U224="November",11,U224="December",12)</f>
        <v>#N/A</v>
      </c>
    </row>
    <row r="225" spans="1:23" ht="15.75" customHeight="1" x14ac:dyDescent="0.25">
      <c r="A225" s="2" t="s">
        <v>1169</v>
      </c>
      <c r="B225" s="3">
        <v>45698.947395833333</v>
      </c>
      <c r="C225" s="2" t="s">
        <v>644</v>
      </c>
      <c r="D225" s="2" t="s">
        <v>244</v>
      </c>
      <c r="E225" s="2" t="s">
        <v>174</v>
      </c>
      <c r="F225" s="2" t="str" cm="1">
        <f t="array" ref="F225:G225">_xlfn.TEXTSPLIT(E225," - ")</f>
        <v>Tepung Terigu</v>
      </c>
      <c r="G225" s="2" t="str">
        <v>Brand A</v>
      </c>
      <c r="H225" s="5">
        <v>10000</v>
      </c>
      <c r="I225" s="2">
        <v>2</v>
      </c>
      <c r="J225" s="2">
        <v>10</v>
      </c>
      <c r="K225" s="8">
        <f t="shared" si="18"/>
        <v>20000</v>
      </c>
      <c r="L225" s="8">
        <f t="shared" si="19"/>
        <v>2000</v>
      </c>
      <c r="M225" s="8">
        <f t="shared" si="20"/>
        <v>18000</v>
      </c>
      <c r="N225" s="5">
        <v>80000</v>
      </c>
      <c r="O225" s="8">
        <f t="shared" si="21"/>
        <v>98000</v>
      </c>
      <c r="P225" s="2" t="s">
        <v>29</v>
      </c>
      <c r="Q225" s="10" t="str">
        <f>VLOOKUP(A225,Status!A:B,2,0)</f>
        <v>Completed</v>
      </c>
      <c r="R225" s="2" t="s">
        <v>46</v>
      </c>
      <c r="S225" s="2">
        <v>1</v>
      </c>
      <c r="T225" s="2" t="s">
        <v>24</v>
      </c>
      <c r="U225" s="10" t="str">
        <f t="shared" si="23"/>
        <v>Feb</v>
      </c>
      <c r="V225" s="10">
        <f t="shared" si="22"/>
        <v>2025</v>
      </c>
      <c r="W225" t="e" cm="1">
        <f t="array" ref="W225">_xlfn.IFS(U225="January",1,U225="February",2,U225="March",3,U225="April",4,U225="May",5,U225="June",6,U225="July",7,U225="August",8,U225="September",9,U225="October",10,U225="November",11,U225="December",12)</f>
        <v>#N/A</v>
      </c>
    </row>
    <row r="226" spans="1:23" ht="15.75" customHeight="1" x14ac:dyDescent="0.25">
      <c r="A226" s="2" t="s">
        <v>1170</v>
      </c>
      <c r="B226" s="3">
        <v>45699.032824074071</v>
      </c>
      <c r="C226" s="2" t="s">
        <v>353</v>
      </c>
      <c r="D226" s="2" t="s">
        <v>66</v>
      </c>
      <c r="E226" s="2" t="s">
        <v>250</v>
      </c>
      <c r="F226" s="2" t="str" cm="1">
        <f t="array" ref="F226:G226">_xlfn.TEXTSPLIT(E226," - ")</f>
        <v>Minyak Goreng</v>
      </c>
      <c r="G226" s="2" t="str">
        <v>Brand C</v>
      </c>
      <c r="H226" s="5">
        <v>18000</v>
      </c>
      <c r="I226" s="2">
        <v>1</v>
      </c>
      <c r="J226" s="2">
        <v>0</v>
      </c>
      <c r="K226" s="8">
        <f t="shared" si="18"/>
        <v>18000</v>
      </c>
      <c r="L226" s="8">
        <f t="shared" si="19"/>
        <v>0</v>
      </c>
      <c r="M226" s="8">
        <f t="shared" si="20"/>
        <v>18000</v>
      </c>
      <c r="N226" s="5">
        <v>59000</v>
      </c>
      <c r="O226" s="8">
        <f t="shared" si="21"/>
        <v>77000</v>
      </c>
      <c r="P226" s="2" t="s">
        <v>35</v>
      </c>
      <c r="Q226" s="10" t="str">
        <f>VLOOKUP(A226,Status!A:B,2,0)</f>
        <v>Completed</v>
      </c>
      <c r="R226" s="2" t="s">
        <v>23</v>
      </c>
      <c r="S226" s="2">
        <v>5</v>
      </c>
      <c r="T226" s="2" t="s">
        <v>24</v>
      </c>
      <c r="U226" s="10" t="str">
        <f t="shared" si="23"/>
        <v>Feb</v>
      </c>
      <c r="V226" s="10">
        <f t="shared" si="22"/>
        <v>2025</v>
      </c>
      <c r="W226" t="e" cm="1">
        <f t="array" ref="W226">_xlfn.IFS(U226="January",1,U226="February",2,U226="March",3,U226="April",4,U226="May",5,U226="June",6,U226="July",7,U226="August",8,U226="September",9,U226="October",10,U226="November",11,U226="December",12)</f>
        <v>#N/A</v>
      </c>
    </row>
    <row r="227" spans="1:23" ht="15.75" customHeight="1" x14ac:dyDescent="0.25">
      <c r="A227" s="2" t="s">
        <v>1171</v>
      </c>
      <c r="B227" s="3">
        <v>45699.038425925923</v>
      </c>
      <c r="C227" s="2" t="s">
        <v>437</v>
      </c>
      <c r="D227" s="2" t="s">
        <v>375</v>
      </c>
      <c r="E227" s="2" t="s">
        <v>34</v>
      </c>
      <c r="F227" s="2" t="str" cm="1">
        <f t="array" ref="F227:G227">_xlfn.TEXTSPLIT(E227," - ")</f>
        <v>Minyak Goreng</v>
      </c>
      <c r="G227" s="2" t="str">
        <v>Brand A</v>
      </c>
      <c r="H227" s="5">
        <v>16000</v>
      </c>
      <c r="I227" s="2">
        <v>1</v>
      </c>
      <c r="J227" s="2">
        <v>10</v>
      </c>
      <c r="K227" s="8">
        <f t="shared" si="18"/>
        <v>16000</v>
      </c>
      <c r="L227" s="8">
        <f t="shared" si="19"/>
        <v>1600</v>
      </c>
      <c r="M227" s="8">
        <f t="shared" si="20"/>
        <v>14400</v>
      </c>
      <c r="N227" s="5">
        <v>21000</v>
      </c>
      <c r="O227" s="8">
        <f t="shared" si="21"/>
        <v>35400</v>
      </c>
      <c r="P227" s="2" t="s">
        <v>35</v>
      </c>
      <c r="Q227" s="10" t="str">
        <f>VLOOKUP(A227,Status!A:B,2,0)</f>
        <v>Completed</v>
      </c>
      <c r="R227" s="2" t="s">
        <v>82</v>
      </c>
      <c r="S227" s="2">
        <v>2</v>
      </c>
      <c r="T227" s="2" t="s">
        <v>24</v>
      </c>
      <c r="U227" s="10" t="str">
        <f t="shared" si="23"/>
        <v>Feb</v>
      </c>
      <c r="V227" s="10">
        <f t="shared" si="22"/>
        <v>2025</v>
      </c>
      <c r="W227" t="e" cm="1">
        <f t="array" ref="W227">_xlfn.IFS(U227="January",1,U227="February",2,U227="March",3,U227="April",4,U227="May",5,U227="June",6,U227="July",7,U227="August",8,U227="September",9,U227="October",10,U227="November",11,U227="December",12)</f>
        <v>#N/A</v>
      </c>
    </row>
    <row r="228" spans="1:23" ht="15.75" customHeight="1" x14ac:dyDescent="0.25">
      <c r="A228" s="2" t="s">
        <v>1172</v>
      </c>
      <c r="B228" s="3">
        <v>45699.473240740743</v>
      </c>
      <c r="C228" s="2" t="s">
        <v>1173</v>
      </c>
      <c r="D228" s="2" t="s">
        <v>170</v>
      </c>
      <c r="E228" s="2" t="s">
        <v>174</v>
      </c>
      <c r="F228" s="2" t="str" cm="1">
        <f t="array" ref="F228:G228">_xlfn.TEXTSPLIT(E228," - ")</f>
        <v>Tepung Terigu</v>
      </c>
      <c r="G228" s="2" t="str">
        <v>Brand A</v>
      </c>
      <c r="H228" s="5">
        <v>10000</v>
      </c>
      <c r="I228" s="2">
        <v>1</v>
      </c>
      <c r="J228" s="2">
        <v>15</v>
      </c>
      <c r="K228" s="8">
        <f t="shared" si="18"/>
        <v>10000</v>
      </c>
      <c r="L228" s="8">
        <f t="shared" si="19"/>
        <v>1500</v>
      </c>
      <c r="M228" s="8">
        <f t="shared" si="20"/>
        <v>8500</v>
      </c>
      <c r="N228" s="5">
        <v>46000</v>
      </c>
      <c r="O228" s="8">
        <f t="shared" si="21"/>
        <v>54500</v>
      </c>
      <c r="P228" s="2" t="s">
        <v>35</v>
      </c>
      <c r="Q228" s="10" t="str">
        <f>VLOOKUP(A228,Status!A:B,2,0)</f>
        <v>Completed</v>
      </c>
      <c r="R228" s="2" t="s">
        <v>82</v>
      </c>
      <c r="S228" s="2">
        <v>2</v>
      </c>
      <c r="T228" s="2" t="s">
        <v>24</v>
      </c>
      <c r="U228" s="10" t="str">
        <f t="shared" si="23"/>
        <v>Feb</v>
      </c>
      <c r="V228" s="10">
        <f t="shared" si="22"/>
        <v>2025</v>
      </c>
      <c r="W228" t="e" cm="1">
        <f t="array" ref="W228">_xlfn.IFS(U228="January",1,U228="February",2,U228="March",3,U228="April",4,U228="May",5,U228="June",6,U228="July",7,U228="August",8,U228="September",9,U228="October",10,U228="November",11,U228="December",12)</f>
        <v>#N/A</v>
      </c>
    </row>
    <row r="229" spans="1:23" ht="15.75" customHeight="1" x14ac:dyDescent="0.25">
      <c r="A229" s="2" t="s">
        <v>1174</v>
      </c>
      <c r="B229" s="3">
        <v>45699.704618055563</v>
      </c>
      <c r="C229" s="2" t="s">
        <v>229</v>
      </c>
      <c r="D229" s="2" t="s">
        <v>195</v>
      </c>
      <c r="E229" s="2" t="s">
        <v>144</v>
      </c>
      <c r="F229" s="2" t="str" cm="1">
        <f t="array" ref="F229:G229">_xlfn.TEXTSPLIT(E229," - ")</f>
        <v>Gula Pasir</v>
      </c>
      <c r="G229" s="2" t="str">
        <v>Brand C</v>
      </c>
      <c r="H229" s="5">
        <v>18000</v>
      </c>
      <c r="I229" s="2">
        <v>3</v>
      </c>
      <c r="J229" s="2">
        <v>15</v>
      </c>
      <c r="K229" s="8">
        <f t="shared" si="18"/>
        <v>54000</v>
      </c>
      <c r="L229" s="8">
        <f t="shared" si="19"/>
        <v>8100</v>
      </c>
      <c r="M229" s="8">
        <f t="shared" si="20"/>
        <v>45900</v>
      </c>
      <c r="N229" s="5">
        <v>87000</v>
      </c>
      <c r="O229" s="8">
        <f t="shared" si="21"/>
        <v>132900</v>
      </c>
      <c r="P229" s="2" t="s">
        <v>22</v>
      </c>
      <c r="Q229" s="10" t="str">
        <f>VLOOKUP(A229,Status!A:B,2,0)</f>
        <v>Cancelled</v>
      </c>
      <c r="R229" s="2" t="s">
        <v>23</v>
      </c>
      <c r="S229" s="2">
        <v>1</v>
      </c>
      <c r="T229" s="2" t="s">
        <v>24</v>
      </c>
      <c r="U229" s="10" t="str">
        <f t="shared" si="23"/>
        <v>Feb</v>
      </c>
      <c r="V229" s="10">
        <f t="shared" si="22"/>
        <v>2025</v>
      </c>
      <c r="W229" t="e" cm="1">
        <f t="array" ref="W229">_xlfn.IFS(U229="January",1,U229="February",2,U229="March",3,U229="April",4,U229="May",5,U229="June",6,U229="July",7,U229="August",8,U229="September",9,U229="October",10,U229="November",11,U229="December",12)</f>
        <v>#N/A</v>
      </c>
    </row>
    <row r="230" spans="1:23" ht="15.75" customHeight="1" x14ac:dyDescent="0.25">
      <c r="A230" s="2" t="s">
        <v>1175</v>
      </c>
      <c r="B230" s="3">
        <v>45700.082442129627</v>
      </c>
      <c r="C230" s="2" t="s">
        <v>741</v>
      </c>
      <c r="D230" s="2" t="s">
        <v>189</v>
      </c>
      <c r="E230" s="2" t="s">
        <v>110</v>
      </c>
      <c r="F230" s="2" t="str" cm="1">
        <f t="array" ref="F230:G230">_xlfn.TEXTSPLIT(E230," - ")</f>
        <v>Garam</v>
      </c>
      <c r="G230" s="2" t="str">
        <v>Brand C</v>
      </c>
      <c r="H230" s="5">
        <v>6000</v>
      </c>
      <c r="I230" s="2">
        <v>3</v>
      </c>
      <c r="J230" s="2">
        <v>15</v>
      </c>
      <c r="K230" s="8">
        <f t="shared" si="18"/>
        <v>18000</v>
      </c>
      <c r="L230" s="8">
        <f t="shared" si="19"/>
        <v>2700</v>
      </c>
      <c r="M230" s="8">
        <f t="shared" si="20"/>
        <v>15300</v>
      </c>
      <c r="N230" s="5">
        <v>57000</v>
      </c>
      <c r="O230" s="8">
        <f t="shared" si="21"/>
        <v>72300</v>
      </c>
      <c r="P230" s="2" t="s">
        <v>22</v>
      </c>
      <c r="Q230" s="10" t="str">
        <f>VLOOKUP(A230,Status!A:B,2,0)</f>
        <v>Completed</v>
      </c>
      <c r="R230" s="2" t="s">
        <v>23</v>
      </c>
      <c r="S230" s="2">
        <v>5</v>
      </c>
      <c r="T230" s="2" t="s">
        <v>24</v>
      </c>
      <c r="U230" s="10" t="str">
        <f t="shared" si="23"/>
        <v>Feb</v>
      </c>
      <c r="V230" s="10">
        <f t="shared" si="22"/>
        <v>2025</v>
      </c>
      <c r="W230" t="e" cm="1">
        <f t="array" ref="W230">_xlfn.IFS(U230="January",1,U230="February",2,U230="March",3,U230="April",4,U230="May",5,U230="June",6,U230="July",7,U230="August",8,U230="September",9,U230="October",10,U230="November",11,U230="December",12)</f>
        <v>#N/A</v>
      </c>
    </row>
    <row r="231" spans="1:23" ht="15.75" customHeight="1" x14ac:dyDescent="0.25">
      <c r="A231" s="2" t="s">
        <v>1176</v>
      </c>
      <c r="B231" s="3">
        <v>45700.28434027778</v>
      </c>
      <c r="C231" s="2" t="s">
        <v>804</v>
      </c>
      <c r="D231" s="2" t="s">
        <v>49</v>
      </c>
      <c r="E231" s="2" t="s">
        <v>88</v>
      </c>
      <c r="F231" s="2" t="str" cm="1">
        <f t="array" ref="F231:G231">_xlfn.TEXTSPLIT(E231," - ")</f>
        <v>Beras</v>
      </c>
      <c r="G231" s="2" t="str">
        <v>Brand A</v>
      </c>
      <c r="H231" s="5">
        <v>14000</v>
      </c>
      <c r="I231" s="2">
        <v>2</v>
      </c>
      <c r="J231" s="2">
        <v>5</v>
      </c>
      <c r="K231" s="8">
        <f t="shared" si="18"/>
        <v>28000</v>
      </c>
      <c r="L231" s="8">
        <f t="shared" si="19"/>
        <v>1400</v>
      </c>
      <c r="M231" s="8">
        <f t="shared" si="20"/>
        <v>26600</v>
      </c>
      <c r="N231" s="5">
        <v>43000</v>
      </c>
      <c r="O231" s="8">
        <f t="shared" si="21"/>
        <v>69600</v>
      </c>
      <c r="P231" s="2" t="s">
        <v>29</v>
      </c>
      <c r="Q231" s="10" t="str">
        <f>VLOOKUP(A231,Status!A:B,2,0)</f>
        <v>Returned</v>
      </c>
      <c r="R231" s="2" t="s">
        <v>82</v>
      </c>
      <c r="S231" s="2">
        <v>4</v>
      </c>
      <c r="T231" s="2" t="s">
        <v>24</v>
      </c>
      <c r="U231" s="10" t="str">
        <f t="shared" si="23"/>
        <v>Feb</v>
      </c>
      <c r="V231" s="10">
        <f t="shared" si="22"/>
        <v>2025</v>
      </c>
      <c r="W231" t="e" cm="1">
        <f t="array" ref="W231">_xlfn.IFS(U231="January",1,U231="February",2,U231="March",3,U231="April",4,U231="May",5,U231="June",6,U231="July",7,U231="August",8,U231="September",9,U231="October",10,U231="November",11,U231="December",12)</f>
        <v>#N/A</v>
      </c>
    </row>
    <row r="232" spans="1:23" ht="15.75" customHeight="1" x14ac:dyDescent="0.25">
      <c r="A232" s="2" t="s">
        <v>1177</v>
      </c>
      <c r="B232" s="3">
        <v>45700.710787037038</v>
      </c>
      <c r="C232" s="2" t="s">
        <v>222</v>
      </c>
      <c r="D232" s="2" t="s">
        <v>49</v>
      </c>
      <c r="E232" s="2" t="s">
        <v>174</v>
      </c>
      <c r="F232" s="2" t="str" cm="1">
        <f t="array" ref="F232:G232">_xlfn.TEXTSPLIT(E232," - ")</f>
        <v>Tepung Terigu</v>
      </c>
      <c r="G232" s="2" t="str">
        <v>Brand A</v>
      </c>
      <c r="H232" s="5">
        <v>10000</v>
      </c>
      <c r="I232" s="2">
        <v>5</v>
      </c>
      <c r="J232" s="2">
        <v>20</v>
      </c>
      <c r="K232" s="8">
        <f t="shared" si="18"/>
        <v>50000</v>
      </c>
      <c r="L232" s="8">
        <f t="shared" si="19"/>
        <v>10000</v>
      </c>
      <c r="M232" s="8">
        <f t="shared" si="20"/>
        <v>40000</v>
      </c>
      <c r="N232" s="5">
        <v>43000</v>
      </c>
      <c r="O232" s="8">
        <f t="shared" si="21"/>
        <v>83000</v>
      </c>
      <c r="P232" s="2" t="s">
        <v>22</v>
      </c>
      <c r="Q232" s="10" t="str">
        <f>VLOOKUP(A232,Status!A:B,2,0)</f>
        <v>Cancelled</v>
      </c>
      <c r="R232" s="2" t="s">
        <v>82</v>
      </c>
      <c r="S232" s="2">
        <v>2</v>
      </c>
      <c r="T232" s="2" t="s">
        <v>24</v>
      </c>
      <c r="U232" s="10" t="str">
        <f t="shared" si="23"/>
        <v>Feb</v>
      </c>
      <c r="V232" s="10">
        <f t="shared" si="22"/>
        <v>2025</v>
      </c>
      <c r="W232" t="e" cm="1">
        <f t="array" ref="W232">_xlfn.IFS(U232="January",1,U232="February",2,U232="March",3,U232="April",4,U232="May",5,U232="June",6,U232="July",7,U232="August",8,U232="September",9,U232="October",10,U232="November",11,U232="December",12)</f>
        <v>#N/A</v>
      </c>
    </row>
    <row r="233" spans="1:23" ht="15.75" customHeight="1" x14ac:dyDescent="0.25">
      <c r="A233" s="2" t="s">
        <v>1177</v>
      </c>
      <c r="B233" s="3">
        <v>45700.710787037038</v>
      </c>
      <c r="C233" s="2" t="s">
        <v>222</v>
      </c>
      <c r="D233" s="2" t="s">
        <v>49</v>
      </c>
      <c r="E233" s="2" t="s">
        <v>174</v>
      </c>
      <c r="F233" s="2" t="str" cm="1">
        <f t="array" ref="F233:G233">_xlfn.TEXTSPLIT(E233," - ")</f>
        <v>Tepung Terigu</v>
      </c>
      <c r="G233" s="2" t="str">
        <v>Brand A</v>
      </c>
      <c r="H233" s="5">
        <v>10000</v>
      </c>
      <c r="I233" s="2">
        <v>2</v>
      </c>
      <c r="J233" s="2">
        <v>5</v>
      </c>
      <c r="K233" s="8">
        <f t="shared" si="18"/>
        <v>20000</v>
      </c>
      <c r="L233" s="8">
        <f t="shared" si="19"/>
        <v>1000</v>
      </c>
      <c r="M233" s="8">
        <f t="shared" si="20"/>
        <v>19000</v>
      </c>
      <c r="N233" s="5">
        <v>0</v>
      </c>
      <c r="O233" s="8">
        <f t="shared" si="21"/>
        <v>19000</v>
      </c>
      <c r="P233" s="2" t="s">
        <v>22</v>
      </c>
      <c r="Q233" s="10" t="str">
        <f>VLOOKUP(A233,Status!A:B,2,0)</f>
        <v>Cancelled</v>
      </c>
      <c r="R233" s="2" t="s">
        <v>82</v>
      </c>
      <c r="S233" s="2">
        <v>2</v>
      </c>
      <c r="T233" s="2" t="s">
        <v>24</v>
      </c>
      <c r="U233" s="10" t="str">
        <f t="shared" si="23"/>
        <v>Feb</v>
      </c>
      <c r="V233" s="10">
        <f t="shared" si="22"/>
        <v>2025</v>
      </c>
      <c r="W233" t="e" cm="1">
        <f t="array" ref="W233">_xlfn.IFS(U233="January",1,U233="February",2,U233="March",3,U233="April",4,U233="May",5,U233="June",6,U233="July",7,U233="August",8,U233="September",9,U233="October",10,U233="November",11,U233="December",12)</f>
        <v>#N/A</v>
      </c>
    </row>
    <row r="234" spans="1:23" ht="15.75" customHeight="1" x14ac:dyDescent="0.25">
      <c r="A234" s="2" t="s">
        <v>1178</v>
      </c>
      <c r="B234" s="3">
        <v>45700.962106481478</v>
      </c>
      <c r="C234" s="2" t="s">
        <v>1179</v>
      </c>
      <c r="D234" s="2" t="s">
        <v>170</v>
      </c>
      <c r="E234" s="2" t="s">
        <v>45</v>
      </c>
      <c r="F234" s="2" t="str" cm="1">
        <f t="array" ref="F234:G234">_xlfn.TEXTSPLIT(E234," - ")</f>
        <v>Daging Ayam</v>
      </c>
      <c r="G234" s="2" t="str">
        <v>Brand B</v>
      </c>
      <c r="H234" s="5">
        <v>40000</v>
      </c>
      <c r="I234" s="2">
        <v>1</v>
      </c>
      <c r="J234" s="2">
        <v>0</v>
      </c>
      <c r="K234" s="8">
        <f t="shared" si="18"/>
        <v>40000</v>
      </c>
      <c r="L234" s="8">
        <f t="shared" si="19"/>
        <v>0</v>
      </c>
      <c r="M234" s="8">
        <f t="shared" si="20"/>
        <v>40000</v>
      </c>
      <c r="N234" s="5">
        <v>46000</v>
      </c>
      <c r="O234" s="8">
        <f t="shared" si="21"/>
        <v>86000</v>
      </c>
      <c r="P234" s="2" t="s">
        <v>29</v>
      </c>
      <c r="Q234" s="10" t="str">
        <f>VLOOKUP(A234,Status!A:B,2,0)</f>
        <v>Completed</v>
      </c>
      <c r="R234" s="2" t="s">
        <v>23</v>
      </c>
      <c r="S234" s="2">
        <v>2</v>
      </c>
      <c r="T234" s="2" t="s">
        <v>24</v>
      </c>
      <c r="U234" s="10" t="str">
        <f t="shared" si="23"/>
        <v>Feb</v>
      </c>
      <c r="V234" s="10">
        <f t="shared" si="22"/>
        <v>2025</v>
      </c>
      <c r="W234" t="e" cm="1">
        <f t="array" ref="W234">_xlfn.IFS(U234="January",1,U234="February",2,U234="March",3,U234="April",4,U234="May",5,U234="June",6,U234="July",7,U234="August",8,U234="September",9,U234="October",10,U234="November",11,U234="December",12)</f>
        <v>#N/A</v>
      </c>
    </row>
    <row r="235" spans="1:23" ht="15.75" customHeight="1" x14ac:dyDescent="0.25">
      <c r="A235" s="2" t="s">
        <v>1180</v>
      </c>
      <c r="B235" s="3">
        <v>45701.299745370372</v>
      </c>
      <c r="C235" s="2" t="s">
        <v>211</v>
      </c>
      <c r="D235" s="2" t="s">
        <v>49</v>
      </c>
      <c r="E235" s="2" t="s">
        <v>21</v>
      </c>
      <c r="F235" s="2" t="str" cm="1">
        <f t="array" ref="F235:G235">_xlfn.TEXTSPLIT(E235," - ")</f>
        <v>Daging Ayam</v>
      </c>
      <c r="G235" s="2" t="str">
        <v>Brand C</v>
      </c>
      <c r="H235" s="5">
        <v>45000</v>
      </c>
      <c r="I235" s="2">
        <v>2</v>
      </c>
      <c r="J235" s="2">
        <v>20</v>
      </c>
      <c r="K235" s="8">
        <f t="shared" si="18"/>
        <v>90000</v>
      </c>
      <c r="L235" s="8">
        <f t="shared" si="19"/>
        <v>18000</v>
      </c>
      <c r="M235" s="8">
        <f t="shared" si="20"/>
        <v>72000</v>
      </c>
      <c r="N235" s="5">
        <v>43000</v>
      </c>
      <c r="O235" s="8">
        <f t="shared" si="21"/>
        <v>115000</v>
      </c>
      <c r="P235" s="2" t="s">
        <v>22</v>
      </c>
      <c r="Q235" s="10" t="str">
        <f>VLOOKUP(A235,Status!A:B,2,0)</f>
        <v>Returned</v>
      </c>
      <c r="R235" s="2" t="s">
        <v>30</v>
      </c>
      <c r="S235" s="2">
        <v>3</v>
      </c>
      <c r="T235" s="2" t="s">
        <v>24</v>
      </c>
      <c r="U235" s="10" t="str">
        <f t="shared" si="23"/>
        <v>Feb</v>
      </c>
      <c r="V235" s="10">
        <f t="shared" si="22"/>
        <v>2025</v>
      </c>
      <c r="W235" t="e" cm="1">
        <f t="array" ref="W235">_xlfn.IFS(U235="January",1,U235="February",2,U235="March",3,U235="April",4,U235="May",5,U235="June",6,U235="July",7,U235="August",8,U235="September",9,U235="October",10,U235="November",11,U235="December",12)</f>
        <v>#N/A</v>
      </c>
    </row>
    <row r="236" spans="1:23" ht="15.75" customHeight="1" x14ac:dyDescent="0.25">
      <c r="A236" s="2" t="s">
        <v>1181</v>
      </c>
      <c r="B236" s="3">
        <v>45701.335729166669</v>
      </c>
      <c r="C236" s="2" t="s">
        <v>1091</v>
      </c>
      <c r="D236" s="2" t="s">
        <v>160</v>
      </c>
      <c r="E236" s="2" t="s">
        <v>50</v>
      </c>
      <c r="F236" s="2" t="str" cm="1">
        <f t="array" ref="F236:G236">_xlfn.TEXTSPLIT(E236," - ")</f>
        <v>Tepung Terigu</v>
      </c>
      <c r="G236" s="2" t="str">
        <v>Brand C</v>
      </c>
      <c r="H236" s="5">
        <v>14000</v>
      </c>
      <c r="I236" s="2">
        <v>3</v>
      </c>
      <c r="J236" s="2">
        <v>10</v>
      </c>
      <c r="K236" s="8">
        <f t="shared" si="18"/>
        <v>42000</v>
      </c>
      <c r="L236" s="8">
        <f t="shared" si="19"/>
        <v>4200</v>
      </c>
      <c r="M236" s="8">
        <f t="shared" si="20"/>
        <v>37800</v>
      </c>
      <c r="N236" s="5">
        <v>68000</v>
      </c>
      <c r="O236" s="8">
        <f t="shared" si="21"/>
        <v>105800</v>
      </c>
      <c r="P236" s="2" t="s">
        <v>35</v>
      </c>
      <c r="Q236" s="10" t="str">
        <f>VLOOKUP(A236,Status!A:B,2,0)</f>
        <v>Completed</v>
      </c>
      <c r="R236" s="2" t="s">
        <v>46</v>
      </c>
      <c r="S236" s="2">
        <v>5</v>
      </c>
      <c r="T236" s="2" t="s">
        <v>37</v>
      </c>
      <c r="U236" s="10" t="str">
        <f t="shared" si="23"/>
        <v>Feb</v>
      </c>
      <c r="V236" s="10">
        <f t="shared" si="22"/>
        <v>2025</v>
      </c>
      <c r="W236" t="e" cm="1">
        <f t="array" ref="W236">_xlfn.IFS(U236="January",1,U236="February",2,U236="March",3,U236="April",4,U236="May",5,U236="June",6,U236="July",7,U236="August",8,U236="September",9,U236="October",10,U236="November",11,U236="December",12)</f>
        <v>#N/A</v>
      </c>
    </row>
    <row r="237" spans="1:23" ht="15.75" customHeight="1" x14ac:dyDescent="0.25">
      <c r="A237" s="2" t="s">
        <v>1182</v>
      </c>
      <c r="B237" s="3">
        <v>45701.521331018521</v>
      </c>
      <c r="C237" s="2" t="s">
        <v>133</v>
      </c>
      <c r="D237" s="2" t="s">
        <v>33</v>
      </c>
      <c r="E237" s="2" t="s">
        <v>50</v>
      </c>
      <c r="F237" s="2" t="str" cm="1">
        <f t="array" ref="F237:G237">_xlfn.TEXTSPLIT(E237," - ")</f>
        <v>Tepung Terigu</v>
      </c>
      <c r="G237" s="2" t="str">
        <v>Brand C</v>
      </c>
      <c r="H237" s="5">
        <v>14000</v>
      </c>
      <c r="I237" s="2">
        <v>4</v>
      </c>
      <c r="J237" s="2">
        <v>10</v>
      </c>
      <c r="K237" s="8">
        <f t="shared" si="18"/>
        <v>56000</v>
      </c>
      <c r="L237" s="8">
        <f t="shared" si="19"/>
        <v>5600</v>
      </c>
      <c r="M237" s="8">
        <f t="shared" si="20"/>
        <v>50400</v>
      </c>
      <c r="N237" s="5">
        <v>76000</v>
      </c>
      <c r="O237" s="8">
        <f t="shared" si="21"/>
        <v>126400</v>
      </c>
      <c r="P237" s="2" t="s">
        <v>22</v>
      </c>
      <c r="Q237" s="10" t="str">
        <f>VLOOKUP(A237,Status!A:B,2,0)</f>
        <v>Completed</v>
      </c>
      <c r="R237" s="2" t="s">
        <v>30</v>
      </c>
      <c r="S237" s="2">
        <v>2</v>
      </c>
      <c r="T237" s="2" t="s">
        <v>24</v>
      </c>
      <c r="U237" s="10" t="str">
        <f t="shared" si="23"/>
        <v>Feb</v>
      </c>
      <c r="V237" s="10">
        <f t="shared" si="22"/>
        <v>2025</v>
      </c>
      <c r="W237" t="e" cm="1">
        <f t="array" ref="W237">_xlfn.IFS(U237="January",1,U237="February",2,U237="March",3,U237="April",4,U237="May",5,U237="June",6,U237="July",7,U237="August",8,U237="September",9,U237="October",10,U237="November",11,U237="December",12)</f>
        <v>#N/A</v>
      </c>
    </row>
    <row r="238" spans="1:23" ht="15.75" customHeight="1" x14ac:dyDescent="0.25">
      <c r="A238" s="2" t="s">
        <v>1183</v>
      </c>
      <c r="B238" s="3">
        <v>45701.57744212963</v>
      </c>
      <c r="C238" s="2" t="s">
        <v>722</v>
      </c>
      <c r="D238" s="2" t="s">
        <v>57</v>
      </c>
      <c r="E238" s="2" t="s">
        <v>50</v>
      </c>
      <c r="F238" s="2" t="str" cm="1">
        <f t="array" ref="F238:G238">_xlfn.TEXTSPLIT(E238," - ")</f>
        <v>Tepung Terigu</v>
      </c>
      <c r="G238" s="2" t="str">
        <v>Brand C</v>
      </c>
      <c r="H238" s="5">
        <v>14000</v>
      </c>
      <c r="I238" s="2">
        <v>4</v>
      </c>
      <c r="J238" s="2">
        <v>10</v>
      </c>
      <c r="K238" s="8">
        <f t="shared" si="18"/>
        <v>56000</v>
      </c>
      <c r="L238" s="8">
        <f t="shared" si="19"/>
        <v>5600</v>
      </c>
      <c r="M238" s="8">
        <f t="shared" si="20"/>
        <v>50400</v>
      </c>
      <c r="N238" s="5">
        <v>80000</v>
      </c>
      <c r="O238" s="8">
        <f t="shared" si="21"/>
        <v>130400</v>
      </c>
      <c r="P238" s="2" t="s">
        <v>22</v>
      </c>
      <c r="Q238" s="10" t="str">
        <f>VLOOKUP(A238,Status!A:B,2,0)</f>
        <v>Completed</v>
      </c>
      <c r="R238" s="2" t="s">
        <v>23</v>
      </c>
      <c r="S238" s="2">
        <v>1</v>
      </c>
      <c r="T238" s="2" t="s">
        <v>24</v>
      </c>
      <c r="U238" s="10" t="str">
        <f t="shared" si="23"/>
        <v>Feb</v>
      </c>
      <c r="V238" s="10">
        <f t="shared" si="22"/>
        <v>2025</v>
      </c>
      <c r="W238" t="e" cm="1">
        <f t="array" ref="W238">_xlfn.IFS(U238="January",1,U238="February",2,U238="March",3,U238="April",4,U238="May",5,U238="June",6,U238="July",7,U238="August",8,U238="September",9,U238="October",10,U238="November",11,U238="December",12)</f>
        <v>#N/A</v>
      </c>
    </row>
    <row r="239" spans="1:23" ht="15.75" customHeight="1" x14ac:dyDescent="0.25">
      <c r="A239" s="2" t="s">
        <v>1184</v>
      </c>
      <c r="B239" s="3">
        <v>45701.792673611111</v>
      </c>
      <c r="C239" s="2" t="s">
        <v>167</v>
      </c>
      <c r="D239" s="2" t="s">
        <v>44</v>
      </c>
      <c r="E239" s="2" t="s">
        <v>88</v>
      </c>
      <c r="F239" s="2" t="str" cm="1">
        <f t="array" ref="F239:G239">_xlfn.TEXTSPLIT(E239," - ")</f>
        <v>Beras</v>
      </c>
      <c r="G239" s="2" t="str">
        <v>Brand A</v>
      </c>
      <c r="H239" s="5">
        <v>14000</v>
      </c>
      <c r="I239" s="2">
        <v>2</v>
      </c>
      <c r="J239" s="2">
        <v>15</v>
      </c>
      <c r="K239" s="8">
        <f t="shared" si="18"/>
        <v>28000</v>
      </c>
      <c r="L239" s="8">
        <f t="shared" si="19"/>
        <v>4200</v>
      </c>
      <c r="M239" s="8">
        <f t="shared" si="20"/>
        <v>23800</v>
      </c>
      <c r="N239" s="5">
        <v>93000</v>
      </c>
      <c r="O239" s="8">
        <f t="shared" si="21"/>
        <v>116800</v>
      </c>
      <c r="P239" s="2" t="s">
        <v>22</v>
      </c>
      <c r="Q239" s="10" t="str">
        <f>VLOOKUP(A239,Status!A:B,2,0)</f>
        <v>Cancelled</v>
      </c>
      <c r="R239" s="2" t="s">
        <v>46</v>
      </c>
      <c r="S239" s="2">
        <v>2</v>
      </c>
      <c r="T239" s="2" t="s">
        <v>24</v>
      </c>
      <c r="U239" s="10" t="str">
        <f t="shared" si="23"/>
        <v>Feb</v>
      </c>
      <c r="V239" s="10">
        <f t="shared" si="22"/>
        <v>2025</v>
      </c>
      <c r="W239" t="e" cm="1">
        <f t="array" ref="W239">_xlfn.IFS(U239="January",1,U239="February",2,U239="March",3,U239="April",4,U239="May",5,U239="June",6,U239="July",7,U239="August",8,U239="September",9,U239="October",10,U239="November",11,U239="December",12)</f>
        <v>#N/A</v>
      </c>
    </row>
    <row r="240" spans="1:23" ht="15.75" customHeight="1" x14ac:dyDescent="0.25">
      <c r="A240" s="2" t="s">
        <v>1185</v>
      </c>
      <c r="B240" s="3">
        <v>45702.395196759258</v>
      </c>
      <c r="C240" s="2" t="s">
        <v>470</v>
      </c>
      <c r="D240" s="2" t="s">
        <v>116</v>
      </c>
      <c r="E240" s="2" t="s">
        <v>136</v>
      </c>
      <c r="F240" s="2" t="str" cm="1">
        <f t="array" ref="F240:G240">_xlfn.TEXTSPLIT(E240," - ")</f>
        <v>Tepung Terigu</v>
      </c>
      <c r="G240" s="2" t="str">
        <v>Brand B</v>
      </c>
      <c r="H240" s="5">
        <v>12000</v>
      </c>
      <c r="I240" s="2">
        <v>1</v>
      </c>
      <c r="J240" s="2">
        <v>5</v>
      </c>
      <c r="K240" s="8">
        <f t="shared" si="18"/>
        <v>12000</v>
      </c>
      <c r="L240" s="8">
        <f t="shared" si="19"/>
        <v>600</v>
      </c>
      <c r="M240" s="8">
        <f t="shared" si="20"/>
        <v>11400</v>
      </c>
      <c r="N240" s="5">
        <v>72000</v>
      </c>
      <c r="O240" s="8">
        <f t="shared" si="21"/>
        <v>83400</v>
      </c>
      <c r="P240" s="2" t="s">
        <v>35</v>
      </c>
      <c r="Q240" s="10" t="str">
        <f>VLOOKUP(A240,Status!A:B,2,0)</f>
        <v>Completed</v>
      </c>
      <c r="R240" s="2" t="s">
        <v>36</v>
      </c>
      <c r="S240" s="2">
        <v>2</v>
      </c>
      <c r="T240" s="2" t="s">
        <v>24</v>
      </c>
      <c r="U240" s="10" t="str">
        <f t="shared" si="23"/>
        <v>Feb</v>
      </c>
      <c r="V240" s="10">
        <f t="shared" si="22"/>
        <v>2025</v>
      </c>
      <c r="W240" t="e" cm="1">
        <f t="array" ref="W240">_xlfn.IFS(U240="January",1,U240="February",2,U240="March",3,U240="April",4,U240="May",5,U240="June",6,U240="July",7,U240="August",8,U240="September",9,U240="October",10,U240="November",11,U240="December",12)</f>
        <v>#N/A</v>
      </c>
    </row>
    <row r="241" spans="1:23" ht="15.75" customHeight="1" x14ac:dyDescent="0.25">
      <c r="A241" s="2" t="s">
        <v>1186</v>
      </c>
      <c r="B241" s="3">
        <v>45702.578518518523</v>
      </c>
      <c r="C241" s="2" t="s">
        <v>744</v>
      </c>
      <c r="D241" s="2" t="s">
        <v>375</v>
      </c>
      <c r="E241" s="2" t="s">
        <v>38</v>
      </c>
      <c r="F241" s="2" t="str" cm="1">
        <f t="array" ref="F241:G241">_xlfn.TEXTSPLIT(E241," - ")</f>
        <v>Telur Ayam</v>
      </c>
      <c r="G241" s="2" t="str">
        <v>Brand C</v>
      </c>
      <c r="H241" s="5">
        <v>28000</v>
      </c>
      <c r="I241" s="2">
        <v>3</v>
      </c>
      <c r="J241" s="2">
        <v>5</v>
      </c>
      <c r="K241" s="8">
        <f t="shared" si="18"/>
        <v>84000</v>
      </c>
      <c r="L241" s="8">
        <f t="shared" si="19"/>
        <v>4200</v>
      </c>
      <c r="M241" s="8">
        <f t="shared" si="20"/>
        <v>79800</v>
      </c>
      <c r="N241" s="5">
        <v>21000</v>
      </c>
      <c r="O241" s="8">
        <f t="shared" si="21"/>
        <v>100800</v>
      </c>
      <c r="P241" s="2" t="s">
        <v>35</v>
      </c>
      <c r="Q241" s="10" t="str">
        <f>VLOOKUP(A241,Status!A:B,2,0)</f>
        <v>Completed</v>
      </c>
      <c r="R241" s="2" t="s">
        <v>30</v>
      </c>
      <c r="S241" s="2">
        <v>4</v>
      </c>
      <c r="T241" s="2" t="s">
        <v>24</v>
      </c>
      <c r="U241" s="10" t="str">
        <f t="shared" si="23"/>
        <v>Feb</v>
      </c>
      <c r="V241" s="10">
        <f t="shared" si="22"/>
        <v>2025</v>
      </c>
      <c r="W241" t="e" cm="1">
        <f t="array" ref="W241">_xlfn.IFS(U241="January",1,U241="February",2,U241="March",3,U241="April",4,U241="May",5,U241="June",6,U241="July",7,U241="August",8,U241="September",9,U241="October",10,U241="November",11,U241="December",12)</f>
        <v>#N/A</v>
      </c>
    </row>
    <row r="242" spans="1:23" ht="15.75" customHeight="1" x14ac:dyDescent="0.25">
      <c r="A242" s="2" t="s">
        <v>1187</v>
      </c>
      <c r="B242" s="3">
        <v>45702.711562500001</v>
      </c>
      <c r="C242" s="2" t="s">
        <v>544</v>
      </c>
      <c r="D242" s="2" t="s">
        <v>163</v>
      </c>
      <c r="E242" s="2" t="s">
        <v>50</v>
      </c>
      <c r="F242" s="2" t="str" cm="1">
        <f t="array" ref="F242:G242">_xlfn.TEXTSPLIT(E242," - ")</f>
        <v>Tepung Terigu</v>
      </c>
      <c r="G242" s="2" t="str">
        <v>Brand C</v>
      </c>
      <c r="H242" s="5">
        <v>14000</v>
      </c>
      <c r="I242" s="2">
        <v>4</v>
      </c>
      <c r="J242" s="2">
        <v>5</v>
      </c>
      <c r="K242" s="8">
        <f t="shared" si="18"/>
        <v>56000</v>
      </c>
      <c r="L242" s="8">
        <f t="shared" si="19"/>
        <v>2800</v>
      </c>
      <c r="M242" s="8">
        <f t="shared" si="20"/>
        <v>53200</v>
      </c>
      <c r="N242" s="5">
        <v>50000</v>
      </c>
      <c r="O242" s="8">
        <f t="shared" si="21"/>
        <v>103200</v>
      </c>
      <c r="P242" s="2" t="s">
        <v>35</v>
      </c>
      <c r="Q242" s="10" t="str">
        <f>VLOOKUP(A242,Status!A:B,2,0)</f>
        <v>Completed</v>
      </c>
      <c r="R242" s="2" t="s">
        <v>23</v>
      </c>
      <c r="S242" s="2">
        <v>3</v>
      </c>
      <c r="T242" s="2" t="s">
        <v>24</v>
      </c>
      <c r="U242" s="10" t="str">
        <f t="shared" si="23"/>
        <v>Feb</v>
      </c>
      <c r="V242" s="10">
        <f t="shared" si="22"/>
        <v>2025</v>
      </c>
      <c r="W242" t="e" cm="1">
        <f t="array" ref="W242">_xlfn.IFS(U242="January",1,U242="February",2,U242="March",3,U242="April",4,U242="May",5,U242="June",6,U242="July",7,U242="August",8,U242="September",9,U242="October",10,U242="November",11,U242="December",12)</f>
        <v>#N/A</v>
      </c>
    </row>
    <row r="243" spans="1:23" ht="15.75" customHeight="1" x14ac:dyDescent="0.25">
      <c r="A243" s="2" t="s">
        <v>1188</v>
      </c>
      <c r="B243" s="3">
        <v>45703.613344907397</v>
      </c>
      <c r="C243" s="2" t="s">
        <v>402</v>
      </c>
      <c r="D243" s="2" t="s">
        <v>163</v>
      </c>
      <c r="E243" s="2" t="s">
        <v>250</v>
      </c>
      <c r="F243" s="2" t="str" cm="1">
        <f t="array" ref="F243:G243">_xlfn.TEXTSPLIT(E243," - ")</f>
        <v>Minyak Goreng</v>
      </c>
      <c r="G243" s="2" t="str">
        <v>Brand C</v>
      </c>
      <c r="H243" s="5">
        <v>18000</v>
      </c>
      <c r="I243" s="2">
        <v>2</v>
      </c>
      <c r="J243" s="2">
        <v>5</v>
      </c>
      <c r="K243" s="8">
        <f t="shared" si="18"/>
        <v>36000</v>
      </c>
      <c r="L243" s="8">
        <f t="shared" si="19"/>
        <v>1800</v>
      </c>
      <c r="M243" s="8">
        <f t="shared" si="20"/>
        <v>34200</v>
      </c>
      <c r="N243" s="5">
        <v>50000</v>
      </c>
      <c r="O243" s="8">
        <f t="shared" si="21"/>
        <v>84200</v>
      </c>
      <c r="P243" s="2" t="s">
        <v>29</v>
      </c>
      <c r="Q243" s="10" t="str">
        <f>VLOOKUP(A243,Status!A:B,2,0)</f>
        <v>Completed</v>
      </c>
      <c r="R243" s="2" t="s">
        <v>30</v>
      </c>
      <c r="S243" s="2">
        <v>2</v>
      </c>
      <c r="T243" s="2" t="s">
        <v>24</v>
      </c>
      <c r="U243" s="10" t="str">
        <f t="shared" si="23"/>
        <v>Feb</v>
      </c>
      <c r="V243" s="10">
        <f t="shared" si="22"/>
        <v>2025</v>
      </c>
      <c r="W243" t="e" cm="1">
        <f t="array" ref="W243">_xlfn.IFS(U243="January",1,U243="February",2,U243="March",3,U243="April",4,U243="May",5,U243="June",6,U243="July",7,U243="August",8,U243="September",9,U243="October",10,U243="November",11,U243="December",12)</f>
        <v>#N/A</v>
      </c>
    </row>
    <row r="244" spans="1:23" ht="15.75" customHeight="1" x14ac:dyDescent="0.25">
      <c r="A244" s="2" t="s">
        <v>1189</v>
      </c>
      <c r="B244" s="3">
        <v>45703.764722222222</v>
      </c>
      <c r="C244" s="2" t="s">
        <v>582</v>
      </c>
      <c r="D244" s="2" t="s">
        <v>435</v>
      </c>
      <c r="E244" s="2" t="s">
        <v>41</v>
      </c>
      <c r="F244" s="2" t="str" cm="1">
        <f t="array" ref="F244:G244">_xlfn.TEXTSPLIT(E244," - ")</f>
        <v>Garam</v>
      </c>
      <c r="G244" s="2" t="str">
        <v>Brand A</v>
      </c>
      <c r="H244" s="5">
        <v>4000</v>
      </c>
      <c r="I244" s="2">
        <v>4</v>
      </c>
      <c r="J244" s="2">
        <v>20</v>
      </c>
      <c r="K244" s="8">
        <f t="shared" si="18"/>
        <v>16000</v>
      </c>
      <c r="L244" s="8">
        <f t="shared" si="19"/>
        <v>3200</v>
      </c>
      <c r="M244" s="8">
        <f t="shared" si="20"/>
        <v>12800</v>
      </c>
      <c r="N244" s="5">
        <v>67000</v>
      </c>
      <c r="O244" s="8">
        <f t="shared" si="21"/>
        <v>79800</v>
      </c>
      <c r="P244" s="2" t="s">
        <v>29</v>
      </c>
      <c r="Q244" s="10" t="str">
        <f>VLOOKUP(A244,Status!A:B,2,0)</f>
        <v>Completed</v>
      </c>
      <c r="R244" s="2" t="s">
        <v>23</v>
      </c>
      <c r="S244" s="2">
        <v>5</v>
      </c>
      <c r="T244" s="2" t="s">
        <v>24</v>
      </c>
      <c r="U244" s="10" t="str">
        <f t="shared" si="23"/>
        <v>Feb</v>
      </c>
      <c r="V244" s="10">
        <f t="shared" si="22"/>
        <v>2025</v>
      </c>
      <c r="W244" t="e" cm="1">
        <f t="array" ref="W244">_xlfn.IFS(U244="January",1,U244="February",2,U244="March",3,U244="April",4,U244="May",5,U244="June",6,U244="July",7,U244="August",8,U244="September",9,U244="October",10,U244="November",11,U244="December",12)</f>
        <v>#N/A</v>
      </c>
    </row>
    <row r="245" spans="1:23" ht="15.75" customHeight="1" x14ac:dyDescent="0.25">
      <c r="A245" s="2" t="s">
        <v>1190</v>
      </c>
      <c r="B245" s="3">
        <v>45703.924745370372</v>
      </c>
      <c r="C245" s="2" t="s">
        <v>19</v>
      </c>
      <c r="D245" s="2" t="s">
        <v>20</v>
      </c>
      <c r="E245" s="2" t="s">
        <v>38</v>
      </c>
      <c r="F245" s="2" t="str" cm="1">
        <f t="array" ref="F245:G245">_xlfn.TEXTSPLIT(E245," - ")</f>
        <v>Telur Ayam</v>
      </c>
      <c r="G245" s="2" t="str">
        <v>Brand C</v>
      </c>
      <c r="H245" s="5">
        <v>28000</v>
      </c>
      <c r="I245" s="2">
        <v>1</v>
      </c>
      <c r="J245" s="2">
        <v>5</v>
      </c>
      <c r="K245" s="8">
        <f t="shared" si="18"/>
        <v>28000</v>
      </c>
      <c r="L245" s="8">
        <f t="shared" si="19"/>
        <v>1400</v>
      </c>
      <c r="M245" s="8">
        <f t="shared" si="20"/>
        <v>26600</v>
      </c>
      <c r="N245" s="5">
        <v>15000</v>
      </c>
      <c r="O245" s="8">
        <f t="shared" si="21"/>
        <v>41600</v>
      </c>
      <c r="P245" s="2" t="s">
        <v>35</v>
      </c>
      <c r="Q245" s="10" t="str">
        <f>VLOOKUP(A245,Status!A:B,2,0)</f>
        <v>Completed</v>
      </c>
      <c r="R245" s="2" t="s">
        <v>30</v>
      </c>
      <c r="S245" s="2">
        <v>3</v>
      </c>
      <c r="T245" s="2" t="s">
        <v>24</v>
      </c>
      <c r="U245" s="10" t="str">
        <f t="shared" si="23"/>
        <v>Feb</v>
      </c>
      <c r="V245" s="10">
        <f t="shared" si="22"/>
        <v>2025</v>
      </c>
      <c r="W245" t="e" cm="1">
        <f t="array" ref="W245">_xlfn.IFS(U245="January",1,U245="February",2,U245="March",3,U245="April",4,U245="May",5,U245="June",6,U245="July",7,U245="August",8,U245="September",9,U245="October",10,U245="November",11,U245="December",12)</f>
        <v>#N/A</v>
      </c>
    </row>
    <row r="246" spans="1:23" ht="15.75" customHeight="1" x14ac:dyDescent="0.25">
      <c r="A246" s="2" t="s">
        <v>1191</v>
      </c>
      <c r="B246" s="3">
        <v>45704.347256944442</v>
      </c>
      <c r="C246" s="2" t="s">
        <v>780</v>
      </c>
      <c r="D246" s="2" t="s">
        <v>113</v>
      </c>
      <c r="E246" s="2" t="s">
        <v>71</v>
      </c>
      <c r="F246" s="2" t="str" cm="1">
        <f t="array" ref="F246:G246">_xlfn.TEXTSPLIT(E246," - ")</f>
        <v>Bawang Merah</v>
      </c>
      <c r="G246" s="2" t="str">
        <v>Brand C</v>
      </c>
      <c r="H246" s="5">
        <v>40000</v>
      </c>
      <c r="I246" s="2">
        <v>2</v>
      </c>
      <c r="J246" s="2">
        <v>5</v>
      </c>
      <c r="K246" s="8">
        <f t="shared" si="18"/>
        <v>80000</v>
      </c>
      <c r="L246" s="8">
        <f t="shared" si="19"/>
        <v>4000</v>
      </c>
      <c r="M246" s="8">
        <f t="shared" si="20"/>
        <v>76000</v>
      </c>
      <c r="N246" s="5">
        <v>18000</v>
      </c>
      <c r="O246" s="8">
        <f t="shared" si="21"/>
        <v>94000</v>
      </c>
      <c r="P246" s="2" t="s">
        <v>22</v>
      </c>
      <c r="Q246" s="10" t="str">
        <f>VLOOKUP(A246,Status!A:B,2,0)</f>
        <v>Cancelled</v>
      </c>
      <c r="R246" s="2" t="s">
        <v>23</v>
      </c>
      <c r="S246" s="2">
        <v>2</v>
      </c>
      <c r="T246" s="2" t="s">
        <v>24</v>
      </c>
      <c r="U246" s="10" t="str">
        <f t="shared" si="23"/>
        <v>Feb</v>
      </c>
      <c r="V246" s="10">
        <f t="shared" si="22"/>
        <v>2025</v>
      </c>
      <c r="W246" t="e" cm="1">
        <f t="array" ref="W246">_xlfn.IFS(U246="January",1,U246="February",2,U246="March",3,U246="April",4,U246="May",5,U246="June",6,U246="July",7,U246="August",8,U246="September",9,U246="October",10,U246="November",11,U246="December",12)</f>
        <v>#N/A</v>
      </c>
    </row>
    <row r="247" spans="1:23" ht="15.75" customHeight="1" x14ac:dyDescent="0.25">
      <c r="A247" s="2" t="s">
        <v>1192</v>
      </c>
      <c r="B247" s="3">
        <v>45704.779814814807</v>
      </c>
      <c r="C247" s="2" t="s">
        <v>121</v>
      </c>
      <c r="D247" s="2" t="s">
        <v>122</v>
      </c>
      <c r="E247" s="2" t="s">
        <v>67</v>
      </c>
      <c r="F247" s="2" t="str" cm="1">
        <f t="array" ref="F247:G247">_xlfn.TEXTSPLIT(E247," - ")</f>
        <v>Beras</v>
      </c>
      <c r="G247" s="2" t="str">
        <v>Brand B</v>
      </c>
      <c r="H247" s="5">
        <v>15000</v>
      </c>
      <c r="I247" s="2">
        <v>1</v>
      </c>
      <c r="J247" s="2">
        <v>20</v>
      </c>
      <c r="K247" s="8">
        <f t="shared" si="18"/>
        <v>15000</v>
      </c>
      <c r="L247" s="8">
        <f t="shared" si="19"/>
        <v>3000</v>
      </c>
      <c r="M247" s="8">
        <f t="shared" si="20"/>
        <v>12000</v>
      </c>
      <c r="N247" s="5">
        <v>78000</v>
      </c>
      <c r="O247" s="8">
        <f t="shared" si="21"/>
        <v>90000</v>
      </c>
      <c r="P247" s="2" t="s">
        <v>35</v>
      </c>
      <c r="Q247" s="10" t="str">
        <f>VLOOKUP(A247,Status!A:B,2,0)</f>
        <v>Completed</v>
      </c>
      <c r="R247" s="2" t="s">
        <v>23</v>
      </c>
      <c r="S247" s="2">
        <v>2</v>
      </c>
      <c r="T247" s="2" t="s">
        <v>24</v>
      </c>
      <c r="U247" s="10" t="str">
        <f t="shared" si="23"/>
        <v>Feb</v>
      </c>
      <c r="V247" s="10">
        <f t="shared" si="22"/>
        <v>2025</v>
      </c>
      <c r="W247" t="e" cm="1">
        <f t="array" ref="W247">_xlfn.IFS(U247="January",1,U247="February",2,U247="March",3,U247="April",4,U247="May",5,U247="June",6,U247="July",7,U247="August",8,U247="September",9,U247="October",10,U247="November",11,U247="December",12)</f>
        <v>#N/A</v>
      </c>
    </row>
    <row r="248" spans="1:23" ht="15.75" customHeight="1" x14ac:dyDescent="0.25">
      <c r="A248" s="2" t="s">
        <v>1193</v>
      </c>
      <c r="B248" s="3">
        <v>45704.955081018517</v>
      </c>
      <c r="C248" s="2" t="s">
        <v>601</v>
      </c>
      <c r="D248" s="2" t="s">
        <v>119</v>
      </c>
      <c r="E248" s="2" t="s">
        <v>50</v>
      </c>
      <c r="F248" s="2" t="str" cm="1">
        <f t="array" ref="F248:G248">_xlfn.TEXTSPLIT(E248," - ")</f>
        <v>Tepung Terigu</v>
      </c>
      <c r="G248" s="2" t="str">
        <v>Brand C</v>
      </c>
      <c r="H248" s="5">
        <v>14000</v>
      </c>
      <c r="I248" s="2">
        <v>5</v>
      </c>
      <c r="J248" s="2">
        <v>10</v>
      </c>
      <c r="K248" s="8">
        <f t="shared" si="18"/>
        <v>70000</v>
      </c>
      <c r="L248" s="8">
        <f t="shared" si="19"/>
        <v>7000</v>
      </c>
      <c r="M248" s="8">
        <f t="shared" si="20"/>
        <v>63000</v>
      </c>
      <c r="N248" s="5">
        <v>0</v>
      </c>
      <c r="O248" s="8">
        <f t="shared" si="21"/>
        <v>63000</v>
      </c>
      <c r="P248" s="2" t="s">
        <v>35</v>
      </c>
      <c r="Q248" s="10" t="str">
        <f>VLOOKUP(A248,Status!A:B,2,0)</f>
        <v>Completed</v>
      </c>
      <c r="R248" s="2" t="s">
        <v>23</v>
      </c>
      <c r="S248" s="2">
        <v>1</v>
      </c>
      <c r="T248" s="2" t="s">
        <v>24</v>
      </c>
      <c r="U248" s="10" t="str">
        <f t="shared" si="23"/>
        <v>Feb</v>
      </c>
      <c r="V248" s="10">
        <f t="shared" si="22"/>
        <v>2025</v>
      </c>
      <c r="W248" t="e" cm="1">
        <f t="array" ref="W248">_xlfn.IFS(U248="January",1,U248="February",2,U248="March",3,U248="April",4,U248="May",5,U248="June",6,U248="July",7,U248="August",8,U248="September",9,U248="October",10,U248="November",11,U248="December",12)</f>
        <v>#N/A</v>
      </c>
    </row>
    <row r="249" spans="1:23" ht="15.75" customHeight="1" x14ac:dyDescent="0.25">
      <c r="A249" s="2" t="s">
        <v>1194</v>
      </c>
      <c r="B249" s="3">
        <v>45705.520138888889</v>
      </c>
      <c r="C249" s="2" t="s">
        <v>299</v>
      </c>
      <c r="D249" s="2" t="s">
        <v>163</v>
      </c>
      <c r="E249" s="2" t="s">
        <v>71</v>
      </c>
      <c r="F249" s="2" t="str" cm="1">
        <f t="array" ref="F249:G249">_xlfn.TEXTSPLIT(E249," - ")</f>
        <v>Bawang Merah</v>
      </c>
      <c r="G249" s="2" t="str">
        <v>Brand C</v>
      </c>
      <c r="H249" s="5">
        <v>40000</v>
      </c>
      <c r="I249" s="2">
        <v>1</v>
      </c>
      <c r="J249" s="2">
        <v>10</v>
      </c>
      <c r="K249" s="8">
        <f t="shared" si="18"/>
        <v>40000</v>
      </c>
      <c r="L249" s="8">
        <f t="shared" si="19"/>
        <v>4000</v>
      </c>
      <c r="M249" s="8">
        <f t="shared" si="20"/>
        <v>36000</v>
      </c>
      <c r="N249" s="5">
        <v>50000</v>
      </c>
      <c r="O249" s="8">
        <f t="shared" si="21"/>
        <v>86000</v>
      </c>
      <c r="P249" s="2" t="s">
        <v>29</v>
      </c>
      <c r="Q249" s="10" t="str">
        <f>VLOOKUP(A249,Status!A:B,2,0)</f>
        <v>Returned</v>
      </c>
      <c r="R249" s="2" t="s">
        <v>23</v>
      </c>
      <c r="S249" s="2">
        <v>1</v>
      </c>
      <c r="T249" s="2" t="s">
        <v>24</v>
      </c>
      <c r="U249" s="10" t="str">
        <f t="shared" si="23"/>
        <v>Feb</v>
      </c>
      <c r="V249" s="10">
        <f t="shared" si="22"/>
        <v>2025</v>
      </c>
      <c r="W249" t="e" cm="1">
        <f t="array" ref="W249">_xlfn.IFS(U249="January",1,U249="February",2,U249="March",3,U249="April",4,U249="May",5,U249="June",6,U249="July",7,U249="August",8,U249="September",9,U249="October",10,U249="November",11,U249="December",12)</f>
        <v>#N/A</v>
      </c>
    </row>
    <row r="250" spans="1:23" ht="15.75" customHeight="1" x14ac:dyDescent="0.25">
      <c r="A250" s="2" t="s">
        <v>1195</v>
      </c>
      <c r="B250" s="3">
        <v>45705.598402777781</v>
      </c>
      <c r="C250" s="2" t="s">
        <v>235</v>
      </c>
      <c r="D250" s="2" t="s">
        <v>189</v>
      </c>
      <c r="E250" s="2" t="s">
        <v>136</v>
      </c>
      <c r="F250" s="2" t="str" cm="1">
        <f t="array" ref="F250:G250">_xlfn.TEXTSPLIT(E250," - ")</f>
        <v>Tepung Terigu</v>
      </c>
      <c r="G250" s="2" t="str">
        <v>Brand B</v>
      </c>
      <c r="H250" s="5">
        <v>12000</v>
      </c>
      <c r="I250" s="2">
        <v>3</v>
      </c>
      <c r="J250" s="2">
        <v>5</v>
      </c>
      <c r="K250" s="8">
        <f t="shared" si="18"/>
        <v>36000</v>
      </c>
      <c r="L250" s="8">
        <f t="shared" si="19"/>
        <v>1800</v>
      </c>
      <c r="M250" s="8">
        <f t="shared" si="20"/>
        <v>34200</v>
      </c>
      <c r="N250" s="5">
        <v>57000</v>
      </c>
      <c r="O250" s="8">
        <f t="shared" si="21"/>
        <v>91200</v>
      </c>
      <c r="P250" s="2" t="s">
        <v>63</v>
      </c>
      <c r="Q250" s="10" t="str">
        <f>VLOOKUP(A250,Status!A:B,2,0)</f>
        <v>Cancelled</v>
      </c>
      <c r="R250" s="2" t="s">
        <v>82</v>
      </c>
      <c r="S250" s="2">
        <v>4</v>
      </c>
      <c r="T250" s="2" t="s">
        <v>37</v>
      </c>
      <c r="U250" s="10" t="str">
        <f t="shared" si="23"/>
        <v>Feb</v>
      </c>
      <c r="V250" s="10">
        <f t="shared" si="22"/>
        <v>2025</v>
      </c>
      <c r="W250" t="e" cm="1">
        <f t="array" ref="W250">_xlfn.IFS(U250="January",1,U250="February",2,U250="March",3,U250="April",4,U250="May",5,U250="June",6,U250="July",7,U250="August",8,U250="September",9,U250="October",10,U250="November",11,U250="December",12)</f>
        <v>#N/A</v>
      </c>
    </row>
    <row r="251" spans="1:23" ht="15.75" customHeight="1" x14ac:dyDescent="0.25">
      <c r="A251" s="2" t="s">
        <v>1196</v>
      </c>
      <c r="B251" s="3">
        <v>45705.628761574073</v>
      </c>
      <c r="C251" s="2" t="s">
        <v>1063</v>
      </c>
      <c r="D251" s="2" t="s">
        <v>96</v>
      </c>
      <c r="E251" s="2" t="s">
        <v>38</v>
      </c>
      <c r="F251" s="2" t="str" cm="1">
        <f t="array" ref="F251:G251">_xlfn.TEXTSPLIT(E251," - ")</f>
        <v>Telur Ayam</v>
      </c>
      <c r="G251" s="2" t="str">
        <v>Brand C</v>
      </c>
      <c r="H251" s="5">
        <v>28000</v>
      </c>
      <c r="I251" s="2">
        <v>1</v>
      </c>
      <c r="J251" s="2">
        <v>10</v>
      </c>
      <c r="K251" s="8">
        <f t="shared" si="18"/>
        <v>28000</v>
      </c>
      <c r="L251" s="8">
        <f t="shared" si="19"/>
        <v>2800</v>
      </c>
      <c r="M251" s="8">
        <f t="shared" si="20"/>
        <v>25200</v>
      </c>
      <c r="N251" s="5">
        <v>49000</v>
      </c>
      <c r="O251" s="8">
        <f t="shared" si="21"/>
        <v>74200</v>
      </c>
      <c r="P251" s="2" t="s">
        <v>22</v>
      </c>
      <c r="Q251" s="10" t="str">
        <f>VLOOKUP(A251,Status!A:B,2,0)</f>
        <v>Returned</v>
      </c>
      <c r="R251" s="2" t="s">
        <v>46</v>
      </c>
      <c r="S251" s="2">
        <v>1</v>
      </c>
      <c r="T251" s="2" t="s">
        <v>24</v>
      </c>
      <c r="U251" s="10" t="str">
        <f t="shared" si="23"/>
        <v>Feb</v>
      </c>
      <c r="V251" s="10">
        <f t="shared" si="22"/>
        <v>2025</v>
      </c>
      <c r="W251" t="e" cm="1">
        <f t="array" ref="W251">_xlfn.IFS(U251="January",1,U251="February",2,U251="March",3,U251="April",4,U251="May",5,U251="June",6,U251="July",7,U251="August",8,U251="September",9,U251="October",10,U251="November",11,U251="December",12)</f>
        <v>#N/A</v>
      </c>
    </row>
    <row r="252" spans="1:23" ht="15.75" customHeight="1" x14ac:dyDescent="0.25">
      <c r="A252" s="2" t="s">
        <v>1197</v>
      </c>
      <c r="B252" s="3">
        <v>45705.915300925917</v>
      </c>
      <c r="C252" s="2" t="s">
        <v>396</v>
      </c>
      <c r="D252" s="2" t="s">
        <v>66</v>
      </c>
      <c r="E252" s="2" t="s">
        <v>144</v>
      </c>
      <c r="F252" s="2" t="str" cm="1">
        <f t="array" ref="F252:G252">_xlfn.TEXTSPLIT(E252," - ")</f>
        <v>Gula Pasir</v>
      </c>
      <c r="G252" s="2" t="str">
        <v>Brand C</v>
      </c>
      <c r="H252" s="5">
        <v>18000</v>
      </c>
      <c r="I252" s="2">
        <v>4</v>
      </c>
      <c r="J252" s="2">
        <v>5</v>
      </c>
      <c r="K252" s="8">
        <f t="shared" si="18"/>
        <v>72000</v>
      </c>
      <c r="L252" s="8">
        <f t="shared" si="19"/>
        <v>3600</v>
      </c>
      <c r="M252" s="8">
        <f t="shared" si="20"/>
        <v>68400</v>
      </c>
      <c r="N252" s="5">
        <v>59000</v>
      </c>
      <c r="O252" s="8">
        <f t="shared" si="21"/>
        <v>127400</v>
      </c>
      <c r="P252" s="2" t="s">
        <v>35</v>
      </c>
      <c r="Q252" s="10" t="str">
        <f>VLOOKUP(A252,Status!A:B,2,0)</f>
        <v>Returned</v>
      </c>
      <c r="R252" s="2" t="s">
        <v>82</v>
      </c>
      <c r="S252" s="2">
        <v>1</v>
      </c>
      <c r="T252" s="2" t="s">
        <v>37</v>
      </c>
      <c r="U252" s="10" t="str">
        <f t="shared" si="23"/>
        <v>Feb</v>
      </c>
      <c r="V252" s="10">
        <f t="shared" si="22"/>
        <v>2025</v>
      </c>
      <c r="W252" t="e" cm="1">
        <f t="array" ref="W252">_xlfn.IFS(U252="January",1,U252="February",2,U252="March",3,U252="April",4,U252="May",5,U252="June",6,U252="July",7,U252="August",8,U252="September",9,U252="October",10,U252="November",11,U252="December",12)</f>
        <v>#N/A</v>
      </c>
    </row>
    <row r="253" spans="1:23" ht="15.75" customHeight="1" x14ac:dyDescent="0.25">
      <c r="A253" s="2" t="s">
        <v>1198</v>
      </c>
      <c r="B253" s="3">
        <v>45706.043124999997</v>
      </c>
      <c r="C253" s="2" t="s">
        <v>1199</v>
      </c>
      <c r="D253" s="2" t="s">
        <v>375</v>
      </c>
      <c r="E253" s="2" t="s">
        <v>85</v>
      </c>
      <c r="F253" s="2" t="str" cm="1">
        <f t="array" ref="F253:G253">_xlfn.TEXTSPLIT(E253," - ")</f>
        <v>Daging Ayam</v>
      </c>
      <c r="G253" s="2" t="str">
        <v>Brand A</v>
      </c>
      <c r="H253" s="5">
        <v>35000</v>
      </c>
      <c r="I253" s="2">
        <v>3</v>
      </c>
      <c r="J253" s="2">
        <v>0</v>
      </c>
      <c r="K253" s="8">
        <f t="shared" si="18"/>
        <v>105000</v>
      </c>
      <c r="L253" s="8">
        <f t="shared" si="19"/>
        <v>0</v>
      </c>
      <c r="M253" s="8">
        <f t="shared" si="20"/>
        <v>105000</v>
      </c>
      <c r="N253" s="5">
        <v>21000</v>
      </c>
      <c r="O253" s="8">
        <f t="shared" si="21"/>
        <v>126000</v>
      </c>
      <c r="P253" s="2" t="s">
        <v>22</v>
      </c>
      <c r="Q253" s="10" t="str">
        <f>VLOOKUP(A253,Status!A:B,2,0)</f>
        <v>Returned</v>
      </c>
      <c r="R253" s="2" t="s">
        <v>36</v>
      </c>
      <c r="S253" s="2">
        <v>5</v>
      </c>
      <c r="T253" s="2" t="s">
        <v>24</v>
      </c>
      <c r="U253" s="10" t="str">
        <f t="shared" si="23"/>
        <v>Feb</v>
      </c>
      <c r="V253" s="10">
        <f t="shared" si="22"/>
        <v>2025</v>
      </c>
      <c r="W253" t="e" cm="1">
        <f t="array" ref="W253">_xlfn.IFS(U253="January",1,U253="February",2,U253="March",3,U253="April",4,U253="May",5,U253="June",6,U253="July",7,U253="August",8,U253="September",9,U253="October",10,U253="November",11,U253="December",12)</f>
        <v>#N/A</v>
      </c>
    </row>
    <row r="254" spans="1:23" ht="15.75" customHeight="1" x14ac:dyDescent="0.25">
      <c r="A254" s="2" t="s">
        <v>1200</v>
      </c>
      <c r="B254" s="3">
        <v>45706.288402777784</v>
      </c>
      <c r="C254" s="2" t="s">
        <v>133</v>
      </c>
      <c r="D254" s="2" t="s">
        <v>33</v>
      </c>
      <c r="E254" s="2" t="s">
        <v>110</v>
      </c>
      <c r="F254" s="2" t="str" cm="1">
        <f t="array" ref="F254:G254">_xlfn.TEXTSPLIT(E254," - ")</f>
        <v>Garam</v>
      </c>
      <c r="G254" s="2" t="str">
        <v>Brand C</v>
      </c>
      <c r="H254" s="5">
        <v>6000</v>
      </c>
      <c r="I254" s="2">
        <v>2</v>
      </c>
      <c r="J254" s="2">
        <v>10</v>
      </c>
      <c r="K254" s="8">
        <f t="shared" si="18"/>
        <v>12000</v>
      </c>
      <c r="L254" s="8">
        <f t="shared" si="19"/>
        <v>1200</v>
      </c>
      <c r="M254" s="8">
        <f t="shared" si="20"/>
        <v>10800</v>
      </c>
      <c r="N254" s="5">
        <v>76000</v>
      </c>
      <c r="O254" s="8">
        <f t="shared" si="21"/>
        <v>86800</v>
      </c>
      <c r="P254" s="2" t="s">
        <v>22</v>
      </c>
      <c r="Q254" s="10" t="str">
        <f>VLOOKUP(A254,Status!A:B,2,0)</f>
        <v>Completed</v>
      </c>
      <c r="R254" s="2" t="s">
        <v>82</v>
      </c>
      <c r="S254" s="2">
        <v>5</v>
      </c>
      <c r="T254" s="2" t="s">
        <v>24</v>
      </c>
      <c r="U254" s="10" t="str">
        <f t="shared" si="23"/>
        <v>Feb</v>
      </c>
      <c r="V254" s="10">
        <f t="shared" si="22"/>
        <v>2025</v>
      </c>
      <c r="W254" t="e" cm="1">
        <f t="array" ref="W254">_xlfn.IFS(U254="January",1,U254="February",2,U254="March",3,U254="April",4,U254="May",5,U254="June",6,U254="July",7,U254="August",8,U254="September",9,U254="October",10,U254="November",11,U254="December",12)</f>
        <v>#N/A</v>
      </c>
    </row>
    <row r="255" spans="1:23" ht="15.75" customHeight="1" x14ac:dyDescent="0.25">
      <c r="A255" s="2" t="s">
        <v>1201</v>
      </c>
      <c r="B255" s="3">
        <v>45706.851782407408</v>
      </c>
      <c r="C255" s="2" t="s">
        <v>48</v>
      </c>
      <c r="D255" s="2" t="s">
        <v>49</v>
      </c>
      <c r="E255" s="2" t="s">
        <v>123</v>
      </c>
      <c r="F255" s="2" t="str" cm="1">
        <f t="array" ref="F255:G255">_xlfn.TEXTSPLIT(E255," - ")</f>
        <v>Telur Ayam</v>
      </c>
      <c r="G255" s="2" t="str">
        <v>Brand A</v>
      </c>
      <c r="H255" s="5">
        <v>22000</v>
      </c>
      <c r="I255" s="2">
        <v>4</v>
      </c>
      <c r="J255" s="2">
        <v>20</v>
      </c>
      <c r="K255" s="8">
        <f t="shared" si="18"/>
        <v>88000</v>
      </c>
      <c r="L255" s="8">
        <f t="shared" si="19"/>
        <v>17600</v>
      </c>
      <c r="M255" s="8">
        <f t="shared" si="20"/>
        <v>70400</v>
      </c>
      <c r="N255" s="5">
        <v>43000</v>
      </c>
      <c r="O255" s="8">
        <f t="shared" si="21"/>
        <v>113400</v>
      </c>
      <c r="P255" s="2" t="s">
        <v>22</v>
      </c>
      <c r="Q255" s="10" t="str">
        <f>VLOOKUP(A255,Status!A:B,2,0)</f>
        <v>Completed</v>
      </c>
      <c r="R255" s="2" t="s">
        <v>46</v>
      </c>
      <c r="S255" s="2">
        <v>3</v>
      </c>
      <c r="T255" s="2" t="s">
        <v>24</v>
      </c>
      <c r="U255" s="10" t="str">
        <f t="shared" si="23"/>
        <v>Feb</v>
      </c>
      <c r="V255" s="10">
        <f t="shared" si="22"/>
        <v>2025</v>
      </c>
      <c r="W255" t="e" cm="1">
        <f t="array" ref="W255">_xlfn.IFS(U255="January",1,U255="February",2,U255="March",3,U255="April",4,U255="May",5,U255="June",6,U255="July",7,U255="August",8,U255="September",9,U255="October",10,U255="November",11,U255="December",12)</f>
        <v>#N/A</v>
      </c>
    </row>
    <row r="256" spans="1:23" ht="15.75" customHeight="1" x14ac:dyDescent="0.25">
      <c r="A256" s="2" t="s">
        <v>1202</v>
      </c>
      <c r="B256" s="3">
        <v>45707.281608796293</v>
      </c>
      <c r="C256" s="2" t="s">
        <v>916</v>
      </c>
      <c r="D256" s="2" t="s">
        <v>96</v>
      </c>
      <c r="E256" s="2" t="s">
        <v>110</v>
      </c>
      <c r="F256" s="2" t="str" cm="1">
        <f t="array" ref="F256:G256">_xlfn.TEXTSPLIT(E256," - ")</f>
        <v>Garam</v>
      </c>
      <c r="G256" s="2" t="str">
        <v>Brand C</v>
      </c>
      <c r="H256" s="5">
        <v>6000</v>
      </c>
      <c r="I256" s="2">
        <v>1</v>
      </c>
      <c r="J256" s="2">
        <v>10</v>
      </c>
      <c r="K256" s="8">
        <f t="shared" si="18"/>
        <v>6000</v>
      </c>
      <c r="L256" s="8">
        <f t="shared" si="19"/>
        <v>600</v>
      </c>
      <c r="M256" s="8">
        <f t="shared" si="20"/>
        <v>5400</v>
      </c>
      <c r="N256" s="5">
        <v>49000</v>
      </c>
      <c r="O256" s="8">
        <f t="shared" si="21"/>
        <v>54400</v>
      </c>
      <c r="P256" s="2" t="s">
        <v>35</v>
      </c>
      <c r="Q256" s="10" t="str">
        <f>VLOOKUP(A256,Status!A:B,2,0)</f>
        <v>Returned</v>
      </c>
      <c r="R256" s="2" t="s">
        <v>82</v>
      </c>
      <c r="S256" s="2">
        <v>3</v>
      </c>
      <c r="T256" s="2" t="s">
        <v>24</v>
      </c>
      <c r="U256" s="10" t="str">
        <f t="shared" si="23"/>
        <v>Feb</v>
      </c>
      <c r="V256" s="10">
        <f t="shared" si="22"/>
        <v>2025</v>
      </c>
      <c r="W256" t="e" cm="1">
        <f t="array" ref="W256">_xlfn.IFS(U256="January",1,U256="February",2,U256="March",3,U256="April",4,U256="May",5,U256="June",6,U256="July",7,U256="August",8,U256="September",9,U256="October",10,U256="November",11,U256="December",12)</f>
        <v>#N/A</v>
      </c>
    </row>
    <row r="257" spans="1:23" ht="15.75" customHeight="1" x14ac:dyDescent="0.25">
      <c r="A257" s="2" t="s">
        <v>1203</v>
      </c>
      <c r="B257" s="3">
        <v>45707.320428240739</v>
      </c>
      <c r="C257" s="2" t="s">
        <v>261</v>
      </c>
      <c r="D257" s="2" t="s">
        <v>262</v>
      </c>
      <c r="E257" s="2" t="s">
        <v>21</v>
      </c>
      <c r="F257" s="2" t="str" cm="1">
        <f t="array" ref="F257:G257">_xlfn.TEXTSPLIT(E257," - ")</f>
        <v>Daging Ayam</v>
      </c>
      <c r="G257" s="2" t="str">
        <v>Brand C</v>
      </c>
      <c r="H257" s="5">
        <v>45000</v>
      </c>
      <c r="I257" s="2">
        <v>5</v>
      </c>
      <c r="J257" s="2">
        <v>5</v>
      </c>
      <c r="K257" s="8">
        <f t="shared" si="18"/>
        <v>225000</v>
      </c>
      <c r="L257" s="8">
        <f t="shared" si="19"/>
        <v>11250</v>
      </c>
      <c r="M257" s="8">
        <f t="shared" si="20"/>
        <v>213750</v>
      </c>
      <c r="N257" s="5">
        <v>18000</v>
      </c>
      <c r="O257" s="8">
        <f t="shared" si="21"/>
        <v>231750</v>
      </c>
      <c r="P257" s="2" t="s">
        <v>29</v>
      </c>
      <c r="Q257" s="10" t="str">
        <f>VLOOKUP(A257,Status!A:B,2,0)</f>
        <v>Completed</v>
      </c>
      <c r="R257" s="2" t="s">
        <v>46</v>
      </c>
      <c r="S257" s="2">
        <v>5</v>
      </c>
      <c r="T257" s="2" t="s">
        <v>24</v>
      </c>
      <c r="U257" s="10" t="str">
        <f t="shared" si="23"/>
        <v>Feb</v>
      </c>
      <c r="V257" s="10">
        <f t="shared" si="22"/>
        <v>2025</v>
      </c>
      <c r="W257" t="e" cm="1">
        <f t="array" ref="W257">_xlfn.IFS(U257="January",1,U257="February",2,U257="March",3,U257="April",4,U257="May",5,U257="June",6,U257="July",7,U257="August",8,U257="September",9,U257="October",10,U257="November",11,U257="December",12)</f>
        <v>#N/A</v>
      </c>
    </row>
    <row r="258" spans="1:23" ht="15.75" customHeight="1" x14ac:dyDescent="0.25">
      <c r="A258" s="2" t="s">
        <v>1203</v>
      </c>
      <c r="B258" s="3">
        <v>45707.320428240739</v>
      </c>
      <c r="C258" s="2" t="s">
        <v>261</v>
      </c>
      <c r="D258" s="2" t="s">
        <v>262</v>
      </c>
      <c r="E258" s="2" t="s">
        <v>174</v>
      </c>
      <c r="F258" s="2" t="str" cm="1">
        <f t="array" ref="F258:G258">_xlfn.TEXTSPLIT(E258," - ")</f>
        <v>Tepung Terigu</v>
      </c>
      <c r="G258" s="2" t="str">
        <v>Brand A</v>
      </c>
      <c r="H258" s="5">
        <v>10000</v>
      </c>
      <c r="I258" s="2">
        <v>4</v>
      </c>
      <c r="J258" s="2">
        <v>5</v>
      </c>
      <c r="K258" s="8">
        <f t="shared" ref="K258:K321" si="24">H258*I258</f>
        <v>40000</v>
      </c>
      <c r="L258" s="8">
        <f t="shared" ref="L258:L321" si="25">K258*J258%</f>
        <v>2000</v>
      </c>
      <c r="M258" s="8">
        <f t="shared" ref="M258:M321" si="26">K258-L258</f>
        <v>38000</v>
      </c>
      <c r="N258" s="5">
        <v>0</v>
      </c>
      <c r="O258" s="8">
        <f t="shared" ref="O258:O321" si="27">M258+N258</f>
        <v>38000</v>
      </c>
      <c r="P258" s="2" t="s">
        <v>29</v>
      </c>
      <c r="Q258" s="10" t="str">
        <f>VLOOKUP(A258,Status!A:B,2,0)</f>
        <v>Completed</v>
      </c>
      <c r="R258" s="2" t="s">
        <v>46</v>
      </c>
      <c r="S258" s="2">
        <v>5</v>
      </c>
      <c r="T258" s="2" t="s">
        <v>24</v>
      </c>
      <c r="U258" s="10" t="str">
        <f t="shared" si="23"/>
        <v>Feb</v>
      </c>
      <c r="V258" s="10">
        <f t="shared" ref="V258:V321" si="28">YEAR(B258)</f>
        <v>2025</v>
      </c>
      <c r="W258" t="e" cm="1">
        <f t="array" ref="W258">_xlfn.IFS(U258="January",1,U258="February",2,U258="March",3,U258="April",4,U258="May",5,U258="June",6,U258="July",7,U258="August",8,U258="September",9,U258="October",10,U258="November",11,U258="December",12)</f>
        <v>#N/A</v>
      </c>
    </row>
    <row r="259" spans="1:23" ht="15.75" customHeight="1" x14ac:dyDescent="0.25">
      <c r="A259" s="2" t="s">
        <v>1204</v>
      </c>
      <c r="B259" s="3">
        <v>45707.330289351848</v>
      </c>
      <c r="C259" s="2" t="s">
        <v>827</v>
      </c>
      <c r="D259" s="2" t="s">
        <v>20</v>
      </c>
      <c r="E259" s="2" t="s">
        <v>75</v>
      </c>
      <c r="F259" s="2" t="str" cm="1">
        <f t="array" ref="F259:G259">_xlfn.TEXTSPLIT(E259," - ")</f>
        <v>Susu Bubuk</v>
      </c>
      <c r="G259" s="2" t="str">
        <v>Brand C</v>
      </c>
      <c r="H259" s="5">
        <v>55000</v>
      </c>
      <c r="I259" s="2">
        <v>3</v>
      </c>
      <c r="J259" s="2">
        <v>15</v>
      </c>
      <c r="K259" s="8">
        <f t="shared" si="24"/>
        <v>165000</v>
      </c>
      <c r="L259" s="8">
        <f t="shared" si="25"/>
        <v>24750</v>
      </c>
      <c r="M259" s="8">
        <f t="shared" si="26"/>
        <v>140250</v>
      </c>
      <c r="N259" s="5">
        <v>15000</v>
      </c>
      <c r="O259" s="8">
        <f t="shared" si="27"/>
        <v>155250</v>
      </c>
      <c r="P259" s="2" t="s">
        <v>63</v>
      </c>
      <c r="Q259" s="10" t="str">
        <f>VLOOKUP(A259,Status!A:B,2,0)</f>
        <v>Completed</v>
      </c>
      <c r="R259" s="2" t="s">
        <v>23</v>
      </c>
      <c r="S259" s="2">
        <v>5</v>
      </c>
      <c r="T259" s="2" t="s">
        <v>24</v>
      </c>
      <c r="U259" s="10" t="str">
        <f t="shared" ref="U259:U322" si="29">TEXT(B259,"MMM")</f>
        <v>Feb</v>
      </c>
      <c r="V259" s="10">
        <f t="shared" si="28"/>
        <v>2025</v>
      </c>
      <c r="W259" t="e" cm="1">
        <f t="array" ref="W259">_xlfn.IFS(U259="January",1,U259="February",2,U259="March",3,U259="April",4,U259="May",5,U259="June",6,U259="July",7,U259="August",8,U259="September",9,U259="October",10,U259="November",11,U259="December",12)</f>
        <v>#N/A</v>
      </c>
    </row>
    <row r="260" spans="1:23" ht="15.75" customHeight="1" x14ac:dyDescent="0.25">
      <c r="A260" s="2" t="s">
        <v>1205</v>
      </c>
      <c r="B260" s="3">
        <v>45707.727094907408</v>
      </c>
      <c r="C260" s="2" t="s">
        <v>287</v>
      </c>
      <c r="D260" s="2" t="s">
        <v>262</v>
      </c>
      <c r="E260" s="2" t="s">
        <v>104</v>
      </c>
      <c r="F260" s="2" t="str" cm="1">
        <f t="array" ref="F260:G260">_xlfn.TEXTSPLIT(E260," - ")</f>
        <v>Bawang Merah</v>
      </c>
      <c r="G260" s="2" t="str">
        <v>Brand A</v>
      </c>
      <c r="H260" s="5">
        <v>30000</v>
      </c>
      <c r="I260" s="2">
        <v>3</v>
      </c>
      <c r="J260" s="2">
        <v>5</v>
      </c>
      <c r="K260" s="8">
        <f t="shared" si="24"/>
        <v>90000</v>
      </c>
      <c r="L260" s="8">
        <f t="shared" si="25"/>
        <v>4500</v>
      </c>
      <c r="M260" s="8">
        <f t="shared" si="26"/>
        <v>85500</v>
      </c>
      <c r="N260" s="5">
        <v>18000</v>
      </c>
      <c r="O260" s="8">
        <f t="shared" si="27"/>
        <v>103500</v>
      </c>
      <c r="P260" s="2" t="s">
        <v>35</v>
      </c>
      <c r="Q260" s="10" t="str">
        <f>VLOOKUP(A260,Status!A:B,2,0)</f>
        <v>Completed</v>
      </c>
      <c r="R260" s="2" t="s">
        <v>36</v>
      </c>
      <c r="S260" s="2">
        <v>5</v>
      </c>
      <c r="T260" s="2" t="s">
        <v>24</v>
      </c>
      <c r="U260" s="10" t="str">
        <f t="shared" si="29"/>
        <v>Feb</v>
      </c>
      <c r="V260" s="10">
        <f t="shared" si="28"/>
        <v>2025</v>
      </c>
      <c r="W260" t="e" cm="1">
        <f t="array" ref="W260">_xlfn.IFS(U260="January",1,U260="February",2,U260="March",3,U260="April",4,U260="May",5,U260="June",6,U260="July",7,U260="August",8,U260="September",9,U260="October",10,U260="November",11,U260="December",12)</f>
        <v>#N/A</v>
      </c>
    </row>
    <row r="261" spans="1:23" ht="15.75" customHeight="1" x14ac:dyDescent="0.25">
      <c r="A261" s="2" t="s">
        <v>1206</v>
      </c>
      <c r="B261" s="3">
        <v>45708.040451388893</v>
      </c>
      <c r="C261" s="2" t="s">
        <v>525</v>
      </c>
      <c r="D261" s="2" t="s">
        <v>96</v>
      </c>
      <c r="E261" s="2" t="s">
        <v>45</v>
      </c>
      <c r="F261" s="2" t="str" cm="1">
        <f t="array" ref="F261:G261">_xlfn.TEXTSPLIT(E261," - ")</f>
        <v>Daging Ayam</v>
      </c>
      <c r="G261" s="2" t="str">
        <v>Brand B</v>
      </c>
      <c r="H261" s="5">
        <v>40000</v>
      </c>
      <c r="I261" s="2">
        <v>5</v>
      </c>
      <c r="J261" s="2">
        <v>10</v>
      </c>
      <c r="K261" s="8">
        <f t="shared" si="24"/>
        <v>200000</v>
      </c>
      <c r="L261" s="8">
        <f t="shared" si="25"/>
        <v>20000</v>
      </c>
      <c r="M261" s="8">
        <f t="shared" si="26"/>
        <v>180000</v>
      </c>
      <c r="N261" s="5">
        <v>49000</v>
      </c>
      <c r="O261" s="8">
        <f t="shared" si="27"/>
        <v>229000</v>
      </c>
      <c r="P261" s="2" t="s">
        <v>35</v>
      </c>
      <c r="Q261" s="10" t="str">
        <f>VLOOKUP(A261,Status!A:B,2,0)</f>
        <v>Completed</v>
      </c>
      <c r="R261" s="2" t="s">
        <v>46</v>
      </c>
      <c r="S261" s="2">
        <v>5</v>
      </c>
      <c r="T261" s="2" t="s">
        <v>24</v>
      </c>
      <c r="U261" s="10" t="str">
        <f t="shared" si="29"/>
        <v>Feb</v>
      </c>
      <c r="V261" s="10">
        <f t="shared" si="28"/>
        <v>2025</v>
      </c>
      <c r="W261" t="e" cm="1">
        <f t="array" ref="W261">_xlfn.IFS(U261="January",1,U261="February",2,U261="March",3,U261="April",4,U261="May",5,U261="June",6,U261="July",7,U261="August",8,U261="September",9,U261="October",10,U261="November",11,U261="December",12)</f>
        <v>#N/A</v>
      </c>
    </row>
    <row r="262" spans="1:23" ht="15.75" customHeight="1" x14ac:dyDescent="0.25">
      <c r="A262" s="2" t="s">
        <v>1207</v>
      </c>
      <c r="B262" s="3">
        <v>45708.093530092592</v>
      </c>
      <c r="C262" s="2" t="s">
        <v>729</v>
      </c>
      <c r="D262" s="2" t="s">
        <v>74</v>
      </c>
      <c r="E262" s="2" t="s">
        <v>28</v>
      </c>
      <c r="F262" s="2" t="str" cm="1">
        <f t="array" ref="F262:G262">_xlfn.TEXTSPLIT(E262," - ")</f>
        <v>Garam</v>
      </c>
      <c r="G262" s="2" t="str">
        <v>Brand B</v>
      </c>
      <c r="H262" s="5">
        <v>5000</v>
      </c>
      <c r="I262" s="2">
        <v>5</v>
      </c>
      <c r="J262" s="2">
        <v>0</v>
      </c>
      <c r="K262" s="8">
        <f t="shared" si="24"/>
        <v>25000</v>
      </c>
      <c r="L262" s="8">
        <f t="shared" si="25"/>
        <v>0</v>
      </c>
      <c r="M262" s="8">
        <f t="shared" si="26"/>
        <v>25000</v>
      </c>
      <c r="N262" s="5">
        <v>87000</v>
      </c>
      <c r="O262" s="8">
        <f t="shared" si="27"/>
        <v>112000</v>
      </c>
      <c r="P262" s="2" t="s">
        <v>29</v>
      </c>
      <c r="Q262" s="10" t="str">
        <f>VLOOKUP(A262,Status!A:B,2,0)</f>
        <v>Completed</v>
      </c>
      <c r="R262" s="2" t="s">
        <v>23</v>
      </c>
      <c r="S262" s="2">
        <v>3</v>
      </c>
      <c r="T262" s="2" t="s">
        <v>24</v>
      </c>
      <c r="U262" s="10" t="str">
        <f t="shared" si="29"/>
        <v>Feb</v>
      </c>
      <c r="V262" s="10">
        <f t="shared" si="28"/>
        <v>2025</v>
      </c>
      <c r="W262" t="e" cm="1">
        <f t="array" ref="W262">_xlfn.IFS(U262="January",1,U262="February",2,U262="March",3,U262="April",4,U262="May",5,U262="June",6,U262="July",7,U262="August",8,U262="September",9,U262="October",10,U262="November",11,U262="December",12)</f>
        <v>#N/A</v>
      </c>
    </row>
    <row r="263" spans="1:23" ht="15.75" customHeight="1" x14ac:dyDescent="0.25">
      <c r="A263" s="2" t="s">
        <v>1208</v>
      </c>
      <c r="B263" s="3">
        <v>45708.313923611109</v>
      </c>
      <c r="C263" s="2" t="s">
        <v>644</v>
      </c>
      <c r="D263" s="2" t="s">
        <v>244</v>
      </c>
      <c r="E263" s="2" t="s">
        <v>104</v>
      </c>
      <c r="F263" s="2" t="str" cm="1">
        <f t="array" ref="F263:G263">_xlfn.TEXTSPLIT(E263," - ")</f>
        <v>Bawang Merah</v>
      </c>
      <c r="G263" s="2" t="str">
        <v>Brand A</v>
      </c>
      <c r="H263" s="5">
        <v>30000</v>
      </c>
      <c r="I263" s="2">
        <v>4</v>
      </c>
      <c r="J263" s="2">
        <v>0</v>
      </c>
      <c r="K263" s="8">
        <f t="shared" si="24"/>
        <v>120000</v>
      </c>
      <c r="L263" s="8">
        <f t="shared" si="25"/>
        <v>0</v>
      </c>
      <c r="M263" s="8">
        <f t="shared" si="26"/>
        <v>120000</v>
      </c>
      <c r="N263" s="5">
        <v>80000</v>
      </c>
      <c r="O263" s="8">
        <f t="shared" si="27"/>
        <v>200000</v>
      </c>
      <c r="P263" s="2" t="s">
        <v>63</v>
      </c>
      <c r="Q263" s="10" t="str">
        <f>VLOOKUP(A263,Status!A:B,2,0)</f>
        <v>Completed</v>
      </c>
      <c r="R263" s="2" t="s">
        <v>23</v>
      </c>
      <c r="S263" s="2">
        <v>4</v>
      </c>
      <c r="T263" s="2" t="s">
        <v>24</v>
      </c>
      <c r="U263" s="10" t="str">
        <f t="shared" si="29"/>
        <v>Feb</v>
      </c>
      <c r="V263" s="10">
        <f t="shared" si="28"/>
        <v>2025</v>
      </c>
      <c r="W263" t="e" cm="1">
        <f t="array" ref="W263">_xlfn.IFS(U263="January",1,U263="February",2,U263="March",3,U263="April",4,U263="May",5,U263="June",6,U263="July",7,U263="August",8,U263="September",9,U263="October",10,U263="November",11,U263="December",12)</f>
        <v>#N/A</v>
      </c>
    </row>
    <row r="264" spans="1:23" ht="15.75" customHeight="1" x14ac:dyDescent="0.25">
      <c r="A264" s="2" t="s">
        <v>1209</v>
      </c>
      <c r="B264" s="3">
        <v>45708.372812499998</v>
      </c>
      <c r="C264" s="2" t="s">
        <v>1210</v>
      </c>
      <c r="D264" s="2" t="s">
        <v>113</v>
      </c>
      <c r="E264" s="2" t="s">
        <v>71</v>
      </c>
      <c r="F264" s="2" t="str" cm="1">
        <f t="array" ref="F264:G264">_xlfn.TEXTSPLIT(E264," - ")</f>
        <v>Bawang Merah</v>
      </c>
      <c r="G264" s="2" t="str">
        <v>Brand C</v>
      </c>
      <c r="H264" s="5">
        <v>40000</v>
      </c>
      <c r="I264" s="2">
        <v>4</v>
      </c>
      <c r="J264" s="2">
        <v>5</v>
      </c>
      <c r="K264" s="8">
        <f t="shared" si="24"/>
        <v>160000</v>
      </c>
      <c r="L264" s="8">
        <f t="shared" si="25"/>
        <v>8000</v>
      </c>
      <c r="M264" s="8">
        <f t="shared" si="26"/>
        <v>152000</v>
      </c>
      <c r="N264" s="5">
        <v>18000</v>
      </c>
      <c r="O264" s="8">
        <f t="shared" si="27"/>
        <v>170000</v>
      </c>
      <c r="P264" s="2" t="s">
        <v>29</v>
      </c>
      <c r="Q264" s="10" t="str">
        <f>VLOOKUP(A264,Status!A:B,2,0)</f>
        <v>Returned</v>
      </c>
      <c r="R264" s="2" t="s">
        <v>46</v>
      </c>
      <c r="S264" s="2">
        <v>3</v>
      </c>
      <c r="T264" s="2" t="s">
        <v>24</v>
      </c>
      <c r="U264" s="10" t="str">
        <f t="shared" si="29"/>
        <v>Feb</v>
      </c>
      <c r="V264" s="10">
        <f t="shared" si="28"/>
        <v>2025</v>
      </c>
      <c r="W264" t="e" cm="1">
        <f t="array" ref="W264">_xlfn.IFS(U264="January",1,U264="February",2,U264="March",3,U264="April",4,U264="May",5,U264="June",6,U264="July",7,U264="August",8,U264="September",9,U264="October",10,U264="November",11,U264="December",12)</f>
        <v>#N/A</v>
      </c>
    </row>
    <row r="265" spans="1:23" ht="15.75" customHeight="1" x14ac:dyDescent="0.25">
      <c r="A265" s="2" t="s">
        <v>1211</v>
      </c>
      <c r="B265" s="3">
        <v>45708.462071759262</v>
      </c>
      <c r="C265" s="2" t="s">
        <v>374</v>
      </c>
      <c r="D265" s="2" t="s">
        <v>375</v>
      </c>
      <c r="E265" s="2" t="s">
        <v>34</v>
      </c>
      <c r="F265" s="2" t="str" cm="1">
        <f t="array" ref="F265:G265">_xlfn.TEXTSPLIT(E265," - ")</f>
        <v>Minyak Goreng</v>
      </c>
      <c r="G265" s="2" t="str">
        <v>Brand A</v>
      </c>
      <c r="H265" s="5">
        <v>16000</v>
      </c>
      <c r="I265" s="2">
        <v>1</v>
      </c>
      <c r="J265" s="2">
        <v>15</v>
      </c>
      <c r="K265" s="8">
        <f t="shared" si="24"/>
        <v>16000</v>
      </c>
      <c r="L265" s="8">
        <f t="shared" si="25"/>
        <v>2400</v>
      </c>
      <c r="M265" s="8">
        <f t="shared" si="26"/>
        <v>13600</v>
      </c>
      <c r="N265" s="5">
        <v>21000</v>
      </c>
      <c r="O265" s="8">
        <f t="shared" si="27"/>
        <v>34600</v>
      </c>
      <c r="P265" s="2" t="s">
        <v>63</v>
      </c>
      <c r="Q265" s="10" t="str">
        <f>VLOOKUP(A265,Status!A:B,2,0)</f>
        <v>Completed</v>
      </c>
      <c r="R265" s="2" t="s">
        <v>23</v>
      </c>
      <c r="S265" s="2">
        <v>3</v>
      </c>
      <c r="T265" s="2" t="s">
        <v>37</v>
      </c>
      <c r="U265" s="10" t="str">
        <f t="shared" si="29"/>
        <v>Feb</v>
      </c>
      <c r="V265" s="10">
        <f t="shared" si="28"/>
        <v>2025</v>
      </c>
      <c r="W265" t="e" cm="1">
        <f t="array" ref="W265">_xlfn.IFS(U265="January",1,U265="February",2,U265="March",3,U265="April",4,U265="May",5,U265="June",6,U265="July",7,U265="August",8,U265="September",9,U265="October",10,U265="November",11,U265="December",12)</f>
        <v>#N/A</v>
      </c>
    </row>
    <row r="266" spans="1:23" ht="15.75" customHeight="1" x14ac:dyDescent="0.25">
      <c r="A266" s="2" t="s">
        <v>1212</v>
      </c>
      <c r="B266" s="3">
        <v>45710.038969907408</v>
      </c>
      <c r="C266" s="2" t="s">
        <v>635</v>
      </c>
      <c r="D266" s="2" t="s">
        <v>103</v>
      </c>
      <c r="E266" s="2" t="s">
        <v>67</v>
      </c>
      <c r="F266" s="2" t="str" cm="1">
        <f t="array" ref="F266:G266">_xlfn.TEXTSPLIT(E266," - ")</f>
        <v>Beras</v>
      </c>
      <c r="G266" s="2" t="str">
        <v>Brand B</v>
      </c>
      <c r="H266" s="5">
        <v>15000</v>
      </c>
      <c r="I266" s="2">
        <v>2</v>
      </c>
      <c r="J266" s="2">
        <v>5</v>
      </c>
      <c r="K266" s="8">
        <f t="shared" si="24"/>
        <v>30000</v>
      </c>
      <c r="L266" s="8">
        <f t="shared" si="25"/>
        <v>1500</v>
      </c>
      <c r="M266" s="8">
        <f t="shared" si="26"/>
        <v>28500</v>
      </c>
      <c r="N266" s="5">
        <v>85000</v>
      </c>
      <c r="O266" s="8">
        <f t="shared" si="27"/>
        <v>113500</v>
      </c>
      <c r="P266" s="2" t="s">
        <v>22</v>
      </c>
      <c r="Q266" s="10" t="str">
        <f>VLOOKUP(A266,Status!A:B,2,0)</f>
        <v>Completed</v>
      </c>
      <c r="R266" s="2" t="s">
        <v>82</v>
      </c>
      <c r="S266" s="2">
        <v>1</v>
      </c>
      <c r="T266" s="2" t="s">
        <v>24</v>
      </c>
      <c r="U266" s="10" t="str">
        <f t="shared" si="29"/>
        <v>Feb</v>
      </c>
      <c r="V266" s="10">
        <f t="shared" si="28"/>
        <v>2025</v>
      </c>
      <c r="W266" t="e" cm="1">
        <f t="array" ref="W266">_xlfn.IFS(U266="January",1,U266="February",2,U266="March",3,U266="April",4,U266="May",5,U266="June",6,U266="July",7,U266="August",8,U266="September",9,U266="October",10,U266="November",11,U266="December",12)</f>
        <v>#N/A</v>
      </c>
    </row>
    <row r="267" spans="1:23" ht="15.75" customHeight="1" x14ac:dyDescent="0.25">
      <c r="A267" s="2" t="s">
        <v>1213</v>
      </c>
      <c r="B267" s="3">
        <v>45710.237928240742</v>
      </c>
      <c r="C267" s="2" t="s">
        <v>615</v>
      </c>
      <c r="D267" s="2" t="s">
        <v>92</v>
      </c>
      <c r="E267" s="2" t="s">
        <v>85</v>
      </c>
      <c r="F267" s="2" t="str" cm="1">
        <f t="array" ref="F267:G267">_xlfn.TEXTSPLIT(E267," - ")</f>
        <v>Daging Ayam</v>
      </c>
      <c r="G267" s="2" t="str">
        <v>Brand A</v>
      </c>
      <c r="H267" s="5">
        <v>35000</v>
      </c>
      <c r="I267" s="2">
        <v>3</v>
      </c>
      <c r="J267" s="2">
        <v>10</v>
      </c>
      <c r="K267" s="8">
        <f t="shared" si="24"/>
        <v>105000</v>
      </c>
      <c r="L267" s="8">
        <f t="shared" si="25"/>
        <v>10500</v>
      </c>
      <c r="M267" s="8">
        <f t="shared" si="26"/>
        <v>94500</v>
      </c>
      <c r="N267" s="5">
        <v>30000</v>
      </c>
      <c r="O267" s="8">
        <f t="shared" si="27"/>
        <v>124500</v>
      </c>
      <c r="P267" s="2" t="s">
        <v>29</v>
      </c>
      <c r="Q267" s="10" t="str">
        <f>VLOOKUP(A267,Status!A:B,2,0)</f>
        <v>Returned</v>
      </c>
      <c r="R267" s="2" t="s">
        <v>23</v>
      </c>
      <c r="S267" s="2">
        <v>1</v>
      </c>
      <c r="T267" s="2" t="s">
        <v>24</v>
      </c>
      <c r="U267" s="10" t="str">
        <f t="shared" si="29"/>
        <v>Feb</v>
      </c>
      <c r="V267" s="10">
        <f t="shared" si="28"/>
        <v>2025</v>
      </c>
      <c r="W267" t="e" cm="1">
        <f t="array" ref="W267">_xlfn.IFS(U267="January",1,U267="February",2,U267="March",3,U267="April",4,U267="May",5,U267="June",6,U267="July",7,U267="August",8,U267="September",9,U267="October",10,U267="November",11,U267="December",12)</f>
        <v>#N/A</v>
      </c>
    </row>
    <row r="268" spans="1:23" ht="15.75" customHeight="1" x14ac:dyDescent="0.25">
      <c r="A268" s="2" t="s">
        <v>1214</v>
      </c>
      <c r="B268" s="3">
        <v>45710.321087962962</v>
      </c>
      <c r="C268" s="2" t="s">
        <v>412</v>
      </c>
      <c r="D268" s="2" t="s">
        <v>70</v>
      </c>
      <c r="E268" s="2" t="s">
        <v>62</v>
      </c>
      <c r="F268" s="2" t="str" cm="1">
        <f t="array" ref="F268:G268">_xlfn.TEXTSPLIT(E268," - ")</f>
        <v>Susu Bubuk</v>
      </c>
      <c r="G268" s="2" t="str">
        <v>Brand B</v>
      </c>
      <c r="H268" s="5">
        <v>50000</v>
      </c>
      <c r="I268" s="2">
        <v>5</v>
      </c>
      <c r="J268" s="2">
        <v>15</v>
      </c>
      <c r="K268" s="8">
        <f t="shared" si="24"/>
        <v>250000</v>
      </c>
      <c r="L268" s="8">
        <f t="shared" si="25"/>
        <v>37500</v>
      </c>
      <c r="M268" s="8">
        <f t="shared" si="26"/>
        <v>212500</v>
      </c>
      <c r="N268" s="5">
        <v>89000</v>
      </c>
      <c r="O268" s="8">
        <f t="shared" si="27"/>
        <v>301500</v>
      </c>
      <c r="P268" s="2" t="s">
        <v>35</v>
      </c>
      <c r="Q268" s="10" t="str">
        <f>VLOOKUP(A268,Status!A:B,2,0)</f>
        <v>Completed</v>
      </c>
      <c r="R268" s="2" t="s">
        <v>23</v>
      </c>
      <c r="S268" s="2">
        <v>4</v>
      </c>
      <c r="T268" s="2" t="s">
        <v>24</v>
      </c>
      <c r="U268" s="10" t="str">
        <f t="shared" si="29"/>
        <v>Feb</v>
      </c>
      <c r="V268" s="10">
        <f t="shared" si="28"/>
        <v>2025</v>
      </c>
      <c r="W268" t="e" cm="1">
        <f t="array" ref="W268">_xlfn.IFS(U268="January",1,U268="February",2,U268="March",3,U268="April",4,U268="May",5,U268="June",6,U268="July",7,U268="August",8,U268="September",9,U268="October",10,U268="November",11,U268="December",12)</f>
        <v>#N/A</v>
      </c>
    </row>
    <row r="269" spans="1:23" ht="15.75" customHeight="1" x14ac:dyDescent="0.25">
      <c r="A269" s="2" t="s">
        <v>1215</v>
      </c>
      <c r="B269" s="3">
        <v>45710.368113425917</v>
      </c>
      <c r="C269" s="2" t="s">
        <v>419</v>
      </c>
      <c r="D269" s="2" t="s">
        <v>103</v>
      </c>
      <c r="E269" s="2" t="s">
        <v>38</v>
      </c>
      <c r="F269" s="2" t="str" cm="1">
        <f t="array" ref="F269:G269">_xlfn.TEXTSPLIT(E269," - ")</f>
        <v>Telur Ayam</v>
      </c>
      <c r="G269" s="2" t="str">
        <v>Brand C</v>
      </c>
      <c r="H269" s="5">
        <v>28000</v>
      </c>
      <c r="I269" s="2">
        <v>2</v>
      </c>
      <c r="J269" s="2">
        <v>15</v>
      </c>
      <c r="K269" s="8">
        <f t="shared" si="24"/>
        <v>56000</v>
      </c>
      <c r="L269" s="8">
        <f t="shared" si="25"/>
        <v>8400</v>
      </c>
      <c r="M269" s="8">
        <f t="shared" si="26"/>
        <v>47600</v>
      </c>
      <c r="N269" s="5">
        <v>85000</v>
      </c>
      <c r="O269" s="8">
        <f t="shared" si="27"/>
        <v>132600</v>
      </c>
      <c r="P269" s="2" t="s">
        <v>63</v>
      </c>
      <c r="Q269" s="10" t="str">
        <f>VLOOKUP(A269,Status!A:B,2,0)</f>
        <v>Cancelled</v>
      </c>
      <c r="R269" s="2" t="s">
        <v>82</v>
      </c>
      <c r="S269" s="2">
        <v>5</v>
      </c>
      <c r="T269" s="2" t="s">
        <v>37</v>
      </c>
      <c r="U269" s="10" t="str">
        <f t="shared" si="29"/>
        <v>Feb</v>
      </c>
      <c r="V269" s="10">
        <f t="shared" si="28"/>
        <v>2025</v>
      </c>
      <c r="W269" t="e" cm="1">
        <f t="array" ref="W269">_xlfn.IFS(U269="January",1,U269="February",2,U269="March",3,U269="April",4,U269="May",5,U269="June",6,U269="July",7,U269="August",8,U269="September",9,U269="October",10,U269="November",11,U269="December",12)</f>
        <v>#N/A</v>
      </c>
    </row>
    <row r="270" spans="1:23" ht="15.75" customHeight="1" x14ac:dyDescent="0.25">
      <c r="A270" s="2" t="s">
        <v>1216</v>
      </c>
      <c r="B270" s="3">
        <v>45710.415034722217</v>
      </c>
      <c r="C270" s="2" t="s">
        <v>408</v>
      </c>
      <c r="D270" s="2" t="s">
        <v>74</v>
      </c>
      <c r="E270" s="2" t="s">
        <v>88</v>
      </c>
      <c r="F270" s="2" t="str" cm="1">
        <f t="array" ref="F270:G270">_xlfn.TEXTSPLIT(E270," - ")</f>
        <v>Beras</v>
      </c>
      <c r="G270" s="2" t="str">
        <v>Brand A</v>
      </c>
      <c r="H270" s="5">
        <v>14000</v>
      </c>
      <c r="I270" s="2">
        <v>2</v>
      </c>
      <c r="J270" s="2">
        <v>0</v>
      </c>
      <c r="K270" s="8">
        <f t="shared" si="24"/>
        <v>28000</v>
      </c>
      <c r="L270" s="8">
        <f t="shared" si="25"/>
        <v>0</v>
      </c>
      <c r="M270" s="8">
        <f t="shared" si="26"/>
        <v>28000</v>
      </c>
      <c r="N270" s="5">
        <v>87000</v>
      </c>
      <c r="O270" s="8">
        <f t="shared" si="27"/>
        <v>115000</v>
      </c>
      <c r="P270" s="2" t="s">
        <v>29</v>
      </c>
      <c r="Q270" s="10" t="str">
        <f>VLOOKUP(A270,Status!A:B,2,0)</f>
        <v>Completed</v>
      </c>
      <c r="R270" s="2" t="s">
        <v>23</v>
      </c>
      <c r="S270" s="2">
        <v>5</v>
      </c>
      <c r="T270" s="2" t="s">
        <v>24</v>
      </c>
      <c r="U270" s="10" t="str">
        <f t="shared" si="29"/>
        <v>Feb</v>
      </c>
      <c r="V270" s="10">
        <f t="shared" si="28"/>
        <v>2025</v>
      </c>
      <c r="W270" t="e" cm="1">
        <f t="array" ref="W270">_xlfn.IFS(U270="January",1,U270="February",2,U270="March",3,U270="April",4,U270="May",5,U270="June",6,U270="July",7,U270="August",8,U270="September",9,U270="October",10,U270="November",11,U270="December",12)</f>
        <v>#N/A</v>
      </c>
    </row>
    <row r="271" spans="1:23" ht="15.75" customHeight="1" x14ac:dyDescent="0.25">
      <c r="A271" s="2" t="s">
        <v>1217</v>
      </c>
      <c r="B271" s="3">
        <v>45710.959374999999</v>
      </c>
      <c r="C271" s="2" t="s">
        <v>1003</v>
      </c>
      <c r="D271" s="2" t="s">
        <v>262</v>
      </c>
      <c r="E271" s="2" t="s">
        <v>88</v>
      </c>
      <c r="F271" s="2" t="str" cm="1">
        <f t="array" ref="F271:G271">_xlfn.TEXTSPLIT(E271," - ")</f>
        <v>Beras</v>
      </c>
      <c r="G271" s="2" t="str">
        <v>Brand A</v>
      </c>
      <c r="H271" s="5">
        <v>14000</v>
      </c>
      <c r="I271" s="2">
        <v>1</v>
      </c>
      <c r="J271" s="2">
        <v>5</v>
      </c>
      <c r="K271" s="8">
        <f t="shared" si="24"/>
        <v>14000</v>
      </c>
      <c r="L271" s="8">
        <f t="shared" si="25"/>
        <v>700</v>
      </c>
      <c r="M271" s="8">
        <f t="shared" si="26"/>
        <v>13300</v>
      </c>
      <c r="N271" s="5">
        <v>18000</v>
      </c>
      <c r="O271" s="8">
        <f t="shared" si="27"/>
        <v>31300</v>
      </c>
      <c r="P271" s="2" t="s">
        <v>63</v>
      </c>
      <c r="Q271" s="10" t="str">
        <f>VLOOKUP(A271,Status!A:B,2,0)</f>
        <v>Completed</v>
      </c>
      <c r="R271" s="2" t="s">
        <v>46</v>
      </c>
      <c r="S271" s="2">
        <v>2</v>
      </c>
      <c r="T271" s="2" t="s">
        <v>24</v>
      </c>
      <c r="U271" s="10" t="str">
        <f t="shared" si="29"/>
        <v>Feb</v>
      </c>
      <c r="V271" s="10">
        <f t="shared" si="28"/>
        <v>2025</v>
      </c>
      <c r="W271" t="e" cm="1">
        <f t="array" ref="W271">_xlfn.IFS(U271="January",1,U271="February",2,U271="March",3,U271="April",4,U271="May",5,U271="June",6,U271="July",7,U271="August",8,U271="September",9,U271="October",10,U271="November",11,U271="December",12)</f>
        <v>#N/A</v>
      </c>
    </row>
    <row r="272" spans="1:23" ht="15.75" customHeight="1" x14ac:dyDescent="0.25">
      <c r="A272" s="2" t="s">
        <v>1218</v>
      </c>
      <c r="B272" s="3">
        <v>45711.086180555547</v>
      </c>
      <c r="C272" s="2" t="s">
        <v>295</v>
      </c>
      <c r="D272" s="2" t="s">
        <v>296</v>
      </c>
      <c r="E272" s="2" t="s">
        <v>85</v>
      </c>
      <c r="F272" s="2" t="str" cm="1">
        <f t="array" ref="F272:G272">_xlfn.TEXTSPLIT(E272," - ")</f>
        <v>Daging Ayam</v>
      </c>
      <c r="G272" s="2" t="str">
        <v>Brand A</v>
      </c>
      <c r="H272" s="5">
        <v>35000</v>
      </c>
      <c r="I272" s="2">
        <v>4</v>
      </c>
      <c r="J272" s="2">
        <v>5</v>
      </c>
      <c r="K272" s="8">
        <f t="shared" si="24"/>
        <v>140000</v>
      </c>
      <c r="L272" s="8">
        <f t="shared" si="25"/>
        <v>7000</v>
      </c>
      <c r="M272" s="8">
        <f t="shared" si="26"/>
        <v>133000</v>
      </c>
      <c r="N272" s="5">
        <v>79000</v>
      </c>
      <c r="O272" s="8">
        <f t="shared" si="27"/>
        <v>212000</v>
      </c>
      <c r="P272" s="2" t="s">
        <v>29</v>
      </c>
      <c r="Q272" s="10" t="str">
        <f>VLOOKUP(A272,Status!A:B,2,0)</f>
        <v>Completed</v>
      </c>
      <c r="R272" s="2" t="s">
        <v>36</v>
      </c>
      <c r="S272" s="2">
        <v>2</v>
      </c>
      <c r="T272" s="2" t="s">
        <v>24</v>
      </c>
      <c r="U272" s="10" t="str">
        <f t="shared" si="29"/>
        <v>Feb</v>
      </c>
      <c r="V272" s="10">
        <f t="shared" si="28"/>
        <v>2025</v>
      </c>
      <c r="W272" t="e" cm="1">
        <f t="array" ref="W272">_xlfn.IFS(U272="January",1,U272="February",2,U272="March",3,U272="April",4,U272="May",5,U272="June",6,U272="July",7,U272="August",8,U272="September",9,U272="October",10,U272="November",11,U272="December",12)</f>
        <v>#N/A</v>
      </c>
    </row>
    <row r="273" spans="1:23" ht="15.75" customHeight="1" x14ac:dyDescent="0.25">
      <c r="A273" s="2" t="s">
        <v>1219</v>
      </c>
      <c r="B273" s="3">
        <v>45711.112835648149</v>
      </c>
      <c r="C273" s="2" t="s">
        <v>644</v>
      </c>
      <c r="D273" s="2" t="s">
        <v>244</v>
      </c>
      <c r="E273" s="2" t="s">
        <v>71</v>
      </c>
      <c r="F273" s="2" t="str" cm="1">
        <f t="array" ref="F273:G273">_xlfn.TEXTSPLIT(E273," - ")</f>
        <v>Bawang Merah</v>
      </c>
      <c r="G273" s="2" t="str">
        <v>Brand C</v>
      </c>
      <c r="H273" s="5">
        <v>40000</v>
      </c>
      <c r="I273" s="2">
        <v>3</v>
      </c>
      <c r="J273" s="2">
        <v>0</v>
      </c>
      <c r="K273" s="8">
        <f t="shared" si="24"/>
        <v>120000</v>
      </c>
      <c r="L273" s="8">
        <f t="shared" si="25"/>
        <v>0</v>
      </c>
      <c r="M273" s="8">
        <f t="shared" si="26"/>
        <v>120000</v>
      </c>
      <c r="N273" s="5">
        <v>80000</v>
      </c>
      <c r="O273" s="8">
        <f t="shared" si="27"/>
        <v>200000</v>
      </c>
      <c r="P273" s="2" t="s">
        <v>63</v>
      </c>
      <c r="Q273" s="10" t="str">
        <f>VLOOKUP(A273,Status!A:B,2,0)</f>
        <v>Returned</v>
      </c>
      <c r="R273" s="2" t="s">
        <v>82</v>
      </c>
      <c r="S273" s="2">
        <v>5</v>
      </c>
      <c r="T273" s="2" t="s">
        <v>24</v>
      </c>
      <c r="U273" s="10" t="str">
        <f t="shared" si="29"/>
        <v>Feb</v>
      </c>
      <c r="V273" s="10">
        <f t="shared" si="28"/>
        <v>2025</v>
      </c>
      <c r="W273" t="e" cm="1">
        <f t="array" ref="W273">_xlfn.IFS(U273="January",1,U273="February",2,U273="March",3,U273="April",4,U273="May",5,U273="June",6,U273="July",7,U273="August",8,U273="September",9,U273="October",10,U273="November",11,U273="December",12)</f>
        <v>#N/A</v>
      </c>
    </row>
    <row r="274" spans="1:23" ht="15.75" customHeight="1" x14ac:dyDescent="0.25">
      <c r="A274" s="2" t="s">
        <v>1220</v>
      </c>
      <c r="B274" s="3">
        <v>45711.125011574077</v>
      </c>
      <c r="C274" s="2" t="s">
        <v>227</v>
      </c>
      <c r="D274" s="2" t="s">
        <v>70</v>
      </c>
      <c r="E274" s="2" t="s">
        <v>50</v>
      </c>
      <c r="F274" s="2" t="str" cm="1">
        <f t="array" ref="F274:G274">_xlfn.TEXTSPLIT(E274," - ")</f>
        <v>Tepung Terigu</v>
      </c>
      <c r="G274" s="2" t="str">
        <v>Brand C</v>
      </c>
      <c r="H274" s="5">
        <v>14000</v>
      </c>
      <c r="I274" s="2">
        <v>5</v>
      </c>
      <c r="J274" s="2">
        <v>10</v>
      </c>
      <c r="K274" s="8">
        <f t="shared" si="24"/>
        <v>70000</v>
      </c>
      <c r="L274" s="8">
        <f t="shared" si="25"/>
        <v>7000</v>
      </c>
      <c r="M274" s="8">
        <f t="shared" si="26"/>
        <v>63000</v>
      </c>
      <c r="N274" s="5">
        <v>89000</v>
      </c>
      <c r="O274" s="8">
        <f t="shared" si="27"/>
        <v>152000</v>
      </c>
      <c r="P274" s="2" t="s">
        <v>29</v>
      </c>
      <c r="Q274" s="10" t="str">
        <f>VLOOKUP(A274,Status!A:B,2,0)</f>
        <v>Returned</v>
      </c>
      <c r="R274" s="2" t="s">
        <v>23</v>
      </c>
      <c r="S274" s="2">
        <v>4</v>
      </c>
      <c r="T274" s="2" t="s">
        <v>24</v>
      </c>
      <c r="U274" s="10" t="str">
        <f t="shared" si="29"/>
        <v>Feb</v>
      </c>
      <c r="V274" s="10">
        <f t="shared" si="28"/>
        <v>2025</v>
      </c>
      <c r="W274" t="e" cm="1">
        <f t="array" ref="W274">_xlfn.IFS(U274="January",1,U274="February",2,U274="March",3,U274="April",4,U274="May",5,U274="June",6,U274="July",7,U274="August",8,U274="September",9,U274="October",10,U274="November",11,U274="December",12)</f>
        <v>#N/A</v>
      </c>
    </row>
    <row r="275" spans="1:23" ht="15.75" customHeight="1" x14ac:dyDescent="0.25">
      <c r="A275" s="2" t="s">
        <v>1221</v>
      </c>
      <c r="B275" s="3">
        <v>45711.494050925918</v>
      </c>
      <c r="C275" s="2" t="s">
        <v>726</v>
      </c>
      <c r="D275" s="2" t="s">
        <v>53</v>
      </c>
      <c r="E275" s="2" t="s">
        <v>85</v>
      </c>
      <c r="F275" s="2" t="str" cm="1">
        <f t="array" ref="F275:G275">_xlfn.TEXTSPLIT(E275," - ")</f>
        <v>Daging Ayam</v>
      </c>
      <c r="G275" s="2" t="str">
        <v>Brand A</v>
      </c>
      <c r="H275" s="5">
        <v>35000</v>
      </c>
      <c r="I275" s="2">
        <v>5</v>
      </c>
      <c r="J275" s="2">
        <v>15</v>
      </c>
      <c r="K275" s="8">
        <f t="shared" si="24"/>
        <v>175000</v>
      </c>
      <c r="L275" s="8">
        <f t="shared" si="25"/>
        <v>26250</v>
      </c>
      <c r="M275" s="8">
        <f t="shared" si="26"/>
        <v>148750</v>
      </c>
      <c r="N275" s="5">
        <v>18000</v>
      </c>
      <c r="O275" s="8">
        <f t="shared" si="27"/>
        <v>166750</v>
      </c>
      <c r="P275" s="2" t="s">
        <v>22</v>
      </c>
      <c r="Q275" s="10" t="str">
        <f>VLOOKUP(A275,Status!A:B,2,0)</f>
        <v>Completed</v>
      </c>
      <c r="R275" s="2" t="s">
        <v>30</v>
      </c>
      <c r="S275" s="2">
        <v>4</v>
      </c>
      <c r="T275" s="2" t="s">
        <v>37</v>
      </c>
      <c r="U275" s="10" t="str">
        <f t="shared" si="29"/>
        <v>Feb</v>
      </c>
      <c r="V275" s="10">
        <f t="shared" si="28"/>
        <v>2025</v>
      </c>
      <c r="W275" t="e" cm="1">
        <f t="array" ref="W275">_xlfn.IFS(U275="January",1,U275="February",2,U275="March",3,U275="April",4,U275="May",5,U275="June",6,U275="July",7,U275="August",8,U275="September",9,U275="October",10,U275="November",11,U275="December",12)</f>
        <v>#N/A</v>
      </c>
    </row>
    <row r="276" spans="1:23" ht="15.75" customHeight="1" x14ac:dyDescent="0.25">
      <c r="A276" s="2" t="s">
        <v>1222</v>
      </c>
      <c r="B276" s="3">
        <v>45711.808391203696</v>
      </c>
      <c r="C276" s="2" t="s">
        <v>389</v>
      </c>
      <c r="D276" s="2" t="s">
        <v>182</v>
      </c>
      <c r="E276" s="2" t="s">
        <v>136</v>
      </c>
      <c r="F276" s="2" t="str" cm="1">
        <f t="array" ref="F276:G276">_xlfn.TEXTSPLIT(E276," - ")</f>
        <v>Tepung Terigu</v>
      </c>
      <c r="G276" s="2" t="str">
        <v>Brand B</v>
      </c>
      <c r="H276" s="5">
        <v>12000</v>
      </c>
      <c r="I276" s="2">
        <v>2</v>
      </c>
      <c r="J276" s="2">
        <v>5</v>
      </c>
      <c r="K276" s="8">
        <f t="shared" si="24"/>
        <v>24000</v>
      </c>
      <c r="L276" s="8">
        <f t="shared" si="25"/>
        <v>1200</v>
      </c>
      <c r="M276" s="8">
        <f t="shared" si="26"/>
        <v>22800</v>
      </c>
      <c r="N276" s="5">
        <v>48000</v>
      </c>
      <c r="O276" s="8">
        <f t="shared" si="27"/>
        <v>70800</v>
      </c>
      <c r="P276" s="2" t="s">
        <v>35</v>
      </c>
      <c r="Q276" s="10" t="str">
        <f>VLOOKUP(A276,Status!A:B,2,0)</f>
        <v>Completed</v>
      </c>
      <c r="R276" s="2" t="s">
        <v>30</v>
      </c>
      <c r="S276" s="2">
        <v>2</v>
      </c>
      <c r="T276" s="2" t="s">
        <v>24</v>
      </c>
      <c r="U276" s="10" t="str">
        <f t="shared" si="29"/>
        <v>Feb</v>
      </c>
      <c r="V276" s="10">
        <f t="shared" si="28"/>
        <v>2025</v>
      </c>
      <c r="W276" t="e" cm="1">
        <f t="array" ref="W276">_xlfn.IFS(U276="January",1,U276="February",2,U276="March",3,U276="April",4,U276="May",5,U276="June",6,U276="July",7,U276="August",8,U276="September",9,U276="October",10,U276="November",11,U276="December",12)</f>
        <v>#N/A</v>
      </c>
    </row>
    <row r="277" spans="1:23" ht="15.75" customHeight="1" x14ac:dyDescent="0.25">
      <c r="A277" s="2" t="s">
        <v>1223</v>
      </c>
      <c r="B277" s="3">
        <v>45711.86005787037</v>
      </c>
      <c r="C277" s="2" t="s">
        <v>398</v>
      </c>
      <c r="D277" s="2" t="s">
        <v>182</v>
      </c>
      <c r="E277" s="2" t="s">
        <v>58</v>
      </c>
      <c r="F277" s="2" t="str" cm="1">
        <f t="array" ref="F277:G277">_xlfn.TEXTSPLIT(E277," - ")</f>
        <v>Gula Pasir</v>
      </c>
      <c r="G277" s="2" t="str">
        <v>Brand A</v>
      </c>
      <c r="H277" s="5">
        <v>16000</v>
      </c>
      <c r="I277" s="2">
        <v>3</v>
      </c>
      <c r="J277" s="2">
        <v>5</v>
      </c>
      <c r="K277" s="8">
        <f t="shared" si="24"/>
        <v>48000</v>
      </c>
      <c r="L277" s="8">
        <f t="shared" si="25"/>
        <v>2400</v>
      </c>
      <c r="M277" s="8">
        <f t="shared" si="26"/>
        <v>45600</v>
      </c>
      <c r="N277" s="5">
        <v>48000</v>
      </c>
      <c r="O277" s="8">
        <f t="shared" si="27"/>
        <v>93600</v>
      </c>
      <c r="P277" s="2" t="s">
        <v>22</v>
      </c>
      <c r="Q277" s="10" t="str">
        <f>VLOOKUP(A277,Status!A:B,2,0)</f>
        <v>Completed</v>
      </c>
      <c r="R277" s="2" t="s">
        <v>46</v>
      </c>
      <c r="S277" s="2">
        <v>4</v>
      </c>
      <c r="T277" s="2" t="s">
        <v>24</v>
      </c>
      <c r="U277" s="10" t="str">
        <f t="shared" si="29"/>
        <v>Feb</v>
      </c>
      <c r="V277" s="10">
        <f t="shared" si="28"/>
        <v>2025</v>
      </c>
      <c r="W277" t="e" cm="1">
        <f t="array" ref="W277">_xlfn.IFS(U277="January",1,U277="February",2,U277="March",3,U277="April",4,U277="May",5,U277="June",6,U277="July",7,U277="August",8,U277="September",9,U277="October",10,U277="November",11,U277="December",12)</f>
        <v>#N/A</v>
      </c>
    </row>
    <row r="278" spans="1:23" ht="15.75" customHeight="1" x14ac:dyDescent="0.25">
      <c r="A278" s="2" t="s">
        <v>1224</v>
      </c>
      <c r="B278" s="3">
        <v>45711.942013888889</v>
      </c>
      <c r="C278" s="2" t="s">
        <v>513</v>
      </c>
      <c r="D278" s="2" t="s">
        <v>182</v>
      </c>
      <c r="E278" s="2" t="s">
        <v>50</v>
      </c>
      <c r="F278" s="2" t="str" cm="1">
        <f t="array" ref="F278:G278">_xlfn.TEXTSPLIT(E278," - ")</f>
        <v>Tepung Terigu</v>
      </c>
      <c r="G278" s="2" t="str">
        <v>Brand C</v>
      </c>
      <c r="H278" s="5">
        <v>14000</v>
      </c>
      <c r="I278" s="2">
        <v>2</v>
      </c>
      <c r="J278" s="2">
        <v>5</v>
      </c>
      <c r="K278" s="8">
        <f t="shared" si="24"/>
        <v>28000</v>
      </c>
      <c r="L278" s="8">
        <f t="shared" si="25"/>
        <v>1400</v>
      </c>
      <c r="M278" s="8">
        <f t="shared" si="26"/>
        <v>26600</v>
      </c>
      <c r="N278" s="5">
        <v>48000</v>
      </c>
      <c r="O278" s="8">
        <f t="shared" si="27"/>
        <v>74600</v>
      </c>
      <c r="P278" s="2" t="s">
        <v>35</v>
      </c>
      <c r="Q278" s="10" t="str">
        <f>VLOOKUP(A278,Status!A:B,2,0)</f>
        <v>Completed</v>
      </c>
      <c r="R278" s="2" t="s">
        <v>23</v>
      </c>
      <c r="S278" s="2">
        <v>1</v>
      </c>
      <c r="T278" s="2" t="s">
        <v>24</v>
      </c>
      <c r="U278" s="10" t="str">
        <f t="shared" si="29"/>
        <v>Feb</v>
      </c>
      <c r="V278" s="10">
        <f t="shared" si="28"/>
        <v>2025</v>
      </c>
      <c r="W278" t="e" cm="1">
        <f t="array" ref="W278">_xlfn.IFS(U278="January",1,U278="February",2,U278="March",3,U278="April",4,U278="May",5,U278="June",6,U278="July",7,U278="August",8,U278="September",9,U278="October",10,U278="November",11,U278="December",12)</f>
        <v>#N/A</v>
      </c>
    </row>
    <row r="279" spans="1:23" ht="15.75" customHeight="1" x14ac:dyDescent="0.25">
      <c r="A279" s="2" t="s">
        <v>1225</v>
      </c>
      <c r="B279" s="3">
        <v>45712.076365740737</v>
      </c>
      <c r="C279" s="2" t="s">
        <v>1087</v>
      </c>
      <c r="D279" s="2" t="s">
        <v>143</v>
      </c>
      <c r="E279" s="2" t="s">
        <v>250</v>
      </c>
      <c r="F279" s="2" t="str" cm="1">
        <f t="array" ref="F279:G279">_xlfn.TEXTSPLIT(E279," - ")</f>
        <v>Minyak Goreng</v>
      </c>
      <c r="G279" s="2" t="str">
        <v>Brand C</v>
      </c>
      <c r="H279" s="5">
        <v>18000</v>
      </c>
      <c r="I279" s="2">
        <v>1</v>
      </c>
      <c r="J279" s="2">
        <v>20</v>
      </c>
      <c r="K279" s="8">
        <f t="shared" si="24"/>
        <v>18000</v>
      </c>
      <c r="L279" s="8">
        <f t="shared" si="25"/>
        <v>3600</v>
      </c>
      <c r="M279" s="8">
        <f t="shared" si="26"/>
        <v>14400</v>
      </c>
      <c r="N279" s="5">
        <v>50000</v>
      </c>
      <c r="O279" s="8">
        <f t="shared" si="27"/>
        <v>64400</v>
      </c>
      <c r="P279" s="2" t="s">
        <v>22</v>
      </c>
      <c r="Q279" s="10" t="str">
        <f>VLOOKUP(A279,Status!A:B,2,0)</f>
        <v>Completed</v>
      </c>
      <c r="R279" s="2" t="s">
        <v>36</v>
      </c>
      <c r="S279" s="2">
        <v>2</v>
      </c>
      <c r="T279" s="2" t="s">
        <v>24</v>
      </c>
      <c r="U279" s="10" t="str">
        <f t="shared" si="29"/>
        <v>Feb</v>
      </c>
      <c r="V279" s="10">
        <f t="shared" si="28"/>
        <v>2025</v>
      </c>
      <c r="W279" t="e" cm="1">
        <f t="array" ref="W279">_xlfn.IFS(U279="January",1,U279="February",2,U279="March",3,U279="April",4,U279="May",5,U279="June",6,U279="July",7,U279="August",8,U279="September",9,U279="October",10,U279="November",11,U279="December",12)</f>
        <v>#N/A</v>
      </c>
    </row>
    <row r="280" spans="1:23" ht="15.75" customHeight="1" x14ac:dyDescent="0.25">
      <c r="A280" s="2" t="s">
        <v>1226</v>
      </c>
      <c r="B280" s="3">
        <v>45712.117476851847</v>
      </c>
      <c r="C280" s="2" t="s">
        <v>635</v>
      </c>
      <c r="D280" s="2" t="s">
        <v>103</v>
      </c>
      <c r="E280" s="2" t="s">
        <v>45</v>
      </c>
      <c r="F280" s="2" t="str" cm="1">
        <f t="array" ref="F280:G280">_xlfn.TEXTSPLIT(E280," - ")</f>
        <v>Daging Ayam</v>
      </c>
      <c r="G280" s="2" t="str">
        <v>Brand B</v>
      </c>
      <c r="H280" s="5">
        <v>40000</v>
      </c>
      <c r="I280" s="2">
        <v>1</v>
      </c>
      <c r="J280" s="2">
        <v>10</v>
      </c>
      <c r="K280" s="8">
        <f t="shared" si="24"/>
        <v>40000</v>
      </c>
      <c r="L280" s="8">
        <f t="shared" si="25"/>
        <v>4000</v>
      </c>
      <c r="M280" s="8">
        <f t="shared" si="26"/>
        <v>36000</v>
      </c>
      <c r="N280" s="5">
        <v>85000</v>
      </c>
      <c r="O280" s="8">
        <f t="shared" si="27"/>
        <v>121000</v>
      </c>
      <c r="P280" s="2" t="s">
        <v>63</v>
      </c>
      <c r="Q280" s="10" t="str">
        <f>VLOOKUP(A280,Status!A:B,2,0)</f>
        <v>Completed</v>
      </c>
      <c r="R280" s="2" t="s">
        <v>30</v>
      </c>
      <c r="S280" s="2">
        <v>4</v>
      </c>
      <c r="T280" s="2" t="s">
        <v>24</v>
      </c>
      <c r="U280" s="10" t="str">
        <f t="shared" si="29"/>
        <v>Feb</v>
      </c>
      <c r="V280" s="10">
        <f t="shared" si="28"/>
        <v>2025</v>
      </c>
      <c r="W280" t="e" cm="1">
        <f t="array" ref="W280">_xlfn.IFS(U280="January",1,U280="February",2,U280="March",3,U280="April",4,U280="May",5,U280="June",6,U280="July",7,U280="August",8,U280="September",9,U280="October",10,U280="November",11,U280="December",12)</f>
        <v>#N/A</v>
      </c>
    </row>
    <row r="281" spans="1:23" ht="15.75" customHeight="1" x14ac:dyDescent="0.25">
      <c r="A281" s="2" t="s">
        <v>1227</v>
      </c>
      <c r="B281" s="3">
        <v>45712.22797453704</v>
      </c>
      <c r="C281" s="2" t="s">
        <v>1228</v>
      </c>
      <c r="D281" s="2" t="s">
        <v>33</v>
      </c>
      <c r="E281" s="2" t="s">
        <v>41</v>
      </c>
      <c r="F281" s="2" t="str" cm="1">
        <f t="array" ref="F281:G281">_xlfn.TEXTSPLIT(E281," - ")</f>
        <v>Garam</v>
      </c>
      <c r="G281" s="2" t="str">
        <v>Brand A</v>
      </c>
      <c r="H281" s="5">
        <v>4000</v>
      </c>
      <c r="I281" s="2">
        <v>4</v>
      </c>
      <c r="J281" s="2">
        <v>15</v>
      </c>
      <c r="K281" s="8">
        <f t="shared" si="24"/>
        <v>16000</v>
      </c>
      <c r="L281" s="8">
        <f t="shared" si="25"/>
        <v>2400</v>
      </c>
      <c r="M281" s="8">
        <f t="shared" si="26"/>
        <v>13600</v>
      </c>
      <c r="N281" s="5">
        <v>76000</v>
      </c>
      <c r="O281" s="8">
        <f t="shared" si="27"/>
        <v>89600</v>
      </c>
      <c r="P281" s="2" t="s">
        <v>22</v>
      </c>
      <c r="Q281" s="10" t="str">
        <f>VLOOKUP(A281,Status!A:B,2,0)</f>
        <v>Completed</v>
      </c>
      <c r="R281" s="2" t="s">
        <v>82</v>
      </c>
      <c r="S281" s="2">
        <v>4</v>
      </c>
      <c r="T281" s="2" t="s">
        <v>24</v>
      </c>
      <c r="U281" s="10" t="str">
        <f t="shared" si="29"/>
        <v>Feb</v>
      </c>
      <c r="V281" s="10">
        <f t="shared" si="28"/>
        <v>2025</v>
      </c>
      <c r="W281" t="e" cm="1">
        <f t="array" ref="W281">_xlfn.IFS(U281="January",1,U281="February",2,U281="March",3,U281="April",4,U281="May",5,U281="June",6,U281="July",7,U281="August",8,U281="September",9,U281="October",10,U281="November",11,U281="December",12)</f>
        <v>#N/A</v>
      </c>
    </row>
    <row r="282" spans="1:23" ht="15.75" customHeight="1" x14ac:dyDescent="0.25">
      <c r="A282" s="2" t="s">
        <v>1229</v>
      </c>
      <c r="B282" s="3">
        <v>45712.513819444437</v>
      </c>
      <c r="C282" s="2" t="s">
        <v>681</v>
      </c>
      <c r="D282" s="2" t="s">
        <v>262</v>
      </c>
      <c r="E282" s="2" t="s">
        <v>54</v>
      </c>
      <c r="F282" s="2" t="str" cm="1">
        <f t="array" ref="F282:G282">_xlfn.TEXTSPLIT(E282," - ")</f>
        <v>Beras</v>
      </c>
      <c r="G282" s="2" t="str">
        <v>Brand C</v>
      </c>
      <c r="H282" s="5">
        <v>16000</v>
      </c>
      <c r="I282" s="2">
        <v>1</v>
      </c>
      <c r="J282" s="2">
        <v>10</v>
      </c>
      <c r="K282" s="8">
        <f t="shared" si="24"/>
        <v>16000</v>
      </c>
      <c r="L282" s="8">
        <f t="shared" si="25"/>
        <v>1600</v>
      </c>
      <c r="M282" s="8">
        <f t="shared" si="26"/>
        <v>14400</v>
      </c>
      <c r="N282" s="5">
        <v>18000</v>
      </c>
      <c r="O282" s="8">
        <f t="shared" si="27"/>
        <v>32400</v>
      </c>
      <c r="P282" s="2" t="s">
        <v>29</v>
      </c>
      <c r="Q282" s="10" t="str">
        <f>VLOOKUP(A282,Status!A:B,2,0)</f>
        <v>Completed</v>
      </c>
      <c r="R282" s="2" t="s">
        <v>36</v>
      </c>
      <c r="S282" s="2">
        <v>4</v>
      </c>
      <c r="T282" s="2" t="s">
        <v>24</v>
      </c>
      <c r="U282" s="10" t="str">
        <f t="shared" si="29"/>
        <v>Feb</v>
      </c>
      <c r="V282" s="10">
        <f t="shared" si="28"/>
        <v>2025</v>
      </c>
      <c r="W282" t="e" cm="1">
        <f t="array" ref="W282">_xlfn.IFS(U282="January",1,U282="February",2,U282="March",3,U282="April",4,U282="May",5,U282="June",6,U282="July",7,U282="August",8,U282="September",9,U282="October",10,U282="November",11,U282="December",12)</f>
        <v>#N/A</v>
      </c>
    </row>
    <row r="283" spans="1:23" ht="15.75" customHeight="1" x14ac:dyDescent="0.25">
      <c r="A283" s="2" t="s">
        <v>1230</v>
      </c>
      <c r="B283" s="3">
        <v>45712.65587962963</v>
      </c>
      <c r="C283" s="2" t="s">
        <v>693</v>
      </c>
      <c r="D283" s="2" t="s">
        <v>119</v>
      </c>
      <c r="E283" s="2" t="s">
        <v>81</v>
      </c>
      <c r="F283" s="2" t="str" cm="1">
        <f t="array" ref="F283:G283">_xlfn.TEXTSPLIT(E283," - ")</f>
        <v>Minyak Goreng</v>
      </c>
      <c r="G283" s="2" t="str">
        <v>Brand B</v>
      </c>
      <c r="H283" s="5">
        <v>17000</v>
      </c>
      <c r="I283" s="2">
        <v>1</v>
      </c>
      <c r="J283" s="2">
        <v>5</v>
      </c>
      <c r="K283" s="8">
        <f t="shared" si="24"/>
        <v>17000</v>
      </c>
      <c r="L283" s="8">
        <f t="shared" si="25"/>
        <v>850</v>
      </c>
      <c r="M283" s="8">
        <f t="shared" si="26"/>
        <v>16150</v>
      </c>
      <c r="N283" s="5">
        <v>0</v>
      </c>
      <c r="O283" s="8">
        <f t="shared" si="27"/>
        <v>16150</v>
      </c>
      <c r="P283" s="2" t="s">
        <v>63</v>
      </c>
      <c r="Q283" s="10" t="str">
        <f>VLOOKUP(A283,Status!A:B,2,0)</f>
        <v>Completed</v>
      </c>
      <c r="R283" s="2" t="s">
        <v>36</v>
      </c>
      <c r="S283" s="2">
        <v>3</v>
      </c>
      <c r="T283" s="2" t="s">
        <v>24</v>
      </c>
      <c r="U283" s="10" t="str">
        <f t="shared" si="29"/>
        <v>Feb</v>
      </c>
      <c r="V283" s="10">
        <f t="shared" si="28"/>
        <v>2025</v>
      </c>
      <c r="W283" t="e" cm="1">
        <f t="array" ref="W283">_xlfn.IFS(U283="January",1,U283="February",2,U283="March",3,U283="April",4,U283="May",5,U283="June",6,U283="July",7,U283="August",8,U283="September",9,U283="October",10,U283="November",11,U283="December",12)</f>
        <v>#N/A</v>
      </c>
    </row>
    <row r="284" spans="1:23" ht="15.75" customHeight="1" x14ac:dyDescent="0.25">
      <c r="A284" s="2" t="s">
        <v>1231</v>
      </c>
      <c r="B284" s="3">
        <v>45712.691458333327</v>
      </c>
      <c r="C284" s="2" t="s">
        <v>203</v>
      </c>
      <c r="D284" s="2" t="s">
        <v>20</v>
      </c>
      <c r="E284" s="2" t="s">
        <v>85</v>
      </c>
      <c r="F284" s="2" t="str" cm="1">
        <f t="array" ref="F284:G284">_xlfn.TEXTSPLIT(E284," - ")</f>
        <v>Daging Ayam</v>
      </c>
      <c r="G284" s="2" t="str">
        <v>Brand A</v>
      </c>
      <c r="H284" s="5">
        <v>35000</v>
      </c>
      <c r="I284" s="2">
        <v>2</v>
      </c>
      <c r="J284" s="2">
        <v>0</v>
      </c>
      <c r="K284" s="8">
        <f t="shared" si="24"/>
        <v>70000</v>
      </c>
      <c r="L284" s="8">
        <f t="shared" si="25"/>
        <v>0</v>
      </c>
      <c r="M284" s="8">
        <f t="shared" si="26"/>
        <v>70000</v>
      </c>
      <c r="N284" s="5">
        <v>15000</v>
      </c>
      <c r="O284" s="8">
        <f t="shared" si="27"/>
        <v>85000</v>
      </c>
      <c r="P284" s="2" t="s">
        <v>29</v>
      </c>
      <c r="Q284" s="10" t="str">
        <f>VLOOKUP(A284,Status!A:B,2,0)</f>
        <v>Cancelled</v>
      </c>
      <c r="R284" s="2" t="s">
        <v>36</v>
      </c>
      <c r="S284" s="2">
        <v>2</v>
      </c>
      <c r="T284" s="2" t="s">
        <v>24</v>
      </c>
      <c r="U284" s="10" t="str">
        <f t="shared" si="29"/>
        <v>Feb</v>
      </c>
      <c r="V284" s="10">
        <f t="shared" si="28"/>
        <v>2025</v>
      </c>
      <c r="W284" t="e" cm="1">
        <f t="array" ref="W284">_xlfn.IFS(U284="January",1,U284="February",2,U284="March",3,U284="April",4,U284="May",5,U284="June",6,U284="July",7,U284="August",8,U284="September",9,U284="October",10,U284="November",11,U284="December",12)</f>
        <v>#N/A</v>
      </c>
    </row>
    <row r="285" spans="1:23" ht="15.75" customHeight="1" x14ac:dyDescent="0.25">
      <c r="A285" s="2" t="s">
        <v>1232</v>
      </c>
      <c r="B285" s="3">
        <v>45712.874178240738</v>
      </c>
      <c r="C285" s="2" t="s">
        <v>237</v>
      </c>
      <c r="D285" s="2" t="s">
        <v>238</v>
      </c>
      <c r="E285" s="2" t="s">
        <v>71</v>
      </c>
      <c r="F285" s="2" t="str" cm="1">
        <f t="array" ref="F285:G285">_xlfn.TEXTSPLIT(E285," - ")</f>
        <v>Bawang Merah</v>
      </c>
      <c r="G285" s="2" t="str">
        <v>Brand C</v>
      </c>
      <c r="H285" s="5">
        <v>40000</v>
      </c>
      <c r="I285" s="2">
        <v>4</v>
      </c>
      <c r="J285" s="2">
        <v>0</v>
      </c>
      <c r="K285" s="8">
        <f t="shared" si="24"/>
        <v>160000</v>
      </c>
      <c r="L285" s="8">
        <f t="shared" si="25"/>
        <v>0</v>
      </c>
      <c r="M285" s="8">
        <f t="shared" si="26"/>
        <v>160000</v>
      </c>
      <c r="N285" s="5">
        <v>28000</v>
      </c>
      <c r="O285" s="8">
        <f t="shared" si="27"/>
        <v>188000</v>
      </c>
      <c r="P285" s="2" t="s">
        <v>63</v>
      </c>
      <c r="Q285" s="10" t="str">
        <f>VLOOKUP(A285,Status!A:B,2,0)</f>
        <v>Completed</v>
      </c>
      <c r="R285" s="2" t="s">
        <v>36</v>
      </c>
      <c r="S285" s="2">
        <v>4</v>
      </c>
      <c r="T285" s="2" t="s">
        <v>24</v>
      </c>
      <c r="U285" s="10" t="str">
        <f t="shared" si="29"/>
        <v>Feb</v>
      </c>
      <c r="V285" s="10">
        <f t="shared" si="28"/>
        <v>2025</v>
      </c>
      <c r="W285" t="e" cm="1">
        <f t="array" ref="W285">_xlfn.IFS(U285="January",1,U285="February",2,U285="March",3,U285="April",4,U285="May",5,U285="June",6,U285="July",7,U285="August",8,U285="September",9,U285="October",10,U285="November",11,U285="December",12)</f>
        <v>#N/A</v>
      </c>
    </row>
    <row r="286" spans="1:23" ht="15.75" customHeight="1" x14ac:dyDescent="0.25">
      <c r="A286" s="2" t="s">
        <v>1233</v>
      </c>
      <c r="B286" s="3">
        <v>45712.878692129627</v>
      </c>
      <c r="C286" s="2" t="s">
        <v>776</v>
      </c>
      <c r="D286" s="2" t="s">
        <v>103</v>
      </c>
      <c r="E286" s="2" t="s">
        <v>250</v>
      </c>
      <c r="F286" s="2" t="str" cm="1">
        <f t="array" ref="F286:G286">_xlfn.TEXTSPLIT(E286," - ")</f>
        <v>Minyak Goreng</v>
      </c>
      <c r="G286" s="2" t="str">
        <v>Brand C</v>
      </c>
      <c r="H286" s="5">
        <v>18000</v>
      </c>
      <c r="I286" s="2">
        <v>3</v>
      </c>
      <c r="J286" s="2">
        <v>0</v>
      </c>
      <c r="K286" s="8">
        <f t="shared" si="24"/>
        <v>54000</v>
      </c>
      <c r="L286" s="8">
        <f t="shared" si="25"/>
        <v>0</v>
      </c>
      <c r="M286" s="8">
        <f t="shared" si="26"/>
        <v>54000</v>
      </c>
      <c r="N286" s="5">
        <v>85000</v>
      </c>
      <c r="O286" s="8">
        <f t="shared" si="27"/>
        <v>139000</v>
      </c>
      <c r="P286" s="2" t="s">
        <v>22</v>
      </c>
      <c r="Q286" s="10" t="str">
        <f>VLOOKUP(A286,Status!A:B,2,0)</f>
        <v>Completed</v>
      </c>
      <c r="R286" s="2" t="s">
        <v>82</v>
      </c>
      <c r="S286" s="2">
        <v>5</v>
      </c>
      <c r="T286" s="2" t="s">
        <v>24</v>
      </c>
      <c r="U286" s="10" t="str">
        <f t="shared" si="29"/>
        <v>Feb</v>
      </c>
      <c r="V286" s="10">
        <f t="shared" si="28"/>
        <v>2025</v>
      </c>
      <c r="W286" t="e" cm="1">
        <f t="array" ref="W286">_xlfn.IFS(U286="January",1,U286="February",2,U286="March",3,U286="April",4,U286="May",5,U286="June",6,U286="July",7,U286="August",8,U286="September",9,U286="October",10,U286="November",11,U286="December",12)</f>
        <v>#N/A</v>
      </c>
    </row>
    <row r="287" spans="1:23" ht="15.75" customHeight="1" x14ac:dyDescent="0.25">
      <c r="A287" s="2" t="s">
        <v>1234</v>
      </c>
      <c r="B287" s="3">
        <v>45713.314629629633</v>
      </c>
      <c r="C287" s="2" t="s">
        <v>169</v>
      </c>
      <c r="D287" s="2" t="s">
        <v>170</v>
      </c>
      <c r="E287" s="2" t="s">
        <v>136</v>
      </c>
      <c r="F287" s="2" t="str" cm="1">
        <f t="array" ref="F287:G287">_xlfn.TEXTSPLIT(E287," - ")</f>
        <v>Tepung Terigu</v>
      </c>
      <c r="G287" s="2" t="str">
        <v>Brand B</v>
      </c>
      <c r="H287" s="5">
        <v>12000</v>
      </c>
      <c r="I287" s="2">
        <v>4</v>
      </c>
      <c r="J287" s="2">
        <v>10</v>
      </c>
      <c r="K287" s="8">
        <f t="shared" si="24"/>
        <v>48000</v>
      </c>
      <c r="L287" s="8">
        <f t="shared" si="25"/>
        <v>4800</v>
      </c>
      <c r="M287" s="8">
        <f t="shared" si="26"/>
        <v>43200</v>
      </c>
      <c r="N287" s="5">
        <v>46000</v>
      </c>
      <c r="O287" s="8">
        <f t="shared" si="27"/>
        <v>89200</v>
      </c>
      <c r="P287" s="2" t="s">
        <v>22</v>
      </c>
      <c r="Q287" s="10" t="str">
        <f>VLOOKUP(A287,Status!A:B,2,0)</f>
        <v>Returned</v>
      </c>
      <c r="R287" s="2" t="s">
        <v>30</v>
      </c>
      <c r="S287" s="2">
        <v>3</v>
      </c>
      <c r="T287" s="2" t="s">
        <v>24</v>
      </c>
      <c r="U287" s="10" t="str">
        <f t="shared" si="29"/>
        <v>Feb</v>
      </c>
      <c r="V287" s="10">
        <f t="shared" si="28"/>
        <v>2025</v>
      </c>
      <c r="W287" t="e" cm="1">
        <f t="array" ref="W287">_xlfn.IFS(U287="January",1,U287="February",2,U287="March",3,U287="April",4,U287="May",5,U287="June",6,U287="July",7,U287="August",8,U287="September",9,U287="October",10,U287="November",11,U287="December",12)</f>
        <v>#N/A</v>
      </c>
    </row>
    <row r="288" spans="1:23" ht="15.75" customHeight="1" x14ac:dyDescent="0.25">
      <c r="A288" s="2" t="s">
        <v>1235</v>
      </c>
      <c r="B288" s="3">
        <v>45713.316724537042</v>
      </c>
      <c r="C288" s="2" t="s">
        <v>557</v>
      </c>
      <c r="D288" s="2" t="s">
        <v>173</v>
      </c>
      <c r="E288" s="2" t="s">
        <v>110</v>
      </c>
      <c r="F288" s="2" t="str" cm="1">
        <f t="array" ref="F288:G288">_xlfn.TEXTSPLIT(E288," - ")</f>
        <v>Garam</v>
      </c>
      <c r="G288" s="2" t="str">
        <v>Brand C</v>
      </c>
      <c r="H288" s="5">
        <v>6000</v>
      </c>
      <c r="I288" s="2">
        <v>1</v>
      </c>
      <c r="J288" s="2">
        <v>0</v>
      </c>
      <c r="K288" s="8">
        <f t="shared" si="24"/>
        <v>6000</v>
      </c>
      <c r="L288" s="8">
        <f t="shared" si="25"/>
        <v>0</v>
      </c>
      <c r="M288" s="8">
        <f t="shared" si="26"/>
        <v>6000</v>
      </c>
      <c r="N288" s="5">
        <v>49000</v>
      </c>
      <c r="O288" s="8">
        <f t="shared" si="27"/>
        <v>55000</v>
      </c>
      <c r="P288" s="2" t="s">
        <v>63</v>
      </c>
      <c r="Q288" s="10" t="str">
        <f>VLOOKUP(A288,Status!A:B,2,0)</f>
        <v>Completed</v>
      </c>
      <c r="R288" s="2" t="s">
        <v>46</v>
      </c>
      <c r="S288" s="2">
        <v>1</v>
      </c>
      <c r="T288" s="2" t="s">
        <v>24</v>
      </c>
      <c r="U288" s="10" t="str">
        <f t="shared" si="29"/>
        <v>Feb</v>
      </c>
      <c r="V288" s="10">
        <f t="shared" si="28"/>
        <v>2025</v>
      </c>
      <c r="W288" t="e" cm="1">
        <f t="array" ref="W288">_xlfn.IFS(U288="January",1,U288="February",2,U288="March",3,U288="April",4,U288="May",5,U288="June",6,U288="July",7,U288="August",8,U288="September",9,U288="October",10,U288="November",11,U288="December",12)</f>
        <v>#N/A</v>
      </c>
    </row>
    <row r="289" spans="1:23" ht="15.75" customHeight="1" x14ac:dyDescent="0.25">
      <c r="A289" s="2" t="s">
        <v>1236</v>
      </c>
      <c r="B289" s="3">
        <v>45713.395243055558</v>
      </c>
      <c r="C289" s="2" t="s">
        <v>1237</v>
      </c>
      <c r="D289" s="2" t="s">
        <v>92</v>
      </c>
      <c r="E289" s="2" t="s">
        <v>93</v>
      </c>
      <c r="F289" s="2" t="str" cm="1">
        <f t="array" ref="F289:G289">_xlfn.TEXTSPLIT(E289," - ")</f>
        <v>Telur Ayam</v>
      </c>
      <c r="G289" s="2" t="str">
        <v>Brand B</v>
      </c>
      <c r="H289" s="5">
        <v>25000</v>
      </c>
      <c r="I289" s="2">
        <v>5</v>
      </c>
      <c r="J289" s="2">
        <v>0</v>
      </c>
      <c r="K289" s="8">
        <f t="shared" si="24"/>
        <v>125000</v>
      </c>
      <c r="L289" s="8">
        <f t="shared" si="25"/>
        <v>0</v>
      </c>
      <c r="M289" s="8">
        <f t="shared" si="26"/>
        <v>125000</v>
      </c>
      <c r="N289" s="5">
        <v>30000</v>
      </c>
      <c r="O289" s="8">
        <f t="shared" si="27"/>
        <v>155000</v>
      </c>
      <c r="P289" s="2" t="s">
        <v>22</v>
      </c>
      <c r="Q289" s="10" t="str">
        <f>VLOOKUP(A289,Status!A:B,2,0)</f>
        <v>Completed</v>
      </c>
      <c r="R289" s="2" t="s">
        <v>30</v>
      </c>
      <c r="S289" s="2">
        <v>1</v>
      </c>
      <c r="T289" s="2" t="s">
        <v>24</v>
      </c>
      <c r="U289" s="10" t="str">
        <f t="shared" si="29"/>
        <v>Feb</v>
      </c>
      <c r="V289" s="10">
        <f t="shared" si="28"/>
        <v>2025</v>
      </c>
      <c r="W289" t="e" cm="1">
        <f t="array" ref="W289">_xlfn.IFS(U289="January",1,U289="February",2,U289="March",3,U289="April",4,U289="May",5,U289="June",6,U289="July",7,U289="August",8,U289="September",9,U289="October",10,U289="November",11,U289="December",12)</f>
        <v>#N/A</v>
      </c>
    </row>
    <row r="290" spans="1:23" ht="15.75" customHeight="1" x14ac:dyDescent="0.25">
      <c r="A290" s="2" t="s">
        <v>1238</v>
      </c>
      <c r="B290" s="3">
        <v>45713.818136574067</v>
      </c>
      <c r="C290" s="2" t="s">
        <v>812</v>
      </c>
      <c r="D290" s="2" t="s">
        <v>33</v>
      </c>
      <c r="E290" s="2" t="s">
        <v>71</v>
      </c>
      <c r="F290" s="2" t="str" cm="1">
        <f t="array" ref="F290:G290">_xlfn.TEXTSPLIT(E290," - ")</f>
        <v>Bawang Merah</v>
      </c>
      <c r="G290" s="2" t="str">
        <v>Brand C</v>
      </c>
      <c r="H290" s="5">
        <v>40000</v>
      </c>
      <c r="I290" s="2">
        <v>2</v>
      </c>
      <c r="J290" s="2">
        <v>20</v>
      </c>
      <c r="K290" s="8">
        <f t="shared" si="24"/>
        <v>80000</v>
      </c>
      <c r="L290" s="8">
        <f t="shared" si="25"/>
        <v>16000</v>
      </c>
      <c r="M290" s="8">
        <f t="shared" si="26"/>
        <v>64000</v>
      </c>
      <c r="N290" s="5">
        <v>76000</v>
      </c>
      <c r="O290" s="8">
        <f t="shared" si="27"/>
        <v>140000</v>
      </c>
      <c r="P290" s="2" t="s">
        <v>22</v>
      </c>
      <c r="Q290" s="10" t="str">
        <f>VLOOKUP(A290,Status!A:B,2,0)</f>
        <v>Returned</v>
      </c>
      <c r="R290" s="2" t="s">
        <v>46</v>
      </c>
      <c r="S290" s="2">
        <v>4</v>
      </c>
      <c r="T290" s="2" t="s">
        <v>24</v>
      </c>
      <c r="U290" s="10" t="str">
        <f t="shared" si="29"/>
        <v>Feb</v>
      </c>
      <c r="V290" s="10">
        <f t="shared" si="28"/>
        <v>2025</v>
      </c>
      <c r="W290" t="e" cm="1">
        <f t="array" ref="W290">_xlfn.IFS(U290="January",1,U290="February",2,U290="March",3,U290="April",4,U290="May",5,U290="June",6,U290="July",7,U290="August",8,U290="September",9,U290="October",10,U290="November",11,U290="December",12)</f>
        <v>#N/A</v>
      </c>
    </row>
    <row r="291" spans="1:23" ht="15.75" customHeight="1" x14ac:dyDescent="0.25">
      <c r="A291" s="2" t="s">
        <v>1239</v>
      </c>
      <c r="B291" s="3">
        <v>45714.135601851849</v>
      </c>
      <c r="C291" s="2" t="s">
        <v>400</v>
      </c>
      <c r="D291" s="2" t="s">
        <v>27</v>
      </c>
      <c r="E291" s="2" t="s">
        <v>67</v>
      </c>
      <c r="F291" s="2" t="str" cm="1">
        <f t="array" ref="F291:G291">_xlfn.TEXTSPLIT(E291," - ")</f>
        <v>Beras</v>
      </c>
      <c r="G291" s="2" t="str">
        <v>Brand B</v>
      </c>
      <c r="H291" s="5">
        <v>15000</v>
      </c>
      <c r="I291" s="2">
        <v>1</v>
      </c>
      <c r="J291" s="2">
        <v>0</v>
      </c>
      <c r="K291" s="8">
        <f t="shared" si="24"/>
        <v>15000</v>
      </c>
      <c r="L291" s="8">
        <f t="shared" si="25"/>
        <v>0</v>
      </c>
      <c r="M291" s="8">
        <f t="shared" si="26"/>
        <v>15000</v>
      </c>
      <c r="N291" s="5">
        <v>17000</v>
      </c>
      <c r="O291" s="8">
        <f t="shared" si="27"/>
        <v>32000</v>
      </c>
      <c r="P291" s="2" t="s">
        <v>35</v>
      </c>
      <c r="Q291" s="10" t="str">
        <f>VLOOKUP(A291,Status!A:B,2,0)</f>
        <v>Completed</v>
      </c>
      <c r="R291" s="2" t="s">
        <v>23</v>
      </c>
      <c r="S291" s="2">
        <v>4</v>
      </c>
      <c r="T291" s="2" t="s">
        <v>24</v>
      </c>
      <c r="U291" s="10" t="str">
        <f t="shared" si="29"/>
        <v>Feb</v>
      </c>
      <c r="V291" s="10">
        <f t="shared" si="28"/>
        <v>2025</v>
      </c>
      <c r="W291" t="e" cm="1">
        <f t="array" ref="W291">_xlfn.IFS(U291="January",1,U291="February",2,U291="March",3,U291="April",4,U291="May",5,U291="June",6,U291="July",7,U291="August",8,U291="September",9,U291="October",10,U291="November",11,U291="December",12)</f>
        <v>#N/A</v>
      </c>
    </row>
    <row r="292" spans="1:23" ht="15.75" customHeight="1" x14ac:dyDescent="0.25">
      <c r="A292" s="2" t="s">
        <v>1240</v>
      </c>
      <c r="B292" s="3">
        <v>45714.195416666669</v>
      </c>
      <c r="C292" s="2" t="s">
        <v>1241</v>
      </c>
      <c r="D292" s="2" t="s">
        <v>80</v>
      </c>
      <c r="E292" s="2" t="s">
        <v>34</v>
      </c>
      <c r="F292" s="2" t="str" cm="1">
        <f t="array" ref="F292:G292">_xlfn.TEXTSPLIT(E292," - ")</f>
        <v>Minyak Goreng</v>
      </c>
      <c r="G292" s="2" t="str">
        <v>Brand A</v>
      </c>
      <c r="H292" s="5">
        <v>16000</v>
      </c>
      <c r="I292" s="2">
        <v>2</v>
      </c>
      <c r="J292" s="2">
        <v>0</v>
      </c>
      <c r="K292" s="8">
        <f t="shared" si="24"/>
        <v>32000</v>
      </c>
      <c r="L292" s="8">
        <f t="shared" si="25"/>
        <v>0</v>
      </c>
      <c r="M292" s="8">
        <f t="shared" si="26"/>
        <v>32000</v>
      </c>
      <c r="N292" s="5">
        <v>74000</v>
      </c>
      <c r="O292" s="8">
        <f t="shared" si="27"/>
        <v>106000</v>
      </c>
      <c r="P292" s="2" t="s">
        <v>35</v>
      </c>
      <c r="Q292" s="10" t="str">
        <f>VLOOKUP(A292,Status!A:B,2,0)</f>
        <v>Completed</v>
      </c>
      <c r="R292" s="2" t="s">
        <v>36</v>
      </c>
      <c r="S292" s="2">
        <v>4</v>
      </c>
      <c r="T292" s="2" t="s">
        <v>24</v>
      </c>
      <c r="U292" s="10" t="str">
        <f t="shared" si="29"/>
        <v>Feb</v>
      </c>
      <c r="V292" s="10">
        <f t="shared" si="28"/>
        <v>2025</v>
      </c>
      <c r="W292" t="e" cm="1">
        <f t="array" ref="W292">_xlfn.IFS(U292="January",1,U292="February",2,U292="March",3,U292="April",4,U292="May",5,U292="June",6,U292="July",7,U292="August",8,U292="September",9,U292="October",10,U292="November",11,U292="December",12)</f>
        <v>#N/A</v>
      </c>
    </row>
    <row r="293" spans="1:23" ht="15.75" customHeight="1" x14ac:dyDescent="0.25">
      <c r="A293" s="2" t="s">
        <v>1240</v>
      </c>
      <c r="B293" s="3">
        <v>45714.195416666669</v>
      </c>
      <c r="C293" s="2" t="s">
        <v>1241</v>
      </c>
      <c r="D293" s="2" t="s">
        <v>80</v>
      </c>
      <c r="E293" s="2" t="s">
        <v>88</v>
      </c>
      <c r="F293" s="2" t="str" cm="1">
        <f t="array" ref="F293:G293">_xlfn.TEXTSPLIT(E293," - ")</f>
        <v>Beras</v>
      </c>
      <c r="G293" s="2" t="str">
        <v>Brand A</v>
      </c>
      <c r="H293" s="5">
        <v>14000</v>
      </c>
      <c r="I293" s="2">
        <v>3</v>
      </c>
      <c r="J293" s="2">
        <v>20</v>
      </c>
      <c r="K293" s="8">
        <f t="shared" si="24"/>
        <v>42000</v>
      </c>
      <c r="L293" s="8">
        <f t="shared" si="25"/>
        <v>8400</v>
      </c>
      <c r="M293" s="8">
        <f t="shared" si="26"/>
        <v>33600</v>
      </c>
      <c r="N293" s="5">
        <v>0</v>
      </c>
      <c r="O293" s="8">
        <f t="shared" si="27"/>
        <v>33600</v>
      </c>
      <c r="P293" s="2" t="s">
        <v>35</v>
      </c>
      <c r="Q293" s="10" t="str">
        <f>VLOOKUP(A293,Status!A:B,2,0)</f>
        <v>Completed</v>
      </c>
      <c r="R293" s="2" t="s">
        <v>36</v>
      </c>
      <c r="S293" s="2">
        <v>4</v>
      </c>
      <c r="T293" s="2" t="s">
        <v>24</v>
      </c>
      <c r="U293" s="10" t="str">
        <f t="shared" si="29"/>
        <v>Feb</v>
      </c>
      <c r="V293" s="10">
        <f t="shared" si="28"/>
        <v>2025</v>
      </c>
      <c r="W293" t="e" cm="1">
        <f t="array" ref="W293">_xlfn.IFS(U293="January",1,U293="February",2,U293="March",3,U293="April",4,U293="May",5,U293="June",6,U293="July",7,U293="August",8,U293="September",9,U293="October",10,U293="November",11,U293="December",12)</f>
        <v>#N/A</v>
      </c>
    </row>
    <row r="294" spans="1:23" ht="15.75" customHeight="1" x14ac:dyDescent="0.25">
      <c r="A294" s="2" t="s">
        <v>1242</v>
      </c>
      <c r="B294" s="3">
        <v>45714.426736111112</v>
      </c>
      <c r="C294" s="2" t="s">
        <v>565</v>
      </c>
      <c r="D294" s="2" t="s">
        <v>163</v>
      </c>
      <c r="E294" s="2" t="s">
        <v>71</v>
      </c>
      <c r="F294" s="2" t="str" cm="1">
        <f t="array" ref="F294:G294">_xlfn.TEXTSPLIT(E294," - ")</f>
        <v>Bawang Merah</v>
      </c>
      <c r="G294" s="2" t="str">
        <v>Brand C</v>
      </c>
      <c r="H294" s="5">
        <v>40000</v>
      </c>
      <c r="I294" s="2">
        <v>5</v>
      </c>
      <c r="J294" s="2">
        <v>0</v>
      </c>
      <c r="K294" s="8">
        <f t="shared" si="24"/>
        <v>200000</v>
      </c>
      <c r="L294" s="8">
        <f t="shared" si="25"/>
        <v>0</v>
      </c>
      <c r="M294" s="8">
        <f t="shared" si="26"/>
        <v>200000</v>
      </c>
      <c r="N294" s="5">
        <v>50000</v>
      </c>
      <c r="O294" s="8">
        <f t="shared" si="27"/>
        <v>250000</v>
      </c>
      <c r="P294" s="2" t="s">
        <v>35</v>
      </c>
      <c r="Q294" s="10" t="str">
        <f>VLOOKUP(A294,Status!A:B,2,0)</f>
        <v>Completed</v>
      </c>
      <c r="R294" s="2" t="s">
        <v>30</v>
      </c>
      <c r="S294" s="2">
        <v>4</v>
      </c>
      <c r="T294" s="2" t="s">
        <v>24</v>
      </c>
      <c r="U294" s="10" t="str">
        <f t="shared" si="29"/>
        <v>Feb</v>
      </c>
      <c r="V294" s="10">
        <f t="shared" si="28"/>
        <v>2025</v>
      </c>
      <c r="W294" t="e" cm="1">
        <f t="array" ref="W294">_xlfn.IFS(U294="January",1,U294="February",2,U294="March",3,U294="April",4,U294="May",5,U294="June",6,U294="July",7,U294="August",8,U294="September",9,U294="October",10,U294="November",11,U294="December",12)</f>
        <v>#N/A</v>
      </c>
    </row>
    <row r="295" spans="1:23" ht="15.75" customHeight="1" x14ac:dyDescent="0.25">
      <c r="A295" s="2" t="s">
        <v>1243</v>
      </c>
      <c r="B295" s="3">
        <v>45714.548750000002</v>
      </c>
      <c r="C295" s="2" t="s">
        <v>1022</v>
      </c>
      <c r="D295" s="2" t="s">
        <v>177</v>
      </c>
      <c r="E295" s="2" t="s">
        <v>67</v>
      </c>
      <c r="F295" s="2" t="str" cm="1">
        <f t="array" ref="F295:G295">_xlfn.TEXTSPLIT(E295," - ")</f>
        <v>Beras</v>
      </c>
      <c r="G295" s="2" t="str">
        <v>Brand B</v>
      </c>
      <c r="H295" s="5">
        <v>15000</v>
      </c>
      <c r="I295" s="2">
        <v>5</v>
      </c>
      <c r="J295" s="2">
        <v>15</v>
      </c>
      <c r="K295" s="8">
        <f t="shared" si="24"/>
        <v>75000</v>
      </c>
      <c r="L295" s="8">
        <f t="shared" si="25"/>
        <v>11250</v>
      </c>
      <c r="M295" s="8">
        <f t="shared" si="26"/>
        <v>63750</v>
      </c>
      <c r="N295" s="5">
        <v>56000</v>
      </c>
      <c r="O295" s="8">
        <f t="shared" si="27"/>
        <v>119750</v>
      </c>
      <c r="P295" s="2" t="s">
        <v>29</v>
      </c>
      <c r="Q295" s="10" t="str">
        <f>VLOOKUP(A295,Status!A:B,2,0)</f>
        <v>Completed</v>
      </c>
      <c r="R295" s="2" t="s">
        <v>82</v>
      </c>
      <c r="S295" s="2">
        <v>1</v>
      </c>
      <c r="T295" s="2" t="s">
        <v>24</v>
      </c>
      <c r="U295" s="10" t="str">
        <f t="shared" si="29"/>
        <v>Feb</v>
      </c>
      <c r="V295" s="10">
        <f t="shared" si="28"/>
        <v>2025</v>
      </c>
      <c r="W295" t="e" cm="1">
        <f t="array" ref="W295">_xlfn.IFS(U295="January",1,U295="February",2,U295="March",3,U295="April",4,U295="May",5,U295="June",6,U295="July",7,U295="August",8,U295="September",9,U295="October",10,U295="November",11,U295="December",12)</f>
        <v>#N/A</v>
      </c>
    </row>
    <row r="296" spans="1:23" ht="15.75" customHeight="1" x14ac:dyDescent="0.25">
      <c r="A296" s="2" t="s">
        <v>1244</v>
      </c>
      <c r="B296" s="3">
        <v>45714.591539351852</v>
      </c>
      <c r="C296" s="2" t="s">
        <v>525</v>
      </c>
      <c r="D296" s="2" t="s">
        <v>96</v>
      </c>
      <c r="E296" s="2" t="s">
        <v>174</v>
      </c>
      <c r="F296" s="2" t="str" cm="1">
        <f t="array" ref="F296:G296">_xlfn.TEXTSPLIT(E296," - ")</f>
        <v>Tepung Terigu</v>
      </c>
      <c r="G296" s="2" t="str">
        <v>Brand A</v>
      </c>
      <c r="H296" s="5">
        <v>10000</v>
      </c>
      <c r="I296" s="2">
        <v>2</v>
      </c>
      <c r="J296" s="2">
        <v>0</v>
      </c>
      <c r="K296" s="8">
        <f t="shared" si="24"/>
        <v>20000</v>
      </c>
      <c r="L296" s="8">
        <f t="shared" si="25"/>
        <v>0</v>
      </c>
      <c r="M296" s="8">
        <f t="shared" si="26"/>
        <v>20000</v>
      </c>
      <c r="N296" s="5">
        <v>49000</v>
      </c>
      <c r="O296" s="8">
        <f t="shared" si="27"/>
        <v>69000</v>
      </c>
      <c r="P296" s="2" t="s">
        <v>29</v>
      </c>
      <c r="Q296" s="10" t="str">
        <f>VLOOKUP(A296,Status!A:B,2,0)</f>
        <v>Completed</v>
      </c>
      <c r="R296" s="2" t="s">
        <v>36</v>
      </c>
      <c r="S296" s="2">
        <v>1</v>
      </c>
      <c r="T296" s="2" t="s">
        <v>24</v>
      </c>
      <c r="U296" s="10" t="str">
        <f t="shared" si="29"/>
        <v>Feb</v>
      </c>
      <c r="V296" s="10">
        <f t="shared" si="28"/>
        <v>2025</v>
      </c>
      <c r="W296" t="e" cm="1">
        <f t="array" ref="W296">_xlfn.IFS(U296="January",1,U296="February",2,U296="March",3,U296="April",4,U296="May",5,U296="June",6,U296="July",7,U296="August",8,U296="September",9,U296="October",10,U296="November",11,U296="December",12)</f>
        <v>#N/A</v>
      </c>
    </row>
    <row r="297" spans="1:23" ht="15.75" customHeight="1" x14ac:dyDescent="0.25">
      <c r="A297" s="2" t="s">
        <v>1245</v>
      </c>
      <c r="B297" s="3">
        <v>45714.638622685183</v>
      </c>
      <c r="C297" s="2" t="s">
        <v>1146</v>
      </c>
      <c r="D297" s="2" t="s">
        <v>116</v>
      </c>
      <c r="E297" s="2" t="s">
        <v>45</v>
      </c>
      <c r="F297" s="2" t="str" cm="1">
        <f t="array" ref="F297:G297">_xlfn.TEXTSPLIT(E297," - ")</f>
        <v>Daging Ayam</v>
      </c>
      <c r="G297" s="2" t="str">
        <v>Brand B</v>
      </c>
      <c r="H297" s="5">
        <v>40000</v>
      </c>
      <c r="I297" s="2">
        <v>4</v>
      </c>
      <c r="J297" s="2">
        <v>0</v>
      </c>
      <c r="K297" s="8">
        <f t="shared" si="24"/>
        <v>160000</v>
      </c>
      <c r="L297" s="8">
        <f t="shared" si="25"/>
        <v>0</v>
      </c>
      <c r="M297" s="8">
        <f t="shared" si="26"/>
        <v>160000</v>
      </c>
      <c r="N297" s="5">
        <v>72000</v>
      </c>
      <c r="O297" s="8">
        <f t="shared" si="27"/>
        <v>232000</v>
      </c>
      <c r="P297" s="2" t="s">
        <v>35</v>
      </c>
      <c r="Q297" s="10" t="str">
        <f>VLOOKUP(A297,Status!A:B,2,0)</f>
        <v>Returned</v>
      </c>
      <c r="R297" s="2" t="s">
        <v>23</v>
      </c>
      <c r="S297" s="2">
        <v>3</v>
      </c>
      <c r="T297" s="2" t="s">
        <v>24</v>
      </c>
      <c r="U297" s="10" t="str">
        <f t="shared" si="29"/>
        <v>Feb</v>
      </c>
      <c r="V297" s="10">
        <f t="shared" si="28"/>
        <v>2025</v>
      </c>
      <c r="W297" t="e" cm="1">
        <f t="array" ref="W297">_xlfn.IFS(U297="January",1,U297="February",2,U297="March",3,U297="April",4,U297="May",5,U297="June",6,U297="July",7,U297="August",8,U297="September",9,U297="October",10,U297="November",11,U297="December",12)</f>
        <v>#N/A</v>
      </c>
    </row>
    <row r="298" spans="1:23" ht="15.75" customHeight="1" x14ac:dyDescent="0.25">
      <c r="A298" s="2" t="s">
        <v>1246</v>
      </c>
      <c r="B298" s="3">
        <v>45714.876273148147</v>
      </c>
      <c r="C298" s="2" t="s">
        <v>582</v>
      </c>
      <c r="D298" s="2" t="s">
        <v>435</v>
      </c>
      <c r="E298" s="2" t="s">
        <v>110</v>
      </c>
      <c r="F298" s="2" t="str" cm="1">
        <f t="array" ref="F298:G298">_xlfn.TEXTSPLIT(E298," - ")</f>
        <v>Garam</v>
      </c>
      <c r="G298" s="2" t="str">
        <v>Brand C</v>
      </c>
      <c r="H298" s="5">
        <v>6000</v>
      </c>
      <c r="I298" s="2">
        <v>2</v>
      </c>
      <c r="J298" s="2">
        <v>15</v>
      </c>
      <c r="K298" s="8">
        <f t="shared" si="24"/>
        <v>12000</v>
      </c>
      <c r="L298" s="8">
        <f t="shared" si="25"/>
        <v>1800</v>
      </c>
      <c r="M298" s="8">
        <f t="shared" si="26"/>
        <v>10200</v>
      </c>
      <c r="N298" s="5">
        <v>67000</v>
      </c>
      <c r="O298" s="8">
        <f t="shared" si="27"/>
        <v>77200</v>
      </c>
      <c r="P298" s="2" t="s">
        <v>35</v>
      </c>
      <c r="Q298" s="10" t="str">
        <f>VLOOKUP(A298,Status!A:B,2,0)</f>
        <v>Completed</v>
      </c>
      <c r="R298" s="2" t="s">
        <v>36</v>
      </c>
      <c r="S298" s="2">
        <v>4</v>
      </c>
      <c r="T298" s="2" t="s">
        <v>24</v>
      </c>
      <c r="U298" s="10" t="str">
        <f t="shared" si="29"/>
        <v>Feb</v>
      </c>
      <c r="V298" s="10">
        <f t="shared" si="28"/>
        <v>2025</v>
      </c>
      <c r="W298" t="e" cm="1">
        <f t="array" ref="W298">_xlfn.IFS(U298="January",1,U298="February",2,U298="March",3,U298="April",4,U298="May",5,U298="June",6,U298="July",7,U298="August",8,U298="September",9,U298="October",10,U298="November",11,U298="December",12)</f>
        <v>#N/A</v>
      </c>
    </row>
    <row r="299" spans="1:23" ht="15.75" customHeight="1" x14ac:dyDescent="0.25">
      <c r="A299" s="2" t="s">
        <v>1247</v>
      </c>
      <c r="B299" s="3">
        <v>45715.039212962962</v>
      </c>
      <c r="C299" s="2" t="s">
        <v>1033</v>
      </c>
      <c r="D299" s="2" t="s">
        <v>122</v>
      </c>
      <c r="E299" s="2" t="s">
        <v>85</v>
      </c>
      <c r="F299" s="2" t="str" cm="1">
        <f t="array" ref="F299:G299">_xlfn.TEXTSPLIT(E299," - ")</f>
        <v>Daging Ayam</v>
      </c>
      <c r="G299" s="2" t="str">
        <v>Brand A</v>
      </c>
      <c r="H299" s="5">
        <v>35000</v>
      </c>
      <c r="I299" s="2">
        <v>1</v>
      </c>
      <c r="J299" s="2">
        <v>5</v>
      </c>
      <c r="K299" s="8">
        <f t="shared" si="24"/>
        <v>35000</v>
      </c>
      <c r="L299" s="8">
        <f t="shared" si="25"/>
        <v>1750</v>
      </c>
      <c r="M299" s="8">
        <f t="shared" si="26"/>
        <v>33250</v>
      </c>
      <c r="N299" s="5">
        <v>78000</v>
      </c>
      <c r="O299" s="8">
        <f t="shared" si="27"/>
        <v>111250</v>
      </c>
      <c r="P299" s="2" t="s">
        <v>22</v>
      </c>
      <c r="Q299" s="10" t="str">
        <f>VLOOKUP(A299,Status!A:B,2,0)</f>
        <v>Completed</v>
      </c>
      <c r="R299" s="2" t="s">
        <v>23</v>
      </c>
      <c r="S299" s="2">
        <v>5</v>
      </c>
      <c r="T299" s="2" t="s">
        <v>24</v>
      </c>
      <c r="U299" s="10" t="str">
        <f t="shared" si="29"/>
        <v>Feb</v>
      </c>
      <c r="V299" s="10">
        <f t="shared" si="28"/>
        <v>2025</v>
      </c>
      <c r="W299" t="e" cm="1">
        <f t="array" ref="W299">_xlfn.IFS(U299="January",1,U299="February",2,U299="March",3,U299="April",4,U299="May",5,U299="June",6,U299="July",7,U299="August",8,U299="September",9,U299="October",10,U299="November",11,U299="December",12)</f>
        <v>#N/A</v>
      </c>
    </row>
    <row r="300" spans="1:23" ht="15.75" customHeight="1" x14ac:dyDescent="0.25">
      <c r="A300" s="2" t="s">
        <v>1248</v>
      </c>
      <c r="B300" s="3">
        <v>45715.534409722219</v>
      </c>
      <c r="C300" s="2" t="s">
        <v>56</v>
      </c>
      <c r="D300" s="2" t="s">
        <v>57</v>
      </c>
      <c r="E300" s="2" t="s">
        <v>67</v>
      </c>
      <c r="F300" s="2" t="str" cm="1">
        <f t="array" ref="F300:G300">_xlfn.TEXTSPLIT(E300," - ")</f>
        <v>Beras</v>
      </c>
      <c r="G300" s="2" t="str">
        <v>Brand B</v>
      </c>
      <c r="H300" s="5">
        <v>15000</v>
      </c>
      <c r="I300" s="2">
        <v>4</v>
      </c>
      <c r="J300" s="2">
        <v>15</v>
      </c>
      <c r="K300" s="8">
        <f t="shared" si="24"/>
        <v>60000</v>
      </c>
      <c r="L300" s="8">
        <f t="shared" si="25"/>
        <v>9000</v>
      </c>
      <c r="M300" s="8">
        <f t="shared" si="26"/>
        <v>51000</v>
      </c>
      <c r="N300" s="5">
        <v>80000</v>
      </c>
      <c r="O300" s="8">
        <f t="shared" si="27"/>
        <v>131000</v>
      </c>
      <c r="P300" s="2" t="s">
        <v>22</v>
      </c>
      <c r="Q300" s="10" t="str">
        <f>VLOOKUP(A300,Status!A:B,2,0)</f>
        <v>Completed</v>
      </c>
      <c r="R300" s="2" t="s">
        <v>23</v>
      </c>
      <c r="S300" s="2">
        <v>2</v>
      </c>
      <c r="T300" s="2" t="s">
        <v>24</v>
      </c>
      <c r="U300" s="10" t="str">
        <f t="shared" si="29"/>
        <v>Feb</v>
      </c>
      <c r="V300" s="10">
        <f t="shared" si="28"/>
        <v>2025</v>
      </c>
      <c r="W300" t="e" cm="1">
        <f t="array" ref="W300">_xlfn.IFS(U300="January",1,U300="February",2,U300="March",3,U300="April",4,U300="May",5,U300="June",6,U300="July",7,U300="August",8,U300="September",9,U300="October",10,U300="November",11,U300="December",12)</f>
        <v>#N/A</v>
      </c>
    </row>
    <row r="301" spans="1:23" ht="15.75" customHeight="1" x14ac:dyDescent="0.25">
      <c r="A301" s="2" t="s">
        <v>1249</v>
      </c>
      <c r="B301" s="3">
        <v>45715.552372685182</v>
      </c>
      <c r="C301" s="2" t="s">
        <v>1250</v>
      </c>
      <c r="D301" s="2" t="s">
        <v>195</v>
      </c>
      <c r="E301" s="2" t="s">
        <v>85</v>
      </c>
      <c r="F301" s="2" t="str" cm="1">
        <f t="array" ref="F301:G301">_xlfn.TEXTSPLIT(E301," - ")</f>
        <v>Daging Ayam</v>
      </c>
      <c r="G301" s="2" t="str">
        <v>Brand A</v>
      </c>
      <c r="H301" s="5">
        <v>35000</v>
      </c>
      <c r="I301" s="2">
        <v>5</v>
      </c>
      <c r="J301" s="2">
        <v>10</v>
      </c>
      <c r="K301" s="8">
        <f t="shared" si="24"/>
        <v>175000</v>
      </c>
      <c r="L301" s="8">
        <f t="shared" si="25"/>
        <v>17500</v>
      </c>
      <c r="M301" s="8">
        <f t="shared" si="26"/>
        <v>157500</v>
      </c>
      <c r="N301" s="5">
        <v>87000</v>
      </c>
      <c r="O301" s="8">
        <f t="shared" si="27"/>
        <v>244500</v>
      </c>
      <c r="P301" s="2" t="s">
        <v>35</v>
      </c>
      <c r="Q301" s="10" t="str">
        <f>VLOOKUP(A301,Status!A:B,2,0)</f>
        <v>Completed</v>
      </c>
      <c r="R301" s="2" t="s">
        <v>30</v>
      </c>
      <c r="S301" s="2">
        <v>4</v>
      </c>
      <c r="T301" s="2" t="s">
        <v>24</v>
      </c>
      <c r="U301" s="10" t="str">
        <f t="shared" si="29"/>
        <v>Feb</v>
      </c>
      <c r="V301" s="10">
        <f t="shared" si="28"/>
        <v>2025</v>
      </c>
      <c r="W301" t="e" cm="1">
        <f t="array" ref="W301">_xlfn.IFS(U301="January",1,U301="February",2,U301="March",3,U301="April",4,U301="May",5,U301="June",6,U301="July",7,U301="August",8,U301="September",9,U301="October",10,U301="November",11,U301="December",12)</f>
        <v>#N/A</v>
      </c>
    </row>
    <row r="302" spans="1:23" ht="15.75" customHeight="1" x14ac:dyDescent="0.25">
      <c r="A302" s="2" t="s">
        <v>1251</v>
      </c>
      <c r="B302" s="3">
        <v>45715.583726851852</v>
      </c>
      <c r="C302" s="2" t="s">
        <v>1130</v>
      </c>
      <c r="D302" s="2" t="s">
        <v>122</v>
      </c>
      <c r="E302" s="2" t="s">
        <v>81</v>
      </c>
      <c r="F302" s="2" t="str" cm="1">
        <f t="array" ref="F302:G302">_xlfn.TEXTSPLIT(E302," - ")</f>
        <v>Minyak Goreng</v>
      </c>
      <c r="G302" s="2" t="str">
        <v>Brand B</v>
      </c>
      <c r="H302" s="5">
        <v>17000</v>
      </c>
      <c r="I302" s="2">
        <v>1</v>
      </c>
      <c r="J302" s="2">
        <v>20</v>
      </c>
      <c r="K302" s="8">
        <f t="shared" si="24"/>
        <v>17000</v>
      </c>
      <c r="L302" s="8">
        <f t="shared" si="25"/>
        <v>3400</v>
      </c>
      <c r="M302" s="8">
        <f t="shared" si="26"/>
        <v>13600</v>
      </c>
      <c r="N302" s="5">
        <v>78000</v>
      </c>
      <c r="O302" s="8">
        <f t="shared" si="27"/>
        <v>91600</v>
      </c>
      <c r="P302" s="2" t="s">
        <v>22</v>
      </c>
      <c r="Q302" s="10" t="str">
        <f>VLOOKUP(A302,Status!A:B,2,0)</f>
        <v>Completed</v>
      </c>
      <c r="R302" s="2" t="s">
        <v>23</v>
      </c>
      <c r="S302" s="2">
        <v>5</v>
      </c>
      <c r="T302" s="2" t="s">
        <v>24</v>
      </c>
      <c r="U302" s="10" t="str">
        <f t="shared" si="29"/>
        <v>Feb</v>
      </c>
      <c r="V302" s="10">
        <f t="shared" si="28"/>
        <v>2025</v>
      </c>
      <c r="W302" t="e" cm="1">
        <f t="array" ref="W302">_xlfn.IFS(U302="January",1,U302="February",2,U302="March",3,U302="April",4,U302="May",5,U302="June",6,U302="July",7,U302="August",8,U302="September",9,U302="October",10,U302="November",11,U302="December",12)</f>
        <v>#N/A</v>
      </c>
    </row>
    <row r="303" spans="1:23" ht="15.75" customHeight="1" x14ac:dyDescent="0.25">
      <c r="A303" s="2" t="s">
        <v>1252</v>
      </c>
      <c r="B303" s="3">
        <v>45715.597060185188</v>
      </c>
      <c r="C303" s="2" t="s">
        <v>451</v>
      </c>
      <c r="D303" s="2" t="s">
        <v>116</v>
      </c>
      <c r="E303" s="2" t="s">
        <v>38</v>
      </c>
      <c r="F303" s="2" t="str" cm="1">
        <f t="array" ref="F303:G303">_xlfn.TEXTSPLIT(E303," - ")</f>
        <v>Telur Ayam</v>
      </c>
      <c r="G303" s="2" t="str">
        <v>Brand C</v>
      </c>
      <c r="H303" s="5">
        <v>28000</v>
      </c>
      <c r="I303" s="2">
        <v>1</v>
      </c>
      <c r="J303" s="2">
        <v>0</v>
      </c>
      <c r="K303" s="8">
        <f t="shared" si="24"/>
        <v>28000</v>
      </c>
      <c r="L303" s="8">
        <f t="shared" si="25"/>
        <v>0</v>
      </c>
      <c r="M303" s="8">
        <f t="shared" si="26"/>
        <v>28000</v>
      </c>
      <c r="N303" s="5">
        <v>72000</v>
      </c>
      <c r="O303" s="8">
        <f t="shared" si="27"/>
        <v>100000</v>
      </c>
      <c r="P303" s="2" t="s">
        <v>29</v>
      </c>
      <c r="Q303" s="10" t="str">
        <f>VLOOKUP(A303,Status!A:B,2,0)</f>
        <v>Completed</v>
      </c>
      <c r="R303" s="2" t="s">
        <v>23</v>
      </c>
      <c r="S303" s="2">
        <v>1</v>
      </c>
      <c r="T303" s="2" t="s">
        <v>24</v>
      </c>
      <c r="U303" s="10" t="str">
        <f t="shared" si="29"/>
        <v>Feb</v>
      </c>
      <c r="V303" s="10">
        <f t="shared" si="28"/>
        <v>2025</v>
      </c>
      <c r="W303" t="e" cm="1">
        <f t="array" ref="W303">_xlfn.IFS(U303="January",1,U303="February",2,U303="March",3,U303="April",4,U303="May",5,U303="June",6,U303="July",7,U303="August",8,U303="September",9,U303="October",10,U303="November",11,U303="December",12)</f>
        <v>#N/A</v>
      </c>
    </row>
    <row r="304" spans="1:23" ht="15.75" customHeight="1" x14ac:dyDescent="0.25">
      <c r="A304" s="2" t="s">
        <v>1253</v>
      </c>
      <c r="B304" s="3">
        <v>45716.261458333327</v>
      </c>
      <c r="C304" s="2" t="s">
        <v>708</v>
      </c>
      <c r="D304" s="2" t="s">
        <v>116</v>
      </c>
      <c r="E304" s="2" t="s">
        <v>34</v>
      </c>
      <c r="F304" s="2" t="str" cm="1">
        <f t="array" ref="F304:G304">_xlfn.TEXTSPLIT(E304," - ")</f>
        <v>Minyak Goreng</v>
      </c>
      <c r="G304" s="2" t="str">
        <v>Brand A</v>
      </c>
      <c r="H304" s="5">
        <v>16000</v>
      </c>
      <c r="I304" s="2">
        <v>2</v>
      </c>
      <c r="J304" s="2">
        <v>20</v>
      </c>
      <c r="K304" s="8">
        <f t="shared" si="24"/>
        <v>32000</v>
      </c>
      <c r="L304" s="8">
        <f t="shared" si="25"/>
        <v>6400</v>
      </c>
      <c r="M304" s="8">
        <f t="shared" si="26"/>
        <v>25600</v>
      </c>
      <c r="N304" s="5">
        <v>72000</v>
      </c>
      <c r="O304" s="8">
        <f t="shared" si="27"/>
        <v>97600</v>
      </c>
      <c r="P304" s="2" t="s">
        <v>63</v>
      </c>
      <c r="Q304" s="10" t="str">
        <f>VLOOKUP(A304,Status!A:B,2,0)</f>
        <v>Cancelled</v>
      </c>
      <c r="R304" s="2" t="s">
        <v>23</v>
      </c>
      <c r="S304" s="2">
        <v>4</v>
      </c>
      <c r="T304" s="2" t="s">
        <v>24</v>
      </c>
      <c r="U304" s="10" t="str">
        <f t="shared" si="29"/>
        <v>Feb</v>
      </c>
      <c r="V304" s="10">
        <f t="shared" si="28"/>
        <v>2025</v>
      </c>
      <c r="W304" t="e" cm="1">
        <f t="array" ref="W304">_xlfn.IFS(U304="January",1,U304="February",2,U304="March",3,U304="April",4,U304="May",5,U304="June",6,U304="July",7,U304="August",8,U304="September",9,U304="October",10,U304="November",11,U304="December",12)</f>
        <v>#N/A</v>
      </c>
    </row>
    <row r="305" spans="1:23" ht="15.75" customHeight="1" x14ac:dyDescent="0.25">
      <c r="A305" s="2" t="s">
        <v>1254</v>
      </c>
      <c r="B305" s="3">
        <v>45716.313310185193</v>
      </c>
      <c r="C305" s="2" t="s">
        <v>100</v>
      </c>
      <c r="D305" s="2" t="s">
        <v>66</v>
      </c>
      <c r="E305" s="2" t="s">
        <v>28</v>
      </c>
      <c r="F305" s="2" t="str" cm="1">
        <f t="array" ref="F305:G305">_xlfn.TEXTSPLIT(E305," - ")</f>
        <v>Garam</v>
      </c>
      <c r="G305" s="2" t="str">
        <v>Brand B</v>
      </c>
      <c r="H305" s="5">
        <v>5000</v>
      </c>
      <c r="I305" s="2">
        <v>1</v>
      </c>
      <c r="J305" s="2">
        <v>0</v>
      </c>
      <c r="K305" s="8">
        <f t="shared" si="24"/>
        <v>5000</v>
      </c>
      <c r="L305" s="8">
        <f t="shared" si="25"/>
        <v>0</v>
      </c>
      <c r="M305" s="8">
        <f t="shared" si="26"/>
        <v>5000</v>
      </c>
      <c r="N305" s="5">
        <v>59000</v>
      </c>
      <c r="O305" s="8">
        <f t="shared" si="27"/>
        <v>64000</v>
      </c>
      <c r="P305" s="2" t="s">
        <v>29</v>
      </c>
      <c r="Q305" s="10" t="str">
        <f>VLOOKUP(A305,Status!A:B,2,0)</f>
        <v>Completed</v>
      </c>
      <c r="R305" s="2" t="s">
        <v>23</v>
      </c>
      <c r="S305" s="2">
        <v>1</v>
      </c>
      <c r="T305" s="2" t="s">
        <v>24</v>
      </c>
      <c r="U305" s="10" t="str">
        <f t="shared" si="29"/>
        <v>Feb</v>
      </c>
      <c r="V305" s="10">
        <f t="shared" si="28"/>
        <v>2025</v>
      </c>
      <c r="W305" t="e" cm="1">
        <f t="array" ref="W305">_xlfn.IFS(U305="January",1,U305="February",2,U305="March",3,U305="April",4,U305="May",5,U305="June",6,U305="July",7,U305="August",8,U305="September",9,U305="October",10,U305="November",11,U305="December",12)</f>
        <v>#N/A</v>
      </c>
    </row>
    <row r="306" spans="1:23" ht="15.75" customHeight="1" x14ac:dyDescent="0.25">
      <c r="A306" s="2" t="s">
        <v>1255</v>
      </c>
      <c r="B306" s="3">
        <v>45716.335428240738</v>
      </c>
      <c r="C306" s="2" t="s">
        <v>642</v>
      </c>
      <c r="D306" s="2" t="s">
        <v>160</v>
      </c>
      <c r="E306" s="2" t="s">
        <v>45</v>
      </c>
      <c r="F306" s="2" t="str" cm="1">
        <f t="array" ref="F306:G306">_xlfn.TEXTSPLIT(E306," - ")</f>
        <v>Daging Ayam</v>
      </c>
      <c r="G306" s="2" t="str">
        <v>Brand B</v>
      </c>
      <c r="H306" s="5">
        <v>40000</v>
      </c>
      <c r="I306" s="2">
        <v>4</v>
      </c>
      <c r="J306" s="2">
        <v>5</v>
      </c>
      <c r="K306" s="8">
        <f t="shared" si="24"/>
        <v>160000</v>
      </c>
      <c r="L306" s="8">
        <f t="shared" si="25"/>
        <v>8000</v>
      </c>
      <c r="M306" s="8">
        <f t="shared" si="26"/>
        <v>152000</v>
      </c>
      <c r="N306" s="5">
        <v>68000</v>
      </c>
      <c r="O306" s="8">
        <f t="shared" si="27"/>
        <v>220000</v>
      </c>
      <c r="P306" s="2" t="s">
        <v>22</v>
      </c>
      <c r="Q306" s="10" t="str">
        <f>VLOOKUP(A306,Status!A:B,2,0)</f>
        <v>Completed</v>
      </c>
      <c r="R306" s="2" t="s">
        <v>36</v>
      </c>
      <c r="S306" s="2">
        <v>1</v>
      </c>
      <c r="T306" s="2" t="s">
        <v>24</v>
      </c>
      <c r="U306" s="10" t="str">
        <f t="shared" si="29"/>
        <v>Feb</v>
      </c>
      <c r="V306" s="10">
        <f t="shared" si="28"/>
        <v>2025</v>
      </c>
      <c r="W306" t="e" cm="1">
        <f t="array" ref="W306">_xlfn.IFS(U306="January",1,U306="February",2,U306="March",3,U306="April",4,U306="May",5,U306="June",6,U306="July",7,U306="August",8,U306="September",9,U306="October",10,U306="November",11,U306="December",12)</f>
        <v>#N/A</v>
      </c>
    </row>
    <row r="307" spans="1:23" ht="15.75" customHeight="1" x14ac:dyDescent="0.25">
      <c r="A307" s="2" t="s">
        <v>1256</v>
      </c>
      <c r="B307" s="3">
        <v>45716.615949074083</v>
      </c>
      <c r="C307" s="2" t="s">
        <v>102</v>
      </c>
      <c r="D307" s="2" t="s">
        <v>103</v>
      </c>
      <c r="E307" s="2" t="s">
        <v>67</v>
      </c>
      <c r="F307" s="2" t="str" cm="1">
        <f t="array" ref="F307:G307">_xlfn.TEXTSPLIT(E307," - ")</f>
        <v>Beras</v>
      </c>
      <c r="G307" s="2" t="str">
        <v>Brand B</v>
      </c>
      <c r="H307" s="5">
        <v>15000</v>
      </c>
      <c r="I307" s="2">
        <v>5</v>
      </c>
      <c r="J307" s="2">
        <v>15</v>
      </c>
      <c r="K307" s="8">
        <f t="shared" si="24"/>
        <v>75000</v>
      </c>
      <c r="L307" s="8">
        <f t="shared" si="25"/>
        <v>11250</v>
      </c>
      <c r="M307" s="8">
        <f t="shared" si="26"/>
        <v>63750</v>
      </c>
      <c r="N307" s="5">
        <v>85000</v>
      </c>
      <c r="O307" s="8">
        <f t="shared" si="27"/>
        <v>148750</v>
      </c>
      <c r="P307" s="2" t="s">
        <v>63</v>
      </c>
      <c r="Q307" s="10" t="str">
        <f>VLOOKUP(A307,Status!A:B,2,0)</f>
        <v>Completed</v>
      </c>
      <c r="R307" s="2" t="s">
        <v>82</v>
      </c>
      <c r="S307" s="2">
        <v>2</v>
      </c>
      <c r="T307" s="2" t="s">
        <v>24</v>
      </c>
      <c r="U307" s="10" t="str">
        <f t="shared" si="29"/>
        <v>Feb</v>
      </c>
      <c r="V307" s="10">
        <f t="shared" si="28"/>
        <v>2025</v>
      </c>
      <c r="W307" t="e" cm="1">
        <f t="array" ref="W307">_xlfn.IFS(U307="January",1,U307="February",2,U307="March",3,U307="April",4,U307="May",5,U307="June",6,U307="July",7,U307="August",8,U307="September",9,U307="October",10,U307="November",11,U307="December",12)</f>
        <v>#N/A</v>
      </c>
    </row>
    <row r="308" spans="1:23" ht="15.75" customHeight="1" x14ac:dyDescent="0.25">
      <c r="A308" s="2" t="s">
        <v>1257</v>
      </c>
      <c r="B308" s="3">
        <v>45716.807546296302</v>
      </c>
      <c r="C308" s="2" t="s">
        <v>979</v>
      </c>
      <c r="D308" s="2" t="s">
        <v>49</v>
      </c>
      <c r="E308" s="2" t="s">
        <v>34</v>
      </c>
      <c r="F308" s="2" t="str" cm="1">
        <f t="array" ref="F308:G308">_xlfn.TEXTSPLIT(E308," - ")</f>
        <v>Minyak Goreng</v>
      </c>
      <c r="G308" s="2" t="str">
        <v>Brand A</v>
      </c>
      <c r="H308" s="5">
        <v>16000</v>
      </c>
      <c r="I308" s="2">
        <v>5</v>
      </c>
      <c r="J308" s="2">
        <v>5</v>
      </c>
      <c r="K308" s="8">
        <f t="shared" si="24"/>
        <v>80000</v>
      </c>
      <c r="L308" s="8">
        <f t="shared" si="25"/>
        <v>4000</v>
      </c>
      <c r="M308" s="8">
        <f t="shared" si="26"/>
        <v>76000</v>
      </c>
      <c r="N308" s="5">
        <v>43000</v>
      </c>
      <c r="O308" s="8">
        <f t="shared" si="27"/>
        <v>119000</v>
      </c>
      <c r="P308" s="2" t="s">
        <v>22</v>
      </c>
      <c r="Q308" s="10" t="str">
        <f>VLOOKUP(A308,Status!A:B,2,0)</f>
        <v>Completed</v>
      </c>
      <c r="R308" s="2" t="s">
        <v>23</v>
      </c>
      <c r="S308" s="2">
        <v>1</v>
      </c>
      <c r="T308" s="2" t="s">
        <v>24</v>
      </c>
      <c r="U308" s="10" t="str">
        <f t="shared" si="29"/>
        <v>Feb</v>
      </c>
      <c r="V308" s="10">
        <f t="shared" si="28"/>
        <v>2025</v>
      </c>
      <c r="W308" t="e" cm="1">
        <f t="array" ref="W308">_xlfn.IFS(U308="January",1,U308="February",2,U308="March",3,U308="April",4,U308="May",5,U308="June",6,U308="July",7,U308="August",8,U308="September",9,U308="October",10,U308="November",11,U308="December",12)</f>
        <v>#N/A</v>
      </c>
    </row>
    <row r="309" spans="1:23" ht="15.75" customHeight="1" x14ac:dyDescent="0.25">
      <c r="A309" s="2" t="s">
        <v>1258</v>
      </c>
      <c r="B309" s="3">
        <v>45716.868668981479</v>
      </c>
      <c r="C309" s="2" t="s">
        <v>1259</v>
      </c>
      <c r="D309" s="2" t="s">
        <v>107</v>
      </c>
      <c r="E309" s="2" t="s">
        <v>34</v>
      </c>
      <c r="F309" s="2" t="str" cm="1">
        <f t="array" ref="F309:G309">_xlfn.TEXTSPLIT(E309," - ")</f>
        <v>Minyak Goreng</v>
      </c>
      <c r="G309" s="2" t="str">
        <v>Brand A</v>
      </c>
      <c r="H309" s="5">
        <v>16000</v>
      </c>
      <c r="I309" s="2">
        <v>5</v>
      </c>
      <c r="J309" s="2">
        <v>15</v>
      </c>
      <c r="K309" s="8">
        <f t="shared" si="24"/>
        <v>80000</v>
      </c>
      <c r="L309" s="8">
        <f t="shared" si="25"/>
        <v>12000</v>
      </c>
      <c r="M309" s="8">
        <f t="shared" si="26"/>
        <v>68000</v>
      </c>
      <c r="N309" s="5">
        <v>97000</v>
      </c>
      <c r="O309" s="8">
        <f t="shared" si="27"/>
        <v>165000</v>
      </c>
      <c r="P309" s="2" t="s">
        <v>35</v>
      </c>
      <c r="Q309" s="10" t="str">
        <f>VLOOKUP(A309,Status!A:B,2,0)</f>
        <v>Completed</v>
      </c>
      <c r="R309" s="2" t="s">
        <v>23</v>
      </c>
      <c r="S309" s="2">
        <v>4</v>
      </c>
      <c r="T309" s="2" t="s">
        <v>37</v>
      </c>
      <c r="U309" s="10" t="str">
        <f t="shared" si="29"/>
        <v>Feb</v>
      </c>
      <c r="V309" s="10">
        <f t="shared" si="28"/>
        <v>2025</v>
      </c>
      <c r="W309" t="e" cm="1">
        <f t="array" ref="W309">_xlfn.IFS(U309="January",1,U309="February",2,U309="March",3,U309="April",4,U309="May",5,U309="June",6,U309="July",7,U309="August",8,U309="September",9,U309="October",10,U309="November",11,U309="December",12)</f>
        <v>#N/A</v>
      </c>
    </row>
    <row r="310" spans="1:23" ht="15.75" customHeight="1" x14ac:dyDescent="0.25">
      <c r="A310" s="2" t="s">
        <v>1260</v>
      </c>
      <c r="B310" s="3">
        <v>45716.888009259259</v>
      </c>
      <c r="C310" s="2" t="s">
        <v>159</v>
      </c>
      <c r="D310" s="2" t="s">
        <v>160</v>
      </c>
      <c r="E310" s="2" t="s">
        <v>54</v>
      </c>
      <c r="F310" s="2" t="str" cm="1">
        <f t="array" ref="F310:G310">_xlfn.TEXTSPLIT(E310," - ")</f>
        <v>Beras</v>
      </c>
      <c r="G310" s="2" t="str">
        <v>Brand C</v>
      </c>
      <c r="H310" s="5">
        <v>16000</v>
      </c>
      <c r="I310" s="2">
        <v>2</v>
      </c>
      <c r="J310" s="2">
        <v>0</v>
      </c>
      <c r="K310" s="8">
        <f t="shared" si="24"/>
        <v>32000</v>
      </c>
      <c r="L310" s="8">
        <f t="shared" si="25"/>
        <v>0</v>
      </c>
      <c r="M310" s="8">
        <f t="shared" si="26"/>
        <v>32000</v>
      </c>
      <c r="N310" s="5">
        <v>68000</v>
      </c>
      <c r="O310" s="8">
        <f t="shared" si="27"/>
        <v>100000</v>
      </c>
      <c r="P310" s="2" t="s">
        <v>22</v>
      </c>
      <c r="Q310" s="10" t="str">
        <f>VLOOKUP(A310,Status!A:B,2,0)</f>
        <v>Completed</v>
      </c>
      <c r="R310" s="2" t="s">
        <v>30</v>
      </c>
      <c r="S310" s="2">
        <v>2</v>
      </c>
      <c r="T310" s="2" t="s">
        <v>24</v>
      </c>
      <c r="U310" s="10" t="str">
        <f t="shared" si="29"/>
        <v>Feb</v>
      </c>
      <c r="V310" s="10">
        <f t="shared" si="28"/>
        <v>2025</v>
      </c>
      <c r="W310" t="e" cm="1">
        <f t="array" ref="W310">_xlfn.IFS(U310="January",1,U310="February",2,U310="March",3,U310="April",4,U310="May",5,U310="June",6,U310="July",7,U310="August",8,U310="September",9,U310="October",10,U310="November",11,U310="December",12)</f>
        <v>#N/A</v>
      </c>
    </row>
    <row r="311" spans="1:23" ht="15.75" customHeight="1" x14ac:dyDescent="0.25">
      <c r="A311" s="2" t="s">
        <v>1261</v>
      </c>
      <c r="B311" s="3">
        <v>45716.935740740737</v>
      </c>
      <c r="C311" s="2" t="s">
        <v>421</v>
      </c>
      <c r="D311" s="2" t="s">
        <v>103</v>
      </c>
      <c r="E311" s="2" t="s">
        <v>110</v>
      </c>
      <c r="F311" s="2" t="str" cm="1">
        <f t="array" ref="F311:G311">_xlfn.TEXTSPLIT(E311," - ")</f>
        <v>Garam</v>
      </c>
      <c r="G311" s="2" t="str">
        <v>Brand C</v>
      </c>
      <c r="H311" s="5">
        <v>6000</v>
      </c>
      <c r="I311" s="2">
        <v>4</v>
      </c>
      <c r="J311" s="2">
        <v>0</v>
      </c>
      <c r="K311" s="8">
        <f t="shared" si="24"/>
        <v>24000</v>
      </c>
      <c r="L311" s="8">
        <f t="shared" si="25"/>
        <v>0</v>
      </c>
      <c r="M311" s="8">
        <f t="shared" si="26"/>
        <v>24000</v>
      </c>
      <c r="N311" s="5">
        <v>85000</v>
      </c>
      <c r="O311" s="8">
        <f t="shared" si="27"/>
        <v>109000</v>
      </c>
      <c r="P311" s="2" t="s">
        <v>22</v>
      </c>
      <c r="Q311" s="10" t="str">
        <f>VLOOKUP(A311,Status!A:B,2,0)</f>
        <v>Returned</v>
      </c>
      <c r="R311" s="2" t="s">
        <v>46</v>
      </c>
      <c r="S311" s="2">
        <v>3</v>
      </c>
      <c r="T311" s="2" t="s">
        <v>24</v>
      </c>
      <c r="U311" s="10" t="str">
        <f t="shared" si="29"/>
        <v>Feb</v>
      </c>
      <c r="V311" s="10">
        <f t="shared" si="28"/>
        <v>2025</v>
      </c>
      <c r="W311" t="e" cm="1">
        <f t="array" ref="W311">_xlfn.IFS(U311="January",1,U311="February",2,U311="March",3,U311="April",4,U311="May",5,U311="June",6,U311="July",7,U311="August",8,U311="September",9,U311="October",10,U311="November",11,U311="December",12)</f>
        <v>#N/A</v>
      </c>
    </row>
    <row r="312" spans="1:23" ht="15.75" customHeight="1" x14ac:dyDescent="0.25">
      <c r="A312" s="2" t="s">
        <v>1262</v>
      </c>
      <c r="B312" s="3">
        <v>45717.145219907397</v>
      </c>
      <c r="C312" s="2" t="s">
        <v>1263</v>
      </c>
      <c r="D312" s="2" t="s">
        <v>435</v>
      </c>
      <c r="E312" s="2" t="s">
        <v>85</v>
      </c>
      <c r="F312" s="2" t="str" cm="1">
        <f t="array" ref="F312:G312">_xlfn.TEXTSPLIT(E312," - ")</f>
        <v>Daging Ayam</v>
      </c>
      <c r="G312" s="2" t="str">
        <v>Brand A</v>
      </c>
      <c r="H312" s="5">
        <v>35000</v>
      </c>
      <c r="I312" s="2">
        <v>1</v>
      </c>
      <c r="J312" s="2">
        <v>5</v>
      </c>
      <c r="K312" s="8">
        <f t="shared" si="24"/>
        <v>35000</v>
      </c>
      <c r="L312" s="8">
        <f t="shared" si="25"/>
        <v>1750</v>
      </c>
      <c r="M312" s="8">
        <f t="shared" si="26"/>
        <v>33250</v>
      </c>
      <c r="N312" s="5">
        <v>67000</v>
      </c>
      <c r="O312" s="8">
        <f t="shared" si="27"/>
        <v>100250</v>
      </c>
      <c r="P312" s="2" t="s">
        <v>22</v>
      </c>
      <c r="Q312" s="10" t="str">
        <f>VLOOKUP(A312,Status!A:B,2,0)</f>
        <v>Completed</v>
      </c>
      <c r="R312" s="2" t="s">
        <v>23</v>
      </c>
      <c r="S312" s="2">
        <v>3</v>
      </c>
      <c r="T312" s="2" t="s">
        <v>24</v>
      </c>
      <c r="U312" s="10" t="str">
        <f t="shared" si="29"/>
        <v>Mar</v>
      </c>
      <c r="V312" s="10">
        <f t="shared" si="28"/>
        <v>2025</v>
      </c>
      <c r="W312" t="e" cm="1">
        <f t="array" ref="W312">_xlfn.IFS(U312="January",1,U312="February",2,U312="March",3,U312="April",4,U312="May",5,U312="June",6,U312="July",7,U312="August",8,U312="September",9,U312="October",10,U312="November",11,U312="December",12)</f>
        <v>#N/A</v>
      </c>
    </row>
    <row r="313" spans="1:23" ht="15.75" customHeight="1" x14ac:dyDescent="0.25">
      <c r="A313" s="2" t="s">
        <v>1264</v>
      </c>
      <c r="B313" s="3">
        <v>45717.271678240737</v>
      </c>
      <c r="C313" s="2" t="s">
        <v>162</v>
      </c>
      <c r="D313" s="2" t="s">
        <v>163</v>
      </c>
      <c r="E313" s="2" t="s">
        <v>45</v>
      </c>
      <c r="F313" s="2" t="str" cm="1">
        <f t="array" ref="F313:G313">_xlfn.TEXTSPLIT(E313," - ")</f>
        <v>Daging Ayam</v>
      </c>
      <c r="G313" s="2" t="str">
        <v>Brand B</v>
      </c>
      <c r="H313" s="5">
        <v>40000</v>
      </c>
      <c r="I313" s="2">
        <v>5</v>
      </c>
      <c r="J313" s="2">
        <v>15</v>
      </c>
      <c r="K313" s="8">
        <f t="shared" si="24"/>
        <v>200000</v>
      </c>
      <c r="L313" s="8">
        <f t="shared" si="25"/>
        <v>30000</v>
      </c>
      <c r="M313" s="8">
        <f t="shared" si="26"/>
        <v>170000</v>
      </c>
      <c r="N313" s="5">
        <v>50000</v>
      </c>
      <c r="O313" s="8">
        <f t="shared" si="27"/>
        <v>220000</v>
      </c>
      <c r="P313" s="2" t="s">
        <v>35</v>
      </c>
      <c r="Q313" s="10" t="str">
        <f>VLOOKUP(A313,Status!A:B,2,0)</f>
        <v>Completed</v>
      </c>
      <c r="R313" s="2" t="s">
        <v>30</v>
      </c>
      <c r="S313" s="2">
        <v>5</v>
      </c>
      <c r="T313" s="2" t="s">
        <v>24</v>
      </c>
      <c r="U313" s="10" t="str">
        <f t="shared" si="29"/>
        <v>Mar</v>
      </c>
      <c r="V313" s="10">
        <f t="shared" si="28"/>
        <v>2025</v>
      </c>
      <c r="W313" t="e" cm="1">
        <f t="array" ref="W313">_xlfn.IFS(U313="January",1,U313="February",2,U313="March",3,U313="April",4,U313="May",5,U313="June",6,U313="July",7,U313="August",8,U313="September",9,U313="October",10,U313="November",11,U313="December",12)</f>
        <v>#N/A</v>
      </c>
    </row>
    <row r="314" spans="1:23" ht="15.75" customHeight="1" x14ac:dyDescent="0.25">
      <c r="A314" s="2" t="s">
        <v>1265</v>
      </c>
      <c r="B314" s="3">
        <v>45717.567476851851</v>
      </c>
      <c r="C314" s="2" t="s">
        <v>1098</v>
      </c>
      <c r="D314" s="2" t="s">
        <v>126</v>
      </c>
      <c r="E314" s="2" t="s">
        <v>85</v>
      </c>
      <c r="F314" s="2" t="str" cm="1">
        <f t="array" ref="F314:G314">_xlfn.TEXTSPLIT(E314," - ")</f>
        <v>Daging Ayam</v>
      </c>
      <c r="G314" s="2" t="str">
        <v>Brand A</v>
      </c>
      <c r="H314" s="5">
        <v>35000</v>
      </c>
      <c r="I314" s="2">
        <v>2</v>
      </c>
      <c r="J314" s="2">
        <v>15</v>
      </c>
      <c r="K314" s="8">
        <f t="shared" si="24"/>
        <v>70000</v>
      </c>
      <c r="L314" s="8">
        <f t="shared" si="25"/>
        <v>10500</v>
      </c>
      <c r="M314" s="8">
        <f t="shared" si="26"/>
        <v>59500</v>
      </c>
      <c r="N314" s="5">
        <v>84000</v>
      </c>
      <c r="O314" s="8">
        <f t="shared" si="27"/>
        <v>143500</v>
      </c>
      <c r="P314" s="2" t="s">
        <v>22</v>
      </c>
      <c r="Q314" s="10" t="str">
        <f>VLOOKUP(A314,Status!A:B,2,0)</f>
        <v>Completed</v>
      </c>
      <c r="R314" s="2" t="s">
        <v>23</v>
      </c>
      <c r="S314" s="2">
        <v>4</v>
      </c>
      <c r="T314" s="2" t="s">
        <v>37</v>
      </c>
      <c r="U314" s="10" t="str">
        <f t="shared" si="29"/>
        <v>Mar</v>
      </c>
      <c r="V314" s="10">
        <f t="shared" si="28"/>
        <v>2025</v>
      </c>
      <c r="W314" t="e" cm="1">
        <f t="array" ref="W314">_xlfn.IFS(U314="January",1,U314="February",2,U314="March",3,U314="April",4,U314="May",5,U314="June",6,U314="July",7,U314="August",8,U314="September",9,U314="October",10,U314="November",11,U314="December",12)</f>
        <v>#N/A</v>
      </c>
    </row>
    <row r="315" spans="1:23" ht="15.75" customHeight="1" x14ac:dyDescent="0.25">
      <c r="A315" s="2" t="s">
        <v>1266</v>
      </c>
      <c r="B315" s="3">
        <v>45717.747175925928</v>
      </c>
      <c r="C315" s="2" t="s">
        <v>821</v>
      </c>
      <c r="D315" s="2" t="s">
        <v>131</v>
      </c>
      <c r="E315" s="2" t="s">
        <v>28</v>
      </c>
      <c r="F315" s="2" t="str" cm="1">
        <f t="array" ref="F315:G315">_xlfn.TEXTSPLIT(E315," - ")</f>
        <v>Garam</v>
      </c>
      <c r="G315" s="2" t="str">
        <v>Brand B</v>
      </c>
      <c r="H315" s="5">
        <v>5000</v>
      </c>
      <c r="I315" s="2">
        <v>4</v>
      </c>
      <c r="J315" s="2">
        <v>0</v>
      </c>
      <c r="K315" s="8">
        <f t="shared" si="24"/>
        <v>20000</v>
      </c>
      <c r="L315" s="8">
        <f t="shared" si="25"/>
        <v>0</v>
      </c>
      <c r="M315" s="8">
        <f t="shared" si="26"/>
        <v>20000</v>
      </c>
      <c r="N315" s="5">
        <v>59000</v>
      </c>
      <c r="O315" s="8">
        <f t="shared" si="27"/>
        <v>79000</v>
      </c>
      <c r="P315" s="2" t="s">
        <v>35</v>
      </c>
      <c r="Q315" s="10" t="str">
        <f>VLOOKUP(A315,Status!A:B,2,0)</f>
        <v>Completed</v>
      </c>
      <c r="R315" s="2" t="s">
        <v>36</v>
      </c>
      <c r="S315" s="2">
        <v>4</v>
      </c>
      <c r="T315" s="2" t="s">
        <v>24</v>
      </c>
      <c r="U315" s="10" t="str">
        <f t="shared" si="29"/>
        <v>Mar</v>
      </c>
      <c r="V315" s="10">
        <f t="shared" si="28"/>
        <v>2025</v>
      </c>
      <c r="W315" t="e" cm="1">
        <f t="array" ref="W315">_xlfn.IFS(U315="January",1,U315="February",2,U315="March",3,U315="April",4,U315="May",5,U315="June",6,U315="July",7,U315="August",8,U315="September",9,U315="October",10,U315="November",11,U315="December",12)</f>
        <v>#N/A</v>
      </c>
    </row>
    <row r="316" spans="1:23" ht="15.75" customHeight="1" x14ac:dyDescent="0.25">
      <c r="A316" s="2" t="s">
        <v>1267</v>
      </c>
      <c r="B316" s="3">
        <v>45717.831157407411</v>
      </c>
      <c r="C316" s="2" t="s">
        <v>1053</v>
      </c>
      <c r="D316" s="2" t="s">
        <v>80</v>
      </c>
      <c r="E316" s="2" t="s">
        <v>75</v>
      </c>
      <c r="F316" s="2" t="str" cm="1">
        <f t="array" ref="F316:G316">_xlfn.TEXTSPLIT(E316," - ")</f>
        <v>Susu Bubuk</v>
      </c>
      <c r="G316" s="2" t="str">
        <v>Brand C</v>
      </c>
      <c r="H316" s="5">
        <v>55000</v>
      </c>
      <c r="I316" s="2">
        <v>4</v>
      </c>
      <c r="J316" s="2">
        <v>15</v>
      </c>
      <c r="K316" s="8">
        <f t="shared" si="24"/>
        <v>220000</v>
      </c>
      <c r="L316" s="8">
        <f t="shared" si="25"/>
        <v>33000</v>
      </c>
      <c r="M316" s="8">
        <f t="shared" si="26"/>
        <v>187000</v>
      </c>
      <c r="N316" s="5">
        <v>74000</v>
      </c>
      <c r="O316" s="8">
        <f t="shared" si="27"/>
        <v>261000</v>
      </c>
      <c r="P316" s="2" t="s">
        <v>63</v>
      </c>
      <c r="Q316" s="10" t="str">
        <f>VLOOKUP(A316,Status!A:B,2,0)</f>
        <v>Completed</v>
      </c>
      <c r="R316" s="2" t="s">
        <v>23</v>
      </c>
      <c r="S316" s="2">
        <v>2</v>
      </c>
      <c r="T316" s="2" t="s">
        <v>24</v>
      </c>
      <c r="U316" s="10" t="str">
        <f t="shared" si="29"/>
        <v>Mar</v>
      </c>
      <c r="V316" s="10">
        <f t="shared" si="28"/>
        <v>2025</v>
      </c>
      <c r="W316" t="e" cm="1">
        <f t="array" ref="W316">_xlfn.IFS(U316="January",1,U316="February",2,U316="March",3,U316="April",4,U316="May",5,U316="June",6,U316="July",7,U316="August",8,U316="September",9,U316="October",10,U316="November",11,U316="December",12)</f>
        <v>#N/A</v>
      </c>
    </row>
    <row r="317" spans="1:23" ht="15.75" customHeight="1" x14ac:dyDescent="0.25">
      <c r="A317" s="2" t="s">
        <v>1268</v>
      </c>
      <c r="B317" s="3">
        <v>45717.837037037039</v>
      </c>
      <c r="C317" s="2" t="s">
        <v>1098</v>
      </c>
      <c r="D317" s="2" t="s">
        <v>126</v>
      </c>
      <c r="E317" s="2" t="s">
        <v>75</v>
      </c>
      <c r="F317" s="2" t="str" cm="1">
        <f t="array" ref="F317:G317">_xlfn.TEXTSPLIT(E317," - ")</f>
        <v>Susu Bubuk</v>
      </c>
      <c r="G317" s="2" t="str">
        <v>Brand C</v>
      </c>
      <c r="H317" s="5">
        <v>55000</v>
      </c>
      <c r="I317" s="2">
        <v>1</v>
      </c>
      <c r="J317" s="2">
        <v>20</v>
      </c>
      <c r="K317" s="8">
        <f t="shared" si="24"/>
        <v>55000</v>
      </c>
      <c r="L317" s="8">
        <f t="shared" si="25"/>
        <v>11000</v>
      </c>
      <c r="M317" s="8">
        <f t="shared" si="26"/>
        <v>44000</v>
      </c>
      <c r="N317" s="5">
        <v>84000</v>
      </c>
      <c r="O317" s="8">
        <f t="shared" si="27"/>
        <v>128000</v>
      </c>
      <c r="P317" s="2" t="s">
        <v>35</v>
      </c>
      <c r="Q317" s="10" t="str">
        <f>VLOOKUP(A317,Status!A:B,2,0)</f>
        <v>Completed</v>
      </c>
      <c r="R317" s="2" t="s">
        <v>36</v>
      </c>
      <c r="S317" s="2">
        <v>4</v>
      </c>
      <c r="T317" s="2" t="s">
        <v>37</v>
      </c>
      <c r="U317" s="10" t="str">
        <f t="shared" si="29"/>
        <v>Mar</v>
      </c>
      <c r="V317" s="10">
        <f t="shared" si="28"/>
        <v>2025</v>
      </c>
      <c r="W317" t="e" cm="1">
        <f t="array" ref="W317">_xlfn.IFS(U317="January",1,U317="February",2,U317="March",3,U317="April",4,U317="May",5,U317="June",6,U317="July",7,U317="August",8,U317="September",9,U317="October",10,U317="November",11,U317="December",12)</f>
        <v>#N/A</v>
      </c>
    </row>
    <row r="318" spans="1:23" ht="15.75" customHeight="1" x14ac:dyDescent="0.25">
      <c r="A318" s="2" t="s">
        <v>1269</v>
      </c>
      <c r="B318" s="3">
        <v>45718.266932870371</v>
      </c>
      <c r="C318" s="2" t="s">
        <v>1270</v>
      </c>
      <c r="D318" s="2" t="s">
        <v>182</v>
      </c>
      <c r="E318" s="2" t="s">
        <v>123</v>
      </c>
      <c r="F318" s="2" t="str" cm="1">
        <f t="array" ref="F318:G318">_xlfn.TEXTSPLIT(E318," - ")</f>
        <v>Telur Ayam</v>
      </c>
      <c r="G318" s="2" t="str">
        <v>Brand A</v>
      </c>
      <c r="H318" s="5">
        <v>22000</v>
      </c>
      <c r="I318" s="2">
        <v>3</v>
      </c>
      <c r="J318" s="2">
        <v>15</v>
      </c>
      <c r="K318" s="8">
        <f t="shared" si="24"/>
        <v>66000</v>
      </c>
      <c r="L318" s="8">
        <f t="shared" si="25"/>
        <v>9900</v>
      </c>
      <c r="M318" s="8">
        <f t="shared" si="26"/>
        <v>56100</v>
      </c>
      <c r="N318" s="5">
        <v>48000</v>
      </c>
      <c r="O318" s="8">
        <f t="shared" si="27"/>
        <v>104100</v>
      </c>
      <c r="P318" s="2" t="s">
        <v>29</v>
      </c>
      <c r="Q318" s="10" t="str">
        <f>VLOOKUP(A318,Status!A:B,2,0)</f>
        <v>Completed</v>
      </c>
      <c r="R318" s="2" t="s">
        <v>36</v>
      </c>
      <c r="S318" s="2">
        <v>3</v>
      </c>
      <c r="T318" s="2" t="s">
        <v>24</v>
      </c>
      <c r="U318" s="10" t="str">
        <f t="shared" si="29"/>
        <v>Mar</v>
      </c>
      <c r="V318" s="10">
        <f t="shared" si="28"/>
        <v>2025</v>
      </c>
      <c r="W318" t="e" cm="1">
        <f t="array" ref="W318">_xlfn.IFS(U318="January",1,U318="February",2,U318="March",3,U318="April",4,U318="May",5,U318="June",6,U318="July",7,U318="August",8,U318="September",9,U318="October",10,U318="November",11,U318="December",12)</f>
        <v>#N/A</v>
      </c>
    </row>
    <row r="319" spans="1:23" ht="15.75" customHeight="1" x14ac:dyDescent="0.25">
      <c r="A319" s="2" t="s">
        <v>1271</v>
      </c>
      <c r="B319" s="3">
        <v>45718.775312500002</v>
      </c>
      <c r="C319" s="2" t="s">
        <v>385</v>
      </c>
      <c r="D319" s="2" t="s">
        <v>375</v>
      </c>
      <c r="E319" s="2" t="s">
        <v>174</v>
      </c>
      <c r="F319" s="2" t="str" cm="1">
        <f t="array" ref="F319:G319">_xlfn.TEXTSPLIT(E319," - ")</f>
        <v>Tepung Terigu</v>
      </c>
      <c r="G319" s="2" t="str">
        <v>Brand A</v>
      </c>
      <c r="H319" s="5">
        <v>10000</v>
      </c>
      <c r="I319" s="2">
        <v>2</v>
      </c>
      <c r="J319" s="2">
        <v>15</v>
      </c>
      <c r="K319" s="8">
        <f t="shared" si="24"/>
        <v>20000</v>
      </c>
      <c r="L319" s="8">
        <f t="shared" si="25"/>
        <v>3000</v>
      </c>
      <c r="M319" s="8">
        <f t="shared" si="26"/>
        <v>17000</v>
      </c>
      <c r="N319" s="5">
        <v>21000</v>
      </c>
      <c r="O319" s="8">
        <f t="shared" si="27"/>
        <v>38000</v>
      </c>
      <c r="P319" s="2" t="s">
        <v>29</v>
      </c>
      <c r="Q319" s="10" t="str">
        <f>VLOOKUP(A319,Status!A:B,2,0)</f>
        <v>Completed</v>
      </c>
      <c r="R319" s="2" t="s">
        <v>30</v>
      </c>
      <c r="S319" s="2">
        <v>3</v>
      </c>
      <c r="T319" s="2" t="s">
        <v>24</v>
      </c>
      <c r="U319" s="10" t="str">
        <f t="shared" si="29"/>
        <v>Mar</v>
      </c>
      <c r="V319" s="10">
        <f t="shared" si="28"/>
        <v>2025</v>
      </c>
      <c r="W319" t="e" cm="1">
        <f t="array" ref="W319">_xlfn.IFS(U319="January",1,U319="February",2,U319="March",3,U319="April",4,U319="May",5,U319="June",6,U319="July",7,U319="August",8,U319="September",9,U319="October",10,U319="November",11,U319="December",12)</f>
        <v>#N/A</v>
      </c>
    </row>
    <row r="320" spans="1:23" ht="15.75" customHeight="1" x14ac:dyDescent="0.25">
      <c r="A320" s="2" t="s">
        <v>1272</v>
      </c>
      <c r="B320" s="3">
        <v>45718.805578703701</v>
      </c>
      <c r="C320" s="2" t="s">
        <v>261</v>
      </c>
      <c r="D320" s="2" t="s">
        <v>262</v>
      </c>
      <c r="E320" s="2" t="s">
        <v>50</v>
      </c>
      <c r="F320" s="2" t="str" cm="1">
        <f t="array" ref="F320:G320">_xlfn.TEXTSPLIT(E320," - ")</f>
        <v>Tepung Terigu</v>
      </c>
      <c r="G320" s="2" t="str">
        <v>Brand C</v>
      </c>
      <c r="H320" s="5">
        <v>14000</v>
      </c>
      <c r="I320" s="2">
        <v>1</v>
      </c>
      <c r="J320" s="2">
        <v>5</v>
      </c>
      <c r="K320" s="8">
        <f t="shared" si="24"/>
        <v>14000</v>
      </c>
      <c r="L320" s="8">
        <f t="shared" si="25"/>
        <v>700</v>
      </c>
      <c r="M320" s="8">
        <f t="shared" si="26"/>
        <v>13300</v>
      </c>
      <c r="N320" s="5">
        <v>18000</v>
      </c>
      <c r="O320" s="8">
        <f t="shared" si="27"/>
        <v>31300</v>
      </c>
      <c r="P320" s="2" t="s">
        <v>29</v>
      </c>
      <c r="Q320" s="10" t="str">
        <f>VLOOKUP(A320,Status!A:B,2,0)</f>
        <v>Completed</v>
      </c>
      <c r="R320" s="2" t="s">
        <v>30</v>
      </c>
      <c r="S320" s="2">
        <v>4</v>
      </c>
      <c r="T320" s="2" t="s">
        <v>24</v>
      </c>
      <c r="U320" s="10" t="str">
        <f t="shared" si="29"/>
        <v>Mar</v>
      </c>
      <c r="V320" s="10">
        <f t="shared" si="28"/>
        <v>2025</v>
      </c>
      <c r="W320" t="e" cm="1">
        <f t="array" ref="W320">_xlfn.IFS(U320="January",1,U320="February",2,U320="March",3,U320="April",4,U320="May",5,U320="June",6,U320="July",7,U320="August",8,U320="September",9,U320="October",10,U320="November",11,U320="December",12)</f>
        <v>#N/A</v>
      </c>
    </row>
    <row r="321" spans="1:23" ht="15.75" customHeight="1" x14ac:dyDescent="0.25">
      <c r="A321" s="2" t="s">
        <v>1273</v>
      </c>
      <c r="B321" s="3">
        <v>45719.348402777781</v>
      </c>
      <c r="C321" s="2" t="s">
        <v>98</v>
      </c>
      <c r="D321" s="2" t="s">
        <v>92</v>
      </c>
      <c r="E321" s="2" t="s">
        <v>88</v>
      </c>
      <c r="F321" s="2" t="str" cm="1">
        <f t="array" ref="F321:G321">_xlfn.TEXTSPLIT(E321," - ")</f>
        <v>Beras</v>
      </c>
      <c r="G321" s="2" t="str">
        <v>Brand A</v>
      </c>
      <c r="H321" s="5">
        <v>14000</v>
      </c>
      <c r="I321" s="2">
        <v>1</v>
      </c>
      <c r="J321" s="2">
        <v>10</v>
      </c>
      <c r="K321" s="8">
        <f t="shared" si="24"/>
        <v>14000</v>
      </c>
      <c r="L321" s="8">
        <f t="shared" si="25"/>
        <v>1400</v>
      </c>
      <c r="M321" s="8">
        <f t="shared" si="26"/>
        <v>12600</v>
      </c>
      <c r="N321" s="5">
        <v>30000</v>
      </c>
      <c r="O321" s="8">
        <f t="shared" si="27"/>
        <v>42600</v>
      </c>
      <c r="P321" s="2" t="s">
        <v>63</v>
      </c>
      <c r="Q321" s="10" t="str">
        <f>VLOOKUP(A321,Status!A:B,2,0)</f>
        <v>Completed</v>
      </c>
      <c r="R321" s="2" t="s">
        <v>23</v>
      </c>
      <c r="S321" s="2">
        <v>5</v>
      </c>
      <c r="T321" s="2" t="s">
        <v>24</v>
      </c>
      <c r="U321" s="10" t="str">
        <f t="shared" si="29"/>
        <v>Mar</v>
      </c>
      <c r="V321" s="10">
        <f t="shared" si="28"/>
        <v>2025</v>
      </c>
      <c r="W321" t="e" cm="1">
        <f t="array" ref="W321">_xlfn.IFS(U321="January",1,U321="February",2,U321="March",3,U321="April",4,U321="May",5,U321="June",6,U321="July",7,U321="August",8,U321="September",9,U321="October",10,U321="November",11,U321="December",12)</f>
        <v>#N/A</v>
      </c>
    </row>
    <row r="322" spans="1:23" ht="15.75" customHeight="1" x14ac:dyDescent="0.25">
      <c r="A322" s="2" t="s">
        <v>1274</v>
      </c>
      <c r="B322" s="3">
        <v>45719.554074074083</v>
      </c>
      <c r="C322" s="2" t="s">
        <v>959</v>
      </c>
      <c r="D322" s="2" t="s">
        <v>182</v>
      </c>
      <c r="E322" s="2" t="s">
        <v>41</v>
      </c>
      <c r="F322" s="2" t="str" cm="1">
        <f t="array" ref="F322:G322">_xlfn.TEXTSPLIT(E322," - ")</f>
        <v>Garam</v>
      </c>
      <c r="G322" s="2" t="str">
        <v>Brand A</v>
      </c>
      <c r="H322" s="5">
        <v>4000</v>
      </c>
      <c r="I322" s="2">
        <v>1</v>
      </c>
      <c r="J322" s="2">
        <v>10</v>
      </c>
      <c r="K322" s="8">
        <f t="shared" ref="K322:K385" si="30">H322*I322</f>
        <v>4000</v>
      </c>
      <c r="L322" s="8">
        <f t="shared" ref="L322:L385" si="31">K322*J322%</f>
        <v>400</v>
      </c>
      <c r="M322" s="8">
        <f t="shared" ref="M322:M385" si="32">K322-L322</f>
        <v>3600</v>
      </c>
      <c r="N322" s="5">
        <v>48000</v>
      </c>
      <c r="O322" s="8">
        <f t="shared" ref="O322:O385" si="33">M322+N322</f>
        <v>51600</v>
      </c>
      <c r="P322" s="2" t="s">
        <v>63</v>
      </c>
      <c r="Q322" s="10" t="str">
        <f>VLOOKUP(A322,Status!A:B,2,0)</f>
        <v>Returned</v>
      </c>
      <c r="R322" s="2" t="s">
        <v>46</v>
      </c>
      <c r="S322" s="2">
        <v>1</v>
      </c>
      <c r="T322" s="2" t="s">
        <v>24</v>
      </c>
      <c r="U322" s="10" t="str">
        <f t="shared" si="29"/>
        <v>Mar</v>
      </c>
      <c r="V322" s="10">
        <f t="shared" ref="V322:V385" si="34">YEAR(B322)</f>
        <v>2025</v>
      </c>
      <c r="W322" t="e" cm="1">
        <f t="array" ref="W322">_xlfn.IFS(U322="January",1,U322="February",2,U322="March",3,U322="April",4,U322="May",5,U322="June",6,U322="July",7,U322="August",8,U322="September",9,U322="October",10,U322="November",11,U322="December",12)</f>
        <v>#N/A</v>
      </c>
    </row>
    <row r="323" spans="1:23" ht="15.75" customHeight="1" x14ac:dyDescent="0.25">
      <c r="A323" s="2" t="s">
        <v>1275</v>
      </c>
      <c r="B323" s="3">
        <v>45719.600648148153</v>
      </c>
      <c r="C323" s="2" t="s">
        <v>269</v>
      </c>
      <c r="D323" s="2" t="s">
        <v>173</v>
      </c>
      <c r="E323" s="2" t="s">
        <v>38</v>
      </c>
      <c r="F323" s="2" t="str" cm="1">
        <f t="array" ref="F323:G323">_xlfn.TEXTSPLIT(E323," - ")</f>
        <v>Telur Ayam</v>
      </c>
      <c r="G323" s="2" t="str">
        <v>Brand C</v>
      </c>
      <c r="H323" s="5">
        <v>28000</v>
      </c>
      <c r="I323" s="2">
        <v>1</v>
      </c>
      <c r="J323" s="2">
        <v>15</v>
      </c>
      <c r="K323" s="8">
        <f t="shared" si="30"/>
        <v>28000</v>
      </c>
      <c r="L323" s="8">
        <f t="shared" si="31"/>
        <v>4200</v>
      </c>
      <c r="M323" s="8">
        <f t="shared" si="32"/>
        <v>23800</v>
      </c>
      <c r="N323" s="5">
        <v>49000</v>
      </c>
      <c r="O323" s="8">
        <f t="shared" si="33"/>
        <v>72800</v>
      </c>
      <c r="P323" s="2" t="s">
        <v>35</v>
      </c>
      <c r="Q323" s="10" t="str">
        <f>VLOOKUP(A323,Status!A:B,2,0)</f>
        <v>Completed</v>
      </c>
      <c r="R323" s="2" t="s">
        <v>23</v>
      </c>
      <c r="S323" s="2">
        <v>3</v>
      </c>
      <c r="T323" s="2" t="s">
        <v>37</v>
      </c>
      <c r="U323" s="10" t="str">
        <f t="shared" ref="U323:U386" si="35">TEXT(B323,"MMM")</f>
        <v>Mar</v>
      </c>
      <c r="V323" s="10">
        <f t="shared" si="34"/>
        <v>2025</v>
      </c>
      <c r="W323" t="e" cm="1">
        <f t="array" ref="W323">_xlfn.IFS(U323="January",1,U323="February",2,U323="March",3,U323="April",4,U323="May",5,U323="June",6,U323="July",7,U323="August",8,U323="September",9,U323="October",10,U323="November",11,U323="December",12)</f>
        <v>#N/A</v>
      </c>
    </row>
    <row r="324" spans="1:23" ht="15.75" customHeight="1" x14ac:dyDescent="0.25">
      <c r="A324" s="2" t="s">
        <v>1276</v>
      </c>
      <c r="B324" s="3">
        <v>45719.933981481481</v>
      </c>
      <c r="C324" s="2" t="s">
        <v>199</v>
      </c>
      <c r="D324" s="2" t="s">
        <v>143</v>
      </c>
      <c r="E324" s="2" t="s">
        <v>62</v>
      </c>
      <c r="F324" s="2" t="str" cm="1">
        <f t="array" ref="F324:G324">_xlfn.TEXTSPLIT(E324," - ")</f>
        <v>Susu Bubuk</v>
      </c>
      <c r="G324" s="2" t="str">
        <v>Brand B</v>
      </c>
      <c r="H324" s="5">
        <v>50000</v>
      </c>
      <c r="I324" s="2">
        <v>1</v>
      </c>
      <c r="J324" s="2">
        <v>0</v>
      </c>
      <c r="K324" s="8">
        <f t="shared" si="30"/>
        <v>50000</v>
      </c>
      <c r="L324" s="8">
        <f t="shared" si="31"/>
        <v>0</v>
      </c>
      <c r="M324" s="8">
        <f t="shared" si="32"/>
        <v>50000</v>
      </c>
      <c r="N324" s="5">
        <v>50000</v>
      </c>
      <c r="O324" s="8">
        <f t="shared" si="33"/>
        <v>100000</v>
      </c>
      <c r="P324" s="2" t="s">
        <v>63</v>
      </c>
      <c r="Q324" s="10" t="str">
        <f>VLOOKUP(A324,Status!A:B,2,0)</f>
        <v>Completed</v>
      </c>
      <c r="R324" s="2" t="s">
        <v>36</v>
      </c>
      <c r="S324" s="2">
        <v>3</v>
      </c>
      <c r="T324" s="2" t="s">
        <v>24</v>
      </c>
      <c r="U324" s="10" t="str">
        <f t="shared" si="35"/>
        <v>Mar</v>
      </c>
      <c r="V324" s="10">
        <f t="shared" si="34"/>
        <v>2025</v>
      </c>
      <c r="W324" t="e" cm="1">
        <f t="array" ref="W324">_xlfn.IFS(U324="January",1,U324="February",2,U324="March",3,U324="April",4,U324="May",5,U324="June",6,U324="July",7,U324="August",8,U324="September",9,U324="October",10,U324="November",11,U324="December",12)</f>
        <v>#N/A</v>
      </c>
    </row>
    <row r="325" spans="1:23" ht="15.75" customHeight="1" x14ac:dyDescent="0.25">
      <c r="A325" s="2" t="s">
        <v>1277</v>
      </c>
      <c r="B325" s="3">
        <v>45719.946967592587</v>
      </c>
      <c r="C325" s="2" t="s">
        <v>1278</v>
      </c>
      <c r="D325" s="2" t="s">
        <v>74</v>
      </c>
      <c r="E325" s="2" t="s">
        <v>67</v>
      </c>
      <c r="F325" s="2" t="str" cm="1">
        <f t="array" ref="F325:G325">_xlfn.TEXTSPLIT(E325," - ")</f>
        <v>Beras</v>
      </c>
      <c r="G325" s="2" t="str">
        <v>Brand B</v>
      </c>
      <c r="H325" s="5">
        <v>15000</v>
      </c>
      <c r="I325" s="2">
        <v>1</v>
      </c>
      <c r="J325" s="2">
        <v>10</v>
      </c>
      <c r="K325" s="8">
        <f t="shared" si="30"/>
        <v>15000</v>
      </c>
      <c r="L325" s="8">
        <f t="shared" si="31"/>
        <v>1500</v>
      </c>
      <c r="M325" s="8">
        <f t="shared" si="32"/>
        <v>13500</v>
      </c>
      <c r="N325" s="5">
        <v>87000</v>
      </c>
      <c r="O325" s="8">
        <f t="shared" si="33"/>
        <v>100500</v>
      </c>
      <c r="P325" s="2" t="s">
        <v>29</v>
      </c>
      <c r="Q325" s="10" t="str">
        <f>VLOOKUP(A325,Status!A:B,2,0)</f>
        <v>Returned</v>
      </c>
      <c r="R325" s="2" t="s">
        <v>82</v>
      </c>
      <c r="S325" s="2">
        <v>1</v>
      </c>
      <c r="T325" s="2" t="s">
        <v>24</v>
      </c>
      <c r="U325" s="10" t="str">
        <f t="shared" si="35"/>
        <v>Mar</v>
      </c>
      <c r="V325" s="10">
        <f t="shared" si="34"/>
        <v>2025</v>
      </c>
      <c r="W325" t="e" cm="1">
        <f t="array" ref="W325">_xlfn.IFS(U325="January",1,U325="February",2,U325="March",3,U325="April",4,U325="May",5,U325="June",6,U325="July",7,U325="August",8,U325="September",9,U325="October",10,U325="November",11,U325="December",12)</f>
        <v>#N/A</v>
      </c>
    </row>
    <row r="326" spans="1:23" ht="15.75" customHeight="1" x14ac:dyDescent="0.25">
      <c r="A326" s="2" t="s">
        <v>1279</v>
      </c>
      <c r="B326" s="3">
        <v>45720.108634259261</v>
      </c>
      <c r="C326" s="2" t="s">
        <v>451</v>
      </c>
      <c r="D326" s="2" t="s">
        <v>116</v>
      </c>
      <c r="E326" s="2" t="s">
        <v>45</v>
      </c>
      <c r="F326" s="2" t="str" cm="1">
        <f t="array" ref="F326:G326">_xlfn.TEXTSPLIT(E326," - ")</f>
        <v>Daging Ayam</v>
      </c>
      <c r="G326" s="2" t="str">
        <v>Brand B</v>
      </c>
      <c r="H326" s="5">
        <v>40000</v>
      </c>
      <c r="I326" s="2">
        <v>4</v>
      </c>
      <c r="J326" s="2">
        <v>0</v>
      </c>
      <c r="K326" s="8">
        <f t="shared" si="30"/>
        <v>160000</v>
      </c>
      <c r="L326" s="8">
        <f t="shared" si="31"/>
        <v>0</v>
      </c>
      <c r="M326" s="8">
        <f t="shared" si="32"/>
        <v>160000</v>
      </c>
      <c r="N326" s="5">
        <v>72000</v>
      </c>
      <c r="O326" s="8">
        <f t="shared" si="33"/>
        <v>232000</v>
      </c>
      <c r="P326" s="2" t="s">
        <v>29</v>
      </c>
      <c r="Q326" s="10" t="str">
        <f>VLOOKUP(A326,Status!A:B,2,0)</f>
        <v>Completed</v>
      </c>
      <c r="R326" s="2" t="s">
        <v>23</v>
      </c>
      <c r="S326" s="2">
        <v>4</v>
      </c>
      <c r="T326" s="2" t="s">
        <v>24</v>
      </c>
      <c r="U326" s="10" t="str">
        <f t="shared" si="35"/>
        <v>Mar</v>
      </c>
      <c r="V326" s="10">
        <f t="shared" si="34"/>
        <v>2025</v>
      </c>
      <c r="W326" t="e" cm="1">
        <f t="array" ref="W326">_xlfn.IFS(U326="January",1,U326="February",2,U326="March",3,U326="April",4,U326="May",5,U326="June",6,U326="July",7,U326="August",8,U326="September",9,U326="October",10,U326="November",11,U326="December",12)</f>
        <v>#N/A</v>
      </c>
    </row>
    <row r="327" spans="1:23" ht="15.75" customHeight="1" x14ac:dyDescent="0.25">
      <c r="A327" s="2" t="s">
        <v>1280</v>
      </c>
      <c r="B327" s="3">
        <v>45720.173634259263</v>
      </c>
      <c r="C327" s="2" t="s">
        <v>1091</v>
      </c>
      <c r="D327" s="2" t="s">
        <v>160</v>
      </c>
      <c r="E327" s="2" t="s">
        <v>41</v>
      </c>
      <c r="F327" s="2" t="str" cm="1">
        <f t="array" ref="F327:G327">_xlfn.TEXTSPLIT(E327," - ")</f>
        <v>Garam</v>
      </c>
      <c r="G327" s="2" t="str">
        <v>Brand A</v>
      </c>
      <c r="H327" s="5">
        <v>4000</v>
      </c>
      <c r="I327" s="2">
        <v>1</v>
      </c>
      <c r="J327" s="2">
        <v>5</v>
      </c>
      <c r="K327" s="8">
        <f t="shared" si="30"/>
        <v>4000</v>
      </c>
      <c r="L327" s="8">
        <f t="shared" si="31"/>
        <v>200</v>
      </c>
      <c r="M327" s="8">
        <f t="shared" si="32"/>
        <v>3800</v>
      </c>
      <c r="N327" s="5">
        <v>68000</v>
      </c>
      <c r="O327" s="8">
        <f t="shared" si="33"/>
        <v>71800</v>
      </c>
      <c r="P327" s="2" t="s">
        <v>35</v>
      </c>
      <c r="Q327" s="10" t="str">
        <f>VLOOKUP(A327,Status!A:B,2,0)</f>
        <v>Completed</v>
      </c>
      <c r="R327" s="2" t="s">
        <v>23</v>
      </c>
      <c r="S327" s="2">
        <v>4</v>
      </c>
      <c r="T327" s="2" t="s">
        <v>37</v>
      </c>
      <c r="U327" s="10" t="str">
        <f t="shared" si="35"/>
        <v>Mar</v>
      </c>
      <c r="V327" s="10">
        <f t="shared" si="34"/>
        <v>2025</v>
      </c>
      <c r="W327" t="e" cm="1">
        <f t="array" ref="W327">_xlfn.IFS(U327="January",1,U327="February",2,U327="March",3,U327="April",4,U327="May",5,U327="June",6,U327="July",7,U327="August",8,U327="September",9,U327="October",10,U327="November",11,U327="December",12)</f>
        <v>#N/A</v>
      </c>
    </row>
    <row r="328" spans="1:23" ht="15.75" customHeight="1" x14ac:dyDescent="0.25">
      <c r="A328" s="2" t="s">
        <v>1281</v>
      </c>
      <c r="B328" s="3">
        <v>45720.294849537036</v>
      </c>
      <c r="C328" s="2" t="s">
        <v>402</v>
      </c>
      <c r="D328" s="2" t="s">
        <v>163</v>
      </c>
      <c r="E328" s="2" t="s">
        <v>67</v>
      </c>
      <c r="F328" s="2" t="str" cm="1">
        <f t="array" ref="F328:G328">_xlfn.TEXTSPLIT(E328," - ")</f>
        <v>Beras</v>
      </c>
      <c r="G328" s="2" t="str">
        <v>Brand B</v>
      </c>
      <c r="H328" s="5">
        <v>15000</v>
      </c>
      <c r="I328" s="2">
        <v>2</v>
      </c>
      <c r="J328" s="2">
        <v>10</v>
      </c>
      <c r="K328" s="8">
        <f t="shared" si="30"/>
        <v>30000</v>
      </c>
      <c r="L328" s="8">
        <f t="shared" si="31"/>
        <v>3000</v>
      </c>
      <c r="M328" s="8">
        <f t="shared" si="32"/>
        <v>27000</v>
      </c>
      <c r="N328" s="5">
        <v>50000</v>
      </c>
      <c r="O328" s="8">
        <f t="shared" si="33"/>
        <v>77000</v>
      </c>
      <c r="P328" s="2" t="s">
        <v>29</v>
      </c>
      <c r="Q328" s="10" t="str">
        <f>VLOOKUP(A328,Status!A:B,2,0)</f>
        <v>Completed</v>
      </c>
      <c r="R328" s="2" t="s">
        <v>30</v>
      </c>
      <c r="S328" s="2">
        <v>2</v>
      </c>
      <c r="T328" s="2" t="s">
        <v>24</v>
      </c>
      <c r="U328" s="10" t="str">
        <f t="shared" si="35"/>
        <v>Mar</v>
      </c>
      <c r="V328" s="10">
        <f t="shared" si="34"/>
        <v>2025</v>
      </c>
      <c r="W328" t="e" cm="1">
        <f t="array" ref="W328">_xlfn.IFS(U328="January",1,U328="February",2,U328="March",3,U328="April",4,U328="May",5,U328="June",6,U328="July",7,U328="August",8,U328="September",9,U328="October",10,U328="November",11,U328="December",12)</f>
        <v>#N/A</v>
      </c>
    </row>
    <row r="329" spans="1:23" ht="15.75" customHeight="1" x14ac:dyDescent="0.25">
      <c r="A329" s="2" t="s">
        <v>1282</v>
      </c>
      <c r="B329" s="3">
        <v>45720.448784722219</v>
      </c>
      <c r="C329" s="2" t="s">
        <v>796</v>
      </c>
      <c r="D329" s="2" t="s">
        <v>119</v>
      </c>
      <c r="E329" s="2" t="s">
        <v>144</v>
      </c>
      <c r="F329" s="2" t="str" cm="1">
        <f t="array" ref="F329:G329">_xlfn.TEXTSPLIT(E329," - ")</f>
        <v>Gula Pasir</v>
      </c>
      <c r="G329" s="2" t="str">
        <v>Brand C</v>
      </c>
      <c r="H329" s="5">
        <v>18000</v>
      </c>
      <c r="I329" s="2">
        <v>4</v>
      </c>
      <c r="J329" s="2">
        <v>5</v>
      </c>
      <c r="K329" s="8">
        <f t="shared" si="30"/>
        <v>72000</v>
      </c>
      <c r="L329" s="8">
        <f t="shared" si="31"/>
        <v>3600</v>
      </c>
      <c r="M329" s="8">
        <f t="shared" si="32"/>
        <v>68400</v>
      </c>
      <c r="N329" s="5">
        <v>0</v>
      </c>
      <c r="O329" s="8">
        <f t="shared" si="33"/>
        <v>68400</v>
      </c>
      <c r="P329" s="2" t="s">
        <v>63</v>
      </c>
      <c r="Q329" s="10" t="str">
        <f>VLOOKUP(A329,Status!A:B,2,0)</f>
        <v>Completed</v>
      </c>
      <c r="R329" s="2" t="s">
        <v>82</v>
      </c>
      <c r="S329" s="2">
        <v>1</v>
      </c>
      <c r="T329" s="2" t="s">
        <v>24</v>
      </c>
      <c r="U329" s="10" t="str">
        <f t="shared" si="35"/>
        <v>Mar</v>
      </c>
      <c r="V329" s="10">
        <f t="shared" si="34"/>
        <v>2025</v>
      </c>
      <c r="W329" t="e" cm="1">
        <f t="array" ref="W329">_xlfn.IFS(U329="January",1,U329="February",2,U329="March",3,U329="April",4,U329="May",5,U329="June",6,U329="July",7,U329="August",8,U329="September",9,U329="October",10,U329="November",11,U329="December",12)</f>
        <v>#N/A</v>
      </c>
    </row>
    <row r="330" spans="1:23" ht="15.75" customHeight="1" x14ac:dyDescent="0.25">
      <c r="A330" s="2" t="s">
        <v>1283</v>
      </c>
      <c r="B330" s="3">
        <v>45720.509108796286</v>
      </c>
      <c r="C330" s="2" t="s">
        <v>488</v>
      </c>
      <c r="D330" s="2" t="s">
        <v>49</v>
      </c>
      <c r="E330" s="2" t="s">
        <v>21</v>
      </c>
      <c r="F330" s="2" t="str" cm="1">
        <f t="array" ref="F330:G330">_xlfn.TEXTSPLIT(E330," - ")</f>
        <v>Daging Ayam</v>
      </c>
      <c r="G330" s="2" t="str">
        <v>Brand C</v>
      </c>
      <c r="H330" s="5">
        <v>45000</v>
      </c>
      <c r="I330" s="2">
        <v>1</v>
      </c>
      <c r="J330" s="2">
        <v>5</v>
      </c>
      <c r="K330" s="8">
        <f t="shared" si="30"/>
        <v>45000</v>
      </c>
      <c r="L330" s="8">
        <f t="shared" si="31"/>
        <v>2250</v>
      </c>
      <c r="M330" s="8">
        <f t="shared" si="32"/>
        <v>42750</v>
      </c>
      <c r="N330" s="5">
        <v>43000</v>
      </c>
      <c r="O330" s="8">
        <f t="shared" si="33"/>
        <v>85750</v>
      </c>
      <c r="P330" s="2" t="s">
        <v>35</v>
      </c>
      <c r="Q330" s="10" t="str">
        <f>VLOOKUP(A330,Status!A:B,2,0)</f>
        <v>Completed</v>
      </c>
      <c r="R330" s="2" t="s">
        <v>46</v>
      </c>
      <c r="S330" s="2">
        <v>5</v>
      </c>
      <c r="T330" s="2" t="s">
        <v>24</v>
      </c>
      <c r="U330" s="10" t="str">
        <f t="shared" si="35"/>
        <v>Mar</v>
      </c>
      <c r="V330" s="10">
        <f t="shared" si="34"/>
        <v>2025</v>
      </c>
      <c r="W330" t="e" cm="1">
        <f t="array" ref="W330">_xlfn.IFS(U330="January",1,U330="February",2,U330="March",3,U330="April",4,U330="May",5,U330="June",6,U330="July",7,U330="August",8,U330="September",9,U330="October",10,U330="November",11,U330="December",12)</f>
        <v>#N/A</v>
      </c>
    </row>
    <row r="331" spans="1:23" ht="15.75" customHeight="1" x14ac:dyDescent="0.25">
      <c r="A331" s="2" t="s">
        <v>1283</v>
      </c>
      <c r="B331" s="3">
        <v>45720.509108796286</v>
      </c>
      <c r="C331" s="2" t="s">
        <v>488</v>
      </c>
      <c r="D331" s="2" t="s">
        <v>49</v>
      </c>
      <c r="E331" s="2" t="s">
        <v>104</v>
      </c>
      <c r="F331" s="2" t="str" cm="1">
        <f t="array" ref="F331:G331">_xlfn.TEXTSPLIT(E331," - ")</f>
        <v>Bawang Merah</v>
      </c>
      <c r="G331" s="2" t="str">
        <v>Brand A</v>
      </c>
      <c r="H331" s="5">
        <v>30000</v>
      </c>
      <c r="I331" s="2">
        <v>2</v>
      </c>
      <c r="J331" s="2">
        <v>0</v>
      </c>
      <c r="K331" s="8">
        <f t="shared" si="30"/>
        <v>60000</v>
      </c>
      <c r="L331" s="8">
        <f t="shared" si="31"/>
        <v>0</v>
      </c>
      <c r="M331" s="8">
        <f t="shared" si="32"/>
        <v>60000</v>
      </c>
      <c r="N331" s="5">
        <v>0</v>
      </c>
      <c r="O331" s="8">
        <f t="shared" si="33"/>
        <v>60000</v>
      </c>
      <c r="P331" s="2" t="s">
        <v>35</v>
      </c>
      <c r="Q331" s="10" t="str">
        <f>VLOOKUP(A331,Status!A:B,2,0)</f>
        <v>Completed</v>
      </c>
      <c r="R331" s="2" t="s">
        <v>46</v>
      </c>
      <c r="S331" s="2">
        <v>5</v>
      </c>
      <c r="T331" s="2" t="s">
        <v>24</v>
      </c>
      <c r="U331" s="10" t="str">
        <f t="shared" si="35"/>
        <v>Mar</v>
      </c>
      <c r="V331" s="10">
        <f t="shared" si="34"/>
        <v>2025</v>
      </c>
      <c r="W331" t="e" cm="1">
        <f t="array" ref="W331">_xlfn.IFS(U331="January",1,U331="February",2,U331="March",3,U331="April",4,U331="May",5,U331="June",6,U331="July",7,U331="August",8,U331="September",9,U331="October",10,U331="November",11,U331="December",12)</f>
        <v>#N/A</v>
      </c>
    </row>
    <row r="332" spans="1:23" ht="15.75" customHeight="1" x14ac:dyDescent="0.25">
      <c r="A332" s="2" t="s">
        <v>1284</v>
      </c>
      <c r="B332" s="3">
        <v>45720.880462962959</v>
      </c>
      <c r="C332" s="2" t="s">
        <v>1285</v>
      </c>
      <c r="D332" s="2" t="s">
        <v>163</v>
      </c>
      <c r="E332" s="2" t="s">
        <v>250</v>
      </c>
      <c r="F332" s="2" t="str" cm="1">
        <f t="array" ref="F332:G332">_xlfn.TEXTSPLIT(E332," - ")</f>
        <v>Minyak Goreng</v>
      </c>
      <c r="G332" s="2" t="str">
        <v>Brand C</v>
      </c>
      <c r="H332" s="5">
        <v>18000</v>
      </c>
      <c r="I332" s="2">
        <v>2</v>
      </c>
      <c r="J332" s="2">
        <v>5</v>
      </c>
      <c r="K332" s="8">
        <f t="shared" si="30"/>
        <v>36000</v>
      </c>
      <c r="L332" s="8">
        <f t="shared" si="31"/>
        <v>1800</v>
      </c>
      <c r="M332" s="8">
        <f t="shared" si="32"/>
        <v>34200</v>
      </c>
      <c r="N332" s="5">
        <v>50000</v>
      </c>
      <c r="O332" s="8">
        <f t="shared" si="33"/>
        <v>84200</v>
      </c>
      <c r="P332" s="2" t="s">
        <v>29</v>
      </c>
      <c r="Q332" s="10" t="str">
        <f>VLOOKUP(A332,Status!A:B,2,0)</f>
        <v>Completed</v>
      </c>
      <c r="R332" s="2" t="s">
        <v>82</v>
      </c>
      <c r="S332" s="2">
        <v>4</v>
      </c>
      <c r="T332" s="2" t="s">
        <v>24</v>
      </c>
      <c r="U332" s="10" t="str">
        <f t="shared" si="35"/>
        <v>Mar</v>
      </c>
      <c r="V332" s="10">
        <f t="shared" si="34"/>
        <v>2025</v>
      </c>
      <c r="W332" t="e" cm="1">
        <f t="array" ref="W332">_xlfn.IFS(U332="January",1,U332="February",2,U332="March",3,U332="April",4,U332="May",5,U332="June",6,U332="July",7,U332="August",8,U332="September",9,U332="October",10,U332="November",11,U332="December",12)</f>
        <v>#N/A</v>
      </c>
    </row>
    <row r="333" spans="1:23" ht="15.75" customHeight="1" x14ac:dyDescent="0.25">
      <c r="A333" s="2" t="s">
        <v>1286</v>
      </c>
      <c r="B333" s="3">
        <v>45721.00445601852</v>
      </c>
      <c r="C333" s="2" t="s">
        <v>350</v>
      </c>
      <c r="D333" s="2" t="s">
        <v>195</v>
      </c>
      <c r="E333" s="2" t="s">
        <v>81</v>
      </c>
      <c r="F333" s="2" t="str" cm="1">
        <f t="array" ref="F333:G333">_xlfn.TEXTSPLIT(E333," - ")</f>
        <v>Minyak Goreng</v>
      </c>
      <c r="G333" s="2" t="str">
        <v>Brand B</v>
      </c>
      <c r="H333" s="5">
        <v>17000</v>
      </c>
      <c r="I333" s="2">
        <v>1</v>
      </c>
      <c r="J333" s="2">
        <v>0</v>
      </c>
      <c r="K333" s="8">
        <f t="shared" si="30"/>
        <v>17000</v>
      </c>
      <c r="L333" s="8">
        <f t="shared" si="31"/>
        <v>0</v>
      </c>
      <c r="M333" s="8">
        <f t="shared" si="32"/>
        <v>17000</v>
      </c>
      <c r="N333" s="5">
        <v>87000</v>
      </c>
      <c r="O333" s="8">
        <f t="shared" si="33"/>
        <v>104000</v>
      </c>
      <c r="P333" s="2" t="s">
        <v>29</v>
      </c>
      <c r="Q333" s="10" t="str">
        <f>VLOOKUP(A333,Status!A:B,2,0)</f>
        <v>Cancelled</v>
      </c>
      <c r="R333" s="2" t="s">
        <v>30</v>
      </c>
      <c r="S333" s="2">
        <v>2</v>
      </c>
      <c r="T333" s="2" t="s">
        <v>37</v>
      </c>
      <c r="U333" s="10" t="str">
        <f t="shared" si="35"/>
        <v>Mar</v>
      </c>
      <c r="V333" s="10">
        <f t="shared" si="34"/>
        <v>2025</v>
      </c>
      <c r="W333" t="e" cm="1">
        <f t="array" ref="W333">_xlfn.IFS(U333="January",1,U333="February",2,U333="March",3,U333="April",4,U333="May",5,U333="June",6,U333="July",7,U333="August",8,U333="September",9,U333="October",10,U333="November",11,U333="December",12)</f>
        <v>#N/A</v>
      </c>
    </row>
    <row r="334" spans="1:23" ht="15.75" customHeight="1" x14ac:dyDescent="0.25">
      <c r="A334" s="2" t="s">
        <v>1287</v>
      </c>
      <c r="B334" s="3">
        <v>45721.068078703713</v>
      </c>
      <c r="C334" s="2" t="s">
        <v>557</v>
      </c>
      <c r="D334" s="2" t="s">
        <v>173</v>
      </c>
      <c r="E334" s="2" t="s">
        <v>123</v>
      </c>
      <c r="F334" s="2" t="str" cm="1">
        <f t="array" ref="F334:G334">_xlfn.TEXTSPLIT(E334," - ")</f>
        <v>Telur Ayam</v>
      </c>
      <c r="G334" s="2" t="str">
        <v>Brand A</v>
      </c>
      <c r="H334" s="5">
        <v>22000</v>
      </c>
      <c r="I334" s="2">
        <v>4</v>
      </c>
      <c r="J334" s="2">
        <v>0</v>
      </c>
      <c r="K334" s="8">
        <f t="shared" si="30"/>
        <v>88000</v>
      </c>
      <c r="L334" s="8">
        <f t="shared" si="31"/>
        <v>0</v>
      </c>
      <c r="M334" s="8">
        <f t="shared" si="32"/>
        <v>88000</v>
      </c>
      <c r="N334" s="5">
        <v>49000</v>
      </c>
      <c r="O334" s="8">
        <f t="shared" si="33"/>
        <v>137000</v>
      </c>
      <c r="P334" s="2" t="s">
        <v>22</v>
      </c>
      <c r="Q334" s="10" t="str">
        <f>VLOOKUP(A334,Status!A:B,2,0)</f>
        <v>Completed</v>
      </c>
      <c r="R334" s="2" t="s">
        <v>82</v>
      </c>
      <c r="S334" s="2">
        <v>3</v>
      </c>
      <c r="T334" s="2" t="s">
        <v>24</v>
      </c>
      <c r="U334" s="10" t="str">
        <f t="shared" si="35"/>
        <v>Mar</v>
      </c>
      <c r="V334" s="10">
        <f t="shared" si="34"/>
        <v>2025</v>
      </c>
      <c r="W334" t="e" cm="1">
        <f t="array" ref="W334">_xlfn.IFS(U334="January",1,U334="February",2,U334="March",3,U334="April",4,U334="May",5,U334="June",6,U334="July",7,U334="August",8,U334="September",9,U334="October",10,U334="November",11,U334="December",12)</f>
        <v>#N/A</v>
      </c>
    </row>
    <row r="335" spans="1:23" ht="15.75" customHeight="1" x14ac:dyDescent="0.25">
      <c r="A335" s="2" t="s">
        <v>1288</v>
      </c>
      <c r="B335" s="3">
        <v>45721.158819444441</v>
      </c>
      <c r="C335" s="2" t="s">
        <v>295</v>
      </c>
      <c r="D335" s="2" t="s">
        <v>296</v>
      </c>
      <c r="E335" s="2" t="s">
        <v>58</v>
      </c>
      <c r="F335" s="2" t="str" cm="1">
        <f t="array" ref="F335:G335">_xlfn.TEXTSPLIT(E335," - ")</f>
        <v>Gula Pasir</v>
      </c>
      <c r="G335" s="2" t="str">
        <v>Brand A</v>
      </c>
      <c r="H335" s="5">
        <v>16000</v>
      </c>
      <c r="I335" s="2">
        <v>5</v>
      </c>
      <c r="J335" s="2">
        <v>5</v>
      </c>
      <c r="K335" s="8">
        <f t="shared" si="30"/>
        <v>80000</v>
      </c>
      <c r="L335" s="8">
        <f t="shared" si="31"/>
        <v>4000</v>
      </c>
      <c r="M335" s="8">
        <f t="shared" si="32"/>
        <v>76000</v>
      </c>
      <c r="N335" s="5">
        <v>79000</v>
      </c>
      <c r="O335" s="8">
        <f t="shared" si="33"/>
        <v>155000</v>
      </c>
      <c r="P335" s="2" t="s">
        <v>29</v>
      </c>
      <c r="Q335" s="10" t="str">
        <f>VLOOKUP(A335,Status!A:B,2,0)</f>
        <v>Completed</v>
      </c>
      <c r="R335" s="2" t="s">
        <v>36</v>
      </c>
      <c r="S335" s="2">
        <v>3</v>
      </c>
      <c r="T335" s="2" t="s">
        <v>24</v>
      </c>
      <c r="U335" s="10" t="str">
        <f t="shared" si="35"/>
        <v>Mar</v>
      </c>
      <c r="V335" s="10">
        <f t="shared" si="34"/>
        <v>2025</v>
      </c>
      <c r="W335" t="e" cm="1">
        <f t="array" ref="W335">_xlfn.IFS(U335="January",1,U335="February",2,U335="March",3,U335="April",4,U335="May",5,U335="June",6,U335="July",7,U335="August",8,U335="September",9,U335="October",10,U335="November",11,U335="December",12)</f>
        <v>#N/A</v>
      </c>
    </row>
    <row r="336" spans="1:23" ht="15.75" customHeight="1" x14ac:dyDescent="0.25">
      <c r="A336" s="2" t="s">
        <v>1289</v>
      </c>
      <c r="B336" s="3">
        <v>45721.439282407409</v>
      </c>
      <c r="C336" s="2" t="s">
        <v>615</v>
      </c>
      <c r="D336" s="2" t="s">
        <v>92</v>
      </c>
      <c r="E336" s="2" t="s">
        <v>21</v>
      </c>
      <c r="F336" s="2" t="str" cm="1">
        <f t="array" ref="F336:G336">_xlfn.TEXTSPLIT(E336," - ")</f>
        <v>Daging Ayam</v>
      </c>
      <c r="G336" s="2" t="str">
        <v>Brand C</v>
      </c>
      <c r="H336" s="5">
        <v>45000</v>
      </c>
      <c r="I336" s="2">
        <v>2</v>
      </c>
      <c r="J336" s="2">
        <v>20</v>
      </c>
      <c r="K336" s="8">
        <f t="shared" si="30"/>
        <v>90000</v>
      </c>
      <c r="L336" s="8">
        <f t="shared" si="31"/>
        <v>18000</v>
      </c>
      <c r="M336" s="8">
        <f t="shared" si="32"/>
        <v>72000</v>
      </c>
      <c r="N336" s="5">
        <v>30000</v>
      </c>
      <c r="O336" s="8">
        <f t="shared" si="33"/>
        <v>102000</v>
      </c>
      <c r="P336" s="2" t="s">
        <v>35</v>
      </c>
      <c r="Q336" s="10" t="str">
        <f>VLOOKUP(A336,Status!A:B,2,0)</f>
        <v>Completed</v>
      </c>
      <c r="R336" s="2" t="s">
        <v>30</v>
      </c>
      <c r="S336" s="2">
        <v>1</v>
      </c>
      <c r="T336" s="2" t="s">
        <v>24</v>
      </c>
      <c r="U336" s="10" t="str">
        <f t="shared" si="35"/>
        <v>Mar</v>
      </c>
      <c r="V336" s="10">
        <f t="shared" si="34"/>
        <v>2025</v>
      </c>
      <c r="W336" t="e" cm="1">
        <f t="array" ref="W336">_xlfn.IFS(U336="January",1,U336="February",2,U336="March",3,U336="April",4,U336="May",5,U336="June",6,U336="July",7,U336="August",8,U336="September",9,U336="October",10,U336="November",11,U336="December",12)</f>
        <v>#N/A</v>
      </c>
    </row>
    <row r="337" spans="1:23" ht="15.75" customHeight="1" x14ac:dyDescent="0.25">
      <c r="A337" s="2" t="s">
        <v>1290</v>
      </c>
      <c r="B337" s="3">
        <v>45721.613692129627</v>
      </c>
      <c r="C337" s="2" t="s">
        <v>576</v>
      </c>
      <c r="D337" s="2" t="s">
        <v>57</v>
      </c>
      <c r="E337" s="2" t="s">
        <v>58</v>
      </c>
      <c r="F337" s="2" t="str" cm="1">
        <f t="array" ref="F337:G337">_xlfn.TEXTSPLIT(E337," - ")</f>
        <v>Gula Pasir</v>
      </c>
      <c r="G337" s="2" t="str">
        <v>Brand A</v>
      </c>
      <c r="H337" s="5">
        <v>16000</v>
      </c>
      <c r="I337" s="2">
        <v>1</v>
      </c>
      <c r="J337" s="2">
        <v>10</v>
      </c>
      <c r="K337" s="8">
        <f t="shared" si="30"/>
        <v>16000</v>
      </c>
      <c r="L337" s="8">
        <f t="shared" si="31"/>
        <v>1600</v>
      </c>
      <c r="M337" s="8">
        <f t="shared" si="32"/>
        <v>14400</v>
      </c>
      <c r="N337" s="5">
        <v>80000</v>
      </c>
      <c r="O337" s="8">
        <f t="shared" si="33"/>
        <v>94400</v>
      </c>
      <c r="P337" s="2" t="s">
        <v>35</v>
      </c>
      <c r="Q337" s="10" t="str">
        <f>VLOOKUP(A337,Status!A:B,2,0)</f>
        <v>Completed</v>
      </c>
      <c r="R337" s="2" t="s">
        <v>36</v>
      </c>
      <c r="S337" s="2">
        <v>1</v>
      </c>
      <c r="T337" s="2" t="s">
        <v>37</v>
      </c>
      <c r="U337" s="10" t="str">
        <f t="shared" si="35"/>
        <v>Mar</v>
      </c>
      <c r="V337" s="10">
        <f t="shared" si="34"/>
        <v>2025</v>
      </c>
      <c r="W337" t="e" cm="1">
        <f t="array" ref="W337">_xlfn.IFS(U337="January",1,U337="February",2,U337="March",3,U337="April",4,U337="May",5,U337="June",6,U337="July",7,U337="August",8,U337="September",9,U337="October",10,U337="November",11,U337="December",12)</f>
        <v>#N/A</v>
      </c>
    </row>
    <row r="338" spans="1:23" ht="15.75" customHeight="1" x14ac:dyDescent="0.25">
      <c r="A338" s="2" t="s">
        <v>1291</v>
      </c>
      <c r="B338" s="3">
        <v>45721.627256944441</v>
      </c>
      <c r="C338" s="2" t="s">
        <v>716</v>
      </c>
      <c r="D338" s="2" t="s">
        <v>66</v>
      </c>
      <c r="E338" s="2" t="s">
        <v>136</v>
      </c>
      <c r="F338" s="2" t="str" cm="1">
        <f t="array" ref="F338:G338">_xlfn.TEXTSPLIT(E338," - ")</f>
        <v>Tepung Terigu</v>
      </c>
      <c r="G338" s="2" t="str">
        <v>Brand B</v>
      </c>
      <c r="H338" s="5">
        <v>12000</v>
      </c>
      <c r="I338" s="2">
        <v>1</v>
      </c>
      <c r="J338" s="2">
        <v>0</v>
      </c>
      <c r="K338" s="8">
        <f t="shared" si="30"/>
        <v>12000</v>
      </c>
      <c r="L338" s="8">
        <f t="shared" si="31"/>
        <v>0</v>
      </c>
      <c r="M338" s="8">
        <f t="shared" si="32"/>
        <v>12000</v>
      </c>
      <c r="N338" s="5">
        <v>59000</v>
      </c>
      <c r="O338" s="8">
        <f t="shared" si="33"/>
        <v>71000</v>
      </c>
      <c r="P338" s="2" t="s">
        <v>63</v>
      </c>
      <c r="Q338" s="10" t="str">
        <f>VLOOKUP(A338,Status!A:B,2,0)</f>
        <v>Completed</v>
      </c>
      <c r="R338" s="2" t="s">
        <v>46</v>
      </c>
      <c r="S338" s="2">
        <v>3</v>
      </c>
      <c r="T338" s="2" t="s">
        <v>24</v>
      </c>
      <c r="U338" s="10" t="str">
        <f t="shared" si="35"/>
        <v>Mar</v>
      </c>
      <c r="V338" s="10">
        <f t="shared" si="34"/>
        <v>2025</v>
      </c>
      <c r="W338" t="e" cm="1">
        <f t="array" ref="W338">_xlfn.IFS(U338="January",1,U338="February",2,U338="March",3,U338="April",4,U338="May",5,U338="June",6,U338="July",7,U338="August",8,U338="September",9,U338="October",10,U338="November",11,U338="December",12)</f>
        <v>#N/A</v>
      </c>
    </row>
    <row r="339" spans="1:23" ht="15.75" customHeight="1" x14ac:dyDescent="0.25">
      <c r="A339" s="2" t="s">
        <v>1292</v>
      </c>
      <c r="B339" s="3">
        <v>45721.824803240743</v>
      </c>
      <c r="C339" s="2" t="s">
        <v>1293</v>
      </c>
      <c r="D339" s="2" t="s">
        <v>44</v>
      </c>
      <c r="E339" s="2" t="s">
        <v>110</v>
      </c>
      <c r="F339" s="2" t="str" cm="1">
        <f t="array" ref="F339:G339">_xlfn.TEXTSPLIT(E339," - ")</f>
        <v>Garam</v>
      </c>
      <c r="G339" s="2" t="str">
        <v>Brand C</v>
      </c>
      <c r="H339" s="5">
        <v>6000</v>
      </c>
      <c r="I339" s="2">
        <v>3</v>
      </c>
      <c r="J339" s="2">
        <v>0</v>
      </c>
      <c r="K339" s="8">
        <f t="shared" si="30"/>
        <v>18000</v>
      </c>
      <c r="L339" s="8">
        <f t="shared" si="31"/>
        <v>0</v>
      </c>
      <c r="M339" s="8">
        <f t="shared" si="32"/>
        <v>18000</v>
      </c>
      <c r="N339" s="5">
        <v>93000</v>
      </c>
      <c r="O339" s="8">
        <f t="shared" si="33"/>
        <v>111000</v>
      </c>
      <c r="P339" s="2" t="s">
        <v>35</v>
      </c>
      <c r="Q339" s="10" t="str">
        <f>VLOOKUP(A339,Status!A:B,2,0)</f>
        <v>Completed</v>
      </c>
      <c r="R339" s="2" t="s">
        <v>36</v>
      </c>
      <c r="S339" s="2">
        <v>2</v>
      </c>
      <c r="T339" s="2" t="s">
        <v>24</v>
      </c>
      <c r="U339" s="10" t="str">
        <f t="shared" si="35"/>
        <v>Mar</v>
      </c>
      <c r="V339" s="10">
        <f t="shared" si="34"/>
        <v>2025</v>
      </c>
      <c r="W339" t="e" cm="1">
        <f t="array" ref="W339">_xlfn.IFS(U339="January",1,U339="February",2,U339="March",3,U339="April",4,U339="May",5,U339="June",6,U339="July",7,U339="August",8,U339="September",9,U339="October",10,U339="November",11,U339="December",12)</f>
        <v>#N/A</v>
      </c>
    </row>
    <row r="340" spans="1:23" ht="15.75" customHeight="1" x14ac:dyDescent="0.25">
      <c r="A340" s="2" t="s">
        <v>1294</v>
      </c>
      <c r="B340" s="3">
        <v>45722.83053240741</v>
      </c>
      <c r="C340" s="2" t="s">
        <v>87</v>
      </c>
      <c r="D340" s="2" t="s">
        <v>80</v>
      </c>
      <c r="E340" s="2" t="s">
        <v>38</v>
      </c>
      <c r="F340" s="2" t="str" cm="1">
        <f t="array" ref="F340:G340">_xlfn.TEXTSPLIT(E340," - ")</f>
        <v>Telur Ayam</v>
      </c>
      <c r="G340" s="2" t="str">
        <v>Brand C</v>
      </c>
      <c r="H340" s="5">
        <v>28000</v>
      </c>
      <c r="I340" s="2">
        <v>2</v>
      </c>
      <c r="J340" s="2">
        <v>5</v>
      </c>
      <c r="K340" s="8">
        <f t="shared" si="30"/>
        <v>56000</v>
      </c>
      <c r="L340" s="8">
        <f t="shared" si="31"/>
        <v>2800</v>
      </c>
      <c r="M340" s="8">
        <f t="shared" si="32"/>
        <v>53200</v>
      </c>
      <c r="N340" s="5">
        <v>74000</v>
      </c>
      <c r="O340" s="8">
        <f t="shared" si="33"/>
        <v>127200</v>
      </c>
      <c r="P340" s="2" t="s">
        <v>22</v>
      </c>
      <c r="Q340" s="10" t="str">
        <f>VLOOKUP(A340,Status!A:B,2,0)</f>
        <v>Returned</v>
      </c>
      <c r="R340" s="2" t="s">
        <v>36</v>
      </c>
      <c r="S340" s="2">
        <v>2</v>
      </c>
      <c r="T340" s="2" t="s">
        <v>24</v>
      </c>
      <c r="U340" s="10" t="str">
        <f t="shared" si="35"/>
        <v>Mar</v>
      </c>
      <c r="V340" s="10">
        <f t="shared" si="34"/>
        <v>2025</v>
      </c>
      <c r="W340" t="e" cm="1">
        <f t="array" ref="W340">_xlfn.IFS(U340="January",1,U340="February",2,U340="March",3,U340="April",4,U340="May",5,U340="June",6,U340="July",7,U340="August",8,U340="September",9,U340="October",10,U340="November",11,U340="December",12)</f>
        <v>#N/A</v>
      </c>
    </row>
    <row r="341" spans="1:23" ht="15.75" customHeight="1" x14ac:dyDescent="0.25">
      <c r="A341" s="2" t="s">
        <v>1295</v>
      </c>
      <c r="B341" s="3">
        <v>45723.094317129631</v>
      </c>
      <c r="C341" s="2" t="s">
        <v>192</v>
      </c>
      <c r="D341" s="2" t="s">
        <v>107</v>
      </c>
      <c r="E341" s="2" t="s">
        <v>88</v>
      </c>
      <c r="F341" s="2" t="str" cm="1">
        <f t="array" ref="F341:G341">_xlfn.TEXTSPLIT(E341," - ")</f>
        <v>Beras</v>
      </c>
      <c r="G341" s="2" t="str">
        <v>Brand A</v>
      </c>
      <c r="H341" s="5">
        <v>14000</v>
      </c>
      <c r="I341" s="2">
        <v>4</v>
      </c>
      <c r="J341" s="2">
        <v>10</v>
      </c>
      <c r="K341" s="8">
        <f t="shared" si="30"/>
        <v>56000</v>
      </c>
      <c r="L341" s="8">
        <f t="shared" si="31"/>
        <v>5600</v>
      </c>
      <c r="M341" s="8">
        <f t="shared" si="32"/>
        <v>50400</v>
      </c>
      <c r="N341" s="5">
        <v>97000</v>
      </c>
      <c r="O341" s="8">
        <f t="shared" si="33"/>
        <v>147400</v>
      </c>
      <c r="P341" s="2" t="s">
        <v>35</v>
      </c>
      <c r="Q341" s="10" t="str">
        <f>VLOOKUP(A341,Status!A:B,2,0)</f>
        <v>Cancelled</v>
      </c>
      <c r="R341" s="2" t="s">
        <v>23</v>
      </c>
      <c r="S341" s="2">
        <v>5</v>
      </c>
      <c r="T341" s="2" t="s">
        <v>24</v>
      </c>
      <c r="U341" s="10" t="str">
        <f t="shared" si="35"/>
        <v>Mar</v>
      </c>
      <c r="V341" s="10">
        <f t="shared" si="34"/>
        <v>2025</v>
      </c>
      <c r="W341" t="e" cm="1">
        <f t="array" ref="W341">_xlfn.IFS(U341="January",1,U341="February",2,U341="March",3,U341="April",4,U341="May",5,U341="June",6,U341="July",7,U341="August",8,U341="September",9,U341="October",10,U341="November",11,U341="December",12)</f>
        <v>#N/A</v>
      </c>
    </row>
    <row r="342" spans="1:23" ht="15.75" customHeight="1" x14ac:dyDescent="0.25">
      <c r="A342" s="2" t="s">
        <v>1295</v>
      </c>
      <c r="B342" s="3">
        <v>45723.094317129631</v>
      </c>
      <c r="C342" s="2" t="s">
        <v>192</v>
      </c>
      <c r="D342" s="2" t="s">
        <v>107</v>
      </c>
      <c r="E342" s="2" t="s">
        <v>93</v>
      </c>
      <c r="F342" s="2" t="str" cm="1">
        <f t="array" ref="F342:G342">_xlfn.TEXTSPLIT(E342," - ")</f>
        <v>Telur Ayam</v>
      </c>
      <c r="G342" s="2" t="str">
        <v>Brand B</v>
      </c>
      <c r="H342" s="5">
        <v>25000</v>
      </c>
      <c r="I342" s="2">
        <v>5</v>
      </c>
      <c r="J342" s="2">
        <v>0</v>
      </c>
      <c r="K342" s="8">
        <f t="shared" si="30"/>
        <v>125000</v>
      </c>
      <c r="L342" s="8">
        <f t="shared" si="31"/>
        <v>0</v>
      </c>
      <c r="M342" s="8">
        <f t="shared" si="32"/>
        <v>125000</v>
      </c>
      <c r="N342" s="5">
        <v>0</v>
      </c>
      <c r="O342" s="8">
        <f t="shared" si="33"/>
        <v>125000</v>
      </c>
      <c r="P342" s="2" t="s">
        <v>35</v>
      </c>
      <c r="Q342" s="10" t="str">
        <f>VLOOKUP(A342,Status!A:B,2,0)</f>
        <v>Cancelled</v>
      </c>
      <c r="R342" s="2" t="s">
        <v>23</v>
      </c>
      <c r="S342" s="2">
        <v>5</v>
      </c>
      <c r="T342" s="2" t="s">
        <v>24</v>
      </c>
      <c r="U342" s="10" t="str">
        <f t="shared" si="35"/>
        <v>Mar</v>
      </c>
      <c r="V342" s="10">
        <f t="shared" si="34"/>
        <v>2025</v>
      </c>
      <c r="W342" t="e" cm="1">
        <f t="array" ref="W342">_xlfn.IFS(U342="January",1,U342="February",2,U342="March",3,U342="April",4,U342="May",5,U342="June",6,U342="July",7,U342="August",8,U342="September",9,U342="October",10,U342="November",11,U342="December",12)</f>
        <v>#N/A</v>
      </c>
    </row>
    <row r="343" spans="1:23" ht="15.75" customHeight="1" x14ac:dyDescent="0.25">
      <c r="A343" s="2" t="s">
        <v>1296</v>
      </c>
      <c r="B343" s="3">
        <v>45723.156400462962</v>
      </c>
      <c r="C343" s="2" t="s">
        <v>502</v>
      </c>
      <c r="D343" s="2" t="s">
        <v>107</v>
      </c>
      <c r="E343" s="2" t="s">
        <v>85</v>
      </c>
      <c r="F343" s="2" t="str" cm="1">
        <f t="array" ref="F343:G343">_xlfn.TEXTSPLIT(E343," - ")</f>
        <v>Daging Ayam</v>
      </c>
      <c r="G343" s="2" t="str">
        <v>Brand A</v>
      </c>
      <c r="H343" s="5">
        <v>35000</v>
      </c>
      <c r="I343" s="2">
        <v>3</v>
      </c>
      <c r="J343" s="2">
        <v>15</v>
      </c>
      <c r="K343" s="8">
        <f t="shared" si="30"/>
        <v>105000</v>
      </c>
      <c r="L343" s="8">
        <f t="shared" si="31"/>
        <v>15750</v>
      </c>
      <c r="M343" s="8">
        <f t="shared" si="32"/>
        <v>89250</v>
      </c>
      <c r="N343" s="5">
        <v>97000</v>
      </c>
      <c r="O343" s="8">
        <f t="shared" si="33"/>
        <v>186250</v>
      </c>
      <c r="P343" s="2" t="s">
        <v>29</v>
      </c>
      <c r="Q343" s="10" t="str">
        <f>VLOOKUP(A343,Status!A:B,2,0)</f>
        <v>Completed</v>
      </c>
      <c r="R343" s="2" t="s">
        <v>23</v>
      </c>
      <c r="S343" s="2">
        <v>2</v>
      </c>
      <c r="T343" s="2" t="s">
        <v>24</v>
      </c>
      <c r="U343" s="10" t="str">
        <f t="shared" si="35"/>
        <v>Mar</v>
      </c>
      <c r="V343" s="10">
        <f t="shared" si="34"/>
        <v>2025</v>
      </c>
      <c r="W343" t="e" cm="1">
        <f t="array" ref="W343">_xlfn.IFS(U343="January",1,U343="February",2,U343="March",3,U343="April",4,U343="May",5,U343="June",6,U343="July",7,U343="August",8,U343="September",9,U343="October",10,U343="November",11,U343="December",12)</f>
        <v>#N/A</v>
      </c>
    </row>
    <row r="344" spans="1:23" ht="15.75" customHeight="1" x14ac:dyDescent="0.25">
      <c r="A344" s="2" t="s">
        <v>1297</v>
      </c>
      <c r="B344" s="3">
        <v>45723.228993055563</v>
      </c>
      <c r="C344" s="2" t="s">
        <v>192</v>
      </c>
      <c r="D344" s="2" t="s">
        <v>107</v>
      </c>
      <c r="E344" s="2" t="s">
        <v>81</v>
      </c>
      <c r="F344" s="2" t="str" cm="1">
        <f t="array" ref="F344:G344">_xlfn.TEXTSPLIT(E344," - ")</f>
        <v>Minyak Goreng</v>
      </c>
      <c r="G344" s="2" t="str">
        <v>Brand B</v>
      </c>
      <c r="H344" s="5">
        <v>17000</v>
      </c>
      <c r="I344" s="2">
        <v>2</v>
      </c>
      <c r="J344" s="2">
        <v>10</v>
      </c>
      <c r="K344" s="8">
        <f t="shared" si="30"/>
        <v>34000</v>
      </c>
      <c r="L344" s="8">
        <f t="shared" si="31"/>
        <v>3400</v>
      </c>
      <c r="M344" s="8">
        <f t="shared" si="32"/>
        <v>30600</v>
      </c>
      <c r="N344" s="5">
        <v>97000</v>
      </c>
      <c r="O344" s="8">
        <f t="shared" si="33"/>
        <v>127600</v>
      </c>
      <c r="P344" s="2" t="s">
        <v>22</v>
      </c>
      <c r="Q344" s="10" t="str">
        <f>VLOOKUP(A344,Status!A:B,2,0)</f>
        <v>Returned</v>
      </c>
      <c r="R344" s="2" t="s">
        <v>23</v>
      </c>
      <c r="S344" s="2">
        <v>2</v>
      </c>
      <c r="T344" s="2" t="s">
        <v>24</v>
      </c>
      <c r="U344" s="10" t="str">
        <f t="shared" si="35"/>
        <v>Mar</v>
      </c>
      <c r="V344" s="10">
        <f t="shared" si="34"/>
        <v>2025</v>
      </c>
      <c r="W344" t="e" cm="1">
        <f t="array" ref="W344">_xlfn.IFS(U344="January",1,U344="February",2,U344="March",3,U344="April",4,U344="May",5,U344="June",6,U344="July",7,U344="August",8,U344="September",9,U344="October",10,U344="November",11,U344="December",12)</f>
        <v>#N/A</v>
      </c>
    </row>
    <row r="345" spans="1:23" ht="15.75" customHeight="1" x14ac:dyDescent="0.25">
      <c r="A345" s="2" t="s">
        <v>1297</v>
      </c>
      <c r="B345" s="3">
        <v>45723.228993055563</v>
      </c>
      <c r="C345" s="2" t="s">
        <v>192</v>
      </c>
      <c r="D345" s="2" t="s">
        <v>107</v>
      </c>
      <c r="E345" s="2" t="s">
        <v>41</v>
      </c>
      <c r="F345" s="2" t="str" cm="1">
        <f t="array" ref="F345:G345">_xlfn.TEXTSPLIT(E345," - ")</f>
        <v>Garam</v>
      </c>
      <c r="G345" s="2" t="str">
        <v>Brand A</v>
      </c>
      <c r="H345" s="5">
        <v>4000</v>
      </c>
      <c r="I345" s="2">
        <v>4</v>
      </c>
      <c r="J345" s="2">
        <v>0</v>
      </c>
      <c r="K345" s="8">
        <f t="shared" si="30"/>
        <v>16000</v>
      </c>
      <c r="L345" s="8">
        <f t="shared" si="31"/>
        <v>0</v>
      </c>
      <c r="M345" s="8">
        <f t="shared" si="32"/>
        <v>16000</v>
      </c>
      <c r="N345" s="5">
        <v>0</v>
      </c>
      <c r="O345" s="8">
        <f t="shared" si="33"/>
        <v>16000</v>
      </c>
      <c r="P345" s="2" t="s">
        <v>22</v>
      </c>
      <c r="Q345" s="10" t="str">
        <f>VLOOKUP(A345,Status!A:B,2,0)</f>
        <v>Returned</v>
      </c>
      <c r="R345" s="2" t="s">
        <v>23</v>
      </c>
      <c r="S345" s="2">
        <v>2</v>
      </c>
      <c r="T345" s="2" t="s">
        <v>24</v>
      </c>
      <c r="U345" s="10" t="str">
        <f t="shared" si="35"/>
        <v>Mar</v>
      </c>
      <c r="V345" s="10">
        <f t="shared" si="34"/>
        <v>2025</v>
      </c>
      <c r="W345" t="e" cm="1">
        <f t="array" ref="W345">_xlfn.IFS(U345="January",1,U345="February",2,U345="March",3,U345="April",4,U345="May",5,U345="June",6,U345="July",7,U345="August",8,U345="September",9,U345="October",10,U345="November",11,U345="December",12)</f>
        <v>#N/A</v>
      </c>
    </row>
    <row r="346" spans="1:23" ht="15.75" customHeight="1" x14ac:dyDescent="0.25">
      <c r="A346" s="2" t="s">
        <v>1298</v>
      </c>
      <c r="B346" s="3">
        <v>45723.521898148138</v>
      </c>
      <c r="C346" s="2" t="s">
        <v>638</v>
      </c>
      <c r="D346" s="2" t="s">
        <v>195</v>
      </c>
      <c r="E346" s="2" t="s">
        <v>104</v>
      </c>
      <c r="F346" s="2" t="str" cm="1">
        <f t="array" ref="F346:G346">_xlfn.TEXTSPLIT(E346," - ")</f>
        <v>Bawang Merah</v>
      </c>
      <c r="G346" s="2" t="str">
        <v>Brand A</v>
      </c>
      <c r="H346" s="5">
        <v>30000</v>
      </c>
      <c r="I346" s="2">
        <v>3</v>
      </c>
      <c r="J346" s="2">
        <v>5</v>
      </c>
      <c r="K346" s="8">
        <f t="shared" si="30"/>
        <v>90000</v>
      </c>
      <c r="L346" s="8">
        <f t="shared" si="31"/>
        <v>4500</v>
      </c>
      <c r="M346" s="8">
        <f t="shared" si="32"/>
        <v>85500</v>
      </c>
      <c r="N346" s="5">
        <v>87000</v>
      </c>
      <c r="O346" s="8">
        <f t="shared" si="33"/>
        <v>172500</v>
      </c>
      <c r="P346" s="2" t="s">
        <v>22</v>
      </c>
      <c r="Q346" s="10" t="str">
        <f>VLOOKUP(A346,Status!A:B,2,0)</f>
        <v>Cancelled</v>
      </c>
      <c r="R346" s="2" t="s">
        <v>82</v>
      </c>
      <c r="S346" s="2">
        <v>3</v>
      </c>
      <c r="T346" s="2" t="s">
        <v>37</v>
      </c>
      <c r="U346" s="10" t="str">
        <f t="shared" si="35"/>
        <v>Mar</v>
      </c>
      <c r="V346" s="10">
        <f t="shared" si="34"/>
        <v>2025</v>
      </c>
      <c r="W346" t="e" cm="1">
        <f t="array" ref="W346">_xlfn.IFS(U346="January",1,U346="February",2,U346="March",3,U346="April",4,U346="May",5,U346="June",6,U346="July",7,U346="August",8,U346="September",9,U346="October",10,U346="November",11,U346="December",12)</f>
        <v>#N/A</v>
      </c>
    </row>
    <row r="347" spans="1:23" ht="15.75" customHeight="1" x14ac:dyDescent="0.25">
      <c r="A347" s="2" t="s">
        <v>1299</v>
      </c>
      <c r="B347" s="3">
        <v>45723.540567129632</v>
      </c>
      <c r="C347" s="2" t="s">
        <v>1300</v>
      </c>
      <c r="D347" s="2" t="s">
        <v>262</v>
      </c>
      <c r="E347" s="2" t="s">
        <v>123</v>
      </c>
      <c r="F347" s="2" t="str" cm="1">
        <f t="array" ref="F347:G347">_xlfn.TEXTSPLIT(E347," - ")</f>
        <v>Telur Ayam</v>
      </c>
      <c r="G347" s="2" t="str">
        <v>Brand A</v>
      </c>
      <c r="H347" s="5">
        <v>22000</v>
      </c>
      <c r="I347" s="2">
        <v>3</v>
      </c>
      <c r="J347" s="2">
        <v>0</v>
      </c>
      <c r="K347" s="8">
        <f t="shared" si="30"/>
        <v>66000</v>
      </c>
      <c r="L347" s="8">
        <f t="shared" si="31"/>
        <v>0</v>
      </c>
      <c r="M347" s="8">
        <f t="shared" si="32"/>
        <v>66000</v>
      </c>
      <c r="N347" s="5">
        <v>18000</v>
      </c>
      <c r="O347" s="8">
        <f t="shared" si="33"/>
        <v>84000</v>
      </c>
      <c r="P347" s="2" t="s">
        <v>63</v>
      </c>
      <c r="Q347" s="10" t="str">
        <f>VLOOKUP(A347,Status!A:B,2,0)</f>
        <v>Completed</v>
      </c>
      <c r="R347" s="2" t="s">
        <v>30</v>
      </c>
      <c r="S347" s="2">
        <v>3</v>
      </c>
      <c r="T347" s="2" t="s">
        <v>24</v>
      </c>
      <c r="U347" s="10" t="str">
        <f t="shared" si="35"/>
        <v>Mar</v>
      </c>
      <c r="V347" s="10">
        <f t="shared" si="34"/>
        <v>2025</v>
      </c>
      <c r="W347" t="e" cm="1">
        <f t="array" ref="W347">_xlfn.IFS(U347="January",1,U347="February",2,U347="March",3,U347="April",4,U347="May",5,U347="June",6,U347="July",7,U347="August",8,U347="September",9,U347="October",10,U347="November",11,U347="December",12)</f>
        <v>#N/A</v>
      </c>
    </row>
    <row r="348" spans="1:23" ht="15.75" customHeight="1" x14ac:dyDescent="0.25">
      <c r="A348" s="2" t="s">
        <v>1301</v>
      </c>
      <c r="B348" s="3">
        <v>45723.839074074072</v>
      </c>
      <c r="C348" s="2" t="s">
        <v>157</v>
      </c>
      <c r="D348" s="2" t="s">
        <v>20</v>
      </c>
      <c r="E348" s="2" t="s">
        <v>67</v>
      </c>
      <c r="F348" s="2" t="str" cm="1">
        <f t="array" ref="F348:G348">_xlfn.TEXTSPLIT(E348," - ")</f>
        <v>Beras</v>
      </c>
      <c r="G348" s="2" t="str">
        <v>Brand B</v>
      </c>
      <c r="H348" s="5">
        <v>15000</v>
      </c>
      <c r="I348" s="2">
        <v>4</v>
      </c>
      <c r="J348" s="2">
        <v>10</v>
      </c>
      <c r="K348" s="8">
        <f t="shared" si="30"/>
        <v>60000</v>
      </c>
      <c r="L348" s="8">
        <f t="shared" si="31"/>
        <v>6000</v>
      </c>
      <c r="M348" s="8">
        <f t="shared" si="32"/>
        <v>54000</v>
      </c>
      <c r="N348" s="5">
        <v>15000</v>
      </c>
      <c r="O348" s="8">
        <f t="shared" si="33"/>
        <v>69000</v>
      </c>
      <c r="P348" s="2" t="s">
        <v>22</v>
      </c>
      <c r="Q348" s="10" t="str">
        <f>VLOOKUP(A348,Status!A:B,2,0)</f>
        <v>Completed</v>
      </c>
      <c r="R348" s="2" t="s">
        <v>82</v>
      </c>
      <c r="S348" s="2">
        <v>1</v>
      </c>
      <c r="T348" s="2" t="s">
        <v>24</v>
      </c>
      <c r="U348" s="10" t="str">
        <f t="shared" si="35"/>
        <v>Mar</v>
      </c>
      <c r="V348" s="10">
        <f t="shared" si="34"/>
        <v>2025</v>
      </c>
      <c r="W348" t="e" cm="1">
        <f t="array" ref="W348">_xlfn.IFS(U348="January",1,U348="February",2,U348="March",3,U348="April",4,U348="May",5,U348="June",6,U348="July",7,U348="August",8,U348="September",9,U348="October",10,U348="November",11,U348="December",12)</f>
        <v>#N/A</v>
      </c>
    </row>
    <row r="349" spans="1:23" ht="15.75" customHeight="1" x14ac:dyDescent="0.25">
      <c r="A349" s="2" t="s">
        <v>1302</v>
      </c>
      <c r="B349" s="3">
        <v>45724.429675925923</v>
      </c>
      <c r="C349" s="2" t="s">
        <v>165</v>
      </c>
      <c r="D349" s="2" t="s">
        <v>143</v>
      </c>
      <c r="E349" s="2" t="s">
        <v>62</v>
      </c>
      <c r="F349" s="2" t="str" cm="1">
        <f t="array" ref="F349:G349">_xlfn.TEXTSPLIT(E349," - ")</f>
        <v>Susu Bubuk</v>
      </c>
      <c r="G349" s="2" t="str">
        <v>Brand B</v>
      </c>
      <c r="H349" s="5">
        <v>50000</v>
      </c>
      <c r="I349" s="2">
        <v>3</v>
      </c>
      <c r="J349" s="2">
        <v>15</v>
      </c>
      <c r="K349" s="8">
        <f t="shared" si="30"/>
        <v>150000</v>
      </c>
      <c r="L349" s="8">
        <f t="shared" si="31"/>
        <v>22500</v>
      </c>
      <c r="M349" s="8">
        <f t="shared" si="32"/>
        <v>127500</v>
      </c>
      <c r="N349" s="5">
        <v>50000</v>
      </c>
      <c r="O349" s="8">
        <f t="shared" si="33"/>
        <v>177500</v>
      </c>
      <c r="P349" s="2" t="s">
        <v>22</v>
      </c>
      <c r="Q349" s="10" t="str">
        <f>VLOOKUP(A349,Status!A:B,2,0)</f>
        <v>Completed</v>
      </c>
      <c r="R349" s="2" t="s">
        <v>36</v>
      </c>
      <c r="S349" s="2">
        <v>1</v>
      </c>
      <c r="T349" s="2" t="s">
        <v>24</v>
      </c>
      <c r="U349" s="10" t="str">
        <f t="shared" si="35"/>
        <v>Mar</v>
      </c>
      <c r="V349" s="10">
        <f t="shared" si="34"/>
        <v>2025</v>
      </c>
      <c r="W349" t="e" cm="1">
        <f t="array" ref="W349">_xlfn.IFS(U349="January",1,U349="February",2,U349="March",3,U349="April",4,U349="May",5,U349="June",6,U349="July",7,U349="August",8,U349="September",9,U349="October",10,U349="November",11,U349="December",12)</f>
        <v>#N/A</v>
      </c>
    </row>
    <row r="350" spans="1:23" ht="15.75" customHeight="1" x14ac:dyDescent="0.25">
      <c r="A350" s="2" t="s">
        <v>1303</v>
      </c>
      <c r="B350" s="3">
        <v>45724.549745370372</v>
      </c>
      <c r="C350" s="2" t="s">
        <v>192</v>
      </c>
      <c r="D350" s="2" t="s">
        <v>107</v>
      </c>
      <c r="E350" s="2" t="s">
        <v>67</v>
      </c>
      <c r="F350" s="2" t="str" cm="1">
        <f t="array" ref="F350:G350">_xlfn.TEXTSPLIT(E350," - ")</f>
        <v>Beras</v>
      </c>
      <c r="G350" s="2" t="str">
        <v>Brand B</v>
      </c>
      <c r="H350" s="5">
        <v>15000</v>
      </c>
      <c r="I350" s="2">
        <v>1</v>
      </c>
      <c r="J350" s="2">
        <v>5</v>
      </c>
      <c r="K350" s="8">
        <f t="shared" si="30"/>
        <v>15000</v>
      </c>
      <c r="L350" s="8">
        <f t="shared" si="31"/>
        <v>750</v>
      </c>
      <c r="M350" s="8">
        <f t="shared" si="32"/>
        <v>14250</v>
      </c>
      <c r="N350" s="5">
        <v>97000</v>
      </c>
      <c r="O350" s="8">
        <f t="shared" si="33"/>
        <v>111250</v>
      </c>
      <c r="P350" s="2" t="s">
        <v>22</v>
      </c>
      <c r="Q350" s="10" t="str">
        <f>VLOOKUP(A350,Status!A:B,2,0)</f>
        <v>Completed</v>
      </c>
      <c r="R350" s="2" t="s">
        <v>82</v>
      </c>
      <c r="S350" s="2">
        <v>5</v>
      </c>
      <c r="T350" s="2" t="s">
        <v>24</v>
      </c>
      <c r="U350" s="10" t="str">
        <f t="shared" si="35"/>
        <v>Mar</v>
      </c>
      <c r="V350" s="10">
        <f t="shared" si="34"/>
        <v>2025</v>
      </c>
      <c r="W350" t="e" cm="1">
        <f t="array" ref="W350">_xlfn.IFS(U350="January",1,U350="February",2,U350="March",3,U350="April",4,U350="May",5,U350="June",6,U350="July",7,U350="August",8,U350="September",9,U350="October",10,U350="November",11,U350="December",12)</f>
        <v>#N/A</v>
      </c>
    </row>
    <row r="351" spans="1:23" ht="15.75" customHeight="1" x14ac:dyDescent="0.25">
      <c r="A351" s="2" t="s">
        <v>1304</v>
      </c>
      <c r="B351" s="3">
        <v>45724.994201388887</v>
      </c>
      <c r="C351" s="2" t="s">
        <v>197</v>
      </c>
      <c r="D351" s="2" t="s">
        <v>119</v>
      </c>
      <c r="E351" s="2" t="s">
        <v>123</v>
      </c>
      <c r="F351" s="2" t="str" cm="1">
        <f t="array" ref="F351:G351">_xlfn.TEXTSPLIT(E351," - ")</f>
        <v>Telur Ayam</v>
      </c>
      <c r="G351" s="2" t="str">
        <v>Brand A</v>
      </c>
      <c r="H351" s="5">
        <v>22000</v>
      </c>
      <c r="I351" s="2">
        <v>4</v>
      </c>
      <c r="J351" s="2">
        <v>5</v>
      </c>
      <c r="K351" s="8">
        <f t="shared" si="30"/>
        <v>88000</v>
      </c>
      <c r="L351" s="8">
        <f t="shared" si="31"/>
        <v>4400</v>
      </c>
      <c r="M351" s="8">
        <f t="shared" si="32"/>
        <v>83600</v>
      </c>
      <c r="N351" s="5">
        <v>0</v>
      </c>
      <c r="O351" s="8">
        <f t="shared" si="33"/>
        <v>83600</v>
      </c>
      <c r="P351" s="2" t="s">
        <v>22</v>
      </c>
      <c r="Q351" s="10" t="str">
        <f>VLOOKUP(A351,Status!A:B,2,0)</f>
        <v>Completed</v>
      </c>
      <c r="R351" s="2" t="s">
        <v>23</v>
      </c>
      <c r="S351" s="2">
        <v>2</v>
      </c>
      <c r="T351" s="2" t="s">
        <v>37</v>
      </c>
      <c r="U351" s="10" t="str">
        <f t="shared" si="35"/>
        <v>Mar</v>
      </c>
      <c r="V351" s="10">
        <f t="shared" si="34"/>
        <v>2025</v>
      </c>
      <c r="W351" t="e" cm="1">
        <f t="array" ref="W351">_xlfn.IFS(U351="January",1,U351="February",2,U351="March",3,U351="April",4,U351="May",5,U351="June",6,U351="July",7,U351="August",8,U351="September",9,U351="October",10,U351="November",11,U351="December",12)</f>
        <v>#N/A</v>
      </c>
    </row>
    <row r="352" spans="1:23" ht="15.75" customHeight="1" x14ac:dyDescent="0.25">
      <c r="A352" s="2" t="s">
        <v>1305</v>
      </c>
      <c r="B352" s="3">
        <v>45725.128101851849</v>
      </c>
      <c r="C352" s="2" t="s">
        <v>642</v>
      </c>
      <c r="D352" s="2" t="s">
        <v>160</v>
      </c>
      <c r="E352" s="2" t="s">
        <v>34</v>
      </c>
      <c r="F352" s="2" t="str" cm="1">
        <f t="array" ref="F352:G352">_xlfn.TEXTSPLIT(E352," - ")</f>
        <v>Minyak Goreng</v>
      </c>
      <c r="G352" s="2" t="str">
        <v>Brand A</v>
      </c>
      <c r="H352" s="5">
        <v>16000</v>
      </c>
      <c r="I352" s="2">
        <v>3</v>
      </c>
      <c r="J352" s="2">
        <v>20</v>
      </c>
      <c r="K352" s="8">
        <f t="shared" si="30"/>
        <v>48000</v>
      </c>
      <c r="L352" s="8">
        <f t="shared" si="31"/>
        <v>9600</v>
      </c>
      <c r="M352" s="8">
        <f t="shared" si="32"/>
        <v>38400</v>
      </c>
      <c r="N352" s="5">
        <v>68000</v>
      </c>
      <c r="O352" s="8">
        <f t="shared" si="33"/>
        <v>106400</v>
      </c>
      <c r="P352" s="2" t="s">
        <v>63</v>
      </c>
      <c r="Q352" s="10" t="str">
        <f>VLOOKUP(A352,Status!A:B,2,0)</f>
        <v>Completed</v>
      </c>
      <c r="R352" s="2" t="s">
        <v>30</v>
      </c>
      <c r="S352" s="2">
        <v>2</v>
      </c>
      <c r="T352" s="2" t="s">
        <v>24</v>
      </c>
      <c r="U352" s="10" t="str">
        <f t="shared" si="35"/>
        <v>Mar</v>
      </c>
      <c r="V352" s="10">
        <f t="shared" si="34"/>
        <v>2025</v>
      </c>
      <c r="W352" t="e" cm="1">
        <f t="array" ref="W352">_xlfn.IFS(U352="January",1,U352="February",2,U352="March",3,U352="April",4,U352="May",5,U352="June",6,U352="July",7,U352="August",8,U352="September",9,U352="October",10,U352="November",11,U352="December",12)</f>
        <v>#N/A</v>
      </c>
    </row>
    <row r="353" spans="1:23" ht="15.75" customHeight="1" x14ac:dyDescent="0.25">
      <c r="A353" s="2" t="s">
        <v>1306</v>
      </c>
      <c r="B353" s="3">
        <v>45725.204328703701</v>
      </c>
      <c r="C353" s="2" t="s">
        <v>446</v>
      </c>
      <c r="D353" s="2" t="s">
        <v>296</v>
      </c>
      <c r="E353" s="2" t="s">
        <v>34</v>
      </c>
      <c r="F353" s="2" t="str" cm="1">
        <f t="array" ref="F353:G353">_xlfn.TEXTSPLIT(E353," - ")</f>
        <v>Minyak Goreng</v>
      </c>
      <c r="G353" s="2" t="str">
        <v>Brand A</v>
      </c>
      <c r="H353" s="5">
        <v>16000</v>
      </c>
      <c r="I353" s="2">
        <v>1</v>
      </c>
      <c r="J353" s="2">
        <v>5</v>
      </c>
      <c r="K353" s="8">
        <f t="shared" si="30"/>
        <v>16000</v>
      </c>
      <c r="L353" s="8">
        <f t="shared" si="31"/>
        <v>800</v>
      </c>
      <c r="M353" s="8">
        <f t="shared" si="32"/>
        <v>15200</v>
      </c>
      <c r="N353" s="5">
        <v>79000</v>
      </c>
      <c r="O353" s="8">
        <f t="shared" si="33"/>
        <v>94200</v>
      </c>
      <c r="P353" s="2" t="s">
        <v>22</v>
      </c>
      <c r="Q353" s="10" t="str">
        <f>VLOOKUP(A353,Status!A:B,2,0)</f>
        <v>Completed</v>
      </c>
      <c r="R353" s="2" t="s">
        <v>30</v>
      </c>
      <c r="S353" s="2">
        <v>4</v>
      </c>
      <c r="T353" s="2" t="s">
        <v>37</v>
      </c>
      <c r="U353" s="10" t="str">
        <f t="shared" si="35"/>
        <v>Mar</v>
      </c>
      <c r="V353" s="10">
        <f t="shared" si="34"/>
        <v>2025</v>
      </c>
      <c r="W353" t="e" cm="1">
        <f t="array" ref="W353">_xlfn.IFS(U353="January",1,U353="February",2,U353="March",3,U353="April",4,U353="May",5,U353="June",6,U353="July",7,U353="August",8,U353="September",9,U353="October",10,U353="November",11,U353="December",12)</f>
        <v>#N/A</v>
      </c>
    </row>
    <row r="354" spans="1:23" ht="15.75" customHeight="1" x14ac:dyDescent="0.25">
      <c r="A354" s="2" t="s">
        <v>1307</v>
      </c>
      <c r="B354" s="3">
        <v>45725.31523148148</v>
      </c>
      <c r="C354" s="2" t="s">
        <v>499</v>
      </c>
      <c r="D354" s="2" t="s">
        <v>131</v>
      </c>
      <c r="E354" s="2" t="s">
        <v>38</v>
      </c>
      <c r="F354" s="2" t="str" cm="1">
        <f t="array" ref="F354:G354">_xlfn.TEXTSPLIT(E354," - ")</f>
        <v>Telur Ayam</v>
      </c>
      <c r="G354" s="2" t="str">
        <v>Brand C</v>
      </c>
      <c r="H354" s="5">
        <v>28000</v>
      </c>
      <c r="I354" s="2">
        <v>5</v>
      </c>
      <c r="J354" s="2">
        <v>5</v>
      </c>
      <c r="K354" s="8">
        <f t="shared" si="30"/>
        <v>140000</v>
      </c>
      <c r="L354" s="8">
        <f t="shared" si="31"/>
        <v>7000</v>
      </c>
      <c r="M354" s="8">
        <f t="shared" si="32"/>
        <v>133000</v>
      </c>
      <c r="N354" s="5">
        <v>59000</v>
      </c>
      <c r="O354" s="8">
        <f t="shared" si="33"/>
        <v>192000</v>
      </c>
      <c r="P354" s="2" t="s">
        <v>22</v>
      </c>
      <c r="Q354" s="10" t="str">
        <f>VLOOKUP(A354,Status!A:B,2,0)</f>
        <v>Completed</v>
      </c>
      <c r="R354" s="2" t="s">
        <v>82</v>
      </c>
      <c r="S354" s="2">
        <v>2</v>
      </c>
      <c r="T354" s="2" t="s">
        <v>24</v>
      </c>
      <c r="U354" s="10" t="str">
        <f t="shared" si="35"/>
        <v>Mar</v>
      </c>
      <c r="V354" s="10">
        <f t="shared" si="34"/>
        <v>2025</v>
      </c>
      <c r="W354" t="e" cm="1">
        <f t="array" ref="W354">_xlfn.IFS(U354="January",1,U354="February",2,U354="March",3,U354="April",4,U354="May",5,U354="June",6,U354="July",7,U354="August",8,U354="September",9,U354="October",10,U354="November",11,U354="December",12)</f>
        <v>#N/A</v>
      </c>
    </row>
    <row r="355" spans="1:23" ht="15.75" customHeight="1" x14ac:dyDescent="0.25">
      <c r="A355" s="2" t="s">
        <v>1308</v>
      </c>
      <c r="B355" s="3">
        <v>45725.410868055558</v>
      </c>
      <c r="C355" s="2" t="s">
        <v>846</v>
      </c>
      <c r="D355" s="2" t="s">
        <v>107</v>
      </c>
      <c r="E355" s="2" t="s">
        <v>138</v>
      </c>
      <c r="F355" s="2" t="str" cm="1">
        <f t="array" ref="F355:G355">_xlfn.TEXTSPLIT(E355," - ")</f>
        <v>Gula Pasir</v>
      </c>
      <c r="G355" s="2" t="str">
        <v>Brand B</v>
      </c>
      <c r="H355" s="5">
        <v>17000</v>
      </c>
      <c r="I355" s="2">
        <v>1</v>
      </c>
      <c r="J355" s="2">
        <v>20</v>
      </c>
      <c r="K355" s="8">
        <f t="shared" si="30"/>
        <v>17000</v>
      </c>
      <c r="L355" s="8">
        <f t="shared" si="31"/>
        <v>3400</v>
      </c>
      <c r="M355" s="8">
        <f t="shared" si="32"/>
        <v>13600</v>
      </c>
      <c r="N355" s="5">
        <v>97000</v>
      </c>
      <c r="O355" s="8">
        <f t="shared" si="33"/>
        <v>110600</v>
      </c>
      <c r="P355" s="2" t="s">
        <v>29</v>
      </c>
      <c r="Q355" s="10" t="str">
        <f>VLOOKUP(A355,Status!A:B,2,0)</f>
        <v>Completed</v>
      </c>
      <c r="R355" s="2" t="s">
        <v>46</v>
      </c>
      <c r="S355" s="2">
        <v>2</v>
      </c>
      <c r="T355" s="2" t="s">
        <v>24</v>
      </c>
      <c r="U355" s="10" t="str">
        <f t="shared" si="35"/>
        <v>Mar</v>
      </c>
      <c r="V355" s="10">
        <f t="shared" si="34"/>
        <v>2025</v>
      </c>
      <c r="W355" t="e" cm="1">
        <f t="array" ref="W355">_xlfn.IFS(U355="January",1,U355="February",2,U355="March",3,U355="April",4,U355="May",5,U355="June",6,U355="July",7,U355="August",8,U355="September",9,U355="October",10,U355="November",11,U355="December",12)</f>
        <v>#N/A</v>
      </c>
    </row>
    <row r="356" spans="1:23" ht="15.75" customHeight="1" x14ac:dyDescent="0.25">
      <c r="A356" s="2" t="s">
        <v>1309</v>
      </c>
      <c r="B356" s="3">
        <v>45725.501157407409</v>
      </c>
      <c r="C356" s="2" t="s">
        <v>19</v>
      </c>
      <c r="D356" s="2" t="s">
        <v>20</v>
      </c>
      <c r="E356" s="2" t="s">
        <v>21</v>
      </c>
      <c r="F356" s="2" t="str" cm="1">
        <f t="array" ref="F356:G356">_xlfn.TEXTSPLIT(E356," - ")</f>
        <v>Daging Ayam</v>
      </c>
      <c r="G356" s="2" t="str">
        <v>Brand C</v>
      </c>
      <c r="H356" s="5">
        <v>45000</v>
      </c>
      <c r="I356" s="2">
        <v>2</v>
      </c>
      <c r="J356" s="2">
        <v>20</v>
      </c>
      <c r="K356" s="8">
        <f t="shared" si="30"/>
        <v>90000</v>
      </c>
      <c r="L356" s="8">
        <f t="shared" si="31"/>
        <v>18000</v>
      </c>
      <c r="M356" s="8">
        <f t="shared" si="32"/>
        <v>72000</v>
      </c>
      <c r="N356" s="5">
        <v>15000</v>
      </c>
      <c r="O356" s="8">
        <f t="shared" si="33"/>
        <v>87000</v>
      </c>
      <c r="P356" s="2" t="s">
        <v>63</v>
      </c>
      <c r="Q356" s="10" t="str">
        <f>VLOOKUP(A356,Status!A:B,2,0)</f>
        <v>Completed</v>
      </c>
      <c r="R356" s="2" t="s">
        <v>46</v>
      </c>
      <c r="S356" s="2">
        <v>5</v>
      </c>
      <c r="T356" s="2" t="s">
        <v>24</v>
      </c>
      <c r="U356" s="10" t="str">
        <f t="shared" si="35"/>
        <v>Mar</v>
      </c>
      <c r="V356" s="10">
        <f t="shared" si="34"/>
        <v>2025</v>
      </c>
      <c r="W356" t="e" cm="1">
        <f t="array" ref="W356">_xlfn.IFS(U356="January",1,U356="February",2,U356="March",3,U356="April",4,U356="May",5,U356="June",6,U356="July",7,U356="August",8,U356="September",9,U356="October",10,U356="November",11,U356="December",12)</f>
        <v>#N/A</v>
      </c>
    </row>
    <row r="357" spans="1:23" ht="15.75" customHeight="1" x14ac:dyDescent="0.25">
      <c r="A357" s="2" t="s">
        <v>1310</v>
      </c>
      <c r="B357" s="3">
        <v>45725.740613425929</v>
      </c>
      <c r="C357" s="2" t="s">
        <v>1311</v>
      </c>
      <c r="D357" s="2" t="s">
        <v>49</v>
      </c>
      <c r="E357" s="2" t="s">
        <v>45</v>
      </c>
      <c r="F357" s="2" t="str" cm="1">
        <f t="array" ref="F357:G357">_xlfn.TEXTSPLIT(E357," - ")</f>
        <v>Daging Ayam</v>
      </c>
      <c r="G357" s="2" t="str">
        <v>Brand B</v>
      </c>
      <c r="H357" s="5">
        <v>40000</v>
      </c>
      <c r="I357" s="2">
        <v>4</v>
      </c>
      <c r="J357" s="2">
        <v>10</v>
      </c>
      <c r="K357" s="8">
        <f t="shared" si="30"/>
        <v>160000</v>
      </c>
      <c r="L357" s="8">
        <f t="shared" si="31"/>
        <v>16000</v>
      </c>
      <c r="M357" s="8">
        <f t="shared" si="32"/>
        <v>144000</v>
      </c>
      <c r="N357" s="5">
        <v>43000</v>
      </c>
      <c r="O357" s="8">
        <f t="shared" si="33"/>
        <v>187000</v>
      </c>
      <c r="P357" s="2" t="s">
        <v>35</v>
      </c>
      <c r="Q357" s="10" t="str">
        <f>VLOOKUP(A357,Status!A:B,2,0)</f>
        <v>Completed</v>
      </c>
      <c r="R357" s="2" t="s">
        <v>30</v>
      </c>
      <c r="S357" s="2">
        <v>2</v>
      </c>
      <c r="T357" s="2" t="s">
        <v>24</v>
      </c>
      <c r="U357" s="10" t="str">
        <f t="shared" si="35"/>
        <v>Mar</v>
      </c>
      <c r="V357" s="10">
        <f t="shared" si="34"/>
        <v>2025</v>
      </c>
      <c r="W357" t="e" cm="1">
        <f t="array" ref="W357">_xlfn.IFS(U357="January",1,U357="February",2,U357="March",3,U357="April",4,U357="May",5,U357="June",6,U357="July",7,U357="August",8,U357="September",9,U357="October",10,U357="November",11,U357="December",12)</f>
        <v>#N/A</v>
      </c>
    </row>
    <row r="358" spans="1:23" ht="15.75" customHeight="1" x14ac:dyDescent="0.25">
      <c r="A358" s="2" t="s">
        <v>1312</v>
      </c>
      <c r="B358" s="3">
        <v>45725.995694444442</v>
      </c>
      <c r="C358" s="2" t="s">
        <v>1313</v>
      </c>
      <c r="D358" s="2" t="s">
        <v>103</v>
      </c>
      <c r="E358" s="2" t="s">
        <v>186</v>
      </c>
      <c r="F358" s="2" t="str" cm="1">
        <f t="array" ref="F358:G358">_xlfn.TEXTSPLIT(E358," - ")</f>
        <v>Susu Bubuk</v>
      </c>
      <c r="G358" s="2" t="str">
        <v>Brand A</v>
      </c>
      <c r="H358" s="5">
        <v>45000</v>
      </c>
      <c r="I358" s="2">
        <v>5</v>
      </c>
      <c r="J358" s="2">
        <v>5</v>
      </c>
      <c r="K358" s="8">
        <f t="shared" si="30"/>
        <v>225000</v>
      </c>
      <c r="L358" s="8">
        <f t="shared" si="31"/>
        <v>11250</v>
      </c>
      <c r="M358" s="8">
        <f t="shared" si="32"/>
        <v>213750</v>
      </c>
      <c r="N358" s="5">
        <v>85000</v>
      </c>
      <c r="O358" s="8">
        <f t="shared" si="33"/>
        <v>298750</v>
      </c>
      <c r="P358" s="2" t="s">
        <v>35</v>
      </c>
      <c r="Q358" s="10" t="str">
        <f>VLOOKUP(A358,Status!A:B,2,0)</f>
        <v>Returned</v>
      </c>
      <c r="R358" s="2" t="s">
        <v>23</v>
      </c>
      <c r="S358" s="2">
        <v>2</v>
      </c>
      <c r="T358" s="2" t="s">
        <v>24</v>
      </c>
      <c r="U358" s="10" t="str">
        <f t="shared" si="35"/>
        <v>Mar</v>
      </c>
      <c r="V358" s="10">
        <f t="shared" si="34"/>
        <v>2025</v>
      </c>
      <c r="W358" t="e" cm="1">
        <f t="array" ref="W358">_xlfn.IFS(U358="January",1,U358="February",2,U358="March",3,U358="April",4,U358="May",5,U358="June",6,U358="July",7,U358="August",8,U358="September",9,U358="October",10,U358="November",11,U358="December",12)</f>
        <v>#N/A</v>
      </c>
    </row>
    <row r="359" spans="1:23" ht="15.75" customHeight="1" x14ac:dyDescent="0.25">
      <c r="A359" s="2" t="s">
        <v>1314</v>
      </c>
      <c r="B359" s="3">
        <v>45726.032893518517</v>
      </c>
      <c r="C359" s="2" t="s">
        <v>1035</v>
      </c>
      <c r="D359" s="2" t="s">
        <v>66</v>
      </c>
      <c r="E359" s="2" t="s">
        <v>21</v>
      </c>
      <c r="F359" s="2" t="str" cm="1">
        <f t="array" ref="F359:G359">_xlfn.TEXTSPLIT(E359," - ")</f>
        <v>Daging Ayam</v>
      </c>
      <c r="G359" s="2" t="str">
        <v>Brand C</v>
      </c>
      <c r="H359" s="5">
        <v>45000</v>
      </c>
      <c r="I359" s="2">
        <v>4</v>
      </c>
      <c r="J359" s="2">
        <v>15</v>
      </c>
      <c r="K359" s="8">
        <f t="shared" si="30"/>
        <v>180000</v>
      </c>
      <c r="L359" s="8">
        <f t="shared" si="31"/>
        <v>27000</v>
      </c>
      <c r="M359" s="8">
        <f t="shared" si="32"/>
        <v>153000</v>
      </c>
      <c r="N359" s="5">
        <v>59000</v>
      </c>
      <c r="O359" s="8">
        <f t="shared" si="33"/>
        <v>212000</v>
      </c>
      <c r="P359" s="2" t="s">
        <v>29</v>
      </c>
      <c r="Q359" s="10" t="str">
        <f>VLOOKUP(A359,Status!A:B,2,0)</f>
        <v>Completed</v>
      </c>
      <c r="R359" s="2" t="s">
        <v>23</v>
      </c>
      <c r="S359" s="2">
        <v>1</v>
      </c>
      <c r="T359" s="2" t="s">
        <v>24</v>
      </c>
      <c r="U359" s="10" t="str">
        <f t="shared" si="35"/>
        <v>Mar</v>
      </c>
      <c r="V359" s="10">
        <f t="shared" si="34"/>
        <v>2025</v>
      </c>
      <c r="W359" t="e" cm="1">
        <f t="array" ref="W359">_xlfn.IFS(U359="January",1,U359="February",2,U359="March",3,U359="April",4,U359="May",5,U359="June",6,U359="July",7,U359="August",8,U359="September",9,U359="October",10,U359="November",11,U359="December",12)</f>
        <v>#N/A</v>
      </c>
    </row>
    <row r="360" spans="1:23" ht="15.75" customHeight="1" x14ac:dyDescent="0.25">
      <c r="A360" s="2" t="s">
        <v>1315</v>
      </c>
      <c r="B360" s="3">
        <v>45726.272233796299</v>
      </c>
      <c r="C360" s="2" t="s">
        <v>237</v>
      </c>
      <c r="D360" s="2" t="s">
        <v>238</v>
      </c>
      <c r="E360" s="2" t="s">
        <v>58</v>
      </c>
      <c r="F360" s="2" t="str" cm="1">
        <f t="array" ref="F360:G360">_xlfn.TEXTSPLIT(E360," - ")</f>
        <v>Gula Pasir</v>
      </c>
      <c r="G360" s="2" t="str">
        <v>Brand A</v>
      </c>
      <c r="H360" s="5">
        <v>16000</v>
      </c>
      <c r="I360" s="2">
        <v>3</v>
      </c>
      <c r="J360" s="2">
        <v>10</v>
      </c>
      <c r="K360" s="8">
        <f t="shared" si="30"/>
        <v>48000</v>
      </c>
      <c r="L360" s="8">
        <f t="shared" si="31"/>
        <v>4800</v>
      </c>
      <c r="M360" s="8">
        <f t="shared" si="32"/>
        <v>43200</v>
      </c>
      <c r="N360" s="5">
        <v>28000</v>
      </c>
      <c r="O360" s="8">
        <f t="shared" si="33"/>
        <v>71200</v>
      </c>
      <c r="P360" s="2" t="s">
        <v>29</v>
      </c>
      <c r="Q360" s="10" t="str">
        <f>VLOOKUP(A360,Status!A:B,2,0)</f>
        <v>Completed</v>
      </c>
      <c r="R360" s="2" t="s">
        <v>30</v>
      </c>
      <c r="S360" s="2">
        <v>4</v>
      </c>
      <c r="T360" s="2" t="s">
        <v>24</v>
      </c>
      <c r="U360" s="10" t="str">
        <f t="shared" si="35"/>
        <v>Mar</v>
      </c>
      <c r="V360" s="10">
        <f t="shared" si="34"/>
        <v>2025</v>
      </c>
      <c r="W360" t="e" cm="1">
        <f t="array" ref="W360">_xlfn.IFS(U360="January",1,U360="February",2,U360="March",3,U360="April",4,U360="May",5,U360="June",6,U360="July",7,U360="August",8,U360="September",9,U360="October",10,U360="November",11,U360="December",12)</f>
        <v>#N/A</v>
      </c>
    </row>
    <row r="361" spans="1:23" ht="15.75" customHeight="1" x14ac:dyDescent="0.25">
      <c r="A361" s="2" t="s">
        <v>1316</v>
      </c>
      <c r="B361" s="3">
        <v>45726.737812500003</v>
      </c>
      <c r="C361" s="2" t="s">
        <v>1317</v>
      </c>
      <c r="D361" s="2" t="s">
        <v>113</v>
      </c>
      <c r="E361" s="2" t="s">
        <v>62</v>
      </c>
      <c r="F361" s="2" t="str" cm="1">
        <f t="array" ref="F361:G361">_xlfn.TEXTSPLIT(E361," - ")</f>
        <v>Susu Bubuk</v>
      </c>
      <c r="G361" s="2" t="str">
        <v>Brand B</v>
      </c>
      <c r="H361" s="5">
        <v>50000</v>
      </c>
      <c r="I361" s="2">
        <v>3</v>
      </c>
      <c r="J361" s="2">
        <v>15</v>
      </c>
      <c r="K361" s="8">
        <f t="shared" si="30"/>
        <v>150000</v>
      </c>
      <c r="L361" s="8">
        <f t="shared" si="31"/>
        <v>22500</v>
      </c>
      <c r="M361" s="8">
        <f t="shared" si="32"/>
        <v>127500</v>
      </c>
      <c r="N361" s="5">
        <v>18000</v>
      </c>
      <c r="O361" s="8">
        <f t="shared" si="33"/>
        <v>145500</v>
      </c>
      <c r="P361" s="2" t="s">
        <v>35</v>
      </c>
      <c r="Q361" s="10" t="str">
        <f>VLOOKUP(A361,Status!A:B,2,0)</f>
        <v>Returned</v>
      </c>
      <c r="R361" s="2" t="s">
        <v>82</v>
      </c>
      <c r="S361" s="2">
        <v>2</v>
      </c>
      <c r="T361" s="2" t="s">
        <v>37</v>
      </c>
      <c r="U361" s="10" t="str">
        <f t="shared" si="35"/>
        <v>Mar</v>
      </c>
      <c r="V361" s="10">
        <f t="shared" si="34"/>
        <v>2025</v>
      </c>
      <c r="W361" t="e" cm="1">
        <f t="array" ref="W361">_xlfn.IFS(U361="January",1,U361="February",2,U361="March",3,U361="April",4,U361="May",5,U361="June",6,U361="July",7,U361="August",8,U361="September",9,U361="October",10,U361="November",11,U361="December",12)</f>
        <v>#N/A</v>
      </c>
    </row>
    <row r="362" spans="1:23" ht="15.75" customHeight="1" x14ac:dyDescent="0.25">
      <c r="A362" s="2" t="s">
        <v>1318</v>
      </c>
      <c r="B362" s="3">
        <v>45726.9840625</v>
      </c>
      <c r="C362" s="2" t="s">
        <v>359</v>
      </c>
      <c r="D362" s="2" t="s">
        <v>70</v>
      </c>
      <c r="E362" s="2" t="s">
        <v>110</v>
      </c>
      <c r="F362" s="2" t="str" cm="1">
        <f t="array" ref="F362:G362">_xlfn.TEXTSPLIT(E362," - ")</f>
        <v>Garam</v>
      </c>
      <c r="G362" s="2" t="str">
        <v>Brand C</v>
      </c>
      <c r="H362" s="5">
        <v>6000</v>
      </c>
      <c r="I362" s="2">
        <v>4</v>
      </c>
      <c r="J362" s="2">
        <v>0</v>
      </c>
      <c r="K362" s="8">
        <f t="shared" si="30"/>
        <v>24000</v>
      </c>
      <c r="L362" s="8">
        <f t="shared" si="31"/>
        <v>0</v>
      </c>
      <c r="M362" s="8">
        <f t="shared" si="32"/>
        <v>24000</v>
      </c>
      <c r="N362" s="5">
        <v>89000</v>
      </c>
      <c r="O362" s="8">
        <f t="shared" si="33"/>
        <v>113000</v>
      </c>
      <c r="P362" s="2" t="s">
        <v>35</v>
      </c>
      <c r="Q362" s="10" t="str">
        <f>VLOOKUP(A362,Status!A:B,2,0)</f>
        <v>Completed</v>
      </c>
      <c r="R362" s="2" t="s">
        <v>30</v>
      </c>
      <c r="S362" s="2">
        <v>1</v>
      </c>
      <c r="T362" s="2" t="s">
        <v>24</v>
      </c>
      <c r="U362" s="10" t="str">
        <f t="shared" si="35"/>
        <v>Mar</v>
      </c>
      <c r="V362" s="10">
        <f t="shared" si="34"/>
        <v>2025</v>
      </c>
      <c r="W362" t="e" cm="1">
        <f t="array" ref="W362">_xlfn.IFS(U362="January",1,U362="February",2,U362="March",3,U362="April",4,U362="May",5,U362="June",6,U362="July",7,U362="August",8,U362="September",9,U362="October",10,U362="November",11,U362="December",12)</f>
        <v>#N/A</v>
      </c>
    </row>
    <row r="363" spans="1:23" ht="15.75" customHeight="1" x14ac:dyDescent="0.25">
      <c r="A363" s="2" t="s">
        <v>1319</v>
      </c>
      <c r="B363" s="3">
        <v>45727.215324074074</v>
      </c>
      <c r="C363" s="2" t="s">
        <v>959</v>
      </c>
      <c r="D363" s="2" t="s">
        <v>182</v>
      </c>
      <c r="E363" s="2" t="s">
        <v>54</v>
      </c>
      <c r="F363" s="2" t="str" cm="1">
        <f t="array" ref="F363:G363">_xlfn.TEXTSPLIT(E363," - ")</f>
        <v>Beras</v>
      </c>
      <c r="G363" s="2" t="str">
        <v>Brand C</v>
      </c>
      <c r="H363" s="5">
        <v>16000</v>
      </c>
      <c r="I363" s="2">
        <v>5</v>
      </c>
      <c r="J363" s="2">
        <v>20</v>
      </c>
      <c r="K363" s="8">
        <f t="shared" si="30"/>
        <v>80000</v>
      </c>
      <c r="L363" s="8">
        <f t="shared" si="31"/>
        <v>16000</v>
      </c>
      <c r="M363" s="8">
        <f t="shared" si="32"/>
        <v>64000</v>
      </c>
      <c r="N363" s="5">
        <v>48000</v>
      </c>
      <c r="O363" s="8">
        <f t="shared" si="33"/>
        <v>112000</v>
      </c>
      <c r="P363" s="2" t="s">
        <v>29</v>
      </c>
      <c r="Q363" s="10" t="str">
        <f>VLOOKUP(A363,Status!A:B,2,0)</f>
        <v>Completed</v>
      </c>
      <c r="R363" s="2" t="s">
        <v>82</v>
      </c>
      <c r="S363" s="2">
        <v>1</v>
      </c>
      <c r="T363" s="2" t="s">
        <v>24</v>
      </c>
      <c r="U363" s="10" t="str">
        <f t="shared" si="35"/>
        <v>Mar</v>
      </c>
      <c r="V363" s="10">
        <f t="shared" si="34"/>
        <v>2025</v>
      </c>
      <c r="W363" t="e" cm="1">
        <f t="array" ref="W363">_xlfn.IFS(U363="January",1,U363="February",2,U363="March",3,U363="April",4,U363="May",5,U363="June",6,U363="July",7,U363="August",8,U363="September",9,U363="October",10,U363="November",11,U363="December",12)</f>
        <v>#N/A</v>
      </c>
    </row>
    <row r="364" spans="1:23" ht="15.75" customHeight="1" x14ac:dyDescent="0.25">
      <c r="A364" s="2" t="s">
        <v>1319</v>
      </c>
      <c r="B364" s="3">
        <v>45727.215324074074</v>
      </c>
      <c r="C364" s="2" t="s">
        <v>959</v>
      </c>
      <c r="D364" s="2" t="s">
        <v>182</v>
      </c>
      <c r="E364" s="2" t="s">
        <v>50</v>
      </c>
      <c r="F364" s="2" t="str" cm="1">
        <f t="array" ref="F364:G364">_xlfn.TEXTSPLIT(E364," - ")</f>
        <v>Tepung Terigu</v>
      </c>
      <c r="G364" s="2" t="str">
        <v>Brand C</v>
      </c>
      <c r="H364" s="5">
        <v>14000</v>
      </c>
      <c r="I364" s="2">
        <v>3</v>
      </c>
      <c r="J364" s="2">
        <v>20</v>
      </c>
      <c r="K364" s="8">
        <f t="shared" si="30"/>
        <v>42000</v>
      </c>
      <c r="L364" s="8">
        <f t="shared" si="31"/>
        <v>8400</v>
      </c>
      <c r="M364" s="8">
        <f t="shared" si="32"/>
        <v>33600</v>
      </c>
      <c r="N364" s="5">
        <v>0</v>
      </c>
      <c r="O364" s="8">
        <f t="shared" si="33"/>
        <v>33600</v>
      </c>
      <c r="P364" s="2" t="s">
        <v>29</v>
      </c>
      <c r="Q364" s="10" t="str">
        <f>VLOOKUP(A364,Status!A:B,2,0)</f>
        <v>Completed</v>
      </c>
      <c r="R364" s="2" t="s">
        <v>82</v>
      </c>
      <c r="S364" s="2">
        <v>1</v>
      </c>
      <c r="T364" s="2" t="s">
        <v>24</v>
      </c>
      <c r="U364" s="10" t="str">
        <f t="shared" si="35"/>
        <v>Mar</v>
      </c>
      <c r="V364" s="10">
        <f t="shared" si="34"/>
        <v>2025</v>
      </c>
      <c r="W364" t="e" cm="1">
        <f t="array" ref="W364">_xlfn.IFS(U364="January",1,U364="February",2,U364="March",3,U364="April",4,U364="May",5,U364="June",6,U364="July",7,U364="August",8,U364="September",9,U364="October",10,U364="November",11,U364="December",12)</f>
        <v>#N/A</v>
      </c>
    </row>
    <row r="365" spans="1:23" ht="15.75" customHeight="1" x14ac:dyDescent="0.25">
      <c r="A365" s="2" t="s">
        <v>1320</v>
      </c>
      <c r="B365" s="3">
        <v>45727.299363425933</v>
      </c>
      <c r="C365" s="2" t="s">
        <v>1321</v>
      </c>
      <c r="D365" s="2" t="s">
        <v>113</v>
      </c>
      <c r="E365" s="2" t="s">
        <v>186</v>
      </c>
      <c r="F365" s="2" t="str" cm="1">
        <f t="array" ref="F365:G365">_xlfn.TEXTSPLIT(E365," - ")</f>
        <v>Susu Bubuk</v>
      </c>
      <c r="G365" s="2" t="str">
        <v>Brand A</v>
      </c>
      <c r="H365" s="5">
        <v>45000</v>
      </c>
      <c r="I365" s="2">
        <v>5</v>
      </c>
      <c r="J365" s="2">
        <v>5</v>
      </c>
      <c r="K365" s="8">
        <f t="shared" si="30"/>
        <v>225000</v>
      </c>
      <c r="L365" s="8">
        <f t="shared" si="31"/>
        <v>11250</v>
      </c>
      <c r="M365" s="8">
        <f t="shared" si="32"/>
        <v>213750</v>
      </c>
      <c r="N365" s="5">
        <v>18000</v>
      </c>
      <c r="O365" s="8">
        <f t="shared" si="33"/>
        <v>231750</v>
      </c>
      <c r="P365" s="2" t="s">
        <v>63</v>
      </c>
      <c r="Q365" s="10" t="str">
        <f>VLOOKUP(A365,Status!A:B,2,0)</f>
        <v>Completed</v>
      </c>
      <c r="R365" s="2" t="s">
        <v>46</v>
      </c>
      <c r="S365" s="2">
        <v>4</v>
      </c>
      <c r="T365" s="2" t="s">
        <v>24</v>
      </c>
      <c r="U365" s="10" t="str">
        <f t="shared" si="35"/>
        <v>Mar</v>
      </c>
      <c r="V365" s="10">
        <f t="shared" si="34"/>
        <v>2025</v>
      </c>
      <c r="W365" t="e" cm="1">
        <f t="array" ref="W365">_xlfn.IFS(U365="January",1,U365="February",2,U365="March",3,U365="April",4,U365="May",5,U365="June",6,U365="July",7,U365="August",8,U365="September",9,U365="October",10,U365="November",11,U365="December",12)</f>
        <v>#N/A</v>
      </c>
    </row>
    <row r="366" spans="1:23" ht="15.75" customHeight="1" x14ac:dyDescent="0.25">
      <c r="A366" s="2" t="s">
        <v>1322</v>
      </c>
      <c r="B366" s="3">
        <v>45727.602858796286</v>
      </c>
      <c r="C366" s="2" t="s">
        <v>1323</v>
      </c>
      <c r="D366" s="2" t="s">
        <v>74</v>
      </c>
      <c r="E366" s="2" t="s">
        <v>174</v>
      </c>
      <c r="F366" s="2" t="str" cm="1">
        <f t="array" ref="F366:G366">_xlfn.TEXTSPLIT(E366," - ")</f>
        <v>Tepung Terigu</v>
      </c>
      <c r="G366" s="2" t="str">
        <v>Brand A</v>
      </c>
      <c r="H366" s="5">
        <v>10000</v>
      </c>
      <c r="I366" s="2">
        <v>5</v>
      </c>
      <c r="J366" s="2">
        <v>20</v>
      </c>
      <c r="K366" s="8">
        <f t="shared" si="30"/>
        <v>50000</v>
      </c>
      <c r="L366" s="8">
        <f t="shared" si="31"/>
        <v>10000</v>
      </c>
      <c r="M366" s="8">
        <f t="shared" si="32"/>
        <v>40000</v>
      </c>
      <c r="N366" s="5">
        <v>87000</v>
      </c>
      <c r="O366" s="8">
        <f t="shared" si="33"/>
        <v>127000</v>
      </c>
      <c r="P366" s="2" t="s">
        <v>35</v>
      </c>
      <c r="Q366" s="10" t="str">
        <f>VLOOKUP(A366,Status!A:B,2,0)</f>
        <v>Completed</v>
      </c>
      <c r="R366" s="2" t="s">
        <v>23</v>
      </c>
      <c r="S366" s="2">
        <v>5</v>
      </c>
      <c r="T366" s="2" t="s">
        <v>24</v>
      </c>
      <c r="U366" s="10" t="str">
        <f t="shared" si="35"/>
        <v>Mar</v>
      </c>
      <c r="V366" s="10">
        <f t="shared" si="34"/>
        <v>2025</v>
      </c>
      <c r="W366" t="e" cm="1">
        <f t="array" ref="W366">_xlfn.IFS(U366="January",1,U366="February",2,U366="March",3,U366="April",4,U366="May",5,U366="June",6,U366="July",7,U366="August",8,U366="September",9,U366="October",10,U366="November",11,U366="December",12)</f>
        <v>#N/A</v>
      </c>
    </row>
    <row r="367" spans="1:23" ht="15.75" customHeight="1" x14ac:dyDescent="0.25">
      <c r="A367" s="2" t="s">
        <v>1324</v>
      </c>
      <c r="B367" s="3">
        <v>45727.7344212963</v>
      </c>
      <c r="C367" s="2" t="s">
        <v>150</v>
      </c>
      <c r="D367" s="2" t="s">
        <v>151</v>
      </c>
      <c r="E367" s="2" t="s">
        <v>138</v>
      </c>
      <c r="F367" s="2" t="str" cm="1">
        <f t="array" ref="F367:G367">_xlfn.TEXTSPLIT(E367," - ")</f>
        <v>Gula Pasir</v>
      </c>
      <c r="G367" s="2" t="str">
        <v>Brand B</v>
      </c>
      <c r="H367" s="5">
        <v>17000</v>
      </c>
      <c r="I367" s="2">
        <v>3</v>
      </c>
      <c r="J367" s="2">
        <v>20</v>
      </c>
      <c r="K367" s="8">
        <f t="shared" si="30"/>
        <v>51000</v>
      </c>
      <c r="L367" s="8">
        <f t="shared" si="31"/>
        <v>10200</v>
      </c>
      <c r="M367" s="8">
        <f t="shared" si="32"/>
        <v>40800</v>
      </c>
      <c r="N367" s="5">
        <v>55000</v>
      </c>
      <c r="O367" s="8">
        <f t="shared" si="33"/>
        <v>95800</v>
      </c>
      <c r="P367" s="2" t="s">
        <v>22</v>
      </c>
      <c r="Q367" s="10" t="str">
        <f>VLOOKUP(A367,Status!A:B,2,0)</f>
        <v>Completed</v>
      </c>
      <c r="R367" s="2" t="s">
        <v>36</v>
      </c>
      <c r="S367" s="2">
        <v>2</v>
      </c>
      <c r="T367" s="2" t="s">
        <v>37</v>
      </c>
      <c r="U367" s="10" t="str">
        <f t="shared" si="35"/>
        <v>Mar</v>
      </c>
      <c r="V367" s="10">
        <f t="shared" si="34"/>
        <v>2025</v>
      </c>
      <c r="W367" t="e" cm="1">
        <f t="array" ref="W367">_xlfn.IFS(U367="January",1,U367="February",2,U367="March",3,U367="April",4,U367="May",5,U367="June",6,U367="July",7,U367="August",8,U367="September",9,U367="October",10,U367="November",11,U367="December",12)</f>
        <v>#N/A</v>
      </c>
    </row>
    <row r="368" spans="1:23" ht="15.75" customHeight="1" x14ac:dyDescent="0.25">
      <c r="A368" s="2" t="s">
        <v>1325</v>
      </c>
      <c r="B368" s="3">
        <v>45728.049456018518</v>
      </c>
      <c r="C368" s="2" t="s">
        <v>169</v>
      </c>
      <c r="D368" s="2" t="s">
        <v>170</v>
      </c>
      <c r="E368" s="2" t="s">
        <v>38</v>
      </c>
      <c r="F368" s="2" t="str" cm="1">
        <f t="array" ref="F368:G368">_xlfn.TEXTSPLIT(E368," - ")</f>
        <v>Telur Ayam</v>
      </c>
      <c r="G368" s="2" t="str">
        <v>Brand C</v>
      </c>
      <c r="H368" s="5">
        <v>28000</v>
      </c>
      <c r="I368" s="2">
        <v>2</v>
      </c>
      <c r="J368" s="2">
        <v>5</v>
      </c>
      <c r="K368" s="8">
        <f t="shared" si="30"/>
        <v>56000</v>
      </c>
      <c r="L368" s="8">
        <f t="shared" si="31"/>
        <v>2800</v>
      </c>
      <c r="M368" s="8">
        <f t="shared" si="32"/>
        <v>53200</v>
      </c>
      <c r="N368" s="5">
        <v>46000</v>
      </c>
      <c r="O368" s="8">
        <f t="shared" si="33"/>
        <v>99200</v>
      </c>
      <c r="P368" s="2" t="s">
        <v>22</v>
      </c>
      <c r="Q368" s="10" t="str">
        <f>VLOOKUP(A368,Status!A:B,2,0)</f>
        <v>Completed</v>
      </c>
      <c r="R368" s="2" t="s">
        <v>23</v>
      </c>
      <c r="S368" s="2">
        <v>5</v>
      </c>
      <c r="T368" s="2" t="s">
        <v>24</v>
      </c>
      <c r="U368" s="10" t="str">
        <f t="shared" si="35"/>
        <v>Mar</v>
      </c>
      <c r="V368" s="10">
        <f t="shared" si="34"/>
        <v>2025</v>
      </c>
      <c r="W368" t="e" cm="1">
        <f t="array" ref="W368">_xlfn.IFS(U368="January",1,U368="February",2,U368="March",3,U368="April",4,U368="May",5,U368="June",6,U368="July",7,U368="August",8,U368="September",9,U368="October",10,U368="November",11,U368="December",12)</f>
        <v>#N/A</v>
      </c>
    </row>
    <row r="369" spans="1:23" ht="15.75" customHeight="1" x14ac:dyDescent="0.25">
      <c r="A369" s="2" t="s">
        <v>1326</v>
      </c>
      <c r="B369" s="3">
        <v>45728.865740740737</v>
      </c>
      <c r="C369" s="2" t="s">
        <v>688</v>
      </c>
      <c r="D369" s="2" t="s">
        <v>92</v>
      </c>
      <c r="E369" s="2" t="s">
        <v>190</v>
      </c>
      <c r="F369" s="2" t="str" cm="1">
        <f t="array" ref="F369:G369">_xlfn.TEXTSPLIT(E369," - ")</f>
        <v>Bawang Merah</v>
      </c>
      <c r="G369" s="2" t="str">
        <v>Brand B</v>
      </c>
      <c r="H369" s="5">
        <v>35000</v>
      </c>
      <c r="I369" s="2">
        <v>3</v>
      </c>
      <c r="J369" s="2">
        <v>0</v>
      </c>
      <c r="K369" s="8">
        <f t="shared" si="30"/>
        <v>105000</v>
      </c>
      <c r="L369" s="8">
        <f t="shared" si="31"/>
        <v>0</v>
      </c>
      <c r="M369" s="8">
        <f t="shared" si="32"/>
        <v>105000</v>
      </c>
      <c r="N369" s="5">
        <v>30000</v>
      </c>
      <c r="O369" s="8">
        <f t="shared" si="33"/>
        <v>135000</v>
      </c>
      <c r="P369" s="2" t="s">
        <v>22</v>
      </c>
      <c r="Q369" s="10" t="str">
        <f>VLOOKUP(A369,Status!A:B,2,0)</f>
        <v>Completed</v>
      </c>
      <c r="R369" s="2" t="s">
        <v>23</v>
      </c>
      <c r="S369" s="2">
        <v>3</v>
      </c>
      <c r="T369" s="2" t="s">
        <v>24</v>
      </c>
      <c r="U369" s="10" t="str">
        <f t="shared" si="35"/>
        <v>Mar</v>
      </c>
      <c r="V369" s="10">
        <f t="shared" si="34"/>
        <v>2025</v>
      </c>
      <c r="W369" t="e" cm="1">
        <f t="array" ref="W369">_xlfn.IFS(U369="January",1,U369="February",2,U369="March",3,U369="April",4,U369="May",5,U369="June",6,U369="July",7,U369="August",8,U369="September",9,U369="October",10,U369="November",11,U369="December",12)</f>
        <v>#N/A</v>
      </c>
    </row>
    <row r="370" spans="1:23" ht="15.75" customHeight="1" x14ac:dyDescent="0.25">
      <c r="A370" s="2" t="s">
        <v>1327</v>
      </c>
      <c r="B370" s="3">
        <v>45729.184178240743</v>
      </c>
      <c r="C370" s="2" t="s">
        <v>222</v>
      </c>
      <c r="D370" s="2" t="s">
        <v>49</v>
      </c>
      <c r="E370" s="2" t="s">
        <v>34</v>
      </c>
      <c r="F370" s="2" t="str" cm="1">
        <f t="array" ref="F370:G370">_xlfn.TEXTSPLIT(E370," - ")</f>
        <v>Minyak Goreng</v>
      </c>
      <c r="G370" s="2" t="str">
        <v>Brand A</v>
      </c>
      <c r="H370" s="5">
        <v>16000</v>
      </c>
      <c r="I370" s="2">
        <v>2</v>
      </c>
      <c r="J370" s="2">
        <v>5</v>
      </c>
      <c r="K370" s="8">
        <f t="shared" si="30"/>
        <v>32000</v>
      </c>
      <c r="L370" s="8">
        <f t="shared" si="31"/>
        <v>1600</v>
      </c>
      <c r="M370" s="8">
        <f t="shared" si="32"/>
        <v>30400</v>
      </c>
      <c r="N370" s="5">
        <v>43000</v>
      </c>
      <c r="O370" s="8">
        <f t="shared" si="33"/>
        <v>73400</v>
      </c>
      <c r="P370" s="2" t="s">
        <v>35</v>
      </c>
      <c r="Q370" s="10" t="str">
        <f>VLOOKUP(A370,Status!A:B,2,0)</f>
        <v>Completed</v>
      </c>
      <c r="R370" s="2" t="s">
        <v>23</v>
      </c>
      <c r="S370" s="2">
        <v>2</v>
      </c>
      <c r="T370" s="2" t="s">
        <v>24</v>
      </c>
      <c r="U370" s="10" t="str">
        <f t="shared" si="35"/>
        <v>Mar</v>
      </c>
      <c r="V370" s="10">
        <f t="shared" si="34"/>
        <v>2025</v>
      </c>
      <c r="W370" t="e" cm="1">
        <f t="array" ref="W370">_xlfn.IFS(U370="January",1,U370="February",2,U370="March",3,U370="April",4,U370="May",5,U370="June",6,U370="July",7,U370="August",8,U370="September",9,U370="October",10,U370="November",11,U370="December",12)</f>
        <v>#N/A</v>
      </c>
    </row>
    <row r="371" spans="1:23" ht="15.75" customHeight="1" x14ac:dyDescent="0.25">
      <c r="A371" s="2" t="s">
        <v>1328</v>
      </c>
      <c r="B371" s="3">
        <v>45729.425821759258</v>
      </c>
      <c r="C371" s="2" t="s">
        <v>649</v>
      </c>
      <c r="D371" s="2" t="s">
        <v>177</v>
      </c>
      <c r="E371" s="2" t="s">
        <v>34</v>
      </c>
      <c r="F371" s="2" t="str" cm="1">
        <f t="array" ref="F371:G371">_xlfn.TEXTSPLIT(E371," - ")</f>
        <v>Minyak Goreng</v>
      </c>
      <c r="G371" s="2" t="str">
        <v>Brand A</v>
      </c>
      <c r="H371" s="5">
        <v>16000</v>
      </c>
      <c r="I371" s="2">
        <v>4</v>
      </c>
      <c r="J371" s="2">
        <v>0</v>
      </c>
      <c r="K371" s="8">
        <f t="shared" si="30"/>
        <v>64000</v>
      </c>
      <c r="L371" s="8">
        <f t="shared" si="31"/>
        <v>0</v>
      </c>
      <c r="M371" s="8">
        <f t="shared" si="32"/>
        <v>64000</v>
      </c>
      <c r="N371" s="5">
        <v>56000</v>
      </c>
      <c r="O371" s="8">
        <f t="shared" si="33"/>
        <v>120000</v>
      </c>
      <c r="P371" s="2" t="s">
        <v>63</v>
      </c>
      <c r="Q371" s="10" t="str">
        <f>VLOOKUP(A371,Status!A:B,2,0)</f>
        <v>Completed</v>
      </c>
      <c r="R371" s="2" t="s">
        <v>30</v>
      </c>
      <c r="S371" s="2">
        <v>1</v>
      </c>
      <c r="T371" s="2" t="s">
        <v>24</v>
      </c>
      <c r="U371" s="10" t="str">
        <f t="shared" si="35"/>
        <v>Mar</v>
      </c>
      <c r="V371" s="10">
        <f t="shared" si="34"/>
        <v>2025</v>
      </c>
      <c r="W371" t="e" cm="1">
        <f t="array" ref="W371">_xlfn.IFS(U371="January",1,U371="February",2,U371="March",3,U371="April",4,U371="May",5,U371="June",6,U371="July",7,U371="August",8,U371="September",9,U371="October",10,U371="November",11,U371="December",12)</f>
        <v>#N/A</v>
      </c>
    </row>
    <row r="372" spans="1:23" ht="15.75" customHeight="1" x14ac:dyDescent="0.25">
      <c r="A372" s="2" t="s">
        <v>1329</v>
      </c>
      <c r="B372" s="3">
        <v>45729.67701388889</v>
      </c>
      <c r="C372" s="2" t="s">
        <v>1120</v>
      </c>
      <c r="D372" s="2" t="s">
        <v>173</v>
      </c>
      <c r="E372" s="2" t="s">
        <v>174</v>
      </c>
      <c r="F372" s="2" t="str" cm="1">
        <f t="array" ref="F372:G372">_xlfn.TEXTSPLIT(E372," - ")</f>
        <v>Tepung Terigu</v>
      </c>
      <c r="G372" s="2" t="str">
        <v>Brand A</v>
      </c>
      <c r="H372" s="5">
        <v>10000</v>
      </c>
      <c r="I372" s="2">
        <v>5</v>
      </c>
      <c r="J372" s="2">
        <v>5</v>
      </c>
      <c r="K372" s="8">
        <f t="shared" si="30"/>
        <v>50000</v>
      </c>
      <c r="L372" s="8">
        <f t="shared" si="31"/>
        <v>2500</v>
      </c>
      <c r="M372" s="8">
        <f t="shared" si="32"/>
        <v>47500</v>
      </c>
      <c r="N372" s="5">
        <v>49000</v>
      </c>
      <c r="O372" s="8">
        <f t="shared" si="33"/>
        <v>96500</v>
      </c>
      <c r="P372" s="2" t="s">
        <v>29</v>
      </c>
      <c r="Q372" s="10" t="str">
        <f>VLOOKUP(A372,Status!A:B,2,0)</f>
        <v>Completed</v>
      </c>
      <c r="R372" s="2" t="s">
        <v>46</v>
      </c>
      <c r="S372" s="2">
        <v>3</v>
      </c>
      <c r="T372" s="2" t="s">
        <v>24</v>
      </c>
      <c r="U372" s="10" t="str">
        <f t="shared" si="35"/>
        <v>Mar</v>
      </c>
      <c r="V372" s="10">
        <f t="shared" si="34"/>
        <v>2025</v>
      </c>
      <c r="W372" t="e" cm="1">
        <f t="array" ref="W372">_xlfn.IFS(U372="January",1,U372="February",2,U372="March",3,U372="April",4,U372="May",5,U372="June",6,U372="July",7,U372="August",8,U372="September",9,U372="October",10,U372="November",11,U372="December",12)</f>
        <v>#N/A</v>
      </c>
    </row>
    <row r="373" spans="1:23" ht="15.75" customHeight="1" x14ac:dyDescent="0.25">
      <c r="A373" s="2" t="s">
        <v>1330</v>
      </c>
      <c r="B373" s="3">
        <v>45730.104768518519</v>
      </c>
      <c r="C373" s="2" t="s">
        <v>254</v>
      </c>
      <c r="D373" s="2" t="s">
        <v>61</v>
      </c>
      <c r="E373" s="2" t="s">
        <v>50</v>
      </c>
      <c r="F373" s="2" t="str" cm="1">
        <f t="array" ref="F373:G373">_xlfn.TEXTSPLIT(E373," - ")</f>
        <v>Tepung Terigu</v>
      </c>
      <c r="G373" s="2" t="str">
        <v>Brand C</v>
      </c>
      <c r="H373" s="5">
        <v>14000</v>
      </c>
      <c r="I373" s="2">
        <v>2</v>
      </c>
      <c r="J373" s="2">
        <v>5</v>
      </c>
      <c r="K373" s="8">
        <f t="shared" si="30"/>
        <v>28000</v>
      </c>
      <c r="L373" s="8">
        <f t="shared" si="31"/>
        <v>1400</v>
      </c>
      <c r="M373" s="8">
        <f t="shared" si="32"/>
        <v>26600</v>
      </c>
      <c r="N373" s="5">
        <v>26000</v>
      </c>
      <c r="O373" s="8">
        <f t="shared" si="33"/>
        <v>52600</v>
      </c>
      <c r="P373" s="2" t="s">
        <v>29</v>
      </c>
      <c r="Q373" s="10" t="str">
        <f>VLOOKUP(A373,Status!A:B,2,0)</f>
        <v>Cancelled</v>
      </c>
      <c r="R373" s="2" t="s">
        <v>23</v>
      </c>
      <c r="S373" s="2">
        <v>4</v>
      </c>
      <c r="T373" s="2" t="s">
        <v>24</v>
      </c>
      <c r="U373" s="10" t="str">
        <f t="shared" si="35"/>
        <v>Mar</v>
      </c>
      <c r="V373" s="10">
        <f t="shared" si="34"/>
        <v>2025</v>
      </c>
      <c r="W373" t="e" cm="1">
        <f t="array" ref="W373">_xlfn.IFS(U373="January",1,U373="February",2,U373="March",3,U373="April",4,U373="May",5,U373="June",6,U373="July",7,U373="August",8,U373="September",9,U373="October",10,U373="November",11,U373="December",12)</f>
        <v>#N/A</v>
      </c>
    </row>
    <row r="374" spans="1:23" ht="15.75" customHeight="1" x14ac:dyDescent="0.25">
      <c r="A374" s="2" t="s">
        <v>1331</v>
      </c>
      <c r="B374" s="3">
        <v>45730.133055555547</v>
      </c>
      <c r="C374" s="2" t="s">
        <v>570</v>
      </c>
      <c r="D374" s="2" t="s">
        <v>80</v>
      </c>
      <c r="E374" s="2" t="s">
        <v>38</v>
      </c>
      <c r="F374" s="2" t="str" cm="1">
        <f t="array" ref="F374:G374">_xlfn.TEXTSPLIT(E374," - ")</f>
        <v>Telur Ayam</v>
      </c>
      <c r="G374" s="2" t="str">
        <v>Brand C</v>
      </c>
      <c r="H374" s="5">
        <v>28000</v>
      </c>
      <c r="I374" s="2">
        <v>5</v>
      </c>
      <c r="J374" s="2">
        <v>15</v>
      </c>
      <c r="K374" s="8">
        <f t="shared" si="30"/>
        <v>140000</v>
      </c>
      <c r="L374" s="8">
        <f t="shared" si="31"/>
        <v>21000</v>
      </c>
      <c r="M374" s="8">
        <f t="shared" si="32"/>
        <v>119000</v>
      </c>
      <c r="N374" s="5">
        <v>74000</v>
      </c>
      <c r="O374" s="8">
        <f t="shared" si="33"/>
        <v>193000</v>
      </c>
      <c r="P374" s="2" t="s">
        <v>22</v>
      </c>
      <c r="Q374" s="10" t="str">
        <f>VLOOKUP(A374,Status!A:B,2,0)</f>
        <v>Completed</v>
      </c>
      <c r="R374" s="2" t="s">
        <v>82</v>
      </c>
      <c r="S374" s="2">
        <v>4</v>
      </c>
      <c r="T374" s="2" t="s">
        <v>24</v>
      </c>
      <c r="U374" s="10" t="str">
        <f t="shared" si="35"/>
        <v>Mar</v>
      </c>
      <c r="V374" s="10">
        <f t="shared" si="34"/>
        <v>2025</v>
      </c>
      <c r="W374" t="e" cm="1">
        <f t="array" ref="W374">_xlfn.IFS(U374="January",1,U374="February",2,U374="March",3,U374="April",4,U374="May",5,U374="June",6,U374="July",7,U374="August",8,U374="September",9,U374="October",10,U374="November",11,U374="December",12)</f>
        <v>#N/A</v>
      </c>
    </row>
    <row r="375" spans="1:23" ht="15.75" customHeight="1" x14ac:dyDescent="0.25">
      <c r="A375" s="2" t="s">
        <v>1332</v>
      </c>
      <c r="B375" s="3">
        <v>45730.175393518519</v>
      </c>
      <c r="C375" s="2" t="s">
        <v>565</v>
      </c>
      <c r="D375" s="2" t="s">
        <v>163</v>
      </c>
      <c r="E375" s="2" t="s">
        <v>123</v>
      </c>
      <c r="F375" s="2" t="str" cm="1">
        <f t="array" ref="F375:G375">_xlfn.TEXTSPLIT(E375," - ")</f>
        <v>Telur Ayam</v>
      </c>
      <c r="G375" s="2" t="str">
        <v>Brand A</v>
      </c>
      <c r="H375" s="5">
        <v>22000</v>
      </c>
      <c r="I375" s="2">
        <v>3</v>
      </c>
      <c r="J375" s="2">
        <v>0</v>
      </c>
      <c r="K375" s="8">
        <f t="shared" si="30"/>
        <v>66000</v>
      </c>
      <c r="L375" s="8">
        <f t="shared" si="31"/>
        <v>0</v>
      </c>
      <c r="M375" s="8">
        <f t="shared" si="32"/>
        <v>66000</v>
      </c>
      <c r="N375" s="5">
        <v>50000</v>
      </c>
      <c r="O375" s="8">
        <f t="shared" si="33"/>
        <v>116000</v>
      </c>
      <c r="P375" s="2" t="s">
        <v>63</v>
      </c>
      <c r="Q375" s="10" t="str">
        <f>VLOOKUP(A375,Status!A:B,2,0)</f>
        <v>Completed</v>
      </c>
      <c r="R375" s="2" t="s">
        <v>23</v>
      </c>
      <c r="S375" s="2">
        <v>2</v>
      </c>
      <c r="T375" s="2" t="s">
        <v>24</v>
      </c>
      <c r="U375" s="10" t="str">
        <f t="shared" si="35"/>
        <v>Mar</v>
      </c>
      <c r="V375" s="10">
        <f t="shared" si="34"/>
        <v>2025</v>
      </c>
      <c r="W375" t="e" cm="1">
        <f t="array" ref="W375">_xlfn.IFS(U375="January",1,U375="February",2,U375="March",3,U375="April",4,U375="May",5,U375="June",6,U375="July",7,U375="August",8,U375="September",9,U375="October",10,U375="November",11,U375="December",12)</f>
        <v>#N/A</v>
      </c>
    </row>
    <row r="376" spans="1:23" ht="15.75" customHeight="1" x14ac:dyDescent="0.25">
      <c r="A376" s="2" t="s">
        <v>1332</v>
      </c>
      <c r="B376" s="3">
        <v>45730.175393518519</v>
      </c>
      <c r="C376" s="2" t="s">
        <v>565</v>
      </c>
      <c r="D376" s="2" t="s">
        <v>163</v>
      </c>
      <c r="E376" s="2" t="s">
        <v>104</v>
      </c>
      <c r="F376" s="2" t="str" cm="1">
        <f t="array" ref="F376:G376">_xlfn.TEXTSPLIT(E376," - ")</f>
        <v>Bawang Merah</v>
      </c>
      <c r="G376" s="2" t="str">
        <v>Brand A</v>
      </c>
      <c r="H376" s="5">
        <v>30000</v>
      </c>
      <c r="I376" s="2">
        <v>1</v>
      </c>
      <c r="J376" s="2">
        <v>0</v>
      </c>
      <c r="K376" s="8">
        <f t="shared" si="30"/>
        <v>30000</v>
      </c>
      <c r="L376" s="8">
        <f t="shared" si="31"/>
        <v>0</v>
      </c>
      <c r="M376" s="8">
        <f t="shared" si="32"/>
        <v>30000</v>
      </c>
      <c r="N376" s="5">
        <v>0</v>
      </c>
      <c r="O376" s="8">
        <f t="shared" si="33"/>
        <v>30000</v>
      </c>
      <c r="P376" s="2" t="s">
        <v>63</v>
      </c>
      <c r="Q376" s="10" t="str">
        <f>VLOOKUP(A376,Status!A:B,2,0)</f>
        <v>Completed</v>
      </c>
      <c r="R376" s="2" t="s">
        <v>23</v>
      </c>
      <c r="S376" s="2">
        <v>2</v>
      </c>
      <c r="T376" s="2" t="s">
        <v>24</v>
      </c>
      <c r="U376" s="10" t="str">
        <f t="shared" si="35"/>
        <v>Mar</v>
      </c>
      <c r="V376" s="10">
        <f t="shared" si="34"/>
        <v>2025</v>
      </c>
      <c r="W376" t="e" cm="1">
        <f t="array" ref="W376">_xlfn.IFS(U376="January",1,U376="February",2,U376="March",3,U376="April",4,U376="May",5,U376="June",6,U376="July",7,U376="August",8,U376="September",9,U376="October",10,U376="November",11,U376="December",12)</f>
        <v>#N/A</v>
      </c>
    </row>
    <row r="377" spans="1:23" ht="15.75" customHeight="1" x14ac:dyDescent="0.25">
      <c r="A377" s="2" t="s">
        <v>1333</v>
      </c>
      <c r="B377" s="3">
        <v>45730.360902777778</v>
      </c>
      <c r="C377" s="2" t="s">
        <v>410</v>
      </c>
      <c r="D377" s="2" t="s">
        <v>151</v>
      </c>
      <c r="E377" s="2" t="s">
        <v>186</v>
      </c>
      <c r="F377" s="2" t="str" cm="1">
        <f t="array" ref="F377:G377">_xlfn.TEXTSPLIT(E377," - ")</f>
        <v>Susu Bubuk</v>
      </c>
      <c r="G377" s="2" t="str">
        <v>Brand A</v>
      </c>
      <c r="H377" s="5">
        <v>45000</v>
      </c>
      <c r="I377" s="2">
        <v>3</v>
      </c>
      <c r="J377" s="2">
        <v>0</v>
      </c>
      <c r="K377" s="8">
        <f t="shared" si="30"/>
        <v>135000</v>
      </c>
      <c r="L377" s="8">
        <f t="shared" si="31"/>
        <v>0</v>
      </c>
      <c r="M377" s="8">
        <f t="shared" si="32"/>
        <v>135000</v>
      </c>
      <c r="N377" s="5">
        <v>55000</v>
      </c>
      <c r="O377" s="8">
        <f t="shared" si="33"/>
        <v>190000</v>
      </c>
      <c r="P377" s="2" t="s">
        <v>29</v>
      </c>
      <c r="Q377" s="10" t="str">
        <f>VLOOKUP(A377,Status!A:B,2,0)</f>
        <v>Completed</v>
      </c>
      <c r="R377" s="2" t="s">
        <v>30</v>
      </c>
      <c r="S377" s="2">
        <v>3</v>
      </c>
      <c r="T377" s="2" t="s">
        <v>24</v>
      </c>
      <c r="U377" s="10" t="str">
        <f t="shared" si="35"/>
        <v>Mar</v>
      </c>
      <c r="V377" s="10">
        <f t="shared" si="34"/>
        <v>2025</v>
      </c>
      <c r="W377" t="e" cm="1">
        <f t="array" ref="W377">_xlfn.IFS(U377="January",1,U377="February",2,U377="March",3,U377="April",4,U377="May",5,U377="June",6,U377="July",7,U377="August",8,U377="September",9,U377="October",10,U377="November",11,U377="December",12)</f>
        <v>#N/A</v>
      </c>
    </row>
    <row r="378" spans="1:23" ht="15.75" customHeight="1" x14ac:dyDescent="0.25">
      <c r="A378" s="2" t="s">
        <v>1334</v>
      </c>
      <c r="B378" s="3">
        <v>45730.645069444443</v>
      </c>
      <c r="C378" s="2" t="s">
        <v>732</v>
      </c>
      <c r="D378" s="2" t="s">
        <v>170</v>
      </c>
      <c r="E378" s="2" t="s">
        <v>104</v>
      </c>
      <c r="F378" s="2" t="str" cm="1">
        <f t="array" ref="F378:G378">_xlfn.TEXTSPLIT(E378," - ")</f>
        <v>Bawang Merah</v>
      </c>
      <c r="G378" s="2" t="str">
        <v>Brand A</v>
      </c>
      <c r="H378" s="5">
        <v>30000</v>
      </c>
      <c r="I378" s="2">
        <v>1</v>
      </c>
      <c r="J378" s="2">
        <v>10</v>
      </c>
      <c r="K378" s="8">
        <f t="shared" si="30"/>
        <v>30000</v>
      </c>
      <c r="L378" s="8">
        <f t="shared" si="31"/>
        <v>3000</v>
      </c>
      <c r="M378" s="8">
        <f t="shared" si="32"/>
        <v>27000</v>
      </c>
      <c r="N378" s="5">
        <v>46000</v>
      </c>
      <c r="O378" s="8">
        <f t="shared" si="33"/>
        <v>73000</v>
      </c>
      <c r="P378" s="2" t="s">
        <v>35</v>
      </c>
      <c r="Q378" s="10" t="str">
        <f>VLOOKUP(A378,Status!A:B,2,0)</f>
        <v>Cancelled</v>
      </c>
      <c r="R378" s="2" t="s">
        <v>46</v>
      </c>
      <c r="S378" s="2">
        <v>5</v>
      </c>
      <c r="T378" s="2" t="s">
        <v>24</v>
      </c>
      <c r="U378" s="10" t="str">
        <f t="shared" si="35"/>
        <v>Mar</v>
      </c>
      <c r="V378" s="10">
        <f t="shared" si="34"/>
        <v>2025</v>
      </c>
      <c r="W378" t="e" cm="1">
        <f t="array" ref="W378">_xlfn.IFS(U378="January",1,U378="February",2,U378="March",3,U378="April",4,U378="May",5,U378="June",6,U378="July",7,U378="August",8,U378="September",9,U378="October",10,U378="November",11,U378="December",12)</f>
        <v>#N/A</v>
      </c>
    </row>
    <row r="379" spans="1:23" ht="15.75" customHeight="1" x14ac:dyDescent="0.25">
      <c r="A379" s="2" t="s">
        <v>1335</v>
      </c>
      <c r="B379" s="3">
        <v>45730.962870370371</v>
      </c>
      <c r="C379" s="2" t="s">
        <v>1336</v>
      </c>
      <c r="D379" s="2" t="s">
        <v>96</v>
      </c>
      <c r="E379" s="2" t="s">
        <v>54</v>
      </c>
      <c r="F379" s="2" t="str" cm="1">
        <f t="array" ref="F379:G379">_xlfn.TEXTSPLIT(E379," - ")</f>
        <v>Beras</v>
      </c>
      <c r="G379" s="2" t="str">
        <v>Brand C</v>
      </c>
      <c r="H379" s="5">
        <v>16000</v>
      </c>
      <c r="I379" s="2">
        <v>3</v>
      </c>
      <c r="J379" s="2">
        <v>5</v>
      </c>
      <c r="K379" s="8">
        <f t="shared" si="30"/>
        <v>48000</v>
      </c>
      <c r="L379" s="8">
        <f t="shared" si="31"/>
        <v>2400</v>
      </c>
      <c r="M379" s="8">
        <f t="shared" si="32"/>
        <v>45600</v>
      </c>
      <c r="N379" s="5">
        <v>49000</v>
      </c>
      <c r="O379" s="8">
        <f t="shared" si="33"/>
        <v>94600</v>
      </c>
      <c r="P379" s="2" t="s">
        <v>63</v>
      </c>
      <c r="Q379" s="10" t="str">
        <f>VLOOKUP(A379,Status!A:B,2,0)</f>
        <v>Completed</v>
      </c>
      <c r="R379" s="2" t="s">
        <v>82</v>
      </c>
      <c r="S379" s="2">
        <v>2</v>
      </c>
      <c r="T379" s="2" t="s">
        <v>37</v>
      </c>
      <c r="U379" s="10" t="str">
        <f t="shared" si="35"/>
        <v>Mar</v>
      </c>
      <c r="V379" s="10">
        <f t="shared" si="34"/>
        <v>2025</v>
      </c>
      <c r="W379" t="e" cm="1">
        <f t="array" ref="W379">_xlfn.IFS(U379="January",1,U379="February",2,U379="March",3,U379="April",4,U379="May",5,U379="June",6,U379="July",7,U379="August",8,U379="September",9,U379="October",10,U379="November",11,U379="December",12)</f>
        <v>#N/A</v>
      </c>
    </row>
    <row r="380" spans="1:23" ht="15.75" customHeight="1" x14ac:dyDescent="0.25">
      <c r="A380" s="2" t="s">
        <v>1337</v>
      </c>
      <c r="B380" s="3">
        <v>45731.213993055557</v>
      </c>
      <c r="C380" s="2" t="s">
        <v>544</v>
      </c>
      <c r="D380" s="2" t="s">
        <v>163</v>
      </c>
      <c r="E380" s="2" t="s">
        <v>88</v>
      </c>
      <c r="F380" s="2" t="str" cm="1">
        <f t="array" ref="F380:G380">_xlfn.TEXTSPLIT(E380," - ")</f>
        <v>Beras</v>
      </c>
      <c r="G380" s="2" t="str">
        <v>Brand A</v>
      </c>
      <c r="H380" s="5">
        <v>14000</v>
      </c>
      <c r="I380" s="2">
        <v>4</v>
      </c>
      <c r="J380" s="2">
        <v>0</v>
      </c>
      <c r="K380" s="8">
        <f t="shared" si="30"/>
        <v>56000</v>
      </c>
      <c r="L380" s="8">
        <f t="shared" si="31"/>
        <v>0</v>
      </c>
      <c r="M380" s="8">
        <f t="shared" si="32"/>
        <v>56000</v>
      </c>
      <c r="N380" s="5">
        <v>50000</v>
      </c>
      <c r="O380" s="8">
        <f t="shared" si="33"/>
        <v>106000</v>
      </c>
      <c r="P380" s="2" t="s">
        <v>29</v>
      </c>
      <c r="Q380" s="10" t="str">
        <f>VLOOKUP(A380,Status!A:B,2,0)</f>
        <v>Returned</v>
      </c>
      <c r="R380" s="2" t="s">
        <v>82</v>
      </c>
      <c r="S380" s="2">
        <v>5</v>
      </c>
      <c r="T380" s="2" t="s">
        <v>24</v>
      </c>
      <c r="U380" s="10" t="str">
        <f t="shared" si="35"/>
        <v>Mar</v>
      </c>
      <c r="V380" s="10">
        <f t="shared" si="34"/>
        <v>2025</v>
      </c>
      <c r="W380" t="e" cm="1">
        <f t="array" ref="W380">_xlfn.IFS(U380="January",1,U380="February",2,U380="March",3,U380="April",4,U380="May",5,U380="June",6,U380="July",7,U380="August",8,U380="September",9,U380="October",10,U380="November",11,U380="December",12)</f>
        <v>#N/A</v>
      </c>
    </row>
    <row r="381" spans="1:23" ht="15.75" customHeight="1" x14ac:dyDescent="0.25">
      <c r="A381" s="2" t="s">
        <v>1338</v>
      </c>
      <c r="B381" s="3">
        <v>45731.278726851851</v>
      </c>
      <c r="C381" s="2" t="s">
        <v>1087</v>
      </c>
      <c r="D381" s="2" t="s">
        <v>143</v>
      </c>
      <c r="E381" s="2" t="s">
        <v>85</v>
      </c>
      <c r="F381" s="2" t="str" cm="1">
        <f t="array" ref="F381:G381">_xlfn.TEXTSPLIT(E381," - ")</f>
        <v>Daging Ayam</v>
      </c>
      <c r="G381" s="2" t="str">
        <v>Brand A</v>
      </c>
      <c r="H381" s="5">
        <v>35000</v>
      </c>
      <c r="I381" s="2">
        <v>1</v>
      </c>
      <c r="J381" s="2">
        <v>5</v>
      </c>
      <c r="K381" s="8">
        <f t="shared" si="30"/>
        <v>35000</v>
      </c>
      <c r="L381" s="8">
        <f t="shared" si="31"/>
        <v>1750</v>
      </c>
      <c r="M381" s="8">
        <f t="shared" si="32"/>
        <v>33250</v>
      </c>
      <c r="N381" s="5">
        <v>50000</v>
      </c>
      <c r="O381" s="8">
        <f t="shared" si="33"/>
        <v>83250</v>
      </c>
      <c r="P381" s="2" t="s">
        <v>22</v>
      </c>
      <c r="Q381" s="10" t="str">
        <f>VLOOKUP(A381,Status!A:B,2,0)</f>
        <v>Completed</v>
      </c>
      <c r="R381" s="2" t="s">
        <v>82</v>
      </c>
      <c r="S381" s="2">
        <v>5</v>
      </c>
      <c r="T381" s="2" t="s">
        <v>24</v>
      </c>
      <c r="U381" s="10" t="str">
        <f t="shared" si="35"/>
        <v>Mar</v>
      </c>
      <c r="V381" s="10">
        <f t="shared" si="34"/>
        <v>2025</v>
      </c>
      <c r="W381" t="e" cm="1">
        <f t="array" ref="W381">_xlfn.IFS(U381="January",1,U381="February",2,U381="March",3,U381="April",4,U381="May",5,U381="June",6,U381="July",7,U381="August",8,U381="September",9,U381="October",10,U381="November",11,U381="December",12)</f>
        <v>#N/A</v>
      </c>
    </row>
    <row r="382" spans="1:23" ht="15.75" customHeight="1" x14ac:dyDescent="0.25">
      <c r="A382" s="2" t="s">
        <v>1339</v>
      </c>
      <c r="B382" s="3">
        <v>45731.311550925922</v>
      </c>
      <c r="C382" s="2" t="s">
        <v>523</v>
      </c>
      <c r="D382" s="2" t="s">
        <v>113</v>
      </c>
      <c r="E382" s="2" t="s">
        <v>186</v>
      </c>
      <c r="F382" s="2" t="str" cm="1">
        <f t="array" ref="F382:G382">_xlfn.TEXTSPLIT(E382," - ")</f>
        <v>Susu Bubuk</v>
      </c>
      <c r="G382" s="2" t="str">
        <v>Brand A</v>
      </c>
      <c r="H382" s="5">
        <v>45000</v>
      </c>
      <c r="I382" s="2">
        <v>2</v>
      </c>
      <c r="J382" s="2">
        <v>0</v>
      </c>
      <c r="K382" s="8">
        <f t="shared" si="30"/>
        <v>90000</v>
      </c>
      <c r="L382" s="8">
        <f t="shared" si="31"/>
        <v>0</v>
      </c>
      <c r="M382" s="8">
        <f t="shared" si="32"/>
        <v>90000</v>
      </c>
      <c r="N382" s="5">
        <v>18000</v>
      </c>
      <c r="O382" s="8">
        <f t="shared" si="33"/>
        <v>108000</v>
      </c>
      <c r="P382" s="2" t="s">
        <v>29</v>
      </c>
      <c r="Q382" s="10" t="str">
        <f>VLOOKUP(A382,Status!A:B,2,0)</f>
        <v>Completed</v>
      </c>
      <c r="R382" s="2" t="s">
        <v>82</v>
      </c>
      <c r="S382" s="2">
        <v>3</v>
      </c>
      <c r="T382" s="2" t="s">
        <v>24</v>
      </c>
      <c r="U382" s="10" t="str">
        <f t="shared" si="35"/>
        <v>Mar</v>
      </c>
      <c r="V382" s="10">
        <f t="shared" si="34"/>
        <v>2025</v>
      </c>
      <c r="W382" t="e" cm="1">
        <f t="array" ref="W382">_xlfn.IFS(U382="January",1,U382="February",2,U382="March",3,U382="April",4,U382="May",5,U382="June",6,U382="July",7,U382="August",8,U382="September",9,U382="October",10,U382="November",11,U382="December",12)</f>
        <v>#N/A</v>
      </c>
    </row>
    <row r="383" spans="1:23" ht="15.75" customHeight="1" x14ac:dyDescent="0.25">
      <c r="A383" s="2" t="s">
        <v>1340</v>
      </c>
      <c r="B383" s="3">
        <v>45731.37128472222</v>
      </c>
      <c r="C383" s="2" t="s">
        <v>1341</v>
      </c>
      <c r="D383" s="2" t="s">
        <v>107</v>
      </c>
      <c r="E383" s="2" t="s">
        <v>41</v>
      </c>
      <c r="F383" s="2" t="str" cm="1">
        <f t="array" ref="F383:G383">_xlfn.TEXTSPLIT(E383," - ")</f>
        <v>Garam</v>
      </c>
      <c r="G383" s="2" t="str">
        <v>Brand A</v>
      </c>
      <c r="H383" s="5">
        <v>4000</v>
      </c>
      <c r="I383" s="2">
        <v>3</v>
      </c>
      <c r="J383" s="2">
        <v>10</v>
      </c>
      <c r="K383" s="8">
        <f t="shared" si="30"/>
        <v>12000</v>
      </c>
      <c r="L383" s="8">
        <f t="shared" si="31"/>
        <v>1200</v>
      </c>
      <c r="M383" s="8">
        <f t="shared" si="32"/>
        <v>10800</v>
      </c>
      <c r="N383" s="5">
        <v>97000</v>
      </c>
      <c r="O383" s="8">
        <f t="shared" si="33"/>
        <v>107800</v>
      </c>
      <c r="P383" s="2" t="s">
        <v>29</v>
      </c>
      <c r="Q383" s="10" t="str">
        <f>VLOOKUP(A383,Status!A:B,2,0)</f>
        <v>Cancelled</v>
      </c>
      <c r="R383" s="2" t="s">
        <v>23</v>
      </c>
      <c r="S383" s="2">
        <v>5</v>
      </c>
      <c r="T383" s="2" t="s">
        <v>37</v>
      </c>
      <c r="U383" s="10" t="str">
        <f t="shared" si="35"/>
        <v>Mar</v>
      </c>
      <c r="V383" s="10">
        <f t="shared" si="34"/>
        <v>2025</v>
      </c>
      <c r="W383" t="e" cm="1">
        <f t="array" ref="W383">_xlfn.IFS(U383="January",1,U383="February",2,U383="March",3,U383="April",4,U383="May",5,U383="June",6,U383="July",7,U383="August",8,U383="September",9,U383="October",10,U383="November",11,U383="December",12)</f>
        <v>#N/A</v>
      </c>
    </row>
    <row r="384" spans="1:23" ht="15.75" customHeight="1" x14ac:dyDescent="0.25">
      <c r="A384" s="2" t="s">
        <v>1342</v>
      </c>
      <c r="B384" s="3">
        <v>45731.530219907407</v>
      </c>
      <c r="C384" s="2" t="s">
        <v>508</v>
      </c>
      <c r="D384" s="2" t="s">
        <v>20</v>
      </c>
      <c r="E384" s="2" t="s">
        <v>62</v>
      </c>
      <c r="F384" s="2" t="str" cm="1">
        <f t="array" ref="F384:G384">_xlfn.TEXTSPLIT(E384," - ")</f>
        <v>Susu Bubuk</v>
      </c>
      <c r="G384" s="2" t="str">
        <v>Brand B</v>
      </c>
      <c r="H384" s="5">
        <v>50000</v>
      </c>
      <c r="I384" s="2">
        <v>1</v>
      </c>
      <c r="J384" s="2">
        <v>15</v>
      </c>
      <c r="K384" s="8">
        <f t="shared" si="30"/>
        <v>50000</v>
      </c>
      <c r="L384" s="8">
        <f t="shared" si="31"/>
        <v>7500</v>
      </c>
      <c r="M384" s="8">
        <f t="shared" si="32"/>
        <v>42500</v>
      </c>
      <c r="N384" s="5">
        <v>15000</v>
      </c>
      <c r="O384" s="8">
        <f t="shared" si="33"/>
        <v>57500</v>
      </c>
      <c r="P384" s="2" t="s">
        <v>22</v>
      </c>
      <c r="Q384" s="10" t="str">
        <f>VLOOKUP(A384,Status!A:B,2,0)</f>
        <v>Completed</v>
      </c>
      <c r="R384" s="2" t="s">
        <v>36</v>
      </c>
      <c r="S384" s="2">
        <v>3</v>
      </c>
      <c r="T384" s="2" t="s">
        <v>37</v>
      </c>
      <c r="U384" s="10" t="str">
        <f t="shared" si="35"/>
        <v>Mar</v>
      </c>
      <c r="V384" s="10">
        <f t="shared" si="34"/>
        <v>2025</v>
      </c>
      <c r="W384" t="e" cm="1">
        <f t="array" ref="W384">_xlfn.IFS(U384="January",1,U384="February",2,U384="March",3,U384="April",4,U384="May",5,U384="June",6,U384="July",7,U384="August",8,U384="September",9,U384="October",10,U384="November",11,U384="December",12)</f>
        <v>#N/A</v>
      </c>
    </row>
    <row r="385" spans="1:23" ht="15.75" customHeight="1" x14ac:dyDescent="0.25">
      <c r="A385" s="2" t="s">
        <v>1343</v>
      </c>
      <c r="B385" s="3">
        <v>45731.567349537043</v>
      </c>
      <c r="C385" s="2" t="s">
        <v>549</v>
      </c>
      <c r="D385" s="2" t="s">
        <v>107</v>
      </c>
      <c r="E385" s="2" t="s">
        <v>71</v>
      </c>
      <c r="F385" s="2" t="str" cm="1">
        <f t="array" ref="F385:G385">_xlfn.TEXTSPLIT(E385," - ")</f>
        <v>Bawang Merah</v>
      </c>
      <c r="G385" s="2" t="str">
        <v>Brand C</v>
      </c>
      <c r="H385" s="5">
        <v>40000</v>
      </c>
      <c r="I385" s="2">
        <v>5</v>
      </c>
      <c r="J385" s="2">
        <v>5</v>
      </c>
      <c r="K385" s="8">
        <f t="shared" si="30"/>
        <v>200000</v>
      </c>
      <c r="L385" s="8">
        <f t="shared" si="31"/>
        <v>10000</v>
      </c>
      <c r="M385" s="8">
        <f t="shared" si="32"/>
        <v>190000</v>
      </c>
      <c r="N385" s="5">
        <v>97000</v>
      </c>
      <c r="O385" s="8">
        <f t="shared" si="33"/>
        <v>287000</v>
      </c>
      <c r="P385" s="2" t="s">
        <v>22</v>
      </c>
      <c r="Q385" s="10" t="str">
        <f>VLOOKUP(A385,Status!A:B,2,0)</f>
        <v>Completed</v>
      </c>
      <c r="R385" s="2" t="s">
        <v>82</v>
      </c>
      <c r="S385" s="2">
        <v>4</v>
      </c>
      <c r="T385" s="2" t="s">
        <v>24</v>
      </c>
      <c r="U385" s="10" t="str">
        <f t="shared" si="35"/>
        <v>Mar</v>
      </c>
      <c r="V385" s="10">
        <f t="shared" si="34"/>
        <v>2025</v>
      </c>
      <c r="W385" t="e" cm="1">
        <f t="array" ref="W385">_xlfn.IFS(U385="January",1,U385="February",2,U385="March",3,U385="April",4,U385="May",5,U385="June",6,U385="July",7,U385="August",8,U385="September",9,U385="October",10,U385="November",11,U385="December",12)</f>
        <v>#N/A</v>
      </c>
    </row>
    <row r="386" spans="1:23" ht="15.75" customHeight="1" x14ac:dyDescent="0.25">
      <c r="A386" s="2" t="s">
        <v>1344</v>
      </c>
      <c r="B386" s="3">
        <v>45731.654363425929</v>
      </c>
      <c r="C386" s="2" t="s">
        <v>654</v>
      </c>
      <c r="D386" s="2" t="s">
        <v>375</v>
      </c>
      <c r="E386" s="2" t="s">
        <v>21</v>
      </c>
      <c r="F386" s="2" t="str" cm="1">
        <f t="array" ref="F386:G386">_xlfn.TEXTSPLIT(E386," - ")</f>
        <v>Daging Ayam</v>
      </c>
      <c r="G386" s="2" t="str">
        <v>Brand C</v>
      </c>
      <c r="H386" s="5">
        <v>45000</v>
      </c>
      <c r="I386" s="2">
        <v>5</v>
      </c>
      <c r="J386" s="2">
        <v>20</v>
      </c>
      <c r="K386" s="8">
        <f t="shared" ref="K386:K449" si="36">H386*I386</f>
        <v>225000</v>
      </c>
      <c r="L386" s="8">
        <f t="shared" ref="L386:L449" si="37">K386*J386%</f>
        <v>45000</v>
      </c>
      <c r="M386" s="8">
        <f t="shared" ref="M386:M449" si="38">K386-L386</f>
        <v>180000</v>
      </c>
      <c r="N386" s="5">
        <v>21000</v>
      </c>
      <c r="O386" s="8">
        <f t="shared" ref="O386:O449" si="39">M386+N386</f>
        <v>201000</v>
      </c>
      <c r="P386" s="2" t="s">
        <v>22</v>
      </c>
      <c r="Q386" s="10" t="str">
        <f>VLOOKUP(A386,Status!A:B,2,0)</f>
        <v>Completed</v>
      </c>
      <c r="R386" s="2" t="s">
        <v>82</v>
      </c>
      <c r="S386" s="2">
        <v>2</v>
      </c>
      <c r="T386" s="2" t="s">
        <v>24</v>
      </c>
      <c r="U386" s="10" t="str">
        <f t="shared" si="35"/>
        <v>Mar</v>
      </c>
      <c r="V386" s="10">
        <f t="shared" ref="V386:V449" si="40">YEAR(B386)</f>
        <v>2025</v>
      </c>
      <c r="W386" t="e" cm="1">
        <f t="array" ref="W386">_xlfn.IFS(U386="January",1,U386="February",2,U386="March",3,U386="April",4,U386="May",5,U386="June",6,U386="July",7,U386="August",8,U386="September",9,U386="October",10,U386="November",11,U386="December",12)</f>
        <v>#N/A</v>
      </c>
    </row>
    <row r="387" spans="1:23" ht="15.75" customHeight="1" x14ac:dyDescent="0.25">
      <c r="A387" s="2" t="s">
        <v>1345</v>
      </c>
      <c r="B387" s="3">
        <v>45731.982557870368</v>
      </c>
      <c r="C387" s="2" t="s">
        <v>834</v>
      </c>
      <c r="D387" s="2" t="s">
        <v>177</v>
      </c>
      <c r="E387" s="2" t="s">
        <v>34</v>
      </c>
      <c r="F387" s="2" t="str" cm="1">
        <f t="array" ref="F387:G387">_xlfn.TEXTSPLIT(E387," - ")</f>
        <v>Minyak Goreng</v>
      </c>
      <c r="G387" s="2" t="str">
        <v>Brand A</v>
      </c>
      <c r="H387" s="5">
        <v>16000</v>
      </c>
      <c r="I387" s="2">
        <v>5</v>
      </c>
      <c r="J387" s="2">
        <v>15</v>
      </c>
      <c r="K387" s="8">
        <f t="shared" si="36"/>
        <v>80000</v>
      </c>
      <c r="L387" s="8">
        <f t="shared" si="37"/>
        <v>12000</v>
      </c>
      <c r="M387" s="8">
        <f t="shared" si="38"/>
        <v>68000</v>
      </c>
      <c r="N387" s="5">
        <v>56000</v>
      </c>
      <c r="O387" s="8">
        <f t="shared" si="39"/>
        <v>124000</v>
      </c>
      <c r="P387" s="2" t="s">
        <v>22</v>
      </c>
      <c r="Q387" s="10" t="str">
        <f>VLOOKUP(A387,Status!A:B,2,0)</f>
        <v>Completed</v>
      </c>
      <c r="R387" s="2" t="s">
        <v>46</v>
      </c>
      <c r="S387" s="2">
        <v>4</v>
      </c>
      <c r="T387" s="2" t="s">
        <v>37</v>
      </c>
      <c r="U387" s="10" t="str">
        <f t="shared" ref="U387:U450" si="41">TEXT(B387,"MMM")</f>
        <v>Mar</v>
      </c>
      <c r="V387" s="10">
        <f t="shared" si="40"/>
        <v>2025</v>
      </c>
      <c r="W387" t="e" cm="1">
        <f t="array" ref="W387">_xlfn.IFS(U387="January",1,U387="February",2,U387="March",3,U387="April",4,U387="May",5,U387="June",6,U387="July",7,U387="August",8,U387="September",9,U387="October",10,U387="November",11,U387="December",12)</f>
        <v>#N/A</v>
      </c>
    </row>
    <row r="388" spans="1:23" ht="15.75" customHeight="1" x14ac:dyDescent="0.25">
      <c r="A388" s="2" t="s">
        <v>1346</v>
      </c>
      <c r="B388" s="3">
        <v>45732.265682870369</v>
      </c>
      <c r="C388" s="2" t="s">
        <v>100</v>
      </c>
      <c r="D388" s="2" t="s">
        <v>66</v>
      </c>
      <c r="E388" s="2" t="s">
        <v>174</v>
      </c>
      <c r="F388" s="2" t="str" cm="1">
        <f t="array" ref="F388:G388">_xlfn.TEXTSPLIT(E388," - ")</f>
        <v>Tepung Terigu</v>
      </c>
      <c r="G388" s="2" t="str">
        <v>Brand A</v>
      </c>
      <c r="H388" s="5">
        <v>10000</v>
      </c>
      <c r="I388" s="2">
        <v>2</v>
      </c>
      <c r="J388" s="2">
        <v>15</v>
      </c>
      <c r="K388" s="8">
        <f t="shared" si="36"/>
        <v>20000</v>
      </c>
      <c r="L388" s="8">
        <f t="shared" si="37"/>
        <v>3000</v>
      </c>
      <c r="M388" s="8">
        <f t="shared" si="38"/>
        <v>17000</v>
      </c>
      <c r="N388" s="5">
        <v>59000</v>
      </c>
      <c r="O388" s="8">
        <f t="shared" si="39"/>
        <v>76000</v>
      </c>
      <c r="P388" s="2" t="s">
        <v>63</v>
      </c>
      <c r="Q388" s="10" t="str">
        <f>VLOOKUP(A388,Status!A:B,2,0)</f>
        <v>Completed</v>
      </c>
      <c r="R388" s="2" t="s">
        <v>30</v>
      </c>
      <c r="S388" s="2">
        <v>4</v>
      </c>
      <c r="T388" s="2" t="s">
        <v>24</v>
      </c>
      <c r="U388" s="10" t="str">
        <f t="shared" si="41"/>
        <v>Mar</v>
      </c>
      <c r="V388" s="10">
        <f t="shared" si="40"/>
        <v>2025</v>
      </c>
      <c r="W388" t="e" cm="1">
        <f t="array" ref="W388">_xlfn.IFS(U388="January",1,U388="February",2,U388="March",3,U388="April",4,U388="May",5,U388="June",6,U388="July",7,U388="August",8,U388="September",9,U388="October",10,U388="November",11,U388="December",12)</f>
        <v>#N/A</v>
      </c>
    </row>
    <row r="389" spans="1:23" ht="15.75" customHeight="1" x14ac:dyDescent="0.25">
      <c r="A389" s="2" t="s">
        <v>1347</v>
      </c>
      <c r="B389" s="3">
        <v>45732.344641203701</v>
      </c>
      <c r="C389" s="2" t="s">
        <v>1348</v>
      </c>
      <c r="D389" s="2" t="s">
        <v>296</v>
      </c>
      <c r="E389" s="2" t="s">
        <v>38</v>
      </c>
      <c r="F389" s="2" t="str" cm="1">
        <f t="array" ref="F389:G389">_xlfn.TEXTSPLIT(E389," - ")</f>
        <v>Telur Ayam</v>
      </c>
      <c r="G389" s="2" t="str">
        <v>Brand C</v>
      </c>
      <c r="H389" s="5">
        <v>28000</v>
      </c>
      <c r="I389" s="2">
        <v>2</v>
      </c>
      <c r="J389" s="2">
        <v>10</v>
      </c>
      <c r="K389" s="8">
        <f t="shared" si="36"/>
        <v>56000</v>
      </c>
      <c r="L389" s="8">
        <f t="shared" si="37"/>
        <v>5600</v>
      </c>
      <c r="M389" s="8">
        <f t="shared" si="38"/>
        <v>50400</v>
      </c>
      <c r="N389" s="5">
        <v>79000</v>
      </c>
      <c r="O389" s="8">
        <f t="shared" si="39"/>
        <v>129400</v>
      </c>
      <c r="P389" s="2" t="s">
        <v>29</v>
      </c>
      <c r="Q389" s="10" t="str">
        <f>VLOOKUP(A389,Status!A:B,2,0)</f>
        <v>Returned</v>
      </c>
      <c r="R389" s="2" t="s">
        <v>30</v>
      </c>
      <c r="S389" s="2">
        <v>3</v>
      </c>
      <c r="T389" s="2" t="s">
        <v>24</v>
      </c>
      <c r="U389" s="10" t="str">
        <f t="shared" si="41"/>
        <v>Mar</v>
      </c>
      <c r="V389" s="10">
        <f t="shared" si="40"/>
        <v>2025</v>
      </c>
      <c r="W389" t="e" cm="1">
        <f t="array" ref="W389">_xlfn.IFS(U389="January",1,U389="February",2,U389="March",3,U389="April",4,U389="May",5,U389="June",6,U389="July",7,U389="August",8,U389="September",9,U389="October",10,U389="November",11,U389="December",12)</f>
        <v>#N/A</v>
      </c>
    </row>
    <row r="390" spans="1:23" ht="15.75" customHeight="1" x14ac:dyDescent="0.25">
      <c r="A390" s="2" t="s">
        <v>1349</v>
      </c>
      <c r="B390" s="3">
        <v>45732.50613425926</v>
      </c>
      <c r="C390" s="2" t="s">
        <v>374</v>
      </c>
      <c r="D390" s="2" t="s">
        <v>375</v>
      </c>
      <c r="E390" s="2" t="s">
        <v>190</v>
      </c>
      <c r="F390" s="2" t="str" cm="1">
        <f t="array" ref="F390:G390">_xlfn.TEXTSPLIT(E390," - ")</f>
        <v>Bawang Merah</v>
      </c>
      <c r="G390" s="2" t="str">
        <v>Brand B</v>
      </c>
      <c r="H390" s="5">
        <v>35000</v>
      </c>
      <c r="I390" s="2">
        <v>3</v>
      </c>
      <c r="J390" s="2">
        <v>5</v>
      </c>
      <c r="K390" s="8">
        <f t="shared" si="36"/>
        <v>105000</v>
      </c>
      <c r="L390" s="8">
        <f t="shared" si="37"/>
        <v>5250</v>
      </c>
      <c r="M390" s="8">
        <f t="shared" si="38"/>
        <v>99750</v>
      </c>
      <c r="N390" s="5">
        <v>21000</v>
      </c>
      <c r="O390" s="8">
        <f t="shared" si="39"/>
        <v>120750</v>
      </c>
      <c r="P390" s="2" t="s">
        <v>29</v>
      </c>
      <c r="Q390" s="10" t="str">
        <f>VLOOKUP(A390,Status!A:B,2,0)</f>
        <v>Completed</v>
      </c>
      <c r="R390" s="2" t="s">
        <v>82</v>
      </c>
      <c r="S390" s="2">
        <v>5</v>
      </c>
      <c r="T390" s="2" t="s">
        <v>37</v>
      </c>
      <c r="U390" s="10" t="str">
        <f t="shared" si="41"/>
        <v>Mar</v>
      </c>
      <c r="V390" s="10">
        <f t="shared" si="40"/>
        <v>2025</v>
      </c>
      <c r="W390" t="e" cm="1">
        <f t="array" ref="W390">_xlfn.IFS(U390="January",1,U390="February",2,U390="March",3,U390="April",4,U390="May",5,U390="June",6,U390="July",7,U390="August",8,U390="September",9,U390="October",10,U390="November",11,U390="December",12)</f>
        <v>#N/A</v>
      </c>
    </row>
    <row r="391" spans="1:23" ht="15.75" customHeight="1" x14ac:dyDescent="0.25">
      <c r="A391" s="2" t="s">
        <v>1350</v>
      </c>
      <c r="B391" s="3">
        <v>45732.608958333331</v>
      </c>
      <c r="C391" s="2" t="s">
        <v>443</v>
      </c>
      <c r="D391" s="2" t="s">
        <v>53</v>
      </c>
      <c r="E391" s="2" t="s">
        <v>67</v>
      </c>
      <c r="F391" s="2" t="str" cm="1">
        <f t="array" ref="F391:G391">_xlfn.TEXTSPLIT(E391," - ")</f>
        <v>Beras</v>
      </c>
      <c r="G391" s="2" t="str">
        <v>Brand B</v>
      </c>
      <c r="H391" s="5">
        <v>15000</v>
      </c>
      <c r="I391" s="2">
        <v>4</v>
      </c>
      <c r="J391" s="2">
        <v>10</v>
      </c>
      <c r="K391" s="8">
        <f t="shared" si="36"/>
        <v>60000</v>
      </c>
      <c r="L391" s="8">
        <f t="shared" si="37"/>
        <v>6000</v>
      </c>
      <c r="M391" s="8">
        <f t="shared" si="38"/>
        <v>54000</v>
      </c>
      <c r="N391" s="5">
        <v>18000</v>
      </c>
      <c r="O391" s="8">
        <f t="shared" si="39"/>
        <v>72000</v>
      </c>
      <c r="P391" s="2" t="s">
        <v>35</v>
      </c>
      <c r="Q391" s="10" t="str">
        <f>VLOOKUP(A391,Status!A:B,2,0)</f>
        <v>Cancelled</v>
      </c>
      <c r="R391" s="2" t="s">
        <v>23</v>
      </c>
      <c r="S391" s="2">
        <v>1</v>
      </c>
      <c r="T391" s="2" t="s">
        <v>24</v>
      </c>
      <c r="U391" s="10" t="str">
        <f t="shared" si="41"/>
        <v>Mar</v>
      </c>
      <c r="V391" s="10">
        <f t="shared" si="40"/>
        <v>2025</v>
      </c>
      <c r="W391" t="e" cm="1">
        <f t="array" ref="W391">_xlfn.IFS(U391="January",1,U391="February",2,U391="March",3,U391="April",4,U391="May",5,U391="June",6,U391="July",7,U391="August",8,U391="September",9,U391="October",10,U391="November",11,U391="December",12)</f>
        <v>#N/A</v>
      </c>
    </row>
    <row r="392" spans="1:23" ht="15.75" customHeight="1" x14ac:dyDescent="0.25">
      <c r="A392" s="2" t="s">
        <v>1351</v>
      </c>
      <c r="B392" s="3">
        <v>45733.356956018521</v>
      </c>
      <c r="C392" s="2" t="s">
        <v>922</v>
      </c>
      <c r="D392" s="2" t="s">
        <v>33</v>
      </c>
      <c r="E392" s="2" t="s">
        <v>21</v>
      </c>
      <c r="F392" s="2" t="str" cm="1">
        <f t="array" ref="F392:G392">_xlfn.TEXTSPLIT(E392," - ")</f>
        <v>Daging Ayam</v>
      </c>
      <c r="G392" s="2" t="str">
        <v>Brand C</v>
      </c>
      <c r="H392" s="5">
        <v>45000</v>
      </c>
      <c r="I392" s="2">
        <v>3</v>
      </c>
      <c r="J392" s="2">
        <v>5</v>
      </c>
      <c r="K392" s="8">
        <f t="shared" si="36"/>
        <v>135000</v>
      </c>
      <c r="L392" s="8">
        <f t="shared" si="37"/>
        <v>6750</v>
      </c>
      <c r="M392" s="8">
        <f t="shared" si="38"/>
        <v>128250</v>
      </c>
      <c r="N392" s="5">
        <v>76000</v>
      </c>
      <c r="O392" s="8">
        <f t="shared" si="39"/>
        <v>204250</v>
      </c>
      <c r="P392" s="2" t="s">
        <v>29</v>
      </c>
      <c r="Q392" s="10" t="str">
        <f>VLOOKUP(A392,Status!A:B,2,0)</f>
        <v>Completed</v>
      </c>
      <c r="R392" s="2" t="s">
        <v>30</v>
      </c>
      <c r="S392" s="2">
        <v>2</v>
      </c>
      <c r="T392" s="2" t="s">
        <v>37</v>
      </c>
      <c r="U392" s="10" t="str">
        <f t="shared" si="41"/>
        <v>Mar</v>
      </c>
      <c r="V392" s="10">
        <f t="shared" si="40"/>
        <v>2025</v>
      </c>
      <c r="W392" t="e" cm="1">
        <f t="array" ref="W392">_xlfn.IFS(U392="January",1,U392="February",2,U392="March",3,U392="April",4,U392="May",5,U392="June",6,U392="July",7,U392="August",8,U392="September",9,U392="October",10,U392="November",11,U392="December",12)</f>
        <v>#N/A</v>
      </c>
    </row>
    <row r="393" spans="1:23" ht="15.75" customHeight="1" x14ac:dyDescent="0.25">
      <c r="A393" s="2" t="s">
        <v>1352</v>
      </c>
      <c r="B393" s="3">
        <v>45734.148993055547</v>
      </c>
      <c r="C393" s="2" t="s">
        <v>419</v>
      </c>
      <c r="D393" s="2" t="s">
        <v>103</v>
      </c>
      <c r="E393" s="2" t="s">
        <v>62</v>
      </c>
      <c r="F393" s="2" t="str" cm="1">
        <f t="array" ref="F393:G393">_xlfn.TEXTSPLIT(E393," - ")</f>
        <v>Susu Bubuk</v>
      </c>
      <c r="G393" s="2" t="str">
        <v>Brand B</v>
      </c>
      <c r="H393" s="5">
        <v>50000</v>
      </c>
      <c r="I393" s="2">
        <v>4</v>
      </c>
      <c r="J393" s="2">
        <v>15</v>
      </c>
      <c r="K393" s="8">
        <f t="shared" si="36"/>
        <v>200000</v>
      </c>
      <c r="L393" s="8">
        <f t="shared" si="37"/>
        <v>30000</v>
      </c>
      <c r="M393" s="8">
        <f t="shared" si="38"/>
        <v>170000</v>
      </c>
      <c r="N393" s="5">
        <v>85000</v>
      </c>
      <c r="O393" s="8">
        <f t="shared" si="39"/>
        <v>255000</v>
      </c>
      <c r="P393" s="2" t="s">
        <v>29</v>
      </c>
      <c r="Q393" s="10" t="str">
        <f>VLOOKUP(A393,Status!A:B,2,0)</f>
        <v>Completed</v>
      </c>
      <c r="R393" s="2" t="s">
        <v>82</v>
      </c>
      <c r="S393" s="2">
        <v>1</v>
      </c>
      <c r="T393" s="2" t="s">
        <v>37</v>
      </c>
      <c r="U393" s="10" t="str">
        <f t="shared" si="41"/>
        <v>Mar</v>
      </c>
      <c r="V393" s="10">
        <f t="shared" si="40"/>
        <v>2025</v>
      </c>
      <c r="W393" t="e" cm="1">
        <f t="array" ref="W393">_xlfn.IFS(U393="January",1,U393="February",2,U393="March",3,U393="April",4,U393="May",5,U393="June",6,U393="July",7,U393="August",8,U393="September",9,U393="October",10,U393="November",11,U393="December",12)</f>
        <v>#N/A</v>
      </c>
    </row>
    <row r="394" spans="1:23" ht="15.75" customHeight="1" x14ac:dyDescent="0.25">
      <c r="A394" s="2" t="s">
        <v>1353</v>
      </c>
      <c r="B394" s="3">
        <v>45734.5075</v>
      </c>
      <c r="C394" s="2" t="s">
        <v>1117</v>
      </c>
      <c r="D394" s="2" t="s">
        <v>126</v>
      </c>
      <c r="E394" s="2" t="s">
        <v>186</v>
      </c>
      <c r="F394" s="2" t="str" cm="1">
        <f t="array" ref="F394:G394">_xlfn.TEXTSPLIT(E394," - ")</f>
        <v>Susu Bubuk</v>
      </c>
      <c r="G394" s="2" t="str">
        <v>Brand A</v>
      </c>
      <c r="H394" s="5">
        <v>45000</v>
      </c>
      <c r="I394" s="2">
        <v>5</v>
      </c>
      <c r="J394" s="2">
        <v>10</v>
      </c>
      <c r="K394" s="8">
        <f t="shared" si="36"/>
        <v>225000</v>
      </c>
      <c r="L394" s="8">
        <f t="shared" si="37"/>
        <v>22500</v>
      </c>
      <c r="M394" s="8">
        <f t="shared" si="38"/>
        <v>202500</v>
      </c>
      <c r="N394" s="5">
        <v>84000</v>
      </c>
      <c r="O394" s="8">
        <f t="shared" si="39"/>
        <v>286500</v>
      </c>
      <c r="P394" s="2" t="s">
        <v>35</v>
      </c>
      <c r="Q394" s="10" t="str">
        <f>VLOOKUP(A394,Status!A:B,2,0)</f>
        <v>Completed</v>
      </c>
      <c r="R394" s="2" t="s">
        <v>30</v>
      </c>
      <c r="S394" s="2">
        <v>1</v>
      </c>
      <c r="T394" s="2" t="s">
        <v>24</v>
      </c>
      <c r="U394" s="10" t="str">
        <f t="shared" si="41"/>
        <v>Mar</v>
      </c>
      <c r="V394" s="10">
        <f t="shared" si="40"/>
        <v>2025</v>
      </c>
      <c r="W394" t="e" cm="1">
        <f t="array" ref="W394">_xlfn.IFS(U394="January",1,U394="February",2,U394="March",3,U394="April",4,U394="May",5,U394="June",6,U394="July",7,U394="August",8,U394="September",9,U394="October",10,U394="November",11,U394="December",12)</f>
        <v>#N/A</v>
      </c>
    </row>
    <row r="395" spans="1:23" ht="15.75" customHeight="1" x14ac:dyDescent="0.25">
      <c r="A395" s="2" t="s">
        <v>1354</v>
      </c>
      <c r="B395" s="3">
        <v>45734.971296296288</v>
      </c>
      <c r="C395" s="2" t="s">
        <v>209</v>
      </c>
      <c r="D395" s="2" t="s">
        <v>143</v>
      </c>
      <c r="E395" s="2" t="s">
        <v>190</v>
      </c>
      <c r="F395" s="2" t="str" cm="1">
        <f t="array" ref="F395:G395">_xlfn.TEXTSPLIT(E395," - ")</f>
        <v>Bawang Merah</v>
      </c>
      <c r="G395" s="2" t="str">
        <v>Brand B</v>
      </c>
      <c r="H395" s="5">
        <v>35000</v>
      </c>
      <c r="I395" s="2">
        <v>5</v>
      </c>
      <c r="J395" s="2">
        <v>10</v>
      </c>
      <c r="K395" s="8">
        <f t="shared" si="36"/>
        <v>175000</v>
      </c>
      <c r="L395" s="8">
        <f t="shared" si="37"/>
        <v>17500</v>
      </c>
      <c r="M395" s="8">
        <f t="shared" si="38"/>
        <v>157500</v>
      </c>
      <c r="N395" s="5">
        <v>50000</v>
      </c>
      <c r="O395" s="8">
        <f t="shared" si="39"/>
        <v>207500</v>
      </c>
      <c r="P395" s="2" t="s">
        <v>22</v>
      </c>
      <c r="Q395" s="10" t="str">
        <f>VLOOKUP(A395,Status!A:B,2,0)</f>
        <v>Completed</v>
      </c>
      <c r="R395" s="2" t="s">
        <v>82</v>
      </c>
      <c r="S395" s="2">
        <v>5</v>
      </c>
      <c r="T395" s="2" t="s">
        <v>37</v>
      </c>
      <c r="U395" s="10" t="str">
        <f t="shared" si="41"/>
        <v>Mar</v>
      </c>
      <c r="V395" s="10">
        <f t="shared" si="40"/>
        <v>2025</v>
      </c>
      <c r="W395" t="e" cm="1">
        <f t="array" ref="W395">_xlfn.IFS(U395="January",1,U395="February",2,U395="March",3,U395="April",4,U395="May",5,U395="June",6,U395="July",7,U395="August",8,U395="September",9,U395="October",10,U395="November",11,U395="December",12)</f>
        <v>#N/A</v>
      </c>
    </row>
    <row r="396" spans="1:23" ht="15.75" customHeight="1" x14ac:dyDescent="0.25">
      <c r="A396" s="2" t="s">
        <v>1355</v>
      </c>
      <c r="B396" s="3">
        <v>45735.488240740742</v>
      </c>
      <c r="C396" s="2" t="s">
        <v>73</v>
      </c>
      <c r="D396" s="2" t="s">
        <v>74</v>
      </c>
      <c r="E396" s="2" t="s">
        <v>54</v>
      </c>
      <c r="F396" s="2" t="str" cm="1">
        <f t="array" ref="F396:G396">_xlfn.TEXTSPLIT(E396," - ")</f>
        <v>Beras</v>
      </c>
      <c r="G396" s="2" t="str">
        <v>Brand C</v>
      </c>
      <c r="H396" s="5">
        <v>16000</v>
      </c>
      <c r="I396" s="2">
        <v>2</v>
      </c>
      <c r="J396" s="2">
        <v>10</v>
      </c>
      <c r="K396" s="8">
        <f t="shared" si="36"/>
        <v>32000</v>
      </c>
      <c r="L396" s="8">
        <f t="shared" si="37"/>
        <v>3200</v>
      </c>
      <c r="M396" s="8">
        <f t="shared" si="38"/>
        <v>28800</v>
      </c>
      <c r="N396" s="5">
        <v>87000</v>
      </c>
      <c r="O396" s="8">
        <f t="shared" si="39"/>
        <v>115800</v>
      </c>
      <c r="P396" s="2" t="s">
        <v>63</v>
      </c>
      <c r="Q396" s="10" t="str">
        <f>VLOOKUP(A396,Status!A:B,2,0)</f>
        <v>Completed</v>
      </c>
      <c r="R396" s="2" t="s">
        <v>23</v>
      </c>
      <c r="S396" s="2">
        <v>4</v>
      </c>
      <c r="T396" s="2" t="s">
        <v>24</v>
      </c>
      <c r="U396" s="10" t="str">
        <f t="shared" si="41"/>
        <v>Mar</v>
      </c>
      <c r="V396" s="10">
        <f t="shared" si="40"/>
        <v>2025</v>
      </c>
      <c r="W396" t="e" cm="1">
        <f t="array" ref="W396">_xlfn.IFS(U396="January",1,U396="February",2,U396="March",3,U396="April",4,U396="May",5,U396="June",6,U396="July",7,U396="August",8,U396="September",9,U396="October",10,U396="November",11,U396="December",12)</f>
        <v>#N/A</v>
      </c>
    </row>
    <row r="397" spans="1:23" ht="15.75" customHeight="1" x14ac:dyDescent="0.25">
      <c r="A397" s="2" t="s">
        <v>1356</v>
      </c>
      <c r="B397" s="3">
        <v>45735.5234837963</v>
      </c>
      <c r="C397" s="2" t="s">
        <v>557</v>
      </c>
      <c r="D397" s="2" t="s">
        <v>173</v>
      </c>
      <c r="E397" s="2" t="s">
        <v>250</v>
      </c>
      <c r="F397" s="2" t="str" cm="1">
        <f t="array" ref="F397:G397">_xlfn.TEXTSPLIT(E397," - ")</f>
        <v>Minyak Goreng</v>
      </c>
      <c r="G397" s="2" t="str">
        <v>Brand C</v>
      </c>
      <c r="H397" s="5">
        <v>18000</v>
      </c>
      <c r="I397" s="2">
        <v>3</v>
      </c>
      <c r="J397" s="2">
        <v>0</v>
      </c>
      <c r="K397" s="8">
        <f t="shared" si="36"/>
        <v>54000</v>
      </c>
      <c r="L397" s="8">
        <f t="shared" si="37"/>
        <v>0</v>
      </c>
      <c r="M397" s="8">
        <f t="shared" si="38"/>
        <v>54000</v>
      </c>
      <c r="N397" s="5">
        <v>49000</v>
      </c>
      <c r="O397" s="8">
        <f t="shared" si="39"/>
        <v>103000</v>
      </c>
      <c r="P397" s="2" t="s">
        <v>22</v>
      </c>
      <c r="Q397" s="10" t="str">
        <f>VLOOKUP(A397,Status!A:B,2,0)</f>
        <v>Completed</v>
      </c>
      <c r="R397" s="2" t="s">
        <v>30</v>
      </c>
      <c r="S397" s="2">
        <v>3</v>
      </c>
      <c r="T397" s="2" t="s">
        <v>24</v>
      </c>
      <c r="U397" s="10" t="str">
        <f t="shared" si="41"/>
        <v>Mar</v>
      </c>
      <c r="V397" s="10">
        <f t="shared" si="40"/>
        <v>2025</v>
      </c>
      <c r="W397" t="e" cm="1">
        <f t="array" ref="W397">_xlfn.IFS(U397="January",1,U397="February",2,U397="March",3,U397="April",4,U397="May",5,U397="June",6,U397="July",7,U397="August",8,U397="September",9,U397="October",10,U397="November",11,U397="December",12)</f>
        <v>#N/A</v>
      </c>
    </row>
    <row r="398" spans="1:23" ht="15.75" customHeight="1" x14ac:dyDescent="0.25">
      <c r="A398" s="2" t="s">
        <v>1357</v>
      </c>
      <c r="B398" s="3">
        <v>45735.684131944443</v>
      </c>
      <c r="C398" s="2" t="s">
        <v>461</v>
      </c>
      <c r="D398" s="2" t="s">
        <v>92</v>
      </c>
      <c r="E398" s="2" t="s">
        <v>50</v>
      </c>
      <c r="F398" s="2" t="str" cm="1">
        <f t="array" ref="F398:G398">_xlfn.TEXTSPLIT(E398," - ")</f>
        <v>Tepung Terigu</v>
      </c>
      <c r="G398" s="2" t="str">
        <v>Brand C</v>
      </c>
      <c r="H398" s="5">
        <v>14000</v>
      </c>
      <c r="I398" s="2">
        <v>3</v>
      </c>
      <c r="J398" s="2">
        <v>15</v>
      </c>
      <c r="K398" s="8">
        <f t="shared" si="36"/>
        <v>42000</v>
      </c>
      <c r="L398" s="8">
        <f t="shared" si="37"/>
        <v>6300</v>
      </c>
      <c r="M398" s="8">
        <f t="shared" si="38"/>
        <v>35700</v>
      </c>
      <c r="N398" s="5">
        <v>30000</v>
      </c>
      <c r="O398" s="8">
        <f t="shared" si="39"/>
        <v>65700</v>
      </c>
      <c r="P398" s="2" t="s">
        <v>22</v>
      </c>
      <c r="Q398" s="10" t="str">
        <f>VLOOKUP(A398,Status!A:B,2,0)</f>
        <v>Completed</v>
      </c>
      <c r="R398" s="2" t="s">
        <v>46</v>
      </c>
      <c r="S398" s="2">
        <v>5</v>
      </c>
      <c r="T398" s="2" t="s">
        <v>37</v>
      </c>
      <c r="U398" s="10" t="str">
        <f t="shared" si="41"/>
        <v>Mar</v>
      </c>
      <c r="V398" s="10">
        <f t="shared" si="40"/>
        <v>2025</v>
      </c>
      <c r="W398" t="e" cm="1">
        <f t="array" ref="W398">_xlfn.IFS(U398="January",1,U398="February",2,U398="March",3,U398="April",4,U398="May",5,U398="June",6,U398="July",7,U398="August",8,U398="September",9,U398="October",10,U398="November",11,U398="December",12)</f>
        <v>#N/A</v>
      </c>
    </row>
    <row r="399" spans="1:23" ht="15.75" customHeight="1" x14ac:dyDescent="0.25">
      <c r="A399" s="2" t="s">
        <v>1358</v>
      </c>
      <c r="B399" s="3">
        <v>45735.826261574082</v>
      </c>
      <c r="C399" s="2" t="s">
        <v>1359</v>
      </c>
      <c r="D399" s="2" t="s">
        <v>375</v>
      </c>
      <c r="E399" s="2" t="s">
        <v>58</v>
      </c>
      <c r="F399" s="2" t="str" cm="1">
        <f t="array" ref="F399:G399">_xlfn.TEXTSPLIT(E399," - ")</f>
        <v>Gula Pasir</v>
      </c>
      <c r="G399" s="2" t="str">
        <v>Brand A</v>
      </c>
      <c r="H399" s="5">
        <v>16000</v>
      </c>
      <c r="I399" s="2">
        <v>5</v>
      </c>
      <c r="J399" s="2">
        <v>0</v>
      </c>
      <c r="K399" s="8">
        <f t="shared" si="36"/>
        <v>80000</v>
      </c>
      <c r="L399" s="8">
        <f t="shared" si="37"/>
        <v>0</v>
      </c>
      <c r="M399" s="8">
        <f t="shared" si="38"/>
        <v>80000</v>
      </c>
      <c r="N399" s="5">
        <v>21000</v>
      </c>
      <c r="O399" s="8">
        <f t="shared" si="39"/>
        <v>101000</v>
      </c>
      <c r="P399" s="2" t="s">
        <v>22</v>
      </c>
      <c r="Q399" s="10" t="str">
        <f>VLOOKUP(A399,Status!A:B,2,0)</f>
        <v>Completed</v>
      </c>
      <c r="R399" s="2" t="s">
        <v>23</v>
      </c>
      <c r="S399" s="2">
        <v>5</v>
      </c>
      <c r="T399" s="2" t="s">
        <v>24</v>
      </c>
      <c r="U399" s="10" t="str">
        <f t="shared" si="41"/>
        <v>Mar</v>
      </c>
      <c r="V399" s="10">
        <f t="shared" si="40"/>
        <v>2025</v>
      </c>
      <c r="W399" t="e" cm="1">
        <f t="array" ref="W399">_xlfn.IFS(U399="January",1,U399="February",2,U399="March",3,U399="April",4,U399="May",5,U399="June",6,U399="July",7,U399="August",8,U399="September",9,U399="October",10,U399="November",11,U399="December",12)</f>
        <v>#N/A</v>
      </c>
    </row>
    <row r="400" spans="1:23" ht="15.75" customHeight="1" x14ac:dyDescent="0.25">
      <c r="A400" s="2" t="s">
        <v>1360</v>
      </c>
      <c r="B400" s="3">
        <v>45736.021226851852</v>
      </c>
      <c r="C400" s="2" t="s">
        <v>649</v>
      </c>
      <c r="D400" s="2" t="s">
        <v>177</v>
      </c>
      <c r="E400" s="2" t="s">
        <v>136</v>
      </c>
      <c r="F400" s="2" t="str" cm="1">
        <f t="array" ref="F400:G400">_xlfn.TEXTSPLIT(E400," - ")</f>
        <v>Tepung Terigu</v>
      </c>
      <c r="G400" s="2" t="str">
        <v>Brand B</v>
      </c>
      <c r="H400" s="5">
        <v>12000</v>
      </c>
      <c r="I400" s="2">
        <v>2</v>
      </c>
      <c r="J400" s="2">
        <v>10</v>
      </c>
      <c r="K400" s="8">
        <f t="shared" si="36"/>
        <v>24000</v>
      </c>
      <c r="L400" s="8">
        <f t="shared" si="37"/>
        <v>2400</v>
      </c>
      <c r="M400" s="8">
        <f t="shared" si="38"/>
        <v>21600</v>
      </c>
      <c r="N400" s="5">
        <v>56000</v>
      </c>
      <c r="O400" s="8">
        <f t="shared" si="39"/>
        <v>77600</v>
      </c>
      <c r="P400" s="2" t="s">
        <v>29</v>
      </c>
      <c r="Q400" s="10" t="str">
        <f>VLOOKUP(A400,Status!A:B,2,0)</f>
        <v>Completed</v>
      </c>
      <c r="R400" s="2" t="s">
        <v>46</v>
      </c>
      <c r="S400" s="2">
        <v>5</v>
      </c>
      <c r="T400" s="2" t="s">
        <v>24</v>
      </c>
      <c r="U400" s="10" t="str">
        <f t="shared" si="41"/>
        <v>Mar</v>
      </c>
      <c r="V400" s="10">
        <f t="shared" si="40"/>
        <v>2025</v>
      </c>
      <c r="W400" t="e" cm="1">
        <f t="array" ref="W400">_xlfn.IFS(U400="January",1,U400="February",2,U400="March",3,U400="April",4,U400="May",5,U400="June",6,U400="July",7,U400="August",8,U400="September",9,U400="October",10,U400="November",11,U400="December",12)</f>
        <v>#N/A</v>
      </c>
    </row>
    <row r="401" spans="1:23" ht="15.75" customHeight="1" x14ac:dyDescent="0.25">
      <c r="A401" s="2" t="s">
        <v>1361</v>
      </c>
      <c r="B401" s="3">
        <v>45736.038449074083</v>
      </c>
      <c r="C401" s="2" t="s">
        <v>804</v>
      </c>
      <c r="D401" s="2" t="s">
        <v>49</v>
      </c>
      <c r="E401" s="2" t="s">
        <v>138</v>
      </c>
      <c r="F401" s="2" t="str" cm="1">
        <f t="array" ref="F401:G401">_xlfn.TEXTSPLIT(E401," - ")</f>
        <v>Gula Pasir</v>
      </c>
      <c r="G401" s="2" t="str">
        <v>Brand B</v>
      </c>
      <c r="H401" s="5">
        <v>17000</v>
      </c>
      <c r="I401" s="2">
        <v>4</v>
      </c>
      <c r="J401" s="2">
        <v>10</v>
      </c>
      <c r="K401" s="8">
        <f t="shared" si="36"/>
        <v>68000</v>
      </c>
      <c r="L401" s="8">
        <f t="shared" si="37"/>
        <v>6800</v>
      </c>
      <c r="M401" s="8">
        <f t="shared" si="38"/>
        <v>61200</v>
      </c>
      <c r="N401" s="5">
        <v>43000</v>
      </c>
      <c r="O401" s="8">
        <f t="shared" si="39"/>
        <v>104200</v>
      </c>
      <c r="P401" s="2" t="s">
        <v>22</v>
      </c>
      <c r="Q401" s="10" t="str">
        <f>VLOOKUP(A401,Status!A:B,2,0)</f>
        <v>Completed</v>
      </c>
      <c r="R401" s="2" t="s">
        <v>46</v>
      </c>
      <c r="S401" s="2">
        <v>3</v>
      </c>
      <c r="T401" s="2" t="s">
        <v>24</v>
      </c>
      <c r="U401" s="10" t="str">
        <f t="shared" si="41"/>
        <v>Mar</v>
      </c>
      <c r="V401" s="10">
        <f t="shared" si="40"/>
        <v>2025</v>
      </c>
      <c r="W401" t="e" cm="1">
        <f t="array" ref="W401">_xlfn.IFS(U401="January",1,U401="February",2,U401="March",3,U401="April",4,U401="May",5,U401="June",6,U401="July",7,U401="August",8,U401="September",9,U401="October",10,U401="November",11,U401="December",12)</f>
        <v>#N/A</v>
      </c>
    </row>
    <row r="402" spans="1:23" ht="15.75" customHeight="1" x14ac:dyDescent="0.25">
      <c r="A402" s="2" t="s">
        <v>1362</v>
      </c>
      <c r="B402" s="3">
        <v>45736.070740740739</v>
      </c>
      <c r="C402" s="2" t="s">
        <v>786</v>
      </c>
      <c r="D402" s="2" t="s">
        <v>107</v>
      </c>
      <c r="E402" s="2" t="s">
        <v>45</v>
      </c>
      <c r="F402" s="2" t="str" cm="1">
        <f t="array" ref="F402:G402">_xlfn.TEXTSPLIT(E402," - ")</f>
        <v>Daging Ayam</v>
      </c>
      <c r="G402" s="2" t="str">
        <v>Brand B</v>
      </c>
      <c r="H402" s="5">
        <v>40000</v>
      </c>
      <c r="I402" s="2">
        <v>3</v>
      </c>
      <c r="J402" s="2">
        <v>15</v>
      </c>
      <c r="K402" s="8">
        <f t="shared" si="36"/>
        <v>120000</v>
      </c>
      <c r="L402" s="8">
        <f t="shared" si="37"/>
        <v>18000</v>
      </c>
      <c r="M402" s="8">
        <f t="shared" si="38"/>
        <v>102000</v>
      </c>
      <c r="N402" s="5">
        <v>97000</v>
      </c>
      <c r="O402" s="8">
        <f t="shared" si="39"/>
        <v>199000</v>
      </c>
      <c r="P402" s="2" t="s">
        <v>35</v>
      </c>
      <c r="Q402" s="10" t="str">
        <f>VLOOKUP(A402,Status!A:B,2,0)</f>
        <v>Completed</v>
      </c>
      <c r="R402" s="2" t="s">
        <v>23</v>
      </c>
      <c r="S402" s="2">
        <v>3</v>
      </c>
      <c r="T402" s="2" t="s">
        <v>24</v>
      </c>
      <c r="U402" s="10" t="str">
        <f t="shared" si="41"/>
        <v>Mar</v>
      </c>
      <c r="V402" s="10">
        <f t="shared" si="40"/>
        <v>2025</v>
      </c>
      <c r="W402" t="e" cm="1">
        <f t="array" ref="W402">_xlfn.IFS(U402="January",1,U402="February",2,U402="March",3,U402="April",4,U402="May",5,U402="June",6,U402="July",7,U402="August",8,U402="September",9,U402="October",10,U402="November",11,U402="December",12)</f>
        <v>#N/A</v>
      </c>
    </row>
    <row r="403" spans="1:23" ht="15.75" customHeight="1" x14ac:dyDescent="0.25">
      <c r="A403" s="2" t="s">
        <v>1363</v>
      </c>
      <c r="B403" s="3">
        <v>45736.211562500001</v>
      </c>
      <c r="C403" s="2" t="s">
        <v>576</v>
      </c>
      <c r="D403" s="2" t="s">
        <v>57</v>
      </c>
      <c r="E403" s="2" t="s">
        <v>38</v>
      </c>
      <c r="F403" s="2" t="str" cm="1">
        <f t="array" ref="F403:G403">_xlfn.TEXTSPLIT(E403," - ")</f>
        <v>Telur Ayam</v>
      </c>
      <c r="G403" s="2" t="str">
        <v>Brand C</v>
      </c>
      <c r="H403" s="5">
        <v>28000</v>
      </c>
      <c r="I403" s="2">
        <v>3</v>
      </c>
      <c r="J403" s="2">
        <v>5</v>
      </c>
      <c r="K403" s="8">
        <f t="shared" si="36"/>
        <v>84000</v>
      </c>
      <c r="L403" s="8">
        <f t="shared" si="37"/>
        <v>4200</v>
      </c>
      <c r="M403" s="8">
        <f t="shared" si="38"/>
        <v>79800</v>
      </c>
      <c r="N403" s="5">
        <v>80000</v>
      </c>
      <c r="O403" s="8">
        <f t="shared" si="39"/>
        <v>159800</v>
      </c>
      <c r="P403" s="2" t="s">
        <v>29</v>
      </c>
      <c r="Q403" s="10" t="str">
        <f>VLOOKUP(A403,Status!A:B,2,0)</f>
        <v>Cancelled</v>
      </c>
      <c r="R403" s="2" t="s">
        <v>23</v>
      </c>
      <c r="S403" s="2">
        <v>3</v>
      </c>
      <c r="T403" s="2" t="s">
        <v>37</v>
      </c>
      <c r="U403" s="10" t="str">
        <f t="shared" si="41"/>
        <v>Mar</v>
      </c>
      <c r="V403" s="10">
        <f t="shared" si="40"/>
        <v>2025</v>
      </c>
      <c r="W403" t="e" cm="1">
        <f t="array" ref="W403">_xlfn.IFS(U403="January",1,U403="February",2,U403="March",3,U403="April",4,U403="May",5,U403="June",6,U403="July",7,U403="August",8,U403="September",9,U403="October",10,U403="November",11,U403="December",12)</f>
        <v>#N/A</v>
      </c>
    </row>
    <row r="404" spans="1:23" ht="15.75" customHeight="1" x14ac:dyDescent="0.25">
      <c r="A404" s="2" t="s">
        <v>1364</v>
      </c>
      <c r="B404" s="3">
        <v>45736.284513888888</v>
      </c>
      <c r="C404" s="2" t="s">
        <v>856</v>
      </c>
      <c r="D404" s="2" t="s">
        <v>244</v>
      </c>
      <c r="E404" s="2" t="s">
        <v>110</v>
      </c>
      <c r="F404" s="2" t="str" cm="1">
        <f t="array" ref="F404:G404">_xlfn.TEXTSPLIT(E404," - ")</f>
        <v>Garam</v>
      </c>
      <c r="G404" s="2" t="str">
        <v>Brand C</v>
      </c>
      <c r="H404" s="5">
        <v>6000</v>
      </c>
      <c r="I404" s="2">
        <v>5</v>
      </c>
      <c r="J404" s="2">
        <v>0</v>
      </c>
      <c r="K404" s="8">
        <f t="shared" si="36"/>
        <v>30000</v>
      </c>
      <c r="L404" s="8">
        <f t="shared" si="37"/>
        <v>0</v>
      </c>
      <c r="M404" s="8">
        <f t="shared" si="38"/>
        <v>30000</v>
      </c>
      <c r="N404" s="5">
        <v>80000</v>
      </c>
      <c r="O404" s="8">
        <f t="shared" si="39"/>
        <v>110000</v>
      </c>
      <c r="P404" s="2" t="s">
        <v>63</v>
      </c>
      <c r="Q404" s="10" t="str">
        <f>VLOOKUP(A404,Status!A:B,2,0)</f>
        <v>Returned</v>
      </c>
      <c r="R404" s="2" t="s">
        <v>23</v>
      </c>
      <c r="S404" s="2">
        <v>5</v>
      </c>
      <c r="T404" s="2" t="s">
        <v>24</v>
      </c>
      <c r="U404" s="10" t="str">
        <f t="shared" si="41"/>
        <v>Mar</v>
      </c>
      <c r="V404" s="10">
        <f t="shared" si="40"/>
        <v>2025</v>
      </c>
      <c r="W404" t="e" cm="1">
        <f t="array" ref="W404">_xlfn.IFS(U404="January",1,U404="February",2,U404="March",3,U404="April",4,U404="May",5,U404="June",6,U404="July",7,U404="August",8,U404="September",9,U404="October",10,U404="November",11,U404="December",12)</f>
        <v>#N/A</v>
      </c>
    </row>
    <row r="405" spans="1:23" ht="15.75" customHeight="1" x14ac:dyDescent="0.25">
      <c r="A405" s="2" t="s">
        <v>1365</v>
      </c>
      <c r="B405" s="3">
        <v>45736.322326388887</v>
      </c>
      <c r="C405" s="2" t="s">
        <v>1366</v>
      </c>
      <c r="D405" s="2" t="s">
        <v>126</v>
      </c>
      <c r="E405" s="2" t="s">
        <v>123</v>
      </c>
      <c r="F405" s="2" t="str" cm="1">
        <f t="array" ref="F405:G405">_xlfn.TEXTSPLIT(E405," - ")</f>
        <v>Telur Ayam</v>
      </c>
      <c r="G405" s="2" t="str">
        <v>Brand A</v>
      </c>
      <c r="H405" s="5">
        <v>22000</v>
      </c>
      <c r="I405" s="2">
        <v>1</v>
      </c>
      <c r="J405" s="2">
        <v>0</v>
      </c>
      <c r="K405" s="8">
        <f t="shared" si="36"/>
        <v>22000</v>
      </c>
      <c r="L405" s="8">
        <f t="shared" si="37"/>
        <v>0</v>
      </c>
      <c r="M405" s="8">
        <f t="shared" si="38"/>
        <v>22000</v>
      </c>
      <c r="N405" s="5">
        <v>84000</v>
      </c>
      <c r="O405" s="8">
        <f t="shared" si="39"/>
        <v>106000</v>
      </c>
      <c r="P405" s="2" t="s">
        <v>29</v>
      </c>
      <c r="Q405" s="10" t="str">
        <f>VLOOKUP(A405,Status!A:B,2,0)</f>
        <v>Completed</v>
      </c>
      <c r="R405" s="2" t="s">
        <v>30</v>
      </c>
      <c r="S405" s="2">
        <v>1</v>
      </c>
      <c r="T405" s="2" t="s">
        <v>24</v>
      </c>
      <c r="U405" s="10" t="str">
        <f t="shared" si="41"/>
        <v>Mar</v>
      </c>
      <c r="V405" s="10">
        <f t="shared" si="40"/>
        <v>2025</v>
      </c>
      <c r="W405" t="e" cm="1">
        <f t="array" ref="W405">_xlfn.IFS(U405="January",1,U405="February",2,U405="March",3,U405="April",4,U405="May",5,U405="June",6,U405="July",7,U405="August",8,U405="September",9,U405="October",10,U405="November",11,U405="December",12)</f>
        <v>#N/A</v>
      </c>
    </row>
    <row r="406" spans="1:23" ht="15.75" customHeight="1" x14ac:dyDescent="0.25">
      <c r="A406" s="2" t="s">
        <v>1367</v>
      </c>
      <c r="B406" s="3">
        <v>45736.34652777778</v>
      </c>
      <c r="C406" s="2" t="s">
        <v>844</v>
      </c>
      <c r="D406" s="2" t="s">
        <v>119</v>
      </c>
      <c r="E406" s="2" t="s">
        <v>34</v>
      </c>
      <c r="F406" s="2" t="str" cm="1">
        <f t="array" ref="F406:G406">_xlfn.TEXTSPLIT(E406," - ")</f>
        <v>Minyak Goreng</v>
      </c>
      <c r="G406" s="2" t="str">
        <v>Brand A</v>
      </c>
      <c r="H406" s="5">
        <v>16000</v>
      </c>
      <c r="I406" s="2">
        <v>3</v>
      </c>
      <c r="J406" s="2">
        <v>0</v>
      </c>
      <c r="K406" s="8">
        <f t="shared" si="36"/>
        <v>48000</v>
      </c>
      <c r="L406" s="8">
        <f t="shared" si="37"/>
        <v>0</v>
      </c>
      <c r="M406" s="8">
        <f t="shared" si="38"/>
        <v>48000</v>
      </c>
      <c r="N406" s="5">
        <v>0</v>
      </c>
      <c r="O406" s="8">
        <f t="shared" si="39"/>
        <v>48000</v>
      </c>
      <c r="P406" s="2" t="s">
        <v>35</v>
      </c>
      <c r="Q406" s="10" t="str">
        <f>VLOOKUP(A406,Status!A:B,2,0)</f>
        <v>Completed</v>
      </c>
      <c r="R406" s="2" t="s">
        <v>36</v>
      </c>
      <c r="S406" s="2">
        <v>4</v>
      </c>
      <c r="T406" s="2" t="s">
        <v>24</v>
      </c>
      <c r="U406" s="10" t="str">
        <f t="shared" si="41"/>
        <v>Mar</v>
      </c>
      <c r="V406" s="10">
        <f t="shared" si="40"/>
        <v>2025</v>
      </c>
      <c r="W406" t="e" cm="1">
        <f t="array" ref="W406">_xlfn.IFS(U406="January",1,U406="February",2,U406="March",3,U406="April",4,U406="May",5,U406="June",6,U406="July",7,U406="August",8,U406="September",9,U406="October",10,U406="November",11,U406="December",12)</f>
        <v>#N/A</v>
      </c>
    </row>
    <row r="407" spans="1:23" ht="15.75" customHeight="1" x14ac:dyDescent="0.25">
      <c r="A407" s="2" t="s">
        <v>1368</v>
      </c>
      <c r="B407" s="3">
        <v>45736.6719212963</v>
      </c>
      <c r="C407" s="2" t="s">
        <v>100</v>
      </c>
      <c r="D407" s="2" t="s">
        <v>66</v>
      </c>
      <c r="E407" s="2" t="s">
        <v>85</v>
      </c>
      <c r="F407" s="2" t="str" cm="1">
        <f t="array" ref="F407:G407">_xlfn.TEXTSPLIT(E407," - ")</f>
        <v>Daging Ayam</v>
      </c>
      <c r="G407" s="2" t="str">
        <v>Brand A</v>
      </c>
      <c r="H407" s="5">
        <v>35000</v>
      </c>
      <c r="I407" s="2">
        <v>4</v>
      </c>
      <c r="J407" s="2">
        <v>10</v>
      </c>
      <c r="K407" s="8">
        <f t="shared" si="36"/>
        <v>140000</v>
      </c>
      <c r="L407" s="8">
        <f t="shared" si="37"/>
        <v>14000</v>
      </c>
      <c r="M407" s="8">
        <f t="shared" si="38"/>
        <v>126000</v>
      </c>
      <c r="N407" s="5">
        <v>59000</v>
      </c>
      <c r="O407" s="8">
        <f t="shared" si="39"/>
        <v>185000</v>
      </c>
      <c r="P407" s="2" t="s">
        <v>22</v>
      </c>
      <c r="Q407" s="10" t="str">
        <f>VLOOKUP(A407,Status!A:B,2,0)</f>
        <v>Completed</v>
      </c>
      <c r="R407" s="2" t="s">
        <v>30</v>
      </c>
      <c r="S407" s="2">
        <v>2</v>
      </c>
      <c r="T407" s="2" t="s">
        <v>24</v>
      </c>
      <c r="U407" s="10" t="str">
        <f t="shared" si="41"/>
        <v>Mar</v>
      </c>
      <c r="V407" s="10">
        <f t="shared" si="40"/>
        <v>2025</v>
      </c>
      <c r="W407" t="e" cm="1">
        <f t="array" ref="W407">_xlfn.IFS(U407="January",1,U407="February",2,U407="March",3,U407="April",4,U407="May",5,U407="June",6,U407="July",7,U407="August",8,U407="September",9,U407="October",10,U407="November",11,U407="December",12)</f>
        <v>#N/A</v>
      </c>
    </row>
    <row r="408" spans="1:23" ht="15.75" customHeight="1" x14ac:dyDescent="0.25">
      <c r="A408" s="2" t="s">
        <v>1369</v>
      </c>
      <c r="B408" s="3">
        <v>45736.679571759261</v>
      </c>
      <c r="C408" s="2" t="s">
        <v>477</v>
      </c>
      <c r="D408" s="2" t="s">
        <v>182</v>
      </c>
      <c r="E408" s="2" t="s">
        <v>75</v>
      </c>
      <c r="F408" s="2" t="str" cm="1">
        <f t="array" ref="F408:G408">_xlfn.TEXTSPLIT(E408," - ")</f>
        <v>Susu Bubuk</v>
      </c>
      <c r="G408" s="2" t="str">
        <v>Brand C</v>
      </c>
      <c r="H408" s="5">
        <v>55000</v>
      </c>
      <c r="I408" s="2">
        <v>2</v>
      </c>
      <c r="J408" s="2">
        <v>10</v>
      </c>
      <c r="K408" s="8">
        <f t="shared" si="36"/>
        <v>110000</v>
      </c>
      <c r="L408" s="8">
        <f t="shared" si="37"/>
        <v>11000</v>
      </c>
      <c r="M408" s="8">
        <f t="shared" si="38"/>
        <v>99000</v>
      </c>
      <c r="N408" s="5">
        <v>48000</v>
      </c>
      <c r="O408" s="8">
        <f t="shared" si="39"/>
        <v>147000</v>
      </c>
      <c r="P408" s="2" t="s">
        <v>35</v>
      </c>
      <c r="Q408" s="10" t="str">
        <f>VLOOKUP(A408,Status!A:B,2,0)</f>
        <v>Completed</v>
      </c>
      <c r="R408" s="2" t="s">
        <v>46</v>
      </c>
      <c r="S408" s="2">
        <v>3</v>
      </c>
      <c r="T408" s="2" t="s">
        <v>24</v>
      </c>
      <c r="U408" s="10" t="str">
        <f t="shared" si="41"/>
        <v>Mar</v>
      </c>
      <c r="V408" s="10">
        <f t="shared" si="40"/>
        <v>2025</v>
      </c>
      <c r="W408" t="e" cm="1">
        <f t="array" ref="W408">_xlfn.IFS(U408="January",1,U408="February",2,U408="March",3,U408="April",4,U408="May",5,U408="June",6,U408="July",7,U408="August",8,U408="September",9,U408="October",10,U408="November",11,U408="December",12)</f>
        <v>#N/A</v>
      </c>
    </row>
    <row r="409" spans="1:23" ht="15.75" customHeight="1" x14ac:dyDescent="0.25">
      <c r="A409" s="2" t="s">
        <v>1370</v>
      </c>
      <c r="B409" s="3">
        <v>45736.849074074067</v>
      </c>
      <c r="C409" s="2" t="s">
        <v>520</v>
      </c>
      <c r="D409" s="2" t="s">
        <v>103</v>
      </c>
      <c r="E409" s="2" t="s">
        <v>174</v>
      </c>
      <c r="F409" s="2" t="str" cm="1">
        <f t="array" ref="F409:G409">_xlfn.TEXTSPLIT(E409," - ")</f>
        <v>Tepung Terigu</v>
      </c>
      <c r="G409" s="2" t="str">
        <v>Brand A</v>
      </c>
      <c r="H409" s="5">
        <v>10000</v>
      </c>
      <c r="I409" s="2">
        <v>4</v>
      </c>
      <c r="J409" s="2">
        <v>20</v>
      </c>
      <c r="K409" s="8">
        <f t="shared" si="36"/>
        <v>40000</v>
      </c>
      <c r="L409" s="8">
        <f t="shared" si="37"/>
        <v>8000</v>
      </c>
      <c r="M409" s="8">
        <f t="shared" si="38"/>
        <v>32000</v>
      </c>
      <c r="N409" s="5">
        <v>85000</v>
      </c>
      <c r="O409" s="8">
        <f t="shared" si="39"/>
        <v>117000</v>
      </c>
      <c r="P409" s="2" t="s">
        <v>29</v>
      </c>
      <c r="Q409" s="10" t="str">
        <f>VLOOKUP(A409,Status!A:B,2,0)</f>
        <v>Completed</v>
      </c>
      <c r="R409" s="2" t="s">
        <v>30</v>
      </c>
      <c r="S409" s="2">
        <v>4</v>
      </c>
      <c r="T409" s="2" t="s">
        <v>24</v>
      </c>
      <c r="U409" s="10" t="str">
        <f t="shared" si="41"/>
        <v>Mar</v>
      </c>
      <c r="V409" s="10">
        <f t="shared" si="40"/>
        <v>2025</v>
      </c>
      <c r="W409" t="e" cm="1">
        <f t="array" ref="W409">_xlfn.IFS(U409="January",1,U409="February",2,U409="March",3,U409="April",4,U409="May",5,U409="June",6,U409="July",7,U409="August",8,U409="September",9,U409="October",10,U409="November",11,U409="December",12)</f>
        <v>#N/A</v>
      </c>
    </row>
    <row r="410" spans="1:23" ht="15.75" customHeight="1" x14ac:dyDescent="0.25">
      <c r="A410" s="2" t="s">
        <v>1371</v>
      </c>
      <c r="B410" s="3">
        <v>45737.027592592603</v>
      </c>
      <c r="C410" s="2" t="s">
        <v>389</v>
      </c>
      <c r="D410" s="2" t="s">
        <v>182</v>
      </c>
      <c r="E410" s="2" t="s">
        <v>21</v>
      </c>
      <c r="F410" s="2" t="str" cm="1">
        <f t="array" ref="F410:G410">_xlfn.TEXTSPLIT(E410," - ")</f>
        <v>Daging Ayam</v>
      </c>
      <c r="G410" s="2" t="str">
        <v>Brand C</v>
      </c>
      <c r="H410" s="5">
        <v>45000</v>
      </c>
      <c r="I410" s="2">
        <v>3</v>
      </c>
      <c r="J410" s="2">
        <v>20</v>
      </c>
      <c r="K410" s="8">
        <f t="shared" si="36"/>
        <v>135000</v>
      </c>
      <c r="L410" s="8">
        <f t="shared" si="37"/>
        <v>27000</v>
      </c>
      <c r="M410" s="8">
        <f t="shared" si="38"/>
        <v>108000</v>
      </c>
      <c r="N410" s="5">
        <v>48000</v>
      </c>
      <c r="O410" s="8">
        <f t="shared" si="39"/>
        <v>156000</v>
      </c>
      <c r="P410" s="2" t="s">
        <v>22</v>
      </c>
      <c r="Q410" s="10" t="str">
        <f>VLOOKUP(A410,Status!A:B,2,0)</f>
        <v>Completed</v>
      </c>
      <c r="R410" s="2" t="s">
        <v>23</v>
      </c>
      <c r="S410" s="2">
        <v>1</v>
      </c>
      <c r="T410" s="2" t="s">
        <v>24</v>
      </c>
      <c r="U410" s="10" t="str">
        <f t="shared" si="41"/>
        <v>Mar</v>
      </c>
      <c r="V410" s="10">
        <f t="shared" si="40"/>
        <v>2025</v>
      </c>
      <c r="W410" t="e" cm="1">
        <f t="array" ref="W410">_xlfn.IFS(U410="January",1,U410="February",2,U410="March",3,U410="April",4,U410="May",5,U410="June",6,U410="July",7,U410="August",8,U410="September",9,U410="October",10,U410="November",11,U410="December",12)</f>
        <v>#N/A</v>
      </c>
    </row>
    <row r="411" spans="1:23" ht="15.75" customHeight="1" x14ac:dyDescent="0.25">
      <c r="A411" s="2" t="s">
        <v>1372</v>
      </c>
      <c r="B411" s="3">
        <v>45737.09814814815</v>
      </c>
      <c r="C411" s="2" t="s">
        <v>530</v>
      </c>
      <c r="D411" s="2" t="s">
        <v>151</v>
      </c>
      <c r="E411" s="2" t="s">
        <v>75</v>
      </c>
      <c r="F411" s="2" t="str" cm="1">
        <f t="array" ref="F411:G411">_xlfn.TEXTSPLIT(E411," - ")</f>
        <v>Susu Bubuk</v>
      </c>
      <c r="G411" s="2" t="str">
        <v>Brand C</v>
      </c>
      <c r="H411" s="5">
        <v>55000</v>
      </c>
      <c r="I411" s="2">
        <v>4</v>
      </c>
      <c r="J411" s="2">
        <v>5</v>
      </c>
      <c r="K411" s="8">
        <f t="shared" si="36"/>
        <v>220000</v>
      </c>
      <c r="L411" s="8">
        <f t="shared" si="37"/>
        <v>11000</v>
      </c>
      <c r="M411" s="8">
        <f t="shared" si="38"/>
        <v>209000</v>
      </c>
      <c r="N411" s="5">
        <v>55000</v>
      </c>
      <c r="O411" s="8">
        <f t="shared" si="39"/>
        <v>264000</v>
      </c>
      <c r="P411" s="2" t="s">
        <v>22</v>
      </c>
      <c r="Q411" s="10" t="str">
        <f>VLOOKUP(A411,Status!A:B,2,0)</f>
        <v>Completed</v>
      </c>
      <c r="R411" s="2" t="s">
        <v>82</v>
      </c>
      <c r="S411" s="2">
        <v>2</v>
      </c>
      <c r="T411" s="2" t="s">
        <v>24</v>
      </c>
      <c r="U411" s="10" t="str">
        <f t="shared" si="41"/>
        <v>Mar</v>
      </c>
      <c r="V411" s="10">
        <f t="shared" si="40"/>
        <v>2025</v>
      </c>
      <c r="W411" t="e" cm="1">
        <f t="array" ref="W411">_xlfn.IFS(U411="January",1,U411="February",2,U411="March",3,U411="April",4,U411="May",5,U411="June",6,U411="July",7,U411="August",8,U411="September",9,U411="October",10,U411="November",11,U411="December",12)</f>
        <v>#N/A</v>
      </c>
    </row>
    <row r="412" spans="1:23" ht="15.75" customHeight="1" x14ac:dyDescent="0.25">
      <c r="A412" s="2" t="s">
        <v>1372</v>
      </c>
      <c r="B412" s="3">
        <v>45737.09814814815</v>
      </c>
      <c r="C412" s="2" t="s">
        <v>530</v>
      </c>
      <c r="D412" s="2" t="s">
        <v>151</v>
      </c>
      <c r="E412" s="2" t="s">
        <v>104</v>
      </c>
      <c r="F412" s="2" t="str" cm="1">
        <f t="array" ref="F412:G412">_xlfn.TEXTSPLIT(E412," - ")</f>
        <v>Bawang Merah</v>
      </c>
      <c r="G412" s="2" t="str">
        <v>Brand A</v>
      </c>
      <c r="H412" s="5">
        <v>30000</v>
      </c>
      <c r="I412" s="2">
        <v>3</v>
      </c>
      <c r="J412" s="2">
        <v>5</v>
      </c>
      <c r="K412" s="8">
        <f t="shared" si="36"/>
        <v>90000</v>
      </c>
      <c r="L412" s="8">
        <f t="shared" si="37"/>
        <v>4500</v>
      </c>
      <c r="M412" s="8">
        <f t="shared" si="38"/>
        <v>85500</v>
      </c>
      <c r="N412" s="5">
        <v>0</v>
      </c>
      <c r="O412" s="8">
        <f t="shared" si="39"/>
        <v>85500</v>
      </c>
      <c r="P412" s="2" t="s">
        <v>22</v>
      </c>
      <c r="Q412" s="10" t="str">
        <f>VLOOKUP(A412,Status!A:B,2,0)</f>
        <v>Completed</v>
      </c>
      <c r="R412" s="2" t="s">
        <v>82</v>
      </c>
      <c r="S412" s="2">
        <v>2</v>
      </c>
      <c r="T412" s="2" t="s">
        <v>24</v>
      </c>
      <c r="U412" s="10" t="str">
        <f t="shared" si="41"/>
        <v>Mar</v>
      </c>
      <c r="V412" s="10">
        <f t="shared" si="40"/>
        <v>2025</v>
      </c>
      <c r="W412" t="e" cm="1">
        <f t="array" ref="W412">_xlfn.IFS(U412="January",1,U412="February",2,U412="March",3,U412="April",4,U412="May",5,U412="June",6,U412="July",7,U412="August",8,U412="September",9,U412="October",10,U412="November",11,U412="December",12)</f>
        <v>#N/A</v>
      </c>
    </row>
    <row r="413" spans="1:23" ht="15.75" customHeight="1" x14ac:dyDescent="0.25">
      <c r="A413" s="2" t="s">
        <v>1373</v>
      </c>
      <c r="B413" s="3">
        <v>45737.182812500003</v>
      </c>
      <c r="C413" s="2" t="s">
        <v>379</v>
      </c>
      <c r="D413" s="2" t="s">
        <v>27</v>
      </c>
      <c r="E413" s="2" t="s">
        <v>75</v>
      </c>
      <c r="F413" s="2" t="str" cm="1">
        <f t="array" ref="F413:G413">_xlfn.TEXTSPLIT(E413," - ")</f>
        <v>Susu Bubuk</v>
      </c>
      <c r="G413" s="2" t="str">
        <v>Brand C</v>
      </c>
      <c r="H413" s="5">
        <v>55000</v>
      </c>
      <c r="I413" s="2">
        <v>4</v>
      </c>
      <c r="J413" s="2">
        <v>20</v>
      </c>
      <c r="K413" s="8">
        <f t="shared" si="36"/>
        <v>220000</v>
      </c>
      <c r="L413" s="8">
        <f t="shared" si="37"/>
        <v>44000</v>
      </c>
      <c r="M413" s="8">
        <f t="shared" si="38"/>
        <v>176000</v>
      </c>
      <c r="N413" s="5">
        <v>17000</v>
      </c>
      <c r="O413" s="8">
        <f t="shared" si="39"/>
        <v>193000</v>
      </c>
      <c r="P413" s="2" t="s">
        <v>29</v>
      </c>
      <c r="Q413" s="10" t="str">
        <f>VLOOKUP(A413,Status!A:B,2,0)</f>
        <v>Returned</v>
      </c>
      <c r="R413" s="2" t="s">
        <v>46</v>
      </c>
      <c r="S413" s="2">
        <v>1</v>
      </c>
      <c r="T413" s="2" t="s">
        <v>24</v>
      </c>
      <c r="U413" s="10" t="str">
        <f t="shared" si="41"/>
        <v>Mar</v>
      </c>
      <c r="V413" s="10">
        <f t="shared" si="40"/>
        <v>2025</v>
      </c>
      <c r="W413" t="e" cm="1">
        <f t="array" ref="W413">_xlfn.IFS(U413="January",1,U413="February",2,U413="March",3,U413="April",4,U413="May",5,U413="June",6,U413="July",7,U413="August",8,U413="September",9,U413="October",10,U413="November",11,U413="December",12)</f>
        <v>#N/A</v>
      </c>
    </row>
    <row r="414" spans="1:23" ht="15.75" customHeight="1" x14ac:dyDescent="0.25">
      <c r="A414" s="2" t="s">
        <v>1374</v>
      </c>
      <c r="B414" s="3">
        <v>45737.262083333328</v>
      </c>
      <c r="C414" s="2" t="s">
        <v>157</v>
      </c>
      <c r="D414" s="2" t="s">
        <v>20</v>
      </c>
      <c r="E414" s="2" t="s">
        <v>190</v>
      </c>
      <c r="F414" s="2" t="str" cm="1">
        <f t="array" ref="F414:G414">_xlfn.TEXTSPLIT(E414," - ")</f>
        <v>Bawang Merah</v>
      </c>
      <c r="G414" s="2" t="str">
        <v>Brand B</v>
      </c>
      <c r="H414" s="5">
        <v>35000</v>
      </c>
      <c r="I414" s="2">
        <v>1</v>
      </c>
      <c r="J414" s="2">
        <v>15</v>
      </c>
      <c r="K414" s="8">
        <f t="shared" si="36"/>
        <v>35000</v>
      </c>
      <c r="L414" s="8">
        <f t="shared" si="37"/>
        <v>5250</v>
      </c>
      <c r="M414" s="8">
        <f t="shared" si="38"/>
        <v>29750</v>
      </c>
      <c r="N414" s="5">
        <v>15000</v>
      </c>
      <c r="O414" s="8">
        <f t="shared" si="39"/>
        <v>44750</v>
      </c>
      <c r="P414" s="2" t="s">
        <v>29</v>
      </c>
      <c r="Q414" s="10" t="str">
        <f>VLOOKUP(A414,Status!A:B,2,0)</f>
        <v>Completed</v>
      </c>
      <c r="R414" s="2" t="s">
        <v>30</v>
      </c>
      <c r="S414" s="2">
        <v>2</v>
      </c>
      <c r="T414" s="2" t="s">
        <v>24</v>
      </c>
      <c r="U414" s="10" t="str">
        <f t="shared" si="41"/>
        <v>Mar</v>
      </c>
      <c r="V414" s="10">
        <f t="shared" si="40"/>
        <v>2025</v>
      </c>
      <c r="W414" t="e" cm="1">
        <f t="array" ref="W414">_xlfn.IFS(U414="January",1,U414="February",2,U414="March",3,U414="April",4,U414="May",5,U414="June",6,U414="July",7,U414="August",8,U414="September",9,U414="October",10,U414="November",11,U414="December",12)</f>
        <v>#N/A</v>
      </c>
    </row>
    <row r="415" spans="1:23" ht="15.75" customHeight="1" x14ac:dyDescent="0.25">
      <c r="A415" s="2" t="s">
        <v>1375</v>
      </c>
      <c r="B415" s="3">
        <v>45737.274826388893</v>
      </c>
      <c r="C415" s="2" t="s">
        <v>197</v>
      </c>
      <c r="D415" s="2" t="s">
        <v>119</v>
      </c>
      <c r="E415" s="2" t="s">
        <v>93</v>
      </c>
      <c r="F415" s="2" t="str" cm="1">
        <f t="array" ref="F415:G415">_xlfn.TEXTSPLIT(E415," - ")</f>
        <v>Telur Ayam</v>
      </c>
      <c r="G415" s="2" t="str">
        <v>Brand B</v>
      </c>
      <c r="H415" s="5">
        <v>25000</v>
      </c>
      <c r="I415" s="2">
        <v>2</v>
      </c>
      <c r="J415" s="2">
        <v>0</v>
      </c>
      <c r="K415" s="8">
        <f t="shared" si="36"/>
        <v>50000</v>
      </c>
      <c r="L415" s="8">
        <f t="shared" si="37"/>
        <v>0</v>
      </c>
      <c r="M415" s="8">
        <f t="shared" si="38"/>
        <v>50000</v>
      </c>
      <c r="N415" s="5">
        <v>0</v>
      </c>
      <c r="O415" s="8">
        <f t="shared" si="39"/>
        <v>50000</v>
      </c>
      <c r="P415" s="2" t="s">
        <v>35</v>
      </c>
      <c r="Q415" s="10" t="str">
        <f>VLOOKUP(A415,Status!A:B,2,0)</f>
        <v>Completed</v>
      </c>
      <c r="R415" s="2" t="s">
        <v>23</v>
      </c>
      <c r="S415" s="2">
        <v>1</v>
      </c>
      <c r="T415" s="2" t="s">
        <v>37</v>
      </c>
      <c r="U415" s="10" t="str">
        <f t="shared" si="41"/>
        <v>Mar</v>
      </c>
      <c r="V415" s="10">
        <f t="shared" si="40"/>
        <v>2025</v>
      </c>
      <c r="W415" t="e" cm="1">
        <f t="array" ref="W415">_xlfn.IFS(U415="January",1,U415="February",2,U415="March",3,U415="April",4,U415="May",5,U415="June",6,U415="July",7,U415="August",8,U415="September",9,U415="October",10,U415="November",11,U415="December",12)</f>
        <v>#N/A</v>
      </c>
    </row>
    <row r="416" spans="1:23" ht="15.75" customHeight="1" x14ac:dyDescent="0.25">
      <c r="A416" s="2" t="s">
        <v>1376</v>
      </c>
      <c r="B416" s="3">
        <v>45737.416400462957</v>
      </c>
      <c r="C416" s="2" t="s">
        <v>459</v>
      </c>
      <c r="D416" s="2" t="s">
        <v>61</v>
      </c>
      <c r="E416" s="2" t="s">
        <v>41</v>
      </c>
      <c r="F416" s="2" t="str" cm="1">
        <f t="array" ref="F416:G416">_xlfn.TEXTSPLIT(E416," - ")</f>
        <v>Garam</v>
      </c>
      <c r="G416" s="2" t="str">
        <v>Brand A</v>
      </c>
      <c r="H416" s="5">
        <v>4000</v>
      </c>
      <c r="I416" s="2">
        <v>1</v>
      </c>
      <c r="J416" s="2">
        <v>15</v>
      </c>
      <c r="K416" s="8">
        <f t="shared" si="36"/>
        <v>4000</v>
      </c>
      <c r="L416" s="8">
        <f t="shared" si="37"/>
        <v>600</v>
      </c>
      <c r="M416" s="8">
        <f t="shared" si="38"/>
        <v>3400</v>
      </c>
      <c r="N416" s="5">
        <v>26000</v>
      </c>
      <c r="O416" s="8">
        <f t="shared" si="39"/>
        <v>29400</v>
      </c>
      <c r="P416" s="2" t="s">
        <v>22</v>
      </c>
      <c r="Q416" s="10" t="str">
        <f>VLOOKUP(A416,Status!A:B,2,0)</f>
        <v>Returned</v>
      </c>
      <c r="R416" s="2" t="s">
        <v>82</v>
      </c>
      <c r="S416" s="2">
        <v>1</v>
      </c>
      <c r="T416" s="2" t="s">
        <v>24</v>
      </c>
      <c r="U416" s="10" t="str">
        <f t="shared" si="41"/>
        <v>Mar</v>
      </c>
      <c r="V416" s="10">
        <f t="shared" si="40"/>
        <v>2025</v>
      </c>
      <c r="W416" t="e" cm="1">
        <f t="array" ref="W416">_xlfn.IFS(U416="January",1,U416="February",2,U416="March",3,U416="April",4,U416="May",5,U416="June",6,U416="July",7,U416="August",8,U416="September",9,U416="October",10,U416="November",11,U416="December",12)</f>
        <v>#N/A</v>
      </c>
    </row>
    <row r="417" spans="1:23" ht="15.75" customHeight="1" x14ac:dyDescent="0.25">
      <c r="A417" s="2" t="s">
        <v>1377</v>
      </c>
      <c r="B417" s="3">
        <v>45737.589224537027</v>
      </c>
      <c r="C417" s="2" t="s">
        <v>699</v>
      </c>
      <c r="D417" s="2" t="s">
        <v>238</v>
      </c>
      <c r="E417" s="2" t="s">
        <v>144</v>
      </c>
      <c r="F417" s="2" t="str" cm="1">
        <f t="array" ref="F417:G417">_xlfn.TEXTSPLIT(E417," - ")</f>
        <v>Gula Pasir</v>
      </c>
      <c r="G417" s="2" t="str">
        <v>Brand C</v>
      </c>
      <c r="H417" s="5">
        <v>18000</v>
      </c>
      <c r="I417" s="2">
        <v>3</v>
      </c>
      <c r="J417" s="2">
        <v>0</v>
      </c>
      <c r="K417" s="8">
        <f t="shared" si="36"/>
        <v>54000</v>
      </c>
      <c r="L417" s="8">
        <f t="shared" si="37"/>
        <v>0</v>
      </c>
      <c r="M417" s="8">
        <f t="shared" si="38"/>
        <v>54000</v>
      </c>
      <c r="N417" s="5">
        <v>28000</v>
      </c>
      <c r="O417" s="8">
        <f t="shared" si="39"/>
        <v>82000</v>
      </c>
      <c r="P417" s="2" t="s">
        <v>22</v>
      </c>
      <c r="Q417" s="10" t="str">
        <f>VLOOKUP(A417,Status!A:B,2,0)</f>
        <v>Completed</v>
      </c>
      <c r="R417" s="2" t="s">
        <v>36</v>
      </c>
      <c r="S417" s="2">
        <v>4</v>
      </c>
      <c r="T417" s="2" t="s">
        <v>37</v>
      </c>
      <c r="U417" s="10" t="str">
        <f t="shared" si="41"/>
        <v>Mar</v>
      </c>
      <c r="V417" s="10">
        <f t="shared" si="40"/>
        <v>2025</v>
      </c>
      <c r="W417" t="e" cm="1">
        <f t="array" ref="W417">_xlfn.IFS(U417="January",1,U417="February",2,U417="March",3,U417="April",4,U417="May",5,U417="June",6,U417="July",7,U417="August",8,U417="September",9,U417="October",10,U417="November",11,U417="December",12)</f>
        <v>#N/A</v>
      </c>
    </row>
    <row r="418" spans="1:23" ht="15.75" customHeight="1" x14ac:dyDescent="0.25">
      <c r="A418" s="2" t="s">
        <v>1378</v>
      </c>
      <c r="B418" s="3">
        <v>45738.016157407408</v>
      </c>
      <c r="C418" s="2" t="s">
        <v>287</v>
      </c>
      <c r="D418" s="2" t="s">
        <v>262</v>
      </c>
      <c r="E418" s="2" t="s">
        <v>28</v>
      </c>
      <c r="F418" s="2" t="str" cm="1">
        <f t="array" ref="F418:G418">_xlfn.TEXTSPLIT(E418," - ")</f>
        <v>Garam</v>
      </c>
      <c r="G418" s="2" t="str">
        <v>Brand B</v>
      </c>
      <c r="H418" s="5">
        <v>5000</v>
      </c>
      <c r="I418" s="2">
        <v>2</v>
      </c>
      <c r="J418" s="2">
        <v>10</v>
      </c>
      <c r="K418" s="8">
        <f t="shared" si="36"/>
        <v>10000</v>
      </c>
      <c r="L418" s="8">
        <f t="shared" si="37"/>
        <v>1000</v>
      </c>
      <c r="M418" s="8">
        <f t="shared" si="38"/>
        <v>9000</v>
      </c>
      <c r="N418" s="5">
        <v>18000</v>
      </c>
      <c r="O418" s="8">
        <f t="shared" si="39"/>
        <v>27000</v>
      </c>
      <c r="P418" s="2" t="s">
        <v>35</v>
      </c>
      <c r="Q418" s="10" t="str">
        <f>VLOOKUP(A418,Status!A:B,2,0)</f>
        <v>Completed</v>
      </c>
      <c r="R418" s="2" t="s">
        <v>30</v>
      </c>
      <c r="S418" s="2">
        <v>4</v>
      </c>
      <c r="T418" s="2" t="s">
        <v>24</v>
      </c>
      <c r="U418" s="10" t="str">
        <f t="shared" si="41"/>
        <v>Mar</v>
      </c>
      <c r="V418" s="10">
        <f t="shared" si="40"/>
        <v>2025</v>
      </c>
      <c r="W418" t="e" cm="1">
        <f t="array" ref="W418">_xlfn.IFS(U418="January",1,U418="February",2,U418="March",3,U418="April",4,U418="May",5,U418="June",6,U418="July",7,U418="August",8,U418="September",9,U418="October",10,U418="November",11,U418="December",12)</f>
        <v>#N/A</v>
      </c>
    </row>
    <row r="419" spans="1:23" ht="15.75" customHeight="1" x14ac:dyDescent="0.25">
      <c r="A419" s="2" t="s">
        <v>1379</v>
      </c>
      <c r="B419" s="3">
        <v>45738.317511574067</v>
      </c>
      <c r="C419" s="2" t="s">
        <v>425</v>
      </c>
      <c r="D419" s="2" t="s">
        <v>44</v>
      </c>
      <c r="E419" s="2" t="s">
        <v>190</v>
      </c>
      <c r="F419" s="2" t="str" cm="1">
        <f t="array" ref="F419:G419">_xlfn.TEXTSPLIT(E419," - ")</f>
        <v>Bawang Merah</v>
      </c>
      <c r="G419" s="2" t="str">
        <v>Brand B</v>
      </c>
      <c r="H419" s="5">
        <v>35000</v>
      </c>
      <c r="I419" s="2">
        <v>1</v>
      </c>
      <c r="J419" s="2">
        <v>5</v>
      </c>
      <c r="K419" s="8">
        <f t="shared" si="36"/>
        <v>35000</v>
      </c>
      <c r="L419" s="8">
        <f t="shared" si="37"/>
        <v>1750</v>
      </c>
      <c r="M419" s="8">
        <f t="shared" si="38"/>
        <v>33250</v>
      </c>
      <c r="N419" s="5">
        <v>93000</v>
      </c>
      <c r="O419" s="8">
        <f t="shared" si="39"/>
        <v>126250</v>
      </c>
      <c r="P419" s="2" t="s">
        <v>35</v>
      </c>
      <c r="Q419" s="10" t="str">
        <f>VLOOKUP(A419,Status!A:B,2,0)</f>
        <v>Completed</v>
      </c>
      <c r="R419" s="2" t="s">
        <v>46</v>
      </c>
      <c r="S419" s="2">
        <v>3</v>
      </c>
      <c r="T419" s="2" t="s">
        <v>37</v>
      </c>
      <c r="U419" s="10" t="str">
        <f t="shared" si="41"/>
        <v>Mar</v>
      </c>
      <c r="V419" s="10">
        <f t="shared" si="40"/>
        <v>2025</v>
      </c>
      <c r="W419" t="e" cm="1">
        <f t="array" ref="W419">_xlfn.IFS(U419="January",1,U419="February",2,U419="March",3,U419="April",4,U419="May",5,U419="June",6,U419="July",7,U419="August",8,U419="September",9,U419="October",10,U419="November",11,U419="December",12)</f>
        <v>#N/A</v>
      </c>
    </row>
    <row r="420" spans="1:23" ht="15.75" customHeight="1" x14ac:dyDescent="0.25">
      <c r="A420" s="2" t="s">
        <v>1380</v>
      </c>
      <c r="B420" s="3">
        <v>45738.897222222222</v>
      </c>
      <c r="C420" s="2" t="s">
        <v>983</v>
      </c>
      <c r="D420" s="2" t="s">
        <v>262</v>
      </c>
      <c r="E420" s="2" t="s">
        <v>41</v>
      </c>
      <c r="F420" s="2" t="str" cm="1">
        <f t="array" ref="F420:G420">_xlfn.TEXTSPLIT(E420," - ")</f>
        <v>Garam</v>
      </c>
      <c r="G420" s="2" t="str">
        <v>Brand A</v>
      </c>
      <c r="H420" s="5">
        <v>4000</v>
      </c>
      <c r="I420" s="2">
        <v>4</v>
      </c>
      <c r="J420" s="2">
        <v>0</v>
      </c>
      <c r="K420" s="8">
        <f t="shared" si="36"/>
        <v>16000</v>
      </c>
      <c r="L420" s="8">
        <f t="shared" si="37"/>
        <v>0</v>
      </c>
      <c r="M420" s="8">
        <f t="shared" si="38"/>
        <v>16000</v>
      </c>
      <c r="N420" s="5">
        <v>18000</v>
      </c>
      <c r="O420" s="8">
        <f t="shared" si="39"/>
        <v>34000</v>
      </c>
      <c r="P420" s="2" t="s">
        <v>22</v>
      </c>
      <c r="Q420" s="10" t="str">
        <f>VLOOKUP(A420,Status!A:B,2,0)</f>
        <v>Completed</v>
      </c>
      <c r="R420" s="2" t="s">
        <v>46</v>
      </c>
      <c r="S420" s="2">
        <v>3</v>
      </c>
      <c r="T420" s="2" t="s">
        <v>37</v>
      </c>
      <c r="U420" s="10" t="str">
        <f t="shared" si="41"/>
        <v>Mar</v>
      </c>
      <c r="V420" s="10">
        <f t="shared" si="40"/>
        <v>2025</v>
      </c>
      <c r="W420" t="e" cm="1">
        <f t="array" ref="W420">_xlfn.IFS(U420="January",1,U420="February",2,U420="March",3,U420="April",4,U420="May",5,U420="June",6,U420="July",7,U420="August",8,U420="September",9,U420="October",10,U420="November",11,U420="December",12)</f>
        <v>#N/A</v>
      </c>
    </row>
    <row r="421" spans="1:23" ht="15.75" customHeight="1" x14ac:dyDescent="0.25">
      <c r="A421" s="2" t="s">
        <v>1381</v>
      </c>
      <c r="B421" s="3">
        <v>45739.073599537027</v>
      </c>
      <c r="C421" s="2" t="s">
        <v>1382</v>
      </c>
      <c r="D421" s="2" t="s">
        <v>74</v>
      </c>
      <c r="E421" s="2" t="s">
        <v>93</v>
      </c>
      <c r="F421" s="2" t="str" cm="1">
        <f t="array" ref="F421:G421">_xlfn.TEXTSPLIT(E421," - ")</f>
        <v>Telur Ayam</v>
      </c>
      <c r="G421" s="2" t="str">
        <v>Brand B</v>
      </c>
      <c r="H421" s="5">
        <v>25000</v>
      </c>
      <c r="I421" s="2">
        <v>5</v>
      </c>
      <c r="J421" s="2">
        <v>5</v>
      </c>
      <c r="K421" s="8">
        <f t="shared" si="36"/>
        <v>125000</v>
      </c>
      <c r="L421" s="8">
        <f t="shared" si="37"/>
        <v>6250</v>
      </c>
      <c r="M421" s="8">
        <f t="shared" si="38"/>
        <v>118750</v>
      </c>
      <c r="N421" s="5">
        <v>87000</v>
      </c>
      <c r="O421" s="8">
        <f t="shared" si="39"/>
        <v>205750</v>
      </c>
      <c r="P421" s="2" t="s">
        <v>29</v>
      </c>
      <c r="Q421" s="10" t="str">
        <f>VLOOKUP(A421,Status!A:B,2,0)</f>
        <v>Completed</v>
      </c>
      <c r="R421" s="2" t="s">
        <v>30</v>
      </c>
      <c r="S421" s="2">
        <v>1</v>
      </c>
      <c r="T421" s="2" t="s">
        <v>24</v>
      </c>
      <c r="U421" s="10" t="str">
        <f t="shared" si="41"/>
        <v>Mar</v>
      </c>
      <c r="V421" s="10">
        <f t="shared" si="40"/>
        <v>2025</v>
      </c>
      <c r="W421" t="e" cm="1">
        <f t="array" ref="W421">_xlfn.IFS(U421="January",1,U421="February",2,U421="March",3,U421="April",4,U421="May",5,U421="June",6,U421="July",7,U421="August",8,U421="September",9,U421="October",10,U421="November",11,U421="December",12)</f>
        <v>#N/A</v>
      </c>
    </row>
    <row r="422" spans="1:23" ht="15.75" customHeight="1" x14ac:dyDescent="0.25">
      <c r="A422" s="2" t="s">
        <v>1383</v>
      </c>
      <c r="B422" s="3">
        <v>45739.2190625</v>
      </c>
      <c r="C422" s="2" t="s">
        <v>355</v>
      </c>
      <c r="D422" s="2" t="s">
        <v>116</v>
      </c>
      <c r="E422" s="2" t="s">
        <v>104</v>
      </c>
      <c r="F422" s="2" t="str" cm="1">
        <f t="array" ref="F422:G422">_xlfn.TEXTSPLIT(E422," - ")</f>
        <v>Bawang Merah</v>
      </c>
      <c r="G422" s="2" t="str">
        <v>Brand A</v>
      </c>
      <c r="H422" s="5">
        <v>30000</v>
      </c>
      <c r="I422" s="2">
        <v>3</v>
      </c>
      <c r="J422" s="2">
        <v>10</v>
      </c>
      <c r="K422" s="8">
        <f t="shared" si="36"/>
        <v>90000</v>
      </c>
      <c r="L422" s="8">
        <f t="shared" si="37"/>
        <v>9000</v>
      </c>
      <c r="M422" s="8">
        <f t="shared" si="38"/>
        <v>81000</v>
      </c>
      <c r="N422" s="5">
        <v>72000</v>
      </c>
      <c r="O422" s="8">
        <f t="shared" si="39"/>
        <v>153000</v>
      </c>
      <c r="P422" s="2" t="s">
        <v>29</v>
      </c>
      <c r="Q422" s="10" t="str">
        <f>VLOOKUP(A422,Status!A:B,2,0)</f>
        <v>Completed</v>
      </c>
      <c r="R422" s="2" t="s">
        <v>23</v>
      </c>
      <c r="S422" s="2">
        <v>3</v>
      </c>
      <c r="T422" s="2" t="s">
        <v>24</v>
      </c>
      <c r="U422" s="10" t="str">
        <f t="shared" si="41"/>
        <v>Mar</v>
      </c>
      <c r="V422" s="10">
        <f t="shared" si="40"/>
        <v>2025</v>
      </c>
      <c r="W422" t="e" cm="1">
        <f t="array" ref="W422">_xlfn.IFS(U422="January",1,U422="February",2,U422="March",3,U422="April",4,U422="May",5,U422="June",6,U422="July",7,U422="August",8,U422="September",9,U422="October",10,U422="November",11,U422="December",12)</f>
        <v>#N/A</v>
      </c>
    </row>
    <row r="423" spans="1:23" ht="15.75" customHeight="1" x14ac:dyDescent="0.25">
      <c r="A423" s="2" t="s">
        <v>1384</v>
      </c>
      <c r="B423" s="3">
        <v>45739.852824074071</v>
      </c>
      <c r="C423" s="2" t="s">
        <v>150</v>
      </c>
      <c r="D423" s="2" t="s">
        <v>151</v>
      </c>
      <c r="E423" s="2" t="s">
        <v>144</v>
      </c>
      <c r="F423" s="2" t="str" cm="1">
        <f t="array" ref="F423:G423">_xlfn.TEXTSPLIT(E423," - ")</f>
        <v>Gula Pasir</v>
      </c>
      <c r="G423" s="2" t="str">
        <v>Brand C</v>
      </c>
      <c r="H423" s="5">
        <v>18000</v>
      </c>
      <c r="I423" s="2">
        <v>3</v>
      </c>
      <c r="J423" s="2">
        <v>20</v>
      </c>
      <c r="K423" s="8">
        <f t="shared" si="36"/>
        <v>54000</v>
      </c>
      <c r="L423" s="8">
        <f t="shared" si="37"/>
        <v>10800</v>
      </c>
      <c r="M423" s="8">
        <f t="shared" si="38"/>
        <v>43200</v>
      </c>
      <c r="N423" s="5">
        <v>55000</v>
      </c>
      <c r="O423" s="8">
        <f t="shared" si="39"/>
        <v>98200</v>
      </c>
      <c r="P423" s="2" t="s">
        <v>22</v>
      </c>
      <c r="Q423" s="10" t="str">
        <f>VLOOKUP(A423,Status!A:B,2,0)</f>
        <v>Cancelled</v>
      </c>
      <c r="R423" s="2" t="s">
        <v>23</v>
      </c>
      <c r="S423" s="2">
        <v>1</v>
      </c>
      <c r="T423" s="2" t="s">
        <v>37</v>
      </c>
      <c r="U423" s="10" t="str">
        <f t="shared" si="41"/>
        <v>Mar</v>
      </c>
      <c r="V423" s="10">
        <f t="shared" si="40"/>
        <v>2025</v>
      </c>
      <c r="W423" t="e" cm="1">
        <f t="array" ref="W423">_xlfn.IFS(U423="January",1,U423="February",2,U423="March",3,U423="April",4,U423="May",5,U423="June",6,U423="July",7,U423="August",8,U423="September",9,U423="October",10,U423="November",11,U423="December",12)</f>
        <v>#N/A</v>
      </c>
    </row>
    <row r="424" spans="1:23" ht="15.75" customHeight="1" x14ac:dyDescent="0.25">
      <c r="A424" s="2" t="s">
        <v>1385</v>
      </c>
      <c r="B424" s="3">
        <v>45740.333715277768</v>
      </c>
      <c r="C424" s="2" t="s">
        <v>796</v>
      </c>
      <c r="D424" s="2" t="s">
        <v>119</v>
      </c>
      <c r="E424" s="2" t="s">
        <v>93</v>
      </c>
      <c r="F424" s="2" t="str" cm="1">
        <f t="array" ref="F424:G424">_xlfn.TEXTSPLIT(E424," - ")</f>
        <v>Telur Ayam</v>
      </c>
      <c r="G424" s="2" t="str">
        <v>Brand B</v>
      </c>
      <c r="H424" s="5">
        <v>25000</v>
      </c>
      <c r="I424" s="2">
        <v>4</v>
      </c>
      <c r="J424" s="2">
        <v>15</v>
      </c>
      <c r="K424" s="8">
        <f t="shared" si="36"/>
        <v>100000</v>
      </c>
      <c r="L424" s="8">
        <f t="shared" si="37"/>
        <v>15000</v>
      </c>
      <c r="M424" s="8">
        <f t="shared" si="38"/>
        <v>85000</v>
      </c>
      <c r="N424" s="5">
        <v>0</v>
      </c>
      <c r="O424" s="8">
        <f t="shared" si="39"/>
        <v>85000</v>
      </c>
      <c r="P424" s="2" t="s">
        <v>35</v>
      </c>
      <c r="Q424" s="10" t="str">
        <f>VLOOKUP(A424,Status!A:B,2,0)</f>
        <v>Completed</v>
      </c>
      <c r="R424" s="2" t="s">
        <v>36</v>
      </c>
      <c r="S424" s="2">
        <v>4</v>
      </c>
      <c r="T424" s="2" t="s">
        <v>24</v>
      </c>
      <c r="U424" s="10" t="str">
        <f t="shared" si="41"/>
        <v>Mar</v>
      </c>
      <c r="V424" s="10">
        <f t="shared" si="40"/>
        <v>2025</v>
      </c>
      <c r="W424" t="e" cm="1">
        <f t="array" ref="W424">_xlfn.IFS(U424="January",1,U424="February",2,U424="March",3,U424="April",4,U424="May",5,U424="June",6,U424="July",7,U424="August",8,U424="September",9,U424="October",10,U424="November",11,U424="December",12)</f>
        <v>#N/A</v>
      </c>
    </row>
    <row r="425" spans="1:23" ht="15.75" customHeight="1" x14ac:dyDescent="0.25">
      <c r="A425" s="2" t="s">
        <v>1386</v>
      </c>
      <c r="B425" s="3">
        <v>45741.51085648148</v>
      </c>
      <c r="C425" s="2" t="s">
        <v>79</v>
      </c>
      <c r="D425" s="2" t="s">
        <v>80</v>
      </c>
      <c r="E425" s="2" t="s">
        <v>250</v>
      </c>
      <c r="F425" s="2" t="str" cm="1">
        <f t="array" ref="F425:G425">_xlfn.TEXTSPLIT(E425," - ")</f>
        <v>Minyak Goreng</v>
      </c>
      <c r="G425" s="2" t="str">
        <v>Brand C</v>
      </c>
      <c r="H425" s="5">
        <v>18000</v>
      </c>
      <c r="I425" s="2">
        <v>2</v>
      </c>
      <c r="J425" s="2">
        <v>10</v>
      </c>
      <c r="K425" s="8">
        <f t="shared" si="36"/>
        <v>36000</v>
      </c>
      <c r="L425" s="8">
        <f t="shared" si="37"/>
        <v>3600</v>
      </c>
      <c r="M425" s="8">
        <f t="shared" si="38"/>
        <v>32400</v>
      </c>
      <c r="N425" s="5">
        <v>74000</v>
      </c>
      <c r="O425" s="8">
        <f t="shared" si="39"/>
        <v>106400</v>
      </c>
      <c r="P425" s="2" t="s">
        <v>63</v>
      </c>
      <c r="Q425" s="10" t="str">
        <f>VLOOKUP(A425,Status!A:B,2,0)</f>
        <v>Completed</v>
      </c>
      <c r="R425" s="2" t="s">
        <v>23</v>
      </c>
      <c r="S425" s="2">
        <v>4</v>
      </c>
      <c r="T425" s="2" t="s">
        <v>24</v>
      </c>
      <c r="U425" s="10" t="str">
        <f t="shared" si="41"/>
        <v>Mar</v>
      </c>
      <c r="V425" s="10">
        <f t="shared" si="40"/>
        <v>2025</v>
      </c>
      <c r="W425" t="e" cm="1">
        <f t="array" ref="W425">_xlfn.IFS(U425="January",1,U425="February",2,U425="March",3,U425="April",4,U425="May",5,U425="June",6,U425="July",7,U425="August",8,U425="September",9,U425="October",10,U425="November",11,U425="December",12)</f>
        <v>#N/A</v>
      </c>
    </row>
    <row r="426" spans="1:23" ht="15.75" customHeight="1" x14ac:dyDescent="0.25">
      <c r="A426" s="2" t="s">
        <v>1387</v>
      </c>
      <c r="B426" s="3">
        <v>45741.629004629627</v>
      </c>
      <c r="C426" s="2" t="s">
        <v>1122</v>
      </c>
      <c r="D426" s="2" t="s">
        <v>33</v>
      </c>
      <c r="E426" s="2" t="s">
        <v>136</v>
      </c>
      <c r="F426" s="2" t="str" cm="1">
        <f t="array" ref="F426:G426">_xlfn.TEXTSPLIT(E426," - ")</f>
        <v>Tepung Terigu</v>
      </c>
      <c r="G426" s="2" t="str">
        <v>Brand B</v>
      </c>
      <c r="H426" s="5">
        <v>12000</v>
      </c>
      <c r="I426" s="2">
        <v>4</v>
      </c>
      <c r="J426" s="2">
        <v>5</v>
      </c>
      <c r="K426" s="8">
        <f t="shared" si="36"/>
        <v>48000</v>
      </c>
      <c r="L426" s="8">
        <f t="shared" si="37"/>
        <v>2400</v>
      </c>
      <c r="M426" s="8">
        <f t="shared" si="38"/>
        <v>45600</v>
      </c>
      <c r="N426" s="5">
        <v>76000</v>
      </c>
      <c r="O426" s="8">
        <f t="shared" si="39"/>
        <v>121600</v>
      </c>
      <c r="P426" s="2" t="s">
        <v>22</v>
      </c>
      <c r="Q426" s="10" t="str">
        <f>VLOOKUP(A426,Status!A:B,2,0)</f>
        <v>Completed</v>
      </c>
      <c r="R426" s="2" t="s">
        <v>30</v>
      </c>
      <c r="S426" s="2">
        <v>4</v>
      </c>
      <c r="T426" s="2" t="s">
        <v>24</v>
      </c>
      <c r="U426" s="10" t="str">
        <f t="shared" si="41"/>
        <v>Mar</v>
      </c>
      <c r="V426" s="10">
        <f t="shared" si="40"/>
        <v>2025</v>
      </c>
      <c r="W426" t="e" cm="1">
        <f t="array" ref="W426">_xlfn.IFS(U426="January",1,U426="February",2,U426="March",3,U426="April",4,U426="May",5,U426="June",6,U426="July",7,U426="August",8,U426="September",9,U426="October",10,U426="November",11,U426="December",12)</f>
        <v>#N/A</v>
      </c>
    </row>
    <row r="427" spans="1:23" ht="15.75" customHeight="1" x14ac:dyDescent="0.25">
      <c r="A427" s="2" t="s">
        <v>1388</v>
      </c>
      <c r="B427" s="3">
        <v>45741.712824074071</v>
      </c>
      <c r="C427" s="2" t="s">
        <v>821</v>
      </c>
      <c r="D427" s="2" t="s">
        <v>131</v>
      </c>
      <c r="E427" s="2" t="s">
        <v>136</v>
      </c>
      <c r="F427" s="2" t="str" cm="1">
        <f t="array" ref="F427:G427">_xlfn.TEXTSPLIT(E427," - ")</f>
        <v>Tepung Terigu</v>
      </c>
      <c r="G427" s="2" t="str">
        <v>Brand B</v>
      </c>
      <c r="H427" s="5">
        <v>12000</v>
      </c>
      <c r="I427" s="2">
        <v>5</v>
      </c>
      <c r="J427" s="2">
        <v>5</v>
      </c>
      <c r="K427" s="8">
        <f t="shared" si="36"/>
        <v>60000</v>
      </c>
      <c r="L427" s="8">
        <f t="shared" si="37"/>
        <v>3000</v>
      </c>
      <c r="M427" s="8">
        <f t="shared" si="38"/>
        <v>57000</v>
      </c>
      <c r="N427" s="5">
        <v>59000</v>
      </c>
      <c r="O427" s="8">
        <f t="shared" si="39"/>
        <v>116000</v>
      </c>
      <c r="P427" s="2" t="s">
        <v>35</v>
      </c>
      <c r="Q427" s="10" t="str">
        <f>VLOOKUP(A427,Status!A:B,2,0)</f>
        <v>Completed</v>
      </c>
      <c r="R427" s="2" t="s">
        <v>23</v>
      </c>
      <c r="S427" s="2">
        <v>1</v>
      </c>
      <c r="T427" s="2" t="s">
        <v>24</v>
      </c>
      <c r="U427" s="10" t="str">
        <f t="shared" si="41"/>
        <v>Mar</v>
      </c>
      <c r="V427" s="10">
        <f t="shared" si="40"/>
        <v>2025</v>
      </c>
      <c r="W427" t="e" cm="1">
        <f t="array" ref="W427">_xlfn.IFS(U427="January",1,U427="February",2,U427="March",3,U427="April",4,U427="May",5,U427="June",6,U427="July",7,U427="August",8,U427="September",9,U427="October",10,U427="November",11,U427="December",12)</f>
        <v>#N/A</v>
      </c>
    </row>
    <row r="428" spans="1:23" ht="15.75" customHeight="1" x14ac:dyDescent="0.25">
      <c r="A428" s="2" t="s">
        <v>1389</v>
      </c>
      <c r="B428" s="3">
        <v>45741.821875000001</v>
      </c>
      <c r="C428" s="2" t="s">
        <v>1061</v>
      </c>
      <c r="D428" s="2" t="s">
        <v>44</v>
      </c>
      <c r="E428" s="2" t="s">
        <v>250</v>
      </c>
      <c r="F428" s="2" t="str" cm="1">
        <f t="array" ref="F428:G428">_xlfn.TEXTSPLIT(E428," - ")</f>
        <v>Minyak Goreng</v>
      </c>
      <c r="G428" s="2" t="str">
        <v>Brand C</v>
      </c>
      <c r="H428" s="5">
        <v>18000</v>
      </c>
      <c r="I428" s="2">
        <v>3</v>
      </c>
      <c r="J428" s="2">
        <v>15</v>
      </c>
      <c r="K428" s="8">
        <f t="shared" si="36"/>
        <v>54000</v>
      </c>
      <c r="L428" s="8">
        <f t="shared" si="37"/>
        <v>8100</v>
      </c>
      <c r="M428" s="8">
        <f t="shared" si="38"/>
        <v>45900</v>
      </c>
      <c r="N428" s="5">
        <v>93000</v>
      </c>
      <c r="O428" s="8">
        <f t="shared" si="39"/>
        <v>138900</v>
      </c>
      <c r="P428" s="2" t="s">
        <v>63</v>
      </c>
      <c r="Q428" s="10" t="str">
        <f>VLOOKUP(A428,Status!A:B,2,0)</f>
        <v>Returned</v>
      </c>
      <c r="R428" s="2" t="s">
        <v>36</v>
      </c>
      <c r="S428" s="2">
        <v>4</v>
      </c>
      <c r="T428" s="2" t="s">
        <v>37</v>
      </c>
      <c r="U428" s="10" t="str">
        <f t="shared" si="41"/>
        <v>Mar</v>
      </c>
      <c r="V428" s="10">
        <f t="shared" si="40"/>
        <v>2025</v>
      </c>
      <c r="W428" t="e" cm="1">
        <f t="array" ref="W428">_xlfn.IFS(U428="January",1,U428="February",2,U428="March",3,U428="April",4,U428="May",5,U428="June",6,U428="July",7,U428="August",8,U428="September",9,U428="October",10,U428="November",11,U428="December",12)</f>
        <v>#N/A</v>
      </c>
    </row>
    <row r="429" spans="1:23" ht="15.75" customHeight="1" x14ac:dyDescent="0.25">
      <c r="A429" s="2" t="s">
        <v>1390</v>
      </c>
      <c r="B429" s="3">
        <v>45741.848124999997</v>
      </c>
      <c r="C429" s="2" t="s">
        <v>179</v>
      </c>
      <c r="D429" s="2" t="s">
        <v>66</v>
      </c>
      <c r="E429" s="2" t="s">
        <v>41</v>
      </c>
      <c r="F429" s="2" t="str" cm="1">
        <f t="array" ref="F429:G429">_xlfn.TEXTSPLIT(E429," - ")</f>
        <v>Garam</v>
      </c>
      <c r="G429" s="2" t="str">
        <v>Brand A</v>
      </c>
      <c r="H429" s="5">
        <v>4000</v>
      </c>
      <c r="I429" s="2">
        <v>5</v>
      </c>
      <c r="J429" s="2">
        <v>15</v>
      </c>
      <c r="K429" s="8">
        <f t="shared" si="36"/>
        <v>20000</v>
      </c>
      <c r="L429" s="8">
        <f t="shared" si="37"/>
        <v>3000</v>
      </c>
      <c r="M429" s="8">
        <f t="shared" si="38"/>
        <v>17000</v>
      </c>
      <c r="N429" s="5">
        <v>59000</v>
      </c>
      <c r="O429" s="8">
        <f t="shared" si="39"/>
        <v>76000</v>
      </c>
      <c r="P429" s="2" t="s">
        <v>22</v>
      </c>
      <c r="Q429" s="10" t="str">
        <f>VLOOKUP(A429,Status!A:B,2,0)</f>
        <v>Completed</v>
      </c>
      <c r="R429" s="2" t="s">
        <v>23</v>
      </c>
      <c r="S429" s="2">
        <v>5</v>
      </c>
      <c r="T429" s="2" t="s">
        <v>24</v>
      </c>
      <c r="U429" s="10" t="str">
        <f t="shared" si="41"/>
        <v>Mar</v>
      </c>
      <c r="V429" s="10">
        <f t="shared" si="40"/>
        <v>2025</v>
      </c>
      <c r="W429" t="e" cm="1">
        <f t="array" ref="W429">_xlfn.IFS(U429="January",1,U429="February",2,U429="March",3,U429="April",4,U429="May",5,U429="June",6,U429="July",7,U429="August",8,U429="September",9,U429="October",10,U429="November",11,U429="December",12)</f>
        <v>#N/A</v>
      </c>
    </row>
    <row r="430" spans="1:23" ht="15.75" customHeight="1" x14ac:dyDescent="0.25">
      <c r="A430" s="2" t="s">
        <v>1391</v>
      </c>
      <c r="B430" s="3">
        <v>45741.960219907407</v>
      </c>
      <c r="C430" s="2" t="s">
        <v>1033</v>
      </c>
      <c r="D430" s="2" t="s">
        <v>122</v>
      </c>
      <c r="E430" s="2" t="s">
        <v>81</v>
      </c>
      <c r="F430" s="2" t="str" cm="1">
        <f t="array" ref="F430:G430">_xlfn.TEXTSPLIT(E430," - ")</f>
        <v>Minyak Goreng</v>
      </c>
      <c r="G430" s="2" t="str">
        <v>Brand B</v>
      </c>
      <c r="H430" s="5">
        <v>17000</v>
      </c>
      <c r="I430" s="2">
        <v>2</v>
      </c>
      <c r="J430" s="2">
        <v>5</v>
      </c>
      <c r="K430" s="8">
        <f t="shared" si="36"/>
        <v>34000</v>
      </c>
      <c r="L430" s="8">
        <f t="shared" si="37"/>
        <v>1700</v>
      </c>
      <c r="M430" s="8">
        <f t="shared" si="38"/>
        <v>32300</v>
      </c>
      <c r="N430" s="5">
        <v>78000</v>
      </c>
      <c r="O430" s="8">
        <f t="shared" si="39"/>
        <v>110300</v>
      </c>
      <c r="P430" s="2" t="s">
        <v>22</v>
      </c>
      <c r="Q430" s="10" t="str">
        <f>VLOOKUP(A430,Status!A:B,2,0)</f>
        <v>Completed</v>
      </c>
      <c r="R430" s="2" t="s">
        <v>82</v>
      </c>
      <c r="S430" s="2">
        <v>4</v>
      </c>
      <c r="T430" s="2" t="s">
        <v>24</v>
      </c>
      <c r="U430" s="10" t="str">
        <f t="shared" si="41"/>
        <v>Mar</v>
      </c>
      <c r="V430" s="10">
        <f t="shared" si="40"/>
        <v>2025</v>
      </c>
      <c r="W430" t="e" cm="1">
        <f t="array" ref="W430">_xlfn.IFS(U430="January",1,U430="February",2,U430="March",3,U430="April",4,U430="May",5,U430="June",6,U430="July",7,U430="August",8,U430="September",9,U430="October",10,U430="November",11,U430="December",12)</f>
        <v>#N/A</v>
      </c>
    </row>
    <row r="431" spans="1:23" ht="15.75" customHeight="1" x14ac:dyDescent="0.25">
      <c r="A431" s="2" t="s">
        <v>1392</v>
      </c>
      <c r="B431" s="3">
        <v>45741.97420138889</v>
      </c>
      <c r="C431" s="2" t="s">
        <v>1003</v>
      </c>
      <c r="D431" s="2" t="s">
        <v>262</v>
      </c>
      <c r="E431" s="2" t="s">
        <v>71</v>
      </c>
      <c r="F431" s="2" t="str" cm="1">
        <f t="array" ref="F431:G431">_xlfn.TEXTSPLIT(E431," - ")</f>
        <v>Bawang Merah</v>
      </c>
      <c r="G431" s="2" t="str">
        <v>Brand C</v>
      </c>
      <c r="H431" s="5">
        <v>40000</v>
      </c>
      <c r="I431" s="2">
        <v>2</v>
      </c>
      <c r="J431" s="2">
        <v>0</v>
      </c>
      <c r="K431" s="8">
        <f t="shared" si="36"/>
        <v>80000</v>
      </c>
      <c r="L431" s="8">
        <f t="shared" si="37"/>
        <v>0</v>
      </c>
      <c r="M431" s="8">
        <f t="shared" si="38"/>
        <v>80000</v>
      </c>
      <c r="N431" s="5">
        <v>18000</v>
      </c>
      <c r="O431" s="8">
        <f t="shared" si="39"/>
        <v>98000</v>
      </c>
      <c r="P431" s="2" t="s">
        <v>29</v>
      </c>
      <c r="Q431" s="10" t="str">
        <f>VLOOKUP(A431,Status!A:B,2,0)</f>
        <v>Completed</v>
      </c>
      <c r="R431" s="2" t="s">
        <v>46</v>
      </c>
      <c r="S431" s="2">
        <v>5</v>
      </c>
      <c r="T431" s="2" t="s">
        <v>24</v>
      </c>
      <c r="U431" s="10" t="str">
        <f t="shared" si="41"/>
        <v>Mar</v>
      </c>
      <c r="V431" s="10">
        <f t="shared" si="40"/>
        <v>2025</v>
      </c>
      <c r="W431" t="e" cm="1">
        <f t="array" ref="W431">_xlfn.IFS(U431="January",1,U431="February",2,U431="March",3,U431="April",4,U431="May",5,U431="June",6,U431="July",7,U431="August",8,U431="September",9,U431="October",10,U431="November",11,U431="December",12)</f>
        <v>#N/A</v>
      </c>
    </row>
    <row r="432" spans="1:23" ht="15.75" customHeight="1" x14ac:dyDescent="0.25">
      <c r="A432" s="2" t="s">
        <v>1393</v>
      </c>
      <c r="B432" s="3">
        <v>45742.000601851847</v>
      </c>
      <c r="C432" s="2" t="s">
        <v>1053</v>
      </c>
      <c r="D432" s="2" t="s">
        <v>80</v>
      </c>
      <c r="E432" s="2" t="s">
        <v>136</v>
      </c>
      <c r="F432" s="2" t="str" cm="1">
        <f t="array" ref="F432:G432">_xlfn.TEXTSPLIT(E432," - ")</f>
        <v>Tepung Terigu</v>
      </c>
      <c r="G432" s="2" t="str">
        <v>Brand B</v>
      </c>
      <c r="H432" s="5">
        <v>12000</v>
      </c>
      <c r="I432" s="2">
        <v>3</v>
      </c>
      <c r="J432" s="2">
        <v>5</v>
      </c>
      <c r="K432" s="8">
        <f t="shared" si="36"/>
        <v>36000</v>
      </c>
      <c r="L432" s="8">
        <f t="shared" si="37"/>
        <v>1800</v>
      </c>
      <c r="M432" s="8">
        <f t="shared" si="38"/>
        <v>34200</v>
      </c>
      <c r="N432" s="5">
        <v>74000</v>
      </c>
      <c r="O432" s="8">
        <f t="shared" si="39"/>
        <v>108200</v>
      </c>
      <c r="P432" s="2" t="s">
        <v>63</v>
      </c>
      <c r="Q432" s="10" t="str">
        <f>VLOOKUP(A432,Status!A:B,2,0)</f>
        <v>Returned</v>
      </c>
      <c r="R432" s="2" t="s">
        <v>46</v>
      </c>
      <c r="S432" s="2">
        <v>5</v>
      </c>
      <c r="T432" s="2" t="s">
        <v>24</v>
      </c>
      <c r="U432" s="10" t="str">
        <f t="shared" si="41"/>
        <v>Mar</v>
      </c>
      <c r="V432" s="10">
        <f t="shared" si="40"/>
        <v>2025</v>
      </c>
      <c r="W432" t="e" cm="1">
        <f t="array" ref="W432">_xlfn.IFS(U432="January",1,U432="February",2,U432="March",3,U432="April",4,U432="May",5,U432="June",6,U432="July",7,U432="August",8,U432="September",9,U432="October",10,U432="November",11,U432="December",12)</f>
        <v>#N/A</v>
      </c>
    </row>
    <row r="433" spans="1:23" ht="15.75" customHeight="1" x14ac:dyDescent="0.25">
      <c r="A433" s="2" t="s">
        <v>1394</v>
      </c>
      <c r="B433" s="3">
        <v>45742.223946759259</v>
      </c>
      <c r="C433" s="2" t="s">
        <v>295</v>
      </c>
      <c r="D433" s="2" t="s">
        <v>296</v>
      </c>
      <c r="E433" s="2" t="s">
        <v>50</v>
      </c>
      <c r="F433" s="2" t="str" cm="1">
        <f t="array" ref="F433:G433">_xlfn.TEXTSPLIT(E433," - ")</f>
        <v>Tepung Terigu</v>
      </c>
      <c r="G433" s="2" t="str">
        <v>Brand C</v>
      </c>
      <c r="H433" s="5">
        <v>14000</v>
      </c>
      <c r="I433" s="2">
        <v>5</v>
      </c>
      <c r="J433" s="2">
        <v>0</v>
      </c>
      <c r="K433" s="8">
        <f t="shared" si="36"/>
        <v>70000</v>
      </c>
      <c r="L433" s="8">
        <f t="shared" si="37"/>
        <v>0</v>
      </c>
      <c r="M433" s="8">
        <f t="shared" si="38"/>
        <v>70000</v>
      </c>
      <c r="N433" s="5">
        <v>79000</v>
      </c>
      <c r="O433" s="8">
        <f t="shared" si="39"/>
        <v>149000</v>
      </c>
      <c r="P433" s="2" t="s">
        <v>22</v>
      </c>
      <c r="Q433" s="10" t="str">
        <f>VLOOKUP(A433,Status!A:B,2,0)</f>
        <v>Returned</v>
      </c>
      <c r="R433" s="2" t="s">
        <v>82</v>
      </c>
      <c r="S433" s="2">
        <v>4</v>
      </c>
      <c r="T433" s="2" t="s">
        <v>24</v>
      </c>
      <c r="U433" s="10" t="str">
        <f t="shared" si="41"/>
        <v>Mar</v>
      </c>
      <c r="V433" s="10">
        <f t="shared" si="40"/>
        <v>2025</v>
      </c>
      <c r="W433" t="e" cm="1">
        <f t="array" ref="W433">_xlfn.IFS(U433="January",1,U433="February",2,U433="March",3,U433="April",4,U433="May",5,U433="June",6,U433="July",7,U433="August",8,U433="September",9,U433="October",10,U433="November",11,U433="December",12)</f>
        <v>#N/A</v>
      </c>
    </row>
    <row r="434" spans="1:23" ht="15.75" customHeight="1" x14ac:dyDescent="0.25">
      <c r="A434" s="2" t="s">
        <v>1394</v>
      </c>
      <c r="B434" s="3">
        <v>45742.223946759259</v>
      </c>
      <c r="C434" s="2" t="s">
        <v>295</v>
      </c>
      <c r="D434" s="2" t="s">
        <v>296</v>
      </c>
      <c r="E434" s="2" t="s">
        <v>41</v>
      </c>
      <c r="F434" s="2" t="str" cm="1">
        <f t="array" ref="F434:G434">_xlfn.TEXTSPLIT(E434," - ")</f>
        <v>Garam</v>
      </c>
      <c r="G434" s="2" t="str">
        <v>Brand A</v>
      </c>
      <c r="H434" s="5">
        <v>4000</v>
      </c>
      <c r="I434" s="2">
        <v>1</v>
      </c>
      <c r="J434" s="2">
        <v>5</v>
      </c>
      <c r="K434" s="8">
        <f t="shared" si="36"/>
        <v>4000</v>
      </c>
      <c r="L434" s="8">
        <f t="shared" si="37"/>
        <v>200</v>
      </c>
      <c r="M434" s="8">
        <f t="shared" si="38"/>
        <v>3800</v>
      </c>
      <c r="N434" s="5">
        <v>0</v>
      </c>
      <c r="O434" s="8">
        <f t="shared" si="39"/>
        <v>3800</v>
      </c>
      <c r="P434" s="2" t="s">
        <v>22</v>
      </c>
      <c r="Q434" s="10" t="str">
        <f>VLOOKUP(A434,Status!A:B,2,0)</f>
        <v>Returned</v>
      </c>
      <c r="R434" s="2" t="s">
        <v>82</v>
      </c>
      <c r="S434" s="2">
        <v>4</v>
      </c>
      <c r="T434" s="2" t="s">
        <v>24</v>
      </c>
      <c r="U434" s="10" t="str">
        <f t="shared" si="41"/>
        <v>Mar</v>
      </c>
      <c r="V434" s="10">
        <f t="shared" si="40"/>
        <v>2025</v>
      </c>
      <c r="W434" t="e" cm="1">
        <f t="array" ref="W434">_xlfn.IFS(U434="January",1,U434="February",2,U434="March",3,U434="April",4,U434="May",5,U434="June",6,U434="July",7,U434="August",8,U434="September",9,U434="October",10,U434="November",11,U434="December",12)</f>
        <v>#N/A</v>
      </c>
    </row>
    <row r="435" spans="1:23" ht="15.75" customHeight="1" x14ac:dyDescent="0.25">
      <c r="A435" s="2" t="s">
        <v>1395</v>
      </c>
      <c r="B435" s="3">
        <v>45742.256909722222</v>
      </c>
      <c r="C435" s="2" t="s">
        <v>1396</v>
      </c>
      <c r="D435" s="2" t="s">
        <v>435</v>
      </c>
      <c r="E435" s="2" t="s">
        <v>50</v>
      </c>
      <c r="F435" s="2" t="str" cm="1">
        <f t="array" ref="F435:G435">_xlfn.TEXTSPLIT(E435," - ")</f>
        <v>Tepung Terigu</v>
      </c>
      <c r="G435" s="2" t="str">
        <v>Brand C</v>
      </c>
      <c r="H435" s="5">
        <v>14000</v>
      </c>
      <c r="I435" s="2">
        <v>4</v>
      </c>
      <c r="J435" s="2">
        <v>0</v>
      </c>
      <c r="K435" s="8">
        <f t="shared" si="36"/>
        <v>56000</v>
      </c>
      <c r="L435" s="8">
        <f t="shared" si="37"/>
        <v>0</v>
      </c>
      <c r="M435" s="8">
        <f t="shared" si="38"/>
        <v>56000</v>
      </c>
      <c r="N435" s="5">
        <v>67000</v>
      </c>
      <c r="O435" s="8">
        <f t="shared" si="39"/>
        <v>123000</v>
      </c>
      <c r="P435" s="2" t="s">
        <v>29</v>
      </c>
      <c r="Q435" s="10" t="str">
        <f>VLOOKUP(A435,Status!A:B,2,0)</f>
        <v>Completed</v>
      </c>
      <c r="R435" s="2" t="s">
        <v>82</v>
      </c>
      <c r="S435" s="2">
        <v>1</v>
      </c>
      <c r="T435" s="2" t="s">
        <v>24</v>
      </c>
      <c r="U435" s="10" t="str">
        <f t="shared" si="41"/>
        <v>Mar</v>
      </c>
      <c r="V435" s="10">
        <f t="shared" si="40"/>
        <v>2025</v>
      </c>
      <c r="W435" t="e" cm="1">
        <f t="array" ref="W435">_xlfn.IFS(U435="January",1,U435="February",2,U435="March",3,U435="April",4,U435="May",5,U435="June",6,U435="July",7,U435="August",8,U435="September",9,U435="October",10,U435="November",11,U435="December",12)</f>
        <v>#N/A</v>
      </c>
    </row>
    <row r="436" spans="1:23" ht="15.75" customHeight="1" x14ac:dyDescent="0.25">
      <c r="A436" s="2" t="s">
        <v>1397</v>
      </c>
      <c r="B436" s="3">
        <v>45742.446446759262</v>
      </c>
      <c r="C436" s="2" t="s">
        <v>1263</v>
      </c>
      <c r="D436" s="2" t="s">
        <v>435</v>
      </c>
      <c r="E436" s="2" t="s">
        <v>45</v>
      </c>
      <c r="F436" s="2" t="str" cm="1">
        <f t="array" ref="F436:G436">_xlfn.TEXTSPLIT(E436," - ")</f>
        <v>Daging Ayam</v>
      </c>
      <c r="G436" s="2" t="str">
        <v>Brand B</v>
      </c>
      <c r="H436" s="5">
        <v>40000</v>
      </c>
      <c r="I436" s="2">
        <v>2</v>
      </c>
      <c r="J436" s="2">
        <v>10</v>
      </c>
      <c r="K436" s="8">
        <f t="shared" si="36"/>
        <v>80000</v>
      </c>
      <c r="L436" s="8">
        <f t="shared" si="37"/>
        <v>8000</v>
      </c>
      <c r="M436" s="8">
        <f t="shared" si="38"/>
        <v>72000</v>
      </c>
      <c r="N436" s="5">
        <v>67000</v>
      </c>
      <c r="O436" s="8">
        <f t="shared" si="39"/>
        <v>139000</v>
      </c>
      <c r="P436" s="2" t="s">
        <v>35</v>
      </c>
      <c r="Q436" s="10" t="str">
        <f>VLOOKUP(A436,Status!A:B,2,0)</f>
        <v>Completed</v>
      </c>
      <c r="R436" s="2" t="s">
        <v>46</v>
      </c>
      <c r="S436" s="2">
        <v>2</v>
      </c>
      <c r="T436" s="2" t="s">
        <v>24</v>
      </c>
      <c r="U436" s="10" t="str">
        <f t="shared" si="41"/>
        <v>Mar</v>
      </c>
      <c r="V436" s="10">
        <f t="shared" si="40"/>
        <v>2025</v>
      </c>
      <c r="W436" t="e" cm="1">
        <f t="array" ref="W436">_xlfn.IFS(U436="January",1,U436="February",2,U436="March",3,U436="April",4,U436="May",5,U436="June",6,U436="July",7,U436="August",8,U436="September",9,U436="October",10,U436="November",11,U436="December",12)</f>
        <v>#N/A</v>
      </c>
    </row>
    <row r="437" spans="1:23" ht="15.75" customHeight="1" x14ac:dyDescent="0.25">
      <c r="A437" s="2" t="s">
        <v>1398</v>
      </c>
      <c r="B437" s="3">
        <v>45742.488703703697</v>
      </c>
      <c r="C437" s="2" t="s">
        <v>502</v>
      </c>
      <c r="D437" s="2" t="s">
        <v>107</v>
      </c>
      <c r="E437" s="2" t="s">
        <v>21</v>
      </c>
      <c r="F437" s="2" t="str" cm="1">
        <f t="array" ref="F437:G437">_xlfn.TEXTSPLIT(E437," - ")</f>
        <v>Daging Ayam</v>
      </c>
      <c r="G437" s="2" t="str">
        <v>Brand C</v>
      </c>
      <c r="H437" s="5">
        <v>45000</v>
      </c>
      <c r="I437" s="2">
        <v>1</v>
      </c>
      <c r="J437" s="2">
        <v>15</v>
      </c>
      <c r="K437" s="8">
        <f t="shared" si="36"/>
        <v>45000</v>
      </c>
      <c r="L437" s="8">
        <f t="shared" si="37"/>
        <v>6750</v>
      </c>
      <c r="M437" s="8">
        <f t="shared" si="38"/>
        <v>38250</v>
      </c>
      <c r="N437" s="5">
        <v>97000</v>
      </c>
      <c r="O437" s="8">
        <f t="shared" si="39"/>
        <v>135250</v>
      </c>
      <c r="P437" s="2" t="s">
        <v>22</v>
      </c>
      <c r="Q437" s="10" t="str">
        <f>VLOOKUP(A437,Status!A:B,2,0)</f>
        <v>Completed</v>
      </c>
      <c r="R437" s="2" t="s">
        <v>36</v>
      </c>
      <c r="S437" s="2">
        <v>1</v>
      </c>
      <c r="T437" s="2" t="s">
        <v>24</v>
      </c>
      <c r="U437" s="10" t="str">
        <f t="shared" si="41"/>
        <v>Mar</v>
      </c>
      <c r="V437" s="10">
        <f t="shared" si="40"/>
        <v>2025</v>
      </c>
      <c r="W437" t="e" cm="1">
        <f t="array" ref="W437">_xlfn.IFS(U437="January",1,U437="February",2,U437="March",3,U437="April",4,U437="May",5,U437="June",6,U437="July",7,U437="August",8,U437="September",9,U437="October",10,U437="November",11,U437="December",12)</f>
        <v>#N/A</v>
      </c>
    </row>
    <row r="438" spans="1:23" ht="15.75" customHeight="1" x14ac:dyDescent="0.25">
      <c r="A438" s="2" t="s">
        <v>1399</v>
      </c>
      <c r="B438" s="3">
        <v>45743.070451388892</v>
      </c>
      <c r="C438" s="2" t="s">
        <v>307</v>
      </c>
      <c r="D438" s="2" t="s">
        <v>70</v>
      </c>
      <c r="E438" s="2" t="s">
        <v>104</v>
      </c>
      <c r="F438" s="2" t="str" cm="1">
        <f t="array" ref="F438:G438">_xlfn.TEXTSPLIT(E438," - ")</f>
        <v>Bawang Merah</v>
      </c>
      <c r="G438" s="2" t="str">
        <v>Brand A</v>
      </c>
      <c r="H438" s="5">
        <v>30000</v>
      </c>
      <c r="I438" s="2">
        <v>2</v>
      </c>
      <c r="J438" s="2">
        <v>10</v>
      </c>
      <c r="K438" s="8">
        <f t="shared" si="36"/>
        <v>60000</v>
      </c>
      <c r="L438" s="8">
        <f t="shared" si="37"/>
        <v>6000</v>
      </c>
      <c r="M438" s="8">
        <f t="shared" si="38"/>
        <v>54000</v>
      </c>
      <c r="N438" s="5">
        <v>89000</v>
      </c>
      <c r="O438" s="8">
        <f t="shared" si="39"/>
        <v>143000</v>
      </c>
      <c r="P438" s="2" t="s">
        <v>35</v>
      </c>
      <c r="Q438" s="10" t="str">
        <f>VLOOKUP(A438,Status!A:B,2,0)</f>
        <v>Completed</v>
      </c>
      <c r="R438" s="2" t="s">
        <v>30</v>
      </c>
      <c r="S438" s="2">
        <v>1</v>
      </c>
      <c r="T438" s="2" t="s">
        <v>24</v>
      </c>
      <c r="U438" s="10" t="str">
        <f t="shared" si="41"/>
        <v>Mar</v>
      </c>
      <c r="V438" s="10">
        <f t="shared" si="40"/>
        <v>2025</v>
      </c>
      <c r="W438" t="e" cm="1">
        <f t="array" ref="W438">_xlfn.IFS(U438="January",1,U438="February",2,U438="March",3,U438="April",4,U438="May",5,U438="June",6,U438="July",7,U438="August",8,U438="September",9,U438="October",10,U438="November",11,U438="December",12)</f>
        <v>#N/A</v>
      </c>
    </row>
    <row r="439" spans="1:23" ht="15.75" customHeight="1" x14ac:dyDescent="0.25">
      <c r="A439" s="2" t="s">
        <v>1400</v>
      </c>
      <c r="B439" s="3">
        <v>45743.113888888889</v>
      </c>
      <c r="C439" s="2" t="s">
        <v>1005</v>
      </c>
      <c r="D439" s="2" t="s">
        <v>122</v>
      </c>
      <c r="E439" s="2" t="s">
        <v>190</v>
      </c>
      <c r="F439" s="2" t="str" cm="1">
        <f t="array" ref="F439:G439">_xlfn.TEXTSPLIT(E439," - ")</f>
        <v>Bawang Merah</v>
      </c>
      <c r="G439" s="2" t="str">
        <v>Brand B</v>
      </c>
      <c r="H439" s="5">
        <v>35000</v>
      </c>
      <c r="I439" s="2">
        <v>4</v>
      </c>
      <c r="J439" s="2">
        <v>20</v>
      </c>
      <c r="K439" s="8">
        <f t="shared" si="36"/>
        <v>140000</v>
      </c>
      <c r="L439" s="8">
        <f t="shared" si="37"/>
        <v>28000</v>
      </c>
      <c r="M439" s="8">
        <f t="shared" si="38"/>
        <v>112000</v>
      </c>
      <c r="N439" s="5">
        <v>78000</v>
      </c>
      <c r="O439" s="8">
        <f t="shared" si="39"/>
        <v>190000</v>
      </c>
      <c r="P439" s="2" t="s">
        <v>22</v>
      </c>
      <c r="Q439" s="10" t="str">
        <f>VLOOKUP(A439,Status!A:B,2,0)</f>
        <v>Returned</v>
      </c>
      <c r="R439" s="2" t="s">
        <v>82</v>
      </c>
      <c r="S439" s="2">
        <v>5</v>
      </c>
      <c r="T439" s="2" t="s">
        <v>24</v>
      </c>
      <c r="U439" s="10" t="str">
        <f t="shared" si="41"/>
        <v>Mar</v>
      </c>
      <c r="V439" s="10">
        <f t="shared" si="40"/>
        <v>2025</v>
      </c>
      <c r="W439" t="e" cm="1">
        <f t="array" ref="W439">_xlfn.IFS(U439="January",1,U439="February",2,U439="March",3,U439="April",4,U439="May",5,U439="June",6,U439="July",7,U439="August",8,U439="September",9,U439="October",10,U439="November",11,U439="December",12)</f>
        <v>#N/A</v>
      </c>
    </row>
    <row r="440" spans="1:23" ht="15.75" customHeight="1" x14ac:dyDescent="0.25">
      <c r="A440" s="2" t="s">
        <v>1401</v>
      </c>
      <c r="B440" s="3">
        <v>45743.153726851851</v>
      </c>
      <c r="C440" s="2" t="s">
        <v>203</v>
      </c>
      <c r="D440" s="2" t="s">
        <v>20</v>
      </c>
      <c r="E440" s="2" t="s">
        <v>93</v>
      </c>
      <c r="F440" s="2" t="str" cm="1">
        <f t="array" ref="F440:G440">_xlfn.TEXTSPLIT(E440," - ")</f>
        <v>Telur Ayam</v>
      </c>
      <c r="G440" s="2" t="str">
        <v>Brand B</v>
      </c>
      <c r="H440" s="5">
        <v>25000</v>
      </c>
      <c r="I440" s="2">
        <v>1</v>
      </c>
      <c r="J440" s="2">
        <v>20</v>
      </c>
      <c r="K440" s="8">
        <f t="shared" si="36"/>
        <v>25000</v>
      </c>
      <c r="L440" s="8">
        <f t="shared" si="37"/>
        <v>5000</v>
      </c>
      <c r="M440" s="8">
        <f t="shared" si="38"/>
        <v>20000</v>
      </c>
      <c r="N440" s="5">
        <v>15000</v>
      </c>
      <c r="O440" s="8">
        <f t="shared" si="39"/>
        <v>35000</v>
      </c>
      <c r="P440" s="2" t="s">
        <v>22</v>
      </c>
      <c r="Q440" s="10" t="str">
        <f>VLOOKUP(A440,Status!A:B,2,0)</f>
        <v>Completed</v>
      </c>
      <c r="R440" s="2" t="s">
        <v>30</v>
      </c>
      <c r="S440" s="2">
        <v>5</v>
      </c>
      <c r="T440" s="2" t="s">
        <v>24</v>
      </c>
      <c r="U440" s="10" t="str">
        <f t="shared" si="41"/>
        <v>Mar</v>
      </c>
      <c r="V440" s="10">
        <f t="shared" si="40"/>
        <v>2025</v>
      </c>
      <c r="W440" t="e" cm="1">
        <f t="array" ref="W440">_xlfn.IFS(U440="January",1,U440="February",2,U440="March",3,U440="April",4,U440="May",5,U440="June",6,U440="July",7,U440="August",8,U440="September",9,U440="October",10,U440="November",11,U440="December",12)</f>
        <v>#N/A</v>
      </c>
    </row>
    <row r="441" spans="1:23" ht="15.75" customHeight="1" x14ac:dyDescent="0.25">
      <c r="A441" s="2" t="s">
        <v>1402</v>
      </c>
      <c r="B441" s="3">
        <v>45743.156956018523</v>
      </c>
      <c r="C441" s="2" t="s">
        <v>883</v>
      </c>
      <c r="D441" s="2" t="s">
        <v>44</v>
      </c>
      <c r="E441" s="2" t="s">
        <v>38</v>
      </c>
      <c r="F441" s="2" t="str" cm="1">
        <f t="array" ref="F441:G441">_xlfn.TEXTSPLIT(E441," - ")</f>
        <v>Telur Ayam</v>
      </c>
      <c r="G441" s="2" t="str">
        <v>Brand C</v>
      </c>
      <c r="H441" s="5">
        <v>28000</v>
      </c>
      <c r="I441" s="2">
        <v>2</v>
      </c>
      <c r="J441" s="2">
        <v>20</v>
      </c>
      <c r="K441" s="8">
        <f t="shared" si="36"/>
        <v>56000</v>
      </c>
      <c r="L441" s="8">
        <f t="shared" si="37"/>
        <v>11200</v>
      </c>
      <c r="M441" s="8">
        <f t="shared" si="38"/>
        <v>44800</v>
      </c>
      <c r="N441" s="5">
        <v>93000</v>
      </c>
      <c r="O441" s="8">
        <f t="shared" si="39"/>
        <v>137800</v>
      </c>
      <c r="P441" s="2" t="s">
        <v>63</v>
      </c>
      <c r="Q441" s="10" t="str">
        <f>VLOOKUP(A441,Status!A:B,2,0)</f>
        <v>Completed</v>
      </c>
      <c r="R441" s="2" t="s">
        <v>23</v>
      </c>
      <c r="S441" s="2">
        <v>1</v>
      </c>
      <c r="T441" s="2" t="s">
        <v>37</v>
      </c>
      <c r="U441" s="10" t="str">
        <f t="shared" si="41"/>
        <v>Mar</v>
      </c>
      <c r="V441" s="10">
        <f t="shared" si="40"/>
        <v>2025</v>
      </c>
      <c r="W441" t="e" cm="1">
        <f t="array" ref="W441">_xlfn.IFS(U441="January",1,U441="February",2,U441="March",3,U441="April",4,U441="May",5,U441="June",6,U441="July",7,U441="August",8,U441="September",9,U441="October",10,U441="November",11,U441="December",12)</f>
        <v>#N/A</v>
      </c>
    </row>
    <row r="442" spans="1:23" ht="15.75" customHeight="1" x14ac:dyDescent="0.25">
      <c r="A442" s="2" t="s">
        <v>1403</v>
      </c>
      <c r="B442" s="3">
        <v>45743.376828703702</v>
      </c>
      <c r="C442" s="2" t="s">
        <v>188</v>
      </c>
      <c r="D442" s="2" t="s">
        <v>189</v>
      </c>
      <c r="E442" s="2" t="s">
        <v>186</v>
      </c>
      <c r="F442" s="2" t="str" cm="1">
        <f t="array" ref="F442:G442">_xlfn.TEXTSPLIT(E442," - ")</f>
        <v>Susu Bubuk</v>
      </c>
      <c r="G442" s="2" t="str">
        <v>Brand A</v>
      </c>
      <c r="H442" s="5">
        <v>45000</v>
      </c>
      <c r="I442" s="2">
        <v>3</v>
      </c>
      <c r="J442" s="2">
        <v>15</v>
      </c>
      <c r="K442" s="8">
        <f t="shared" si="36"/>
        <v>135000</v>
      </c>
      <c r="L442" s="8">
        <f t="shared" si="37"/>
        <v>20250</v>
      </c>
      <c r="M442" s="8">
        <f t="shared" si="38"/>
        <v>114750</v>
      </c>
      <c r="N442" s="5">
        <v>57000</v>
      </c>
      <c r="O442" s="8">
        <f t="shared" si="39"/>
        <v>171750</v>
      </c>
      <c r="P442" s="2" t="s">
        <v>29</v>
      </c>
      <c r="Q442" s="10" t="str">
        <f>VLOOKUP(A442,Status!A:B,2,0)</f>
        <v>Completed</v>
      </c>
      <c r="R442" s="2" t="s">
        <v>30</v>
      </c>
      <c r="S442" s="2">
        <v>3</v>
      </c>
      <c r="T442" s="2" t="s">
        <v>24</v>
      </c>
      <c r="U442" s="10" t="str">
        <f t="shared" si="41"/>
        <v>Mar</v>
      </c>
      <c r="V442" s="10">
        <f t="shared" si="40"/>
        <v>2025</v>
      </c>
      <c r="W442" t="e" cm="1">
        <f t="array" ref="W442">_xlfn.IFS(U442="January",1,U442="February",2,U442="March",3,U442="April",4,U442="May",5,U442="June",6,U442="July",7,U442="August",8,U442="September",9,U442="October",10,U442="November",11,U442="December",12)</f>
        <v>#N/A</v>
      </c>
    </row>
    <row r="443" spans="1:23" ht="15.75" customHeight="1" x14ac:dyDescent="0.25">
      <c r="A443" s="2" t="s">
        <v>1403</v>
      </c>
      <c r="B443" s="3">
        <v>45743.376828703702</v>
      </c>
      <c r="C443" s="2" t="s">
        <v>188</v>
      </c>
      <c r="D443" s="2" t="s">
        <v>189</v>
      </c>
      <c r="E443" s="2" t="s">
        <v>41</v>
      </c>
      <c r="F443" s="2" t="str" cm="1">
        <f t="array" ref="F443:G443">_xlfn.TEXTSPLIT(E443," - ")</f>
        <v>Garam</v>
      </c>
      <c r="G443" s="2" t="str">
        <v>Brand A</v>
      </c>
      <c r="H443" s="5">
        <v>4000</v>
      </c>
      <c r="I443" s="2">
        <v>2</v>
      </c>
      <c r="J443" s="2">
        <v>0</v>
      </c>
      <c r="K443" s="8">
        <f t="shared" si="36"/>
        <v>8000</v>
      </c>
      <c r="L443" s="8">
        <f t="shared" si="37"/>
        <v>0</v>
      </c>
      <c r="M443" s="8">
        <f t="shared" si="38"/>
        <v>8000</v>
      </c>
      <c r="N443" s="5">
        <v>0</v>
      </c>
      <c r="O443" s="8">
        <f t="shared" si="39"/>
        <v>8000</v>
      </c>
      <c r="P443" s="2" t="s">
        <v>29</v>
      </c>
      <c r="Q443" s="10" t="str">
        <f>VLOOKUP(A443,Status!A:B,2,0)</f>
        <v>Completed</v>
      </c>
      <c r="R443" s="2" t="s">
        <v>30</v>
      </c>
      <c r="S443" s="2">
        <v>3</v>
      </c>
      <c r="T443" s="2" t="s">
        <v>24</v>
      </c>
      <c r="U443" s="10" t="str">
        <f t="shared" si="41"/>
        <v>Mar</v>
      </c>
      <c r="V443" s="10">
        <f t="shared" si="40"/>
        <v>2025</v>
      </c>
      <c r="W443" t="e" cm="1">
        <f t="array" ref="W443">_xlfn.IFS(U443="January",1,U443="February",2,U443="March",3,U443="April",4,U443="May",5,U443="June",6,U443="July",7,U443="August",8,U443="September",9,U443="October",10,U443="November",11,U443="December",12)</f>
        <v>#N/A</v>
      </c>
    </row>
    <row r="444" spans="1:23" ht="15.75" customHeight="1" x14ac:dyDescent="0.25">
      <c r="A444" s="2" t="s">
        <v>1404</v>
      </c>
      <c r="B444" s="3">
        <v>45743.42528935185</v>
      </c>
      <c r="C444" s="2" t="s">
        <v>287</v>
      </c>
      <c r="D444" s="2" t="s">
        <v>262</v>
      </c>
      <c r="E444" s="2" t="s">
        <v>45</v>
      </c>
      <c r="F444" s="2" t="str" cm="1">
        <f t="array" ref="F444:G444">_xlfn.TEXTSPLIT(E444," - ")</f>
        <v>Daging Ayam</v>
      </c>
      <c r="G444" s="2" t="str">
        <v>Brand B</v>
      </c>
      <c r="H444" s="5">
        <v>40000</v>
      </c>
      <c r="I444" s="2">
        <v>1</v>
      </c>
      <c r="J444" s="2">
        <v>15</v>
      </c>
      <c r="K444" s="8">
        <f t="shared" si="36"/>
        <v>40000</v>
      </c>
      <c r="L444" s="8">
        <f t="shared" si="37"/>
        <v>6000</v>
      </c>
      <c r="M444" s="8">
        <f t="shared" si="38"/>
        <v>34000</v>
      </c>
      <c r="N444" s="5">
        <v>18000</v>
      </c>
      <c r="O444" s="8">
        <f t="shared" si="39"/>
        <v>52000</v>
      </c>
      <c r="P444" s="2" t="s">
        <v>35</v>
      </c>
      <c r="Q444" s="10" t="str">
        <f>VLOOKUP(A444,Status!A:B,2,0)</f>
        <v>Completed</v>
      </c>
      <c r="R444" s="2" t="s">
        <v>46</v>
      </c>
      <c r="S444" s="2">
        <v>5</v>
      </c>
      <c r="T444" s="2" t="s">
        <v>24</v>
      </c>
      <c r="U444" s="10" t="str">
        <f t="shared" si="41"/>
        <v>Mar</v>
      </c>
      <c r="V444" s="10">
        <f t="shared" si="40"/>
        <v>2025</v>
      </c>
      <c r="W444" t="e" cm="1">
        <f t="array" ref="W444">_xlfn.IFS(U444="January",1,U444="February",2,U444="March",3,U444="April",4,U444="May",5,U444="June",6,U444="July",7,U444="August",8,U444="September",9,U444="October",10,U444="November",11,U444="December",12)</f>
        <v>#N/A</v>
      </c>
    </row>
    <row r="445" spans="1:23" ht="15.75" customHeight="1" x14ac:dyDescent="0.25">
      <c r="A445" s="2" t="s">
        <v>1405</v>
      </c>
      <c r="B445" s="3">
        <v>45743.454618055563</v>
      </c>
      <c r="C445" s="2" t="s">
        <v>451</v>
      </c>
      <c r="D445" s="2" t="s">
        <v>116</v>
      </c>
      <c r="E445" s="2" t="s">
        <v>54</v>
      </c>
      <c r="F445" s="2" t="str" cm="1">
        <f t="array" ref="F445:G445">_xlfn.TEXTSPLIT(E445," - ")</f>
        <v>Beras</v>
      </c>
      <c r="G445" s="2" t="str">
        <v>Brand C</v>
      </c>
      <c r="H445" s="5">
        <v>16000</v>
      </c>
      <c r="I445" s="2">
        <v>1</v>
      </c>
      <c r="J445" s="2">
        <v>5</v>
      </c>
      <c r="K445" s="8">
        <f t="shared" si="36"/>
        <v>16000</v>
      </c>
      <c r="L445" s="8">
        <f t="shared" si="37"/>
        <v>800</v>
      </c>
      <c r="M445" s="8">
        <f t="shared" si="38"/>
        <v>15200</v>
      </c>
      <c r="N445" s="5">
        <v>72000</v>
      </c>
      <c r="O445" s="8">
        <f t="shared" si="39"/>
        <v>87200</v>
      </c>
      <c r="P445" s="2" t="s">
        <v>29</v>
      </c>
      <c r="Q445" s="10" t="str">
        <f>VLOOKUP(A445,Status!A:B,2,0)</f>
        <v>Returned</v>
      </c>
      <c r="R445" s="2" t="s">
        <v>30</v>
      </c>
      <c r="S445" s="2">
        <v>5</v>
      </c>
      <c r="T445" s="2" t="s">
        <v>24</v>
      </c>
      <c r="U445" s="10" t="str">
        <f t="shared" si="41"/>
        <v>Mar</v>
      </c>
      <c r="V445" s="10">
        <f t="shared" si="40"/>
        <v>2025</v>
      </c>
      <c r="W445" t="e" cm="1">
        <f t="array" ref="W445">_xlfn.IFS(U445="January",1,U445="February",2,U445="March",3,U445="April",4,U445="May",5,U445="June",6,U445="July",7,U445="August",8,U445="September",9,U445="October",10,U445="November",11,U445="December",12)</f>
        <v>#N/A</v>
      </c>
    </row>
    <row r="446" spans="1:23" ht="15.75" customHeight="1" x14ac:dyDescent="0.25">
      <c r="A446" s="2" t="s">
        <v>1406</v>
      </c>
      <c r="B446" s="3">
        <v>45743.784884259258</v>
      </c>
      <c r="C446" s="2" t="s">
        <v>121</v>
      </c>
      <c r="D446" s="2" t="s">
        <v>122</v>
      </c>
      <c r="E446" s="2" t="s">
        <v>186</v>
      </c>
      <c r="F446" s="2" t="str" cm="1">
        <f t="array" ref="F446:G446">_xlfn.TEXTSPLIT(E446," - ")</f>
        <v>Susu Bubuk</v>
      </c>
      <c r="G446" s="2" t="str">
        <v>Brand A</v>
      </c>
      <c r="H446" s="5">
        <v>45000</v>
      </c>
      <c r="I446" s="2">
        <v>3</v>
      </c>
      <c r="J446" s="2">
        <v>15</v>
      </c>
      <c r="K446" s="8">
        <f t="shared" si="36"/>
        <v>135000</v>
      </c>
      <c r="L446" s="8">
        <f t="shared" si="37"/>
        <v>20250</v>
      </c>
      <c r="M446" s="8">
        <f t="shared" si="38"/>
        <v>114750</v>
      </c>
      <c r="N446" s="5">
        <v>78000</v>
      </c>
      <c r="O446" s="8">
        <f t="shared" si="39"/>
        <v>192750</v>
      </c>
      <c r="P446" s="2" t="s">
        <v>22</v>
      </c>
      <c r="Q446" s="10" t="str">
        <f>VLOOKUP(A446,Status!A:B,2,0)</f>
        <v>Returned</v>
      </c>
      <c r="R446" s="2" t="s">
        <v>30</v>
      </c>
      <c r="S446" s="2">
        <v>5</v>
      </c>
      <c r="T446" s="2" t="s">
        <v>24</v>
      </c>
      <c r="U446" s="10" t="str">
        <f t="shared" si="41"/>
        <v>Mar</v>
      </c>
      <c r="V446" s="10">
        <f t="shared" si="40"/>
        <v>2025</v>
      </c>
      <c r="W446" t="e" cm="1">
        <f t="array" ref="W446">_xlfn.IFS(U446="January",1,U446="February",2,U446="March",3,U446="April",4,U446="May",5,U446="June",6,U446="July",7,U446="August",8,U446="September",9,U446="October",10,U446="November",11,U446="December",12)</f>
        <v>#N/A</v>
      </c>
    </row>
    <row r="447" spans="1:23" ht="15.75" customHeight="1" x14ac:dyDescent="0.25">
      <c r="A447" s="2" t="s">
        <v>1407</v>
      </c>
      <c r="B447" s="3">
        <v>45743.863807870373</v>
      </c>
      <c r="C447" s="2" t="s">
        <v>891</v>
      </c>
      <c r="D447" s="2" t="s">
        <v>126</v>
      </c>
      <c r="E447" s="2" t="s">
        <v>28</v>
      </c>
      <c r="F447" s="2" t="str" cm="1">
        <f t="array" ref="F447:G447">_xlfn.TEXTSPLIT(E447," - ")</f>
        <v>Garam</v>
      </c>
      <c r="G447" s="2" t="str">
        <v>Brand B</v>
      </c>
      <c r="H447" s="5">
        <v>5000</v>
      </c>
      <c r="I447" s="2">
        <v>2</v>
      </c>
      <c r="J447" s="2">
        <v>10</v>
      </c>
      <c r="K447" s="8">
        <f t="shared" si="36"/>
        <v>10000</v>
      </c>
      <c r="L447" s="8">
        <f t="shared" si="37"/>
        <v>1000</v>
      </c>
      <c r="M447" s="8">
        <f t="shared" si="38"/>
        <v>9000</v>
      </c>
      <c r="N447" s="5">
        <v>84000</v>
      </c>
      <c r="O447" s="8">
        <f t="shared" si="39"/>
        <v>93000</v>
      </c>
      <c r="P447" s="2" t="s">
        <v>22</v>
      </c>
      <c r="Q447" s="10" t="str">
        <f>VLOOKUP(A447,Status!A:B,2,0)</f>
        <v>Completed</v>
      </c>
      <c r="R447" s="2" t="s">
        <v>23</v>
      </c>
      <c r="S447" s="2">
        <v>1</v>
      </c>
      <c r="T447" s="2" t="s">
        <v>37</v>
      </c>
      <c r="U447" s="10" t="str">
        <f t="shared" si="41"/>
        <v>Mar</v>
      </c>
      <c r="V447" s="10">
        <f t="shared" si="40"/>
        <v>2025</v>
      </c>
      <c r="W447" t="e" cm="1">
        <f t="array" ref="W447">_xlfn.IFS(U447="January",1,U447="February",2,U447="March",3,U447="April",4,U447="May",5,U447="June",6,U447="July",7,U447="August",8,U447="September",9,U447="October",10,U447="November",11,U447="December",12)</f>
        <v>#N/A</v>
      </c>
    </row>
    <row r="448" spans="1:23" ht="15.75" customHeight="1" x14ac:dyDescent="0.25">
      <c r="A448" s="2" t="s">
        <v>1408</v>
      </c>
      <c r="B448" s="3">
        <v>45743.934872685182</v>
      </c>
      <c r="C448" s="2" t="s">
        <v>582</v>
      </c>
      <c r="D448" s="2" t="s">
        <v>435</v>
      </c>
      <c r="E448" s="2" t="s">
        <v>174</v>
      </c>
      <c r="F448" s="2" t="str" cm="1">
        <f t="array" ref="F448:G448">_xlfn.TEXTSPLIT(E448," - ")</f>
        <v>Tepung Terigu</v>
      </c>
      <c r="G448" s="2" t="str">
        <v>Brand A</v>
      </c>
      <c r="H448" s="5">
        <v>10000</v>
      </c>
      <c r="I448" s="2">
        <v>3</v>
      </c>
      <c r="J448" s="2">
        <v>20</v>
      </c>
      <c r="K448" s="8">
        <f t="shared" si="36"/>
        <v>30000</v>
      </c>
      <c r="L448" s="8">
        <f t="shared" si="37"/>
        <v>6000</v>
      </c>
      <c r="M448" s="8">
        <f t="shared" si="38"/>
        <v>24000</v>
      </c>
      <c r="N448" s="5">
        <v>67000</v>
      </c>
      <c r="O448" s="8">
        <f t="shared" si="39"/>
        <v>91000</v>
      </c>
      <c r="P448" s="2" t="s">
        <v>63</v>
      </c>
      <c r="Q448" s="10" t="str">
        <f>VLOOKUP(A448,Status!A:B,2,0)</f>
        <v>Returned</v>
      </c>
      <c r="R448" s="2" t="s">
        <v>46</v>
      </c>
      <c r="S448" s="2">
        <v>1</v>
      </c>
      <c r="T448" s="2" t="s">
        <v>24</v>
      </c>
      <c r="U448" s="10" t="str">
        <f t="shared" si="41"/>
        <v>Mar</v>
      </c>
      <c r="V448" s="10">
        <f t="shared" si="40"/>
        <v>2025</v>
      </c>
      <c r="W448" t="e" cm="1">
        <f t="array" ref="W448">_xlfn.IFS(U448="January",1,U448="February",2,U448="March",3,U448="April",4,U448="May",5,U448="June",6,U448="July",7,U448="August",8,U448="September",9,U448="October",10,U448="November",11,U448="December",12)</f>
        <v>#N/A</v>
      </c>
    </row>
    <row r="449" spans="1:23" ht="15.75" customHeight="1" x14ac:dyDescent="0.25">
      <c r="A449" s="2" t="s">
        <v>1409</v>
      </c>
      <c r="B449" s="3">
        <v>45744.346817129634</v>
      </c>
      <c r="C449" s="2" t="s">
        <v>464</v>
      </c>
      <c r="D449" s="2" t="s">
        <v>296</v>
      </c>
      <c r="E449" s="2" t="s">
        <v>34</v>
      </c>
      <c r="F449" s="2" t="str" cm="1">
        <f t="array" ref="F449:G449">_xlfn.TEXTSPLIT(E449," - ")</f>
        <v>Minyak Goreng</v>
      </c>
      <c r="G449" s="2" t="str">
        <v>Brand A</v>
      </c>
      <c r="H449" s="5">
        <v>16000</v>
      </c>
      <c r="I449" s="2">
        <v>5</v>
      </c>
      <c r="J449" s="2">
        <v>15</v>
      </c>
      <c r="K449" s="8">
        <f t="shared" si="36"/>
        <v>80000</v>
      </c>
      <c r="L449" s="8">
        <f t="shared" si="37"/>
        <v>12000</v>
      </c>
      <c r="M449" s="8">
        <f t="shared" si="38"/>
        <v>68000</v>
      </c>
      <c r="N449" s="5">
        <v>79000</v>
      </c>
      <c r="O449" s="8">
        <f t="shared" si="39"/>
        <v>147000</v>
      </c>
      <c r="P449" s="2" t="s">
        <v>63</v>
      </c>
      <c r="Q449" s="10" t="str">
        <f>VLOOKUP(A449,Status!A:B,2,0)</f>
        <v>Completed</v>
      </c>
      <c r="R449" s="2" t="s">
        <v>36</v>
      </c>
      <c r="S449" s="2">
        <v>4</v>
      </c>
      <c r="T449" s="2" t="s">
        <v>37</v>
      </c>
      <c r="U449" s="10" t="str">
        <f t="shared" si="41"/>
        <v>Mar</v>
      </c>
      <c r="V449" s="10">
        <f t="shared" si="40"/>
        <v>2025</v>
      </c>
      <c r="W449" t="e" cm="1">
        <f t="array" ref="W449">_xlfn.IFS(U449="January",1,U449="February",2,U449="March",3,U449="April",4,U449="May",5,U449="June",6,U449="July",7,U449="August",8,U449="September",9,U449="October",10,U449="November",11,U449="December",12)</f>
        <v>#N/A</v>
      </c>
    </row>
    <row r="450" spans="1:23" ht="15.75" customHeight="1" x14ac:dyDescent="0.25">
      <c r="A450" s="2" t="s">
        <v>1410</v>
      </c>
      <c r="B450" s="3">
        <v>45744.659861111111</v>
      </c>
      <c r="C450" s="2" t="s">
        <v>157</v>
      </c>
      <c r="D450" s="2" t="s">
        <v>20</v>
      </c>
      <c r="E450" s="2" t="s">
        <v>110</v>
      </c>
      <c r="F450" s="2" t="str" cm="1">
        <f t="array" ref="F450:G450">_xlfn.TEXTSPLIT(E450," - ")</f>
        <v>Garam</v>
      </c>
      <c r="G450" s="2" t="str">
        <v>Brand C</v>
      </c>
      <c r="H450" s="5">
        <v>6000</v>
      </c>
      <c r="I450" s="2">
        <v>2</v>
      </c>
      <c r="J450" s="2">
        <v>10</v>
      </c>
      <c r="K450" s="8">
        <f t="shared" ref="K450:K513" si="42">H450*I450</f>
        <v>12000</v>
      </c>
      <c r="L450" s="8">
        <f t="shared" ref="L450:L513" si="43">K450*J450%</f>
        <v>1200</v>
      </c>
      <c r="M450" s="8">
        <f t="shared" ref="M450:M513" si="44">K450-L450</f>
        <v>10800</v>
      </c>
      <c r="N450" s="5">
        <v>15000</v>
      </c>
      <c r="O450" s="8">
        <f t="shared" ref="O450:O513" si="45">M450+N450</f>
        <v>25800</v>
      </c>
      <c r="P450" s="2" t="s">
        <v>29</v>
      </c>
      <c r="Q450" s="10" t="str">
        <f>VLOOKUP(A450,Status!A:B,2,0)</f>
        <v>Completed</v>
      </c>
      <c r="R450" s="2" t="s">
        <v>23</v>
      </c>
      <c r="S450" s="2">
        <v>5</v>
      </c>
      <c r="T450" s="2" t="s">
        <v>24</v>
      </c>
      <c r="U450" s="10" t="str">
        <f t="shared" si="41"/>
        <v>Mar</v>
      </c>
      <c r="V450" s="10">
        <f t="shared" ref="V450:V513" si="46">YEAR(B450)</f>
        <v>2025</v>
      </c>
      <c r="W450" t="e" cm="1">
        <f t="array" ref="W450">_xlfn.IFS(U450="January",1,U450="February",2,U450="March",3,U450="April",4,U450="May",5,U450="June",6,U450="July",7,U450="August",8,U450="September",9,U450="October",10,U450="November",11,U450="December",12)</f>
        <v>#N/A</v>
      </c>
    </row>
    <row r="451" spans="1:23" ht="15.75" customHeight="1" x14ac:dyDescent="0.25">
      <c r="A451" s="2" t="s">
        <v>1411</v>
      </c>
      <c r="B451" s="3">
        <v>45744.885023148148</v>
      </c>
      <c r="C451" s="2" t="s">
        <v>184</v>
      </c>
      <c r="D451" s="2" t="s">
        <v>103</v>
      </c>
      <c r="E451" s="2" t="s">
        <v>190</v>
      </c>
      <c r="F451" s="2" t="str" cm="1">
        <f t="array" ref="F451:G451">_xlfn.TEXTSPLIT(E451," - ")</f>
        <v>Bawang Merah</v>
      </c>
      <c r="G451" s="2" t="str">
        <v>Brand B</v>
      </c>
      <c r="H451" s="5">
        <v>35000</v>
      </c>
      <c r="I451" s="2">
        <v>1</v>
      </c>
      <c r="J451" s="2">
        <v>20</v>
      </c>
      <c r="K451" s="8">
        <f t="shared" si="42"/>
        <v>35000</v>
      </c>
      <c r="L451" s="8">
        <f t="shared" si="43"/>
        <v>7000</v>
      </c>
      <c r="M451" s="8">
        <f t="shared" si="44"/>
        <v>28000</v>
      </c>
      <c r="N451" s="5">
        <v>85000</v>
      </c>
      <c r="O451" s="8">
        <f t="shared" si="45"/>
        <v>113000</v>
      </c>
      <c r="P451" s="2" t="s">
        <v>29</v>
      </c>
      <c r="Q451" s="10" t="str">
        <f>VLOOKUP(A451,Status!A:B,2,0)</f>
        <v>Completed</v>
      </c>
      <c r="R451" s="2" t="s">
        <v>46</v>
      </c>
      <c r="S451" s="2">
        <v>4</v>
      </c>
      <c r="T451" s="2" t="s">
        <v>24</v>
      </c>
      <c r="U451" s="10" t="str">
        <f t="shared" ref="U451:U514" si="47">TEXT(B451,"MMM")</f>
        <v>Mar</v>
      </c>
      <c r="V451" s="10">
        <f t="shared" si="46"/>
        <v>2025</v>
      </c>
      <c r="W451" t="e" cm="1">
        <f t="array" ref="W451">_xlfn.IFS(U451="January",1,U451="February",2,U451="March",3,U451="April",4,U451="May",5,U451="June",6,U451="July",7,U451="August",8,U451="September",9,U451="October",10,U451="November",11,U451="December",12)</f>
        <v>#N/A</v>
      </c>
    </row>
    <row r="452" spans="1:23" ht="15.75" customHeight="1" x14ac:dyDescent="0.25">
      <c r="A452" s="2" t="s">
        <v>1412</v>
      </c>
      <c r="B452" s="3">
        <v>45744.981238425928</v>
      </c>
      <c r="C452" s="2" t="s">
        <v>133</v>
      </c>
      <c r="D452" s="2" t="s">
        <v>33</v>
      </c>
      <c r="E452" s="2" t="s">
        <v>190</v>
      </c>
      <c r="F452" s="2" t="str" cm="1">
        <f t="array" ref="F452:G452">_xlfn.TEXTSPLIT(E452," - ")</f>
        <v>Bawang Merah</v>
      </c>
      <c r="G452" s="2" t="str">
        <v>Brand B</v>
      </c>
      <c r="H452" s="5">
        <v>35000</v>
      </c>
      <c r="I452" s="2">
        <v>4</v>
      </c>
      <c r="J452" s="2">
        <v>15</v>
      </c>
      <c r="K452" s="8">
        <f t="shared" si="42"/>
        <v>140000</v>
      </c>
      <c r="L452" s="8">
        <f t="shared" si="43"/>
        <v>21000</v>
      </c>
      <c r="M452" s="8">
        <f t="shared" si="44"/>
        <v>119000</v>
      </c>
      <c r="N452" s="5">
        <v>76000</v>
      </c>
      <c r="O452" s="8">
        <f t="shared" si="45"/>
        <v>195000</v>
      </c>
      <c r="P452" s="2" t="s">
        <v>35</v>
      </c>
      <c r="Q452" s="10" t="str">
        <f>VLOOKUP(A452,Status!A:B,2,0)</f>
        <v>Completed</v>
      </c>
      <c r="R452" s="2" t="s">
        <v>23</v>
      </c>
      <c r="S452" s="2">
        <v>1</v>
      </c>
      <c r="T452" s="2" t="s">
        <v>24</v>
      </c>
      <c r="U452" s="10" t="str">
        <f t="shared" si="47"/>
        <v>Mar</v>
      </c>
      <c r="V452" s="10">
        <f t="shared" si="46"/>
        <v>2025</v>
      </c>
      <c r="W452" t="e" cm="1">
        <f t="array" ref="W452">_xlfn.IFS(U452="January",1,U452="February",2,U452="March",3,U452="April",4,U452="May",5,U452="June",6,U452="July",7,U452="August",8,U452="September",9,U452="October",10,U452="November",11,U452="December",12)</f>
        <v>#N/A</v>
      </c>
    </row>
    <row r="453" spans="1:23" ht="15.75" customHeight="1" x14ac:dyDescent="0.25">
      <c r="A453" s="2" t="s">
        <v>1413</v>
      </c>
      <c r="B453" s="3">
        <v>45745.021608796298</v>
      </c>
      <c r="C453" s="2" t="s">
        <v>337</v>
      </c>
      <c r="D453" s="2" t="s">
        <v>131</v>
      </c>
      <c r="E453" s="2" t="s">
        <v>174</v>
      </c>
      <c r="F453" s="2" t="str" cm="1">
        <f t="array" ref="F453:G453">_xlfn.TEXTSPLIT(E453," - ")</f>
        <v>Tepung Terigu</v>
      </c>
      <c r="G453" s="2" t="str">
        <v>Brand A</v>
      </c>
      <c r="H453" s="5">
        <v>10000</v>
      </c>
      <c r="I453" s="2">
        <v>5</v>
      </c>
      <c r="J453" s="2">
        <v>0</v>
      </c>
      <c r="K453" s="8">
        <f t="shared" si="42"/>
        <v>50000</v>
      </c>
      <c r="L453" s="8">
        <f t="shared" si="43"/>
        <v>0</v>
      </c>
      <c r="M453" s="8">
        <f t="shared" si="44"/>
        <v>50000</v>
      </c>
      <c r="N453" s="5">
        <v>59000</v>
      </c>
      <c r="O453" s="8">
        <f t="shared" si="45"/>
        <v>109000</v>
      </c>
      <c r="P453" s="2" t="s">
        <v>63</v>
      </c>
      <c r="Q453" s="10" t="str">
        <f>VLOOKUP(A453,Status!A:B,2,0)</f>
        <v>Completed</v>
      </c>
      <c r="R453" s="2" t="s">
        <v>36</v>
      </c>
      <c r="S453" s="2">
        <v>4</v>
      </c>
      <c r="T453" s="2" t="s">
        <v>24</v>
      </c>
      <c r="U453" s="10" t="str">
        <f t="shared" si="47"/>
        <v>Mar</v>
      </c>
      <c r="V453" s="10">
        <f t="shared" si="46"/>
        <v>2025</v>
      </c>
      <c r="W453" t="e" cm="1">
        <f t="array" ref="W453">_xlfn.IFS(U453="January",1,U453="February",2,U453="March",3,U453="April",4,U453="May",5,U453="June",6,U453="July",7,U453="August",8,U453="September",9,U453="October",10,U453="November",11,U453="December",12)</f>
        <v>#N/A</v>
      </c>
    </row>
    <row r="454" spans="1:23" ht="15.75" customHeight="1" x14ac:dyDescent="0.25">
      <c r="A454" s="2" t="s">
        <v>1413</v>
      </c>
      <c r="B454" s="3">
        <v>45745.021608796298</v>
      </c>
      <c r="C454" s="2" t="s">
        <v>337</v>
      </c>
      <c r="D454" s="2" t="s">
        <v>131</v>
      </c>
      <c r="E454" s="2" t="s">
        <v>45</v>
      </c>
      <c r="F454" s="2" t="str" cm="1">
        <f t="array" ref="F454:G454">_xlfn.TEXTSPLIT(E454," - ")</f>
        <v>Daging Ayam</v>
      </c>
      <c r="G454" s="2" t="str">
        <v>Brand B</v>
      </c>
      <c r="H454" s="5">
        <v>40000</v>
      </c>
      <c r="I454" s="2">
        <v>3</v>
      </c>
      <c r="J454" s="2">
        <v>20</v>
      </c>
      <c r="K454" s="8">
        <f t="shared" si="42"/>
        <v>120000</v>
      </c>
      <c r="L454" s="8">
        <f t="shared" si="43"/>
        <v>24000</v>
      </c>
      <c r="M454" s="8">
        <f t="shared" si="44"/>
        <v>96000</v>
      </c>
      <c r="N454" s="5">
        <v>0</v>
      </c>
      <c r="O454" s="8">
        <f t="shared" si="45"/>
        <v>96000</v>
      </c>
      <c r="P454" s="2" t="s">
        <v>63</v>
      </c>
      <c r="Q454" s="10" t="str">
        <f>VLOOKUP(A454,Status!A:B,2,0)</f>
        <v>Completed</v>
      </c>
      <c r="R454" s="2" t="s">
        <v>36</v>
      </c>
      <c r="S454" s="2">
        <v>4</v>
      </c>
      <c r="T454" s="2" t="s">
        <v>24</v>
      </c>
      <c r="U454" s="10" t="str">
        <f t="shared" si="47"/>
        <v>Mar</v>
      </c>
      <c r="V454" s="10">
        <f t="shared" si="46"/>
        <v>2025</v>
      </c>
      <c r="W454" t="e" cm="1">
        <f t="array" ref="W454">_xlfn.IFS(U454="January",1,U454="February",2,U454="March",3,U454="April",4,U454="May",5,U454="June",6,U454="July",7,U454="August",8,U454="September",9,U454="October",10,U454="November",11,U454="December",12)</f>
        <v>#N/A</v>
      </c>
    </row>
    <row r="455" spans="1:23" ht="15.75" customHeight="1" x14ac:dyDescent="0.25">
      <c r="A455" s="2" t="s">
        <v>1414</v>
      </c>
      <c r="B455" s="3">
        <v>45745.218368055554</v>
      </c>
      <c r="C455" s="2" t="s">
        <v>295</v>
      </c>
      <c r="D455" s="2" t="s">
        <v>296</v>
      </c>
      <c r="E455" s="2" t="s">
        <v>75</v>
      </c>
      <c r="F455" s="2" t="str" cm="1">
        <f t="array" ref="F455:G455">_xlfn.TEXTSPLIT(E455," - ")</f>
        <v>Susu Bubuk</v>
      </c>
      <c r="G455" s="2" t="str">
        <v>Brand C</v>
      </c>
      <c r="H455" s="5">
        <v>55000</v>
      </c>
      <c r="I455" s="2">
        <v>5</v>
      </c>
      <c r="J455" s="2">
        <v>10</v>
      </c>
      <c r="K455" s="8">
        <f t="shared" si="42"/>
        <v>275000</v>
      </c>
      <c r="L455" s="8">
        <f t="shared" si="43"/>
        <v>27500</v>
      </c>
      <c r="M455" s="8">
        <f t="shared" si="44"/>
        <v>247500</v>
      </c>
      <c r="N455" s="5">
        <v>79000</v>
      </c>
      <c r="O455" s="8">
        <f t="shared" si="45"/>
        <v>326500</v>
      </c>
      <c r="P455" s="2" t="s">
        <v>35</v>
      </c>
      <c r="Q455" s="10" t="str">
        <f>VLOOKUP(A455,Status!A:B,2,0)</f>
        <v>Completed</v>
      </c>
      <c r="R455" s="2" t="s">
        <v>82</v>
      </c>
      <c r="S455" s="2">
        <v>4</v>
      </c>
      <c r="T455" s="2" t="s">
        <v>24</v>
      </c>
      <c r="U455" s="10" t="str">
        <f t="shared" si="47"/>
        <v>Mar</v>
      </c>
      <c r="V455" s="10">
        <f t="shared" si="46"/>
        <v>2025</v>
      </c>
      <c r="W455" t="e" cm="1">
        <f t="array" ref="W455">_xlfn.IFS(U455="January",1,U455="February",2,U455="March",3,U455="April",4,U455="May",5,U455="June",6,U455="July",7,U455="August",8,U455="September",9,U455="October",10,U455="November",11,U455="December",12)</f>
        <v>#N/A</v>
      </c>
    </row>
    <row r="456" spans="1:23" ht="15.75" customHeight="1" x14ac:dyDescent="0.25">
      <c r="A456" s="2" t="s">
        <v>1415</v>
      </c>
      <c r="B456" s="3">
        <v>45745.329351851848</v>
      </c>
      <c r="C456" s="2" t="s">
        <v>269</v>
      </c>
      <c r="D456" s="2" t="s">
        <v>173</v>
      </c>
      <c r="E456" s="2" t="s">
        <v>54</v>
      </c>
      <c r="F456" s="2" t="str" cm="1">
        <f t="array" ref="F456:G456">_xlfn.TEXTSPLIT(E456," - ")</f>
        <v>Beras</v>
      </c>
      <c r="G456" s="2" t="str">
        <v>Brand C</v>
      </c>
      <c r="H456" s="5">
        <v>16000</v>
      </c>
      <c r="I456" s="2">
        <v>4</v>
      </c>
      <c r="J456" s="2">
        <v>20</v>
      </c>
      <c r="K456" s="8">
        <f t="shared" si="42"/>
        <v>64000</v>
      </c>
      <c r="L456" s="8">
        <f t="shared" si="43"/>
        <v>12800</v>
      </c>
      <c r="M456" s="8">
        <f t="shared" si="44"/>
        <v>51200</v>
      </c>
      <c r="N456" s="5">
        <v>49000</v>
      </c>
      <c r="O456" s="8">
        <f t="shared" si="45"/>
        <v>100200</v>
      </c>
      <c r="P456" s="2" t="s">
        <v>22</v>
      </c>
      <c r="Q456" s="10" t="str">
        <f>VLOOKUP(A456,Status!A:B,2,0)</f>
        <v>Completed</v>
      </c>
      <c r="R456" s="2" t="s">
        <v>30</v>
      </c>
      <c r="S456" s="2">
        <v>2</v>
      </c>
      <c r="T456" s="2" t="s">
        <v>37</v>
      </c>
      <c r="U456" s="10" t="str">
        <f t="shared" si="47"/>
        <v>Mar</v>
      </c>
      <c r="V456" s="10">
        <f t="shared" si="46"/>
        <v>2025</v>
      </c>
      <c r="W456" t="e" cm="1">
        <f t="array" ref="W456">_xlfn.IFS(U456="January",1,U456="February",2,U456="March",3,U456="April",4,U456="May",5,U456="June",6,U456="July",7,U456="August",8,U456="September",9,U456="October",10,U456="November",11,U456="December",12)</f>
        <v>#N/A</v>
      </c>
    </row>
    <row r="457" spans="1:23" ht="15.75" customHeight="1" x14ac:dyDescent="0.25">
      <c r="A457" s="2" t="s">
        <v>1416</v>
      </c>
      <c r="B457" s="3">
        <v>45745.366122685176</v>
      </c>
      <c r="C457" s="2" t="s">
        <v>1066</v>
      </c>
      <c r="D457" s="2" t="s">
        <v>113</v>
      </c>
      <c r="E457" s="2" t="s">
        <v>174</v>
      </c>
      <c r="F457" s="2" t="str" cm="1">
        <f t="array" ref="F457:G457">_xlfn.TEXTSPLIT(E457," - ")</f>
        <v>Tepung Terigu</v>
      </c>
      <c r="G457" s="2" t="str">
        <v>Brand A</v>
      </c>
      <c r="H457" s="5">
        <v>10000</v>
      </c>
      <c r="I457" s="2">
        <v>3</v>
      </c>
      <c r="J457" s="2">
        <v>5</v>
      </c>
      <c r="K457" s="8">
        <f t="shared" si="42"/>
        <v>30000</v>
      </c>
      <c r="L457" s="8">
        <f t="shared" si="43"/>
        <v>1500</v>
      </c>
      <c r="M457" s="8">
        <f t="shared" si="44"/>
        <v>28500</v>
      </c>
      <c r="N457" s="5">
        <v>18000</v>
      </c>
      <c r="O457" s="8">
        <f t="shared" si="45"/>
        <v>46500</v>
      </c>
      <c r="P457" s="2" t="s">
        <v>63</v>
      </c>
      <c r="Q457" s="10" t="str">
        <f>VLOOKUP(A457,Status!A:B,2,0)</f>
        <v>Completed</v>
      </c>
      <c r="R457" s="2" t="s">
        <v>23</v>
      </c>
      <c r="S457" s="2">
        <v>3</v>
      </c>
      <c r="T457" s="2" t="s">
        <v>24</v>
      </c>
      <c r="U457" s="10" t="str">
        <f t="shared" si="47"/>
        <v>Mar</v>
      </c>
      <c r="V457" s="10">
        <f t="shared" si="46"/>
        <v>2025</v>
      </c>
      <c r="W457" t="e" cm="1">
        <f t="array" ref="W457">_xlfn.IFS(U457="January",1,U457="February",2,U457="March",3,U457="April",4,U457="May",5,U457="June",6,U457="July",7,U457="August",8,U457="September",9,U457="October",10,U457="November",11,U457="December",12)</f>
        <v>#N/A</v>
      </c>
    </row>
    <row r="458" spans="1:23" ht="15.75" customHeight="1" x14ac:dyDescent="0.25">
      <c r="A458" s="2" t="s">
        <v>1417</v>
      </c>
      <c r="B458" s="3">
        <v>45745.597604166673</v>
      </c>
      <c r="C458" s="2" t="s">
        <v>1418</v>
      </c>
      <c r="D458" s="2" t="s">
        <v>262</v>
      </c>
      <c r="E458" s="2" t="s">
        <v>174</v>
      </c>
      <c r="F458" s="2" t="str" cm="1">
        <f t="array" ref="F458:G458">_xlfn.TEXTSPLIT(E458," - ")</f>
        <v>Tepung Terigu</v>
      </c>
      <c r="G458" s="2" t="str">
        <v>Brand A</v>
      </c>
      <c r="H458" s="5">
        <v>10000</v>
      </c>
      <c r="I458" s="2">
        <v>4</v>
      </c>
      <c r="J458" s="2">
        <v>5</v>
      </c>
      <c r="K458" s="8">
        <f t="shared" si="42"/>
        <v>40000</v>
      </c>
      <c r="L458" s="8">
        <f t="shared" si="43"/>
        <v>2000</v>
      </c>
      <c r="M458" s="8">
        <f t="shared" si="44"/>
        <v>38000</v>
      </c>
      <c r="N458" s="5">
        <v>18000</v>
      </c>
      <c r="O458" s="8">
        <f t="shared" si="45"/>
        <v>56000</v>
      </c>
      <c r="P458" s="2" t="s">
        <v>29</v>
      </c>
      <c r="Q458" s="10" t="str">
        <f>VLOOKUP(A458,Status!A:B,2,0)</f>
        <v>Completed</v>
      </c>
      <c r="R458" s="2" t="s">
        <v>82</v>
      </c>
      <c r="S458" s="2">
        <v>4</v>
      </c>
      <c r="T458" s="2" t="s">
        <v>24</v>
      </c>
      <c r="U458" s="10" t="str">
        <f t="shared" si="47"/>
        <v>Mar</v>
      </c>
      <c r="V458" s="10">
        <f t="shared" si="46"/>
        <v>2025</v>
      </c>
      <c r="W458" t="e" cm="1">
        <f t="array" ref="W458">_xlfn.IFS(U458="January",1,U458="February",2,U458="March",3,U458="April",4,U458="May",5,U458="June",6,U458="July",7,U458="August",8,U458="September",9,U458="October",10,U458="November",11,U458="December",12)</f>
        <v>#N/A</v>
      </c>
    </row>
    <row r="459" spans="1:23" ht="15.75" customHeight="1" x14ac:dyDescent="0.25">
      <c r="A459" s="2" t="s">
        <v>1419</v>
      </c>
      <c r="B459" s="3">
        <v>45745.640833333331</v>
      </c>
      <c r="C459" s="2" t="s">
        <v>515</v>
      </c>
      <c r="D459" s="2" t="s">
        <v>182</v>
      </c>
      <c r="E459" s="2" t="s">
        <v>54</v>
      </c>
      <c r="F459" s="2" t="str" cm="1">
        <f t="array" ref="F459:G459">_xlfn.TEXTSPLIT(E459," - ")</f>
        <v>Beras</v>
      </c>
      <c r="G459" s="2" t="str">
        <v>Brand C</v>
      </c>
      <c r="H459" s="5">
        <v>16000</v>
      </c>
      <c r="I459" s="2">
        <v>2</v>
      </c>
      <c r="J459" s="2">
        <v>20</v>
      </c>
      <c r="K459" s="8">
        <f t="shared" si="42"/>
        <v>32000</v>
      </c>
      <c r="L459" s="8">
        <f t="shared" si="43"/>
        <v>6400</v>
      </c>
      <c r="M459" s="8">
        <f t="shared" si="44"/>
        <v>25600</v>
      </c>
      <c r="N459" s="5">
        <v>48000</v>
      </c>
      <c r="O459" s="8">
        <f t="shared" si="45"/>
        <v>73600</v>
      </c>
      <c r="P459" s="2" t="s">
        <v>63</v>
      </c>
      <c r="Q459" s="10" t="str">
        <f>VLOOKUP(A459,Status!A:B,2,0)</f>
        <v>Completed</v>
      </c>
      <c r="R459" s="2" t="s">
        <v>36</v>
      </c>
      <c r="S459" s="2">
        <v>2</v>
      </c>
      <c r="T459" s="2" t="s">
        <v>24</v>
      </c>
      <c r="U459" s="10" t="str">
        <f t="shared" si="47"/>
        <v>Mar</v>
      </c>
      <c r="V459" s="10">
        <f t="shared" si="46"/>
        <v>2025</v>
      </c>
      <c r="W459" t="e" cm="1">
        <f t="array" ref="W459">_xlfn.IFS(U459="January",1,U459="February",2,U459="March",3,U459="April",4,U459="May",5,U459="June",6,U459="July",7,U459="August",8,U459="September",9,U459="October",10,U459="November",11,U459="December",12)</f>
        <v>#N/A</v>
      </c>
    </row>
    <row r="460" spans="1:23" ht="15.75" customHeight="1" x14ac:dyDescent="0.25">
      <c r="A460" s="2" t="s">
        <v>1420</v>
      </c>
      <c r="B460" s="3">
        <v>45746.238703703697</v>
      </c>
      <c r="C460" s="2" t="s">
        <v>162</v>
      </c>
      <c r="D460" s="2" t="s">
        <v>163</v>
      </c>
      <c r="E460" s="2" t="s">
        <v>88</v>
      </c>
      <c r="F460" s="2" t="str" cm="1">
        <f t="array" ref="F460:G460">_xlfn.TEXTSPLIT(E460," - ")</f>
        <v>Beras</v>
      </c>
      <c r="G460" s="2" t="str">
        <v>Brand A</v>
      </c>
      <c r="H460" s="5">
        <v>14000</v>
      </c>
      <c r="I460" s="2">
        <v>2</v>
      </c>
      <c r="J460" s="2">
        <v>5</v>
      </c>
      <c r="K460" s="8">
        <f t="shared" si="42"/>
        <v>28000</v>
      </c>
      <c r="L460" s="8">
        <f t="shared" si="43"/>
        <v>1400</v>
      </c>
      <c r="M460" s="8">
        <f t="shared" si="44"/>
        <v>26600</v>
      </c>
      <c r="N460" s="5">
        <v>50000</v>
      </c>
      <c r="O460" s="8">
        <f t="shared" si="45"/>
        <v>76600</v>
      </c>
      <c r="P460" s="2" t="s">
        <v>22</v>
      </c>
      <c r="Q460" s="10" t="str">
        <f>VLOOKUP(A460,Status!A:B,2,0)</f>
        <v>Completed</v>
      </c>
      <c r="R460" s="2" t="s">
        <v>36</v>
      </c>
      <c r="S460" s="2">
        <v>3</v>
      </c>
      <c r="T460" s="2" t="s">
        <v>24</v>
      </c>
      <c r="U460" s="10" t="str">
        <f t="shared" si="47"/>
        <v>Mar</v>
      </c>
      <c r="V460" s="10">
        <f t="shared" si="46"/>
        <v>2025</v>
      </c>
      <c r="W460" t="e" cm="1">
        <f t="array" ref="W460">_xlfn.IFS(U460="January",1,U460="February",2,U460="March",3,U460="April",4,U460="May",5,U460="June",6,U460="July",7,U460="August",8,U460="September",9,U460="October",10,U460="November",11,U460="December",12)</f>
        <v>#N/A</v>
      </c>
    </row>
    <row r="461" spans="1:23" ht="15.75" customHeight="1" x14ac:dyDescent="0.25">
      <c r="A461" s="2" t="s">
        <v>1421</v>
      </c>
      <c r="B461" s="3">
        <v>45746.490671296298</v>
      </c>
      <c r="C461" s="2" t="s">
        <v>1336</v>
      </c>
      <c r="D461" s="2" t="s">
        <v>96</v>
      </c>
      <c r="E461" s="2" t="s">
        <v>41</v>
      </c>
      <c r="F461" s="2" t="str" cm="1">
        <f t="array" ref="F461:G461">_xlfn.TEXTSPLIT(E461," - ")</f>
        <v>Garam</v>
      </c>
      <c r="G461" s="2" t="str">
        <v>Brand A</v>
      </c>
      <c r="H461" s="5">
        <v>4000</v>
      </c>
      <c r="I461" s="2">
        <v>3</v>
      </c>
      <c r="J461" s="2">
        <v>10</v>
      </c>
      <c r="K461" s="8">
        <f t="shared" si="42"/>
        <v>12000</v>
      </c>
      <c r="L461" s="8">
        <f t="shared" si="43"/>
        <v>1200</v>
      </c>
      <c r="M461" s="8">
        <f t="shared" si="44"/>
        <v>10800</v>
      </c>
      <c r="N461" s="5">
        <v>49000</v>
      </c>
      <c r="O461" s="8">
        <f t="shared" si="45"/>
        <v>59800</v>
      </c>
      <c r="P461" s="2" t="s">
        <v>35</v>
      </c>
      <c r="Q461" s="10" t="str">
        <f>VLOOKUP(A461,Status!A:B,2,0)</f>
        <v>Returned</v>
      </c>
      <c r="R461" s="2" t="s">
        <v>46</v>
      </c>
      <c r="S461" s="2">
        <v>4</v>
      </c>
      <c r="T461" s="2" t="s">
        <v>37</v>
      </c>
      <c r="U461" s="10" t="str">
        <f t="shared" si="47"/>
        <v>Mar</v>
      </c>
      <c r="V461" s="10">
        <f t="shared" si="46"/>
        <v>2025</v>
      </c>
      <c r="W461" t="e" cm="1">
        <f t="array" ref="W461">_xlfn.IFS(U461="January",1,U461="February",2,U461="March",3,U461="April",4,U461="May",5,U461="June",6,U461="July",7,U461="August",8,U461="September",9,U461="October",10,U461="November",11,U461="December",12)</f>
        <v>#N/A</v>
      </c>
    </row>
    <row r="462" spans="1:23" ht="15.75" customHeight="1" x14ac:dyDescent="0.25">
      <c r="A462" s="2" t="s">
        <v>1422</v>
      </c>
      <c r="B462" s="3">
        <v>45746.511157407411</v>
      </c>
      <c r="C462" s="2" t="s">
        <v>229</v>
      </c>
      <c r="D462" s="2" t="s">
        <v>195</v>
      </c>
      <c r="E462" s="2" t="s">
        <v>67</v>
      </c>
      <c r="F462" s="2" t="str" cm="1">
        <f t="array" ref="F462:G462">_xlfn.TEXTSPLIT(E462," - ")</f>
        <v>Beras</v>
      </c>
      <c r="G462" s="2" t="str">
        <v>Brand B</v>
      </c>
      <c r="H462" s="5">
        <v>15000</v>
      </c>
      <c r="I462" s="2">
        <v>5</v>
      </c>
      <c r="J462" s="2">
        <v>10</v>
      </c>
      <c r="K462" s="8">
        <f t="shared" si="42"/>
        <v>75000</v>
      </c>
      <c r="L462" s="8">
        <f t="shared" si="43"/>
        <v>7500</v>
      </c>
      <c r="M462" s="8">
        <f t="shared" si="44"/>
        <v>67500</v>
      </c>
      <c r="N462" s="5">
        <v>87000</v>
      </c>
      <c r="O462" s="8">
        <f t="shared" si="45"/>
        <v>154500</v>
      </c>
      <c r="P462" s="2" t="s">
        <v>63</v>
      </c>
      <c r="Q462" s="10" t="str">
        <f>VLOOKUP(A462,Status!A:B,2,0)</f>
        <v>Completed</v>
      </c>
      <c r="R462" s="2" t="s">
        <v>36</v>
      </c>
      <c r="S462" s="2">
        <v>4</v>
      </c>
      <c r="T462" s="2" t="s">
        <v>24</v>
      </c>
      <c r="U462" s="10" t="str">
        <f t="shared" si="47"/>
        <v>Mar</v>
      </c>
      <c r="V462" s="10">
        <f t="shared" si="46"/>
        <v>2025</v>
      </c>
      <c r="W462" t="e" cm="1">
        <f t="array" ref="W462">_xlfn.IFS(U462="January",1,U462="February",2,U462="March",3,U462="April",4,U462="May",5,U462="June",6,U462="July",7,U462="August",8,U462="September",9,U462="October",10,U462="November",11,U462="December",12)</f>
        <v>#N/A</v>
      </c>
    </row>
    <row r="463" spans="1:23" ht="15.75" customHeight="1" x14ac:dyDescent="0.25">
      <c r="A463" s="2" t="s">
        <v>1423</v>
      </c>
      <c r="B463" s="3">
        <v>45746.834351851852</v>
      </c>
      <c r="C463" s="2" t="s">
        <v>1424</v>
      </c>
      <c r="D463" s="2" t="s">
        <v>296</v>
      </c>
      <c r="E463" s="2" t="s">
        <v>186</v>
      </c>
      <c r="F463" s="2" t="str" cm="1">
        <f t="array" ref="F463:G463">_xlfn.TEXTSPLIT(E463," - ")</f>
        <v>Susu Bubuk</v>
      </c>
      <c r="G463" s="2" t="str">
        <v>Brand A</v>
      </c>
      <c r="H463" s="5">
        <v>45000</v>
      </c>
      <c r="I463" s="2">
        <v>1</v>
      </c>
      <c r="J463" s="2">
        <v>20</v>
      </c>
      <c r="K463" s="8">
        <f t="shared" si="42"/>
        <v>45000</v>
      </c>
      <c r="L463" s="8">
        <f t="shared" si="43"/>
        <v>9000</v>
      </c>
      <c r="M463" s="8">
        <f t="shared" si="44"/>
        <v>36000</v>
      </c>
      <c r="N463" s="5">
        <v>79000</v>
      </c>
      <c r="O463" s="8">
        <f t="shared" si="45"/>
        <v>115000</v>
      </c>
      <c r="P463" s="2" t="s">
        <v>29</v>
      </c>
      <c r="Q463" s="10" t="str">
        <f>VLOOKUP(A463,Status!A:B,2,0)</f>
        <v>Completed</v>
      </c>
      <c r="R463" s="2" t="s">
        <v>46</v>
      </c>
      <c r="S463" s="2">
        <v>3</v>
      </c>
      <c r="T463" s="2" t="s">
        <v>24</v>
      </c>
      <c r="U463" s="10" t="str">
        <f t="shared" si="47"/>
        <v>Mar</v>
      </c>
      <c r="V463" s="10">
        <f t="shared" si="46"/>
        <v>2025</v>
      </c>
      <c r="W463" t="e" cm="1">
        <f t="array" ref="W463">_xlfn.IFS(U463="January",1,U463="February",2,U463="March",3,U463="April",4,U463="May",5,U463="June",6,U463="July",7,U463="August",8,U463="September",9,U463="October",10,U463="November",11,U463="December",12)</f>
        <v>#N/A</v>
      </c>
    </row>
    <row r="464" spans="1:23" ht="15.75" customHeight="1" x14ac:dyDescent="0.25">
      <c r="A464" s="2" t="s">
        <v>1425</v>
      </c>
      <c r="B464" s="3">
        <v>45747.215324074074</v>
      </c>
      <c r="C464" s="2" t="s">
        <v>983</v>
      </c>
      <c r="D464" s="2" t="s">
        <v>262</v>
      </c>
      <c r="E464" s="2" t="s">
        <v>28</v>
      </c>
      <c r="F464" s="2" t="str" cm="1">
        <f t="array" ref="F464:G464">_xlfn.TEXTSPLIT(E464," - ")</f>
        <v>Garam</v>
      </c>
      <c r="G464" s="2" t="str">
        <v>Brand B</v>
      </c>
      <c r="H464" s="5">
        <v>5000</v>
      </c>
      <c r="I464" s="2">
        <v>1</v>
      </c>
      <c r="J464" s="2">
        <v>0</v>
      </c>
      <c r="K464" s="8">
        <f t="shared" si="42"/>
        <v>5000</v>
      </c>
      <c r="L464" s="8">
        <f t="shared" si="43"/>
        <v>0</v>
      </c>
      <c r="M464" s="8">
        <f t="shared" si="44"/>
        <v>5000</v>
      </c>
      <c r="N464" s="5">
        <v>18000</v>
      </c>
      <c r="O464" s="8">
        <f t="shared" si="45"/>
        <v>23000</v>
      </c>
      <c r="P464" s="2" t="s">
        <v>22</v>
      </c>
      <c r="Q464" s="10" t="str">
        <f>VLOOKUP(A464,Status!A:B,2,0)</f>
        <v>Completed</v>
      </c>
      <c r="R464" s="2" t="s">
        <v>46</v>
      </c>
      <c r="S464" s="2">
        <v>1</v>
      </c>
      <c r="T464" s="2" t="s">
        <v>37</v>
      </c>
      <c r="U464" s="10" t="str">
        <f t="shared" si="47"/>
        <v>Mar</v>
      </c>
      <c r="V464" s="10">
        <f t="shared" si="46"/>
        <v>2025</v>
      </c>
      <c r="W464" t="e" cm="1">
        <f t="array" ref="W464">_xlfn.IFS(U464="January",1,U464="February",2,U464="March",3,U464="April",4,U464="May",5,U464="June",6,U464="July",7,U464="August",8,U464="September",9,U464="October",10,U464="November",11,U464="December",12)</f>
        <v>#N/A</v>
      </c>
    </row>
    <row r="465" spans="1:23" ht="15.75" customHeight="1" x14ac:dyDescent="0.25">
      <c r="A465" s="2" t="s">
        <v>1426</v>
      </c>
      <c r="B465" s="3">
        <v>45747.776400462957</v>
      </c>
      <c r="C465" s="2" t="s">
        <v>56</v>
      </c>
      <c r="D465" s="2" t="s">
        <v>57</v>
      </c>
      <c r="E465" s="2" t="s">
        <v>85</v>
      </c>
      <c r="F465" s="2" t="str" cm="1">
        <f t="array" ref="F465:G465">_xlfn.TEXTSPLIT(E465," - ")</f>
        <v>Daging Ayam</v>
      </c>
      <c r="G465" s="2" t="str">
        <v>Brand A</v>
      </c>
      <c r="H465" s="5">
        <v>35000</v>
      </c>
      <c r="I465" s="2">
        <v>3</v>
      </c>
      <c r="J465" s="2">
        <v>20</v>
      </c>
      <c r="K465" s="8">
        <f t="shared" si="42"/>
        <v>105000</v>
      </c>
      <c r="L465" s="8">
        <f t="shared" si="43"/>
        <v>21000</v>
      </c>
      <c r="M465" s="8">
        <f t="shared" si="44"/>
        <v>84000</v>
      </c>
      <c r="N465" s="5">
        <v>80000</v>
      </c>
      <c r="O465" s="8">
        <f t="shared" si="45"/>
        <v>164000</v>
      </c>
      <c r="P465" s="2" t="s">
        <v>29</v>
      </c>
      <c r="Q465" s="10" t="str">
        <f>VLOOKUP(A465,Status!A:B,2,0)</f>
        <v>Completed</v>
      </c>
      <c r="R465" s="2" t="s">
        <v>82</v>
      </c>
      <c r="S465" s="2">
        <v>1</v>
      </c>
      <c r="T465" s="2" t="s">
        <v>24</v>
      </c>
      <c r="U465" s="10" t="str">
        <f t="shared" si="47"/>
        <v>Mar</v>
      </c>
      <c r="V465" s="10">
        <f t="shared" si="46"/>
        <v>2025</v>
      </c>
      <c r="W465" t="e" cm="1">
        <f t="array" ref="W465">_xlfn.IFS(U465="January",1,U465="February",2,U465="March",3,U465="April",4,U465="May",5,U465="June",6,U465="July",7,U465="August",8,U465="September",9,U465="October",10,U465="November",11,U465="December",12)</f>
        <v>#N/A</v>
      </c>
    </row>
    <row r="466" spans="1:23" ht="15.75" customHeight="1" x14ac:dyDescent="0.25">
      <c r="A466" s="2" t="s">
        <v>1427</v>
      </c>
      <c r="B466" s="3">
        <v>45747.794293981482</v>
      </c>
      <c r="C466" s="2" t="s">
        <v>1317</v>
      </c>
      <c r="D466" s="2" t="s">
        <v>113</v>
      </c>
      <c r="E466" s="2" t="s">
        <v>190</v>
      </c>
      <c r="F466" s="2" t="str" cm="1">
        <f t="array" ref="F466:G466">_xlfn.TEXTSPLIT(E466," - ")</f>
        <v>Bawang Merah</v>
      </c>
      <c r="G466" s="2" t="str">
        <v>Brand B</v>
      </c>
      <c r="H466" s="5">
        <v>35000</v>
      </c>
      <c r="I466" s="2">
        <v>4</v>
      </c>
      <c r="J466" s="2">
        <v>5</v>
      </c>
      <c r="K466" s="8">
        <f t="shared" si="42"/>
        <v>140000</v>
      </c>
      <c r="L466" s="8">
        <f t="shared" si="43"/>
        <v>7000</v>
      </c>
      <c r="M466" s="8">
        <f t="shared" si="44"/>
        <v>133000</v>
      </c>
      <c r="N466" s="5">
        <v>18000</v>
      </c>
      <c r="O466" s="8">
        <f t="shared" si="45"/>
        <v>151000</v>
      </c>
      <c r="P466" s="2" t="s">
        <v>63</v>
      </c>
      <c r="Q466" s="10" t="str">
        <f>VLOOKUP(A466,Status!A:B,2,0)</f>
        <v>Completed</v>
      </c>
      <c r="R466" s="2" t="s">
        <v>82</v>
      </c>
      <c r="S466" s="2">
        <v>3</v>
      </c>
      <c r="T466" s="2" t="s">
        <v>37</v>
      </c>
      <c r="U466" s="10" t="str">
        <f t="shared" si="47"/>
        <v>Mar</v>
      </c>
      <c r="V466" s="10">
        <f t="shared" si="46"/>
        <v>2025</v>
      </c>
      <c r="W466" t="e" cm="1">
        <f t="array" ref="W466">_xlfn.IFS(U466="January",1,U466="February",2,U466="March",3,U466="April",4,U466="May",5,U466="June",6,U466="July",7,U466="August",8,U466="September",9,U466="October",10,U466="November",11,U466="December",12)</f>
        <v>#N/A</v>
      </c>
    </row>
    <row r="467" spans="1:23" ht="15.75" customHeight="1" x14ac:dyDescent="0.25">
      <c r="A467" s="2" t="s">
        <v>1428</v>
      </c>
      <c r="B467" s="3">
        <v>45748.173981481479</v>
      </c>
      <c r="C467" s="2" t="s">
        <v>651</v>
      </c>
      <c r="D467" s="2" t="s">
        <v>182</v>
      </c>
      <c r="E467" s="2" t="s">
        <v>104</v>
      </c>
      <c r="F467" s="2" t="str" cm="1">
        <f t="array" ref="F467:G467">_xlfn.TEXTSPLIT(E467," - ")</f>
        <v>Bawang Merah</v>
      </c>
      <c r="G467" s="2" t="str">
        <v>Brand A</v>
      </c>
      <c r="H467" s="5">
        <v>30000</v>
      </c>
      <c r="I467" s="2">
        <v>5</v>
      </c>
      <c r="J467" s="2">
        <v>20</v>
      </c>
      <c r="K467" s="8">
        <f t="shared" si="42"/>
        <v>150000</v>
      </c>
      <c r="L467" s="8">
        <f t="shared" si="43"/>
        <v>30000</v>
      </c>
      <c r="M467" s="8">
        <f t="shared" si="44"/>
        <v>120000</v>
      </c>
      <c r="N467" s="5">
        <v>48000</v>
      </c>
      <c r="O467" s="8">
        <f t="shared" si="45"/>
        <v>168000</v>
      </c>
      <c r="P467" s="2" t="s">
        <v>35</v>
      </c>
      <c r="Q467" s="10" t="str">
        <f>VLOOKUP(A467,Status!A:B,2,0)</f>
        <v>Completed</v>
      </c>
      <c r="R467" s="2" t="s">
        <v>36</v>
      </c>
      <c r="S467" s="2">
        <v>2</v>
      </c>
      <c r="T467" s="2" t="s">
        <v>37</v>
      </c>
      <c r="U467" s="10" t="str">
        <f t="shared" si="47"/>
        <v>Apr</v>
      </c>
      <c r="V467" s="10">
        <f t="shared" si="46"/>
        <v>2025</v>
      </c>
      <c r="W467" t="e" cm="1">
        <f t="array" ref="W467">_xlfn.IFS(U467="January",1,U467="February",2,U467="March",3,U467="April",4,U467="May",5,U467="June",6,U467="July",7,U467="August",8,U467="September",9,U467="October",10,U467="November",11,U467="December",12)</f>
        <v>#N/A</v>
      </c>
    </row>
    <row r="468" spans="1:23" ht="15.75" customHeight="1" x14ac:dyDescent="0.25">
      <c r="A468" s="2" t="s">
        <v>1429</v>
      </c>
      <c r="B468" s="3">
        <v>45748.177071759259</v>
      </c>
      <c r="C468" s="2" t="s">
        <v>162</v>
      </c>
      <c r="D468" s="2" t="s">
        <v>163</v>
      </c>
      <c r="E468" s="2" t="s">
        <v>21</v>
      </c>
      <c r="F468" s="2" t="str" cm="1">
        <f t="array" ref="F468:G468">_xlfn.TEXTSPLIT(E468," - ")</f>
        <v>Daging Ayam</v>
      </c>
      <c r="G468" s="2" t="str">
        <v>Brand C</v>
      </c>
      <c r="H468" s="5">
        <v>45000</v>
      </c>
      <c r="I468" s="2">
        <v>5</v>
      </c>
      <c r="J468" s="2">
        <v>15</v>
      </c>
      <c r="K468" s="8">
        <f t="shared" si="42"/>
        <v>225000</v>
      </c>
      <c r="L468" s="8">
        <f t="shared" si="43"/>
        <v>33750</v>
      </c>
      <c r="M468" s="8">
        <f t="shared" si="44"/>
        <v>191250</v>
      </c>
      <c r="N468" s="5">
        <v>50000</v>
      </c>
      <c r="O468" s="8">
        <f t="shared" si="45"/>
        <v>241250</v>
      </c>
      <c r="P468" s="2" t="s">
        <v>29</v>
      </c>
      <c r="Q468" s="10" t="str">
        <f>VLOOKUP(A468,Status!A:B,2,0)</f>
        <v>Completed</v>
      </c>
      <c r="R468" s="2" t="s">
        <v>23</v>
      </c>
      <c r="S468" s="2">
        <v>1</v>
      </c>
      <c r="T468" s="2" t="s">
        <v>24</v>
      </c>
      <c r="U468" s="10" t="str">
        <f t="shared" si="47"/>
        <v>Apr</v>
      </c>
      <c r="V468" s="10">
        <f t="shared" si="46"/>
        <v>2025</v>
      </c>
      <c r="W468" t="e" cm="1">
        <f t="array" ref="W468">_xlfn.IFS(U468="January",1,U468="February",2,U468="March",3,U468="April",4,U468="May",5,U468="June",6,U468="July",7,U468="August",8,U468="September",9,U468="October",10,U468="November",11,U468="December",12)</f>
        <v>#N/A</v>
      </c>
    </row>
    <row r="469" spans="1:23" ht="15.75" customHeight="1" x14ac:dyDescent="0.25">
      <c r="A469" s="2" t="s">
        <v>1430</v>
      </c>
      <c r="B469" s="3">
        <v>45748.264421296299</v>
      </c>
      <c r="C469" s="2" t="s">
        <v>214</v>
      </c>
      <c r="D469" s="2" t="s">
        <v>131</v>
      </c>
      <c r="E469" s="2" t="s">
        <v>190</v>
      </c>
      <c r="F469" s="2" t="str" cm="1">
        <f t="array" ref="F469:G469">_xlfn.TEXTSPLIT(E469," - ")</f>
        <v>Bawang Merah</v>
      </c>
      <c r="G469" s="2" t="str">
        <v>Brand B</v>
      </c>
      <c r="H469" s="5">
        <v>35000</v>
      </c>
      <c r="I469" s="2">
        <v>1</v>
      </c>
      <c r="J469" s="2">
        <v>20</v>
      </c>
      <c r="K469" s="8">
        <f t="shared" si="42"/>
        <v>35000</v>
      </c>
      <c r="L469" s="8">
        <f t="shared" si="43"/>
        <v>7000</v>
      </c>
      <c r="M469" s="8">
        <f t="shared" si="44"/>
        <v>28000</v>
      </c>
      <c r="N469" s="5">
        <v>59000</v>
      </c>
      <c r="O469" s="8">
        <f t="shared" si="45"/>
        <v>87000</v>
      </c>
      <c r="P469" s="2" t="s">
        <v>63</v>
      </c>
      <c r="Q469" s="10" t="str">
        <f>VLOOKUP(A469,Status!A:B,2,0)</f>
        <v>Completed</v>
      </c>
      <c r="R469" s="2" t="s">
        <v>30</v>
      </c>
      <c r="S469" s="2">
        <v>1</v>
      </c>
      <c r="T469" s="2" t="s">
        <v>24</v>
      </c>
      <c r="U469" s="10" t="str">
        <f t="shared" si="47"/>
        <v>Apr</v>
      </c>
      <c r="V469" s="10">
        <f t="shared" si="46"/>
        <v>2025</v>
      </c>
      <c r="W469" t="e" cm="1">
        <f t="array" ref="W469">_xlfn.IFS(U469="January",1,U469="February",2,U469="March",3,U469="April",4,U469="May",5,U469="June",6,U469="July",7,U469="August",8,U469="September",9,U469="October",10,U469="November",11,U469="December",12)</f>
        <v>#N/A</v>
      </c>
    </row>
    <row r="470" spans="1:23" ht="15.75" customHeight="1" x14ac:dyDescent="0.25">
      <c r="A470" s="2" t="s">
        <v>1431</v>
      </c>
      <c r="B470" s="3">
        <v>45748.499374999999</v>
      </c>
      <c r="C470" s="2" t="s">
        <v>95</v>
      </c>
      <c r="D470" s="2" t="s">
        <v>96</v>
      </c>
      <c r="E470" s="2" t="s">
        <v>28</v>
      </c>
      <c r="F470" s="2" t="str" cm="1">
        <f t="array" ref="F470:G470">_xlfn.TEXTSPLIT(E470," - ")</f>
        <v>Garam</v>
      </c>
      <c r="G470" s="2" t="str">
        <v>Brand B</v>
      </c>
      <c r="H470" s="5">
        <v>5000</v>
      </c>
      <c r="I470" s="2">
        <v>1</v>
      </c>
      <c r="J470" s="2">
        <v>20</v>
      </c>
      <c r="K470" s="8">
        <f t="shared" si="42"/>
        <v>5000</v>
      </c>
      <c r="L470" s="8">
        <f t="shared" si="43"/>
        <v>1000</v>
      </c>
      <c r="M470" s="8">
        <f t="shared" si="44"/>
        <v>4000</v>
      </c>
      <c r="N470" s="5">
        <v>49000</v>
      </c>
      <c r="O470" s="8">
        <f t="shared" si="45"/>
        <v>53000</v>
      </c>
      <c r="P470" s="2" t="s">
        <v>35</v>
      </c>
      <c r="Q470" s="10" t="str">
        <f>VLOOKUP(A470,Status!A:B,2,0)</f>
        <v>Completed</v>
      </c>
      <c r="R470" s="2" t="s">
        <v>30</v>
      </c>
      <c r="S470" s="2">
        <v>1</v>
      </c>
      <c r="T470" s="2" t="s">
        <v>24</v>
      </c>
      <c r="U470" s="10" t="str">
        <f t="shared" si="47"/>
        <v>Apr</v>
      </c>
      <c r="V470" s="10">
        <f t="shared" si="46"/>
        <v>2025</v>
      </c>
      <c r="W470" t="e" cm="1">
        <f t="array" ref="W470">_xlfn.IFS(U470="January",1,U470="February",2,U470="March",3,U470="April",4,U470="May",5,U470="June",6,U470="July",7,U470="August",8,U470="September",9,U470="October",10,U470="November",11,U470="December",12)</f>
        <v>#N/A</v>
      </c>
    </row>
    <row r="471" spans="1:23" ht="15.75" customHeight="1" x14ac:dyDescent="0.25">
      <c r="A471" s="2" t="s">
        <v>1432</v>
      </c>
      <c r="B471" s="3">
        <v>45748.5153587963</v>
      </c>
      <c r="C471" s="2" t="s">
        <v>1130</v>
      </c>
      <c r="D471" s="2" t="s">
        <v>122</v>
      </c>
      <c r="E471" s="2" t="s">
        <v>88</v>
      </c>
      <c r="F471" s="2" t="str" cm="1">
        <f t="array" ref="F471:G471">_xlfn.TEXTSPLIT(E471," - ")</f>
        <v>Beras</v>
      </c>
      <c r="G471" s="2" t="str">
        <v>Brand A</v>
      </c>
      <c r="H471" s="5">
        <v>14000</v>
      </c>
      <c r="I471" s="2">
        <v>3</v>
      </c>
      <c r="J471" s="2">
        <v>15</v>
      </c>
      <c r="K471" s="8">
        <f t="shared" si="42"/>
        <v>42000</v>
      </c>
      <c r="L471" s="8">
        <f t="shared" si="43"/>
        <v>6300</v>
      </c>
      <c r="M471" s="8">
        <f t="shared" si="44"/>
        <v>35700</v>
      </c>
      <c r="N471" s="5">
        <v>78000</v>
      </c>
      <c r="O471" s="8">
        <f t="shared" si="45"/>
        <v>113700</v>
      </c>
      <c r="P471" s="2" t="s">
        <v>29</v>
      </c>
      <c r="Q471" s="10" t="str">
        <f>VLOOKUP(A471,Status!A:B,2,0)</f>
        <v>Cancelled</v>
      </c>
      <c r="R471" s="2" t="s">
        <v>30</v>
      </c>
      <c r="S471" s="2">
        <v>4</v>
      </c>
      <c r="T471" s="2" t="s">
        <v>24</v>
      </c>
      <c r="U471" s="10" t="str">
        <f t="shared" si="47"/>
        <v>Apr</v>
      </c>
      <c r="V471" s="10">
        <f t="shared" si="46"/>
        <v>2025</v>
      </c>
      <c r="W471" t="e" cm="1">
        <f t="array" ref="W471">_xlfn.IFS(U471="January",1,U471="February",2,U471="March",3,U471="April",4,U471="May",5,U471="June",6,U471="July",7,U471="August",8,U471="September",9,U471="October",10,U471="November",11,U471="December",12)</f>
        <v>#N/A</v>
      </c>
    </row>
    <row r="472" spans="1:23" ht="15.75" customHeight="1" x14ac:dyDescent="0.25">
      <c r="A472" s="2" t="s">
        <v>1433</v>
      </c>
      <c r="B472" s="3">
        <v>45749.739803240736</v>
      </c>
      <c r="C472" s="2" t="s">
        <v>969</v>
      </c>
      <c r="D472" s="2" t="s">
        <v>177</v>
      </c>
      <c r="E472" s="2" t="s">
        <v>45</v>
      </c>
      <c r="F472" s="2" t="str" cm="1">
        <f t="array" ref="F472:G472">_xlfn.TEXTSPLIT(E472," - ")</f>
        <v>Daging Ayam</v>
      </c>
      <c r="G472" s="2" t="str">
        <v>Brand B</v>
      </c>
      <c r="H472" s="5">
        <v>40000</v>
      </c>
      <c r="I472" s="2">
        <v>4</v>
      </c>
      <c r="J472" s="2">
        <v>10</v>
      </c>
      <c r="K472" s="8">
        <f t="shared" si="42"/>
        <v>160000</v>
      </c>
      <c r="L472" s="8">
        <f t="shared" si="43"/>
        <v>16000</v>
      </c>
      <c r="M472" s="8">
        <f t="shared" si="44"/>
        <v>144000</v>
      </c>
      <c r="N472" s="5">
        <v>56000</v>
      </c>
      <c r="O472" s="8">
        <f t="shared" si="45"/>
        <v>200000</v>
      </c>
      <c r="P472" s="2" t="s">
        <v>63</v>
      </c>
      <c r="Q472" s="10" t="str">
        <f>VLOOKUP(A472,Status!A:B,2,0)</f>
        <v>Returned</v>
      </c>
      <c r="R472" s="2" t="s">
        <v>30</v>
      </c>
      <c r="S472" s="2">
        <v>1</v>
      </c>
      <c r="T472" s="2" t="s">
        <v>24</v>
      </c>
      <c r="U472" s="10" t="str">
        <f t="shared" si="47"/>
        <v>Apr</v>
      </c>
      <c r="V472" s="10">
        <f t="shared" si="46"/>
        <v>2025</v>
      </c>
      <c r="W472" t="e" cm="1">
        <f t="array" ref="W472">_xlfn.IFS(U472="January",1,U472="February",2,U472="March",3,U472="April",4,U472="May",5,U472="June",6,U472="July",7,U472="August",8,U472="September",9,U472="October",10,U472="November",11,U472="December",12)</f>
        <v>#N/A</v>
      </c>
    </row>
    <row r="473" spans="1:23" ht="15.75" customHeight="1" x14ac:dyDescent="0.25">
      <c r="A473" s="2" t="s">
        <v>1434</v>
      </c>
      <c r="B473" s="3">
        <v>45750.04550925926</v>
      </c>
      <c r="C473" s="2" t="s">
        <v>983</v>
      </c>
      <c r="D473" s="2" t="s">
        <v>262</v>
      </c>
      <c r="E473" s="2" t="s">
        <v>136</v>
      </c>
      <c r="F473" s="2" t="str" cm="1">
        <f t="array" ref="F473:G473">_xlfn.TEXTSPLIT(E473," - ")</f>
        <v>Tepung Terigu</v>
      </c>
      <c r="G473" s="2" t="str">
        <v>Brand B</v>
      </c>
      <c r="H473" s="5">
        <v>12000</v>
      </c>
      <c r="I473" s="2">
        <v>4</v>
      </c>
      <c r="J473" s="2">
        <v>0</v>
      </c>
      <c r="K473" s="8">
        <f t="shared" si="42"/>
        <v>48000</v>
      </c>
      <c r="L473" s="8">
        <f t="shared" si="43"/>
        <v>0</v>
      </c>
      <c r="M473" s="8">
        <f t="shared" si="44"/>
        <v>48000</v>
      </c>
      <c r="N473" s="5">
        <v>18000</v>
      </c>
      <c r="O473" s="8">
        <f t="shared" si="45"/>
        <v>66000</v>
      </c>
      <c r="P473" s="2" t="s">
        <v>63</v>
      </c>
      <c r="Q473" s="10" t="str">
        <f>VLOOKUP(A473,Status!A:B,2,0)</f>
        <v>Completed</v>
      </c>
      <c r="R473" s="2" t="s">
        <v>36</v>
      </c>
      <c r="S473" s="2">
        <v>1</v>
      </c>
      <c r="T473" s="2" t="s">
        <v>37</v>
      </c>
      <c r="U473" s="10" t="str">
        <f t="shared" si="47"/>
        <v>Apr</v>
      </c>
      <c r="V473" s="10">
        <f t="shared" si="46"/>
        <v>2025</v>
      </c>
      <c r="W473" t="e" cm="1">
        <f t="array" ref="W473">_xlfn.IFS(U473="January",1,U473="February",2,U473="March",3,U473="April",4,U473="May",5,U473="June",6,U473="July",7,U473="August",8,U473="September",9,U473="October",10,U473="November",11,U473="December",12)</f>
        <v>#N/A</v>
      </c>
    </row>
    <row r="474" spans="1:23" ht="15.75" customHeight="1" x14ac:dyDescent="0.25">
      <c r="A474" s="2" t="s">
        <v>1435</v>
      </c>
      <c r="B474" s="3">
        <v>45750.168321759258</v>
      </c>
      <c r="C474" s="2" t="s">
        <v>1436</v>
      </c>
      <c r="D474" s="2" t="s">
        <v>119</v>
      </c>
      <c r="E474" s="2" t="s">
        <v>81</v>
      </c>
      <c r="F474" s="2" t="str" cm="1">
        <f t="array" ref="F474:G474">_xlfn.TEXTSPLIT(E474," - ")</f>
        <v>Minyak Goreng</v>
      </c>
      <c r="G474" s="2" t="str">
        <v>Brand B</v>
      </c>
      <c r="H474" s="5">
        <v>17000</v>
      </c>
      <c r="I474" s="2">
        <v>2</v>
      </c>
      <c r="J474" s="2">
        <v>15</v>
      </c>
      <c r="K474" s="8">
        <f t="shared" si="42"/>
        <v>34000</v>
      </c>
      <c r="L474" s="8">
        <f t="shared" si="43"/>
        <v>5100</v>
      </c>
      <c r="M474" s="8">
        <f t="shared" si="44"/>
        <v>28900</v>
      </c>
      <c r="N474" s="5">
        <v>0</v>
      </c>
      <c r="O474" s="8">
        <f t="shared" si="45"/>
        <v>28900</v>
      </c>
      <c r="P474" s="2" t="s">
        <v>63</v>
      </c>
      <c r="Q474" s="10" t="str">
        <f>VLOOKUP(A474,Status!A:B,2,0)</f>
        <v>Completed</v>
      </c>
      <c r="R474" s="2" t="s">
        <v>82</v>
      </c>
      <c r="S474" s="2">
        <v>2</v>
      </c>
      <c r="T474" s="2" t="s">
        <v>24</v>
      </c>
      <c r="U474" s="10" t="str">
        <f t="shared" si="47"/>
        <v>Apr</v>
      </c>
      <c r="V474" s="10">
        <f t="shared" si="46"/>
        <v>2025</v>
      </c>
      <c r="W474" t="e" cm="1">
        <f t="array" ref="W474">_xlfn.IFS(U474="January",1,U474="February",2,U474="March",3,U474="April",4,U474="May",5,U474="June",6,U474="July",7,U474="August",8,U474="September",9,U474="October",10,U474="November",11,U474="December",12)</f>
        <v>#N/A</v>
      </c>
    </row>
    <row r="475" spans="1:23" ht="15.75" customHeight="1" x14ac:dyDescent="0.25">
      <c r="A475" s="2" t="s">
        <v>1437</v>
      </c>
      <c r="B475" s="3">
        <v>45750.200752314813</v>
      </c>
      <c r="C475" s="2" t="s">
        <v>455</v>
      </c>
      <c r="D475" s="2" t="s">
        <v>33</v>
      </c>
      <c r="E475" s="2" t="s">
        <v>28</v>
      </c>
      <c r="F475" s="2" t="str" cm="1">
        <f t="array" ref="F475:G475">_xlfn.TEXTSPLIT(E475," - ")</f>
        <v>Garam</v>
      </c>
      <c r="G475" s="2" t="str">
        <v>Brand B</v>
      </c>
      <c r="H475" s="5">
        <v>5000</v>
      </c>
      <c r="I475" s="2">
        <v>1</v>
      </c>
      <c r="J475" s="2">
        <v>10</v>
      </c>
      <c r="K475" s="8">
        <f t="shared" si="42"/>
        <v>5000</v>
      </c>
      <c r="L475" s="8">
        <f t="shared" si="43"/>
        <v>500</v>
      </c>
      <c r="M475" s="8">
        <f t="shared" si="44"/>
        <v>4500</v>
      </c>
      <c r="N475" s="5">
        <v>76000</v>
      </c>
      <c r="O475" s="8">
        <f t="shared" si="45"/>
        <v>80500</v>
      </c>
      <c r="P475" s="2" t="s">
        <v>63</v>
      </c>
      <c r="Q475" s="10" t="str">
        <f>VLOOKUP(A475,Status!A:B,2,0)</f>
        <v>Completed</v>
      </c>
      <c r="R475" s="2" t="s">
        <v>30</v>
      </c>
      <c r="S475" s="2">
        <v>1</v>
      </c>
      <c r="T475" s="2" t="s">
        <v>24</v>
      </c>
      <c r="U475" s="10" t="str">
        <f t="shared" si="47"/>
        <v>Apr</v>
      </c>
      <c r="V475" s="10">
        <f t="shared" si="46"/>
        <v>2025</v>
      </c>
      <c r="W475" t="e" cm="1">
        <f t="array" ref="W475">_xlfn.IFS(U475="January",1,U475="February",2,U475="March",3,U475="April",4,U475="May",5,U475="June",6,U475="July",7,U475="August",8,U475="September",9,U475="October",10,U475="November",11,U475="December",12)</f>
        <v>#N/A</v>
      </c>
    </row>
    <row r="476" spans="1:23" ht="15.75" customHeight="1" x14ac:dyDescent="0.25">
      <c r="A476" s="2" t="s">
        <v>1438</v>
      </c>
      <c r="B476" s="3">
        <v>45750.217245370368</v>
      </c>
      <c r="C476" s="2" t="s">
        <v>307</v>
      </c>
      <c r="D476" s="2" t="s">
        <v>70</v>
      </c>
      <c r="E476" s="2" t="s">
        <v>81</v>
      </c>
      <c r="F476" s="2" t="str" cm="1">
        <f t="array" ref="F476:G476">_xlfn.TEXTSPLIT(E476," - ")</f>
        <v>Minyak Goreng</v>
      </c>
      <c r="G476" s="2" t="str">
        <v>Brand B</v>
      </c>
      <c r="H476" s="5">
        <v>17000</v>
      </c>
      <c r="I476" s="2">
        <v>2</v>
      </c>
      <c r="J476" s="2">
        <v>20</v>
      </c>
      <c r="K476" s="8">
        <f t="shared" si="42"/>
        <v>34000</v>
      </c>
      <c r="L476" s="8">
        <f t="shared" si="43"/>
        <v>6800</v>
      </c>
      <c r="M476" s="8">
        <f t="shared" si="44"/>
        <v>27200</v>
      </c>
      <c r="N476" s="5">
        <v>89000</v>
      </c>
      <c r="O476" s="8">
        <f t="shared" si="45"/>
        <v>116200</v>
      </c>
      <c r="P476" s="2" t="s">
        <v>22</v>
      </c>
      <c r="Q476" s="10" t="str">
        <f>VLOOKUP(A476,Status!A:B,2,0)</f>
        <v>Completed</v>
      </c>
      <c r="R476" s="2" t="s">
        <v>23</v>
      </c>
      <c r="S476" s="2">
        <v>5</v>
      </c>
      <c r="T476" s="2" t="s">
        <v>24</v>
      </c>
      <c r="U476" s="10" t="str">
        <f t="shared" si="47"/>
        <v>Apr</v>
      </c>
      <c r="V476" s="10">
        <f t="shared" si="46"/>
        <v>2025</v>
      </c>
      <c r="W476" t="e" cm="1">
        <f t="array" ref="W476">_xlfn.IFS(U476="January",1,U476="February",2,U476="March",3,U476="April",4,U476="May",5,U476="June",6,U476="July",7,U476="August",8,U476="September",9,U476="October",10,U476="November",11,U476="December",12)</f>
        <v>#N/A</v>
      </c>
    </row>
    <row r="477" spans="1:23" ht="15.75" customHeight="1" x14ac:dyDescent="0.25">
      <c r="A477" s="2" t="s">
        <v>1439</v>
      </c>
      <c r="B477" s="3">
        <v>45750.277291666673</v>
      </c>
      <c r="C477" s="2" t="s">
        <v>877</v>
      </c>
      <c r="D477" s="2" t="s">
        <v>107</v>
      </c>
      <c r="E477" s="2" t="s">
        <v>81</v>
      </c>
      <c r="F477" s="2" t="str" cm="1">
        <f t="array" ref="F477:G477">_xlfn.TEXTSPLIT(E477," - ")</f>
        <v>Minyak Goreng</v>
      </c>
      <c r="G477" s="2" t="str">
        <v>Brand B</v>
      </c>
      <c r="H477" s="5">
        <v>17000</v>
      </c>
      <c r="I477" s="2">
        <v>4</v>
      </c>
      <c r="J477" s="2">
        <v>10</v>
      </c>
      <c r="K477" s="8">
        <f t="shared" si="42"/>
        <v>68000</v>
      </c>
      <c r="L477" s="8">
        <f t="shared" si="43"/>
        <v>6800</v>
      </c>
      <c r="M477" s="8">
        <f t="shared" si="44"/>
        <v>61200</v>
      </c>
      <c r="N477" s="5">
        <v>97000</v>
      </c>
      <c r="O477" s="8">
        <f t="shared" si="45"/>
        <v>158200</v>
      </c>
      <c r="P477" s="2" t="s">
        <v>29</v>
      </c>
      <c r="Q477" s="10" t="str">
        <f>VLOOKUP(A477,Status!A:B,2,0)</f>
        <v>Cancelled</v>
      </c>
      <c r="R477" s="2" t="s">
        <v>36</v>
      </c>
      <c r="S477" s="2">
        <v>1</v>
      </c>
      <c r="T477" s="2" t="s">
        <v>24</v>
      </c>
      <c r="U477" s="10" t="str">
        <f t="shared" si="47"/>
        <v>Apr</v>
      </c>
      <c r="V477" s="10">
        <f t="shared" si="46"/>
        <v>2025</v>
      </c>
      <c r="W477" t="e" cm="1">
        <f t="array" ref="W477">_xlfn.IFS(U477="January",1,U477="February",2,U477="March",3,U477="April",4,U477="May",5,U477="June",6,U477="July",7,U477="August",8,U477="September",9,U477="October",10,U477="November",11,U477="December",12)</f>
        <v>#N/A</v>
      </c>
    </row>
    <row r="478" spans="1:23" ht="15.75" customHeight="1" x14ac:dyDescent="0.25">
      <c r="A478" s="2" t="s">
        <v>1440</v>
      </c>
      <c r="B478" s="3">
        <v>45750.577199074083</v>
      </c>
      <c r="C478" s="2" t="s">
        <v>596</v>
      </c>
      <c r="D478" s="2" t="s">
        <v>70</v>
      </c>
      <c r="E478" s="2" t="s">
        <v>85</v>
      </c>
      <c r="F478" s="2" t="str" cm="1">
        <f t="array" ref="F478:G478">_xlfn.TEXTSPLIT(E478," - ")</f>
        <v>Daging Ayam</v>
      </c>
      <c r="G478" s="2" t="str">
        <v>Brand A</v>
      </c>
      <c r="H478" s="5">
        <v>35000</v>
      </c>
      <c r="I478" s="2">
        <v>4</v>
      </c>
      <c r="J478" s="2">
        <v>10</v>
      </c>
      <c r="K478" s="8">
        <f t="shared" si="42"/>
        <v>140000</v>
      </c>
      <c r="L478" s="8">
        <f t="shared" si="43"/>
        <v>14000</v>
      </c>
      <c r="M478" s="8">
        <f t="shared" si="44"/>
        <v>126000</v>
      </c>
      <c r="N478" s="5">
        <v>89000</v>
      </c>
      <c r="O478" s="8">
        <f t="shared" si="45"/>
        <v>215000</v>
      </c>
      <c r="P478" s="2" t="s">
        <v>22</v>
      </c>
      <c r="Q478" s="10" t="str">
        <f>VLOOKUP(A478,Status!A:B,2,0)</f>
        <v>Completed</v>
      </c>
      <c r="R478" s="2" t="s">
        <v>46</v>
      </c>
      <c r="S478" s="2">
        <v>4</v>
      </c>
      <c r="T478" s="2" t="s">
        <v>24</v>
      </c>
      <c r="U478" s="10" t="str">
        <f t="shared" si="47"/>
        <v>Apr</v>
      </c>
      <c r="V478" s="10">
        <f t="shared" si="46"/>
        <v>2025</v>
      </c>
      <c r="W478" t="e" cm="1">
        <f t="array" ref="W478">_xlfn.IFS(U478="January",1,U478="February",2,U478="March",3,U478="April",4,U478="May",5,U478="June",6,U478="July",7,U478="August",8,U478="September",9,U478="October",10,U478="November",11,U478="December",12)</f>
        <v>#N/A</v>
      </c>
    </row>
    <row r="479" spans="1:23" ht="15.75" customHeight="1" x14ac:dyDescent="0.25">
      <c r="A479" s="2" t="s">
        <v>1441</v>
      </c>
      <c r="B479" s="3">
        <v>45750.997083333343</v>
      </c>
      <c r="C479" s="2" t="s">
        <v>1237</v>
      </c>
      <c r="D479" s="2" t="s">
        <v>92</v>
      </c>
      <c r="E479" s="2" t="s">
        <v>21</v>
      </c>
      <c r="F479" s="2" t="str" cm="1">
        <f t="array" ref="F479:G479">_xlfn.TEXTSPLIT(E479," - ")</f>
        <v>Daging Ayam</v>
      </c>
      <c r="G479" s="2" t="str">
        <v>Brand C</v>
      </c>
      <c r="H479" s="5">
        <v>45000</v>
      </c>
      <c r="I479" s="2">
        <v>1</v>
      </c>
      <c r="J479" s="2">
        <v>10</v>
      </c>
      <c r="K479" s="8">
        <f t="shared" si="42"/>
        <v>45000</v>
      </c>
      <c r="L479" s="8">
        <f t="shared" si="43"/>
        <v>4500</v>
      </c>
      <c r="M479" s="8">
        <f t="shared" si="44"/>
        <v>40500</v>
      </c>
      <c r="N479" s="5">
        <v>30000</v>
      </c>
      <c r="O479" s="8">
        <f t="shared" si="45"/>
        <v>70500</v>
      </c>
      <c r="P479" s="2" t="s">
        <v>22</v>
      </c>
      <c r="Q479" s="10" t="str">
        <f>VLOOKUP(A479,Status!A:B,2,0)</f>
        <v>Completed</v>
      </c>
      <c r="R479" s="2" t="s">
        <v>82</v>
      </c>
      <c r="S479" s="2">
        <v>4</v>
      </c>
      <c r="T479" s="2" t="s">
        <v>24</v>
      </c>
      <c r="U479" s="10" t="str">
        <f t="shared" si="47"/>
        <v>Apr</v>
      </c>
      <c r="V479" s="10">
        <f t="shared" si="46"/>
        <v>2025</v>
      </c>
      <c r="W479" t="e" cm="1">
        <f t="array" ref="W479">_xlfn.IFS(U479="January",1,U479="February",2,U479="March",3,U479="April",4,U479="May",5,U479="June",6,U479="July",7,U479="August",8,U479="September",9,U479="October",10,U479="November",11,U479="December",12)</f>
        <v>#N/A</v>
      </c>
    </row>
    <row r="480" spans="1:23" ht="15.75" customHeight="1" x14ac:dyDescent="0.25">
      <c r="A480" s="2" t="s">
        <v>1442</v>
      </c>
      <c r="B480" s="3">
        <v>45751.136388888888</v>
      </c>
      <c r="C480" s="2" t="s">
        <v>726</v>
      </c>
      <c r="D480" s="2" t="s">
        <v>53</v>
      </c>
      <c r="E480" s="2" t="s">
        <v>21</v>
      </c>
      <c r="F480" s="2" t="str" cm="1">
        <f t="array" ref="F480:G480">_xlfn.TEXTSPLIT(E480," - ")</f>
        <v>Daging Ayam</v>
      </c>
      <c r="G480" s="2" t="str">
        <v>Brand C</v>
      </c>
      <c r="H480" s="5">
        <v>45000</v>
      </c>
      <c r="I480" s="2">
        <v>3</v>
      </c>
      <c r="J480" s="2">
        <v>10</v>
      </c>
      <c r="K480" s="8">
        <f t="shared" si="42"/>
        <v>135000</v>
      </c>
      <c r="L480" s="8">
        <f t="shared" si="43"/>
        <v>13500</v>
      </c>
      <c r="M480" s="8">
        <f t="shared" si="44"/>
        <v>121500</v>
      </c>
      <c r="N480" s="5">
        <v>18000</v>
      </c>
      <c r="O480" s="8">
        <f t="shared" si="45"/>
        <v>139500</v>
      </c>
      <c r="P480" s="2" t="s">
        <v>29</v>
      </c>
      <c r="Q480" s="10" t="str">
        <f>VLOOKUP(A480,Status!A:B,2,0)</f>
        <v>Completed</v>
      </c>
      <c r="R480" s="2" t="s">
        <v>46</v>
      </c>
      <c r="S480" s="2">
        <v>3</v>
      </c>
      <c r="T480" s="2" t="s">
        <v>37</v>
      </c>
      <c r="U480" s="10" t="str">
        <f t="shared" si="47"/>
        <v>Apr</v>
      </c>
      <c r="V480" s="10">
        <f t="shared" si="46"/>
        <v>2025</v>
      </c>
      <c r="W480" t="e" cm="1">
        <f t="array" ref="W480">_xlfn.IFS(U480="January",1,U480="February",2,U480="March",3,U480="April",4,U480="May",5,U480="June",6,U480="July",7,U480="August",8,U480="September",9,U480="October",10,U480="November",11,U480="December",12)</f>
        <v>#N/A</v>
      </c>
    </row>
    <row r="481" spans="1:23" ht="15.75" customHeight="1" x14ac:dyDescent="0.25">
      <c r="A481" s="2" t="s">
        <v>1443</v>
      </c>
      <c r="B481" s="3">
        <v>45751.214456018519</v>
      </c>
      <c r="C481" s="2" t="s">
        <v>530</v>
      </c>
      <c r="D481" s="2" t="s">
        <v>151</v>
      </c>
      <c r="E481" s="2" t="s">
        <v>138</v>
      </c>
      <c r="F481" s="2" t="str" cm="1">
        <f t="array" ref="F481:G481">_xlfn.TEXTSPLIT(E481," - ")</f>
        <v>Gula Pasir</v>
      </c>
      <c r="G481" s="2" t="str">
        <v>Brand B</v>
      </c>
      <c r="H481" s="5">
        <v>17000</v>
      </c>
      <c r="I481" s="2">
        <v>4</v>
      </c>
      <c r="J481" s="2">
        <v>15</v>
      </c>
      <c r="K481" s="8">
        <f t="shared" si="42"/>
        <v>68000</v>
      </c>
      <c r="L481" s="8">
        <f t="shared" si="43"/>
        <v>10200</v>
      </c>
      <c r="M481" s="8">
        <f t="shared" si="44"/>
        <v>57800</v>
      </c>
      <c r="N481" s="5">
        <v>55000</v>
      </c>
      <c r="O481" s="8">
        <f t="shared" si="45"/>
        <v>112800</v>
      </c>
      <c r="P481" s="2" t="s">
        <v>29</v>
      </c>
      <c r="Q481" s="10" t="str">
        <f>VLOOKUP(A481,Status!A:B,2,0)</f>
        <v>Completed</v>
      </c>
      <c r="R481" s="2" t="s">
        <v>36</v>
      </c>
      <c r="S481" s="2">
        <v>2</v>
      </c>
      <c r="T481" s="2" t="s">
        <v>24</v>
      </c>
      <c r="U481" s="10" t="str">
        <f t="shared" si="47"/>
        <v>Apr</v>
      </c>
      <c r="V481" s="10">
        <f t="shared" si="46"/>
        <v>2025</v>
      </c>
      <c r="W481" t="e" cm="1">
        <f t="array" ref="W481">_xlfn.IFS(U481="January",1,U481="February",2,U481="March",3,U481="April",4,U481="May",5,U481="June",6,U481="July",7,U481="August",8,U481="September",9,U481="October",10,U481="November",11,U481="December",12)</f>
        <v>#N/A</v>
      </c>
    </row>
    <row r="482" spans="1:23" ht="15.75" customHeight="1" x14ac:dyDescent="0.25">
      <c r="A482" s="2" t="s">
        <v>1443</v>
      </c>
      <c r="B482" s="3">
        <v>45751.214456018519</v>
      </c>
      <c r="C482" s="2" t="s">
        <v>530</v>
      </c>
      <c r="D482" s="2" t="s">
        <v>151</v>
      </c>
      <c r="E482" s="2" t="s">
        <v>93</v>
      </c>
      <c r="F482" s="2" t="str" cm="1">
        <f t="array" ref="F482:G482">_xlfn.TEXTSPLIT(E482," - ")</f>
        <v>Telur Ayam</v>
      </c>
      <c r="G482" s="2" t="str">
        <v>Brand B</v>
      </c>
      <c r="H482" s="5">
        <v>25000</v>
      </c>
      <c r="I482" s="2">
        <v>5</v>
      </c>
      <c r="J482" s="2">
        <v>10</v>
      </c>
      <c r="K482" s="8">
        <f t="shared" si="42"/>
        <v>125000</v>
      </c>
      <c r="L482" s="8">
        <f t="shared" si="43"/>
        <v>12500</v>
      </c>
      <c r="M482" s="8">
        <f t="shared" si="44"/>
        <v>112500</v>
      </c>
      <c r="N482" s="5">
        <v>0</v>
      </c>
      <c r="O482" s="8">
        <f t="shared" si="45"/>
        <v>112500</v>
      </c>
      <c r="P482" s="2" t="s">
        <v>29</v>
      </c>
      <c r="Q482" s="10" t="str">
        <f>VLOOKUP(A482,Status!A:B,2,0)</f>
        <v>Completed</v>
      </c>
      <c r="R482" s="2" t="s">
        <v>36</v>
      </c>
      <c r="S482" s="2">
        <v>2</v>
      </c>
      <c r="T482" s="2" t="s">
        <v>24</v>
      </c>
      <c r="U482" s="10" t="str">
        <f t="shared" si="47"/>
        <v>Apr</v>
      </c>
      <c r="V482" s="10">
        <f t="shared" si="46"/>
        <v>2025</v>
      </c>
      <c r="W482" t="e" cm="1">
        <f t="array" ref="W482">_xlfn.IFS(U482="January",1,U482="February",2,U482="March",3,U482="April",4,U482="May",5,U482="June",6,U482="July",7,U482="August",8,U482="September",9,U482="October",10,U482="November",11,U482="December",12)</f>
        <v>#N/A</v>
      </c>
    </row>
    <row r="483" spans="1:23" ht="15.75" customHeight="1" x14ac:dyDescent="0.25">
      <c r="A483" s="2" t="s">
        <v>1444</v>
      </c>
      <c r="B483" s="3">
        <v>45751.327152777783</v>
      </c>
      <c r="C483" s="2" t="s">
        <v>1445</v>
      </c>
      <c r="D483" s="2" t="s">
        <v>296</v>
      </c>
      <c r="E483" s="2" t="s">
        <v>75</v>
      </c>
      <c r="F483" s="2" t="str" cm="1">
        <f t="array" ref="F483:G483">_xlfn.TEXTSPLIT(E483," - ")</f>
        <v>Susu Bubuk</v>
      </c>
      <c r="G483" s="2" t="str">
        <v>Brand C</v>
      </c>
      <c r="H483" s="5">
        <v>55000</v>
      </c>
      <c r="I483" s="2">
        <v>1</v>
      </c>
      <c r="J483" s="2">
        <v>5</v>
      </c>
      <c r="K483" s="8">
        <f t="shared" si="42"/>
        <v>55000</v>
      </c>
      <c r="L483" s="8">
        <f t="shared" si="43"/>
        <v>2750</v>
      </c>
      <c r="M483" s="8">
        <f t="shared" si="44"/>
        <v>52250</v>
      </c>
      <c r="N483" s="5">
        <v>79000</v>
      </c>
      <c r="O483" s="8">
        <f t="shared" si="45"/>
        <v>131250</v>
      </c>
      <c r="P483" s="2" t="s">
        <v>29</v>
      </c>
      <c r="Q483" s="10" t="str">
        <f>VLOOKUP(A483,Status!A:B,2,0)</f>
        <v>Completed</v>
      </c>
      <c r="R483" s="2" t="s">
        <v>30</v>
      </c>
      <c r="S483" s="2">
        <v>2</v>
      </c>
      <c r="T483" s="2" t="s">
        <v>37</v>
      </c>
      <c r="U483" s="10" t="str">
        <f t="shared" si="47"/>
        <v>Apr</v>
      </c>
      <c r="V483" s="10">
        <f t="shared" si="46"/>
        <v>2025</v>
      </c>
      <c r="W483" t="e" cm="1">
        <f t="array" ref="W483">_xlfn.IFS(U483="January",1,U483="February",2,U483="March",3,U483="April",4,U483="May",5,U483="June",6,U483="July",7,U483="August",8,U483="September",9,U483="October",10,U483="November",11,U483="December",12)</f>
        <v>#N/A</v>
      </c>
    </row>
    <row r="484" spans="1:23" ht="15.75" customHeight="1" x14ac:dyDescent="0.25">
      <c r="A484" s="2" t="s">
        <v>1446</v>
      </c>
      <c r="B484" s="3">
        <v>45751.547349537039</v>
      </c>
      <c r="C484" s="2" t="s">
        <v>385</v>
      </c>
      <c r="D484" s="2" t="s">
        <v>375</v>
      </c>
      <c r="E484" s="2" t="s">
        <v>50</v>
      </c>
      <c r="F484" s="2" t="str" cm="1">
        <f t="array" ref="F484:G484">_xlfn.TEXTSPLIT(E484," - ")</f>
        <v>Tepung Terigu</v>
      </c>
      <c r="G484" s="2" t="str">
        <v>Brand C</v>
      </c>
      <c r="H484" s="5">
        <v>14000</v>
      </c>
      <c r="I484" s="2">
        <v>2</v>
      </c>
      <c r="J484" s="2">
        <v>10</v>
      </c>
      <c r="K484" s="8">
        <f t="shared" si="42"/>
        <v>28000</v>
      </c>
      <c r="L484" s="8">
        <f t="shared" si="43"/>
        <v>2800</v>
      </c>
      <c r="M484" s="8">
        <f t="shared" si="44"/>
        <v>25200</v>
      </c>
      <c r="N484" s="5">
        <v>21000</v>
      </c>
      <c r="O484" s="8">
        <f t="shared" si="45"/>
        <v>46200</v>
      </c>
      <c r="P484" s="2" t="s">
        <v>35</v>
      </c>
      <c r="Q484" s="10" t="str">
        <f>VLOOKUP(A484,Status!A:B,2,0)</f>
        <v>Completed</v>
      </c>
      <c r="R484" s="2" t="s">
        <v>82</v>
      </c>
      <c r="S484" s="2">
        <v>2</v>
      </c>
      <c r="T484" s="2" t="s">
        <v>24</v>
      </c>
      <c r="U484" s="10" t="str">
        <f t="shared" si="47"/>
        <v>Apr</v>
      </c>
      <c r="V484" s="10">
        <f t="shared" si="46"/>
        <v>2025</v>
      </c>
      <c r="W484" t="e" cm="1">
        <f t="array" ref="W484">_xlfn.IFS(U484="January",1,U484="February",2,U484="March",3,U484="April",4,U484="May",5,U484="June",6,U484="July",7,U484="August",8,U484="September",9,U484="October",10,U484="November",11,U484="December",12)</f>
        <v>#N/A</v>
      </c>
    </row>
    <row r="485" spans="1:23" ht="15.75" customHeight="1" x14ac:dyDescent="0.25">
      <c r="A485" s="2" t="s">
        <v>1447</v>
      </c>
      <c r="B485" s="3">
        <v>45751.882256944453</v>
      </c>
      <c r="C485" s="2" t="s">
        <v>40</v>
      </c>
      <c r="D485" s="2" t="s">
        <v>27</v>
      </c>
      <c r="E485" s="2" t="s">
        <v>81</v>
      </c>
      <c r="F485" s="2" t="str" cm="1">
        <f t="array" ref="F485:G485">_xlfn.TEXTSPLIT(E485," - ")</f>
        <v>Minyak Goreng</v>
      </c>
      <c r="G485" s="2" t="str">
        <v>Brand B</v>
      </c>
      <c r="H485" s="5">
        <v>17000</v>
      </c>
      <c r="I485" s="2">
        <v>5</v>
      </c>
      <c r="J485" s="2">
        <v>10</v>
      </c>
      <c r="K485" s="8">
        <f t="shared" si="42"/>
        <v>85000</v>
      </c>
      <c r="L485" s="8">
        <f t="shared" si="43"/>
        <v>8500</v>
      </c>
      <c r="M485" s="8">
        <f t="shared" si="44"/>
        <v>76500</v>
      </c>
      <c r="N485" s="5">
        <v>17000</v>
      </c>
      <c r="O485" s="8">
        <f t="shared" si="45"/>
        <v>93500</v>
      </c>
      <c r="P485" s="2" t="s">
        <v>63</v>
      </c>
      <c r="Q485" s="10" t="str">
        <f>VLOOKUP(A485,Status!A:B,2,0)</f>
        <v>Completed</v>
      </c>
      <c r="R485" s="2" t="s">
        <v>23</v>
      </c>
      <c r="S485" s="2">
        <v>1</v>
      </c>
      <c r="T485" s="2" t="s">
        <v>24</v>
      </c>
      <c r="U485" s="10" t="str">
        <f t="shared" si="47"/>
        <v>Apr</v>
      </c>
      <c r="V485" s="10">
        <f t="shared" si="46"/>
        <v>2025</v>
      </c>
      <c r="W485" t="e" cm="1">
        <f t="array" ref="W485">_xlfn.IFS(U485="January",1,U485="February",2,U485="March",3,U485="April",4,U485="May",5,U485="June",6,U485="July",7,U485="August",8,U485="September",9,U485="October",10,U485="November",11,U485="December",12)</f>
        <v>#N/A</v>
      </c>
    </row>
    <row r="486" spans="1:23" ht="15.75" customHeight="1" x14ac:dyDescent="0.25">
      <c r="A486" s="2" t="s">
        <v>1448</v>
      </c>
      <c r="B486" s="3">
        <v>45751.964918981481</v>
      </c>
      <c r="C486" s="2" t="s">
        <v>488</v>
      </c>
      <c r="D486" s="2" t="s">
        <v>49</v>
      </c>
      <c r="E486" s="2" t="s">
        <v>186</v>
      </c>
      <c r="F486" s="2" t="str" cm="1">
        <f t="array" ref="F486:G486">_xlfn.TEXTSPLIT(E486," - ")</f>
        <v>Susu Bubuk</v>
      </c>
      <c r="G486" s="2" t="str">
        <v>Brand A</v>
      </c>
      <c r="H486" s="5">
        <v>45000</v>
      </c>
      <c r="I486" s="2">
        <v>4</v>
      </c>
      <c r="J486" s="2">
        <v>15</v>
      </c>
      <c r="K486" s="8">
        <f t="shared" si="42"/>
        <v>180000</v>
      </c>
      <c r="L486" s="8">
        <f t="shared" si="43"/>
        <v>27000</v>
      </c>
      <c r="M486" s="8">
        <f t="shared" si="44"/>
        <v>153000</v>
      </c>
      <c r="N486" s="5">
        <v>43000</v>
      </c>
      <c r="O486" s="8">
        <f t="shared" si="45"/>
        <v>196000</v>
      </c>
      <c r="P486" s="2" t="s">
        <v>35</v>
      </c>
      <c r="Q486" s="10" t="str">
        <f>VLOOKUP(A486,Status!A:B,2,0)</f>
        <v>Completed</v>
      </c>
      <c r="R486" s="2" t="s">
        <v>30</v>
      </c>
      <c r="S486" s="2">
        <v>4</v>
      </c>
      <c r="T486" s="2" t="s">
        <v>24</v>
      </c>
      <c r="U486" s="10" t="str">
        <f t="shared" si="47"/>
        <v>Apr</v>
      </c>
      <c r="V486" s="10">
        <f t="shared" si="46"/>
        <v>2025</v>
      </c>
      <c r="W486" t="e" cm="1">
        <f t="array" ref="W486">_xlfn.IFS(U486="January",1,U486="February",2,U486="March",3,U486="April",4,U486="May",5,U486="June",6,U486="July",7,U486="August",8,U486="September",9,U486="October",10,U486="November",11,U486="December",12)</f>
        <v>#N/A</v>
      </c>
    </row>
    <row r="487" spans="1:23" ht="15.75" customHeight="1" x14ac:dyDescent="0.25">
      <c r="A487" s="2" t="s">
        <v>1449</v>
      </c>
      <c r="B487" s="3">
        <v>45752.093229166669</v>
      </c>
      <c r="C487" s="2" t="s">
        <v>598</v>
      </c>
      <c r="D487" s="2" t="s">
        <v>61</v>
      </c>
      <c r="E487" s="2" t="s">
        <v>71</v>
      </c>
      <c r="F487" s="2" t="str" cm="1">
        <f t="array" ref="F487:G487">_xlfn.TEXTSPLIT(E487," - ")</f>
        <v>Bawang Merah</v>
      </c>
      <c r="G487" s="2" t="str">
        <v>Brand C</v>
      </c>
      <c r="H487" s="5">
        <v>40000</v>
      </c>
      <c r="I487" s="2">
        <v>2</v>
      </c>
      <c r="J487" s="2">
        <v>15</v>
      </c>
      <c r="K487" s="8">
        <f t="shared" si="42"/>
        <v>80000</v>
      </c>
      <c r="L487" s="8">
        <f t="shared" si="43"/>
        <v>12000</v>
      </c>
      <c r="M487" s="8">
        <f t="shared" si="44"/>
        <v>68000</v>
      </c>
      <c r="N487" s="5">
        <v>26000</v>
      </c>
      <c r="O487" s="8">
        <f t="shared" si="45"/>
        <v>94000</v>
      </c>
      <c r="P487" s="2" t="s">
        <v>22</v>
      </c>
      <c r="Q487" s="10" t="str">
        <f>VLOOKUP(A487,Status!A:B,2,0)</f>
        <v>Returned</v>
      </c>
      <c r="R487" s="2" t="s">
        <v>36</v>
      </c>
      <c r="S487" s="2">
        <v>3</v>
      </c>
      <c r="T487" s="2" t="s">
        <v>24</v>
      </c>
      <c r="U487" s="10" t="str">
        <f t="shared" si="47"/>
        <v>Apr</v>
      </c>
      <c r="V487" s="10">
        <f t="shared" si="46"/>
        <v>2025</v>
      </c>
      <c r="W487" t="e" cm="1">
        <f t="array" ref="W487">_xlfn.IFS(U487="January",1,U487="February",2,U487="March",3,U487="April",4,U487="May",5,U487="June",6,U487="July",7,U487="August",8,U487="September",9,U487="October",10,U487="November",11,U487="December",12)</f>
        <v>#N/A</v>
      </c>
    </row>
    <row r="488" spans="1:23" ht="15.75" customHeight="1" x14ac:dyDescent="0.25">
      <c r="A488" s="2" t="s">
        <v>1450</v>
      </c>
      <c r="B488" s="3">
        <v>45752.300821759258</v>
      </c>
      <c r="C488" s="2" t="s">
        <v>188</v>
      </c>
      <c r="D488" s="2" t="s">
        <v>189</v>
      </c>
      <c r="E488" s="2" t="s">
        <v>45</v>
      </c>
      <c r="F488" s="2" t="str" cm="1">
        <f t="array" ref="F488:G488">_xlfn.TEXTSPLIT(E488," - ")</f>
        <v>Daging Ayam</v>
      </c>
      <c r="G488" s="2" t="str">
        <v>Brand B</v>
      </c>
      <c r="H488" s="5">
        <v>40000</v>
      </c>
      <c r="I488" s="2">
        <v>5</v>
      </c>
      <c r="J488" s="2">
        <v>0</v>
      </c>
      <c r="K488" s="8">
        <f t="shared" si="42"/>
        <v>200000</v>
      </c>
      <c r="L488" s="8">
        <f t="shared" si="43"/>
        <v>0</v>
      </c>
      <c r="M488" s="8">
        <f t="shared" si="44"/>
        <v>200000</v>
      </c>
      <c r="N488" s="5">
        <v>57000</v>
      </c>
      <c r="O488" s="8">
        <f t="shared" si="45"/>
        <v>257000</v>
      </c>
      <c r="P488" s="2" t="s">
        <v>29</v>
      </c>
      <c r="Q488" s="10" t="str">
        <f>VLOOKUP(A488,Status!A:B,2,0)</f>
        <v>Completed</v>
      </c>
      <c r="R488" s="2" t="s">
        <v>46</v>
      </c>
      <c r="S488" s="2">
        <v>5</v>
      </c>
      <c r="T488" s="2" t="s">
        <v>24</v>
      </c>
      <c r="U488" s="10" t="str">
        <f t="shared" si="47"/>
        <v>Apr</v>
      </c>
      <c r="V488" s="10">
        <f t="shared" si="46"/>
        <v>2025</v>
      </c>
      <c r="W488" t="e" cm="1">
        <f t="array" ref="W488">_xlfn.IFS(U488="January",1,U488="February",2,U488="March",3,U488="April",4,U488="May",5,U488="June",6,U488="July",7,U488="August",8,U488="September",9,U488="October",10,U488="November",11,U488="December",12)</f>
        <v>#N/A</v>
      </c>
    </row>
    <row r="489" spans="1:23" ht="15.75" customHeight="1" x14ac:dyDescent="0.25">
      <c r="A489" s="2" t="s">
        <v>1451</v>
      </c>
      <c r="B489" s="3">
        <v>45752.329907407409</v>
      </c>
      <c r="C489" s="2" t="s">
        <v>79</v>
      </c>
      <c r="D489" s="2" t="s">
        <v>80</v>
      </c>
      <c r="E489" s="2" t="s">
        <v>58</v>
      </c>
      <c r="F489" s="2" t="str" cm="1">
        <f t="array" ref="F489:G489">_xlfn.TEXTSPLIT(E489," - ")</f>
        <v>Gula Pasir</v>
      </c>
      <c r="G489" s="2" t="str">
        <v>Brand A</v>
      </c>
      <c r="H489" s="5">
        <v>16000</v>
      </c>
      <c r="I489" s="2">
        <v>4</v>
      </c>
      <c r="J489" s="2">
        <v>5</v>
      </c>
      <c r="K489" s="8">
        <f t="shared" si="42"/>
        <v>64000</v>
      </c>
      <c r="L489" s="8">
        <f t="shared" si="43"/>
        <v>3200</v>
      </c>
      <c r="M489" s="8">
        <f t="shared" si="44"/>
        <v>60800</v>
      </c>
      <c r="N489" s="5">
        <v>74000</v>
      </c>
      <c r="O489" s="8">
        <f t="shared" si="45"/>
        <v>134800</v>
      </c>
      <c r="P489" s="2" t="s">
        <v>35</v>
      </c>
      <c r="Q489" s="10" t="str">
        <f>VLOOKUP(A489,Status!A:B,2,0)</f>
        <v>Completed</v>
      </c>
      <c r="R489" s="2" t="s">
        <v>23</v>
      </c>
      <c r="S489" s="2">
        <v>5</v>
      </c>
      <c r="T489" s="2" t="s">
        <v>24</v>
      </c>
      <c r="U489" s="10" t="str">
        <f t="shared" si="47"/>
        <v>Apr</v>
      </c>
      <c r="V489" s="10">
        <f t="shared" si="46"/>
        <v>2025</v>
      </c>
      <c r="W489" t="e" cm="1">
        <f t="array" ref="W489">_xlfn.IFS(U489="January",1,U489="February",2,U489="March",3,U489="April",4,U489="May",5,U489="June",6,U489="July",7,U489="August",8,U489="September",9,U489="October",10,U489="November",11,U489="December",12)</f>
        <v>#N/A</v>
      </c>
    </row>
    <row r="490" spans="1:23" ht="15.75" customHeight="1" x14ac:dyDescent="0.25">
      <c r="A490" s="2" t="s">
        <v>1452</v>
      </c>
      <c r="B490" s="3">
        <v>45752.344236111108</v>
      </c>
      <c r="C490" s="2" t="s">
        <v>19</v>
      </c>
      <c r="D490" s="2" t="s">
        <v>20</v>
      </c>
      <c r="E490" s="2" t="s">
        <v>85</v>
      </c>
      <c r="F490" s="2" t="str" cm="1">
        <f t="array" ref="F490:G490">_xlfn.TEXTSPLIT(E490," - ")</f>
        <v>Daging Ayam</v>
      </c>
      <c r="G490" s="2" t="str">
        <v>Brand A</v>
      </c>
      <c r="H490" s="5">
        <v>35000</v>
      </c>
      <c r="I490" s="2">
        <v>2</v>
      </c>
      <c r="J490" s="2">
        <v>0</v>
      </c>
      <c r="K490" s="8">
        <f t="shared" si="42"/>
        <v>70000</v>
      </c>
      <c r="L490" s="8">
        <f t="shared" si="43"/>
        <v>0</v>
      </c>
      <c r="M490" s="8">
        <f t="shared" si="44"/>
        <v>70000</v>
      </c>
      <c r="N490" s="5">
        <v>15000</v>
      </c>
      <c r="O490" s="8">
        <f t="shared" si="45"/>
        <v>85000</v>
      </c>
      <c r="P490" s="2" t="s">
        <v>22</v>
      </c>
      <c r="Q490" s="10" t="str">
        <f>VLOOKUP(A490,Status!A:B,2,0)</f>
        <v>Completed</v>
      </c>
      <c r="R490" s="2" t="s">
        <v>46</v>
      </c>
      <c r="S490" s="2">
        <v>1</v>
      </c>
      <c r="T490" s="2" t="s">
        <v>24</v>
      </c>
      <c r="U490" s="10" t="str">
        <f t="shared" si="47"/>
        <v>Apr</v>
      </c>
      <c r="V490" s="10">
        <f t="shared" si="46"/>
        <v>2025</v>
      </c>
      <c r="W490" t="e" cm="1">
        <f t="array" ref="W490">_xlfn.IFS(U490="January",1,U490="February",2,U490="March",3,U490="April",4,U490="May",5,U490="June",6,U490="July",7,U490="August",8,U490="September",9,U490="October",10,U490="November",11,U490="December",12)</f>
        <v>#N/A</v>
      </c>
    </row>
    <row r="491" spans="1:23" ht="15.75" customHeight="1" x14ac:dyDescent="0.25">
      <c r="A491" s="2" t="s">
        <v>1453</v>
      </c>
      <c r="B491" s="3">
        <v>45752.705439814818</v>
      </c>
      <c r="C491" s="2" t="s">
        <v>165</v>
      </c>
      <c r="D491" s="2" t="s">
        <v>143</v>
      </c>
      <c r="E491" s="2" t="s">
        <v>110</v>
      </c>
      <c r="F491" s="2" t="str" cm="1">
        <f t="array" ref="F491:G491">_xlfn.TEXTSPLIT(E491," - ")</f>
        <v>Garam</v>
      </c>
      <c r="G491" s="2" t="str">
        <v>Brand C</v>
      </c>
      <c r="H491" s="5">
        <v>6000</v>
      </c>
      <c r="I491" s="2">
        <v>3</v>
      </c>
      <c r="J491" s="2">
        <v>20</v>
      </c>
      <c r="K491" s="8">
        <f t="shared" si="42"/>
        <v>18000</v>
      </c>
      <c r="L491" s="8">
        <f t="shared" si="43"/>
        <v>3600</v>
      </c>
      <c r="M491" s="8">
        <f t="shared" si="44"/>
        <v>14400</v>
      </c>
      <c r="N491" s="5">
        <v>50000</v>
      </c>
      <c r="O491" s="8">
        <f t="shared" si="45"/>
        <v>64400</v>
      </c>
      <c r="P491" s="2" t="s">
        <v>63</v>
      </c>
      <c r="Q491" s="10" t="str">
        <f>VLOOKUP(A491,Status!A:B,2,0)</f>
        <v>Completed</v>
      </c>
      <c r="R491" s="2" t="s">
        <v>23</v>
      </c>
      <c r="S491" s="2">
        <v>1</v>
      </c>
      <c r="T491" s="2" t="s">
        <v>24</v>
      </c>
      <c r="U491" s="10" t="str">
        <f t="shared" si="47"/>
        <v>Apr</v>
      </c>
      <c r="V491" s="10">
        <f t="shared" si="46"/>
        <v>2025</v>
      </c>
      <c r="W491" t="e" cm="1">
        <f t="array" ref="W491">_xlfn.IFS(U491="January",1,U491="February",2,U491="March",3,U491="April",4,U491="May",5,U491="June",6,U491="July",7,U491="August",8,U491="September",9,U491="October",10,U491="November",11,U491="December",12)</f>
        <v>#N/A</v>
      </c>
    </row>
    <row r="492" spans="1:23" ht="15.75" customHeight="1" x14ac:dyDescent="0.25">
      <c r="A492" s="2" t="s">
        <v>1454</v>
      </c>
      <c r="B492" s="3">
        <v>45753.030462962961</v>
      </c>
      <c r="C492" s="2" t="s">
        <v>780</v>
      </c>
      <c r="D492" s="2" t="s">
        <v>113</v>
      </c>
      <c r="E492" s="2" t="s">
        <v>93</v>
      </c>
      <c r="F492" s="2" t="str" cm="1">
        <f t="array" ref="F492:G492">_xlfn.TEXTSPLIT(E492," - ")</f>
        <v>Telur Ayam</v>
      </c>
      <c r="G492" s="2" t="str">
        <v>Brand B</v>
      </c>
      <c r="H492" s="5">
        <v>25000</v>
      </c>
      <c r="I492" s="2">
        <v>2</v>
      </c>
      <c r="J492" s="2">
        <v>5</v>
      </c>
      <c r="K492" s="8">
        <f t="shared" si="42"/>
        <v>50000</v>
      </c>
      <c r="L492" s="8">
        <f t="shared" si="43"/>
        <v>2500</v>
      </c>
      <c r="M492" s="8">
        <f t="shared" si="44"/>
        <v>47500</v>
      </c>
      <c r="N492" s="5">
        <v>18000</v>
      </c>
      <c r="O492" s="8">
        <f t="shared" si="45"/>
        <v>65500</v>
      </c>
      <c r="P492" s="2" t="s">
        <v>35</v>
      </c>
      <c r="Q492" s="10" t="str">
        <f>VLOOKUP(A492,Status!A:B,2,0)</f>
        <v>Completed</v>
      </c>
      <c r="R492" s="2" t="s">
        <v>23</v>
      </c>
      <c r="S492" s="2">
        <v>4</v>
      </c>
      <c r="T492" s="2" t="s">
        <v>24</v>
      </c>
      <c r="U492" s="10" t="str">
        <f t="shared" si="47"/>
        <v>Apr</v>
      </c>
      <c r="V492" s="10">
        <f t="shared" si="46"/>
        <v>2025</v>
      </c>
      <c r="W492" t="e" cm="1">
        <f t="array" ref="W492">_xlfn.IFS(U492="January",1,U492="February",2,U492="March",3,U492="April",4,U492="May",5,U492="June",6,U492="July",7,U492="August",8,U492="September",9,U492="October",10,U492="November",11,U492="December",12)</f>
        <v>#N/A</v>
      </c>
    </row>
    <row r="493" spans="1:23" ht="15.75" customHeight="1" x14ac:dyDescent="0.25">
      <c r="A493" s="2" t="s">
        <v>1455</v>
      </c>
      <c r="B493" s="3">
        <v>45753.605590277781</v>
      </c>
      <c r="C493" s="2" t="s">
        <v>429</v>
      </c>
      <c r="D493" s="2" t="s">
        <v>177</v>
      </c>
      <c r="E493" s="2" t="s">
        <v>123</v>
      </c>
      <c r="F493" s="2" t="str" cm="1">
        <f t="array" ref="F493:G493">_xlfn.TEXTSPLIT(E493," - ")</f>
        <v>Telur Ayam</v>
      </c>
      <c r="G493" s="2" t="str">
        <v>Brand A</v>
      </c>
      <c r="H493" s="5">
        <v>22000</v>
      </c>
      <c r="I493" s="2">
        <v>1</v>
      </c>
      <c r="J493" s="2">
        <v>10</v>
      </c>
      <c r="K493" s="8">
        <f t="shared" si="42"/>
        <v>22000</v>
      </c>
      <c r="L493" s="8">
        <f t="shared" si="43"/>
        <v>2200</v>
      </c>
      <c r="M493" s="8">
        <f t="shared" si="44"/>
        <v>19800</v>
      </c>
      <c r="N493" s="5">
        <v>56000</v>
      </c>
      <c r="O493" s="8">
        <f t="shared" si="45"/>
        <v>75800</v>
      </c>
      <c r="P493" s="2" t="s">
        <v>29</v>
      </c>
      <c r="Q493" s="10" t="str">
        <f>VLOOKUP(A493,Status!A:B,2,0)</f>
        <v>Completed</v>
      </c>
      <c r="R493" s="2" t="s">
        <v>82</v>
      </c>
      <c r="S493" s="2">
        <v>3</v>
      </c>
      <c r="T493" s="2" t="s">
        <v>37</v>
      </c>
      <c r="U493" s="10" t="str">
        <f t="shared" si="47"/>
        <v>Apr</v>
      </c>
      <c r="V493" s="10">
        <f t="shared" si="46"/>
        <v>2025</v>
      </c>
      <c r="W493" t="e" cm="1">
        <f t="array" ref="W493">_xlfn.IFS(U493="January",1,U493="February",2,U493="March",3,U493="April",4,U493="May",5,U493="June",6,U493="July",7,U493="August",8,U493="September",9,U493="October",10,U493="November",11,U493="December",12)</f>
        <v>#N/A</v>
      </c>
    </row>
    <row r="494" spans="1:23" ht="15.75" customHeight="1" x14ac:dyDescent="0.25">
      <c r="A494" s="2" t="s">
        <v>1456</v>
      </c>
      <c r="B494" s="3">
        <v>45753.93849537037</v>
      </c>
      <c r="C494" s="2" t="s">
        <v>1098</v>
      </c>
      <c r="D494" s="2" t="s">
        <v>126</v>
      </c>
      <c r="E494" s="2" t="s">
        <v>58</v>
      </c>
      <c r="F494" s="2" t="str" cm="1">
        <f t="array" ref="F494:G494">_xlfn.TEXTSPLIT(E494," - ")</f>
        <v>Gula Pasir</v>
      </c>
      <c r="G494" s="2" t="str">
        <v>Brand A</v>
      </c>
      <c r="H494" s="5">
        <v>16000</v>
      </c>
      <c r="I494" s="2">
        <v>4</v>
      </c>
      <c r="J494" s="2">
        <v>0</v>
      </c>
      <c r="K494" s="8">
        <f t="shared" si="42"/>
        <v>64000</v>
      </c>
      <c r="L494" s="8">
        <f t="shared" si="43"/>
        <v>0</v>
      </c>
      <c r="M494" s="8">
        <f t="shared" si="44"/>
        <v>64000</v>
      </c>
      <c r="N494" s="5">
        <v>84000</v>
      </c>
      <c r="O494" s="8">
        <f t="shared" si="45"/>
        <v>148000</v>
      </c>
      <c r="P494" s="2" t="s">
        <v>22</v>
      </c>
      <c r="Q494" s="10" t="str">
        <f>VLOOKUP(A494,Status!A:B,2,0)</f>
        <v>Completed</v>
      </c>
      <c r="R494" s="2" t="s">
        <v>36</v>
      </c>
      <c r="S494" s="2">
        <v>1</v>
      </c>
      <c r="T494" s="2" t="s">
        <v>37</v>
      </c>
      <c r="U494" s="10" t="str">
        <f t="shared" si="47"/>
        <v>Apr</v>
      </c>
      <c r="V494" s="10">
        <f t="shared" si="46"/>
        <v>2025</v>
      </c>
      <c r="W494" t="e" cm="1">
        <f t="array" ref="W494">_xlfn.IFS(U494="January",1,U494="February",2,U494="March",3,U494="April",4,U494="May",5,U494="June",6,U494="July",7,U494="August",8,U494="September",9,U494="October",10,U494="November",11,U494="December",12)</f>
        <v>#N/A</v>
      </c>
    </row>
    <row r="495" spans="1:23" ht="15.75" customHeight="1" x14ac:dyDescent="0.25">
      <c r="A495" s="2" t="s">
        <v>1457</v>
      </c>
      <c r="B495" s="3">
        <v>45754.109212962961</v>
      </c>
      <c r="C495" s="2" t="s">
        <v>1285</v>
      </c>
      <c r="D495" s="2" t="s">
        <v>163</v>
      </c>
      <c r="E495" s="2" t="s">
        <v>123</v>
      </c>
      <c r="F495" s="2" t="str" cm="1">
        <f t="array" ref="F495:G495">_xlfn.TEXTSPLIT(E495," - ")</f>
        <v>Telur Ayam</v>
      </c>
      <c r="G495" s="2" t="str">
        <v>Brand A</v>
      </c>
      <c r="H495" s="5">
        <v>22000</v>
      </c>
      <c r="I495" s="2">
        <v>1</v>
      </c>
      <c r="J495" s="2">
        <v>10</v>
      </c>
      <c r="K495" s="8">
        <f t="shared" si="42"/>
        <v>22000</v>
      </c>
      <c r="L495" s="8">
        <f t="shared" si="43"/>
        <v>2200</v>
      </c>
      <c r="M495" s="8">
        <f t="shared" si="44"/>
        <v>19800</v>
      </c>
      <c r="N495" s="5">
        <v>50000</v>
      </c>
      <c r="O495" s="8">
        <f t="shared" si="45"/>
        <v>69800</v>
      </c>
      <c r="P495" s="2" t="s">
        <v>63</v>
      </c>
      <c r="Q495" s="10" t="str">
        <f>VLOOKUP(A495,Status!A:B,2,0)</f>
        <v>Completed</v>
      </c>
      <c r="R495" s="2" t="s">
        <v>46</v>
      </c>
      <c r="S495" s="2">
        <v>4</v>
      </c>
      <c r="T495" s="2" t="s">
        <v>24</v>
      </c>
      <c r="U495" s="10" t="str">
        <f t="shared" si="47"/>
        <v>Apr</v>
      </c>
      <c r="V495" s="10">
        <f t="shared" si="46"/>
        <v>2025</v>
      </c>
      <c r="W495" t="e" cm="1">
        <f t="array" ref="W495">_xlfn.IFS(U495="January",1,U495="February",2,U495="March",3,U495="April",4,U495="May",5,U495="June",6,U495="July",7,U495="August",8,U495="September",9,U495="October",10,U495="November",11,U495="December",12)</f>
        <v>#N/A</v>
      </c>
    </row>
    <row r="496" spans="1:23" ht="15.75" customHeight="1" x14ac:dyDescent="0.25">
      <c r="A496" s="2" t="s">
        <v>1458</v>
      </c>
      <c r="B496" s="3">
        <v>45754.119652777779</v>
      </c>
      <c r="C496" s="2" t="s">
        <v>669</v>
      </c>
      <c r="D496" s="2" t="s">
        <v>151</v>
      </c>
      <c r="E496" s="2" t="s">
        <v>54</v>
      </c>
      <c r="F496" s="2" t="str" cm="1">
        <f t="array" ref="F496:G496">_xlfn.TEXTSPLIT(E496," - ")</f>
        <v>Beras</v>
      </c>
      <c r="G496" s="2" t="str">
        <v>Brand C</v>
      </c>
      <c r="H496" s="5">
        <v>16000</v>
      </c>
      <c r="I496" s="2">
        <v>2</v>
      </c>
      <c r="J496" s="2">
        <v>15</v>
      </c>
      <c r="K496" s="8">
        <f t="shared" si="42"/>
        <v>32000</v>
      </c>
      <c r="L496" s="8">
        <f t="shared" si="43"/>
        <v>4800</v>
      </c>
      <c r="M496" s="8">
        <f t="shared" si="44"/>
        <v>27200</v>
      </c>
      <c r="N496" s="5">
        <v>55000</v>
      </c>
      <c r="O496" s="8">
        <f t="shared" si="45"/>
        <v>82200</v>
      </c>
      <c r="P496" s="2" t="s">
        <v>29</v>
      </c>
      <c r="Q496" s="10" t="str">
        <f>VLOOKUP(A496,Status!A:B,2,0)</f>
        <v>Completed</v>
      </c>
      <c r="R496" s="2" t="s">
        <v>36</v>
      </c>
      <c r="S496" s="2">
        <v>4</v>
      </c>
      <c r="T496" s="2" t="s">
        <v>24</v>
      </c>
      <c r="U496" s="10" t="str">
        <f t="shared" si="47"/>
        <v>Apr</v>
      </c>
      <c r="V496" s="10">
        <f t="shared" si="46"/>
        <v>2025</v>
      </c>
      <c r="W496" t="e" cm="1">
        <f t="array" ref="W496">_xlfn.IFS(U496="January",1,U496="February",2,U496="March",3,U496="April",4,U496="May",5,U496="June",6,U496="July",7,U496="August",8,U496="September",9,U496="October",10,U496="November",11,U496="December",12)</f>
        <v>#N/A</v>
      </c>
    </row>
    <row r="497" spans="1:23" ht="15.75" customHeight="1" x14ac:dyDescent="0.25">
      <c r="A497" s="2" t="s">
        <v>1459</v>
      </c>
      <c r="B497" s="3">
        <v>45754.476412037038</v>
      </c>
      <c r="C497" s="2" t="s">
        <v>371</v>
      </c>
      <c r="D497" s="2" t="s">
        <v>27</v>
      </c>
      <c r="E497" s="2" t="s">
        <v>190</v>
      </c>
      <c r="F497" s="2" t="str" cm="1">
        <f t="array" ref="F497:G497">_xlfn.TEXTSPLIT(E497," - ")</f>
        <v>Bawang Merah</v>
      </c>
      <c r="G497" s="2" t="str">
        <v>Brand B</v>
      </c>
      <c r="H497" s="5">
        <v>35000</v>
      </c>
      <c r="I497" s="2">
        <v>3</v>
      </c>
      <c r="J497" s="2">
        <v>5</v>
      </c>
      <c r="K497" s="8">
        <f t="shared" si="42"/>
        <v>105000</v>
      </c>
      <c r="L497" s="8">
        <f t="shared" si="43"/>
        <v>5250</v>
      </c>
      <c r="M497" s="8">
        <f t="shared" si="44"/>
        <v>99750</v>
      </c>
      <c r="N497" s="5">
        <v>17000</v>
      </c>
      <c r="O497" s="8">
        <f t="shared" si="45"/>
        <v>116750</v>
      </c>
      <c r="P497" s="2" t="s">
        <v>35</v>
      </c>
      <c r="Q497" s="10" t="str">
        <f>VLOOKUP(A497,Status!A:B,2,0)</f>
        <v>Completed</v>
      </c>
      <c r="R497" s="2" t="s">
        <v>30</v>
      </c>
      <c r="S497" s="2">
        <v>5</v>
      </c>
      <c r="T497" s="2" t="s">
        <v>24</v>
      </c>
      <c r="U497" s="10" t="str">
        <f t="shared" si="47"/>
        <v>Apr</v>
      </c>
      <c r="V497" s="10">
        <f t="shared" si="46"/>
        <v>2025</v>
      </c>
      <c r="W497" t="e" cm="1">
        <f t="array" ref="W497">_xlfn.IFS(U497="January",1,U497="February",2,U497="March",3,U497="April",4,U497="May",5,U497="June",6,U497="July",7,U497="August",8,U497="September",9,U497="October",10,U497="November",11,U497="December",12)</f>
        <v>#N/A</v>
      </c>
    </row>
    <row r="498" spans="1:23" ht="15.75" customHeight="1" x14ac:dyDescent="0.25">
      <c r="A498" s="2" t="s">
        <v>1460</v>
      </c>
      <c r="B498" s="3">
        <v>45754.760428240741</v>
      </c>
      <c r="C498" s="2" t="s">
        <v>776</v>
      </c>
      <c r="D498" s="2" t="s">
        <v>103</v>
      </c>
      <c r="E498" s="2" t="s">
        <v>58</v>
      </c>
      <c r="F498" s="2" t="str" cm="1">
        <f t="array" ref="F498:G498">_xlfn.TEXTSPLIT(E498," - ")</f>
        <v>Gula Pasir</v>
      </c>
      <c r="G498" s="2" t="str">
        <v>Brand A</v>
      </c>
      <c r="H498" s="5">
        <v>16000</v>
      </c>
      <c r="I498" s="2">
        <v>2</v>
      </c>
      <c r="J498" s="2">
        <v>0</v>
      </c>
      <c r="K498" s="8">
        <f t="shared" si="42"/>
        <v>32000</v>
      </c>
      <c r="L498" s="8">
        <f t="shared" si="43"/>
        <v>0</v>
      </c>
      <c r="M498" s="8">
        <f t="shared" si="44"/>
        <v>32000</v>
      </c>
      <c r="N498" s="5">
        <v>85000</v>
      </c>
      <c r="O498" s="8">
        <f t="shared" si="45"/>
        <v>117000</v>
      </c>
      <c r="P498" s="2" t="s">
        <v>22</v>
      </c>
      <c r="Q498" s="10" t="str">
        <f>VLOOKUP(A498,Status!A:B,2,0)</f>
        <v>Completed</v>
      </c>
      <c r="R498" s="2" t="s">
        <v>23</v>
      </c>
      <c r="S498" s="2">
        <v>1</v>
      </c>
      <c r="T498" s="2" t="s">
        <v>24</v>
      </c>
      <c r="U498" s="10" t="str">
        <f t="shared" si="47"/>
        <v>Apr</v>
      </c>
      <c r="V498" s="10">
        <f t="shared" si="46"/>
        <v>2025</v>
      </c>
      <c r="W498" t="e" cm="1">
        <f t="array" ref="W498">_xlfn.IFS(U498="January",1,U498="February",2,U498="March",3,U498="April",4,U498="May",5,U498="June",6,U498="July",7,U498="August",8,U498="September",9,U498="October",10,U498="November",11,U498="December",12)</f>
        <v>#N/A</v>
      </c>
    </row>
    <row r="499" spans="1:23" ht="15.75" customHeight="1" x14ac:dyDescent="0.25">
      <c r="A499" s="2" t="s">
        <v>1461</v>
      </c>
      <c r="B499" s="3">
        <v>45755.042569444442</v>
      </c>
      <c r="C499" s="2" t="s">
        <v>649</v>
      </c>
      <c r="D499" s="2" t="s">
        <v>177</v>
      </c>
      <c r="E499" s="2" t="s">
        <v>190</v>
      </c>
      <c r="F499" s="2" t="str" cm="1">
        <f t="array" ref="F499:G499">_xlfn.TEXTSPLIT(E499," - ")</f>
        <v>Bawang Merah</v>
      </c>
      <c r="G499" s="2" t="str">
        <v>Brand B</v>
      </c>
      <c r="H499" s="5">
        <v>35000</v>
      </c>
      <c r="I499" s="2">
        <v>3</v>
      </c>
      <c r="J499" s="2">
        <v>0</v>
      </c>
      <c r="K499" s="8">
        <f t="shared" si="42"/>
        <v>105000</v>
      </c>
      <c r="L499" s="8">
        <f t="shared" si="43"/>
        <v>0</v>
      </c>
      <c r="M499" s="8">
        <f t="shared" si="44"/>
        <v>105000</v>
      </c>
      <c r="N499" s="5">
        <v>56000</v>
      </c>
      <c r="O499" s="8">
        <f t="shared" si="45"/>
        <v>161000</v>
      </c>
      <c r="P499" s="2" t="s">
        <v>22</v>
      </c>
      <c r="Q499" s="10" t="str">
        <f>VLOOKUP(A499,Status!A:B,2,0)</f>
        <v>Returned</v>
      </c>
      <c r="R499" s="2" t="s">
        <v>36</v>
      </c>
      <c r="S499" s="2">
        <v>1</v>
      </c>
      <c r="T499" s="2" t="s">
        <v>24</v>
      </c>
      <c r="U499" s="10" t="str">
        <f t="shared" si="47"/>
        <v>Apr</v>
      </c>
      <c r="V499" s="10">
        <f t="shared" si="46"/>
        <v>2025</v>
      </c>
      <c r="W499" t="e" cm="1">
        <f t="array" ref="W499">_xlfn.IFS(U499="January",1,U499="February",2,U499="March",3,U499="April",4,U499="May",5,U499="June",6,U499="July",7,U499="August",8,U499="September",9,U499="October",10,U499="November",11,U499="December",12)</f>
        <v>#N/A</v>
      </c>
    </row>
    <row r="500" spans="1:23" ht="15.75" customHeight="1" x14ac:dyDescent="0.25">
      <c r="A500" s="2" t="s">
        <v>1462</v>
      </c>
      <c r="B500" s="3">
        <v>45755.104618055557</v>
      </c>
      <c r="C500" s="2" t="s">
        <v>235</v>
      </c>
      <c r="D500" s="2" t="s">
        <v>189</v>
      </c>
      <c r="E500" s="2" t="s">
        <v>41</v>
      </c>
      <c r="F500" s="2" t="str" cm="1">
        <f t="array" ref="F500:G500">_xlfn.TEXTSPLIT(E500," - ")</f>
        <v>Garam</v>
      </c>
      <c r="G500" s="2" t="str">
        <v>Brand A</v>
      </c>
      <c r="H500" s="5">
        <v>4000</v>
      </c>
      <c r="I500" s="2">
        <v>1</v>
      </c>
      <c r="J500" s="2">
        <v>10</v>
      </c>
      <c r="K500" s="8">
        <f t="shared" si="42"/>
        <v>4000</v>
      </c>
      <c r="L500" s="8">
        <f t="shared" si="43"/>
        <v>400</v>
      </c>
      <c r="M500" s="8">
        <f t="shared" si="44"/>
        <v>3600</v>
      </c>
      <c r="N500" s="5">
        <v>57000</v>
      </c>
      <c r="O500" s="8">
        <f t="shared" si="45"/>
        <v>60600</v>
      </c>
      <c r="P500" s="2" t="s">
        <v>63</v>
      </c>
      <c r="Q500" s="10" t="str">
        <f>VLOOKUP(A500,Status!A:B,2,0)</f>
        <v>Completed</v>
      </c>
      <c r="R500" s="2" t="s">
        <v>82</v>
      </c>
      <c r="S500" s="2">
        <v>3</v>
      </c>
      <c r="T500" s="2" t="s">
        <v>37</v>
      </c>
      <c r="U500" s="10" t="str">
        <f t="shared" si="47"/>
        <v>Apr</v>
      </c>
      <c r="V500" s="10">
        <f t="shared" si="46"/>
        <v>2025</v>
      </c>
      <c r="W500" t="e" cm="1">
        <f t="array" ref="W500">_xlfn.IFS(U500="January",1,U500="February",2,U500="March",3,U500="April",4,U500="May",5,U500="June",6,U500="July",7,U500="August",8,U500="September",9,U500="October",10,U500="November",11,U500="December",12)</f>
        <v>#N/A</v>
      </c>
    </row>
    <row r="501" spans="1:23" ht="15.75" customHeight="1" x14ac:dyDescent="0.25">
      <c r="A501" s="2" t="s">
        <v>1463</v>
      </c>
      <c r="B501" s="3">
        <v>45755.135312500002</v>
      </c>
      <c r="C501" s="2" t="s">
        <v>649</v>
      </c>
      <c r="D501" s="2" t="s">
        <v>177</v>
      </c>
      <c r="E501" s="2" t="s">
        <v>45</v>
      </c>
      <c r="F501" s="2" t="str" cm="1">
        <f t="array" ref="F501:G501">_xlfn.TEXTSPLIT(E501," - ")</f>
        <v>Daging Ayam</v>
      </c>
      <c r="G501" s="2" t="str">
        <v>Brand B</v>
      </c>
      <c r="H501" s="5">
        <v>40000</v>
      </c>
      <c r="I501" s="2">
        <v>4</v>
      </c>
      <c r="J501" s="2">
        <v>5</v>
      </c>
      <c r="K501" s="8">
        <f t="shared" si="42"/>
        <v>160000</v>
      </c>
      <c r="L501" s="8">
        <f t="shared" si="43"/>
        <v>8000</v>
      </c>
      <c r="M501" s="8">
        <f t="shared" si="44"/>
        <v>152000</v>
      </c>
      <c r="N501" s="5">
        <v>56000</v>
      </c>
      <c r="O501" s="8">
        <f t="shared" si="45"/>
        <v>208000</v>
      </c>
      <c r="P501" s="2" t="s">
        <v>63</v>
      </c>
      <c r="Q501" s="10" t="str">
        <f>VLOOKUP(A501,Status!A:B,2,0)</f>
        <v>Completed</v>
      </c>
      <c r="R501" s="2" t="s">
        <v>46</v>
      </c>
      <c r="S501" s="2">
        <v>1</v>
      </c>
      <c r="T501" s="2" t="s">
        <v>24</v>
      </c>
      <c r="U501" s="10" t="str">
        <f t="shared" si="47"/>
        <v>Apr</v>
      </c>
      <c r="V501" s="10">
        <f t="shared" si="46"/>
        <v>2025</v>
      </c>
      <c r="W501" t="e" cm="1">
        <f t="array" ref="W501">_xlfn.IFS(U501="January",1,U501="February",2,U501="March",3,U501="April",4,U501="May",5,U501="June",6,U501="July",7,U501="August",8,U501="September",9,U501="October",10,U501="November",11,U501="December",12)</f>
        <v>#N/A</v>
      </c>
    </row>
    <row r="502" spans="1:23" ht="15.75" customHeight="1" x14ac:dyDescent="0.25">
      <c r="A502" s="2" t="s">
        <v>1463</v>
      </c>
      <c r="B502" s="3">
        <v>45755.135312500002</v>
      </c>
      <c r="C502" s="2" t="s">
        <v>649</v>
      </c>
      <c r="D502" s="2" t="s">
        <v>177</v>
      </c>
      <c r="E502" s="2" t="s">
        <v>67</v>
      </c>
      <c r="F502" s="2" t="str" cm="1">
        <f t="array" ref="F502:G502">_xlfn.TEXTSPLIT(E502," - ")</f>
        <v>Beras</v>
      </c>
      <c r="G502" s="2" t="str">
        <v>Brand B</v>
      </c>
      <c r="H502" s="5">
        <v>15000</v>
      </c>
      <c r="I502" s="2">
        <v>2</v>
      </c>
      <c r="J502" s="2">
        <v>10</v>
      </c>
      <c r="K502" s="8">
        <f t="shared" si="42"/>
        <v>30000</v>
      </c>
      <c r="L502" s="8">
        <f t="shared" si="43"/>
        <v>3000</v>
      </c>
      <c r="M502" s="8">
        <f t="shared" si="44"/>
        <v>27000</v>
      </c>
      <c r="N502" s="5">
        <v>0</v>
      </c>
      <c r="O502" s="8">
        <f t="shared" si="45"/>
        <v>27000</v>
      </c>
      <c r="P502" s="2" t="s">
        <v>63</v>
      </c>
      <c r="Q502" s="10" t="str">
        <f>VLOOKUP(A502,Status!A:B,2,0)</f>
        <v>Completed</v>
      </c>
      <c r="R502" s="2" t="s">
        <v>46</v>
      </c>
      <c r="S502" s="2">
        <v>1</v>
      </c>
      <c r="T502" s="2" t="s">
        <v>24</v>
      </c>
      <c r="U502" s="10" t="str">
        <f t="shared" si="47"/>
        <v>Apr</v>
      </c>
      <c r="V502" s="10">
        <f t="shared" si="46"/>
        <v>2025</v>
      </c>
      <c r="W502" t="e" cm="1">
        <f t="array" ref="W502">_xlfn.IFS(U502="January",1,U502="February",2,U502="March",3,U502="April",4,U502="May",5,U502="June",6,U502="July",7,U502="August",8,U502="September",9,U502="October",10,U502="November",11,U502="December",12)</f>
        <v>#N/A</v>
      </c>
    </row>
    <row r="503" spans="1:23" ht="15.75" customHeight="1" x14ac:dyDescent="0.25">
      <c r="A503" s="2" t="s">
        <v>1464</v>
      </c>
      <c r="B503" s="3">
        <v>45755.440636574072</v>
      </c>
      <c r="C503" s="2" t="s">
        <v>708</v>
      </c>
      <c r="D503" s="2" t="s">
        <v>116</v>
      </c>
      <c r="E503" s="2" t="s">
        <v>67</v>
      </c>
      <c r="F503" s="2" t="str" cm="1">
        <f t="array" ref="F503:G503">_xlfn.TEXTSPLIT(E503," - ")</f>
        <v>Beras</v>
      </c>
      <c r="G503" s="2" t="str">
        <v>Brand B</v>
      </c>
      <c r="H503" s="5">
        <v>15000</v>
      </c>
      <c r="I503" s="2">
        <v>1</v>
      </c>
      <c r="J503" s="2">
        <v>10</v>
      </c>
      <c r="K503" s="8">
        <f t="shared" si="42"/>
        <v>15000</v>
      </c>
      <c r="L503" s="8">
        <f t="shared" si="43"/>
        <v>1500</v>
      </c>
      <c r="M503" s="8">
        <f t="shared" si="44"/>
        <v>13500</v>
      </c>
      <c r="N503" s="5">
        <v>72000</v>
      </c>
      <c r="O503" s="8">
        <f t="shared" si="45"/>
        <v>85500</v>
      </c>
      <c r="P503" s="2" t="s">
        <v>63</v>
      </c>
      <c r="Q503" s="10" t="str">
        <f>VLOOKUP(A503,Status!A:B,2,0)</f>
        <v>Completed</v>
      </c>
      <c r="R503" s="2" t="s">
        <v>30</v>
      </c>
      <c r="S503" s="2">
        <v>2</v>
      </c>
      <c r="T503" s="2" t="s">
        <v>24</v>
      </c>
      <c r="U503" s="10" t="str">
        <f t="shared" si="47"/>
        <v>Apr</v>
      </c>
      <c r="V503" s="10">
        <f t="shared" si="46"/>
        <v>2025</v>
      </c>
      <c r="W503" t="e" cm="1">
        <f t="array" ref="W503">_xlfn.IFS(U503="January",1,U503="February",2,U503="March",3,U503="April",4,U503="May",5,U503="June",6,U503="July",7,U503="August",8,U503="September",9,U503="October",10,U503="November",11,U503="December",12)</f>
        <v>#N/A</v>
      </c>
    </row>
    <row r="504" spans="1:23" ht="15.75" customHeight="1" x14ac:dyDescent="0.25">
      <c r="A504" s="2" t="s">
        <v>1465</v>
      </c>
      <c r="B504" s="3">
        <v>45755.90111111111</v>
      </c>
      <c r="C504" s="2" t="s">
        <v>832</v>
      </c>
      <c r="D504" s="2" t="s">
        <v>131</v>
      </c>
      <c r="E504" s="2" t="s">
        <v>34</v>
      </c>
      <c r="F504" s="2" t="str" cm="1">
        <f t="array" ref="F504:G504">_xlfn.TEXTSPLIT(E504," - ")</f>
        <v>Minyak Goreng</v>
      </c>
      <c r="G504" s="2" t="str">
        <v>Brand A</v>
      </c>
      <c r="H504" s="5">
        <v>16000</v>
      </c>
      <c r="I504" s="2">
        <v>1</v>
      </c>
      <c r="J504" s="2">
        <v>15</v>
      </c>
      <c r="K504" s="8">
        <f t="shared" si="42"/>
        <v>16000</v>
      </c>
      <c r="L504" s="8">
        <f t="shared" si="43"/>
        <v>2400</v>
      </c>
      <c r="M504" s="8">
        <f t="shared" si="44"/>
        <v>13600</v>
      </c>
      <c r="N504" s="5">
        <v>59000</v>
      </c>
      <c r="O504" s="8">
        <f t="shared" si="45"/>
        <v>72600</v>
      </c>
      <c r="P504" s="2" t="s">
        <v>22</v>
      </c>
      <c r="Q504" s="10" t="str">
        <f>VLOOKUP(A504,Status!A:B,2,0)</f>
        <v>Completed</v>
      </c>
      <c r="R504" s="2" t="s">
        <v>46</v>
      </c>
      <c r="S504" s="2">
        <v>3</v>
      </c>
      <c r="T504" s="2" t="s">
        <v>24</v>
      </c>
      <c r="U504" s="10" t="str">
        <f t="shared" si="47"/>
        <v>Apr</v>
      </c>
      <c r="V504" s="10">
        <f t="shared" si="46"/>
        <v>2025</v>
      </c>
      <c r="W504" t="e" cm="1">
        <f t="array" ref="W504">_xlfn.IFS(U504="January",1,U504="February",2,U504="March",3,U504="April",4,U504="May",5,U504="June",6,U504="July",7,U504="August",8,U504="September",9,U504="October",10,U504="November",11,U504="December",12)</f>
        <v>#N/A</v>
      </c>
    </row>
    <row r="505" spans="1:23" ht="15.75" customHeight="1" x14ac:dyDescent="0.25">
      <c r="A505" s="2" t="s">
        <v>1466</v>
      </c>
      <c r="B505" s="3">
        <v>45756.402337962973</v>
      </c>
      <c r="C505" s="2" t="s">
        <v>542</v>
      </c>
      <c r="D505" s="2" t="s">
        <v>122</v>
      </c>
      <c r="E505" s="2" t="s">
        <v>110</v>
      </c>
      <c r="F505" s="2" t="str" cm="1">
        <f t="array" ref="F505:G505">_xlfn.TEXTSPLIT(E505," - ")</f>
        <v>Garam</v>
      </c>
      <c r="G505" s="2" t="str">
        <v>Brand C</v>
      </c>
      <c r="H505" s="5">
        <v>6000</v>
      </c>
      <c r="I505" s="2">
        <v>5</v>
      </c>
      <c r="J505" s="2">
        <v>5</v>
      </c>
      <c r="K505" s="8">
        <f t="shared" si="42"/>
        <v>30000</v>
      </c>
      <c r="L505" s="8">
        <f t="shared" si="43"/>
        <v>1500</v>
      </c>
      <c r="M505" s="8">
        <f t="shared" si="44"/>
        <v>28500</v>
      </c>
      <c r="N505" s="5">
        <v>78000</v>
      </c>
      <c r="O505" s="8">
        <f t="shared" si="45"/>
        <v>106500</v>
      </c>
      <c r="P505" s="2" t="s">
        <v>35</v>
      </c>
      <c r="Q505" s="10" t="str">
        <f>VLOOKUP(A505,Status!A:B,2,0)</f>
        <v>Completed</v>
      </c>
      <c r="R505" s="2" t="s">
        <v>23</v>
      </c>
      <c r="S505" s="2">
        <v>1</v>
      </c>
      <c r="T505" s="2" t="s">
        <v>24</v>
      </c>
      <c r="U505" s="10" t="str">
        <f t="shared" si="47"/>
        <v>Apr</v>
      </c>
      <c r="V505" s="10">
        <f t="shared" si="46"/>
        <v>2025</v>
      </c>
      <c r="W505" t="e" cm="1">
        <f t="array" ref="W505">_xlfn.IFS(U505="January",1,U505="February",2,U505="March",3,U505="April",4,U505="May",5,U505="June",6,U505="July",7,U505="August",8,U505="September",9,U505="October",10,U505="November",11,U505="December",12)</f>
        <v>#N/A</v>
      </c>
    </row>
    <row r="506" spans="1:23" ht="15.75" customHeight="1" x14ac:dyDescent="0.25">
      <c r="A506" s="2" t="s">
        <v>1467</v>
      </c>
      <c r="B506" s="3">
        <v>45756.60083333333</v>
      </c>
      <c r="C506" s="2" t="s">
        <v>615</v>
      </c>
      <c r="D506" s="2" t="s">
        <v>92</v>
      </c>
      <c r="E506" s="2" t="s">
        <v>123</v>
      </c>
      <c r="F506" s="2" t="str" cm="1">
        <f t="array" ref="F506:G506">_xlfn.TEXTSPLIT(E506," - ")</f>
        <v>Telur Ayam</v>
      </c>
      <c r="G506" s="2" t="str">
        <v>Brand A</v>
      </c>
      <c r="H506" s="5">
        <v>22000</v>
      </c>
      <c r="I506" s="2">
        <v>4</v>
      </c>
      <c r="J506" s="2">
        <v>20</v>
      </c>
      <c r="K506" s="8">
        <f t="shared" si="42"/>
        <v>88000</v>
      </c>
      <c r="L506" s="8">
        <f t="shared" si="43"/>
        <v>17600</v>
      </c>
      <c r="M506" s="8">
        <f t="shared" si="44"/>
        <v>70400</v>
      </c>
      <c r="N506" s="5">
        <v>30000</v>
      </c>
      <c r="O506" s="8">
        <f t="shared" si="45"/>
        <v>100400</v>
      </c>
      <c r="P506" s="2" t="s">
        <v>22</v>
      </c>
      <c r="Q506" s="10" t="str">
        <f>VLOOKUP(A506,Status!A:B,2,0)</f>
        <v>Completed</v>
      </c>
      <c r="R506" s="2" t="s">
        <v>46</v>
      </c>
      <c r="S506" s="2">
        <v>1</v>
      </c>
      <c r="T506" s="2" t="s">
        <v>24</v>
      </c>
      <c r="U506" s="10" t="str">
        <f t="shared" si="47"/>
        <v>Apr</v>
      </c>
      <c r="V506" s="10">
        <f t="shared" si="46"/>
        <v>2025</v>
      </c>
      <c r="W506" t="e" cm="1">
        <f t="array" ref="W506">_xlfn.IFS(U506="January",1,U506="February",2,U506="March",3,U506="April",4,U506="May",5,U506="June",6,U506="July",7,U506="August",8,U506="September",9,U506="October",10,U506="November",11,U506="December",12)</f>
        <v>#N/A</v>
      </c>
    </row>
    <row r="507" spans="1:23" ht="15.75" customHeight="1" x14ac:dyDescent="0.25">
      <c r="A507" s="2" t="s">
        <v>1468</v>
      </c>
      <c r="B507" s="3">
        <v>45756.609548611108</v>
      </c>
      <c r="C507" s="2" t="s">
        <v>135</v>
      </c>
      <c r="D507" s="2" t="s">
        <v>27</v>
      </c>
      <c r="E507" s="2" t="s">
        <v>21</v>
      </c>
      <c r="F507" s="2" t="str" cm="1">
        <f t="array" ref="F507:G507">_xlfn.TEXTSPLIT(E507," - ")</f>
        <v>Daging Ayam</v>
      </c>
      <c r="G507" s="2" t="str">
        <v>Brand C</v>
      </c>
      <c r="H507" s="5">
        <v>45000</v>
      </c>
      <c r="I507" s="2">
        <v>3</v>
      </c>
      <c r="J507" s="2">
        <v>20</v>
      </c>
      <c r="K507" s="8">
        <f t="shared" si="42"/>
        <v>135000</v>
      </c>
      <c r="L507" s="8">
        <f t="shared" si="43"/>
        <v>27000</v>
      </c>
      <c r="M507" s="8">
        <f t="shared" si="44"/>
        <v>108000</v>
      </c>
      <c r="N507" s="5">
        <v>17000</v>
      </c>
      <c r="O507" s="8">
        <f t="shared" si="45"/>
        <v>125000</v>
      </c>
      <c r="P507" s="2" t="s">
        <v>63</v>
      </c>
      <c r="Q507" s="10" t="str">
        <f>VLOOKUP(A507,Status!A:B,2,0)</f>
        <v>Completed</v>
      </c>
      <c r="R507" s="2" t="s">
        <v>23</v>
      </c>
      <c r="S507" s="2">
        <v>2</v>
      </c>
      <c r="T507" s="2" t="s">
        <v>24</v>
      </c>
      <c r="U507" s="10" t="str">
        <f t="shared" si="47"/>
        <v>Apr</v>
      </c>
      <c r="V507" s="10">
        <f t="shared" si="46"/>
        <v>2025</v>
      </c>
      <c r="W507" t="e" cm="1">
        <f t="array" ref="W507">_xlfn.IFS(U507="January",1,U507="February",2,U507="March",3,U507="April",4,U507="May",5,U507="June",6,U507="July",7,U507="August",8,U507="September",9,U507="October",10,U507="November",11,U507="December",12)</f>
        <v>#N/A</v>
      </c>
    </row>
    <row r="508" spans="1:23" ht="15.75" customHeight="1" x14ac:dyDescent="0.25">
      <c r="A508" s="2" t="s">
        <v>1469</v>
      </c>
      <c r="B508" s="3">
        <v>45756.907071759262</v>
      </c>
      <c r="C508" s="2" t="s">
        <v>203</v>
      </c>
      <c r="D508" s="2" t="s">
        <v>20</v>
      </c>
      <c r="E508" s="2" t="s">
        <v>50</v>
      </c>
      <c r="F508" s="2" t="str" cm="1">
        <f t="array" ref="F508:G508">_xlfn.TEXTSPLIT(E508," - ")</f>
        <v>Tepung Terigu</v>
      </c>
      <c r="G508" s="2" t="str">
        <v>Brand C</v>
      </c>
      <c r="H508" s="5">
        <v>14000</v>
      </c>
      <c r="I508" s="2">
        <v>5</v>
      </c>
      <c r="J508" s="2">
        <v>0</v>
      </c>
      <c r="K508" s="8">
        <f t="shared" si="42"/>
        <v>70000</v>
      </c>
      <c r="L508" s="8">
        <f t="shared" si="43"/>
        <v>0</v>
      </c>
      <c r="M508" s="8">
        <f t="shared" si="44"/>
        <v>70000</v>
      </c>
      <c r="N508" s="5">
        <v>15000</v>
      </c>
      <c r="O508" s="8">
        <f t="shared" si="45"/>
        <v>85000</v>
      </c>
      <c r="P508" s="2" t="s">
        <v>29</v>
      </c>
      <c r="Q508" s="10" t="str">
        <f>VLOOKUP(A508,Status!A:B,2,0)</f>
        <v>Completed</v>
      </c>
      <c r="R508" s="2" t="s">
        <v>46</v>
      </c>
      <c r="S508" s="2">
        <v>4</v>
      </c>
      <c r="T508" s="2" t="s">
        <v>24</v>
      </c>
      <c r="U508" s="10" t="str">
        <f t="shared" si="47"/>
        <v>Apr</v>
      </c>
      <c r="V508" s="10">
        <f t="shared" si="46"/>
        <v>2025</v>
      </c>
      <c r="W508" t="e" cm="1">
        <f t="array" ref="W508">_xlfn.IFS(U508="January",1,U508="February",2,U508="March",3,U508="April",4,U508="May",5,U508="June",6,U508="July",7,U508="August",8,U508="September",9,U508="October",10,U508="November",11,U508="December",12)</f>
        <v>#N/A</v>
      </c>
    </row>
    <row r="509" spans="1:23" ht="15.75" customHeight="1" x14ac:dyDescent="0.25">
      <c r="A509" s="2" t="s">
        <v>1470</v>
      </c>
      <c r="B509" s="3">
        <v>45757.279039351852</v>
      </c>
      <c r="C509" s="2" t="s">
        <v>867</v>
      </c>
      <c r="D509" s="2" t="s">
        <v>20</v>
      </c>
      <c r="E509" s="2" t="s">
        <v>144</v>
      </c>
      <c r="F509" s="2" t="str" cm="1">
        <f t="array" ref="F509:G509">_xlfn.TEXTSPLIT(E509," - ")</f>
        <v>Gula Pasir</v>
      </c>
      <c r="G509" s="2" t="str">
        <v>Brand C</v>
      </c>
      <c r="H509" s="5">
        <v>18000</v>
      </c>
      <c r="I509" s="2">
        <v>3</v>
      </c>
      <c r="J509" s="2">
        <v>5</v>
      </c>
      <c r="K509" s="8">
        <f t="shared" si="42"/>
        <v>54000</v>
      </c>
      <c r="L509" s="8">
        <f t="shared" si="43"/>
        <v>2700</v>
      </c>
      <c r="M509" s="8">
        <f t="shared" si="44"/>
        <v>51300</v>
      </c>
      <c r="N509" s="5">
        <v>15000</v>
      </c>
      <c r="O509" s="8">
        <f t="shared" si="45"/>
        <v>66300</v>
      </c>
      <c r="P509" s="2" t="s">
        <v>35</v>
      </c>
      <c r="Q509" s="10" t="str">
        <f>VLOOKUP(A509,Status!A:B,2,0)</f>
        <v>Completed</v>
      </c>
      <c r="R509" s="2" t="s">
        <v>23</v>
      </c>
      <c r="S509" s="2">
        <v>2</v>
      </c>
      <c r="T509" s="2" t="s">
        <v>37</v>
      </c>
      <c r="U509" s="10" t="str">
        <f t="shared" si="47"/>
        <v>Apr</v>
      </c>
      <c r="V509" s="10">
        <f t="shared" si="46"/>
        <v>2025</v>
      </c>
      <c r="W509" t="e" cm="1">
        <f t="array" ref="W509">_xlfn.IFS(U509="January",1,U509="February",2,U509="March",3,U509="April",4,U509="May",5,U509="June",6,U509="July",7,U509="August",8,U509="September",9,U509="October",10,U509="November",11,U509="December",12)</f>
        <v>#N/A</v>
      </c>
    </row>
    <row r="510" spans="1:23" ht="15.75" customHeight="1" x14ac:dyDescent="0.25">
      <c r="A510" s="2" t="s">
        <v>1471</v>
      </c>
      <c r="B510" s="3">
        <v>45757.298391203702</v>
      </c>
      <c r="C510" s="2" t="s">
        <v>125</v>
      </c>
      <c r="D510" s="2" t="s">
        <v>126</v>
      </c>
      <c r="E510" s="2" t="s">
        <v>71</v>
      </c>
      <c r="F510" s="2" t="str" cm="1">
        <f t="array" ref="F510:G510">_xlfn.TEXTSPLIT(E510," - ")</f>
        <v>Bawang Merah</v>
      </c>
      <c r="G510" s="2" t="str">
        <v>Brand C</v>
      </c>
      <c r="H510" s="5">
        <v>40000</v>
      </c>
      <c r="I510" s="2">
        <v>3</v>
      </c>
      <c r="J510" s="2">
        <v>5</v>
      </c>
      <c r="K510" s="8">
        <f t="shared" si="42"/>
        <v>120000</v>
      </c>
      <c r="L510" s="8">
        <f t="shared" si="43"/>
        <v>6000</v>
      </c>
      <c r="M510" s="8">
        <f t="shared" si="44"/>
        <v>114000</v>
      </c>
      <c r="N510" s="5">
        <v>84000</v>
      </c>
      <c r="O510" s="8">
        <f t="shared" si="45"/>
        <v>198000</v>
      </c>
      <c r="P510" s="2" t="s">
        <v>63</v>
      </c>
      <c r="Q510" s="10" t="str">
        <f>VLOOKUP(A510,Status!A:B,2,0)</f>
        <v>Completed</v>
      </c>
      <c r="R510" s="2" t="s">
        <v>82</v>
      </c>
      <c r="S510" s="2">
        <v>5</v>
      </c>
      <c r="T510" s="2" t="s">
        <v>24</v>
      </c>
      <c r="U510" s="10" t="str">
        <f t="shared" si="47"/>
        <v>Apr</v>
      </c>
      <c r="V510" s="10">
        <f t="shared" si="46"/>
        <v>2025</v>
      </c>
      <c r="W510" t="e" cm="1">
        <f t="array" ref="W510">_xlfn.IFS(U510="January",1,U510="February",2,U510="March",3,U510="April",4,U510="May",5,U510="June",6,U510="July",7,U510="August",8,U510="September",9,U510="October",10,U510="November",11,U510="December",12)</f>
        <v>#N/A</v>
      </c>
    </row>
    <row r="511" spans="1:23" ht="15.75" customHeight="1" x14ac:dyDescent="0.25">
      <c r="A511" s="2" t="s">
        <v>1472</v>
      </c>
      <c r="B511" s="3">
        <v>45757.344097222223</v>
      </c>
      <c r="C511" s="2" t="s">
        <v>391</v>
      </c>
      <c r="D511" s="2" t="s">
        <v>122</v>
      </c>
      <c r="E511" s="2" t="s">
        <v>38</v>
      </c>
      <c r="F511" s="2" t="str" cm="1">
        <f t="array" ref="F511:G511">_xlfn.TEXTSPLIT(E511," - ")</f>
        <v>Telur Ayam</v>
      </c>
      <c r="G511" s="2" t="str">
        <v>Brand C</v>
      </c>
      <c r="H511" s="5">
        <v>28000</v>
      </c>
      <c r="I511" s="2">
        <v>3</v>
      </c>
      <c r="J511" s="2">
        <v>0</v>
      </c>
      <c r="K511" s="8">
        <f t="shared" si="42"/>
        <v>84000</v>
      </c>
      <c r="L511" s="8">
        <f t="shared" si="43"/>
        <v>0</v>
      </c>
      <c r="M511" s="8">
        <f t="shared" si="44"/>
        <v>84000</v>
      </c>
      <c r="N511" s="5">
        <v>78000</v>
      </c>
      <c r="O511" s="8">
        <f t="shared" si="45"/>
        <v>162000</v>
      </c>
      <c r="P511" s="2" t="s">
        <v>63</v>
      </c>
      <c r="Q511" s="10" t="str">
        <f>VLOOKUP(A511,Status!A:B,2,0)</f>
        <v>Completed</v>
      </c>
      <c r="R511" s="2" t="s">
        <v>46</v>
      </c>
      <c r="S511" s="2">
        <v>2</v>
      </c>
      <c r="T511" s="2" t="s">
        <v>24</v>
      </c>
      <c r="U511" s="10" t="str">
        <f t="shared" si="47"/>
        <v>Apr</v>
      </c>
      <c r="V511" s="10">
        <f t="shared" si="46"/>
        <v>2025</v>
      </c>
      <c r="W511" t="e" cm="1">
        <f t="array" ref="W511">_xlfn.IFS(U511="January",1,U511="February",2,U511="March",3,U511="April",4,U511="May",5,U511="June",6,U511="July",7,U511="August",8,U511="September",9,U511="October",10,U511="November",11,U511="December",12)</f>
        <v>#N/A</v>
      </c>
    </row>
    <row r="512" spans="1:23" ht="15.75" customHeight="1" x14ac:dyDescent="0.25">
      <c r="A512" s="2" t="s">
        <v>1473</v>
      </c>
      <c r="B512" s="3">
        <v>45757.552777777782</v>
      </c>
      <c r="C512" s="2" t="s">
        <v>355</v>
      </c>
      <c r="D512" s="2" t="s">
        <v>116</v>
      </c>
      <c r="E512" s="2" t="s">
        <v>144</v>
      </c>
      <c r="F512" s="2" t="str" cm="1">
        <f t="array" ref="F512:G512">_xlfn.TEXTSPLIT(E512," - ")</f>
        <v>Gula Pasir</v>
      </c>
      <c r="G512" s="2" t="str">
        <v>Brand C</v>
      </c>
      <c r="H512" s="5">
        <v>18000</v>
      </c>
      <c r="I512" s="2">
        <v>1</v>
      </c>
      <c r="J512" s="2">
        <v>20</v>
      </c>
      <c r="K512" s="8">
        <f t="shared" si="42"/>
        <v>18000</v>
      </c>
      <c r="L512" s="8">
        <f t="shared" si="43"/>
        <v>3600</v>
      </c>
      <c r="M512" s="8">
        <f t="shared" si="44"/>
        <v>14400</v>
      </c>
      <c r="N512" s="5">
        <v>72000</v>
      </c>
      <c r="O512" s="8">
        <f t="shared" si="45"/>
        <v>86400</v>
      </c>
      <c r="P512" s="2" t="s">
        <v>22</v>
      </c>
      <c r="Q512" s="10" t="str">
        <f>VLOOKUP(A512,Status!A:B,2,0)</f>
        <v>Completed</v>
      </c>
      <c r="R512" s="2" t="s">
        <v>30</v>
      </c>
      <c r="S512" s="2">
        <v>3</v>
      </c>
      <c r="T512" s="2" t="s">
        <v>24</v>
      </c>
      <c r="U512" s="10" t="str">
        <f t="shared" si="47"/>
        <v>Apr</v>
      </c>
      <c r="V512" s="10">
        <f t="shared" si="46"/>
        <v>2025</v>
      </c>
      <c r="W512" t="e" cm="1">
        <f t="array" ref="W512">_xlfn.IFS(U512="January",1,U512="February",2,U512="March",3,U512="April",4,U512="May",5,U512="June",6,U512="July",7,U512="August",8,U512="September",9,U512="October",10,U512="November",11,U512="December",12)</f>
        <v>#N/A</v>
      </c>
    </row>
    <row r="513" spans="1:23" ht="15.75" customHeight="1" x14ac:dyDescent="0.25">
      <c r="A513" s="2" t="s">
        <v>1474</v>
      </c>
      <c r="B513" s="3">
        <v>45757.577997685177</v>
      </c>
      <c r="C513" s="2" t="s">
        <v>681</v>
      </c>
      <c r="D513" s="2" t="s">
        <v>262</v>
      </c>
      <c r="E513" s="2" t="s">
        <v>110</v>
      </c>
      <c r="F513" s="2" t="str" cm="1">
        <f t="array" ref="F513:G513">_xlfn.TEXTSPLIT(E513," - ")</f>
        <v>Garam</v>
      </c>
      <c r="G513" s="2" t="str">
        <v>Brand C</v>
      </c>
      <c r="H513" s="5">
        <v>6000</v>
      </c>
      <c r="I513" s="2">
        <v>1</v>
      </c>
      <c r="J513" s="2">
        <v>15</v>
      </c>
      <c r="K513" s="8">
        <f t="shared" si="42"/>
        <v>6000</v>
      </c>
      <c r="L513" s="8">
        <f t="shared" si="43"/>
        <v>900</v>
      </c>
      <c r="M513" s="8">
        <f t="shared" si="44"/>
        <v>5100</v>
      </c>
      <c r="N513" s="5">
        <v>18000</v>
      </c>
      <c r="O513" s="8">
        <f t="shared" si="45"/>
        <v>23100</v>
      </c>
      <c r="P513" s="2" t="s">
        <v>35</v>
      </c>
      <c r="Q513" s="10" t="str">
        <f>VLOOKUP(A513,Status!A:B,2,0)</f>
        <v>Returned</v>
      </c>
      <c r="R513" s="2" t="s">
        <v>46</v>
      </c>
      <c r="S513" s="2">
        <v>3</v>
      </c>
      <c r="T513" s="2" t="s">
        <v>24</v>
      </c>
      <c r="U513" s="10" t="str">
        <f t="shared" si="47"/>
        <v>Apr</v>
      </c>
      <c r="V513" s="10">
        <f t="shared" si="46"/>
        <v>2025</v>
      </c>
      <c r="W513" t="e" cm="1">
        <f t="array" ref="W513">_xlfn.IFS(U513="January",1,U513="February",2,U513="March",3,U513="April",4,U513="May",5,U513="June",6,U513="July",7,U513="August",8,U513="September",9,U513="October",10,U513="November",11,U513="December",12)</f>
        <v>#N/A</v>
      </c>
    </row>
    <row r="514" spans="1:23" ht="15.75" customHeight="1" x14ac:dyDescent="0.25">
      <c r="A514" s="2" t="s">
        <v>1475</v>
      </c>
      <c r="B514" s="3">
        <v>45757.587118055562</v>
      </c>
      <c r="C514" s="2" t="s">
        <v>1445</v>
      </c>
      <c r="D514" s="2" t="s">
        <v>296</v>
      </c>
      <c r="E514" s="2" t="s">
        <v>144</v>
      </c>
      <c r="F514" s="2" t="str" cm="1">
        <f t="array" ref="F514:G514">_xlfn.TEXTSPLIT(E514," - ")</f>
        <v>Gula Pasir</v>
      </c>
      <c r="G514" s="2" t="str">
        <v>Brand C</v>
      </c>
      <c r="H514" s="5">
        <v>18000</v>
      </c>
      <c r="I514" s="2">
        <v>1</v>
      </c>
      <c r="J514" s="2">
        <v>20</v>
      </c>
      <c r="K514" s="8">
        <f t="shared" ref="K514:K577" si="48">H514*I514</f>
        <v>18000</v>
      </c>
      <c r="L514" s="8">
        <f t="shared" ref="L514:L577" si="49">K514*J514%</f>
        <v>3600</v>
      </c>
      <c r="M514" s="8">
        <f t="shared" ref="M514:M577" si="50">K514-L514</f>
        <v>14400</v>
      </c>
      <c r="N514" s="5">
        <v>79000</v>
      </c>
      <c r="O514" s="8">
        <f t="shared" ref="O514:O577" si="51">M514+N514</f>
        <v>93400</v>
      </c>
      <c r="P514" s="2" t="s">
        <v>29</v>
      </c>
      <c r="Q514" s="10" t="str">
        <f>VLOOKUP(A514,Status!A:B,2,0)</f>
        <v>Completed</v>
      </c>
      <c r="R514" s="2" t="s">
        <v>36</v>
      </c>
      <c r="S514" s="2">
        <v>2</v>
      </c>
      <c r="T514" s="2" t="s">
        <v>37</v>
      </c>
      <c r="U514" s="10" t="str">
        <f t="shared" si="47"/>
        <v>Apr</v>
      </c>
      <c r="V514" s="10">
        <f t="shared" ref="V514:V577" si="52">YEAR(B514)</f>
        <v>2025</v>
      </c>
      <c r="W514" t="e" cm="1">
        <f t="array" ref="W514">_xlfn.IFS(U514="January",1,U514="February",2,U514="March",3,U514="April",4,U514="May",5,U514="June",6,U514="July",7,U514="August",8,U514="September",9,U514="October",10,U514="November",11,U514="December",12)</f>
        <v>#N/A</v>
      </c>
    </row>
    <row r="515" spans="1:23" ht="15.75" customHeight="1" x14ac:dyDescent="0.25">
      <c r="A515" s="2" t="s">
        <v>1476</v>
      </c>
      <c r="B515" s="3">
        <v>45757.787037037036</v>
      </c>
      <c r="C515" s="2" t="s">
        <v>361</v>
      </c>
      <c r="D515" s="2" t="s">
        <v>70</v>
      </c>
      <c r="E515" s="2" t="s">
        <v>71</v>
      </c>
      <c r="F515" s="2" t="str" cm="1">
        <f t="array" ref="F515:G515">_xlfn.TEXTSPLIT(E515," - ")</f>
        <v>Bawang Merah</v>
      </c>
      <c r="G515" s="2" t="str">
        <v>Brand C</v>
      </c>
      <c r="H515" s="5">
        <v>40000</v>
      </c>
      <c r="I515" s="2">
        <v>2</v>
      </c>
      <c r="J515" s="2">
        <v>5</v>
      </c>
      <c r="K515" s="8">
        <f t="shared" si="48"/>
        <v>80000</v>
      </c>
      <c r="L515" s="8">
        <f t="shared" si="49"/>
        <v>4000</v>
      </c>
      <c r="M515" s="8">
        <f t="shared" si="50"/>
        <v>76000</v>
      </c>
      <c r="N515" s="5">
        <v>89000</v>
      </c>
      <c r="O515" s="8">
        <f t="shared" si="51"/>
        <v>165000</v>
      </c>
      <c r="P515" s="2" t="s">
        <v>22</v>
      </c>
      <c r="Q515" s="10" t="str">
        <f>VLOOKUP(A515,Status!A:B,2,0)</f>
        <v>Cancelled</v>
      </c>
      <c r="R515" s="2" t="s">
        <v>23</v>
      </c>
      <c r="S515" s="2">
        <v>1</v>
      </c>
      <c r="T515" s="2" t="s">
        <v>37</v>
      </c>
      <c r="U515" s="10" t="str">
        <f t="shared" ref="U515:U578" si="53">TEXT(B515,"MMM")</f>
        <v>Apr</v>
      </c>
      <c r="V515" s="10">
        <f t="shared" si="52"/>
        <v>2025</v>
      </c>
      <c r="W515" t="e" cm="1">
        <f t="array" ref="W515">_xlfn.IFS(U515="January",1,U515="February",2,U515="March",3,U515="April",4,U515="May",5,U515="June",6,U515="July",7,U515="August",8,U515="September",9,U515="October",10,U515="November",11,U515="December",12)</f>
        <v>#N/A</v>
      </c>
    </row>
    <row r="516" spans="1:23" ht="15.75" customHeight="1" x14ac:dyDescent="0.25">
      <c r="A516" s="2" t="s">
        <v>1477</v>
      </c>
      <c r="B516" s="3">
        <v>45757.930636574078</v>
      </c>
      <c r="C516" s="2" t="s">
        <v>95</v>
      </c>
      <c r="D516" s="2" t="s">
        <v>96</v>
      </c>
      <c r="E516" s="2" t="s">
        <v>93</v>
      </c>
      <c r="F516" s="2" t="str" cm="1">
        <f t="array" ref="F516:G516">_xlfn.TEXTSPLIT(E516," - ")</f>
        <v>Telur Ayam</v>
      </c>
      <c r="G516" s="2" t="str">
        <v>Brand B</v>
      </c>
      <c r="H516" s="5">
        <v>25000</v>
      </c>
      <c r="I516" s="2">
        <v>4</v>
      </c>
      <c r="J516" s="2">
        <v>5</v>
      </c>
      <c r="K516" s="8">
        <f t="shared" si="48"/>
        <v>100000</v>
      </c>
      <c r="L516" s="8">
        <f t="shared" si="49"/>
        <v>5000</v>
      </c>
      <c r="M516" s="8">
        <f t="shared" si="50"/>
        <v>95000</v>
      </c>
      <c r="N516" s="5">
        <v>49000</v>
      </c>
      <c r="O516" s="8">
        <f t="shared" si="51"/>
        <v>144000</v>
      </c>
      <c r="P516" s="2" t="s">
        <v>63</v>
      </c>
      <c r="Q516" s="10" t="str">
        <f>VLOOKUP(A516,Status!A:B,2,0)</f>
        <v>Completed</v>
      </c>
      <c r="R516" s="2" t="s">
        <v>23</v>
      </c>
      <c r="S516" s="2">
        <v>1</v>
      </c>
      <c r="T516" s="2" t="s">
        <v>24</v>
      </c>
      <c r="U516" s="10" t="str">
        <f t="shared" si="53"/>
        <v>Apr</v>
      </c>
      <c r="V516" s="10">
        <f t="shared" si="52"/>
        <v>2025</v>
      </c>
      <c r="W516" t="e" cm="1">
        <f t="array" ref="W516">_xlfn.IFS(U516="January",1,U516="February",2,U516="March",3,U516="April",4,U516="May",5,U516="June",6,U516="July",7,U516="August",8,U516="September",9,U516="October",10,U516="November",11,U516="December",12)</f>
        <v>#N/A</v>
      </c>
    </row>
    <row r="517" spans="1:23" ht="15.75" customHeight="1" x14ac:dyDescent="0.25">
      <c r="A517" s="2" t="s">
        <v>1478</v>
      </c>
      <c r="B517" s="3">
        <v>45758.120034722233</v>
      </c>
      <c r="C517" s="2" t="s">
        <v>159</v>
      </c>
      <c r="D517" s="2" t="s">
        <v>160</v>
      </c>
      <c r="E517" s="2" t="s">
        <v>34</v>
      </c>
      <c r="F517" s="2" t="str" cm="1">
        <f t="array" ref="F517:G517">_xlfn.TEXTSPLIT(E517," - ")</f>
        <v>Minyak Goreng</v>
      </c>
      <c r="G517" s="2" t="str">
        <v>Brand A</v>
      </c>
      <c r="H517" s="5">
        <v>16000</v>
      </c>
      <c r="I517" s="2">
        <v>1</v>
      </c>
      <c r="J517" s="2">
        <v>10</v>
      </c>
      <c r="K517" s="8">
        <f t="shared" si="48"/>
        <v>16000</v>
      </c>
      <c r="L517" s="8">
        <f t="shared" si="49"/>
        <v>1600</v>
      </c>
      <c r="M517" s="8">
        <f t="shared" si="50"/>
        <v>14400</v>
      </c>
      <c r="N517" s="5">
        <v>68000</v>
      </c>
      <c r="O517" s="8">
        <f t="shared" si="51"/>
        <v>82400</v>
      </c>
      <c r="P517" s="2" t="s">
        <v>63</v>
      </c>
      <c r="Q517" s="10" t="str">
        <f>VLOOKUP(A517,Status!A:B,2,0)</f>
        <v>Completed</v>
      </c>
      <c r="R517" s="2" t="s">
        <v>30</v>
      </c>
      <c r="S517" s="2">
        <v>3</v>
      </c>
      <c r="T517" s="2" t="s">
        <v>24</v>
      </c>
      <c r="U517" s="10" t="str">
        <f t="shared" si="53"/>
        <v>Apr</v>
      </c>
      <c r="V517" s="10">
        <f t="shared" si="52"/>
        <v>2025</v>
      </c>
      <c r="W517" t="e" cm="1">
        <f t="array" ref="W517">_xlfn.IFS(U517="January",1,U517="February",2,U517="March",3,U517="April",4,U517="May",5,U517="June",6,U517="July",7,U517="August",8,U517="September",9,U517="October",10,U517="November",11,U517="December",12)</f>
        <v>#N/A</v>
      </c>
    </row>
    <row r="518" spans="1:23" ht="15.75" customHeight="1" x14ac:dyDescent="0.25">
      <c r="A518" s="2" t="s">
        <v>1479</v>
      </c>
      <c r="B518" s="3">
        <v>45758.285497685189</v>
      </c>
      <c r="C518" s="2" t="s">
        <v>741</v>
      </c>
      <c r="D518" s="2" t="s">
        <v>189</v>
      </c>
      <c r="E518" s="2" t="s">
        <v>58</v>
      </c>
      <c r="F518" s="2" t="str" cm="1">
        <f t="array" ref="F518:G518">_xlfn.TEXTSPLIT(E518," - ")</f>
        <v>Gula Pasir</v>
      </c>
      <c r="G518" s="2" t="str">
        <v>Brand A</v>
      </c>
      <c r="H518" s="5">
        <v>16000</v>
      </c>
      <c r="I518" s="2">
        <v>4</v>
      </c>
      <c r="J518" s="2">
        <v>20</v>
      </c>
      <c r="K518" s="8">
        <f t="shared" si="48"/>
        <v>64000</v>
      </c>
      <c r="L518" s="8">
        <f t="shared" si="49"/>
        <v>12800</v>
      </c>
      <c r="M518" s="8">
        <f t="shared" si="50"/>
        <v>51200</v>
      </c>
      <c r="N518" s="5">
        <v>57000</v>
      </c>
      <c r="O518" s="8">
        <f t="shared" si="51"/>
        <v>108200</v>
      </c>
      <c r="P518" s="2" t="s">
        <v>22</v>
      </c>
      <c r="Q518" s="10" t="str">
        <f>VLOOKUP(A518,Status!A:B,2,0)</f>
        <v>Completed</v>
      </c>
      <c r="R518" s="2" t="s">
        <v>46</v>
      </c>
      <c r="S518" s="2">
        <v>3</v>
      </c>
      <c r="T518" s="2" t="s">
        <v>24</v>
      </c>
      <c r="U518" s="10" t="str">
        <f t="shared" si="53"/>
        <v>Apr</v>
      </c>
      <c r="V518" s="10">
        <f t="shared" si="52"/>
        <v>2025</v>
      </c>
      <c r="W518" t="e" cm="1">
        <f t="array" ref="W518">_xlfn.IFS(U518="January",1,U518="February",2,U518="March",3,U518="April",4,U518="May",5,U518="June",6,U518="July",7,U518="August",8,U518="September",9,U518="October",10,U518="November",11,U518="December",12)</f>
        <v>#N/A</v>
      </c>
    </row>
    <row r="519" spans="1:23" ht="15.75" customHeight="1" x14ac:dyDescent="0.25">
      <c r="A519" s="2" t="s">
        <v>1480</v>
      </c>
      <c r="B519" s="3">
        <v>45758.358599537038</v>
      </c>
      <c r="C519" s="2" t="s">
        <v>449</v>
      </c>
      <c r="D519" s="2" t="s">
        <v>151</v>
      </c>
      <c r="E519" s="2" t="s">
        <v>28</v>
      </c>
      <c r="F519" s="2" t="str" cm="1">
        <f t="array" ref="F519:G519">_xlfn.TEXTSPLIT(E519," - ")</f>
        <v>Garam</v>
      </c>
      <c r="G519" s="2" t="str">
        <v>Brand B</v>
      </c>
      <c r="H519" s="5">
        <v>5000</v>
      </c>
      <c r="I519" s="2">
        <v>4</v>
      </c>
      <c r="J519" s="2">
        <v>15</v>
      </c>
      <c r="K519" s="8">
        <f t="shared" si="48"/>
        <v>20000</v>
      </c>
      <c r="L519" s="8">
        <f t="shared" si="49"/>
        <v>3000</v>
      </c>
      <c r="M519" s="8">
        <f t="shared" si="50"/>
        <v>17000</v>
      </c>
      <c r="N519" s="5">
        <v>55000</v>
      </c>
      <c r="O519" s="8">
        <f t="shared" si="51"/>
        <v>72000</v>
      </c>
      <c r="P519" s="2" t="s">
        <v>22</v>
      </c>
      <c r="Q519" s="10" t="str">
        <f>VLOOKUP(A519,Status!A:B,2,0)</f>
        <v>Completed</v>
      </c>
      <c r="R519" s="2" t="s">
        <v>46</v>
      </c>
      <c r="S519" s="2">
        <v>2</v>
      </c>
      <c r="T519" s="2" t="s">
        <v>24</v>
      </c>
      <c r="U519" s="10" t="str">
        <f t="shared" si="53"/>
        <v>Apr</v>
      </c>
      <c r="V519" s="10">
        <f t="shared" si="52"/>
        <v>2025</v>
      </c>
      <c r="W519" t="e" cm="1">
        <f t="array" ref="W519">_xlfn.IFS(U519="January",1,U519="February",2,U519="March",3,U519="April",4,U519="May",5,U519="June",6,U519="July",7,U519="August",8,U519="September",9,U519="October",10,U519="November",11,U519="December",12)</f>
        <v>#N/A</v>
      </c>
    </row>
    <row r="520" spans="1:23" ht="15.75" customHeight="1" x14ac:dyDescent="0.25">
      <c r="A520" s="2" t="s">
        <v>1481</v>
      </c>
      <c r="B520" s="3">
        <v>45758.379479166673</v>
      </c>
      <c r="C520" s="2" t="s">
        <v>271</v>
      </c>
      <c r="D520" s="2" t="s">
        <v>49</v>
      </c>
      <c r="E520" s="2" t="s">
        <v>41</v>
      </c>
      <c r="F520" s="2" t="str" cm="1">
        <f t="array" ref="F520:G520">_xlfn.TEXTSPLIT(E520," - ")</f>
        <v>Garam</v>
      </c>
      <c r="G520" s="2" t="str">
        <v>Brand A</v>
      </c>
      <c r="H520" s="5">
        <v>4000</v>
      </c>
      <c r="I520" s="2">
        <v>4</v>
      </c>
      <c r="J520" s="2">
        <v>10</v>
      </c>
      <c r="K520" s="8">
        <f t="shared" si="48"/>
        <v>16000</v>
      </c>
      <c r="L520" s="8">
        <f t="shared" si="49"/>
        <v>1600</v>
      </c>
      <c r="M520" s="8">
        <f t="shared" si="50"/>
        <v>14400</v>
      </c>
      <c r="N520" s="5">
        <v>43000</v>
      </c>
      <c r="O520" s="8">
        <f t="shared" si="51"/>
        <v>57400</v>
      </c>
      <c r="P520" s="2" t="s">
        <v>22</v>
      </c>
      <c r="Q520" s="10" t="str">
        <f>VLOOKUP(A520,Status!A:B,2,0)</f>
        <v>Returned</v>
      </c>
      <c r="R520" s="2" t="s">
        <v>23</v>
      </c>
      <c r="S520" s="2">
        <v>2</v>
      </c>
      <c r="T520" s="2" t="s">
        <v>24</v>
      </c>
      <c r="U520" s="10" t="str">
        <f t="shared" si="53"/>
        <v>Apr</v>
      </c>
      <c r="V520" s="10">
        <f t="shared" si="52"/>
        <v>2025</v>
      </c>
      <c r="W520" t="e" cm="1">
        <f t="array" ref="W520">_xlfn.IFS(U520="January",1,U520="February",2,U520="March",3,U520="April",4,U520="May",5,U520="June",6,U520="July",7,U520="August",8,U520="September",9,U520="October",10,U520="November",11,U520="December",12)</f>
        <v>#N/A</v>
      </c>
    </row>
    <row r="521" spans="1:23" ht="15.75" customHeight="1" x14ac:dyDescent="0.25">
      <c r="A521" s="2" t="s">
        <v>1482</v>
      </c>
      <c r="B521" s="3">
        <v>45758.631840277783</v>
      </c>
      <c r="C521" s="2" t="s">
        <v>804</v>
      </c>
      <c r="D521" s="2" t="s">
        <v>49</v>
      </c>
      <c r="E521" s="2" t="s">
        <v>58</v>
      </c>
      <c r="F521" s="2" t="str" cm="1">
        <f t="array" ref="F521:G521">_xlfn.TEXTSPLIT(E521," - ")</f>
        <v>Gula Pasir</v>
      </c>
      <c r="G521" s="2" t="str">
        <v>Brand A</v>
      </c>
      <c r="H521" s="5">
        <v>16000</v>
      </c>
      <c r="I521" s="2">
        <v>1</v>
      </c>
      <c r="J521" s="2">
        <v>5</v>
      </c>
      <c r="K521" s="8">
        <f t="shared" si="48"/>
        <v>16000</v>
      </c>
      <c r="L521" s="8">
        <f t="shared" si="49"/>
        <v>800</v>
      </c>
      <c r="M521" s="8">
        <f t="shared" si="50"/>
        <v>15200</v>
      </c>
      <c r="N521" s="5">
        <v>43000</v>
      </c>
      <c r="O521" s="8">
        <f t="shared" si="51"/>
        <v>58200</v>
      </c>
      <c r="P521" s="2" t="s">
        <v>22</v>
      </c>
      <c r="Q521" s="10" t="str">
        <f>VLOOKUP(A521,Status!A:B,2,0)</f>
        <v>Completed</v>
      </c>
      <c r="R521" s="2" t="s">
        <v>36</v>
      </c>
      <c r="S521" s="2">
        <v>3</v>
      </c>
      <c r="T521" s="2" t="s">
        <v>24</v>
      </c>
      <c r="U521" s="10" t="str">
        <f t="shared" si="53"/>
        <v>Apr</v>
      </c>
      <c r="V521" s="10">
        <f t="shared" si="52"/>
        <v>2025</v>
      </c>
      <c r="W521" t="e" cm="1">
        <f t="array" ref="W521">_xlfn.IFS(U521="January",1,U521="February",2,U521="March",3,U521="April",4,U521="May",5,U521="June",6,U521="July",7,U521="August",8,U521="September",9,U521="October",10,U521="November",11,U521="December",12)</f>
        <v>#N/A</v>
      </c>
    </row>
    <row r="522" spans="1:23" ht="15.75" customHeight="1" x14ac:dyDescent="0.25">
      <c r="A522" s="2" t="s">
        <v>1483</v>
      </c>
      <c r="B522" s="3">
        <v>45758.780046296299</v>
      </c>
      <c r="C522" s="2" t="s">
        <v>214</v>
      </c>
      <c r="D522" s="2" t="s">
        <v>131</v>
      </c>
      <c r="E522" s="2" t="s">
        <v>50</v>
      </c>
      <c r="F522" s="2" t="str" cm="1">
        <f t="array" ref="F522:G522">_xlfn.TEXTSPLIT(E522," - ")</f>
        <v>Tepung Terigu</v>
      </c>
      <c r="G522" s="2" t="str">
        <v>Brand C</v>
      </c>
      <c r="H522" s="5">
        <v>14000</v>
      </c>
      <c r="I522" s="2">
        <v>2</v>
      </c>
      <c r="J522" s="2">
        <v>20</v>
      </c>
      <c r="K522" s="8">
        <f t="shared" si="48"/>
        <v>28000</v>
      </c>
      <c r="L522" s="8">
        <f t="shared" si="49"/>
        <v>5600</v>
      </c>
      <c r="M522" s="8">
        <f t="shared" si="50"/>
        <v>22400</v>
      </c>
      <c r="N522" s="5">
        <v>59000</v>
      </c>
      <c r="O522" s="8">
        <f t="shared" si="51"/>
        <v>81400</v>
      </c>
      <c r="P522" s="2" t="s">
        <v>22</v>
      </c>
      <c r="Q522" s="10" t="str">
        <f>VLOOKUP(A522,Status!A:B,2,0)</f>
        <v>Returned</v>
      </c>
      <c r="R522" s="2" t="s">
        <v>82</v>
      </c>
      <c r="S522" s="2">
        <v>5</v>
      </c>
      <c r="T522" s="2" t="s">
        <v>24</v>
      </c>
      <c r="U522" s="10" t="str">
        <f t="shared" si="53"/>
        <v>Apr</v>
      </c>
      <c r="V522" s="10">
        <f t="shared" si="52"/>
        <v>2025</v>
      </c>
      <c r="W522" t="e" cm="1">
        <f t="array" ref="W522">_xlfn.IFS(U522="January",1,U522="February",2,U522="March",3,U522="April",4,U522="May",5,U522="June",6,U522="July",7,U522="August",8,U522="September",9,U522="October",10,U522="November",11,U522="December",12)</f>
        <v>#N/A</v>
      </c>
    </row>
    <row r="523" spans="1:23" ht="15.75" customHeight="1" x14ac:dyDescent="0.25">
      <c r="A523" s="2" t="s">
        <v>1484</v>
      </c>
      <c r="B523" s="3">
        <v>45758.829409722217</v>
      </c>
      <c r="C523" s="2" t="s">
        <v>525</v>
      </c>
      <c r="D523" s="2" t="s">
        <v>96</v>
      </c>
      <c r="E523" s="2" t="s">
        <v>250</v>
      </c>
      <c r="F523" s="2" t="str" cm="1">
        <f t="array" ref="F523:G523">_xlfn.TEXTSPLIT(E523," - ")</f>
        <v>Minyak Goreng</v>
      </c>
      <c r="G523" s="2" t="str">
        <v>Brand C</v>
      </c>
      <c r="H523" s="5">
        <v>18000</v>
      </c>
      <c r="I523" s="2">
        <v>1</v>
      </c>
      <c r="J523" s="2">
        <v>20</v>
      </c>
      <c r="K523" s="8">
        <f t="shared" si="48"/>
        <v>18000</v>
      </c>
      <c r="L523" s="8">
        <f t="shared" si="49"/>
        <v>3600</v>
      </c>
      <c r="M523" s="8">
        <f t="shared" si="50"/>
        <v>14400</v>
      </c>
      <c r="N523" s="5">
        <v>49000</v>
      </c>
      <c r="O523" s="8">
        <f t="shared" si="51"/>
        <v>63400</v>
      </c>
      <c r="P523" s="2" t="s">
        <v>22</v>
      </c>
      <c r="Q523" s="10" t="str">
        <f>VLOOKUP(A523,Status!A:B,2,0)</f>
        <v>Completed</v>
      </c>
      <c r="R523" s="2" t="s">
        <v>36</v>
      </c>
      <c r="S523" s="2">
        <v>3</v>
      </c>
      <c r="T523" s="2" t="s">
        <v>24</v>
      </c>
      <c r="U523" s="10" t="str">
        <f t="shared" si="53"/>
        <v>Apr</v>
      </c>
      <c r="V523" s="10">
        <f t="shared" si="52"/>
        <v>2025</v>
      </c>
      <c r="W523" t="e" cm="1">
        <f t="array" ref="W523">_xlfn.IFS(U523="January",1,U523="February",2,U523="March",3,U523="April",4,U523="May",5,U523="June",6,U523="July",7,U523="August",8,U523="September",9,U523="October",10,U523="November",11,U523="December",12)</f>
        <v>#N/A</v>
      </c>
    </row>
    <row r="524" spans="1:23" ht="15.75" customHeight="1" x14ac:dyDescent="0.25">
      <c r="A524" s="2" t="s">
        <v>1485</v>
      </c>
      <c r="B524" s="3">
        <v>45759.326747685183</v>
      </c>
      <c r="C524" s="2" t="s">
        <v>416</v>
      </c>
      <c r="D524" s="2" t="s">
        <v>131</v>
      </c>
      <c r="E524" s="2" t="s">
        <v>50</v>
      </c>
      <c r="F524" s="2" t="str" cm="1">
        <f t="array" ref="F524:G524">_xlfn.TEXTSPLIT(E524," - ")</f>
        <v>Tepung Terigu</v>
      </c>
      <c r="G524" s="2" t="str">
        <v>Brand C</v>
      </c>
      <c r="H524" s="5">
        <v>14000</v>
      </c>
      <c r="I524" s="2">
        <v>4</v>
      </c>
      <c r="J524" s="2">
        <v>5</v>
      </c>
      <c r="K524" s="8">
        <f t="shared" si="48"/>
        <v>56000</v>
      </c>
      <c r="L524" s="8">
        <f t="shared" si="49"/>
        <v>2800</v>
      </c>
      <c r="M524" s="8">
        <f t="shared" si="50"/>
        <v>53200</v>
      </c>
      <c r="N524" s="5">
        <v>59000</v>
      </c>
      <c r="O524" s="8">
        <f t="shared" si="51"/>
        <v>112200</v>
      </c>
      <c r="P524" s="2" t="s">
        <v>29</v>
      </c>
      <c r="Q524" s="10" t="str">
        <f>VLOOKUP(A524,Status!A:B,2,0)</f>
        <v>Completed</v>
      </c>
      <c r="R524" s="2" t="s">
        <v>82</v>
      </c>
      <c r="S524" s="2">
        <v>3</v>
      </c>
      <c r="T524" s="2" t="s">
        <v>24</v>
      </c>
      <c r="U524" s="10" t="str">
        <f t="shared" si="53"/>
        <v>Apr</v>
      </c>
      <c r="V524" s="10">
        <f t="shared" si="52"/>
        <v>2025</v>
      </c>
      <c r="W524" t="e" cm="1">
        <f t="array" ref="W524">_xlfn.IFS(U524="January",1,U524="February",2,U524="March",3,U524="April",4,U524="May",5,U524="June",6,U524="July",7,U524="August",8,U524="September",9,U524="October",10,U524="November",11,U524="December",12)</f>
        <v>#N/A</v>
      </c>
    </row>
    <row r="525" spans="1:23" ht="15.75" customHeight="1" x14ac:dyDescent="0.25">
      <c r="A525" s="2" t="s">
        <v>1486</v>
      </c>
      <c r="B525" s="3">
        <v>45759.435787037037</v>
      </c>
      <c r="C525" s="2" t="s">
        <v>207</v>
      </c>
      <c r="D525" s="2" t="s">
        <v>96</v>
      </c>
      <c r="E525" s="2" t="s">
        <v>144</v>
      </c>
      <c r="F525" s="2" t="str" cm="1">
        <f t="array" ref="F525:G525">_xlfn.TEXTSPLIT(E525," - ")</f>
        <v>Gula Pasir</v>
      </c>
      <c r="G525" s="2" t="str">
        <v>Brand C</v>
      </c>
      <c r="H525" s="5">
        <v>18000</v>
      </c>
      <c r="I525" s="2">
        <v>1</v>
      </c>
      <c r="J525" s="2">
        <v>5</v>
      </c>
      <c r="K525" s="8">
        <f t="shared" si="48"/>
        <v>18000</v>
      </c>
      <c r="L525" s="8">
        <f t="shared" si="49"/>
        <v>900</v>
      </c>
      <c r="M525" s="8">
        <f t="shared" si="50"/>
        <v>17100</v>
      </c>
      <c r="N525" s="5">
        <v>49000</v>
      </c>
      <c r="O525" s="8">
        <f t="shared" si="51"/>
        <v>66100</v>
      </c>
      <c r="P525" s="2" t="s">
        <v>22</v>
      </c>
      <c r="Q525" s="10" t="str">
        <f>VLOOKUP(A525,Status!A:B,2,0)</f>
        <v>Cancelled</v>
      </c>
      <c r="R525" s="2" t="s">
        <v>36</v>
      </c>
      <c r="S525" s="2">
        <v>4</v>
      </c>
      <c r="T525" s="2" t="s">
        <v>24</v>
      </c>
      <c r="U525" s="10" t="str">
        <f t="shared" si="53"/>
        <v>Apr</v>
      </c>
      <c r="V525" s="10">
        <f t="shared" si="52"/>
        <v>2025</v>
      </c>
      <c r="W525" t="e" cm="1">
        <f t="array" ref="W525">_xlfn.IFS(U525="January",1,U525="February",2,U525="March",3,U525="April",4,U525="May",5,U525="June",6,U525="July",7,U525="August",8,U525="September",9,U525="October",10,U525="November",11,U525="December",12)</f>
        <v>#N/A</v>
      </c>
    </row>
    <row r="526" spans="1:23" ht="15.75" customHeight="1" x14ac:dyDescent="0.25">
      <c r="A526" s="2" t="s">
        <v>1486</v>
      </c>
      <c r="B526" s="3">
        <v>45759.435787037037</v>
      </c>
      <c r="C526" s="2" t="s">
        <v>207</v>
      </c>
      <c r="D526" s="2" t="s">
        <v>96</v>
      </c>
      <c r="E526" s="2" t="s">
        <v>50</v>
      </c>
      <c r="F526" s="2" t="str" cm="1">
        <f t="array" ref="F526:G526">_xlfn.TEXTSPLIT(E526," - ")</f>
        <v>Tepung Terigu</v>
      </c>
      <c r="G526" s="2" t="str">
        <v>Brand C</v>
      </c>
      <c r="H526" s="5">
        <v>14000</v>
      </c>
      <c r="I526" s="2">
        <v>4</v>
      </c>
      <c r="J526" s="2">
        <v>5</v>
      </c>
      <c r="K526" s="8">
        <f t="shared" si="48"/>
        <v>56000</v>
      </c>
      <c r="L526" s="8">
        <f t="shared" si="49"/>
        <v>2800</v>
      </c>
      <c r="M526" s="8">
        <f t="shared" si="50"/>
        <v>53200</v>
      </c>
      <c r="N526" s="5">
        <v>0</v>
      </c>
      <c r="O526" s="8">
        <f t="shared" si="51"/>
        <v>53200</v>
      </c>
      <c r="P526" s="2" t="s">
        <v>22</v>
      </c>
      <c r="Q526" s="10" t="str">
        <f>VLOOKUP(A526,Status!A:B,2,0)</f>
        <v>Cancelled</v>
      </c>
      <c r="R526" s="2" t="s">
        <v>36</v>
      </c>
      <c r="S526" s="2">
        <v>4</v>
      </c>
      <c r="T526" s="2" t="s">
        <v>24</v>
      </c>
      <c r="U526" s="10" t="str">
        <f t="shared" si="53"/>
        <v>Apr</v>
      </c>
      <c r="V526" s="10">
        <f t="shared" si="52"/>
        <v>2025</v>
      </c>
      <c r="W526" t="e" cm="1">
        <f t="array" ref="W526">_xlfn.IFS(U526="January",1,U526="February",2,U526="March",3,U526="April",4,U526="May",5,U526="June",6,U526="July",7,U526="August",8,U526="September",9,U526="October",10,U526="November",11,U526="December",12)</f>
        <v>#N/A</v>
      </c>
    </row>
    <row r="527" spans="1:23" ht="15.75" customHeight="1" x14ac:dyDescent="0.25">
      <c r="A527" s="2" t="s">
        <v>1487</v>
      </c>
      <c r="B527" s="3">
        <v>45759.465162037042</v>
      </c>
      <c r="C527" s="2" t="s">
        <v>128</v>
      </c>
      <c r="D527" s="2" t="s">
        <v>103</v>
      </c>
      <c r="E527" s="2" t="s">
        <v>45</v>
      </c>
      <c r="F527" s="2" t="str" cm="1">
        <f t="array" ref="F527:G527">_xlfn.TEXTSPLIT(E527," - ")</f>
        <v>Daging Ayam</v>
      </c>
      <c r="G527" s="2" t="str">
        <v>Brand B</v>
      </c>
      <c r="H527" s="5">
        <v>40000</v>
      </c>
      <c r="I527" s="2">
        <v>4</v>
      </c>
      <c r="J527" s="2">
        <v>0</v>
      </c>
      <c r="K527" s="8">
        <f t="shared" si="48"/>
        <v>160000</v>
      </c>
      <c r="L527" s="8">
        <f t="shared" si="49"/>
        <v>0</v>
      </c>
      <c r="M527" s="8">
        <f t="shared" si="50"/>
        <v>160000</v>
      </c>
      <c r="N527" s="5">
        <v>85000</v>
      </c>
      <c r="O527" s="8">
        <f t="shared" si="51"/>
        <v>245000</v>
      </c>
      <c r="P527" s="2" t="s">
        <v>29</v>
      </c>
      <c r="Q527" s="10" t="str">
        <f>VLOOKUP(A527,Status!A:B,2,0)</f>
        <v>Completed</v>
      </c>
      <c r="R527" s="2" t="s">
        <v>46</v>
      </c>
      <c r="S527" s="2">
        <v>4</v>
      </c>
      <c r="T527" s="2" t="s">
        <v>37</v>
      </c>
      <c r="U527" s="10" t="str">
        <f t="shared" si="53"/>
        <v>Apr</v>
      </c>
      <c r="V527" s="10">
        <f t="shared" si="52"/>
        <v>2025</v>
      </c>
      <c r="W527" t="e" cm="1">
        <f t="array" ref="W527">_xlfn.IFS(U527="January",1,U527="February",2,U527="March",3,U527="April",4,U527="May",5,U527="June",6,U527="July",7,U527="August",8,U527="September",9,U527="October",10,U527="November",11,U527="December",12)</f>
        <v>#N/A</v>
      </c>
    </row>
    <row r="528" spans="1:23" ht="15.75" customHeight="1" x14ac:dyDescent="0.25">
      <c r="A528" s="2" t="s">
        <v>1488</v>
      </c>
      <c r="B528" s="3">
        <v>45759.633217592593</v>
      </c>
      <c r="C528" s="2" t="s">
        <v>1128</v>
      </c>
      <c r="D528" s="2" t="s">
        <v>113</v>
      </c>
      <c r="E528" s="2" t="s">
        <v>138</v>
      </c>
      <c r="F528" s="2" t="str" cm="1">
        <f t="array" ref="F528:G528">_xlfn.TEXTSPLIT(E528," - ")</f>
        <v>Gula Pasir</v>
      </c>
      <c r="G528" s="2" t="str">
        <v>Brand B</v>
      </c>
      <c r="H528" s="5">
        <v>17000</v>
      </c>
      <c r="I528" s="2">
        <v>5</v>
      </c>
      <c r="J528" s="2">
        <v>20</v>
      </c>
      <c r="K528" s="8">
        <f t="shared" si="48"/>
        <v>85000</v>
      </c>
      <c r="L528" s="8">
        <f t="shared" si="49"/>
        <v>17000</v>
      </c>
      <c r="M528" s="8">
        <f t="shared" si="50"/>
        <v>68000</v>
      </c>
      <c r="N528" s="5">
        <v>18000</v>
      </c>
      <c r="O528" s="8">
        <f t="shared" si="51"/>
        <v>86000</v>
      </c>
      <c r="P528" s="2" t="s">
        <v>63</v>
      </c>
      <c r="Q528" s="10" t="str">
        <f>VLOOKUP(A528,Status!A:B,2,0)</f>
        <v>Completed</v>
      </c>
      <c r="R528" s="2" t="s">
        <v>82</v>
      </c>
      <c r="S528" s="2">
        <v>3</v>
      </c>
      <c r="T528" s="2" t="s">
        <v>24</v>
      </c>
      <c r="U528" s="10" t="str">
        <f t="shared" si="53"/>
        <v>Apr</v>
      </c>
      <c r="V528" s="10">
        <f t="shared" si="52"/>
        <v>2025</v>
      </c>
      <c r="W528" t="e" cm="1">
        <f t="array" ref="W528">_xlfn.IFS(U528="January",1,U528="February",2,U528="March",3,U528="April",4,U528="May",5,U528="June",6,U528="July",7,U528="August",8,U528="September",9,U528="October",10,U528="November",11,U528="December",12)</f>
        <v>#N/A</v>
      </c>
    </row>
    <row r="529" spans="1:23" ht="15.75" customHeight="1" x14ac:dyDescent="0.25">
      <c r="A529" s="2" t="s">
        <v>1489</v>
      </c>
      <c r="B529" s="3">
        <v>45760.088553240741</v>
      </c>
      <c r="C529" s="2" t="s">
        <v>584</v>
      </c>
      <c r="D529" s="2" t="s">
        <v>92</v>
      </c>
      <c r="E529" s="2" t="s">
        <v>123</v>
      </c>
      <c r="F529" s="2" t="str" cm="1">
        <f t="array" ref="F529:G529">_xlfn.TEXTSPLIT(E529," - ")</f>
        <v>Telur Ayam</v>
      </c>
      <c r="G529" s="2" t="str">
        <v>Brand A</v>
      </c>
      <c r="H529" s="5">
        <v>22000</v>
      </c>
      <c r="I529" s="2">
        <v>2</v>
      </c>
      <c r="J529" s="2">
        <v>0</v>
      </c>
      <c r="K529" s="8">
        <f t="shared" si="48"/>
        <v>44000</v>
      </c>
      <c r="L529" s="8">
        <f t="shared" si="49"/>
        <v>0</v>
      </c>
      <c r="M529" s="8">
        <f t="shared" si="50"/>
        <v>44000</v>
      </c>
      <c r="N529" s="5">
        <v>30000</v>
      </c>
      <c r="O529" s="8">
        <f t="shared" si="51"/>
        <v>74000</v>
      </c>
      <c r="P529" s="2" t="s">
        <v>63</v>
      </c>
      <c r="Q529" s="10" t="str">
        <f>VLOOKUP(A529,Status!A:B,2,0)</f>
        <v>Returned</v>
      </c>
      <c r="R529" s="2" t="s">
        <v>46</v>
      </c>
      <c r="S529" s="2">
        <v>5</v>
      </c>
      <c r="T529" s="2" t="s">
        <v>24</v>
      </c>
      <c r="U529" s="10" t="str">
        <f t="shared" si="53"/>
        <v>Apr</v>
      </c>
      <c r="V529" s="10">
        <f t="shared" si="52"/>
        <v>2025</v>
      </c>
      <c r="W529" t="e" cm="1">
        <f t="array" ref="W529">_xlfn.IFS(U529="January",1,U529="February",2,U529="March",3,U529="April",4,U529="May",5,U529="June",6,U529="July",7,U529="August",8,U529="September",9,U529="October",10,U529="November",11,U529="December",12)</f>
        <v>#N/A</v>
      </c>
    </row>
    <row r="530" spans="1:23" ht="15.75" customHeight="1" x14ac:dyDescent="0.25">
      <c r="A530" s="2" t="s">
        <v>1490</v>
      </c>
      <c r="B530" s="3">
        <v>45760.089467592603</v>
      </c>
      <c r="C530" s="2" t="s">
        <v>851</v>
      </c>
      <c r="D530" s="2" t="s">
        <v>66</v>
      </c>
      <c r="E530" s="2" t="s">
        <v>123</v>
      </c>
      <c r="F530" s="2" t="str" cm="1">
        <f t="array" ref="F530:G530">_xlfn.TEXTSPLIT(E530," - ")</f>
        <v>Telur Ayam</v>
      </c>
      <c r="G530" s="2" t="str">
        <v>Brand A</v>
      </c>
      <c r="H530" s="5">
        <v>22000</v>
      </c>
      <c r="I530" s="2">
        <v>5</v>
      </c>
      <c r="J530" s="2">
        <v>5</v>
      </c>
      <c r="K530" s="8">
        <f t="shared" si="48"/>
        <v>110000</v>
      </c>
      <c r="L530" s="8">
        <f t="shared" si="49"/>
        <v>5500</v>
      </c>
      <c r="M530" s="8">
        <f t="shared" si="50"/>
        <v>104500</v>
      </c>
      <c r="N530" s="5">
        <v>59000</v>
      </c>
      <c r="O530" s="8">
        <f t="shared" si="51"/>
        <v>163500</v>
      </c>
      <c r="P530" s="2" t="s">
        <v>22</v>
      </c>
      <c r="Q530" s="10" t="str">
        <f>VLOOKUP(A530,Status!A:B,2,0)</f>
        <v>Completed</v>
      </c>
      <c r="R530" s="2" t="s">
        <v>82</v>
      </c>
      <c r="S530" s="2">
        <v>1</v>
      </c>
      <c r="T530" s="2" t="s">
        <v>37</v>
      </c>
      <c r="U530" s="10" t="str">
        <f t="shared" si="53"/>
        <v>Apr</v>
      </c>
      <c r="V530" s="10">
        <f t="shared" si="52"/>
        <v>2025</v>
      </c>
      <c r="W530" t="e" cm="1">
        <f t="array" ref="W530">_xlfn.IFS(U530="January",1,U530="February",2,U530="March",3,U530="April",4,U530="May",5,U530="June",6,U530="July",7,U530="August",8,U530="September",9,U530="October",10,U530="November",11,U530="December",12)</f>
        <v>#N/A</v>
      </c>
    </row>
    <row r="531" spans="1:23" ht="15.75" customHeight="1" x14ac:dyDescent="0.25">
      <c r="A531" s="2" t="s">
        <v>1491</v>
      </c>
      <c r="B531" s="3">
        <v>45760.267974537041</v>
      </c>
      <c r="C531" s="2" t="s">
        <v>258</v>
      </c>
      <c r="D531" s="2" t="s">
        <v>44</v>
      </c>
      <c r="E531" s="2" t="s">
        <v>250</v>
      </c>
      <c r="F531" s="2" t="str" cm="1">
        <f t="array" ref="F531:G531">_xlfn.TEXTSPLIT(E531," - ")</f>
        <v>Minyak Goreng</v>
      </c>
      <c r="G531" s="2" t="str">
        <v>Brand C</v>
      </c>
      <c r="H531" s="5">
        <v>18000</v>
      </c>
      <c r="I531" s="2">
        <v>1</v>
      </c>
      <c r="J531" s="2">
        <v>20</v>
      </c>
      <c r="K531" s="8">
        <f t="shared" si="48"/>
        <v>18000</v>
      </c>
      <c r="L531" s="8">
        <f t="shared" si="49"/>
        <v>3600</v>
      </c>
      <c r="M531" s="8">
        <f t="shared" si="50"/>
        <v>14400</v>
      </c>
      <c r="N531" s="5">
        <v>93000</v>
      </c>
      <c r="O531" s="8">
        <f t="shared" si="51"/>
        <v>107400</v>
      </c>
      <c r="P531" s="2" t="s">
        <v>35</v>
      </c>
      <c r="Q531" s="10" t="str">
        <f>VLOOKUP(A531,Status!A:B,2,0)</f>
        <v>Completed</v>
      </c>
      <c r="R531" s="2" t="s">
        <v>23</v>
      </c>
      <c r="S531" s="2">
        <v>3</v>
      </c>
      <c r="T531" s="2" t="s">
        <v>24</v>
      </c>
      <c r="U531" s="10" t="str">
        <f t="shared" si="53"/>
        <v>Apr</v>
      </c>
      <c r="V531" s="10">
        <f t="shared" si="52"/>
        <v>2025</v>
      </c>
      <c r="W531" t="e" cm="1">
        <f t="array" ref="W531">_xlfn.IFS(U531="January",1,U531="February",2,U531="March",3,U531="April",4,U531="May",5,U531="June",6,U531="July",7,U531="August",8,U531="September",9,U531="October",10,U531="November",11,U531="December",12)</f>
        <v>#N/A</v>
      </c>
    </row>
    <row r="532" spans="1:23" ht="15.75" customHeight="1" x14ac:dyDescent="0.25">
      <c r="A532" s="2" t="s">
        <v>1492</v>
      </c>
      <c r="B532" s="3">
        <v>45760.287974537037</v>
      </c>
      <c r="C532" s="2" t="s">
        <v>582</v>
      </c>
      <c r="D532" s="2" t="s">
        <v>435</v>
      </c>
      <c r="E532" s="2" t="s">
        <v>71</v>
      </c>
      <c r="F532" s="2" t="str" cm="1">
        <f t="array" ref="F532:G532">_xlfn.TEXTSPLIT(E532," - ")</f>
        <v>Bawang Merah</v>
      </c>
      <c r="G532" s="2" t="str">
        <v>Brand C</v>
      </c>
      <c r="H532" s="5">
        <v>40000</v>
      </c>
      <c r="I532" s="2">
        <v>5</v>
      </c>
      <c r="J532" s="2">
        <v>20</v>
      </c>
      <c r="K532" s="8">
        <f t="shared" si="48"/>
        <v>200000</v>
      </c>
      <c r="L532" s="8">
        <f t="shared" si="49"/>
        <v>40000</v>
      </c>
      <c r="M532" s="8">
        <f t="shared" si="50"/>
        <v>160000</v>
      </c>
      <c r="N532" s="5">
        <v>67000</v>
      </c>
      <c r="O532" s="8">
        <f t="shared" si="51"/>
        <v>227000</v>
      </c>
      <c r="P532" s="2" t="s">
        <v>35</v>
      </c>
      <c r="Q532" s="10" t="str">
        <f>VLOOKUP(A532,Status!A:B,2,0)</f>
        <v>Completed</v>
      </c>
      <c r="R532" s="2" t="s">
        <v>23</v>
      </c>
      <c r="S532" s="2">
        <v>5</v>
      </c>
      <c r="T532" s="2" t="s">
        <v>24</v>
      </c>
      <c r="U532" s="10" t="str">
        <f t="shared" si="53"/>
        <v>Apr</v>
      </c>
      <c r="V532" s="10">
        <f t="shared" si="52"/>
        <v>2025</v>
      </c>
      <c r="W532" t="e" cm="1">
        <f t="array" ref="W532">_xlfn.IFS(U532="January",1,U532="February",2,U532="March",3,U532="April",4,U532="May",5,U532="June",6,U532="July",7,U532="August",8,U532="September",9,U532="October",10,U532="November",11,U532="December",12)</f>
        <v>#N/A</v>
      </c>
    </row>
    <row r="533" spans="1:23" ht="15.75" customHeight="1" x14ac:dyDescent="0.25">
      <c r="A533" s="2" t="s">
        <v>1492</v>
      </c>
      <c r="B533" s="3">
        <v>45760.287974537037</v>
      </c>
      <c r="C533" s="2" t="s">
        <v>582</v>
      </c>
      <c r="D533" s="2" t="s">
        <v>435</v>
      </c>
      <c r="E533" s="2" t="s">
        <v>81</v>
      </c>
      <c r="F533" s="2" t="str" cm="1">
        <f t="array" ref="F533:G533">_xlfn.TEXTSPLIT(E533," - ")</f>
        <v>Minyak Goreng</v>
      </c>
      <c r="G533" s="2" t="str">
        <v>Brand B</v>
      </c>
      <c r="H533" s="5">
        <v>17000</v>
      </c>
      <c r="I533" s="2">
        <v>5</v>
      </c>
      <c r="J533" s="2">
        <v>20</v>
      </c>
      <c r="K533" s="8">
        <f t="shared" si="48"/>
        <v>85000</v>
      </c>
      <c r="L533" s="8">
        <f t="shared" si="49"/>
        <v>17000</v>
      </c>
      <c r="M533" s="8">
        <f t="shared" si="50"/>
        <v>68000</v>
      </c>
      <c r="N533" s="5">
        <v>0</v>
      </c>
      <c r="O533" s="8">
        <f t="shared" si="51"/>
        <v>68000</v>
      </c>
      <c r="P533" s="2" t="s">
        <v>35</v>
      </c>
      <c r="Q533" s="10" t="str">
        <f>VLOOKUP(A533,Status!A:B,2,0)</f>
        <v>Completed</v>
      </c>
      <c r="R533" s="2" t="s">
        <v>23</v>
      </c>
      <c r="S533" s="2">
        <v>5</v>
      </c>
      <c r="T533" s="2" t="s">
        <v>24</v>
      </c>
      <c r="U533" s="10" t="str">
        <f t="shared" si="53"/>
        <v>Apr</v>
      </c>
      <c r="V533" s="10">
        <f t="shared" si="52"/>
        <v>2025</v>
      </c>
      <c r="W533" t="e" cm="1">
        <f t="array" ref="W533">_xlfn.IFS(U533="January",1,U533="February",2,U533="March",3,U533="April",4,U533="May",5,U533="June",6,U533="July",7,U533="August",8,U533="September",9,U533="October",10,U533="November",11,U533="December",12)</f>
        <v>#N/A</v>
      </c>
    </row>
    <row r="534" spans="1:23" ht="15.75" customHeight="1" x14ac:dyDescent="0.25">
      <c r="A534" s="2" t="s">
        <v>1493</v>
      </c>
      <c r="B534" s="3">
        <v>45760.309490740743</v>
      </c>
      <c r="C534" s="2" t="s">
        <v>102</v>
      </c>
      <c r="D534" s="2" t="s">
        <v>103</v>
      </c>
      <c r="E534" s="2" t="s">
        <v>138</v>
      </c>
      <c r="F534" s="2" t="str" cm="1">
        <f t="array" ref="F534:G534">_xlfn.TEXTSPLIT(E534," - ")</f>
        <v>Gula Pasir</v>
      </c>
      <c r="G534" s="2" t="str">
        <v>Brand B</v>
      </c>
      <c r="H534" s="5">
        <v>17000</v>
      </c>
      <c r="I534" s="2">
        <v>5</v>
      </c>
      <c r="J534" s="2">
        <v>5</v>
      </c>
      <c r="K534" s="8">
        <f t="shared" si="48"/>
        <v>85000</v>
      </c>
      <c r="L534" s="8">
        <f t="shared" si="49"/>
        <v>4250</v>
      </c>
      <c r="M534" s="8">
        <f t="shared" si="50"/>
        <v>80750</v>
      </c>
      <c r="N534" s="5">
        <v>85000</v>
      </c>
      <c r="O534" s="8">
        <f t="shared" si="51"/>
        <v>165750</v>
      </c>
      <c r="P534" s="2" t="s">
        <v>63</v>
      </c>
      <c r="Q534" s="10" t="str">
        <f>VLOOKUP(A534,Status!A:B,2,0)</f>
        <v>Returned</v>
      </c>
      <c r="R534" s="2" t="s">
        <v>46</v>
      </c>
      <c r="S534" s="2">
        <v>2</v>
      </c>
      <c r="T534" s="2" t="s">
        <v>24</v>
      </c>
      <c r="U534" s="10" t="str">
        <f t="shared" si="53"/>
        <v>Apr</v>
      </c>
      <c r="V534" s="10">
        <f t="shared" si="52"/>
        <v>2025</v>
      </c>
      <c r="W534" t="e" cm="1">
        <f t="array" ref="W534">_xlfn.IFS(U534="January",1,U534="February",2,U534="March",3,U534="April",4,U534="May",5,U534="June",6,U534="July",7,U534="August",8,U534="September",9,U534="October",10,U534="November",11,U534="December",12)</f>
        <v>#N/A</v>
      </c>
    </row>
    <row r="535" spans="1:23" ht="15.75" customHeight="1" x14ac:dyDescent="0.25">
      <c r="A535" s="2" t="s">
        <v>1494</v>
      </c>
      <c r="B535" s="3">
        <v>45760.381064814806</v>
      </c>
      <c r="C535" s="2" t="s">
        <v>582</v>
      </c>
      <c r="D535" s="2" t="s">
        <v>435</v>
      </c>
      <c r="E535" s="2" t="s">
        <v>123</v>
      </c>
      <c r="F535" s="2" t="str" cm="1">
        <f t="array" ref="F535:G535">_xlfn.TEXTSPLIT(E535," - ")</f>
        <v>Telur Ayam</v>
      </c>
      <c r="G535" s="2" t="str">
        <v>Brand A</v>
      </c>
      <c r="H535" s="5">
        <v>22000</v>
      </c>
      <c r="I535" s="2">
        <v>1</v>
      </c>
      <c r="J535" s="2">
        <v>15</v>
      </c>
      <c r="K535" s="8">
        <f t="shared" si="48"/>
        <v>22000</v>
      </c>
      <c r="L535" s="8">
        <f t="shared" si="49"/>
        <v>3300</v>
      </c>
      <c r="M535" s="8">
        <f t="shared" si="50"/>
        <v>18700</v>
      </c>
      <c r="N535" s="5">
        <v>67000</v>
      </c>
      <c r="O535" s="8">
        <f t="shared" si="51"/>
        <v>85700</v>
      </c>
      <c r="P535" s="2" t="s">
        <v>35</v>
      </c>
      <c r="Q535" s="10" t="str">
        <f>VLOOKUP(A535,Status!A:B,2,0)</f>
        <v>Completed</v>
      </c>
      <c r="R535" s="2" t="s">
        <v>46</v>
      </c>
      <c r="S535" s="2">
        <v>3</v>
      </c>
      <c r="T535" s="2" t="s">
        <v>24</v>
      </c>
      <c r="U535" s="10" t="str">
        <f t="shared" si="53"/>
        <v>Apr</v>
      </c>
      <c r="V535" s="10">
        <f t="shared" si="52"/>
        <v>2025</v>
      </c>
      <c r="W535" t="e" cm="1">
        <f t="array" ref="W535">_xlfn.IFS(U535="January",1,U535="February",2,U535="March",3,U535="April",4,U535="May",5,U535="June",6,U535="July",7,U535="August",8,U535="September",9,U535="October",10,U535="November",11,U535="December",12)</f>
        <v>#N/A</v>
      </c>
    </row>
    <row r="536" spans="1:23" ht="15.75" customHeight="1" x14ac:dyDescent="0.25">
      <c r="A536" s="2" t="s">
        <v>1494</v>
      </c>
      <c r="B536" s="3">
        <v>45760.381064814806</v>
      </c>
      <c r="C536" s="2" t="s">
        <v>582</v>
      </c>
      <c r="D536" s="2" t="s">
        <v>435</v>
      </c>
      <c r="E536" s="2" t="s">
        <v>250</v>
      </c>
      <c r="F536" s="2" t="str" cm="1">
        <f t="array" ref="F536:G536">_xlfn.TEXTSPLIT(E536," - ")</f>
        <v>Minyak Goreng</v>
      </c>
      <c r="G536" s="2" t="str">
        <v>Brand C</v>
      </c>
      <c r="H536" s="5">
        <v>18000</v>
      </c>
      <c r="I536" s="2">
        <v>1</v>
      </c>
      <c r="J536" s="2">
        <v>10</v>
      </c>
      <c r="K536" s="8">
        <f t="shared" si="48"/>
        <v>18000</v>
      </c>
      <c r="L536" s="8">
        <f t="shared" si="49"/>
        <v>1800</v>
      </c>
      <c r="M536" s="8">
        <f t="shared" si="50"/>
        <v>16200</v>
      </c>
      <c r="N536" s="5">
        <v>0</v>
      </c>
      <c r="O536" s="8">
        <f t="shared" si="51"/>
        <v>16200</v>
      </c>
      <c r="P536" s="2" t="s">
        <v>35</v>
      </c>
      <c r="Q536" s="10" t="str">
        <f>VLOOKUP(A536,Status!A:B,2,0)</f>
        <v>Completed</v>
      </c>
      <c r="R536" s="2" t="s">
        <v>46</v>
      </c>
      <c r="S536" s="2">
        <v>3</v>
      </c>
      <c r="T536" s="2" t="s">
        <v>24</v>
      </c>
      <c r="U536" s="10" t="str">
        <f t="shared" si="53"/>
        <v>Apr</v>
      </c>
      <c r="V536" s="10">
        <f t="shared" si="52"/>
        <v>2025</v>
      </c>
      <c r="W536" t="e" cm="1">
        <f t="array" ref="W536">_xlfn.IFS(U536="January",1,U536="February",2,U536="March",3,U536="April",4,U536="May",5,U536="June",6,U536="July",7,U536="August",8,U536="September",9,U536="October",10,U536="November",11,U536="December",12)</f>
        <v>#N/A</v>
      </c>
    </row>
    <row r="537" spans="1:23" ht="15.75" customHeight="1" x14ac:dyDescent="0.25">
      <c r="A537" s="2" t="s">
        <v>1495</v>
      </c>
      <c r="B537" s="3">
        <v>45760.54241898148</v>
      </c>
      <c r="C537" s="2" t="s">
        <v>73</v>
      </c>
      <c r="D537" s="2" t="s">
        <v>74</v>
      </c>
      <c r="E537" s="2" t="s">
        <v>190</v>
      </c>
      <c r="F537" s="2" t="str" cm="1">
        <f t="array" ref="F537:G537">_xlfn.TEXTSPLIT(E537," - ")</f>
        <v>Bawang Merah</v>
      </c>
      <c r="G537" s="2" t="str">
        <v>Brand B</v>
      </c>
      <c r="H537" s="5">
        <v>35000</v>
      </c>
      <c r="I537" s="2">
        <v>2</v>
      </c>
      <c r="J537" s="2">
        <v>0</v>
      </c>
      <c r="K537" s="8">
        <f t="shared" si="48"/>
        <v>70000</v>
      </c>
      <c r="L537" s="8">
        <f t="shared" si="49"/>
        <v>0</v>
      </c>
      <c r="M537" s="8">
        <f t="shared" si="50"/>
        <v>70000</v>
      </c>
      <c r="N537" s="5">
        <v>87000</v>
      </c>
      <c r="O537" s="8">
        <f t="shared" si="51"/>
        <v>157000</v>
      </c>
      <c r="P537" s="2" t="s">
        <v>35</v>
      </c>
      <c r="Q537" s="10" t="str">
        <f>VLOOKUP(A537,Status!A:B,2,0)</f>
        <v>Completed</v>
      </c>
      <c r="R537" s="2" t="s">
        <v>82</v>
      </c>
      <c r="S537" s="2">
        <v>2</v>
      </c>
      <c r="T537" s="2" t="s">
        <v>24</v>
      </c>
      <c r="U537" s="10" t="str">
        <f t="shared" si="53"/>
        <v>Apr</v>
      </c>
      <c r="V537" s="10">
        <f t="shared" si="52"/>
        <v>2025</v>
      </c>
      <c r="W537" t="e" cm="1">
        <f t="array" ref="W537">_xlfn.IFS(U537="January",1,U537="February",2,U537="March",3,U537="April",4,U537="May",5,U537="June",6,U537="July",7,U537="August",8,U537="September",9,U537="October",10,U537="November",11,U537="December",12)</f>
        <v>#N/A</v>
      </c>
    </row>
    <row r="538" spans="1:23" ht="15.75" customHeight="1" x14ac:dyDescent="0.25">
      <c r="A538" s="2" t="s">
        <v>1496</v>
      </c>
      <c r="B538" s="3">
        <v>45760.649143518523</v>
      </c>
      <c r="C538" s="2" t="s">
        <v>638</v>
      </c>
      <c r="D538" s="2" t="s">
        <v>195</v>
      </c>
      <c r="E538" s="2" t="s">
        <v>186</v>
      </c>
      <c r="F538" s="2" t="str" cm="1">
        <f t="array" ref="F538:G538">_xlfn.TEXTSPLIT(E538," - ")</f>
        <v>Susu Bubuk</v>
      </c>
      <c r="G538" s="2" t="str">
        <v>Brand A</v>
      </c>
      <c r="H538" s="5">
        <v>45000</v>
      </c>
      <c r="I538" s="2">
        <v>4</v>
      </c>
      <c r="J538" s="2">
        <v>5</v>
      </c>
      <c r="K538" s="8">
        <f t="shared" si="48"/>
        <v>180000</v>
      </c>
      <c r="L538" s="8">
        <f t="shared" si="49"/>
        <v>9000</v>
      </c>
      <c r="M538" s="8">
        <f t="shared" si="50"/>
        <v>171000</v>
      </c>
      <c r="N538" s="5">
        <v>87000</v>
      </c>
      <c r="O538" s="8">
        <f t="shared" si="51"/>
        <v>258000</v>
      </c>
      <c r="P538" s="2" t="s">
        <v>29</v>
      </c>
      <c r="Q538" s="10" t="str">
        <f>VLOOKUP(A538,Status!A:B,2,0)</f>
        <v>Completed</v>
      </c>
      <c r="R538" s="2" t="s">
        <v>36</v>
      </c>
      <c r="S538" s="2">
        <v>1</v>
      </c>
      <c r="T538" s="2" t="s">
        <v>37</v>
      </c>
      <c r="U538" s="10" t="str">
        <f t="shared" si="53"/>
        <v>Apr</v>
      </c>
      <c r="V538" s="10">
        <f t="shared" si="52"/>
        <v>2025</v>
      </c>
      <c r="W538" t="e" cm="1">
        <f t="array" ref="W538">_xlfn.IFS(U538="January",1,U538="February",2,U538="March",3,U538="April",4,U538="May",5,U538="June",6,U538="July",7,U538="August",8,U538="September",9,U538="October",10,U538="November",11,U538="December",12)</f>
        <v>#N/A</v>
      </c>
    </row>
    <row r="539" spans="1:23" ht="15.75" customHeight="1" x14ac:dyDescent="0.25">
      <c r="A539" s="2" t="s">
        <v>1497</v>
      </c>
      <c r="B539" s="3">
        <v>45760.714467592603</v>
      </c>
      <c r="C539" s="2" t="s">
        <v>95</v>
      </c>
      <c r="D539" s="2" t="s">
        <v>96</v>
      </c>
      <c r="E539" s="2" t="s">
        <v>67</v>
      </c>
      <c r="F539" s="2" t="str" cm="1">
        <f t="array" ref="F539:G539">_xlfn.TEXTSPLIT(E539," - ")</f>
        <v>Beras</v>
      </c>
      <c r="G539" s="2" t="str">
        <v>Brand B</v>
      </c>
      <c r="H539" s="5">
        <v>15000</v>
      </c>
      <c r="I539" s="2">
        <v>5</v>
      </c>
      <c r="J539" s="2">
        <v>10</v>
      </c>
      <c r="K539" s="8">
        <f t="shared" si="48"/>
        <v>75000</v>
      </c>
      <c r="L539" s="8">
        <f t="shared" si="49"/>
        <v>7500</v>
      </c>
      <c r="M539" s="8">
        <f t="shared" si="50"/>
        <v>67500</v>
      </c>
      <c r="N539" s="5">
        <v>49000</v>
      </c>
      <c r="O539" s="8">
        <f t="shared" si="51"/>
        <v>116500</v>
      </c>
      <c r="P539" s="2" t="s">
        <v>29</v>
      </c>
      <c r="Q539" s="10" t="str">
        <f>VLOOKUP(A539,Status!A:B,2,0)</f>
        <v>Cancelled</v>
      </c>
      <c r="R539" s="2" t="s">
        <v>82</v>
      </c>
      <c r="S539" s="2">
        <v>4</v>
      </c>
      <c r="T539" s="2" t="s">
        <v>24</v>
      </c>
      <c r="U539" s="10" t="str">
        <f t="shared" si="53"/>
        <v>Apr</v>
      </c>
      <c r="V539" s="10">
        <f t="shared" si="52"/>
        <v>2025</v>
      </c>
      <c r="W539" t="e" cm="1">
        <f t="array" ref="W539">_xlfn.IFS(U539="January",1,U539="February",2,U539="March",3,U539="April",4,U539="May",5,U539="June",6,U539="July",7,U539="August",8,U539="September",9,U539="October",10,U539="November",11,U539="December",12)</f>
        <v>#N/A</v>
      </c>
    </row>
    <row r="540" spans="1:23" ht="15.75" customHeight="1" x14ac:dyDescent="0.25">
      <c r="A540" s="2" t="s">
        <v>1498</v>
      </c>
      <c r="B540" s="3">
        <v>45760.76048611111</v>
      </c>
      <c r="C540" s="2" t="s">
        <v>269</v>
      </c>
      <c r="D540" s="2" t="s">
        <v>173</v>
      </c>
      <c r="E540" s="2" t="s">
        <v>34</v>
      </c>
      <c r="F540" s="2" t="str" cm="1">
        <f t="array" ref="F540:G540">_xlfn.TEXTSPLIT(E540," - ")</f>
        <v>Minyak Goreng</v>
      </c>
      <c r="G540" s="2" t="str">
        <v>Brand A</v>
      </c>
      <c r="H540" s="5">
        <v>16000</v>
      </c>
      <c r="I540" s="2">
        <v>1</v>
      </c>
      <c r="J540" s="2">
        <v>5</v>
      </c>
      <c r="K540" s="8">
        <f t="shared" si="48"/>
        <v>16000</v>
      </c>
      <c r="L540" s="8">
        <f t="shared" si="49"/>
        <v>800</v>
      </c>
      <c r="M540" s="8">
        <f t="shared" si="50"/>
        <v>15200</v>
      </c>
      <c r="N540" s="5">
        <v>49000</v>
      </c>
      <c r="O540" s="8">
        <f t="shared" si="51"/>
        <v>64200</v>
      </c>
      <c r="P540" s="2" t="s">
        <v>29</v>
      </c>
      <c r="Q540" s="10" t="str">
        <f>VLOOKUP(A540,Status!A:B,2,0)</f>
        <v>Completed</v>
      </c>
      <c r="R540" s="2" t="s">
        <v>30</v>
      </c>
      <c r="S540" s="2">
        <v>2</v>
      </c>
      <c r="T540" s="2" t="s">
        <v>37</v>
      </c>
      <c r="U540" s="10" t="str">
        <f t="shared" si="53"/>
        <v>Apr</v>
      </c>
      <c r="V540" s="10">
        <f t="shared" si="52"/>
        <v>2025</v>
      </c>
      <c r="W540" t="e" cm="1">
        <f t="array" ref="W540">_xlfn.IFS(U540="January",1,U540="February",2,U540="March",3,U540="April",4,U540="May",5,U540="June",6,U540="July",7,U540="August",8,U540="September",9,U540="October",10,U540="November",11,U540="December",12)</f>
        <v>#N/A</v>
      </c>
    </row>
    <row r="541" spans="1:23" ht="15.75" customHeight="1" x14ac:dyDescent="0.25">
      <c r="A541" s="2" t="s">
        <v>1499</v>
      </c>
      <c r="B541" s="3">
        <v>45760.78162037037</v>
      </c>
      <c r="C541" s="2" t="s">
        <v>774</v>
      </c>
      <c r="D541" s="2" t="s">
        <v>262</v>
      </c>
      <c r="E541" s="2" t="s">
        <v>34</v>
      </c>
      <c r="F541" s="2" t="str" cm="1">
        <f t="array" ref="F541:G541">_xlfn.TEXTSPLIT(E541," - ")</f>
        <v>Minyak Goreng</v>
      </c>
      <c r="G541" s="2" t="str">
        <v>Brand A</v>
      </c>
      <c r="H541" s="5">
        <v>16000</v>
      </c>
      <c r="I541" s="2">
        <v>2</v>
      </c>
      <c r="J541" s="2">
        <v>15</v>
      </c>
      <c r="K541" s="8">
        <f t="shared" si="48"/>
        <v>32000</v>
      </c>
      <c r="L541" s="8">
        <f t="shared" si="49"/>
        <v>4800</v>
      </c>
      <c r="M541" s="8">
        <f t="shared" si="50"/>
        <v>27200</v>
      </c>
      <c r="N541" s="5">
        <v>18000</v>
      </c>
      <c r="O541" s="8">
        <f t="shared" si="51"/>
        <v>45200</v>
      </c>
      <c r="P541" s="2" t="s">
        <v>29</v>
      </c>
      <c r="Q541" s="10" t="str">
        <f>VLOOKUP(A541,Status!A:B,2,0)</f>
        <v>Returned</v>
      </c>
      <c r="R541" s="2" t="s">
        <v>36</v>
      </c>
      <c r="S541" s="2">
        <v>5</v>
      </c>
      <c r="T541" s="2" t="s">
        <v>24</v>
      </c>
      <c r="U541" s="10" t="str">
        <f t="shared" si="53"/>
        <v>Apr</v>
      </c>
      <c r="V541" s="10">
        <f t="shared" si="52"/>
        <v>2025</v>
      </c>
      <c r="W541" t="e" cm="1">
        <f t="array" ref="W541">_xlfn.IFS(U541="January",1,U541="February",2,U541="March",3,U541="April",4,U541="May",5,U541="June",6,U541="July",7,U541="August",8,U541="September",9,U541="October",10,U541="November",11,U541="December",12)</f>
        <v>#N/A</v>
      </c>
    </row>
    <row r="542" spans="1:23" ht="15.75" customHeight="1" x14ac:dyDescent="0.25">
      <c r="A542" s="2" t="s">
        <v>1500</v>
      </c>
      <c r="B542" s="3">
        <v>45761.031817129631</v>
      </c>
      <c r="C542" s="2" t="s">
        <v>693</v>
      </c>
      <c r="D542" s="2" t="s">
        <v>119</v>
      </c>
      <c r="E542" s="2" t="s">
        <v>104</v>
      </c>
      <c r="F542" s="2" t="str" cm="1">
        <f t="array" ref="F542:G542">_xlfn.TEXTSPLIT(E542," - ")</f>
        <v>Bawang Merah</v>
      </c>
      <c r="G542" s="2" t="str">
        <v>Brand A</v>
      </c>
      <c r="H542" s="5">
        <v>30000</v>
      </c>
      <c r="I542" s="2">
        <v>1</v>
      </c>
      <c r="J542" s="2">
        <v>0</v>
      </c>
      <c r="K542" s="8">
        <f t="shared" si="48"/>
        <v>30000</v>
      </c>
      <c r="L542" s="8">
        <f t="shared" si="49"/>
        <v>0</v>
      </c>
      <c r="M542" s="8">
        <f t="shared" si="50"/>
        <v>30000</v>
      </c>
      <c r="N542" s="5">
        <v>0</v>
      </c>
      <c r="O542" s="8">
        <f t="shared" si="51"/>
        <v>30000</v>
      </c>
      <c r="P542" s="2" t="s">
        <v>22</v>
      </c>
      <c r="Q542" s="10" t="str">
        <f>VLOOKUP(A542,Status!A:B,2,0)</f>
        <v>Completed</v>
      </c>
      <c r="R542" s="2" t="s">
        <v>36</v>
      </c>
      <c r="S542" s="2">
        <v>5</v>
      </c>
      <c r="T542" s="2" t="s">
        <v>24</v>
      </c>
      <c r="U542" s="10" t="str">
        <f t="shared" si="53"/>
        <v>Apr</v>
      </c>
      <c r="V542" s="10">
        <f t="shared" si="52"/>
        <v>2025</v>
      </c>
      <c r="W542" t="e" cm="1">
        <f t="array" ref="W542">_xlfn.IFS(U542="January",1,U542="February",2,U542="March",3,U542="April",4,U542="May",5,U542="June",6,U542="July",7,U542="August",8,U542="September",9,U542="October",10,U542="November",11,U542="December",12)</f>
        <v>#N/A</v>
      </c>
    </row>
    <row r="543" spans="1:23" ht="15.75" customHeight="1" x14ac:dyDescent="0.25">
      <c r="A543" s="2" t="s">
        <v>1501</v>
      </c>
      <c r="B543" s="3">
        <v>45761.144421296303</v>
      </c>
      <c r="C543" s="2" t="s">
        <v>79</v>
      </c>
      <c r="D543" s="2" t="s">
        <v>80</v>
      </c>
      <c r="E543" s="2" t="s">
        <v>21</v>
      </c>
      <c r="F543" s="2" t="str" cm="1">
        <f t="array" ref="F543:G543">_xlfn.TEXTSPLIT(E543," - ")</f>
        <v>Daging Ayam</v>
      </c>
      <c r="G543" s="2" t="str">
        <v>Brand C</v>
      </c>
      <c r="H543" s="5">
        <v>45000</v>
      </c>
      <c r="I543" s="2">
        <v>5</v>
      </c>
      <c r="J543" s="2">
        <v>0</v>
      </c>
      <c r="K543" s="8">
        <f t="shared" si="48"/>
        <v>225000</v>
      </c>
      <c r="L543" s="8">
        <f t="shared" si="49"/>
        <v>0</v>
      </c>
      <c r="M543" s="8">
        <f t="shared" si="50"/>
        <v>225000</v>
      </c>
      <c r="N543" s="5">
        <v>74000</v>
      </c>
      <c r="O543" s="8">
        <f t="shared" si="51"/>
        <v>299000</v>
      </c>
      <c r="P543" s="2" t="s">
        <v>29</v>
      </c>
      <c r="Q543" s="10" t="str">
        <f>VLOOKUP(A543,Status!A:B,2,0)</f>
        <v>Completed</v>
      </c>
      <c r="R543" s="2" t="s">
        <v>36</v>
      </c>
      <c r="S543" s="2">
        <v>1</v>
      </c>
      <c r="T543" s="2" t="s">
        <v>24</v>
      </c>
      <c r="U543" s="10" t="str">
        <f t="shared" si="53"/>
        <v>Apr</v>
      </c>
      <c r="V543" s="10">
        <f t="shared" si="52"/>
        <v>2025</v>
      </c>
      <c r="W543" t="e" cm="1">
        <f t="array" ref="W543">_xlfn.IFS(U543="January",1,U543="February",2,U543="March",3,U543="April",4,U543="May",5,U543="June",6,U543="July",7,U543="August",8,U543="September",9,U543="October",10,U543="November",11,U543="December",12)</f>
        <v>#N/A</v>
      </c>
    </row>
    <row r="544" spans="1:23" ht="15.75" customHeight="1" x14ac:dyDescent="0.25">
      <c r="A544" s="2" t="s">
        <v>1502</v>
      </c>
      <c r="B544" s="3">
        <v>45761.204641203702</v>
      </c>
      <c r="C544" s="2" t="s">
        <v>295</v>
      </c>
      <c r="D544" s="2" t="s">
        <v>296</v>
      </c>
      <c r="E544" s="2" t="s">
        <v>81</v>
      </c>
      <c r="F544" s="2" t="str" cm="1">
        <f t="array" ref="F544:G544">_xlfn.TEXTSPLIT(E544," - ")</f>
        <v>Minyak Goreng</v>
      </c>
      <c r="G544" s="2" t="str">
        <v>Brand B</v>
      </c>
      <c r="H544" s="5">
        <v>17000</v>
      </c>
      <c r="I544" s="2">
        <v>1</v>
      </c>
      <c r="J544" s="2">
        <v>0</v>
      </c>
      <c r="K544" s="8">
        <f t="shared" si="48"/>
        <v>17000</v>
      </c>
      <c r="L544" s="8">
        <f t="shared" si="49"/>
        <v>0</v>
      </c>
      <c r="M544" s="8">
        <f t="shared" si="50"/>
        <v>17000</v>
      </c>
      <c r="N544" s="5">
        <v>79000</v>
      </c>
      <c r="O544" s="8">
        <f t="shared" si="51"/>
        <v>96000</v>
      </c>
      <c r="P544" s="2" t="s">
        <v>29</v>
      </c>
      <c r="Q544" s="10" t="str">
        <f>VLOOKUP(A544,Status!A:B,2,0)</f>
        <v>Completed</v>
      </c>
      <c r="R544" s="2" t="s">
        <v>82</v>
      </c>
      <c r="S544" s="2">
        <v>3</v>
      </c>
      <c r="T544" s="2" t="s">
        <v>24</v>
      </c>
      <c r="U544" s="10" t="str">
        <f t="shared" si="53"/>
        <v>Apr</v>
      </c>
      <c r="V544" s="10">
        <f t="shared" si="52"/>
        <v>2025</v>
      </c>
      <c r="W544" t="e" cm="1">
        <f t="array" ref="W544">_xlfn.IFS(U544="January",1,U544="February",2,U544="March",3,U544="April",4,U544="May",5,U544="June",6,U544="July",7,U544="August",8,U544="September",9,U544="October",10,U544="November",11,U544="December",12)</f>
        <v>#N/A</v>
      </c>
    </row>
    <row r="545" spans="1:23" ht="15.75" customHeight="1" x14ac:dyDescent="0.25">
      <c r="A545" s="2" t="s">
        <v>1503</v>
      </c>
      <c r="B545" s="3">
        <v>45761.648240740738</v>
      </c>
      <c r="C545" s="2" t="s">
        <v>459</v>
      </c>
      <c r="D545" s="2" t="s">
        <v>61</v>
      </c>
      <c r="E545" s="2" t="s">
        <v>186</v>
      </c>
      <c r="F545" s="2" t="str" cm="1">
        <f t="array" ref="F545:G545">_xlfn.TEXTSPLIT(E545," - ")</f>
        <v>Susu Bubuk</v>
      </c>
      <c r="G545" s="2" t="str">
        <v>Brand A</v>
      </c>
      <c r="H545" s="5">
        <v>45000</v>
      </c>
      <c r="I545" s="2">
        <v>5</v>
      </c>
      <c r="J545" s="2">
        <v>5</v>
      </c>
      <c r="K545" s="8">
        <f t="shared" si="48"/>
        <v>225000</v>
      </c>
      <c r="L545" s="8">
        <f t="shared" si="49"/>
        <v>11250</v>
      </c>
      <c r="M545" s="8">
        <f t="shared" si="50"/>
        <v>213750</v>
      </c>
      <c r="N545" s="5">
        <v>26000</v>
      </c>
      <c r="O545" s="8">
        <f t="shared" si="51"/>
        <v>239750</v>
      </c>
      <c r="P545" s="2" t="s">
        <v>63</v>
      </c>
      <c r="Q545" s="10" t="str">
        <f>VLOOKUP(A545,Status!A:B,2,0)</f>
        <v>Completed</v>
      </c>
      <c r="R545" s="2" t="s">
        <v>46</v>
      </c>
      <c r="S545" s="2">
        <v>5</v>
      </c>
      <c r="T545" s="2" t="s">
        <v>24</v>
      </c>
      <c r="U545" s="10" t="str">
        <f t="shared" si="53"/>
        <v>Apr</v>
      </c>
      <c r="V545" s="10">
        <f t="shared" si="52"/>
        <v>2025</v>
      </c>
      <c r="W545" t="e" cm="1">
        <f t="array" ref="W545">_xlfn.IFS(U545="January",1,U545="February",2,U545="March",3,U545="April",4,U545="May",5,U545="June",6,U545="July",7,U545="August",8,U545="September",9,U545="October",10,U545="November",11,U545="December",12)</f>
        <v>#N/A</v>
      </c>
    </row>
    <row r="546" spans="1:23" ht="15.75" customHeight="1" x14ac:dyDescent="0.25">
      <c r="A546" s="2" t="s">
        <v>1504</v>
      </c>
      <c r="B546" s="3">
        <v>45762.365925925929</v>
      </c>
      <c r="C546" s="2" t="s">
        <v>374</v>
      </c>
      <c r="D546" s="2" t="s">
        <v>375</v>
      </c>
      <c r="E546" s="2" t="s">
        <v>62</v>
      </c>
      <c r="F546" s="2" t="str" cm="1">
        <f t="array" ref="F546:G546">_xlfn.TEXTSPLIT(E546," - ")</f>
        <v>Susu Bubuk</v>
      </c>
      <c r="G546" s="2" t="str">
        <v>Brand B</v>
      </c>
      <c r="H546" s="5">
        <v>50000</v>
      </c>
      <c r="I546" s="2">
        <v>5</v>
      </c>
      <c r="J546" s="2">
        <v>0</v>
      </c>
      <c r="K546" s="8">
        <f t="shared" si="48"/>
        <v>250000</v>
      </c>
      <c r="L546" s="8">
        <f t="shared" si="49"/>
        <v>0</v>
      </c>
      <c r="M546" s="8">
        <f t="shared" si="50"/>
        <v>250000</v>
      </c>
      <c r="N546" s="5">
        <v>21000</v>
      </c>
      <c r="O546" s="8">
        <f t="shared" si="51"/>
        <v>271000</v>
      </c>
      <c r="P546" s="2" t="s">
        <v>63</v>
      </c>
      <c r="Q546" s="10" t="str">
        <f>VLOOKUP(A546,Status!A:B,2,0)</f>
        <v>Completed</v>
      </c>
      <c r="R546" s="2" t="s">
        <v>30</v>
      </c>
      <c r="S546" s="2">
        <v>5</v>
      </c>
      <c r="T546" s="2" t="s">
        <v>37</v>
      </c>
      <c r="U546" s="10" t="str">
        <f t="shared" si="53"/>
        <v>Apr</v>
      </c>
      <c r="V546" s="10">
        <f t="shared" si="52"/>
        <v>2025</v>
      </c>
      <c r="W546" t="e" cm="1">
        <f t="array" ref="W546">_xlfn.IFS(U546="January",1,U546="February",2,U546="March",3,U546="April",4,U546="May",5,U546="June",6,U546="July",7,U546="August",8,U546="September",9,U546="October",10,U546="November",11,U546="December",12)</f>
        <v>#N/A</v>
      </c>
    </row>
    <row r="547" spans="1:23" ht="15.75" customHeight="1" x14ac:dyDescent="0.25">
      <c r="A547" s="2" t="s">
        <v>1505</v>
      </c>
      <c r="B547" s="3">
        <v>45762.45076388889</v>
      </c>
      <c r="C547" s="2" t="s">
        <v>804</v>
      </c>
      <c r="D547" s="2" t="s">
        <v>49</v>
      </c>
      <c r="E547" s="2" t="s">
        <v>45</v>
      </c>
      <c r="F547" s="2" t="str" cm="1">
        <f t="array" ref="F547:G547">_xlfn.TEXTSPLIT(E547," - ")</f>
        <v>Daging Ayam</v>
      </c>
      <c r="G547" s="2" t="str">
        <v>Brand B</v>
      </c>
      <c r="H547" s="5">
        <v>40000</v>
      </c>
      <c r="I547" s="2">
        <v>4</v>
      </c>
      <c r="J547" s="2">
        <v>5</v>
      </c>
      <c r="K547" s="8">
        <f t="shared" si="48"/>
        <v>160000</v>
      </c>
      <c r="L547" s="8">
        <f t="shared" si="49"/>
        <v>8000</v>
      </c>
      <c r="M547" s="8">
        <f t="shared" si="50"/>
        <v>152000</v>
      </c>
      <c r="N547" s="5">
        <v>43000</v>
      </c>
      <c r="O547" s="8">
        <f t="shared" si="51"/>
        <v>195000</v>
      </c>
      <c r="P547" s="2" t="s">
        <v>22</v>
      </c>
      <c r="Q547" s="10" t="str">
        <f>VLOOKUP(A547,Status!A:B,2,0)</f>
        <v>Returned</v>
      </c>
      <c r="R547" s="2" t="s">
        <v>23</v>
      </c>
      <c r="S547" s="2">
        <v>2</v>
      </c>
      <c r="T547" s="2" t="s">
        <v>24</v>
      </c>
      <c r="U547" s="10" t="str">
        <f t="shared" si="53"/>
        <v>Apr</v>
      </c>
      <c r="V547" s="10">
        <f t="shared" si="52"/>
        <v>2025</v>
      </c>
      <c r="W547" t="e" cm="1">
        <f t="array" ref="W547">_xlfn.IFS(U547="January",1,U547="February",2,U547="March",3,U547="April",4,U547="May",5,U547="June",6,U547="July",7,U547="August",8,U547="September",9,U547="October",10,U547="November",11,U547="December",12)</f>
        <v>#N/A</v>
      </c>
    </row>
    <row r="548" spans="1:23" ht="15.75" customHeight="1" x14ac:dyDescent="0.25">
      <c r="A548" s="2" t="s">
        <v>1506</v>
      </c>
      <c r="B548" s="3">
        <v>45762.508668981478</v>
      </c>
      <c r="C548" s="2" t="s">
        <v>832</v>
      </c>
      <c r="D548" s="2" t="s">
        <v>131</v>
      </c>
      <c r="E548" s="2" t="s">
        <v>28</v>
      </c>
      <c r="F548" s="2" t="str" cm="1">
        <f t="array" ref="F548:G548">_xlfn.TEXTSPLIT(E548," - ")</f>
        <v>Garam</v>
      </c>
      <c r="G548" s="2" t="str">
        <v>Brand B</v>
      </c>
      <c r="H548" s="5">
        <v>5000</v>
      </c>
      <c r="I548" s="2">
        <v>1</v>
      </c>
      <c r="J548" s="2">
        <v>0</v>
      </c>
      <c r="K548" s="8">
        <f t="shared" si="48"/>
        <v>5000</v>
      </c>
      <c r="L548" s="8">
        <f t="shared" si="49"/>
        <v>0</v>
      </c>
      <c r="M548" s="8">
        <f t="shared" si="50"/>
        <v>5000</v>
      </c>
      <c r="N548" s="5">
        <v>59000</v>
      </c>
      <c r="O548" s="8">
        <f t="shared" si="51"/>
        <v>64000</v>
      </c>
      <c r="P548" s="2" t="s">
        <v>29</v>
      </c>
      <c r="Q548" s="10" t="str">
        <f>VLOOKUP(A548,Status!A:B,2,0)</f>
        <v>Completed</v>
      </c>
      <c r="R548" s="2" t="s">
        <v>23</v>
      </c>
      <c r="S548" s="2">
        <v>2</v>
      </c>
      <c r="T548" s="2" t="s">
        <v>24</v>
      </c>
      <c r="U548" s="10" t="str">
        <f t="shared" si="53"/>
        <v>Apr</v>
      </c>
      <c r="V548" s="10">
        <f t="shared" si="52"/>
        <v>2025</v>
      </c>
      <c r="W548" t="e" cm="1">
        <f t="array" ref="W548">_xlfn.IFS(U548="January",1,U548="February",2,U548="March",3,U548="April",4,U548="May",5,U548="June",6,U548="July",7,U548="August",8,U548="September",9,U548="October",10,U548="November",11,U548="December",12)</f>
        <v>#N/A</v>
      </c>
    </row>
    <row r="549" spans="1:23" ht="15.75" customHeight="1" x14ac:dyDescent="0.25">
      <c r="A549" s="2" t="s">
        <v>1507</v>
      </c>
      <c r="B549" s="3">
        <v>45762.786064814813</v>
      </c>
      <c r="C549" s="2" t="s">
        <v>468</v>
      </c>
      <c r="D549" s="2" t="s">
        <v>163</v>
      </c>
      <c r="E549" s="2" t="s">
        <v>104</v>
      </c>
      <c r="F549" s="2" t="str" cm="1">
        <f t="array" ref="F549:G549">_xlfn.TEXTSPLIT(E549," - ")</f>
        <v>Bawang Merah</v>
      </c>
      <c r="G549" s="2" t="str">
        <v>Brand A</v>
      </c>
      <c r="H549" s="5">
        <v>30000</v>
      </c>
      <c r="I549" s="2">
        <v>3</v>
      </c>
      <c r="J549" s="2">
        <v>10</v>
      </c>
      <c r="K549" s="8">
        <f t="shared" si="48"/>
        <v>90000</v>
      </c>
      <c r="L549" s="8">
        <f t="shared" si="49"/>
        <v>9000</v>
      </c>
      <c r="M549" s="8">
        <f t="shared" si="50"/>
        <v>81000</v>
      </c>
      <c r="N549" s="5">
        <v>50000</v>
      </c>
      <c r="O549" s="8">
        <f t="shared" si="51"/>
        <v>131000</v>
      </c>
      <c r="P549" s="2" t="s">
        <v>22</v>
      </c>
      <c r="Q549" s="10" t="str">
        <f>VLOOKUP(A549,Status!A:B,2,0)</f>
        <v>Completed</v>
      </c>
      <c r="R549" s="2" t="s">
        <v>36</v>
      </c>
      <c r="S549" s="2">
        <v>4</v>
      </c>
      <c r="T549" s="2" t="s">
        <v>24</v>
      </c>
      <c r="U549" s="10" t="str">
        <f t="shared" si="53"/>
        <v>Apr</v>
      </c>
      <c r="V549" s="10">
        <f t="shared" si="52"/>
        <v>2025</v>
      </c>
      <c r="W549" t="e" cm="1">
        <f t="array" ref="W549">_xlfn.IFS(U549="January",1,U549="February",2,U549="March",3,U549="April",4,U549="May",5,U549="June",6,U549="July",7,U549="August",8,U549="September",9,U549="October",10,U549="November",11,U549="December",12)</f>
        <v>#N/A</v>
      </c>
    </row>
    <row r="550" spans="1:23" ht="15.75" customHeight="1" x14ac:dyDescent="0.25">
      <c r="A550" s="2" t="s">
        <v>1508</v>
      </c>
      <c r="B550" s="3">
        <v>45763.144907407397</v>
      </c>
      <c r="C550" s="2" t="s">
        <v>1509</v>
      </c>
      <c r="D550" s="2" t="s">
        <v>122</v>
      </c>
      <c r="E550" s="2" t="s">
        <v>50</v>
      </c>
      <c r="F550" s="2" t="str" cm="1">
        <f t="array" ref="F550:G550">_xlfn.TEXTSPLIT(E550," - ")</f>
        <v>Tepung Terigu</v>
      </c>
      <c r="G550" s="2" t="str">
        <v>Brand C</v>
      </c>
      <c r="H550" s="5">
        <v>14000</v>
      </c>
      <c r="I550" s="2">
        <v>4</v>
      </c>
      <c r="J550" s="2">
        <v>10</v>
      </c>
      <c r="K550" s="8">
        <f t="shared" si="48"/>
        <v>56000</v>
      </c>
      <c r="L550" s="8">
        <f t="shared" si="49"/>
        <v>5600</v>
      </c>
      <c r="M550" s="8">
        <f t="shared" si="50"/>
        <v>50400</v>
      </c>
      <c r="N550" s="5">
        <v>78000</v>
      </c>
      <c r="O550" s="8">
        <f t="shared" si="51"/>
        <v>128400</v>
      </c>
      <c r="P550" s="2" t="s">
        <v>35</v>
      </c>
      <c r="Q550" s="10" t="str">
        <f>VLOOKUP(A550,Status!A:B,2,0)</f>
        <v>Returned</v>
      </c>
      <c r="R550" s="2" t="s">
        <v>36</v>
      </c>
      <c r="S550" s="2">
        <v>1</v>
      </c>
      <c r="T550" s="2" t="s">
        <v>24</v>
      </c>
      <c r="U550" s="10" t="str">
        <f t="shared" si="53"/>
        <v>Apr</v>
      </c>
      <c r="V550" s="10">
        <f t="shared" si="52"/>
        <v>2025</v>
      </c>
      <c r="W550" t="e" cm="1">
        <f t="array" ref="W550">_xlfn.IFS(U550="January",1,U550="February",2,U550="March",3,U550="April",4,U550="May",5,U550="June",6,U550="July",7,U550="August",8,U550="September",9,U550="October",10,U550="November",11,U550="December",12)</f>
        <v>#N/A</v>
      </c>
    </row>
    <row r="551" spans="1:23" ht="15.75" customHeight="1" x14ac:dyDescent="0.25">
      <c r="A551" s="2" t="s">
        <v>1510</v>
      </c>
      <c r="B551" s="3">
        <v>45763.149722222217</v>
      </c>
      <c r="C551" s="2" t="s">
        <v>32</v>
      </c>
      <c r="D551" s="2" t="s">
        <v>33</v>
      </c>
      <c r="E551" s="2" t="s">
        <v>54</v>
      </c>
      <c r="F551" s="2" t="str" cm="1">
        <f t="array" ref="F551:G551">_xlfn.TEXTSPLIT(E551," - ")</f>
        <v>Beras</v>
      </c>
      <c r="G551" s="2" t="str">
        <v>Brand C</v>
      </c>
      <c r="H551" s="5">
        <v>16000</v>
      </c>
      <c r="I551" s="2">
        <v>4</v>
      </c>
      <c r="J551" s="2">
        <v>0</v>
      </c>
      <c r="K551" s="8">
        <f t="shared" si="48"/>
        <v>64000</v>
      </c>
      <c r="L551" s="8">
        <f t="shared" si="49"/>
        <v>0</v>
      </c>
      <c r="M551" s="8">
        <f t="shared" si="50"/>
        <v>64000</v>
      </c>
      <c r="N551" s="5">
        <v>76000</v>
      </c>
      <c r="O551" s="8">
        <f t="shared" si="51"/>
        <v>140000</v>
      </c>
      <c r="P551" s="2" t="s">
        <v>63</v>
      </c>
      <c r="Q551" s="10" t="str">
        <f>VLOOKUP(A551,Status!A:B,2,0)</f>
        <v>Completed</v>
      </c>
      <c r="R551" s="2" t="s">
        <v>30</v>
      </c>
      <c r="S551" s="2">
        <v>1</v>
      </c>
      <c r="T551" s="2" t="s">
        <v>37</v>
      </c>
      <c r="U551" s="10" t="str">
        <f t="shared" si="53"/>
        <v>Apr</v>
      </c>
      <c r="V551" s="10">
        <f t="shared" si="52"/>
        <v>2025</v>
      </c>
      <c r="W551" t="e" cm="1">
        <f t="array" ref="W551">_xlfn.IFS(U551="January",1,U551="February",2,U551="March",3,U551="April",4,U551="May",5,U551="June",6,U551="July",7,U551="August",8,U551="September",9,U551="October",10,U551="November",11,U551="December",12)</f>
        <v>#N/A</v>
      </c>
    </row>
    <row r="552" spans="1:23" ht="15.75" customHeight="1" x14ac:dyDescent="0.25">
      <c r="A552" s="2" t="s">
        <v>1511</v>
      </c>
      <c r="B552" s="3">
        <v>45763.371516203697</v>
      </c>
      <c r="C552" s="2" t="s">
        <v>265</v>
      </c>
      <c r="D552" s="2" t="s">
        <v>119</v>
      </c>
      <c r="E552" s="2" t="s">
        <v>88</v>
      </c>
      <c r="F552" s="2" t="str" cm="1">
        <f t="array" ref="F552:G552">_xlfn.TEXTSPLIT(E552," - ")</f>
        <v>Beras</v>
      </c>
      <c r="G552" s="2" t="str">
        <v>Brand A</v>
      </c>
      <c r="H552" s="5">
        <v>14000</v>
      </c>
      <c r="I552" s="2">
        <v>5</v>
      </c>
      <c r="J552" s="2">
        <v>15</v>
      </c>
      <c r="K552" s="8">
        <f t="shared" si="48"/>
        <v>70000</v>
      </c>
      <c r="L552" s="8">
        <f t="shared" si="49"/>
        <v>10500</v>
      </c>
      <c r="M552" s="8">
        <f t="shared" si="50"/>
        <v>59500</v>
      </c>
      <c r="N552" s="5">
        <v>0</v>
      </c>
      <c r="O552" s="8">
        <f t="shared" si="51"/>
        <v>59500</v>
      </c>
      <c r="P552" s="2" t="s">
        <v>63</v>
      </c>
      <c r="Q552" s="10" t="str">
        <f>VLOOKUP(A552,Status!A:B,2,0)</f>
        <v>Completed</v>
      </c>
      <c r="R552" s="2" t="s">
        <v>30</v>
      </c>
      <c r="S552" s="2">
        <v>1</v>
      </c>
      <c r="T552" s="2" t="s">
        <v>24</v>
      </c>
      <c r="U552" s="10" t="str">
        <f t="shared" si="53"/>
        <v>Apr</v>
      </c>
      <c r="V552" s="10">
        <f t="shared" si="52"/>
        <v>2025</v>
      </c>
      <c r="W552" t="e" cm="1">
        <f t="array" ref="W552">_xlfn.IFS(U552="January",1,U552="February",2,U552="March",3,U552="April",4,U552="May",5,U552="June",6,U552="July",7,U552="August",8,U552="September",9,U552="October",10,U552="November",11,U552="December",12)</f>
        <v>#N/A</v>
      </c>
    </row>
    <row r="553" spans="1:23" ht="15.75" customHeight="1" x14ac:dyDescent="0.25">
      <c r="A553" s="2" t="s">
        <v>1512</v>
      </c>
      <c r="B553" s="3">
        <v>45763.471747685187</v>
      </c>
      <c r="C553" s="2" t="s">
        <v>121</v>
      </c>
      <c r="D553" s="2" t="s">
        <v>122</v>
      </c>
      <c r="E553" s="2" t="s">
        <v>250</v>
      </c>
      <c r="F553" s="2" t="str" cm="1">
        <f t="array" ref="F553:G553">_xlfn.TEXTSPLIT(E553," - ")</f>
        <v>Minyak Goreng</v>
      </c>
      <c r="G553" s="2" t="str">
        <v>Brand C</v>
      </c>
      <c r="H553" s="5">
        <v>18000</v>
      </c>
      <c r="I553" s="2">
        <v>2</v>
      </c>
      <c r="J553" s="2">
        <v>5</v>
      </c>
      <c r="K553" s="8">
        <f t="shared" si="48"/>
        <v>36000</v>
      </c>
      <c r="L553" s="8">
        <f t="shared" si="49"/>
        <v>1800</v>
      </c>
      <c r="M553" s="8">
        <f t="shared" si="50"/>
        <v>34200</v>
      </c>
      <c r="N553" s="5">
        <v>78000</v>
      </c>
      <c r="O553" s="8">
        <f t="shared" si="51"/>
        <v>112200</v>
      </c>
      <c r="P553" s="2" t="s">
        <v>29</v>
      </c>
      <c r="Q553" s="10" t="str">
        <f>VLOOKUP(A553,Status!A:B,2,0)</f>
        <v>Completed</v>
      </c>
      <c r="R553" s="2" t="s">
        <v>82</v>
      </c>
      <c r="S553" s="2">
        <v>3</v>
      </c>
      <c r="T553" s="2" t="s">
        <v>24</v>
      </c>
      <c r="U553" s="10" t="str">
        <f t="shared" si="53"/>
        <v>Apr</v>
      </c>
      <c r="V553" s="10">
        <f t="shared" si="52"/>
        <v>2025</v>
      </c>
      <c r="W553" t="e" cm="1">
        <f t="array" ref="W553">_xlfn.IFS(U553="January",1,U553="February",2,U553="March",3,U553="April",4,U553="May",5,U553="June",6,U553="July",7,U553="August",8,U553="September",9,U553="October",10,U553="November",11,U553="December",12)</f>
        <v>#N/A</v>
      </c>
    </row>
    <row r="554" spans="1:23" ht="15.75" customHeight="1" x14ac:dyDescent="0.25">
      <c r="A554" s="2" t="s">
        <v>1513</v>
      </c>
      <c r="B554" s="3">
        <v>45763.515949074077</v>
      </c>
      <c r="C554" s="2" t="s">
        <v>209</v>
      </c>
      <c r="D554" s="2" t="s">
        <v>143</v>
      </c>
      <c r="E554" s="2" t="s">
        <v>50</v>
      </c>
      <c r="F554" s="2" t="str" cm="1">
        <f t="array" ref="F554:G554">_xlfn.TEXTSPLIT(E554," - ")</f>
        <v>Tepung Terigu</v>
      </c>
      <c r="G554" s="2" t="str">
        <v>Brand C</v>
      </c>
      <c r="H554" s="5">
        <v>14000</v>
      </c>
      <c r="I554" s="2">
        <v>4</v>
      </c>
      <c r="J554" s="2">
        <v>20</v>
      </c>
      <c r="K554" s="8">
        <f t="shared" si="48"/>
        <v>56000</v>
      </c>
      <c r="L554" s="8">
        <f t="shared" si="49"/>
        <v>11200</v>
      </c>
      <c r="M554" s="8">
        <f t="shared" si="50"/>
        <v>44800</v>
      </c>
      <c r="N554" s="5">
        <v>50000</v>
      </c>
      <c r="O554" s="8">
        <f t="shared" si="51"/>
        <v>94800</v>
      </c>
      <c r="P554" s="2" t="s">
        <v>29</v>
      </c>
      <c r="Q554" s="10" t="str">
        <f>VLOOKUP(A554,Status!A:B,2,0)</f>
        <v>Completed</v>
      </c>
      <c r="R554" s="2" t="s">
        <v>36</v>
      </c>
      <c r="S554" s="2">
        <v>5</v>
      </c>
      <c r="T554" s="2" t="s">
        <v>37</v>
      </c>
      <c r="U554" s="10" t="str">
        <f t="shared" si="53"/>
        <v>Apr</v>
      </c>
      <c r="V554" s="10">
        <f t="shared" si="52"/>
        <v>2025</v>
      </c>
      <c r="W554" t="e" cm="1">
        <f t="array" ref="W554">_xlfn.IFS(U554="January",1,U554="February",2,U554="March",3,U554="April",4,U554="May",5,U554="June",6,U554="July",7,U554="August",8,U554="September",9,U554="October",10,U554="November",11,U554="December",12)</f>
        <v>#N/A</v>
      </c>
    </row>
    <row r="555" spans="1:23" ht="15.75" customHeight="1" x14ac:dyDescent="0.25">
      <c r="A555" s="2" t="s">
        <v>1514</v>
      </c>
      <c r="B555" s="3">
        <v>45763.700844907413</v>
      </c>
      <c r="C555" s="2" t="s">
        <v>431</v>
      </c>
      <c r="D555" s="2" t="s">
        <v>33</v>
      </c>
      <c r="E555" s="2" t="s">
        <v>186</v>
      </c>
      <c r="F555" s="2" t="str" cm="1">
        <f t="array" ref="F555:G555">_xlfn.TEXTSPLIT(E555," - ")</f>
        <v>Susu Bubuk</v>
      </c>
      <c r="G555" s="2" t="str">
        <v>Brand A</v>
      </c>
      <c r="H555" s="5">
        <v>45000</v>
      </c>
      <c r="I555" s="2">
        <v>2</v>
      </c>
      <c r="J555" s="2">
        <v>5</v>
      </c>
      <c r="K555" s="8">
        <f t="shared" si="48"/>
        <v>90000</v>
      </c>
      <c r="L555" s="8">
        <f t="shared" si="49"/>
        <v>4500</v>
      </c>
      <c r="M555" s="8">
        <f t="shared" si="50"/>
        <v>85500</v>
      </c>
      <c r="N555" s="5">
        <v>76000</v>
      </c>
      <c r="O555" s="8">
        <f t="shared" si="51"/>
        <v>161500</v>
      </c>
      <c r="P555" s="2" t="s">
        <v>35</v>
      </c>
      <c r="Q555" s="10" t="str">
        <f>VLOOKUP(A555,Status!A:B,2,0)</f>
        <v>Completed</v>
      </c>
      <c r="R555" s="2" t="s">
        <v>36</v>
      </c>
      <c r="S555" s="2">
        <v>5</v>
      </c>
      <c r="T555" s="2" t="s">
        <v>24</v>
      </c>
      <c r="U555" s="10" t="str">
        <f t="shared" si="53"/>
        <v>Apr</v>
      </c>
      <c r="V555" s="10">
        <f t="shared" si="52"/>
        <v>2025</v>
      </c>
      <c r="W555" t="e" cm="1">
        <f t="array" ref="W555">_xlfn.IFS(U555="January",1,U555="February",2,U555="March",3,U555="April",4,U555="May",5,U555="June",6,U555="July",7,U555="August",8,U555="September",9,U555="October",10,U555="November",11,U555="December",12)</f>
        <v>#N/A</v>
      </c>
    </row>
    <row r="556" spans="1:23" ht="15.75" customHeight="1" x14ac:dyDescent="0.25">
      <c r="A556" s="2" t="s">
        <v>1515</v>
      </c>
      <c r="B556" s="3">
        <v>45764.046620370369</v>
      </c>
      <c r="C556" s="2" t="s">
        <v>459</v>
      </c>
      <c r="D556" s="2" t="s">
        <v>61</v>
      </c>
      <c r="E556" s="2" t="s">
        <v>28</v>
      </c>
      <c r="F556" s="2" t="str" cm="1">
        <f t="array" ref="F556:G556">_xlfn.TEXTSPLIT(E556," - ")</f>
        <v>Garam</v>
      </c>
      <c r="G556" s="2" t="str">
        <v>Brand B</v>
      </c>
      <c r="H556" s="5">
        <v>5000</v>
      </c>
      <c r="I556" s="2">
        <v>2</v>
      </c>
      <c r="J556" s="2">
        <v>5</v>
      </c>
      <c r="K556" s="8">
        <f t="shared" si="48"/>
        <v>10000</v>
      </c>
      <c r="L556" s="8">
        <f t="shared" si="49"/>
        <v>500</v>
      </c>
      <c r="M556" s="8">
        <f t="shared" si="50"/>
        <v>9500</v>
      </c>
      <c r="N556" s="5">
        <v>26000</v>
      </c>
      <c r="O556" s="8">
        <f t="shared" si="51"/>
        <v>35500</v>
      </c>
      <c r="P556" s="2" t="s">
        <v>22</v>
      </c>
      <c r="Q556" s="10" t="str">
        <f>VLOOKUP(A556,Status!A:B,2,0)</f>
        <v>Completed</v>
      </c>
      <c r="R556" s="2" t="s">
        <v>46</v>
      </c>
      <c r="S556" s="2">
        <v>2</v>
      </c>
      <c r="T556" s="2" t="s">
        <v>24</v>
      </c>
      <c r="U556" s="10" t="str">
        <f t="shared" si="53"/>
        <v>Apr</v>
      </c>
      <c r="V556" s="10">
        <f t="shared" si="52"/>
        <v>2025</v>
      </c>
      <c r="W556" t="e" cm="1">
        <f t="array" ref="W556">_xlfn.IFS(U556="January",1,U556="February",2,U556="March",3,U556="April",4,U556="May",5,U556="June",6,U556="July",7,U556="August",8,U556="September",9,U556="October",10,U556="November",11,U556="December",12)</f>
        <v>#N/A</v>
      </c>
    </row>
    <row r="557" spans="1:23" ht="15.75" customHeight="1" x14ac:dyDescent="0.25">
      <c r="A557" s="2" t="s">
        <v>1516</v>
      </c>
      <c r="B557" s="3">
        <v>45764.619722222233</v>
      </c>
      <c r="C557" s="2" t="s">
        <v>922</v>
      </c>
      <c r="D557" s="2" t="s">
        <v>33</v>
      </c>
      <c r="E557" s="2" t="s">
        <v>45</v>
      </c>
      <c r="F557" s="2" t="str" cm="1">
        <f t="array" ref="F557:G557">_xlfn.TEXTSPLIT(E557," - ")</f>
        <v>Daging Ayam</v>
      </c>
      <c r="G557" s="2" t="str">
        <v>Brand B</v>
      </c>
      <c r="H557" s="5">
        <v>40000</v>
      </c>
      <c r="I557" s="2">
        <v>3</v>
      </c>
      <c r="J557" s="2">
        <v>0</v>
      </c>
      <c r="K557" s="8">
        <f t="shared" si="48"/>
        <v>120000</v>
      </c>
      <c r="L557" s="8">
        <f t="shared" si="49"/>
        <v>0</v>
      </c>
      <c r="M557" s="8">
        <f t="shared" si="50"/>
        <v>120000</v>
      </c>
      <c r="N557" s="5">
        <v>76000</v>
      </c>
      <c r="O557" s="8">
        <f t="shared" si="51"/>
        <v>196000</v>
      </c>
      <c r="P557" s="2" t="s">
        <v>35</v>
      </c>
      <c r="Q557" s="10" t="str">
        <f>VLOOKUP(A557,Status!A:B,2,0)</f>
        <v>Completed</v>
      </c>
      <c r="R557" s="2" t="s">
        <v>36</v>
      </c>
      <c r="S557" s="2">
        <v>5</v>
      </c>
      <c r="T557" s="2" t="s">
        <v>37</v>
      </c>
      <c r="U557" s="10" t="str">
        <f t="shared" si="53"/>
        <v>Apr</v>
      </c>
      <c r="V557" s="10">
        <f t="shared" si="52"/>
        <v>2025</v>
      </c>
      <c r="W557" t="e" cm="1">
        <f t="array" ref="W557">_xlfn.IFS(U557="January",1,U557="February",2,U557="March",3,U557="April",4,U557="May",5,U557="June",6,U557="July",7,U557="August",8,U557="September",9,U557="October",10,U557="November",11,U557="December",12)</f>
        <v>#N/A</v>
      </c>
    </row>
    <row r="558" spans="1:23" ht="15.75" customHeight="1" x14ac:dyDescent="0.25">
      <c r="A558" s="2" t="s">
        <v>1517</v>
      </c>
      <c r="B558" s="3">
        <v>45764.76189814815</v>
      </c>
      <c r="C558" s="2" t="s">
        <v>572</v>
      </c>
      <c r="D558" s="2" t="s">
        <v>33</v>
      </c>
      <c r="E558" s="2" t="s">
        <v>34</v>
      </c>
      <c r="F558" s="2" t="str" cm="1">
        <f t="array" ref="F558:G558">_xlfn.TEXTSPLIT(E558," - ")</f>
        <v>Minyak Goreng</v>
      </c>
      <c r="G558" s="2" t="str">
        <v>Brand A</v>
      </c>
      <c r="H558" s="5">
        <v>16000</v>
      </c>
      <c r="I558" s="2">
        <v>5</v>
      </c>
      <c r="J558" s="2">
        <v>10</v>
      </c>
      <c r="K558" s="8">
        <f t="shared" si="48"/>
        <v>80000</v>
      </c>
      <c r="L558" s="8">
        <f t="shared" si="49"/>
        <v>8000</v>
      </c>
      <c r="M558" s="8">
        <f t="shared" si="50"/>
        <v>72000</v>
      </c>
      <c r="N558" s="5">
        <v>76000</v>
      </c>
      <c r="O558" s="8">
        <f t="shared" si="51"/>
        <v>148000</v>
      </c>
      <c r="P558" s="2" t="s">
        <v>35</v>
      </c>
      <c r="Q558" s="10" t="str">
        <f>VLOOKUP(A558,Status!A:B,2,0)</f>
        <v>Completed</v>
      </c>
      <c r="R558" s="2" t="s">
        <v>23</v>
      </c>
      <c r="S558" s="2">
        <v>2</v>
      </c>
      <c r="T558" s="2" t="s">
        <v>24</v>
      </c>
      <c r="U558" s="10" t="str">
        <f t="shared" si="53"/>
        <v>Apr</v>
      </c>
      <c r="V558" s="10">
        <f t="shared" si="52"/>
        <v>2025</v>
      </c>
      <c r="W558" t="e" cm="1">
        <f t="array" ref="W558">_xlfn.IFS(U558="January",1,U558="February",2,U558="March",3,U558="April",4,U558="May",5,U558="June",6,U558="July",7,U558="August",8,U558="September",9,U558="October",10,U558="November",11,U558="December",12)</f>
        <v>#N/A</v>
      </c>
    </row>
    <row r="559" spans="1:23" ht="15.75" customHeight="1" x14ac:dyDescent="0.25">
      <c r="A559" s="2" t="s">
        <v>1518</v>
      </c>
      <c r="B559" s="3">
        <v>45764.911377314813</v>
      </c>
      <c r="C559" s="2" t="s">
        <v>596</v>
      </c>
      <c r="D559" s="2" t="s">
        <v>70</v>
      </c>
      <c r="E559" s="2" t="s">
        <v>45</v>
      </c>
      <c r="F559" s="2" t="str" cm="1">
        <f t="array" ref="F559:G559">_xlfn.TEXTSPLIT(E559," - ")</f>
        <v>Daging Ayam</v>
      </c>
      <c r="G559" s="2" t="str">
        <v>Brand B</v>
      </c>
      <c r="H559" s="5">
        <v>40000</v>
      </c>
      <c r="I559" s="2">
        <v>3</v>
      </c>
      <c r="J559" s="2">
        <v>0</v>
      </c>
      <c r="K559" s="8">
        <f t="shared" si="48"/>
        <v>120000</v>
      </c>
      <c r="L559" s="8">
        <f t="shared" si="49"/>
        <v>0</v>
      </c>
      <c r="M559" s="8">
        <f t="shared" si="50"/>
        <v>120000</v>
      </c>
      <c r="N559" s="5">
        <v>89000</v>
      </c>
      <c r="O559" s="8">
        <f t="shared" si="51"/>
        <v>209000</v>
      </c>
      <c r="P559" s="2" t="s">
        <v>63</v>
      </c>
      <c r="Q559" s="10" t="str">
        <f>VLOOKUP(A559,Status!A:B,2,0)</f>
        <v>Completed</v>
      </c>
      <c r="R559" s="2" t="s">
        <v>36</v>
      </c>
      <c r="S559" s="2">
        <v>4</v>
      </c>
      <c r="T559" s="2" t="s">
        <v>24</v>
      </c>
      <c r="U559" s="10" t="str">
        <f t="shared" si="53"/>
        <v>Apr</v>
      </c>
      <c r="V559" s="10">
        <f t="shared" si="52"/>
        <v>2025</v>
      </c>
      <c r="W559" t="e" cm="1">
        <f t="array" ref="W559">_xlfn.IFS(U559="January",1,U559="February",2,U559="March",3,U559="April",4,U559="May",5,U559="June",6,U559="July",7,U559="August",8,U559="September",9,U559="October",10,U559="November",11,U559="December",12)</f>
        <v>#N/A</v>
      </c>
    </row>
    <row r="560" spans="1:23" ht="15.75" customHeight="1" x14ac:dyDescent="0.25">
      <c r="A560" s="2" t="s">
        <v>1519</v>
      </c>
      <c r="B560" s="3">
        <v>45764.948333333326</v>
      </c>
      <c r="C560" s="2" t="s">
        <v>898</v>
      </c>
      <c r="D560" s="2" t="s">
        <v>195</v>
      </c>
      <c r="E560" s="2" t="s">
        <v>174</v>
      </c>
      <c r="F560" s="2" t="str" cm="1">
        <f t="array" ref="F560:G560">_xlfn.TEXTSPLIT(E560," - ")</f>
        <v>Tepung Terigu</v>
      </c>
      <c r="G560" s="2" t="str">
        <v>Brand A</v>
      </c>
      <c r="H560" s="5">
        <v>10000</v>
      </c>
      <c r="I560" s="2">
        <v>3</v>
      </c>
      <c r="J560" s="2">
        <v>20</v>
      </c>
      <c r="K560" s="8">
        <f t="shared" si="48"/>
        <v>30000</v>
      </c>
      <c r="L560" s="8">
        <f t="shared" si="49"/>
        <v>6000</v>
      </c>
      <c r="M560" s="8">
        <f t="shared" si="50"/>
        <v>24000</v>
      </c>
      <c r="N560" s="5">
        <v>87000</v>
      </c>
      <c r="O560" s="8">
        <f t="shared" si="51"/>
        <v>111000</v>
      </c>
      <c r="P560" s="2" t="s">
        <v>29</v>
      </c>
      <c r="Q560" s="10" t="str">
        <f>VLOOKUP(A560,Status!A:B,2,0)</f>
        <v>Completed</v>
      </c>
      <c r="R560" s="2" t="s">
        <v>30</v>
      </c>
      <c r="S560" s="2">
        <v>2</v>
      </c>
      <c r="T560" s="2" t="s">
        <v>24</v>
      </c>
      <c r="U560" s="10" t="str">
        <f t="shared" si="53"/>
        <v>Apr</v>
      </c>
      <c r="V560" s="10">
        <f t="shared" si="52"/>
        <v>2025</v>
      </c>
      <c r="W560" t="e" cm="1">
        <f t="array" ref="W560">_xlfn.IFS(U560="January",1,U560="February",2,U560="March",3,U560="April",4,U560="May",5,U560="June",6,U560="July",7,U560="August",8,U560="September",9,U560="October",10,U560="November",11,U560="December",12)</f>
        <v>#N/A</v>
      </c>
    </row>
    <row r="561" spans="1:23" ht="15.75" customHeight="1" x14ac:dyDescent="0.25">
      <c r="A561" s="2" t="s">
        <v>1520</v>
      </c>
      <c r="B561" s="3">
        <v>45765.371145833327</v>
      </c>
      <c r="C561" s="2" t="s">
        <v>383</v>
      </c>
      <c r="D561" s="2" t="s">
        <v>122</v>
      </c>
      <c r="E561" s="2" t="s">
        <v>34</v>
      </c>
      <c r="F561" s="2" t="str" cm="1">
        <f t="array" ref="F561:G561">_xlfn.TEXTSPLIT(E561," - ")</f>
        <v>Minyak Goreng</v>
      </c>
      <c r="G561" s="2" t="str">
        <v>Brand A</v>
      </c>
      <c r="H561" s="5">
        <v>16000</v>
      </c>
      <c r="I561" s="2">
        <v>2</v>
      </c>
      <c r="J561" s="2">
        <v>0</v>
      </c>
      <c r="K561" s="8">
        <f t="shared" si="48"/>
        <v>32000</v>
      </c>
      <c r="L561" s="8">
        <f t="shared" si="49"/>
        <v>0</v>
      </c>
      <c r="M561" s="8">
        <f t="shared" si="50"/>
        <v>32000</v>
      </c>
      <c r="N561" s="5">
        <v>78000</v>
      </c>
      <c r="O561" s="8">
        <f t="shared" si="51"/>
        <v>110000</v>
      </c>
      <c r="P561" s="2" t="s">
        <v>63</v>
      </c>
      <c r="Q561" s="10" t="str">
        <f>VLOOKUP(A561,Status!A:B,2,0)</f>
        <v>Completed</v>
      </c>
      <c r="R561" s="2" t="s">
        <v>82</v>
      </c>
      <c r="S561" s="2">
        <v>5</v>
      </c>
      <c r="T561" s="2" t="s">
        <v>24</v>
      </c>
      <c r="U561" s="10" t="str">
        <f t="shared" si="53"/>
        <v>Apr</v>
      </c>
      <c r="V561" s="10">
        <f t="shared" si="52"/>
        <v>2025</v>
      </c>
      <c r="W561" t="e" cm="1">
        <f t="array" ref="W561">_xlfn.IFS(U561="January",1,U561="February",2,U561="March",3,U561="April",4,U561="May",5,U561="June",6,U561="July",7,U561="August",8,U561="September",9,U561="October",10,U561="November",11,U561="December",12)</f>
        <v>#N/A</v>
      </c>
    </row>
    <row r="562" spans="1:23" ht="15.75" customHeight="1" x14ac:dyDescent="0.25">
      <c r="A562" s="2" t="s">
        <v>1521</v>
      </c>
      <c r="B562" s="3">
        <v>45765.387916666667</v>
      </c>
      <c r="C562" s="2" t="s">
        <v>443</v>
      </c>
      <c r="D562" s="2" t="s">
        <v>53</v>
      </c>
      <c r="E562" s="2" t="s">
        <v>58</v>
      </c>
      <c r="F562" s="2" t="str" cm="1">
        <f t="array" ref="F562:G562">_xlfn.TEXTSPLIT(E562," - ")</f>
        <v>Gula Pasir</v>
      </c>
      <c r="G562" s="2" t="str">
        <v>Brand A</v>
      </c>
      <c r="H562" s="5">
        <v>16000</v>
      </c>
      <c r="I562" s="2">
        <v>5</v>
      </c>
      <c r="J562" s="2">
        <v>15</v>
      </c>
      <c r="K562" s="8">
        <f t="shared" si="48"/>
        <v>80000</v>
      </c>
      <c r="L562" s="8">
        <f t="shared" si="49"/>
        <v>12000</v>
      </c>
      <c r="M562" s="8">
        <f t="shared" si="50"/>
        <v>68000</v>
      </c>
      <c r="N562" s="5">
        <v>18000</v>
      </c>
      <c r="O562" s="8">
        <f t="shared" si="51"/>
        <v>86000</v>
      </c>
      <c r="P562" s="2" t="s">
        <v>63</v>
      </c>
      <c r="Q562" s="10" t="str">
        <f>VLOOKUP(A562,Status!A:B,2,0)</f>
        <v>Completed</v>
      </c>
      <c r="R562" s="2" t="s">
        <v>30</v>
      </c>
      <c r="S562" s="2">
        <v>4</v>
      </c>
      <c r="T562" s="2" t="s">
        <v>24</v>
      </c>
      <c r="U562" s="10" t="str">
        <f t="shared" si="53"/>
        <v>Apr</v>
      </c>
      <c r="V562" s="10">
        <f t="shared" si="52"/>
        <v>2025</v>
      </c>
      <c r="W562" t="e" cm="1">
        <f t="array" ref="W562">_xlfn.IFS(U562="January",1,U562="February",2,U562="March",3,U562="April",4,U562="May",5,U562="June",6,U562="July",7,U562="August",8,U562="September",9,U562="October",10,U562="November",11,U562="December",12)</f>
        <v>#N/A</v>
      </c>
    </row>
    <row r="563" spans="1:23" ht="15.75" customHeight="1" x14ac:dyDescent="0.25">
      <c r="A563" s="2" t="s">
        <v>1522</v>
      </c>
      <c r="B563" s="3">
        <v>45765.740231481483</v>
      </c>
      <c r="C563" s="2" t="s">
        <v>1523</v>
      </c>
      <c r="D563" s="2" t="s">
        <v>96</v>
      </c>
      <c r="E563" s="2" t="s">
        <v>28</v>
      </c>
      <c r="F563" s="2" t="str" cm="1">
        <f t="array" ref="F563:G563">_xlfn.TEXTSPLIT(E563," - ")</f>
        <v>Garam</v>
      </c>
      <c r="G563" s="2" t="str">
        <v>Brand B</v>
      </c>
      <c r="H563" s="5">
        <v>5000</v>
      </c>
      <c r="I563" s="2">
        <v>1</v>
      </c>
      <c r="J563" s="2">
        <v>10</v>
      </c>
      <c r="K563" s="8">
        <f t="shared" si="48"/>
        <v>5000</v>
      </c>
      <c r="L563" s="8">
        <f t="shared" si="49"/>
        <v>500</v>
      </c>
      <c r="M563" s="8">
        <f t="shared" si="50"/>
        <v>4500</v>
      </c>
      <c r="N563" s="5">
        <v>49000</v>
      </c>
      <c r="O563" s="8">
        <f t="shared" si="51"/>
        <v>53500</v>
      </c>
      <c r="P563" s="2" t="s">
        <v>63</v>
      </c>
      <c r="Q563" s="10" t="str">
        <f>VLOOKUP(A563,Status!A:B,2,0)</f>
        <v>Completed</v>
      </c>
      <c r="R563" s="2" t="s">
        <v>30</v>
      </c>
      <c r="S563" s="2">
        <v>4</v>
      </c>
      <c r="T563" s="2" t="s">
        <v>24</v>
      </c>
      <c r="U563" s="10" t="str">
        <f t="shared" si="53"/>
        <v>Apr</v>
      </c>
      <c r="V563" s="10">
        <f t="shared" si="52"/>
        <v>2025</v>
      </c>
      <c r="W563" t="e" cm="1">
        <f t="array" ref="W563">_xlfn.IFS(U563="January",1,U563="February",2,U563="March",3,U563="April",4,U563="May",5,U563="June",6,U563="July",7,U563="August",8,U563="September",9,U563="October",10,U563="November",11,U563="December",12)</f>
        <v>#N/A</v>
      </c>
    </row>
    <row r="564" spans="1:23" ht="15.75" customHeight="1" x14ac:dyDescent="0.25">
      <c r="A564" s="2" t="s">
        <v>1524</v>
      </c>
      <c r="B564" s="3">
        <v>45766.156759259262</v>
      </c>
      <c r="C564" s="2" t="s">
        <v>1263</v>
      </c>
      <c r="D564" s="2" t="s">
        <v>435</v>
      </c>
      <c r="E564" s="2" t="s">
        <v>81</v>
      </c>
      <c r="F564" s="2" t="str" cm="1">
        <f t="array" ref="F564:G564">_xlfn.TEXTSPLIT(E564," - ")</f>
        <v>Minyak Goreng</v>
      </c>
      <c r="G564" s="2" t="str">
        <v>Brand B</v>
      </c>
      <c r="H564" s="5">
        <v>17000</v>
      </c>
      <c r="I564" s="2">
        <v>4</v>
      </c>
      <c r="J564" s="2">
        <v>0</v>
      </c>
      <c r="K564" s="8">
        <f t="shared" si="48"/>
        <v>68000</v>
      </c>
      <c r="L564" s="8">
        <f t="shared" si="49"/>
        <v>0</v>
      </c>
      <c r="M564" s="8">
        <f t="shared" si="50"/>
        <v>68000</v>
      </c>
      <c r="N564" s="5">
        <v>67000</v>
      </c>
      <c r="O564" s="8">
        <f t="shared" si="51"/>
        <v>135000</v>
      </c>
      <c r="P564" s="2" t="s">
        <v>35</v>
      </c>
      <c r="Q564" s="10" t="str">
        <f>VLOOKUP(A564,Status!A:B,2,0)</f>
        <v>Completed</v>
      </c>
      <c r="R564" s="2" t="s">
        <v>30</v>
      </c>
      <c r="S564" s="2">
        <v>2</v>
      </c>
      <c r="T564" s="2" t="s">
        <v>24</v>
      </c>
      <c r="U564" s="10" t="str">
        <f t="shared" si="53"/>
        <v>Apr</v>
      </c>
      <c r="V564" s="10">
        <f t="shared" si="52"/>
        <v>2025</v>
      </c>
      <c r="W564" t="e" cm="1">
        <f t="array" ref="W564">_xlfn.IFS(U564="January",1,U564="February",2,U564="March",3,U564="April",4,U564="May",5,U564="June",6,U564="July",7,U564="August",8,U564="September",9,U564="October",10,U564="November",11,U564="December",12)</f>
        <v>#N/A</v>
      </c>
    </row>
    <row r="565" spans="1:23" ht="15.75" customHeight="1" x14ac:dyDescent="0.25">
      <c r="A565" s="2" t="s">
        <v>1525</v>
      </c>
      <c r="B565" s="3">
        <v>45766.712314814817</v>
      </c>
      <c r="C565" s="2" t="s">
        <v>383</v>
      </c>
      <c r="D565" s="2" t="s">
        <v>122</v>
      </c>
      <c r="E565" s="2" t="s">
        <v>38</v>
      </c>
      <c r="F565" s="2" t="str" cm="1">
        <f t="array" ref="F565:G565">_xlfn.TEXTSPLIT(E565," - ")</f>
        <v>Telur Ayam</v>
      </c>
      <c r="G565" s="2" t="str">
        <v>Brand C</v>
      </c>
      <c r="H565" s="5">
        <v>28000</v>
      </c>
      <c r="I565" s="2">
        <v>4</v>
      </c>
      <c r="J565" s="2">
        <v>5</v>
      </c>
      <c r="K565" s="8">
        <f t="shared" si="48"/>
        <v>112000</v>
      </c>
      <c r="L565" s="8">
        <f t="shared" si="49"/>
        <v>5600</v>
      </c>
      <c r="M565" s="8">
        <f t="shared" si="50"/>
        <v>106400</v>
      </c>
      <c r="N565" s="5">
        <v>78000</v>
      </c>
      <c r="O565" s="8">
        <f t="shared" si="51"/>
        <v>184400</v>
      </c>
      <c r="P565" s="2" t="s">
        <v>22</v>
      </c>
      <c r="Q565" s="10" t="str">
        <f>VLOOKUP(A565,Status!A:B,2,0)</f>
        <v>Completed</v>
      </c>
      <c r="R565" s="2" t="s">
        <v>23</v>
      </c>
      <c r="S565" s="2">
        <v>1</v>
      </c>
      <c r="T565" s="2" t="s">
        <v>24</v>
      </c>
      <c r="U565" s="10" t="str">
        <f t="shared" si="53"/>
        <v>Apr</v>
      </c>
      <c r="V565" s="10">
        <f t="shared" si="52"/>
        <v>2025</v>
      </c>
      <c r="W565" t="e" cm="1">
        <f t="array" ref="W565">_xlfn.IFS(U565="January",1,U565="February",2,U565="March",3,U565="April",4,U565="May",5,U565="June",6,U565="July",7,U565="August",8,U565="September",9,U565="October",10,U565="November",11,U565="December",12)</f>
        <v>#N/A</v>
      </c>
    </row>
    <row r="566" spans="1:23" ht="15.75" customHeight="1" x14ac:dyDescent="0.25">
      <c r="A566" s="2" t="s">
        <v>1526</v>
      </c>
      <c r="B566" s="3">
        <v>45767.189675925933</v>
      </c>
      <c r="C566" s="2" t="s">
        <v>95</v>
      </c>
      <c r="D566" s="2" t="s">
        <v>96</v>
      </c>
      <c r="E566" s="2" t="s">
        <v>21</v>
      </c>
      <c r="F566" s="2" t="str" cm="1">
        <f t="array" ref="F566:G566">_xlfn.TEXTSPLIT(E566," - ")</f>
        <v>Daging Ayam</v>
      </c>
      <c r="G566" s="2" t="str">
        <v>Brand C</v>
      </c>
      <c r="H566" s="5">
        <v>45000</v>
      </c>
      <c r="I566" s="2">
        <v>2</v>
      </c>
      <c r="J566" s="2">
        <v>20</v>
      </c>
      <c r="K566" s="8">
        <f t="shared" si="48"/>
        <v>90000</v>
      </c>
      <c r="L566" s="8">
        <f t="shared" si="49"/>
        <v>18000</v>
      </c>
      <c r="M566" s="8">
        <f t="shared" si="50"/>
        <v>72000</v>
      </c>
      <c r="N566" s="5">
        <v>49000</v>
      </c>
      <c r="O566" s="8">
        <f t="shared" si="51"/>
        <v>121000</v>
      </c>
      <c r="P566" s="2" t="s">
        <v>35</v>
      </c>
      <c r="Q566" s="10" t="str">
        <f>VLOOKUP(A566,Status!A:B,2,0)</f>
        <v>Cancelled</v>
      </c>
      <c r="R566" s="2" t="s">
        <v>36</v>
      </c>
      <c r="S566" s="2">
        <v>1</v>
      </c>
      <c r="T566" s="2" t="s">
        <v>24</v>
      </c>
      <c r="U566" s="10" t="str">
        <f t="shared" si="53"/>
        <v>Apr</v>
      </c>
      <c r="V566" s="10">
        <f t="shared" si="52"/>
        <v>2025</v>
      </c>
      <c r="W566" t="e" cm="1">
        <f t="array" ref="W566">_xlfn.IFS(U566="January",1,U566="February",2,U566="March",3,U566="April",4,U566="May",5,U566="June",6,U566="July",7,U566="August",8,U566="September",9,U566="October",10,U566="November",11,U566="December",12)</f>
        <v>#N/A</v>
      </c>
    </row>
    <row r="567" spans="1:23" ht="15.75" customHeight="1" x14ac:dyDescent="0.25">
      <c r="A567" s="2" t="s">
        <v>1527</v>
      </c>
      <c r="B567" s="3">
        <v>45767.371342592603</v>
      </c>
      <c r="C567" s="2" t="s">
        <v>666</v>
      </c>
      <c r="D567" s="2" t="s">
        <v>66</v>
      </c>
      <c r="E567" s="2" t="s">
        <v>62</v>
      </c>
      <c r="F567" s="2" t="str" cm="1">
        <f t="array" ref="F567:G567">_xlfn.TEXTSPLIT(E567," - ")</f>
        <v>Susu Bubuk</v>
      </c>
      <c r="G567" s="2" t="str">
        <v>Brand B</v>
      </c>
      <c r="H567" s="5">
        <v>50000</v>
      </c>
      <c r="I567" s="2">
        <v>1</v>
      </c>
      <c r="J567" s="2">
        <v>0</v>
      </c>
      <c r="K567" s="8">
        <f t="shared" si="48"/>
        <v>50000</v>
      </c>
      <c r="L567" s="8">
        <f t="shared" si="49"/>
        <v>0</v>
      </c>
      <c r="M567" s="8">
        <f t="shared" si="50"/>
        <v>50000</v>
      </c>
      <c r="N567" s="5">
        <v>59000</v>
      </c>
      <c r="O567" s="8">
        <f t="shared" si="51"/>
        <v>109000</v>
      </c>
      <c r="P567" s="2" t="s">
        <v>35</v>
      </c>
      <c r="Q567" s="10" t="str">
        <f>VLOOKUP(A567,Status!A:B,2,0)</f>
        <v>Completed</v>
      </c>
      <c r="R567" s="2" t="s">
        <v>82</v>
      </c>
      <c r="S567" s="2">
        <v>1</v>
      </c>
      <c r="T567" s="2" t="s">
        <v>24</v>
      </c>
      <c r="U567" s="10" t="str">
        <f t="shared" si="53"/>
        <v>Apr</v>
      </c>
      <c r="V567" s="10">
        <f t="shared" si="52"/>
        <v>2025</v>
      </c>
      <c r="W567" t="e" cm="1">
        <f t="array" ref="W567">_xlfn.IFS(U567="January",1,U567="February",2,U567="March",3,U567="April",4,U567="May",5,U567="June",6,U567="July",7,U567="August",8,U567="September",9,U567="October",10,U567="November",11,U567="December",12)</f>
        <v>#N/A</v>
      </c>
    </row>
    <row r="568" spans="1:23" ht="15.75" customHeight="1" x14ac:dyDescent="0.25">
      <c r="A568" s="2" t="s">
        <v>1528</v>
      </c>
      <c r="B568" s="3">
        <v>45767.893483796302</v>
      </c>
      <c r="C568" s="2" t="s">
        <v>794</v>
      </c>
      <c r="D568" s="2" t="s">
        <v>61</v>
      </c>
      <c r="E568" s="2" t="s">
        <v>21</v>
      </c>
      <c r="F568" s="2" t="str" cm="1">
        <f t="array" ref="F568:G568">_xlfn.TEXTSPLIT(E568," - ")</f>
        <v>Daging Ayam</v>
      </c>
      <c r="G568" s="2" t="str">
        <v>Brand C</v>
      </c>
      <c r="H568" s="5">
        <v>45000</v>
      </c>
      <c r="I568" s="2">
        <v>5</v>
      </c>
      <c r="J568" s="2">
        <v>5</v>
      </c>
      <c r="K568" s="8">
        <f t="shared" si="48"/>
        <v>225000</v>
      </c>
      <c r="L568" s="8">
        <f t="shared" si="49"/>
        <v>11250</v>
      </c>
      <c r="M568" s="8">
        <f t="shared" si="50"/>
        <v>213750</v>
      </c>
      <c r="N568" s="5">
        <v>26000</v>
      </c>
      <c r="O568" s="8">
        <f t="shared" si="51"/>
        <v>239750</v>
      </c>
      <c r="P568" s="2" t="s">
        <v>29</v>
      </c>
      <c r="Q568" s="10" t="str">
        <f>VLOOKUP(A568,Status!A:B,2,0)</f>
        <v>Completed</v>
      </c>
      <c r="R568" s="2" t="s">
        <v>23</v>
      </c>
      <c r="S568" s="2">
        <v>5</v>
      </c>
      <c r="T568" s="2" t="s">
        <v>37</v>
      </c>
      <c r="U568" s="10" t="str">
        <f t="shared" si="53"/>
        <v>Apr</v>
      </c>
      <c r="V568" s="10">
        <f t="shared" si="52"/>
        <v>2025</v>
      </c>
      <c r="W568" t="e" cm="1">
        <f t="array" ref="W568">_xlfn.IFS(U568="January",1,U568="February",2,U568="March",3,U568="April",4,U568="May",5,U568="June",6,U568="July",7,U568="August",8,U568="September",9,U568="October",10,U568="November",11,U568="December",12)</f>
        <v>#N/A</v>
      </c>
    </row>
    <row r="569" spans="1:23" ht="15.75" customHeight="1" x14ac:dyDescent="0.25">
      <c r="A569" s="2" t="s">
        <v>1529</v>
      </c>
      <c r="B569" s="3">
        <v>45767.8983912037</v>
      </c>
      <c r="C569" s="2" t="s">
        <v>1530</v>
      </c>
      <c r="D569" s="2" t="s">
        <v>122</v>
      </c>
      <c r="E569" s="2" t="s">
        <v>138</v>
      </c>
      <c r="F569" s="2" t="str" cm="1">
        <f t="array" ref="F569:G569">_xlfn.TEXTSPLIT(E569," - ")</f>
        <v>Gula Pasir</v>
      </c>
      <c r="G569" s="2" t="str">
        <v>Brand B</v>
      </c>
      <c r="H569" s="5">
        <v>17000</v>
      </c>
      <c r="I569" s="2">
        <v>2</v>
      </c>
      <c r="J569" s="2">
        <v>5</v>
      </c>
      <c r="K569" s="8">
        <f t="shared" si="48"/>
        <v>34000</v>
      </c>
      <c r="L569" s="8">
        <f t="shared" si="49"/>
        <v>1700</v>
      </c>
      <c r="M569" s="8">
        <f t="shared" si="50"/>
        <v>32300</v>
      </c>
      <c r="N569" s="5">
        <v>78000</v>
      </c>
      <c r="O569" s="8">
        <f t="shared" si="51"/>
        <v>110300</v>
      </c>
      <c r="P569" s="2" t="s">
        <v>63</v>
      </c>
      <c r="Q569" s="10" t="str">
        <f>VLOOKUP(A569,Status!A:B,2,0)</f>
        <v>Returned</v>
      </c>
      <c r="R569" s="2" t="s">
        <v>30</v>
      </c>
      <c r="S569" s="2">
        <v>2</v>
      </c>
      <c r="T569" s="2" t="s">
        <v>24</v>
      </c>
      <c r="U569" s="10" t="str">
        <f t="shared" si="53"/>
        <v>Apr</v>
      </c>
      <c r="V569" s="10">
        <f t="shared" si="52"/>
        <v>2025</v>
      </c>
      <c r="W569" t="e" cm="1">
        <f t="array" ref="W569">_xlfn.IFS(U569="January",1,U569="February",2,U569="March",3,U569="April",4,U569="May",5,U569="June",6,U569="July",7,U569="August",8,U569="September",9,U569="October",10,U569="November",11,U569="December",12)</f>
        <v>#N/A</v>
      </c>
    </row>
    <row r="570" spans="1:23" ht="15.75" customHeight="1" x14ac:dyDescent="0.25">
      <c r="A570" s="2" t="s">
        <v>1531</v>
      </c>
      <c r="B570" s="3">
        <v>45768.227905092594</v>
      </c>
      <c r="C570" s="2" t="s">
        <v>891</v>
      </c>
      <c r="D570" s="2" t="s">
        <v>126</v>
      </c>
      <c r="E570" s="2" t="s">
        <v>75</v>
      </c>
      <c r="F570" s="2" t="str" cm="1">
        <f t="array" ref="F570:G570">_xlfn.TEXTSPLIT(E570," - ")</f>
        <v>Susu Bubuk</v>
      </c>
      <c r="G570" s="2" t="str">
        <v>Brand C</v>
      </c>
      <c r="H570" s="5">
        <v>55000</v>
      </c>
      <c r="I570" s="2">
        <v>5</v>
      </c>
      <c r="J570" s="2">
        <v>15</v>
      </c>
      <c r="K570" s="8">
        <f t="shared" si="48"/>
        <v>275000</v>
      </c>
      <c r="L570" s="8">
        <f t="shared" si="49"/>
        <v>41250</v>
      </c>
      <c r="M570" s="8">
        <f t="shared" si="50"/>
        <v>233750</v>
      </c>
      <c r="N570" s="5">
        <v>84000</v>
      </c>
      <c r="O570" s="8">
        <f t="shared" si="51"/>
        <v>317750</v>
      </c>
      <c r="P570" s="2" t="s">
        <v>63</v>
      </c>
      <c r="Q570" s="10" t="str">
        <f>VLOOKUP(A570,Status!A:B,2,0)</f>
        <v>Returned</v>
      </c>
      <c r="R570" s="2" t="s">
        <v>46</v>
      </c>
      <c r="S570" s="2">
        <v>1</v>
      </c>
      <c r="T570" s="2" t="s">
        <v>37</v>
      </c>
      <c r="U570" s="10" t="str">
        <f t="shared" si="53"/>
        <v>Apr</v>
      </c>
      <c r="V570" s="10">
        <f t="shared" si="52"/>
        <v>2025</v>
      </c>
      <c r="W570" t="e" cm="1">
        <f t="array" ref="W570">_xlfn.IFS(U570="January",1,U570="February",2,U570="March",3,U570="April",4,U570="May",5,U570="June",6,U570="July",7,U570="August",8,U570="September",9,U570="October",10,U570="November",11,U570="December",12)</f>
        <v>#N/A</v>
      </c>
    </row>
    <row r="571" spans="1:23" ht="15.75" customHeight="1" x14ac:dyDescent="0.25">
      <c r="A571" s="2" t="s">
        <v>1532</v>
      </c>
      <c r="B571" s="3">
        <v>45768.234861111108</v>
      </c>
      <c r="C571" s="2" t="s">
        <v>703</v>
      </c>
      <c r="D571" s="2" t="s">
        <v>122</v>
      </c>
      <c r="E571" s="2" t="s">
        <v>123</v>
      </c>
      <c r="F571" s="2" t="str" cm="1">
        <f t="array" ref="F571:G571">_xlfn.TEXTSPLIT(E571," - ")</f>
        <v>Telur Ayam</v>
      </c>
      <c r="G571" s="2" t="str">
        <v>Brand A</v>
      </c>
      <c r="H571" s="5">
        <v>22000</v>
      </c>
      <c r="I571" s="2">
        <v>4</v>
      </c>
      <c r="J571" s="2">
        <v>0</v>
      </c>
      <c r="K571" s="8">
        <f t="shared" si="48"/>
        <v>88000</v>
      </c>
      <c r="L571" s="8">
        <f t="shared" si="49"/>
        <v>0</v>
      </c>
      <c r="M571" s="8">
        <f t="shared" si="50"/>
        <v>88000</v>
      </c>
      <c r="N571" s="5">
        <v>78000</v>
      </c>
      <c r="O571" s="8">
        <f t="shared" si="51"/>
        <v>166000</v>
      </c>
      <c r="P571" s="2" t="s">
        <v>29</v>
      </c>
      <c r="Q571" s="10" t="str">
        <f>VLOOKUP(A571,Status!A:B,2,0)</f>
        <v>Completed</v>
      </c>
      <c r="R571" s="2" t="s">
        <v>23</v>
      </c>
      <c r="S571" s="2">
        <v>3</v>
      </c>
      <c r="T571" s="2" t="s">
        <v>24</v>
      </c>
      <c r="U571" s="10" t="str">
        <f t="shared" si="53"/>
        <v>Apr</v>
      </c>
      <c r="V571" s="10">
        <f t="shared" si="52"/>
        <v>2025</v>
      </c>
      <c r="W571" t="e" cm="1">
        <f t="array" ref="W571">_xlfn.IFS(U571="January",1,U571="February",2,U571="March",3,U571="April",4,U571="May",5,U571="June",6,U571="July",7,U571="August",8,U571="September",9,U571="October",10,U571="November",11,U571="December",12)</f>
        <v>#N/A</v>
      </c>
    </row>
    <row r="572" spans="1:23" ht="15.75" customHeight="1" x14ac:dyDescent="0.25">
      <c r="A572" s="2" t="s">
        <v>1533</v>
      </c>
      <c r="B572" s="3">
        <v>45768.241712962961</v>
      </c>
      <c r="C572" s="2" t="s">
        <v>125</v>
      </c>
      <c r="D572" s="2" t="s">
        <v>126</v>
      </c>
      <c r="E572" s="2" t="s">
        <v>21</v>
      </c>
      <c r="F572" s="2" t="str" cm="1">
        <f t="array" ref="F572:G572">_xlfn.TEXTSPLIT(E572," - ")</f>
        <v>Daging Ayam</v>
      </c>
      <c r="G572" s="2" t="str">
        <v>Brand C</v>
      </c>
      <c r="H572" s="5">
        <v>45000</v>
      </c>
      <c r="I572" s="2">
        <v>2</v>
      </c>
      <c r="J572" s="2">
        <v>10</v>
      </c>
      <c r="K572" s="8">
        <f t="shared" si="48"/>
        <v>90000</v>
      </c>
      <c r="L572" s="8">
        <f t="shared" si="49"/>
        <v>9000</v>
      </c>
      <c r="M572" s="8">
        <f t="shared" si="50"/>
        <v>81000</v>
      </c>
      <c r="N572" s="5">
        <v>84000</v>
      </c>
      <c r="O572" s="8">
        <f t="shared" si="51"/>
        <v>165000</v>
      </c>
      <c r="P572" s="2" t="s">
        <v>63</v>
      </c>
      <c r="Q572" s="10" t="str">
        <f>VLOOKUP(A572,Status!A:B,2,0)</f>
        <v>Completed</v>
      </c>
      <c r="R572" s="2" t="s">
        <v>36</v>
      </c>
      <c r="S572" s="2">
        <v>5</v>
      </c>
      <c r="T572" s="2" t="s">
        <v>24</v>
      </c>
      <c r="U572" s="10" t="str">
        <f t="shared" si="53"/>
        <v>Apr</v>
      </c>
      <c r="V572" s="10">
        <f t="shared" si="52"/>
        <v>2025</v>
      </c>
      <c r="W572" t="e" cm="1">
        <f t="array" ref="W572">_xlfn.IFS(U572="January",1,U572="February",2,U572="March",3,U572="April",4,U572="May",5,U572="June",6,U572="July",7,U572="August",8,U572="September",9,U572="October",10,U572="November",11,U572="December",12)</f>
        <v>#N/A</v>
      </c>
    </row>
    <row r="573" spans="1:23" ht="15.75" customHeight="1" x14ac:dyDescent="0.25">
      <c r="A573" s="2" t="s">
        <v>1534</v>
      </c>
      <c r="B573" s="3">
        <v>45769.019166666672</v>
      </c>
      <c r="C573" s="2" t="s">
        <v>335</v>
      </c>
      <c r="D573" s="2" t="s">
        <v>80</v>
      </c>
      <c r="E573" s="2" t="s">
        <v>138</v>
      </c>
      <c r="F573" s="2" t="str" cm="1">
        <f t="array" ref="F573:G573">_xlfn.TEXTSPLIT(E573," - ")</f>
        <v>Gula Pasir</v>
      </c>
      <c r="G573" s="2" t="str">
        <v>Brand B</v>
      </c>
      <c r="H573" s="5">
        <v>17000</v>
      </c>
      <c r="I573" s="2">
        <v>5</v>
      </c>
      <c r="J573" s="2">
        <v>15</v>
      </c>
      <c r="K573" s="8">
        <f t="shared" si="48"/>
        <v>85000</v>
      </c>
      <c r="L573" s="8">
        <f t="shared" si="49"/>
        <v>12750</v>
      </c>
      <c r="M573" s="8">
        <f t="shared" si="50"/>
        <v>72250</v>
      </c>
      <c r="N573" s="5">
        <v>74000</v>
      </c>
      <c r="O573" s="8">
        <f t="shared" si="51"/>
        <v>146250</v>
      </c>
      <c r="P573" s="2" t="s">
        <v>35</v>
      </c>
      <c r="Q573" s="10" t="str">
        <f>VLOOKUP(A573,Status!A:B,2,0)</f>
        <v>Cancelled</v>
      </c>
      <c r="R573" s="2" t="s">
        <v>46</v>
      </c>
      <c r="S573" s="2">
        <v>2</v>
      </c>
      <c r="T573" s="2" t="s">
        <v>37</v>
      </c>
      <c r="U573" s="10" t="str">
        <f t="shared" si="53"/>
        <v>Apr</v>
      </c>
      <c r="V573" s="10">
        <f t="shared" si="52"/>
        <v>2025</v>
      </c>
      <c r="W573" t="e" cm="1">
        <f t="array" ref="W573">_xlfn.IFS(U573="January",1,U573="February",2,U573="March",3,U573="April",4,U573="May",5,U573="June",6,U573="July",7,U573="August",8,U573="September",9,U573="October",10,U573="November",11,U573="December",12)</f>
        <v>#N/A</v>
      </c>
    </row>
    <row r="574" spans="1:23" ht="15.75" customHeight="1" x14ac:dyDescent="0.25">
      <c r="A574" s="2" t="s">
        <v>1535</v>
      </c>
      <c r="B574" s="3">
        <v>45769.240497685183</v>
      </c>
      <c r="C574" s="2" t="s">
        <v>708</v>
      </c>
      <c r="D574" s="2" t="s">
        <v>116</v>
      </c>
      <c r="E574" s="2" t="s">
        <v>75</v>
      </c>
      <c r="F574" s="2" t="str" cm="1">
        <f t="array" ref="F574:G574">_xlfn.TEXTSPLIT(E574," - ")</f>
        <v>Susu Bubuk</v>
      </c>
      <c r="G574" s="2" t="str">
        <v>Brand C</v>
      </c>
      <c r="H574" s="5">
        <v>55000</v>
      </c>
      <c r="I574" s="2">
        <v>5</v>
      </c>
      <c r="J574" s="2">
        <v>5</v>
      </c>
      <c r="K574" s="8">
        <f t="shared" si="48"/>
        <v>275000</v>
      </c>
      <c r="L574" s="8">
        <f t="shared" si="49"/>
        <v>13750</v>
      </c>
      <c r="M574" s="8">
        <f t="shared" si="50"/>
        <v>261250</v>
      </c>
      <c r="N574" s="5">
        <v>72000</v>
      </c>
      <c r="O574" s="8">
        <f t="shared" si="51"/>
        <v>333250</v>
      </c>
      <c r="P574" s="2" t="s">
        <v>63</v>
      </c>
      <c r="Q574" s="10" t="str">
        <f>VLOOKUP(A574,Status!A:B,2,0)</f>
        <v>Completed</v>
      </c>
      <c r="R574" s="2" t="s">
        <v>36</v>
      </c>
      <c r="S574" s="2">
        <v>5</v>
      </c>
      <c r="T574" s="2" t="s">
        <v>24</v>
      </c>
      <c r="U574" s="10" t="str">
        <f t="shared" si="53"/>
        <v>Apr</v>
      </c>
      <c r="V574" s="10">
        <f t="shared" si="52"/>
        <v>2025</v>
      </c>
      <c r="W574" t="e" cm="1">
        <f t="array" ref="W574">_xlfn.IFS(U574="January",1,U574="February",2,U574="March",3,U574="April",4,U574="May",5,U574="June",6,U574="July",7,U574="August",8,U574="September",9,U574="October",10,U574="November",11,U574="December",12)</f>
        <v>#N/A</v>
      </c>
    </row>
    <row r="575" spans="1:23" ht="15.75" customHeight="1" x14ac:dyDescent="0.25">
      <c r="A575" s="2" t="s">
        <v>1536</v>
      </c>
      <c r="B575" s="3">
        <v>45769.297523148147</v>
      </c>
      <c r="C575" s="2" t="s">
        <v>1418</v>
      </c>
      <c r="D575" s="2" t="s">
        <v>262</v>
      </c>
      <c r="E575" s="2" t="s">
        <v>123</v>
      </c>
      <c r="F575" s="2" t="str" cm="1">
        <f t="array" ref="F575:G575">_xlfn.TEXTSPLIT(E575," - ")</f>
        <v>Telur Ayam</v>
      </c>
      <c r="G575" s="2" t="str">
        <v>Brand A</v>
      </c>
      <c r="H575" s="5">
        <v>22000</v>
      </c>
      <c r="I575" s="2">
        <v>4</v>
      </c>
      <c r="J575" s="2">
        <v>10</v>
      </c>
      <c r="K575" s="8">
        <f t="shared" si="48"/>
        <v>88000</v>
      </c>
      <c r="L575" s="8">
        <f t="shared" si="49"/>
        <v>8800</v>
      </c>
      <c r="M575" s="8">
        <f t="shared" si="50"/>
        <v>79200</v>
      </c>
      <c r="N575" s="5">
        <v>18000</v>
      </c>
      <c r="O575" s="8">
        <f t="shared" si="51"/>
        <v>97200</v>
      </c>
      <c r="P575" s="2" t="s">
        <v>29</v>
      </c>
      <c r="Q575" s="10" t="str">
        <f>VLOOKUP(A575,Status!A:B,2,0)</f>
        <v>Completed</v>
      </c>
      <c r="R575" s="2" t="s">
        <v>23</v>
      </c>
      <c r="S575" s="2">
        <v>5</v>
      </c>
      <c r="T575" s="2" t="s">
        <v>24</v>
      </c>
      <c r="U575" s="10" t="str">
        <f t="shared" si="53"/>
        <v>Apr</v>
      </c>
      <c r="V575" s="10">
        <f t="shared" si="52"/>
        <v>2025</v>
      </c>
      <c r="W575" t="e" cm="1">
        <f t="array" ref="W575">_xlfn.IFS(U575="January",1,U575="February",2,U575="March",3,U575="April",4,U575="May",5,U575="June",6,U575="July",7,U575="August",8,U575="September",9,U575="October",10,U575="November",11,U575="December",12)</f>
        <v>#N/A</v>
      </c>
    </row>
    <row r="576" spans="1:23" ht="15.75" customHeight="1" x14ac:dyDescent="0.25">
      <c r="A576" s="2" t="s">
        <v>1537</v>
      </c>
      <c r="B576" s="3">
        <v>45769.384467592587</v>
      </c>
      <c r="C576" s="2" t="s">
        <v>314</v>
      </c>
      <c r="D576" s="2" t="s">
        <v>113</v>
      </c>
      <c r="E576" s="2" t="s">
        <v>67</v>
      </c>
      <c r="F576" s="2" t="str" cm="1">
        <f t="array" ref="F576:G576">_xlfn.TEXTSPLIT(E576," - ")</f>
        <v>Beras</v>
      </c>
      <c r="G576" s="2" t="str">
        <v>Brand B</v>
      </c>
      <c r="H576" s="5">
        <v>15000</v>
      </c>
      <c r="I576" s="2">
        <v>1</v>
      </c>
      <c r="J576" s="2">
        <v>10</v>
      </c>
      <c r="K576" s="8">
        <f t="shared" si="48"/>
        <v>15000</v>
      </c>
      <c r="L576" s="8">
        <f t="shared" si="49"/>
        <v>1500</v>
      </c>
      <c r="M576" s="8">
        <f t="shared" si="50"/>
        <v>13500</v>
      </c>
      <c r="N576" s="5">
        <v>18000</v>
      </c>
      <c r="O576" s="8">
        <f t="shared" si="51"/>
        <v>31500</v>
      </c>
      <c r="P576" s="2" t="s">
        <v>22</v>
      </c>
      <c r="Q576" s="10" t="str">
        <f>VLOOKUP(A576,Status!A:B,2,0)</f>
        <v>Completed</v>
      </c>
      <c r="R576" s="2" t="s">
        <v>30</v>
      </c>
      <c r="S576" s="2">
        <v>3</v>
      </c>
      <c r="T576" s="2" t="s">
        <v>24</v>
      </c>
      <c r="U576" s="10" t="str">
        <f t="shared" si="53"/>
        <v>Apr</v>
      </c>
      <c r="V576" s="10">
        <f t="shared" si="52"/>
        <v>2025</v>
      </c>
      <c r="W576" t="e" cm="1">
        <f t="array" ref="W576">_xlfn.IFS(U576="January",1,U576="February",2,U576="March",3,U576="April",4,U576="May",5,U576="June",6,U576="July",7,U576="August",8,U576="September",9,U576="October",10,U576="November",11,U576="December",12)</f>
        <v>#N/A</v>
      </c>
    </row>
    <row r="577" spans="1:23" ht="15.75" customHeight="1" x14ac:dyDescent="0.25">
      <c r="A577" s="2" t="s">
        <v>1538</v>
      </c>
      <c r="B577" s="3">
        <v>45769.62190972222</v>
      </c>
      <c r="C577" s="2" t="s">
        <v>1348</v>
      </c>
      <c r="D577" s="2" t="s">
        <v>296</v>
      </c>
      <c r="E577" s="2" t="s">
        <v>190</v>
      </c>
      <c r="F577" s="2" t="str" cm="1">
        <f t="array" ref="F577:G577">_xlfn.TEXTSPLIT(E577," - ")</f>
        <v>Bawang Merah</v>
      </c>
      <c r="G577" s="2" t="str">
        <v>Brand B</v>
      </c>
      <c r="H577" s="5">
        <v>35000</v>
      </c>
      <c r="I577" s="2">
        <v>5</v>
      </c>
      <c r="J577" s="2">
        <v>15</v>
      </c>
      <c r="K577" s="8">
        <f t="shared" si="48"/>
        <v>175000</v>
      </c>
      <c r="L577" s="8">
        <f t="shared" si="49"/>
        <v>26250</v>
      </c>
      <c r="M577" s="8">
        <f t="shared" si="50"/>
        <v>148750</v>
      </c>
      <c r="N577" s="5">
        <v>79000</v>
      </c>
      <c r="O577" s="8">
        <f t="shared" si="51"/>
        <v>227750</v>
      </c>
      <c r="P577" s="2" t="s">
        <v>63</v>
      </c>
      <c r="Q577" s="10" t="str">
        <f>VLOOKUP(A577,Status!A:B,2,0)</f>
        <v>Completed</v>
      </c>
      <c r="R577" s="2" t="s">
        <v>23</v>
      </c>
      <c r="S577" s="2">
        <v>4</v>
      </c>
      <c r="T577" s="2" t="s">
        <v>24</v>
      </c>
      <c r="U577" s="10" t="str">
        <f t="shared" si="53"/>
        <v>Apr</v>
      </c>
      <c r="V577" s="10">
        <f t="shared" si="52"/>
        <v>2025</v>
      </c>
      <c r="W577" t="e" cm="1">
        <f t="array" ref="W577">_xlfn.IFS(U577="January",1,U577="February",2,U577="March",3,U577="April",4,U577="May",5,U577="June",6,U577="July",7,U577="August",8,U577="September",9,U577="October",10,U577="November",11,U577="December",12)</f>
        <v>#N/A</v>
      </c>
    </row>
    <row r="578" spans="1:23" ht="15.75" customHeight="1" x14ac:dyDescent="0.25">
      <c r="A578" s="2" t="s">
        <v>1539</v>
      </c>
      <c r="B578" s="3">
        <v>45770.014398148152</v>
      </c>
      <c r="C578" s="2" t="s">
        <v>410</v>
      </c>
      <c r="D578" s="2" t="s">
        <v>151</v>
      </c>
      <c r="E578" s="2" t="s">
        <v>45</v>
      </c>
      <c r="F578" s="2" t="str" cm="1">
        <f t="array" ref="F578:G578">_xlfn.TEXTSPLIT(E578," - ")</f>
        <v>Daging Ayam</v>
      </c>
      <c r="G578" s="2" t="str">
        <v>Brand B</v>
      </c>
      <c r="H578" s="5">
        <v>40000</v>
      </c>
      <c r="I578" s="2">
        <v>3</v>
      </c>
      <c r="J578" s="2">
        <v>10</v>
      </c>
      <c r="K578" s="8">
        <f t="shared" ref="K578:K641" si="54">H578*I578</f>
        <v>120000</v>
      </c>
      <c r="L578" s="8">
        <f t="shared" ref="L578:L641" si="55">K578*J578%</f>
        <v>12000</v>
      </c>
      <c r="M578" s="8">
        <f t="shared" ref="M578:M641" si="56">K578-L578</f>
        <v>108000</v>
      </c>
      <c r="N578" s="5">
        <v>55000</v>
      </c>
      <c r="O578" s="8">
        <f t="shared" ref="O578:O641" si="57">M578+N578</f>
        <v>163000</v>
      </c>
      <c r="P578" s="2" t="s">
        <v>29</v>
      </c>
      <c r="Q578" s="10" t="str">
        <f>VLOOKUP(A578,Status!A:B,2,0)</f>
        <v>Completed</v>
      </c>
      <c r="R578" s="2" t="s">
        <v>36</v>
      </c>
      <c r="S578" s="2">
        <v>2</v>
      </c>
      <c r="T578" s="2" t="s">
        <v>24</v>
      </c>
      <c r="U578" s="10" t="str">
        <f t="shared" si="53"/>
        <v>Apr</v>
      </c>
      <c r="V578" s="10">
        <f t="shared" ref="V578:V641" si="58">YEAR(B578)</f>
        <v>2025</v>
      </c>
      <c r="W578" t="e" cm="1">
        <f t="array" ref="W578">_xlfn.IFS(U578="January",1,U578="February",2,U578="March",3,U578="April",4,U578="May",5,U578="June",6,U578="July",7,U578="August",8,U578="September",9,U578="October",10,U578="November",11,U578="December",12)</f>
        <v>#N/A</v>
      </c>
    </row>
    <row r="579" spans="1:23" ht="15.75" customHeight="1" x14ac:dyDescent="0.25">
      <c r="A579" s="2" t="s">
        <v>1540</v>
      </c>
      <c r="B579" s="3">
        <v>45770.167627314811</v>
      </c>
      <c r="C579" s="2" t="s">
        <v>285</v>
      </c>
      <c r="D579" s="2" t="s">
        <v>20</v>
      </c>
      <c r="E579" s="2" t="s">
        <v>75</v>
      </c>
      <c r="F579" s="2" t="str" cm="1">
        <f t="array" ref="F579:G579">_xlfn.TEXTSPLIT(E579," - ")</f>
        <v>Susu Bubuk</v>
      </c>
      <c r="G579" s="2" t="str">
        <v>Brand C</v>
      </c>
      <c r="H579" s="5">
        <v>55000</v>
      </c>
      <c r="I579" s="2">
        <v>4</v>
      </c>
      <c r="J579" s="2">
        <v>5</v>
      </c>
      <c r="K579" s="8">
        <f t="shared" si="54"/>
        <v>220000</v>
      </c>
      <c r="L579" s="8">
        <f t="shared" si="55"/>
        <v>11000</v>
      </c>
      <c r="M579" s="8">
        <f t="shared" si="56"/>
        <v>209000</v>
      </c>
      <c r="N579" s="5">
        <v>15000</v>
      </c>
      <c r="O579" s="8">
        <f t="shared" si="57"/>
        <v>224000</v>
      </c>
      <c r="P579" s="2" t="s">
        <v>22</v>
      </c>
      <c r="Q579" s="10" t="str">
        <f>VLOOKUP(A579,Status!A:B,2,0)</f>
        <v>Completed</v>
      </c>
      <c r="R579" s="2" t="s">
        <v>82</v>
      </c>
      <c r="S579" s="2">
        <v>2</v>
      </c>
      <c r="T579" s="2" t="s">
        <v>37</v>
      </c>
      <c r="U579" s="10" t="str">
        <f t="shared" ref="U579:U642" si="59">TEXT(B579,"MMM")</f>
        <v>Apr</v>
      </c>
      <c r="V579" s="10">
        <f t="shared" si="58"/>
        <v>2025</v>
      </c>
      <c r="W579" t="e" cm="1">
        <f t="array" ref="W579">_xlfn.IFS(U579="January",1,U579="February",2,U579="March",3,U579="April",4,U579="May",5,U579="June",6,U579="July",7,U579="August",8,U579="September",9,U579="October",10,U579="November",11,U579="December",12)</f>
        <v>#N/A</v>
      </c>
    </row>
    <row r="580" spans="1:23" ht="15.75" customHeight="1" x14ac:dyDescent="0.25">
      <c r="A580" s="2" t="s">
        <v>1541</v>
      </c>
      <c r="B580" s="3">
        <v>45770.4606712963</v>
      </c>
      <c r="C580" s="2" t="s">
        <v>267</v>
      </c>
      <c r="D580" s="2" t="s">
        <v>131</v>
      </c>
      <c r="E580" s="2" t="s">
        <v>88</v>
      </c>
      <c r="F580" s="2" t="str" cm="1">
        <f t="array" ref="F580:G580">_xlfn.TEXTSPLIT(E580," - ")</f>
        <v>Beras</v>
      </c>
      <c r="G580" s="2" t="str">
        <v>Brand A</v>
      </c>
      <c r="H580" s="5">
        <v>14000</v>
      </c>
      <c r="I580" s="2">
        <v>1</v>
      </c>
      <c r="J580" s="2">
        <v>10</v>
      </c>
      <c r="K580" s="8">
        <f t="shared" si="54"/>
        <v>14000</v>
      </c>
      <c r="L580" s="8">
        <f t="shared" si="55"/>
        <v>1400</v>
      </c>
      <c r="M580" s="8">
        <f t="shared" si="56"/>
        <v>12600</v>
      </c>
      <c r="N580" s="5">
        <v>59000</v>
      </c>
      <c r="O580" s="8">
        <f t="shared" si="57"/>
        <v>71600</v>
      </c>
      <c r="P580" s="2" t="s">
        <v>22</v>
      </c>
      <c r="Q580" s="10" t="str">
        <f>VLOOKUP(A580,Status!A:B,2,0)</f>
        <v>Returned</v>
      </c>
      <c r="R580" s="2" t="s">
        <v>46</v>
      </c>
      <c r="S580" s="2">
        <v>5</v>
      </c>
      <c r="T580" s="2" t="s">
        <v>24</v>
      </c>
      <c r="U580" s="10" t="str">
        <f t="shared" si="59"/>
        <v>Apr</v>
      </c>
      <c r="V580" s="10">
        <f t="shared" si="58"/>
        <v>2025</v>
      </c>
      <c r="W580" t="e" cm="1">
        <f t="array" ref="W580">_xlfn.IFS(U580="January",1,U580="February",2,U580="March",3,U580="April",4,U580="May",5,U580="June",6,U580="July",7,U580="August",8,U580="September",9,U580="October",10,U580="November",11,U580="December",12)</f>
        <v>#N/A</v>
      </c>
    </row>
    <row r="581" spans="1:23" ht="15.75" customHeight="1" x14ac:dyDescent="0.25">
      <c r="A581" s="2" t="s">
        <v>1542</v>
      </c>
      <c r="B581" s="3">
        <v>45770.479027777779</v>
      </c>
      <c r="C581" s="2" t="s">
        <v>576</v>
      </c>
      <c r="D581" s="2" t="s">
        <v>57</v>
      </c>
      <c r="E581" s="2" t="s">
        <v>71</v>
      </c>
      <c r="F581" s="2" t="str" cm="1">
        <f t="array" ref="F581:G581">_xlfn.TEXTSPLIT(E581," - ")</f>
        <v>Bawang Merah</v>
      </c>
      <c r="G581" s="2" t="str">
        <v>Brand C</v>
      </c>
      <c r="H581" s="5">
        <v>40000</v>
      </c>
      <c r="I581" s="2">
        <v>3</v>
      </c>
      <c r="J581" s="2">
        <v>0</v>
      </c>
      <c r="K581" s="8">
        <f t="shared" si="54"/>
        <v>120000</v>
      </c>
      <c r="L581" s="8">
        <f t="shared" si="55"/>
        <v>0</v>
      </c>
      <c r="M581" s="8">
        <f t="shared" si="56"/>
        <v>120000</v>
      </c>
      <c r="N581" s="5">
        <v>80000</v>
      </c>
      <c r="O581" s="8">
        <f t="shared" si="57"/>
        <v>200000</v>
      </c>
      <c r="P581" s="2" t="s">
        <v>63</v>
      </c>
      <c r="Q581" s="10" t="str">
        <f>VLOOKUP(A581,Status!A:B,2,0)</f>
        <v>Completed</v>
      </c>
      <c r="R581" s="2" t="s">
        <v>36</v>
      </c>
      <c r="S581" s="2">
        <v>5</v>
      </c>
      <c r="T581" s="2" t="s">
        <v>37</v>
      </c>
      <c r="U581" s="10" t="str">
        <f t="shared" si="59"/>
        <v>Apr</v>
      </c>
      <c r="V581" s="10">
        <f t="shared" si="58"/>
        <v>2025</v>
      </c>
      <c r="W581" t="e" cm="1">
        <f t="array" ref="W581">_xlfn.IFS(U581="January",1,U581="February",2,U581="March",3,U581="April",4,U581="May",5,U581="June",6,U581="July",7,U581="August",8,U581="September",9,U581="October",10,U581="November",11,U581="December",12)</f>
        <v>#N/A</v>
      </c>
    </row>
    <row r="582" spans="1:23" ht="15.75" customHeight="1" x14ac:dyDescent="0.25">
      <c r="A582" s="2" t="s">
        <v>1543</v>
      </c>
      <c r="B582" s="3">
        <v>45770.734953703701</v>
      </c>
      <c r="C582" s="2" t="s">
        <v>570</v>
      </c>
      <c r="D582" s="2" t="s">
        <v>80</v>
      </c>
      <c r="E582" s="2" t="s">
        <v>85</v>
      </c>
      <c r="F582" s="2" t="str" cm="1">
        <f t="array" ref="F582:G582">_xlfn.TEXTSPLIT(E582," - ")</f>
        <v>Daging Ayam</v>
      </c>
      <c r="G582" s="2" t="str">
        <v>Brand A</v>
      </c>
      <c r="H582" s="5">
        <v>35000</v>
      </c>
      <c r="I582" s="2">
        <v>2</v>
      </c>
      <c r="J582" s="2">
        <v>15</v>
      </c>
      <c r="K582" s="8">
        <f t="shared" si="54"/>
        <v>70000</v>
      </c>
      <c r="L582" s="8">
        <f t="shared" si="55"/>
        <v>10500</v>
      </c>
      <c r="M582" s="8">
        <f t="shared" si="56"/>
        <v>59500</v>
      </c>
      <c r="N582" s="5">
        <v>74000</v>
      </c>
      <c r="O582" s="8">
        <f t="shared" si="57"/>
        <v>133500</v>
      </c>
      <c r="P582" s="2" t="s">
        <v>63</v>
      </c>
      <c r="Q582" s="10" t="str">
        <f>VLOOKUP(A582,Status!A:B,2,0)</f>
        <v>Cancelled</v>
      </c>
      <c r="R582" s="2" t="s">
        <v>82</v>
      </c>
      <c r="S582" s="2">
        <v>1</v>
      </c>
      <c r="T582" s="2" t="s">
        <v>24</v>
      </c>
      <c r="U582" s="10" t="str">
        <f t="shared" si="59"/>
        <v>Apr</v>
      </c>
      <c r="V582" s="10">
        <f t="shared" si="58"/>
        <v>2025</v>
      </c>
      <c r="W582" t="e" cm="1">
        <f t="array" ref="W582">_xlfn.IFS(U582="January",1,U582="February",2,U582="March",3,U582="April",4,U582="May",5,U582="June",6,U582="July",7,U582="August",8,U582="September",9,U582="October",10,U582="November",11,U582="December",12)</f>
        <v>#N/A</v>
      </c>
    </row>
    <row r="583" spans="1:23" ht="15.75" customHeight="1" x14ac:dyDescent="0.25">
      <c r="A583" s="2" t="s">
        <v>1544</v>
      </c>
      <c r="B583" s="3">
        <v>45770.838750000003</v>
      </c>
      <c r="C583" s="2" t="s">
        <v>549</v>
      </c>
      <c r="D583" s="2" t="s">
        <v>107</v>
      </c>
      <c r="E583" s="2" t="s">
        <v>62</v>
      </c>
      <c r="F583" s="2" t="str" cm="1">
        <f t="array" ref="F583:G583">_xlfn.TEXTSPLIT(E583," - ")</f>
        <v>Susu Bubuk</v>
      </c>
      <c r="G583" s="2" t="str">
        <v>Brand B</v>
      </c>
      <c r="H583" s="5">
        <v>50000</v>
      </c>
      <c r="I583" s="2">
        <v>2</v>
      </c>
      <c r="J583" s="2">
        <v>20</v>
      </c>
      <c r="K583" s="8">
        <f t="shared" si="54"/>
        <v>100000</v>
      </c>
      <c r="L583" s="8">
        <f t="shared" si="55"/>
        <v>20000</v>
      </c>
      <c r="M583" s="8">
        <f t="shared" si="56"/>
        <v>80000</v>
      </c>
      <c r="N583" s="5">
        <v>97000</v>
      </c>
      <c r="O583" s="8">
        <f t="shared" si="57"/>
        <v>177000</v>
      </c>
      <c r="P583" s="2" t="s">
        <v>29</v>
      </c>
      <c r="Q583" s="10" t="str">
        <f>VLOOKUP(A583,Status!A:B,2,0)</f>
        <v>Completed</v>
      </c>
      <c r="R583" s="2" t="s">
        <v>30</v>
      </c>
      <c r="S583" s="2">
        <v>1</v>
      </c>
      <c r="T583" s="2" t="s">
        <v>24</v>
      </c>
      <c r="U583" s="10" t="str">
        <f t="shared" si="59"/>
        <v>Apr</v>
      </c>
      <c r="V583" s="10">
        <f t="shared" si="58"/>
        <v>2025</v>
      </c>
      <c r="W583" t="e" cm="1">
        <f t="array" ref="W583">_xlfn.IFS(U583="January",1,U583="February",2,U583="March",3,U583="April",4,U583="May",5,U583="June",6,U583="July",7,U583="August",8,U583="September",9,U583="October",10,U583="November",11,U583="December",12)</f>
        <v>#N/A</v>
      </c>
    </row>
    <row r="584" spans="1:23" ht="15.75" customHeight="1" x14ac:dyDescent="0.25">
      <c r="A584" s="2" t="s">
        <v>1545</v>
      </c>
      <c r="B584" s="3">
        <v>45771.602141203701</v>
      </c>
      <c r="C584" s="2" t="s">
        <v>877</v>
      </c>
      <c r="D584" s="2" t="s">
        <v>107</v>
      </c>
      <c r="E584" s="2" t="s">
        <v>93</v>
      </c>
      <c r="F584" s="2" t="str" cm="1">
        <f t="array" ref="F584:G584">_xlfn.TEXTSPLIT(E584," - ")</f>
        <v>Telur Ayam</v>
      </c>
      <c r="G584" s="2" t="str">
        <v>Brand B</v>
      </c>
      <c r="H584" s="5">
        <v>25000</v>
      </c>
      <c r="I584" s="2">
        <v>1</v>
      </c>
      <c r="J584" s="2">
        <v>5</v>
      </c>
      <c r="K584" s="8">
        <f t="shared" si="54"/>
        <v>25000</v>
      </c>
      <c r="L584" s="8">
        <f t="shared" si="55"/>
        <v>1250</v>
      </c>
      <c r="M584" s="8">
        <f t="shared" si="56"/>
        <v>23750</v>
      </c>
      <c r="N584" s="5">
        <v>97000</v>
      </c>
      <c r="O584" s="8">
        <f t="shared" si="57"/>
        <v>120750</v>
      </c>
      <c r="P584" s="2" t="s">
        <v>22</v>
      </c>
      <c r="Q584" s="10" t="str">
        <f>VLOOKUP(A584,Status!A:B,2,0)</f>
        <v>Completed</v>
      </c>
      <c r="R584" s="2" t="s">
        <v>36</v>
      </c>
      <c r="S584" s="2">
        <v>3</v>
      </c>
      <c r="T584" s="2" t="s">
        <v>24</v>
      </c>
      <c r="U584" s="10" t="str">
        <f t="shared" si="59"/>
        <v>Apr</v>
      </c>
      <c r="V584" s="10">
        <f t="shared" si="58"/>
        <v>2025</v>
      </c>
      <c r="W584" t="e" cm="1">
        <f t="array" ref="W584">_xlfn.IFS(U584="January",1,U584="February",2,U584="March",3,U584="April",4,U584="May",5,U584="June",6,U584="July",7,U584="August",8,U584="September",9,U584="October",10,U584="November",11,U584="December",12)</f>
        <v>#N/A</v>
      </c>
    </row>
    <row r="585" spans="1:23" ht="15.75" customHeight="1" x14ac:dyDescent="0.25">
      <c r="A585" s="2" t="s">
        <v>1546</v>
      </c>
      <c r="B585" s="3">
        <v>45771.613807870373</v>
      </c>
      <c r="C585" s="2" t="s">
        <v>246</v>
      </c>
      <c r="D585" s="2" t="s">
        <v>238</v>
      </c>
      <c r="E585" s="2" t="s">
        <v>50</v>
      </c>
      <c r="F585" s="2" t="str" cm="1">
        <f t="array" ref="F585:G585">_xlfn.TEXTSPLIT(E585," - ")</f>
        <v>Tepung Terigu</v>
      </c>
      <c r="G585" s="2" t="str">
        <v>Brand C</v>
      </c>
      <c r="H585" s="5">
        <v>14000</v>
      </c>
      <c r="I585" s="2">
        <v>5</v>
      </c>
      <c r="J585" s="2">
        <v>15</v>
      </c>
      <c r="K585" s="8">
        <f t="shared" si="54"/>
        <v>70000</v>
      </c>
      <c r="L585" s="8">
        <f t="shared" si="55"/>
        <v>10500</v>
      </c>
      <c r="M585" s="8">
        <f t="shared" si="56"/>
        <v>59500</v>
      </c>
      <c r="N585" s="5">
        <v>28000</v>
      </c>
      <c r="O585" s="8">
        <f t="shared" si="57"/>
        <v>87500</v>
      </c>
      <c r="P585" s="2" t="s">
        <v>22</v>
      </c>
      <c r="Q585" s="10" t="str">
        <f>VLOOKUP(A585,Status!A:B,2,0)</f>
        <v>Completed</v>
      </c>
      <c r="R585" s="2" t="s">
        <v>23</v>
      </c>
      <c r="S585" s="2">
        <v>4</v>
      </c>
      <c r="T585" s="2" t="s">
        <v>24</v>
      </c>
      <c r="U585" s="10" t="str">
        <f t="shared" si="59"/>
        <v>Apr</v>
      </c>
      <c r="V585" s="10">
        <f t="shared" si="58"/>
        <v>2025</v>
      </c>
      <c r="W585" t="e" cm="1">
        <f t="array" ref="W585">_xlfn.IFS(U585="January",1,U585="February",2,U585="March",3,U585="April",4,U585="May",5,U585="June",6,U585="July",7,U585="August",8,U585="September",9,U585="October",10,U585="November",11,U585="December",12)</f>
        <v>#N/A</v>
      </c>
    </row>
    <row r="586" spans="1:23" ht="15.75" customHeight="1" x14ac:dyDescent="0.25">
      <c r="A586" s="2" t="s">
        <v>1547</v>
      </c>
      <c r="B586" s="3">
        <v>45771.835046296299</v>
      </c>
      <c r="C586" s="2" t="s">
        <v>287</v>
      </c>
      <c r="D586" s="2" t="s">
        <v>262</v>
      </c>
      <c r="E586" s="2" t="s">
        <v>110</v>
      </c>
      <c r="F586" s="2" t="str" cm="1">
        <f t="array" ref="F586:G586">_xlfn.TEXTSPLIT(E586," - ")</f>
        <v>Garam</v>
      </c>
      <c r="G586" s="2" t="str">
        <v>Brand C</v>
      </c>
      <c r="H586" s="5">
        <v>6000</v>
      </c>
      <c r="I586" s="2">
        <v>2</v>
      </c>
      <c r="J586" s="2">
        <v>15</v>
      </c>
      <c r="K586" s="8">
        <f t="shared" si="54"/>
        <v>12000</v>
      </c>
      <c r="L586" s="8">
        <f t="shared" si="55"/>
        <v>1800</v>
      </c>
      <c r="M586" s="8">
        <f t="shared" si="56"/>
        <v>10200</v>
      </c>
      <c r="N586" s="5">
        <v>18000</v>
      </c>
      <c r="O586" s="8">
        <f t="shared" si="57"/>
        <v>28200</v>
      </c>
      <c r="P586" s="2" t="s">
        <v>35</v>
      </c>
      <c r="Q586" s="10" t="str">
        <f>VLOOKUP(A586,Status!A:B,2,0)</f>
        <v>Completed</v>
      </c>
      <c r="R586" s="2" t="s">
        <v>82</v>
      </c>
      <c r="S586" s="2">
        <v>4</v>
      </c>
      <c r="T586" s="2" t="s">
        <v>24</v>
      </c>
      <c r="U586" s="10" t="str">
        <f t="shared" si="59"/>
        <v>Apr</v>
      </c>
      <c r="V586" s="10">
        <f t="shared" si="58"/>
        <v>2025</v>
      </c>
      <c r="W586" t="e" cm="1">
        <f t="array" ref="W586">_xlfn.IFS(U586="January",1,U586="February",2,U586="March",3,U586="April",4,U586="May",5,U586="June",6,U586="July",7,U586="August",8,U586="September",9,U586="October",10,U586="November",11,U586="December",12)</f>
        <v>#N/A</v>
      </c>
    </row>
    <row r="587" spans="1:23" ht="15.75" customHeight="1" x14ac:dyDescent="0.25">
      <c r="A587" s="2" t="s">
        <v>1548</v>
      </c>
      <c r="B587" s="3">
        <v>45772.230312500003</v>
      </c>
      <c r="C587" s="2" t="s">
        <v>488</v>
      </c>
      <c r="D587" s="2" t="s">
        <v>49</v>
      </c>
      <c r="E587" s="2" t="s">
        <v>110</v>
      </c>
      <c r="F587" s="2" t="str" cm="1">
        <f t="array" ref="F587:G587">_xlfn.TEXTSPLIT(E587," - ")</f>
        <v>Garam</v>
      </c>
      <c r="G587" s="2" t="str">
        <v>Brand C</v>
      </c>
      <c r="H587" s="5">
        <v>6000</v>
      </c>
      <c r="I587" s="2">
        <v>4</v>
      </c>
      <c r="J587" s="2">
        <v>20</v>
      </c>
      <c r="K587" s="8">
        <f t="shared" si="54"/>
        <v>24000</v>
      </c>
      <c r="L587" s="8">
        <f t="shared" si="55"/>
        <v>4800</v>
      </c>
      <c r="M587" s="8">
        <f t="shared" si="56"/>
        <v>19200</v>
      </c>
      <c r="N587" s="5">
        <v>43000</v>
      </c>
      <c r="O587" s="8">
        <f t="shared" si="57"/>
        <v>62200</v>
      </c>
      <c r="P587" s="2" t="s">
        <v>22</v>
      </c>
      <c r="Q587" s="10" t="str">
        <f>VLOOKUP(A587,Status!A:B,2,0)</f>
        <v>Returned</v>
      </c>
      <c r="R587" s="2" t="s">
        <v>30</v>
      </c>
      <c r="S587" s="2">
        <v>3</v>
      </c>
      <c r="T587" s="2" t="s">
        <v>24</v>
      </c>
      <c r="U587" s="10" t="str">
        <f t="shared" si="59"/>
        <v>Apr</v>
      </c>
      <c r="V587" s="10">
        <f t="shared" si="58"/>
        <v>2025</v>
      </c>
      <c r="W587" t="e" cm="1">
        <f t="array" ref="W587">_xlfn.IFS(U587="January",1,U587="February",2,U587="March",3,U587="April",4,U587="May",5,U587="June",6,U587="July",7,U587="August",8,U587="September",9,U587="October",10,U587="November",11,U587="December",12)</f>
        <v>#N/A</v>
      </c>
    </row>
    <row r="588" spans="1:23" ht="15.75" customHeight="1" x14ac:dyDescent="0.25">
      <c r="A588" s="2" t="s">
        <v>1549</v>
      </c>
      <c r="B588" s="3">
        <v>45772.276921296303</v>
      </c>
      <c r="C588" s="2" t="s">
        <v>844</v>
      </c>
      <c r="D588" s="2" t="s">
        <v>119</v>
      </c>
      <c r="E588" s="2" t="s">
        <v>93</v>
      </c>
      <c r="F588" s="2" t="str" cm="1">
        <f t="array" ref="F588:G588">_xlfn.TEXTSPLIT(E588," - ")</f>
        <v>Telur Ayam</v>
      </c>
      <c r="G588" s="2" t="str">
        <v>Brand B</v>
      </c>
      <c r="H588" s="5">
        <v>25000</v>
      </c>
      <c r="I588" s="2">
        <v>3</v>
      </c>
      <c r="J588" s="2">
        <v>15</v>
      </c>
      <c r="K588" s="8">
        <f t="shared" si="54"/>
        <v>75000</v>
      </c>
      <c r="L588" s="8">
        <f t="shared" si="55"/>
        <v>11250</v>
      </c>
      <c r="M588" s="8">
        <f t="shared" si="56"/>
        <v>63750</v>
      </c>
      <c r="N588" s="5">
        <v>0</v>
      </c>
      <c r="O588" s="8">
        <f t="shared" si="57"/>
        <v>63750</v>
      </c>
      <c r="P588" s="2" t="s">
        <v>29</v>
      </c>
      <c r="Q588" s="10" t="str">
        <f>VLOOKUP(A588,Status!A:B,2,0)</f>
        <v>Completed</v>
      </c>
      <c r="R588" s="2" t="s">
        <v>46</v>
      </c>
      <c r="S588" s="2">
        <v>3</v>
      </c>
      <c r="T588" s="2" t="s">
        <v>24</v>
      </c>
      <c r="U588" s="10" t="str">
        <f t="shared" si="59"/>
        <v>Apr</v>
      </c>
      <c r="V588" s="10">
        <f t="shared" si="58"/>
        <v>2025</v>
      </c>
      <c r="W588" t="e" cm="1">
        <f t="array" ref="W588">_xlfn.IFS(U588="January",1,U588="February",2,U588="March",3,U588="April",4,U588="May",5,U588="June",6,U588="July",7,U588="August",8,U588="September",9,U588="October",10,U588="November",11,U588="December",12)</f>
        <v>#N/A</v>
      </c>
    </row>
    <row r="589" spans="1:23" ht="15.75" customHeight="1" x14ac:dyDescent="0.25">
      <c r="A589" s="2" t="s">
        <v>1550</v>
      </c>
      <c r="B589" s="3">
        <v>45772.479386574072</v>
      </c>
      <c r="C589" s="2" t="s">
        <v>379</v>
      </c>
      <c r="D589" s="2" t="s">
        <v>27</v>
      </c>
      <c r="E589" s="2" t="s">
        <v>21</v>
      </c>
      <c r="F589" s="2" t="str" cm="1">
        <f t="array" ref="F589:G589">_xlfn.TEXTSPLIT(E589," - ")</f>
        <v>Daging Ayam</v>
      </c>
      <c r="G589" s="2" t="str">
        <v>Brand C</v>
      </c>
      <c r="H589" s="5">
        <v>45000</v>
      </c>
      <c r="I589" s="2">
        <v>3</v>
      </c>
      <c r="J589" s="2">
        <v>20</v>
      </c>
      <c r="K589" s="8">
        <f t="shared" si="54"/>
        <v>135000</v>
      </c>
      <c r="L589" s="8">
        <f t="shared" si="55"/>
        <v>27000</v>
      </c>
      <c r="M589" s="8">
        <f t="shared" si="56"/>
        <v>108000</v>
      </c>
      <c r="N589" s="5">
        <v>17000</v>
      </c>
      <c r="O589" s="8">
        <f t="shared" si="57"/>
        <v>125000</v>
      </c>
      <c r="P589" s="2" t="s">
        <v>63</v>
      </c>
      <c r="Q589" s="10" t="str">
        <f>VLOOKUP(A589,Status!A:B,2,0)</f>
        <v>Completed</v>
      </c>
      <c r="R589" s="2" t="s">
        <v>30</v>
      </c>
      <c r="S589" s="2">
        <v>1</v>
      </c>
      <c r="T589" s="2" t="s">
        <v>24</v>
      </c>
      <c r="U589" s="10" t="str">
        <f t="shared" si="59"/>
        <v>Apr</v>
      </c>
      <c r="V589" s="10">
        <f t="shared" si="58"/>
        <v>2025</v>
      </c>
      <c r="W589" t="e" cm="1">
        <f t="array" ref="W589">_xlfn.IFS(U589="January",1,U589="February",2,U589="March",3,U589="April",4,U589="May",5,U589="June",6,U589="July",7,U589="August",8,U589="September",9,U589="October",10,U589="November",11,U589="December",12)</f>
        <v>#N/A</v>
      </c>
    </row>
    <row r="590" spans="1:23" ht="15.75" customHeight="1" x14ac:dyDescent="0.25">
      <c r="A590" s="2" t="s">
        <v>1551</v>
      </c>
      <c r="B590" s="3">
        <v>45772.542812500003</v>
      </c>
      <c r="C590" s="2" t="s">
        <v>1382</v>
      </c>
      <c r="D590" s="2" t="s">
        <v>74</v>
      </c>
      <c r="E590" s="2" t="s">
        <v>85</v>
      </c>
      <c r="F590" s="2" t="str" cm="1">
        <f t="array" ref="F590:G590">_xlfn.TEXTSPLIT(E590," - ")</f>
        <v>Daging Ayam</v>
      </c>
      <c r="G590" s="2" t="str">
        <v>Brand A</v>
      </c>
      <c r="H590" s="5">
        <v>35000</v>
      </c>
      <c r="I590" s="2">
        <v>2</v>
      </c>
      <c r="J590" s="2">
        <v>15</v>
      </c>
      <c r="K590" s="8">
        <f t="shared" si="54"/>
        <v>70000</v>
      </c>
      <c r="L590" s="8">
        <f t="shared" si="55"/>
        <v>10500</v>
      </c>
      <c r="M590" s="8">
        <f t="shared" si="56"/>
        <v>59500</v>
      </c>
      <c r="N590" s="5">
        <v>87000</v>
      </c>
      <c r="O590" s="8">
        <f t="shared" si="57"/>
        <v>146500</v>
      </c>
      <c r="P590" s="2" t="s">
        <v>29</v>
      </c>
      <c r="Q590" s="10" t="str">
        <f>VLOOKUP(A590,Status!A:B,2,0)</f>
        <v>Completed</v>
      </c>
      <c r="R590" s="2" t="s">
        <v>36</v>
      </c>
      <c r="S590" s="2">
        <v>3</v>
      </c>
      <c r="T590" s="2" t="s">
        <v>24</v>
      </c>
      <c r="U590" s="10" t="str">
        <f t="shared" si="59"/>
        <v>Apr</v>
      </c>
      <c r="V590" s="10">
        <f t="shared" si="58"/>
        <v>2025</v>
      </c>
      <c r="W590" t="e" cm="1">
        <f t="array" ref="W590">_xlfn.IFS(U590="January",1,U590="February",2,U590="March",3,U590="April",4,U590="May",5,U590="June",6,U590="July",7,U590="August",8,U590="September",9,U590="October",10,U590="November",11,U590="December",12)</f>
        <v>#N/A</v>
      </c>
    </row>
    <row r="591" spans="1:23" ht="15.75" customHeight="1" x14ac:dyDescent="0.25">
      <c r="A591" s="2" t="s">
        <v>1552</v>
      </c>
      <c r="B591" s="3">
        <v>45772.635474537034</v>
      </c>
      <c r="C591" s="2" t="s">
        <v>681</v>
      </c>
      <c r="D591" s="2" t="s">
        <v>262</v>
      </c>
      <c r="E591" s="2" t="s">
        <v>104</v>
      </c>
      <c r="F591" s="2" t="str" cm="1">
        <f t="array" ref="F591:G591">_xlfn.TEXTSPLIT(E591," - ")</f>
        <v>Bawang Merah</v>
      </c>
      <c r="G591" s="2" t="str">
        <v>Brand A</v>
      </c>
      <c r="H591" s="5">
        <v>30000</v>
      </c>
      <c r="I591" s="2">
        <v>1</v>
      </c>
      <c r="J591" s="2">
        <v>15</v>
      </c>
      <c r="K591" s="8">
        <f t="shared" si="54"/>
        <v>30000</v>
      </c>
      <c r="L591" s="8">
        <f t="shared" si="55"/>
        <v>4500</v>
      </c>
      <c r="M591" s="8">
        <f t="shared" si="56"/>
        <v>25500</v>
      </c>
      <c r="N591" s="5">
        <v>18000</v>
      </c>
      <c r="O591" s="8">
        <f t="shared" si="57"/>
        <v>43500</v>
      </c>
      <c r="P591" s="2" t="s">
        <v>22</v>
      </c>
      <c r="Q591" s="10" t="str">
        <f>VLOOKUP(A591,Status!A:B,2,0)</f>
        <v>Returned</v>
      </c>
      <c r="R591" s="2" t="s">
        <v>36</v>
      </c>
      <c r="S591" s="2">
        <v>4</v>
      </c>
      <c r="T591" s="2" t="s">
        <v>24</v>
      </c>
      <c r="U591" s="10" t="str">
        <f t="shared" si="59"/>
        <v>Apr</v>
      </c>
      <c r="V591" s="10">
        <f t="shared" si="58"/>
        <v>2025</v>
      </c>
      <c r="W591" t="e" cm="1">
        <f t="array" ref="W591">_xlfn.IFS(U591="January",1,U591="February",2,U591="March",3,U591="April",4,U591="May",5,U591="June",6,U591="July",7,U591="August",8,U591="September",9,U591="October",10,U591="November",11,U591="December",12)</f>
        <v>#N/A</v>
      </c>
    </row>
    <row r="592" spans="1:23" ht="15.75" customHeight="1" x14ac:dyDescent="0.25">
      <c r="A592" s="2" t="s">
        <v>1553</v>
      </c>
      <c r="B592" s="3">
        <v>45772.678842592592</v>
      </c>
      <c r="C592" s="2" t="s">
        <v>333</v>
      </c>
      <c r="D592" s="2" t="s">
        <v>107</v>
      </c>
      <c r="E592" s="2" t="s">
        <v>190</v>
      </c>
      <c r="F592" s="2" t="str" cm="1">
        <f t="array" ref="F592:G592">_xlfn.TEXTSPLIT(E592," - ")</f>
        <v>Bawang Merah</v>
      </c>
      <c r="G592" s="2" t="str">
        <v>Brand B</v>
      </c>
      <c r="H592" s="5">
        <v>35000</v>
      </c>
      <c r="I592" s="2">
        <v>3</v>
      </c>
      <c r="J592" s="2">
        <v>0</v>
      </c>
      <c r="K592" s="8">
        <f t="shared" si="54"/>
        <v>105000</v>
      </c>
      <c r="L592" s="8">
        <f t="shared" si="55"/>
        <v>0</v>
      </c>
      <c r="M592" s="8">
        <f t="shared" si="56"/>
        <v>105000</v>
      </c>
      <c r="N592" s="5">
        <v>97000</v>
      </c>
      <c r="O592" s="8">
        <f t="shared" si="57"/>
        <v>202000</v>
      </c>
      <c r="P592" s="2" t="s">
        <v>35</v>
      </c>
      <c r="Q592" s="10" t="str">
        <f>VLOOKUP(A592,Status!A:B,2,0)</f>
        <v>Returned</v>
      </c>
      <c r="R592" s="2" t="s">
        <v>36</v>
      </c>
      <c r="S592" s="2">
        <v>3</v>
      </c>
      <c r="T592" s="2" t="s">
        <v>37</v>
      </c>
      <c r="U592" s="10" t="str">
        <f t="shared" si="59"/>
        <v>Apr</v>
      </c>
      <c r="V592" s="10">
        <f t="shared" si="58"/>
        <v>2025</v>
      </c>
      <c r="W592" t="e" cm="1">
        <f t="array" ref="W592">_xlfn.IFS(U592="January",1,U592="February",2,U592="March",3,U592="April",4,U592="May",5,U592="June",6,U592="July",7,U592="August",8,U592="September",9,U592="October",10,U592="November",11,U592="December",12)</f>
        <v>#N/A</v>
      </c>
    </row>
    <row r="593" spans="1:23" ht="15.75" customHeight="1" x14ac:dyDescent="0.25">
      <c r="A593" s="2" t="s">
        <v>1554</v>
      </c>
      <c r="B593" s="3">
        <v>45772.681875000002</v>
      </c>
      <c r="C593" s="2" t="s">
        <v>184</v>
      </c>
      <c r="D593" s="2" t="s">
        <v>103</v>
      </c>
      <c r="E593" s="2" t="s">
        <v>138</v>
      </c>
      <c r="F593" s="2" t="str" cm="1">
        <f t="array" ref="F593:G593">_xlfn.TEXTSPLIT(E593," - ")</f>
        <v>Gula Pasir</v>
      </c>
      <c r="G593" s="2" t="str">
        <v>Brand B</v>
      </c>
      <c r="H593" s="5">
        <v>17000</v>
      </c>
      <c r="I593" s="2">
        <v>1</v>
      </c>
      <c r="J593" s="2">
        <v>0</v>
      </c>
      <c r="K593" s="8">
        <f t="shared" si="54"/>
        <v>17000</v>
      </c>
      <c r="L593" s="8">
        <f t="shared" si="55"/>
        <v>0</v>
      </c>
      <c r="M593" s="8">
        <f t="shared" si="56"/>
        <v>17000</v>
      </c>
      <c r="N593" s="5">
        <v>85000</v>
      </c>
      <c r="O593" s="8">
        <f t="shared" si="57"/>
        <v>102000</v>
      </c>
      <c r="P593" s="2" t="s">
        <v>22</v>
      </c>
      <c r="Q593" s="10" t="str">
        <f>VLOOKUP(A593,Status!A:B,2,0)</f>
        <v>Returned</v>
      </c>
      <c r="R593" s="2" t="s">
        <v>30</v>
      </c>
      <c r="S593" s="2">
        <v>5</v>
      </c>
      <c r="T593" s="2" t="s">
        <v>24</v>
      </c>
      <c r="U593" s="10" t="str">
        <f t="shared" si="59"/>
        <v>Apr</v>
      </c>
      <c r="V593" s="10">
        <f t="shared" si="58"/>
        <v>2025</v>
      </c>
      <c r="W593" t="e" cm="1">
        <f t="array" ref="W593">_xlfn.IFS(U593="January",1,U593="February",2,U593="March",3,U593="April",4,U593="May",5,U593="June",6,U593="July",7,U593="August",8,U593="September",9,U593="October",10,U593="November",11,U593="December",12)</f>
        <v>#N/A</v>
      </c>
    </row>
    <row r="594" spans="1:23" ht="15.75" customHeight="1" x14ac:dyDescent="0.25">
      <c r="A594" s="2" t="s">
        <v>1555</v>
      </c>
      <c r="B594" s="3">
        <v>45773.230671296304</v>
      </c>
      <c r="C594" s="2" t="s">
        <v>429</v>
      </c>
      <c r="D594" s="2" t="s">
        <v>177</v>
      </c>
      <c r="E594" s="2" t="s">
        <v>67</v>
      </c>
      <c r="F594" s="2" t="str" cm="1">
        <f t="array" ref="F594:G594">_xlfn.TEXTSPLIT(E594," - ")</f>
        <v>Beras</v>
      </c>
      <c r="G594" s="2" t="str">
        <v>Brand B</v>
      </c>
      <c r="H594" s="5">
        <v>15000</v>
      </c>
      <c r="I594" s="2">
        <v>2</v>
      </c>
      <c r="J594" s="2">
        <v>0</v>
      </c>
      <c r="K594" s="8">
        <f t="shared" si="54"/>
        <v>30000</v>
      </c>
      <c r="L594" s="8">
        <f t="shared" si="55"/>
        <v>0</v>
      </c>
      <c r="M594" s="8">
        <f t="shared" si="56"/>
        <v>30000</v>
      </c>
      <c r="N594" s="5">
        <v>56000</v>
      </c>
      <c r="O594" s="8">
        <f t="shared" si="57"/>
        <v>86000</v>
      </c>
      <c r="P594" s="2" t="s">
        <v>35</v>
      </c>
      <c r="Q594" s="10" t="str">
        <f>VLOOKUP(A594,Status!A:B,2,0)</f>
        <v>Completed</v>
      </c>
      <c r="R594" s="2" t="s">
        <v>36</v>
      </c>
      <c r="S594" s="2">
        <v>3</v>
      </c>
      <c r="T594" s="2" t="s">
        <v>37</v>
      </c>
      <c r="U594" s="10" t="str">
        <f t="shared" si="59"/>
        <v>Apr</v>
      </c>
      <c r="V594" s="10">
        <f t="shared" si="58"/>
        <v>2025</v>
      </c>
      <c r="W594" t="e" cm="1">
        <f t="array" ref="W594">_xlfn.IFS(U594="January",1,U594="February",2,U594="March",3,U594="April",4,U594="May",5,U594="June",6,U594="July",7,U594="August",8,U594="September",9,U594="October",10,U594="November",11,U594="December",12)</f>
        <v>#N/A</v>
      </c>
    </row>
    <row r="595" spans="1:23" ht="15.75" customHeight="1" x14ac:dyDescent="0.25">
      <c r="A595" s="2" t="s">
        <v>1556</v>
      </c>
      <c r="B595" s="3">
        <v>45773.302499999998</v>
      </c>
      <c r="C595" s="2" t="s">
        <v>249</v>
      </c>
      <c r="D595" s="2" t="s">
        <v>49</v>
      </c>
      <c r="E595" s="2" t="s">
        <v>50</v>
      </c>
      <c r="F595" s="2" t="str" cm="1">
        <f t="array" ref="F595:G595">_xlfn.TEXTSPLIT(E595," - ")</f>
        <v>Tepung Terigu</v>
      </c>
      <c r="G595" s="2" t="str">
        <v>Brand C</v>
      </c>
      <c r="H595" s="5">
        <v>14000</v>
      </c>
      <c r="I595" s="2">
        <v>5</v>
      </c>
      <c r="J595" s="2">
        <v>0</v>
      </c>
      <c r="K595" s="8">
        <f t="shared" si="54"/>
        <v>70000</v>
      </c>
      <c r="L595" s="8">
        <f t="shared" si="55"/>
        <v>0</v>
      </c>
      <c r="M595" s="8">
        <f t="shared" si="56"/>
        <v>70000</v>
      </c>
      <c r="N595" s="5">
        <v>43000</v>
      </c>
      <c r="O595" s="8">
        <f t="shared" si="57"/>
        <v>113000</v>
      </c>
      <c r="P595" s="2" t="s">
        <v>35</v>
      </c>
      <c r="Q595" s="10" t="str">
        <f>VLOOKUP(A595,Status!A:B,2,0)</f>
        <v>Completed</v>
      </c>
      <c r="R595" s="2" t="s">
        <v>46</v>
      </c>
      <c r="S595" s="2">
        <v>3</v>
      </c>
      <c r="T595" s="2" t="s">
        <v>24</v>
      </c>
      <c r="U595" s="10" t="str">
        <f t="shared" si="59"/>
        <v>Apr</v>
      </c>
      <c r="V595" s="10">
        <f t="shared" si="58"/>
        <v>2025</v>
      </c>
      <c r="W595" t="e" cm="1">
        <f t="array" ref="W595">_xlfn.IFS(U595="January",1,U595="February",2,U595="March",3,U595="April",4,U595="May",5,U595="June",6,U595="July",7,U595="August",8,U595="September",9,U595="October",10,U595="November",11,U595="December",12)</f>
        <v>#N/A</v>
      </c>
    </row>
    <row r="596" spans="1:23" ht="15.75" customHeight="1" x14ac:dyDescent="0.25">
      <c r="A596" s="2" t="s">
        <v>1557</v>
      </c>
      <c r="B596" s="3">
        <v>45773.45144675926</v>
      </c>
      <c r="C596" s="2" t="s">
        <v>739</v>
      </c>
      <c r="D596" s="2" t="s">
        <v>177</v>
      </c>
      <c r="E596" s="2" t="s">
        <v>110</v>
      </c>
      <c r="F596" s="2" t="str" cm="1">
        <f t="array" ref="F596:G596">_xlfn.TEXTSPLIT(E596," - ")</f>
        <v>Garam</v>
      </c>
      <c r="G596" s="2" t="str">
        <v>Brand C</v>
      </c>
      <c r="H596" s="5">
        <v>6000</v>
      </c>
      <c r="I596" s="2">
        <v>2</v>
      </c>
      <c r="J596" s="2">
        <v>5</v>
      </c>
      <c r="K596" s="8">
        <f t="shared" si="54"/>
        <v>12000</v>
      </c>
      <c r="L596" s="8">
        <f t="shared" si="55"/>
        <v>600</v>
      </c>
      <c r="M596" s="8">
        <f t="shared" si="56"/>
        <v>11400</v>
      </c>
      <c r="N596" s="5">
        <v>56000</v>
      </c>
      <c r="O596" s="8">
        <f t="shared" si="57"/>
        <v>67400</v>
      </c>
      <c r="P596" s="2" t="s">
        <v>35</v>
      </c>
      <c r="Q596" s="10" t="str">
        <f>VLOOKUP(A596,Status!A:B,2,0)</f>
        <v>Completed</v>
      </c>
      <c r="R596" s="2" t="s">
        <v>36</v>
      </c>
      <c r="S596" s="2">
        <v>3</v>
      </c>
      <c r="T596" s="2" t="s">
        <v>24</v>
      </c>
      <c r="U596" s="10" t="str">
        <f t="shared" si="59"/>
        <v>Apr</v>
      </c>
      <c r="V596" s="10">
        <f t="shared" si="58"/>
        <v>2025</v>
      </c>
      <c r="W596" t="e" cm="1">
        <f t="array" ref="W596">_xlfn.IFS(U596="January",1,U596="February",2,U596="March",3,U596="April",4,U596="May",5,U596="June",6,U596="July",7,U596="August",8,U596="September",9,U596="October",10,U596="November",11,U596="December",12)</f>
        <v>#N/A</v>
      </c>
    </row>
    <row r="597" spans="1:23" ht="15.75" customHeight="1" x14ac:dyDescent="0.25">
      <c r="A597" s="2" t="s">
        <v>1558</v>
      </c>
      <c r="B597" s="3">
        <v>45773.462199074071</v>
      </c>
      <c r="C597" s="2" t="s">
        <v>1146</v>
      </c>
      <c r="D597" s="2" t="s">
        <v>116</v>
      </c>
      <c r="E597" s="2" t="s">
        <v>144</v>
      </c>
      <c r="F597" s="2" t="str" cm="1">
        <f t="array" ref="F597:G597">_xlfn.TEXTSPLIT(E597," - ")</f>
        <v>Gula Pasir</v>
      </c>
      <c r="G597" s="2" t="str">
        <v>Brand C</v>
      </c>
      <c r="H597" s="5">
        <v>18000</v>
      </c>
      <c r="I597" s="2">
        <v>3</v>
      </c>
      <c r="J597" s="2">
        <v>0</v>
      </c>
      <c r="K597" s="8">
        <f t="shared" si="54"/>
        <v>54000</v>
      </c>
      <c r="L597" s="8">
        <f t="shared" si="55"/>
        <v>0</v>
      </c>
      <c r="M597" s="8">
        <f t="shared" si="56"/>
        <v>54000</v>
      </c>
      <c r="N597" s="5">
        <v>72000</v>
      </c>
      <c r="O597" s="8">
        <f t="shared" si="57"/>
        <v>126000</v>
      </c>
      <c r="P597" s="2" t="s">
        <v>35</v>
      </c>
      <c r="Q597" s="10" t="str">
        <f>VLOOKUP(A597,Status!A:B,2,0)</f>
        <v>Completed</v>
      </c>
      <c r="R597" s="2" t="s">
        <v>46</v>
      </c>
      <c r="S597" s="2">
        <v>5</v>
      </c>
      <c r="T597" s="2" t="s">
        <v>24</v>
      </c>
      <c r="U597" s="10" t="str">
        <f t="shared" si="59"/>
        <v>Apr</v>
      </c>
      <c r="V597" s="10">
        <f t="shared" si="58"/>
        <v>2025</v>
      </c>
      <c r="W597" t="e" cm="1">
        <f t="array" ref="W597">_xlfn.IFS(U597="January",1,U597="February",2,U597="March",3,U597="April",4,U597="May",5,U597="June",6,U597="July",7,U597="August",8,U597="September",9,U597="October",10,U597="November",11,U597="December",12)</f>
        <v>#N/A</v>
      </c>
    </row>
    <row r="598" spans="1:23" ht="15.75" customHeight="1" x14ac:dyDescent="0.25">
      <c r="A598" s="2" t="s">
        <v>1559</v>
      </c>
      <c r="B598" s="3">
        <v>45773.655370370368</v>
      </c>
      <c r="C598" s="2" t="s">
        <v>383</v>
      </c>
      <c r="D598" s="2" t="s">
        <v>122</v>
      </c>
      <c r="E598" s="2" t="s">
        <v>58</v>
      </c>
      <c r="F598" s="2" t="str" cm="1">
        <f t="array" ref="F598:G598">_xlfn.TEXTSPLIT(E598," - ")</f>
        <v>Gula Pasir</v>
      </c>
      <c r="G598" s="2" t="str">
        <v>Brand A</v>
      </c>
      <c r="H598" s="5">
        <v>16000</v>
      </c>
      <c r="I598" s="2">
        <v>4</v>
      </c>
      <c r="J598" s="2">
        <v>10</v>
      </c>
      <c r="K598" s="8">
        <f t="shared" si="54"/>
        <v>64000</v>
      </c>
      <c r="L598" s="8">
        <f t="shared" si="55"/>
        <v>6400</v>
      </c>
      <c r="M598" s="8">
        <f t="shared" si="56"/>
        <v>57600</v>
      </c>
      <c r="N598" s="5">
        <v>78000</v>
      </c>
      <c r="O598" s="8">
        <f t="shared" si="57"/>
        <v>135600</v>
      </c>
      <c r="P598" s="2" t="s">
        <v>63</v>
      </c>
      <c r="Q598" s="10" t="str">
        <f>VLOOKUP(A598,Status!A:B,2,0)</f>
        <v>Completed</v>
      </c>
      <c r="R598" s="2" t="s">
        <v>36</v>
      </c>
      <c r="S598" s="2">
        <v>2</v>
      </c>
      <c r="T598" s="2" t="s">
        <v>24</v>
      </c>
      <c r="U598" s="10" t="str">
        <f t="shared" si="59"/>
        <v>Apr</v>
      </c>
      <c r="V598" s="10">
        <f t="shared" si="58"/>
        <v>2025</v>
      </c>
      <c r="W598" t="e" cm="1">
        <f t="array" ref="W598">_xlfn.IFS(U598="January",1,U598="February",2,U598="March",3,U598="April",4,U598="May",5,U598="June",6,U598="July",7,U598="August",8,U598="September",9,U598="October",10,U598="November",11,U598="December",12)</f>
        <v>#N/A</v>
      </c>
    </row>
    <row r="599" spans="1:23" ht="15.75" customHeight="1" x14ac:dyDescent="0.25">
      <c r="A599" s="2" t="s">
        <v>1560</v>
      </c>
      <c r="B599" s="3">
        <v>45773.874652777777</v>
      </c>
      <c r="C599" s="2" t="s">
        <v>1561</v>
      </c>
      <c r="D599" s="2" t="s">
        <v>160</v>
      </c>
      <c r="E599" s="2" t="s">
        <v>93</v>
      </c>
      <c r="F599" s="2" t="str" cm="1">
        <f t="array" ref="F599:G599">_xlfn.TEXTSPLIT(E599," - ")</f>
        <v>Telur Ayam</v>
      </c>
      <c r="G599" s="2" t="str">
        <v>Brand B</v>
      </c>
      <c r="H599" s="5">
        <v>25000</v>
      </c>
      <c r="I599" s="2">
        <v>4</v>
      </c>
      <c r="J599" s="2">
        <v>20</v>
      </c>
      <c r="K599" s="8">
        <f t="shared" si="54"/>
        <v>100000</v>
      </c>
      <c r="L599" s="8">
        <f t="shared" si="55"/>
        <v>20000</v>
      </c>
      <c r="M599" s="8">
        <f t="shared" si="56"/>
        <v>80000</v>
      </c>
      <c r="N599" s="5">
        <v>68000</v>
      </c>
      <c r="O599" s="8">
        <f t="shared" si="57"/>
        <v>148000</v>
      </c>
      <c r="P599" s="2" t="s">
        <v>63</v>
      </c>
      <c r="Q599" s="10" t="str">
        <f>VLOOKUP(A599,Status!A:B,2,0)</f>
        <v>Completed</v>
      </c>
      <c r="R599" s="2" t="s">
        <v>30</v>
      </c>
      <c r="S599" s="2">
        <v>4</v>
      </c>
      <c r="T599" s="2" t="s">
        <v>24</v>
      </c>
      <c r="U599" s="10" t="str">
        <f t="shared" si="59"/>
        <v>Apr</v>
      </c>
      <c r="V599" s="10">
        <f t="shared" si="58"/>
        <v>2025</v>
      </c>
      <c r="W599" t="e" cm="1">
        <f t="array" ref="W599">_xlfn.IFS(U599="January",1,U599="February",2,U599="March",3,U599="April",4,U599="May",5,U599="June",6,U599="July",7,U599="August",8,U599="September",9,U599="October",10,U599="November",11,U599="December",12)</f>
        <v>#N/A</v>
      </c>
    </row>
    <row r="600" spans="1:23" ht="15.75" customHeight="1" x14ac:dyDescent="0.25">
      <c r="A600" s="2" t="s">
        <v>1562</v>
      </c>
      <c r="B600" s="3">
        <v>45774.049467592587</v>
      </c>
      <c r="C600" s="2" t="s">
        <v>231</v>
      </c>
      <c r="D600" s="2" t="s">
        <v>66</v>
      </c>
      <c r="E600" s="2" t="s">
        <v>71</v>
      </c>
      <c r="F600" s="2" t="str" cm="1">
        <f t="array" ref="F600:G600">_xlfn.TEXTSPLIT(E600," - ")</f>
        <v>Bawang Merah</v>
      </c>
      <c r="G600" s="2" t="str">
        <v>Brand C</v>
      </c>
      <c r="H600" s="5">
        <v>40000</v>
      </c>
      <c r="I600" s="2">
        <v>2</v>
      </c>
      <c r="J600" s="2">
        <v>5</v>
      </c>
      <c r="K600" s="8">
        <f t="shared" si="54"/>
        <v>80000</v>
      </c>
      <c r="L600" s="8">
        <f t="shared" si="55"/>
        <v>4000</v>
      </c>
      <c r="M600" s="8">
        <f t="shared" si="56"/>
        <v>76000</v>
      </c>
      <c r="N600" s="5">
        <v>59000</v>
      </c>
      <c r="O600" s="8">
        <f t="shared" si="57"/>
        <v>135000</v>
      </c>
      <c r="P600" s="2" t="s">
        <v>35</v>
      </c>
      <c r="Q600" s="10" t="str">
        <f>VLOOKUP(A600,Status!A:B,2,0)</f>
        <v>Completed</v>
      </c>
      <c r="R600" s="2" t="s">
        <v>46</v>
      </c>
      <c r="S600" s="2">
        <v>4</v>
      </c>
      <c r="T600" s="2" t="s">
        <v>24</v>
      </c>
      <c r="U600" s="10" t="str">
        <f t="shared" si="59"/>
        <v>Apr</v>
      </c>
      <c r="V600" s="10">
        <f t="shared" si="58"/>
        <v>2025</v>
      </c>
      <c r="W600" t="e" cm="1">
        <f t="array" ref="W600">_xlfn.IFS(U600="January",1,U600="February",2,U600="March",3,U600="April",4,U600="May",5,U600="June",6,U600="July",7,U600="August",8,U600="September",9,U600="October",10,U600="November",11,U600="December",12)</f>
        <v>#N/A</v>
      </c>
    </row>
    <row r="601" spans="1:23" ht="15.75" customHeight="1" x14ac:dyDescent="0.25">
      <c r="A601" s="2" t="s">
        <v>1562</v>
      </c>
      <c r="B601" s="3">
        <v>45774.049467592587</v>
      </c>
      <c r="C601" s="2" t="s">
        <v>231</v>
      </c>
      <c r="D601" s="2" t="s">
        <v>66</v>
      </c>
      <c r="E601" s="2" t="s">
        <v>190</v>
      </c>
      <c r="F601" s="2" t="str" cm="1">
        <f t="array" ref="F601:G601">_xlfn.TEXTSPLIT(E601," - ")</f>
        <v>Bawang Merah</v>
      </c>
      <c r="G601" s="2" t="str">
        <v>Brand B</v>
      </c>
      <c r="H601" s="5">
        <v>35000</v>
      </c>
      <c r="I601" s="2">
        <v>2</v>
      </c>
      <c r="J601" s="2">
        <v>15</v>
      </c>
      <c r="K601" s="8">
        <f t="shared" si="54"/>
        <v>70000</v>
      </c>
      <c r="L601" s="8">
        <f t="shared" si="55"/>
        <v>10500</v>
      </c>
      <c r="M601" s="8">
        <f t="shared" si="56"/>
        <v>59500</v>
      </c>
      <c r="N601" s="5">
        <v>0</v>
      </c>
      <c r="O601" s="8">
        <f t="shared" si="57"/>
        <v>59500</v>
      </c>
      <c r="P601" s="2" t="s">
        <v>35</v>
      </c>
      <c r="Q601" s="10" t="str">
        <f>VLOOKUP(A601,Status!A:B,2,0)</f>
        <v>Completed</v>
      </c>
      <c r="R601" s="2" t="s">
        <v>46</v>
      </c>
      <c r="S601" s="2">
        <v>4</v>
      </c>
      <c r="T601" s="2" t="s">
        <v>24</v>
      </c>
      <c r="U601" s="10" t="str">
        <f t="shared" si="59"/>
        <v>Apr</v>
      </c>
      <c r="V601" s="10">
        <f t="shared" si="58"/>
        <v>2025</v>
      </c>
      <c r="W601" t="e" cm="1">
        <f t="array" ref="W601">_xlfn.IFS(U601="January",1,U601="February",2,U601="March",3,U601="April",4,U601="May",5,U601="June",6,U601="July",7,U601="August",8,U601="September",9,U601="October",10,U601="November",11,U601="December",12)</f>
        <v>#N/A</v>
      </c>
    </row>
    <row r="602" spans="1:23" ht="15.75" customHeight="1" x14ac:dyDescent="0.25">
      <c r="A602" s="2" t="s">
        <v>1563</v>
      </c>
      <c r="B602" s="3">
        <v>45774.154432870368</v>
      </c>
      <c r="C602" s="2" t="s">
        <v>504</v>
      </c>
      <c r="D602" s="2" t="s">
        <v>195</v>
      </c>
      <c r="E602" s="2" t="s">
        <v>144</v>
      </c>
      <c r="F602" s="2" t="str" cm="1">
        <f t="array" ref="F602:G602">_xlfn.TEXTSPLIT(E602," - ")</f>
        <v>Gula Pasir</v>
      </c>
      <c r="G602" s="2" t="str">
        <v>Brand C</v>
      </c>
      <c r="H602" s="5">
        <v>18000</v>
      </c>
      <c r="I602" s="2">
        <v>2</v>
      </c>
      <c r="J602" s="2">
        <v>0</v>
      </c>
      <c r="K602" s="8">
        <f t="shared" si="54"/>
        <v>36000</v>
      </c>
      <c r="L602" s="8">
        <f t="shared" si="55"/>
        <v>0</v>
      </c>
      <c r="M602" s="8">
        <f t="shared" si="56"/>
        <v>36000</v>
      </c>
      <c r="N602" s="5">
        <v>87000</v>
      </c>
      <c r="O602" s="8">
        <f t="shared" si="57"/>
        <v>123000</v>
      </c>
      <c r="P602" s="2" t="s">
        <v>22</v>
      </c>
      <c r="Q602" s="10" t="str">
        <f>VLOOKUP(A602,Status!A:B,2,0)</f>
        <v>Completed</v>
      </c>
      <c r="R602" s="2" t="s">
        <v>23</v>
      </c>
      <c r="S602" s="2">
        <v>3</v>
      </c>
      <c r="T602" s="2" t="s">
        <v>24</v>
      </c>
      <c r="U602" s="10" t="str">
        <f t="shared" si="59"/>
        <v>Apr</v>
      </c>
      <c r="V602" s="10">
        <f t="shared" si="58"/>
        <v>2025</v>
      </c>
      <c r="W602" t="e" cm="1">
        <f t="array" ref="W602">_xlfn.IFS(U602="January",1,U602="February",2,U602="March",3,U602="April",4,U602="May",5,U602="June",6,U602="July",7,U602="August",8,U602="September",9,U602="October",10,U602="November",11,U602="December",12)</f>
        <v>#N/A</v>
      </c>
    </row>
    <row r="603" spans="1:23" ht="15.75" customHeight="1" x14ac:dyDescent="0.25">
      <c r="A603" s="2" t="s">
        <v>1564</v>
      </c>
      <c r="B603" s="3">
        <v>45774.19327546296</v>
      </c>
      <c r="C603" s="2" t="s">
        <v>990</v>
      </c>
      <c r="D603" s="2" t="s">
        <v>173</v>
      </c>
      <c r="E603" s="2" t="s">
        <v>81</v>
      </c>
      <c r="F603" s="2" t="str" cm="1">
        <f t="array" ref="F603:G603">_xlfn.TEXTSPLIT(E603," - ")</f>
        <v>Minyak Goreng</v>
      </c>
      <c r="G603" s="2" t="str">
        <v>Brand B</v>
      </c>
      <c r="H603" s="5">
        <v>17000</v>
      </c>
      <c r="I603" s="2">
        <v>3</v>
      </c>
      <c r="J603" s="2">
        <v>15</v>
      </c>
      <c r="K603" s="8">
        <f t="shared" si="54"/>
        <v>51000</v>
      </c>
      <c r="L603" s="8">
        <f t="shared" si="55"/>
        <v>7650</v>
      </c>
      <c r="M603" s="8">
        <f t="shared" si="56"/>
        <v>43350</v>
      </c>
      <c r="N603" s="5">
        <v>49000</v>
      </c>
      <c r="O603" s="8">
        <f t="shared" si="57"/>
        <v>92350</v>
      </c>
      <c r="P603" s="2" t="s">
        <v>22</v>
      </c>
      <c r="Q603" s="10" t="str">
        <f>VLOOKUP(A603,Status!A:B,2,0)</f>
        <v>Completed</v>
      </c>
      <c r="R603" s="2" t="s">
        <v>30</v>
      </c>
      <c r="S603" s="2">
        <v>1</v>
      </c>
      <c r="T603" s="2" t="s">
        <v>24</v>
      </c>
      <c r="U603" s="10" t="str">
        <f t="shared" si="59"/>
        <v>Apr</v>
      </c>
      <c r="V603" s="10">
        <f t="shared" si="58"/>
        <v>2025</v>
      </c>
      <c r="W603" t="e" cm="1">
        <f t="array" ref="W603">_xlfn.IFS(U603="January",1,U603="February",2,U603="March",3,U603="April",4,U603="May",5,U603="June",6,U603="July",7,U603="August",8,U603="September",9,U603="October",10,U603="November",11,U603="December",12)</f>
        <v>#N/A</v>
      </c>
    </row>
    <row r="604" spans="1:23" ht="15.75" customHeight="1" x14ac:dyDescent="0.25">
      <c r="A604" s="2" t="s">
        <v>1565</v>
      </c>
      <c r="B604" s="3">
        <v>45774.265497685177</v>
      </c>
      <c r="C604" s="2" t="s">
        <v>273</v>
      </c>
      <c r="D604" s="2" t="s">
        <v>195</v>
      </c>
      <c r="E604" s="2" t="s">
        <v>85</v>
      </c>
      <c r="F604" s="2" t="str" cm="1">
        <f t="array" ref="F604:G604">_xlfn.TEXTSPLIT(E604," - ")</f>
        <v>Daging Ayam</v>
      </c>
      <c r="G604" s="2" t="str">
        <v>Brand A</v>
      </c>
      <c r="H604" s="5">
        <v>35000</v>
      </c>
      <c r="I604" s="2">
        <v>2</v>
      </c>
      <c r="J604" s="2">
        <v>0</v>
      </c>
      <c r="K604" s="8">
        <f t="shared" si="54"/>
        <v>70000</v>
      </c>
      <c r="L604" s="8">
        <f t="shared" si="55"/>
        <v>0</v>
      </c>
      <c r="M604" s="8">
        <f t="shared" si="56"/>
        <v>70000</v>
      </c>
      <c r="N604" s="5">
        <v>87000</v>
      </c>
      <c r="O604" s="8">
        <f t="shared" si="57"/>
        <v>157000</v>
      </c>
      <c r="P604" s="2" t="s">
        <v>22</v>
      </c>
      <c r="Q604" s="10" t="str">
        <f>VLOOKUP(A604,Status!A:B,2,0)</f>
        <v>Completed</v>
      </c>
      <c r="R604" s="2" t="s">
        <v>82</v>
      </c>
      <c r="S604" s="2">
        <v>5</v>
      </c>
      <c r="T604" s="2" t="s">
        <v>24</v>
      </c>
      <c r="U604" s="10" t="str">
        <f t="shared" si="59"/>
        <v>Apr</v>
      </c>
      <c r="V604" s="10">
        <f t="shared" si="58"/>
        <v>2025</v>
      </c>
      <c r="W604" t="e" cm="1">
        <f t="array" ref="W604">_xlfn.IFS(U604="January",1,U604="February",2,U604="March",3,U604="April",4,U604="May",5,U604="June",6,U604="July",7,U604="August",8,U604="September",9,U604="October",10,U604="November",11,U604="December",12)</f>
        <v>#N/A</v>
      </c>
    </row>
    <row r="605" spans="1:23" ht="15.75" customHeight="1" x14ac:dyDescent="0.25">
      <c r="A605" s="2" t="s">
        <v>1566</v>
      </c>
      <c r="B605" s="3">
        <v>45774.329456018517</v>
      </c>
      <c r="C605" s="2" t="s">
        <v>77</v>
      </c>
      <c r="D605" s="2" t="s">
        <v>61</v>
      </c>
      <c r="E605" s="2" t="s">
        <v>190</v>
      </c>
      <c r="F605" s="2" t="str" cm="1">
        <f t="array" ref="F605:G605">_xlfn.TEXTSPLIT(E605," - ")</f>
        <v>Bawang Merah</v>
      </c>
      <c r="G605" s="2" t="str">
        <v>Brand B</v>
      </c>
      <c r="H605" s="5">
        <v>35000</v>
      </c>
      <c r="I605" s="2">
        <v>1</v>
      </c>
      <c r="J605" s="2">
        <v>5</v>
      </c>
      <c r="K605" s="8">
        <f t="shared" si="54"/>
        <v>35000</v>
      </c>
      <c r="L605" s="8">
        <f t="shared" si="55"/>
        <v>1750</v>
      </c>
      <c r="M605" s="8">
        <f t="shared" si="56"/>
        <v>33250</v>
      </c>
      <c r="N605" s="5">
        <v>26000</v>
      </c>
      <c r="O605" s="8">
        <f t="shared" si="57"/>
        <v>59250</v>
      </c>
      <c r="P605" s="2" t="s">
        <v>29</v>
      </c>
      <c r="Q605" s="10" t="str">
        <f>VLOOKUP(A605,Status!A:B,2,0)</f>
        <v>Completed</v>
      </c>
      <c r="R605" s="2" t="s">
        <v>46</v>
      </c>
      <c r="S605" s="2">
        <v>1</v>
      </c>
      <c r="T605" s="2" t="s">
        <v>24</v>
      </c>
      <c r="U605" s="10" t="str">
        <f t="shared" si="59"/>
        <v>Apr</v>
      </c>
      <c r="V605" s="10">
        <f t="shared" si="58"/>
        <v>2025</v>
      </c>
      <c r="W605" t="e" cm="1">
        <f t="array" ref="W605">_xlfn.IFS(U605="January",1,U605="February",2,U605="March",3,U605="April",4,U605="May",5,U605="June",6,U605="July",7,U605="August",8,U605="September",9,U605="October",10,U605="November",11,U605="December",12)</f>
        <v>#N/A</v>
      </c>
    </row>
    <row r="606" spans="1:23" ht="15.75" customHeight="1" x14ac:dyDescent="0.25">
      <c r="A606" s="2" t="s">
        <v>1566</v>
      </c>
      <c r="B606" s="3">
        <v>45774.329456018517</v>
      </c>
      <c r="C606" s="2" t="s">
        <v>77</v>
      </c>
      <c r="D606" s="2" t="s">
        <v>61</v>
      </c>
      <c r="E606" s="2" t="s">
        <v>21</v>
      </c>
      <c r="F606" s="2" t="str" cm="1">
        <f t="array" ref="F606:G606">_xlfn.TEXTSPLIT(E606," - ")</f>
        <v>Daging Ayam</v>
      </c>
      <c r="G606" s="2" t="str">
        <v>Brand C</v>
      </c>
      <c r="H606" s="5">
        <v>45000</v>
      </c>
      <c r="I606" s="2">
        <v>4</v>
      </c>
      <c r="J606" s="2">
        <v>5</v>
      </c>
      <c r="K606" s="8">
        <f t="shared" si="54"/>
        <v>180000</v>
      </c>
      <c r="L606" s="8">
        <f t="shared" si="55"/>
        <v>9000</v>
      </c>
      <c r="M606" s="8">
        <f t="shared" si="56"/>
        <v>171000</v>
      </c>
      <c r="N606" s="5">
        <v>0</v>
      </c>
      <c r="O606" s="8">
        <f t="shared" si="57"/>
        <v>171000</v>
      </c>
      <c r="P606" s="2" t="s">
        <v>29</v>
      </c>
      <c r="Q606" s="10" t="str">
        <f>VLOOKUP(A606,Status!A:B,2,0)</f>
        <v>Completed</v>
      </c>
      <c r="R606" s="2" t="s">
        <v>46</v>
      </c>
      <c r="S606" s="2">
        <v>1</v>
      </c>
      <c r="T606" s="2" t="s">
        <v>24</v>
      </c>
      <c r="U606" s="10" t="str">
        <f t="shared" si="59"/>
        <v>Apr</v>
      </c>
      <c r="V606" s="10">
        <f t="shared" si="58"/>
        <v>2025</v>
      </c>
      <c r="W606" t="e" cm="1">
        <f t="array" ref="W606">_xlfn.IFS(U606="January",1,U606="February",2,U606="March",3,U606="April",4,U606="May",5,U606="June",6,U606="July",7,U606="August",8,U606="September",9,U606="October",10,U606="November",11,U606="December",12)</f>
        <v>#N/A</v>
      </c>
    </row>
    <row r="607" spans="1:23" ht="15.75" customHeight="1" x14ac:dyDescent="0.25">
      <c r="A607" s="2" t="s">
        <v>1567</v>
      </c>
      <c r="B607" s="3">
        <v>45774.371990740743</v>
      </c>
      <c r="C607" s="2" t="s">
        <v>459</v>
      </c>
      <c r="D607" s="2" t="s">
        <v>61</v>
      </c>
      <c r="E607" s="2" t="s">
        <v>138</v>
      </c>
      <c r="F607" s="2" t="str" cm="1">
        <f t="array" ref="F607:G607">_xlfn.TEXTSPLIT(E607," - ")</f>
        <v>Gula Pasir</v>
      </c>
      <c r="G607" s="2" t="str">
        <v>Brand B</v>
      </c>
      <c r="H607" s="5">
        <v>17000</v>
      </c>
      <c r="I607" s="2">
        <v>1</v>
      </c>
      <c r="J607" s="2">
        <v>20</v>
      </c>
      <c r="K607" s="8">
        <f t="shared" si="54"/>
        <v>17000</v>
      </c>
      <c r="L607" s="8">
        <f t="shared" si="55"/>
        <v>3400</v>
      </c>
      <c r="M607" s="8">
        <f t="shared" si="56"/>
        <v>13600</v>
      </c>
      <c r="N607" s="5">
        <v>26000</v>
      </c>
      <c r="O607" s="8">
        <f t="shared" si="57"/>
        <v>39600</v>
      </c>
      <c r="P607" s="2" t="s">
        <v>63</v>
      </c>
      <c r="Q607" s="10" t="str">
        <f>VLOOKUP(A607,Status!A:B,2,0)</f>
        <v>Completed</v>
      </c>
      <c r="R607" s="2" t="s">
        <v>46</v>
      </c>
      <c r="S607" s="2">
        <v>5</v>
      </c>
      <c r="T607" s="2" t="s">
        <v>24</v>
      </c>
      <c r="U607" s="10" t="str">
        <f t="shared" si="59"/>
        <v>Apr</v>
      </c>
      <c r="V607" s="10">
        <f t="shared" si="58"/>
        <v>2025</v>
      </c>
      <c r="W607" t="e" cm="1">
        <f t="array" ref="W607">_xlfn.IFS(U607="January",1,U607="February",2,U607="March",3,U607="April",4,U607="May",5,U607="June",6,U607="July",7,U607="August",8,U607="September",9,U607="October",10,U607="November",11,U607="December",12)</f>
        <v>#N/A</v>
      </c>
    </row>
    <row r="608" spans="1:23" ht="15.75" customHeight="1" x14ac:dyDescent="0.25">
      <c r="A608" s="2" t="s">
        <v>1568</v>
      </c>
      <c r="B608" s="3">
        <v>45774.540324074071</v>
      </c>
      <c r="C608" s="2" t="s">
        <v>333</v>
      </c>
      <c r="D608" s="2" t="s">
        <v>107</v>
      </c>
      <c r="E608" s="2" t="s">
        <v>138</v>
      </c>
      <c r="F608" s="2" t="str" cm="1">
        <f t="array" ref="F608:G608">_xlfn.TEXTSPLIT(E608," - ")</f>
        <v>Gula Pasir</v>
      </c>
      <c r="G608" s="2" t="str">
        <v>Brand B</v>
      </c>
      <c r="H608" s="5">
        <v>17000</v>
      </c>
      <c r="I608" s="2">
        <v>1</v>
      </c>
      <c r="J608" s="2">
        <v>20</v>
      </c>
      <c r="K608" s="8">
        <f t="shared" si="54"/>
        <v>17000</v>
      </c>
      <c r="L608" s="8">
        <f t="shared" si="55"/>
        <v>3400</v>
      </c>
      <c r="M608" s="8">
        <f t="shared" si="56"/>
        <v>13600</v>
      </c>
      <c r="N608" s="5">
        <v>97000</v>
      </c>
      <c r="O608" s="8">
        <f t="shared" si="57"/>
        <v>110600</v>
      </c>
      <c r="P608" s="2" t="s">
        <v>63</v>
      </c>
      <c r="Q608" s="10" t="str">
        <f>VLOOKUP(A608,Status!A:B,2,0)</f>
        <v>Completed</v>
      </c>
      <c r="R608" s="2" t="s">
        <v>36</v>
      </c>
      <c r="S608" s="2">
        <v>3</v>
      </c>
      <c r="T608" s="2" t="s">
        <v>37</v>
      </c>
      <c r="U608" s="10" t="str">
        <f t="shared" si="59"/>
        <v>Apr</v>
      </c>
      <c r="V608" s="10">
        <f t="shared" si="58"/>
        <v>2025</v>
      </c>
      <c r="W608" t="e" cm="1">
        <f t="array" ref="W608">_xlfn.IFS(U608="January",1,U608="February",2,U608="March",3,U608="April",4,U608="May",5,U608="June",6,U608="July",7,U608="August",8,U608="September",9,U608="October",10,U608="November",11,U608="December",12)</f>
        <v>#N/A</v>
      </c>
    </row>
    <row r="609" spans="1:23" ht="15.75" customHeight="1" x14ac:dyDescent="0.25">
      <c r="A609" s="2" t="s">
        <v>1569</v>
      </c>
      <c r="B609" s="3">
        <v>45774.959687499999</v>
      </c>
      <c r="C609" s="2" t="s">
        <v>214</v>
      </c>
      <c r="D609" s="2" t="s">
        <v>131</v>
      </c>
      <c r="E609" s="2" t="s">
        <v>190</v>
      </c>
      <c r="F609" s="2" t="str" cm="1">
        <f t="array" ref="F609:G609">_xlfn.TEXTSPLIT(E609," - ")</f>
        <v>Bawang Merah</v>
      </c>
      <c r="G609" s="2" t="str">
        <v>Brand B</v>
      </c>
      <c r="H609" s="5">
        <v>35000</v>
      </c>
      <c r="I609" s="2">
        <v>2</v>
      </c>
      <c r="J609" s="2">
        <v>15</v>
      </c>
      <c r="K609" s="8">
        <f t="shared" si="54"/>
        <v>70000</v>
      </c>
      <c r="L609" s="8">
        <f t="shared" si="55"/>
        <v>10500</v>
      </c>
      <c r="M609" s="8">
        <f t="shared" si="56"/>
        <v>59500</v>
      </c>
      <c r="N609" s="5">
        <v>59000</v>
      </c>
      <c r="O609" s="8">
        <f t="shared" si="57"/>
        <v>118500</v>
      </c>
      <c r="P609" s="2" t="s">
        <v>35</v>
      </c>
      <c r="Q609" s="10" t="str">
        <f>VLOOKUP(A609,Status!A:B,2,0)</f>
        <v>Cancelled</v>
      </c>
      <c r="R609" s="2" t="s">
        <v>36</v>
      </c>
      <c r="S609" s="2">
        <v>3</v>
      </c>
      <c r="T609" s="2" t="s">
        <v>24</v>
      </c>
      <c r="U609" s="10" t="str">
        <f t="shared" si="59"/>
        <v>Apr</v>
      </c>
      <c r="V609" s="10">
        <f t="shared" si="58"/>
        <v>2025</v>
      </c>
      <c r="W609" t="e" cm="1">
        <f t="array" ref="W609">_xlfn.IFS(U609="January",1,U609="February",2,U609="March",3,U609="April",4,U609="May",5,U609="June",6,U609="July",7,U609="August",8,U609="September",9,U609="October",10,U609="November",11,U609="December",12)</f>
        <v>#N/A</v>
      </c>
    </row>
    <row r="610" spans="1:23" ht="15.75" customHeight="1" x14ac:dyDescent="0.25">
      <c r="A610" s="2" t="s">
        <v>1570</v>
      </c>
      <c r="B610" s="3">
        <v>45775.081689814811</v>
      </c>
      <c r="C610" s="2" t="s">
        <v>1424</v>
      </c>
      <c r="D610" s="2" t="s">
        <v>296</v>
      </c>
      <c r="E610" s="2" t="s">
        <v>81</v>
      </c>
      <c r="F610" s="2" t="str" cm="1">
        <f t="array" ref="F610:G610">_xlfn.TEXTSPLIT(E610," - ")</f>
        <v>Minyak Goreng</v>
      </c>
      <c r="G610" s="2" t="str">
        <v>Brand B</v>
      </c>
      <c r="H610" s="5">
        <v>17000</v>
      </c>
      <c r="I610" s="2">
        <v>1</v>
      </c>
      <c r="J610" s="2">
        <v>20</v>
      </c>
      <c r="K610" s="8">
        <f t="shared" si="54"/>
        <v>17000</v>
      </c>
      <c r="L610" s="8">
        <f t="shared" si="55"/>
        <v>3400</v>
      </c>
      <c r="M610" s="8">
        <f t="shared" si="56"/>
        <v>13600</v>
      </c>
      <c r="N610" s="5">
        <v>79000</v>
      </c>
      <c r="O610" s="8">
        <f t="shared" si="57"/>
        <v>92600</v>
      </c>
      <c r="P610" s="2" t="s">
        <v>63</v>
      </c>
      <c r="Q610" s="10" t="str">
        <f>VLOOKUP(A610,Status!A:B,2,0)</f>
        <v>Completed</v>
      </c>
      <c r="R610" s="2" t="s">
        <v>82</v>
      </c>
      <c r="S610" s="2">
        <v>4</v>
      </c>
      <c r="T610" s="2" t="s">
        <v>24</v>
      </c>
      <c r="U610" s="10" t="str">
        <f t="shared" si="59"/>
        <v>Apr</v>
      </c>
      <c r="V610" s="10">
        <f t="shared" si="58"/>
        <v>2025</v>
      </c>
      <c r="W610" t="e" cm="1">
        <f t="array" ref="W610">_xlfn.IFS(U610="January",1,U610="February",2,U610="March",3,U610="April",4,U610="May",5,U610="June",6,U610="July",7,U610="August",8,U610="September",9,U610="October",10,U610="November",11,U610="December",12)</f>
        <v>#N/A</v>
      </c>
    </row>
    <row r="611" spans="1:23" ht="15.75" customHeight="1" x14ac:dyDescent="0.25">
      <c r="A611" s="2" t="s">
        <v>1571</v>
      </c>
      <c r="B611" s="3">
        <v>45775.093043981477</v>
      </c>
      <c r="C611" s="2" t="s">
        <v>488</v>
      </c>
      <c r="D611" s="2" t="s">
        <v>49</v>
      </c>
      <c r="E611" s="2" t="s">
        <v>21</v>
      </c>
      <c r="F611" s="2" t="str" cm="1">
        <f t="array" ref="F611:G611">_xlfn.TEXTSPLIT(E611," - ")</f>
        <v>Daging Ayam</v>
      </c>
      <c r="G611" s="2" t="str">
        <v>Brand C</v>
      </c>
      <c r="H611" s="5">
        <v>45000</v>
      </c>
      <c r="I611" s="2">
        <v>1</v>
      </c>
      <c r="J611" s="2">
        <v>15</v>
      </c>
      <c r="K611" s="8">
        <f t="shared" si="54"/>
        <v>45000</v>
      </c>
      <c r="L611" s="8">
        <f t="shared" si="55"/>
        <v>6750</v>
      </c>
      <c r="M611" s="8">
        <f t="shared" si="56"/>
        <v>38250</v>
      </c>
      <c r="N611" s="5">
        <v>43000</v>
      </c>
      <c r="O611" s="8">
        <f t="shared" si="57"/>
        <v>81250</v>
      </c>
      <c r="P611" s="2" t="s">
        <v>22</v>
      </c>
      <c r="Q611" s="10" t="str">
        <f>VLOOKUP(A611,Status!A:B,2,0)</f>
        <v>Completed</v>
      </c>
      <c r="R611" s="2" t="s">
        <v>46</v>
      </c>
      <c r="S611" s="2">
        <v>2</v>
      </c>
      <c r="T611" s="2" t="s">
        <v>24</v>
      </c>
      <c r="U611" s="10" t="str">
        <f t="shared" si="59"/>
        <v>Apr</v>
      </c>
      <c r="V611" s="10">
        <f t="shared" si="58"/>
        <v>2025</v>
      </c>
      <c r="W611" t="e" cm="1">
        <f t="array" ref="W611">_xlfn.IFS(U611="January",1,U611="February",2,U611="March",3,U611="April",4,U611="May",5,U611="June",6,U611="July",7,U611="August",8,U611="September",9,U611="October",10,U611="November",11,U611="December",12)</f>
        <v>#N/A</v>
      </c>
    </row>
    <row r="612" spans="1:23" ht="15.75" customHeight="1" x14ac:dyDescent="0.25">
      <c r="A612" s="2" t="s">
        <v>1572</v>
      </c>
      <c r="B612" s="3">
        <v>45775.306168981479</v>
      </c>
      <c r="C612" s="2" t="s">
        <v>549</v>
      </c>
      <c r="D612" s="2" t="s">
        <v>107</v>
      </c>
      <c r="E612" s="2" t="s">
        <v>34</v>
      </c>
      <c r="F612" s="2" t="str" cm="1">
        <f t="array" ref="F612:G612">_xlfn.TEXTSPLIT(E612," - ")</f>
        <v>Minyak Goreng</v>
      </c>
      <c r="G612" s="2" t="str">
        <v>Brand A</v>
      </c>
      <c r="H612" s="5">
        <v>16000</v>
      </c>
      <c r="I612" s="2">
        <v>5</v>
      </c>
      <c r="J612" s="2">
        <v>10</v>
      </c>
      <c r="K612" s="8">
        <f t="shared" si="54"/>
        <v>80000</v>
      </c>
      <c r="L612" s="8">
        <f t="shared" si="55"/>
        <v>8000</v>
      </c>
      <c r="M612" s="8">
        <f t="shared" si="56"/>
        <v>72000</v>
      </c>
      <c r="N612" s="5">
        <v>97000</v>
      </c>
      <c r="O612" s="8">
        <f t="shared" si="57"/>
        <v>169000</v>
      </c>
      <c r="P612" s="2" t="s">
        <v>22</v>
      </c>
      <c r="Q612" s="10" t="str">
        <f>VLOOKUP(A612,Status!A:B,2,0)</f>
        <v>Completed</v>
      </c>
      <c r="R612" s="2" t="s">
        <v>23</v>
      </c>
      <c r="S612" s="2">
        <v>4</v>
      </c>
      <c r="T612" s="2" t="s">
        <v>24</v>
      </c>
      <c r="U612" s="10" t="str">
        <f t="shared" si="59"/>
        <v>Apr</v>
      </c>
      <c r="V612" s="10">
        <f t="shared" si="58"/>
        <v>2025</v>
      </c>
      <c r="W612" t="e" cm="1">
        <f t="array" ref="W612">_xlfn.IFS(U612="January",1,U612="February",2,U612="March",3,U612="April",4,U612="May",5,U612="June",6,U612="July",7,U612="August",8,U612="September",9,U612="October",10,U612="November",11,U612="December",12)</f>
        <v>#N/A</v>
      </c>
    </row>
    <row r="613" spans="1:23" ht="15.75" customHeight="1" x14ac:dyDescent="0.25">
      <c r="A613" s="2" t="s">
        <v>1573</v>
      </c>
      <c r="B613" s="3">
        <v>45775.459733796299</v>
      </c>
      <c r="C613" s="2" t="s">
        <v>1574</v>
      </c>
      <c r="D613" s="2" t="s">
        <v>33</v>
      </c>
      <c r="E613" s="2" t="s">
        <v>34</v>
      </c>
      <c r="F613" s="2" t="str" cm="1">
        <f t="array" ref="F613:G613">_xlfn.TEXTSPLIT(E613," - ")</f>
        <v>Minyak Goreng</v>
      </c>
      <c r="G613" s="2" t="str">
        <v>Brand A</v>
      </c>
      <c r="H613" s="5">
        <v>16000</v>
      </c>
      <c r="I613" s="2">
        <v>2</v>
      </c>
      <c r="J613" s="2">
        <v>20</v>
      </c>
      <c r="K613" s="8">
        <f t="shared" si="54"/>
        <v>32000</v>
      </c>
      <c r="L613" s="8">
        <f t="shared" si="55"/>
        <v>6400</v>
      </c>
      <c r="M613" s="8">
        <f t="shared" si="56"/>
        <v>25600</v>
      </c>
      <c r="N613" s="5">
        <v>76000</v>
      </c>
      <c r="O613" s="8">
        <f t="shared" si="57"/>
        <v>101600</v>
      </c>
      <c r="P613" s="2" t="s">
        <v>35</v>
      </c>
      <c r="Q613" s="10" t="str">
        <f>VLOOKUP(A613,Status!A:B,2,0)</f>
        <v>Completed</v>
      </c>
      <c r="R613" s="2" t="s">
        <v>36</v>
      </c>
      <c r="S613" s="2">
        <v>3</v>
      </c>
      <c r="T613" s="2" t="s">
        <v>24</v>
      </c>
      <c r="U613" s="10" t="str">
        <f t="shared" si="59"/>
        <v>Apr</v>
      </c>
      <c r="V613" s="10">
        <f t="shared" si="58"/>
        <v>2025</v>
      </c>
      <c r="W613" t="e" cm="1">
        <f t="array" ref="W613">_xlfn.IFS(U613="January",1,U613="February",2,U613="March",3,U613="April",4,U613="May",5,U613="June",6,U613="July",7,U613="August",8,U613="September",9,U613="October",10,U613="November",11,U613="December",12)</f>
        <v>#N/A</v>
      </c>
    </row>
    <row r="614" spans="1:23" ht="15.75" customHeight="1" x14ac:dyDescent="0.25">
      <c r="A614" s="2" t="s">
        <v>1575</v>
      </c>
      <c r="B614" s="3">
        <v>45775.59988425926</v>
      </c>
      <c r="C614" s="2" t="s">
        <v>77</v>
      </c>
      <c r="D614" s="2" t="s">
        <v>61</v>
      </c>
      <c r="E614" s="2" t="s">
        <v>138</v>
      </c>
      <c r="F614" s="2" t="str" cm="1">
        <f t="array" ref="F614:G614">_xlfn.TEXTSPLIT(E614," - ")</f>
        <v>Gula Pasir</v>
      </c>
      <c r="G614" s="2" t="str">
        <v>Brand B</v>
      </c>
      <c r="H614" s="5">
        <v>17000</v>
      </c>
      <c r="I614" s="2">
        <v>1</v>
      </c>
      <c r="J614" s="2">
        <v>15</v>
      </c>
      <c r="K614" s="8">
        <f t="shared" si="54"/>
        <v>17000</v>
      </c>
      <c r="L614" s="8">
        <f t="shared" si="55"/>
        <v>2550</v>
      </c>
      <c r="M614" s="8">
        <f t="shared" si="56"/>
        <v>14450</v>
      </c>
      <c r="N614" s="5">
        <v>26000</v>
      </c>
      <c r="O614" s="8">
        <f t="shared" si="57"/>
        <v>40450</v>
      </c>
      <c r="P614" s="2" t="s">
        <v>35</v>
      </c>
      <c r="Q614" s="10" t="str">
        <f>VLOOKUP(A614,Status!A:B,2,0)</f>
        <v>Completed</v>
      </c>
      <c r="R614" s="2" t="s">
        <v>46</v>
      </c>
      <c r="S614" s="2">
        <v>3</v>
      </c>
      <c r="T614" s="2" t="s">
        <v>24</v>
      </c>
      <c r="U614" s="10" t="str">
        <f t="shared" si="59"/>
        <v>Apr</v>
      </c>
      <c r="V614" s="10">
        <f t="shared" si="58"/>
        <v>2025</v>
      </c>
      <c r="W614" t="e" cm="1">
        <f t="array" ref="W614">_xlfn.IFS(U614="January",1,U614="February",2,U614="March",3,U614="April",4,U614="May",5,U614="June",6,U614="July",7,U614="August",8,U614="September",9,U614="October",10,U614="November",11,U614="December",12)</f>
        <v>#N/A</v>
      </c>
    </row>
    <row r="615" spans="1:23" ht="15.75" customHeight="1" x14ac:dyDescent="0.25">
      <c r="A615" s="2" t="s">
        <v>1575</v>
      </c>
      <c r="B615" s="3">
        <v>45775.59988425926</v>
      </c>
      <c r="C615" s="2" t="s">
        <v>77</v>
      </c>
      <c r="D615" s="2" t="s">
        <v>61</v>
      </c>
      <c r="E615" s="2" t="s">
        <v>88</v>
      </c>
      <c r="F615" s="2" t="str" cm="1">
        <f t="array" ref="F615:G615">_xlfn.TEXTSPLIT(E615," - ")</f>
        <v>Beras</v>
      </c>
      <c r="G615" s="2" t="str">
        <v>Brand A</v>
      </c>
      <c r="H615" s="5">
        <v>14000</v>
      </c>
      <c r="I615" s="2">
        <v>1</v>
      </c>
      <c r="J615" s="2">
        <v>15</v>
      </c>
      <c r="K615" s="8">
        <f t="shared" si="54"/>
        <v>14000</v>
      </c>
      <c r="L615" s="8">
        <f t="shared" si="55"/>
        <v>2100</v>
      </c>
      <c r="M615" s="8">
        <f t="shared" si="56"/>
        <v>11900</v>
      </c>
      <c r="N615" s="5">
        <v>0</v>
      </c>
      <c r="O615" s="8">
        <f t="shared" si="57"/>
        <v>11900</v>
      </c>
      <c r="P615" s="2" t="s">
        <v>35</v>
      </c>
      <c r="Q615" s="10" t="str">
        <f>VLOOKUP(A615,Status!A:B,2,0)</f>
        <v>Completed</v>
      </c>
      <c r="R615" s="2" t="s">
        <v>46</v>
      </c>
      <c r="S615" s="2">
        <v>3</v>
      </c>
      <c r="T615" s="2" t="s">
        <v>24</v>
      </c>
      <c r="U615" s="10" t="str">
        <f t="shared" si="59"/>
        <v>Apr</v>
      </c>
      <c r="V615" s="10">
        <f t="shared" si="58"/>
        <v>2025</v>
      </c>
      <c r="W615" t="e" cm="1">
        <f t="array" ref="W615">_xlfn.IFS(U615="January",1,U615="February",2,U615="March",3,U615="April",4,U615="May",5,U615="June",6,U615="July",7,U615="August",8,U615="September",9,U615="October",10,U615="November",11,U615="December",12)</f>
        <v>#N/A</v>
      </c>
    </row>
    <row r="616" spans="1:23" ht="15.75" customHeight="1" x14ac:dyDescent="0.25">
      <c r="A616" s="2" t="s">
        <v>1576</v>
      </c>
      <c r="B616" s="3">
        <v>45775.69017361111</v>
      </c>
      <c r="C616" s="2" t="s">
        <v>1228</v>
      </c>
      <c r="D616" s="2" t="s">
        <v>33</v>
      </c>
      <c r="E616" s="2" t="s">
        <v>38</v>
      </c>
      <c r="F616" s="2" t="str" cm="1">
        <f t="array" ref="F616:G616">_xlfn.TEXTSPLIT(E616," - ")</f>
        <v>Telur Ayam</v>
      </c>
      <c r="G616" s="2" t="str">
        <v>Brand C</v>
      </c>
      <c r="H616" s="5">
        <v>28000</v>
      </c>
      <c r="I616" s="2">
        <v>1</v>
      </c>
      <c r="J616" s="2">
        <v>0</v>
      </c>
      <c r="K616" s="8">
        <f t="shared" si="54"/>
        <v>28000</v>
      </c>
      <c r="L616" s="8">
        <f t="shared" si="55"/>
        <v>0</v>
      </c>
      <c r="M616" s="8">
        <f t="shared" si="56"/>
        <v>28000</v>
      </c>
      <c r="N616" s="5">
        <v>76000</v>
      </c>
      <c r="O616" s="8">
        <f t="shared" si="57"/>
        <v>104000</v>
      </c>
      <c r="P616" s="2" t="s">
        <v>29</v>
      </c>
      <c r="Q616" s="10" t="str">
        <f>VLOOKUP(A616,Status!A:B,2,0)</f>
        <v>Completed</v>
      </c>
      <c r="R616" s="2" t="s">
        <v>23</v>
      </c>
      <c r="S616" s="2">
        <v>2</v>
      </c>
      <c r="T616" s="2" t="s">
        <v>24</v>
      </c>
      <c r="U616" s="10" t="str">
        <f t="shared" si="59"/>
        <v>Apr</v>
      </c>
      <c r="V616" s="10">
        <f t="shared" si="58"/>
        <v>2025</v>
      </c>
      <c r="W616" t="e" cm="1">
        <f t="array" ref="W616">_xlfn.IFS(U616="January",1,U616="February",2,U616="March",3,U616="April",4,U616="May",5,U616="June",6,U616="July",7,U616="August",8,U616="September",9,U616="October",10,U616="November",11,U616="December",12)</f>
        <v>#N/A</v>
      </c>
    </row>
    <row r="617" spans="1:23" ht="15.75" customHeight="1" x14ac:dyDescent="0.25">
      <c r="A617" s="2" t="s">
        <v>1577</v>
      </c>
      <c r="B617" s="3">
        <v>45775.777465277781</v>
      </c>
      <c r="C617" s="2" t="s">
        <v>651</v>
      </c>
      <c r="D617" s="2" t="s">
        <v>182</v>
      </c>
      <c r="E617" s="2" t="s">
        <v>62</v>
      </c>
      <c r="F617" s="2" t="str" cm="1">
        <f t="array" ref="F617:G617">_xlfn.TEXTSPLIT(E617," - ")</f>
        <v>Susu Bubuk</v>
      </c>
      <c r="G617" s="2" t="str">
        <v>Brand B</v>
      </c>
      <c r="H617" s="5">
        <v>50000</v>
      </c>
      <c r="I617" s="2">
        <v>2</v>
      </c>
      <c r="J617" s="2">
        <v>0</v>
      </c>
      <c r="K617" s="8">
        <f t="shared" si="54"/>
        <v>100000</v>
      </c>
      <c r="L617" s="8">
        <f t="shared" si="55"/>
        <v>0</v>
      </c>
      <c r="M617" s="8">
        <f t="shared" si="56"/>
        <v>100000</v>
      </c>
      <c r="N617" s="5">
        <v>48000</v>
      </c>
      <c r="O617" s="8">
        <f t="shared" si="57"/>
        <v>148000</v>
      </c>
      <c r="P617" s="2" t="s">
        <v>35</v>
      </c>
      <c r="Q617" s="10" t="str">
        <f>VLOOKUP(A617,Status!A:B,2,0)</f>
        <v>Completed</v>
      </c>
      <c r="R617" s="2" t="s">
        <v>36</v>
      </c>
      <c r="S617" s="2">
        <v>4</v>
      </c>
      <c r="T617" s="2" t="s">
        <v>37</v>
      </c>
      <c r="U617" s="10" t="str">
        <f t="shared" si="59"/>
        <v>Apr</v>
      </c>
      <c r="V617" s="10">
        <f t="shared" si="58"/>
        <v>2025</v>
      </c>
      <c r="W617" t="e" cm="1">
        <f t="array" ref="W617">_xlfn.IFS(U617="January",1,U617="February",2,U617="March",3,U617="April",4,U617="May",5,U617="June",6,U617="July",7,U617="August",8,U617="September",9,U617="October",10,U617="November",11,U617="December",12)</f>
        <v>#N/A</v>
      </c>
    </row>
    <row r="618" spans="1:23" ht="15.75" customHeight="1" x14ac:dyDescent="0.25">
      <c r="A618" s="2" t="s">
        <v>1578</v>
      </c>
      <c r="B618" s="3">
        <v>45776.06050925926</v>
      </c>
      <c r="C618" s="2" t="s">
        <v>323</v>
      </c>
      <c r="D618" s="2" t="s">
        <v>103</v>
      </c>
      <c r="E618" s="2" t="s">
        <v>81</v>
      </c>
      <c r="F618" s="2" t="str" cm="1">
        <f t="array" ref="F618:G618">_xlfn.TEXTSPLIT(E618," - ")</f>
        <v>Minyak Goreng</v>
      </c>
      <c r="G618" s="2" t="str">
        <v>Brand B</v>
      </c>
      <c r="H618" s="5">
        <v>17000</v>
      </c>
      <c r="I618" s="2">
        <v>5</v>
      </c>
      <c r="J618" s="2">
        <v>5</v>
      </c>
      <c r="K618" s="8">
        <f t="shared" si="54"/>
        <v>85000</v>
      </c>
      <c r="L618" s="8">
        <f t="shared" si="55"/>
        <v>4250</v>
      </c>
      <c r="M618" s="8">
        <f t="shared" si="56"/>
        <v>80750</v>
      </c>
      <c r="N618" s="5">
        <v>85000</v>
      </c>
      <c r="O618" s="8">
        <f t="shared" si="57"/>
        <v>165750</v>
      </c>
      <c r="P618" s="2" t="s">
        <v>63</v>
      </c>
      <c r="Q618" s="10" t="str">
        <f>VLOOKUP(A618,Status!A:B,2,0)</f>
        <v>Completed</v>
      </c>
      <c r="R618" s="2" t="s">
        <v>30</v>
      </c>
      <c r="S618" s="2">
        <v>4</v>
      </c>
      <c r="T618" s="2" t="s">
        <v>24</v>
      </c>
      <c r="U618" s="10" t="str">
        <f t="shared" si="59"/>
        <v>Apr</v>
      </c>
      <c r="V618" s="10">
        <f t="shared" si="58"/>
        <v>2025</v>
      </c>
      <c r="W618" t="e" cm="1">
        <f t="array" ref="W618">_xlfn.IFS(U618="January",1,U618="February",2,U618="March",3,U618="April",4,U618="May",5,U618="June",6,U618="July",7,U618="August",8,U618="September",9,U618="October",10,U618="November",11,U618="December",12)</f>
        <v>#N/A</v>
      </c>
    </row>
    <row r="619" spans="1:23" ht="15.75" customHeight="1" x14ac:dyDescent="0.25">
      <c r="A619" s="2" t="s">
        <v>1579</v>
      </c>
      <c r="B619" s="3">
        <v>45776.3515162037</v>
      </c>
      <c r="C619" s="2" t="s">
        <v>904</v>
      </c>
      <c r="D619" s="2" t="s">
        <v>296</v>
      </c>
      <c r="E619" s="2" t="s">
        <v>21</v>
      </c>
      <c r="F619" s="2" t="str" cm="1">
        <f t="array" ref="F619:G619">_xlfn.TEXTSPLIT(E619," - ")</f>
        <v>Daging Ayam</v>
      </c>
      <c r="G619" s="2" t="str">
        <v>Brand C</v>
      </c>
      <c r="H619" s="5">
        <v>45000</v>
      </c>
      <c r="I619" s="2">
        <v>5</v>
      </c>
      <c r="J619" s="2">
        <v>15</v>
      </c>
      <c r="K619" s="8">
        <f t="shared" si="54"/>
        <v>225000</v>
      </c>
      <c r="L619" s="8">
        <f t="shared" si="55"/>
        <v>33750</v>
      </c>
      <c r="M619" s="8">
        <f t="shared" si="56"/>
        <v>191250</v>
      </c>
      <c r="N619" s="5">
        <v>79000</v>
      </c>
      <c r="O619" s="8">
        <f t="shared" si="57"/>
        <v>270250</v>
      </c>
      <c r="P619" s="2" t="s">
        <v>22</v>
      </c>
      <c r="Q619" s="10" t="str">
        <f>VLOOKUP(A619,Status!A:B,2,0)</f>
        <v>Completed</v>
      </c>
      <c r="R619" s="2" t="s">
        <v>23</v>
      </c>
      <c r="S619" s="2">
        <v>3</v>
      </c>
      <c r="T619" s="2" t="s">
        <v>37</v>
      </c>
      <c r="U619" s="10" t="str">
        <f t="shared" si="59"/>
        <v>Apr</v>
      </c>
      <c r="V619" s="10">
        <f t="shared" si="58"/>
        <v>2025</v>
      </c>
      <c r="W619" t="e" cm="1">
        <f t="array" ref="W619">_xlfn.IFS(U619="January",1,U619="February",2,U619="March",3,U619="April",4,U619="May",5,U619="June",6,U619="July",7,U619="August",8,U619="September",9,U619="October",10,U619="November",11,U619="December",12)</f>
        <v>#N/A</v>
      </c>
    </row>
    <row r="620" spans="1:23" ht="15.75" customHeight="1" x14ac:dyDescent="0.25">
      <c r="A620" s="2" t="s">
        <v>1580</v>
      </c>
      <c r="B620" s="3">
        <v>45776.844780092593</v>
      </c>
      <c r="C620" s="2" t="s">
        <v>211</v>
      </c>
      <c r="D620" s="2" t="s">
        <v>49</v>
      </c>
      <c r="E620" s="2" t="s">
        <v>34</v>
      </c>
      <c r="F620" s="2" t="str" cm="1">
        <f t="array" ref="F620:G620">_xlfn.TEXTSPLIT(E620," - ")</f>
        <v>Minyak Goreng</v>
      </c>
      <c r="G620" s="2" t="str">
        <v>Brand A</v>
      </c>
      <c r="H620" s="5">
        <v>16000</v>
      </c>
      <c r="I620" s="2">
        <v>5</v>
      </c>
      <c r="J620" s="2">
        <v>20</v>
      </c>
      <c r="K620" s="8">
        <f t="shared" si="54"/>
        <v>80000</v>
      </c>
      <c r="L620" s="8">
        <f t="shared" si="55"/>
        <v>16000</v>
      </c>
      <c r="M620" s="8">
        <f t="shared" si="56"/>
        <v>64000</v>
      </c>
      <c r="N620" s="5">
        <v>43000</v>
      </c>
      <c r="O620" s="8">
        <f t="shared" si="57"/>
        <v>107000</v>
      </c>
      <c r="P620" s="2" t="s">
        <v>22</v>
      </c>
      <c r="Q620" s="10" t="str">
        <f>VLOOKUP(A620,Status!A:B,2,0)</f>
        <v>Completed</v>
      </c>
      <c r="R620" s="2" t="s">
        <v>82</v>
      </c>
      <c r="S620" s="2">
        <v>2</v>
      </c>
      <c r="T620" s="2" t="s">
        <v>24</v>
      </c>
      <c r="U620" s="10" t="str">
        <f t="shared" si="59"/>
        <v>Apr</v>
      </c>
      <c r="V620" s="10">
        <f t="shared" si="58"/>
        <v>2025</v>
      </c>
      <c r="W620" t="e" cm="1">
        <f t="array" ref="W620">_xlfn.IFS(U620="January",1,U620="February",2,U620="March",3,U620="April",4,U620="May",5,U620="June",6,U620="July",7,U620="August",8,U620="September",9,U620="October",10,U620="November",11,U620="December",12)</f>
        <v>#N/A</v>
      </c>
    </row>
    <row r="621" spans="1:23" ht="15.75" customHeight="1" x14ac:dyDescent="0.25">
      <c r="A621" s="2" t="s">
        <v>1581</v>
      </c>
      <c r="B621" s="3">
        <v>45776.924502314818</v>
      </c>
      <c r="C621" s="2" t="s">
        <v>1582</v>
      </c>
      <c r="D621" s="2" t="s">
        <v>80</v>
      </c>
      <c r="E621" s="2" t="s">
        <v>41</v>
      </c>
      <c r="F621" s="2" t="str" cm="1">
        <f t="array" ref="F621:G621">_xlfn.TEXTSPLIT(E621," - ")</f>
        <v>Garam</v>
      </c>
      <c r="G621" s="2" t="str">
        <v>Brand A</v>
      </c>
      <c r="H621" s="5">
        <v>4000</v>
      </c>
      <c r="I621" s="2">
        <v>2</v>
      </c>
      <c r="J621" s="2">
        <v>20</v>
      </c>
      <c r="K621" s="8">
        <f t="shared" si="54"/>
        <v>8000</v>
      </c>
      <c r="L621" s="8">
        <f t="shared" si="55"/>
        <v>1600</v>
      </c>
      <c r="M621" s="8">
        <f t="shared" si="56"/>
        <v>6400</v>
      </c>
      <c r="N621" s="5">
        <v>74000</v>
      </c>
      <c r="O621" s="8">
        <f t="shared" si="57"/>
        <v>80400</v>
      </c>
      <c r="P621" s="2" t="s">
        <v>63</v>
      </c>
      <c r="Q621" s="10" t="str">
        <f>VLOOKUP(A621,Status!A:B,2,0)</f>
        <v>Cancelled</v>
      </c>
      <c r="R621" s="2" t="s">
        <v>36</v>
      </c>
      <c r="S621" s="2">
        <v>5</v>
      </c>
      <c r="T621" s="2" t="s">
        <v>24</v>
      </c>
      <c r="U621" s="10" t="str">
        <f t="shared" si="59"/>
        <v>Apr</v>
      </c>
      <c r="V621" s="10">
        <f t="shared" si="58"/>
        <v>2025</v>
      </c>
      <c r="W621" t="e" cm="1">
        <f t="array" ref="W621">_xlfn.IFS(U621="January",1,U621="February",2,U621="March",3,U621="April",4,U621="May",5,U621="June",6,U621="July",7,U621="August",8,U621="September",9,U621="October",10,U621="November",11,U621="December",12)</f>
        <v>#N/A</v>
      </c>
    </row>
    <row r="622" spans="1:23" ht="15.75" customHeight="1" x14ac:dyDescent="0.25">
      <c r="A622" s="2" t="s">
        <v>1583</v>
      </c>
      <c r="B622" s="3">
        <v>45777.205011574071</v>
      </c>
      <c r="C622" s="2" t="s">
        <v>167</v>
      </c>
      <c r="D622" s="2" t="s">
        <v>44</v>
      </c>
      <c r="E622" s="2" t="s">
        <v>186</v>
      </c>
      <c r="F622" s="2" t="str" cm="1">
        <f t="array" ref="F622:G622">_xlfn.TEXTSPLIT(E622," - ")</f>
        <v>Susu Bubuk</v>
      </c>
      <c r="G622" s="2" t="str">
        <v>Brand A</v>
      </c>
      <c r="H622" s="5">
        <v>45000</v>
      </c>
      <c r="I622" s="2">
        <v>3</v>
      </c>
      <c r="J622" s="2">
        <v>15</v>
      </c>
      <c r="K622" s="8">
        <f t="shared" si="54"/>
        <v>135000</v>
      </c>
      <c r="L622" s="8">
        <f t="shared" si="55"/>
        <v>20250</v>
      </c>
      <c r="M622" s="8">
        <f t="shared" si="56"/>
        <v>114750</v>
      </c>
      <c r="N622" s="5">
        <v>93000</v>
      </c>
      <c r="O622" s="8">
        <f t="shared" si="57"/>
        <v>207750</v>
      </c>
      <c r="P622" s="2" t="s">
        <v>29</v>
      </c>
      <c r="Q622" s="10" t="str">
        <f>VLOOKUP(A622,Status!A:B,2,0)</f>
        <v>Completed</v>
      </c>
      <c r="R622" s="2" t="s">
        <v>23</v>
      </c>
      <c r="S622" s="2">
        <v>5</v>
      </c>
      <c r="T622" s="2" t="s">
        <v>24</v>
      </c>
      <c r="U622" s="10" t="str">
        <f t="shared" si="59"/>
        <v>Apr</v>
      </c>
      <c r="V622" s="10">
        <f t="shared" si="58"/>
        <v>2025</v>
      </c>
      <c r="W622" t="e" cm="1">
        <f t="array" ref="W622">_xlfn.IFS(U622="January",1,U622="February",2,U622="March",3,U622="April",4,U622="May",5,U622="June",6,U622="July",7,U622="August",8,U622="September",9,U622="October",10,U622="November",11,U622="December",12)</f>
        <v>#N/A</v>
      </c>
    </row>
    <row r="623" spans="1:23" ht="15.75" customHeight="1" x14ac:dyDescent="0.25">
      <c r="A623" s="2" t="s">
        <v>1584</v>
      </c>
      <c r="B623" s="3">
        <v>45778.036087962973</v>
      </c>
      <c r="C623" s="2" t="s">
        <v>214</v>
      </c>
      <c r="D623" s="2" t="s">
        <v>131</v>
      </c>
      <c r="E623" s="2" t="s">
        <v>71</v>
      </c>
      <c r="F623" s="2" t="str" cm="1">
        <f t="array" ref="F623:G623">_xlfn.TEXTSPLIT(E623," - ")</f>
        <v>Bawang Merah</v>
      </c>
      <c r="G623" s="2" t="str">
        <v>Brand C</v>
      </c>
      <c r="H623" s="5">
        <v>40000</v>
      </c>
      <c r="I623" s="2">
        <v>3</v>
      </c>
      <c r="J623" s="2">
        <v>10</v>
      </c>
      <c r="K623" s="8">
        <f t="shared" si="54"/>
        <v>120000</v>
      </c>
      <c r="L623" s="8">
        <f t="shared" si="55"/>
        <v>12000</v>
      </c>
      <c r="M623" s="8">
        <f t="shared" si="56"/>
        <v>108000</v>
      </c>
      <c r="N623" s="5">
        <v>59000</v>
      </c>
      <c r="O623" s="8">
        <f t="shared" si="57"/>
        <v>167000</v>
      </c>
      <c r="P623" s="2" t="s">
        <v>35</v>
      </c>
      <c r="Q623" s="10" t="str">
        <f>VLOOKUP(A623,Status!A:B,2,0)</f>
        <v>Completed</v>
      </c>
      <c r="R623" s="2" t="s">
        <v>82</v>
      </c>
      <c r="S623" s="2">
        <v>1</v>
      </c>
      <c r="T623" s="2" t="s">
        <v>24</v>
      </c>
      <c r="U623" s="10" t="str">
        <f t="shared" si="59"/>
        <v>May</v>
      </c>
      <c r="V623" s="10">
        <f t="shared" si="58"/>
        <v>2025</v>
      </c>
      <c r="W623" cm="1">
        <f t="array" ref="W623">_xlfn.IFS(U623="January",1,U623="February",2,U623="March",3,U623="April",4,U623="May",5,U623="June",6,U623="July",7,U623="August",8,U623="September",9,U623="October",10,U623="November",11,U623="December",12)</f>
        <v>5</v>
      </c>
    </row>
    <row r="624" spans="1:23" ht="15.75" customHeight="1" x14ac:dyDescent="0.25">
      <c r="A624" s="2" t="s">
        <v>1585</v>
      </c>
      <c r="B624" s="3">
        <v>45778.390381944453</v>
      </c>
      <c r="C624" s="2" t="s">
        <v>695</v>
      </c>
      <c r="D624" s="2" t="s">
        <v>119</v>
      </c>
      <c r="E624" s="2" t="s">
        <v>38</v>
      </c>
      <c r="F624" s="2" t="str" cm="1">
        <f t="array" ref="F624:G624">_xlfn.TEXTSPLIT(E624," - ")</f>
        <v>Telur Ayam</v>
      </c>
      <c r="G624" s="2" t="str">
        <v>Brand C</v>
      </c>
      <c r="H624" s="5">
        <v>28000</v>
      </c>
      <c r="I624" s="2">
        <v>3</v>
      </c>
      <c r="J624" s="2">
        <v>15</v>
      </c>
      <c r="K624" s="8">
        <f t="shared" si="54"/>
        <v>84000</v>
      </c>
      <c r="L624" s="8">
        <f t="shared" si="55"/>
        <v>12600</v>
      </c>
      <c r="M624" s="8">
        <f t="shared" si="56"/>
        <v>71400</v>
      </c>
      <c r="N624" s="5">
        <v>0</v>
      </c>
      <c r="O624" s="8">
        <f t="shared" si="57"/>
        <v>71400</v>
      </c>
      <c r="P624" s="2" t="s">
        <v>35</v>
      </c>
      <c r="Q624" s="10" t="str">
        <f>VLOOKUP(A624,Status!A:B,2,0)</f>
        <v>Completed</v>
      </c>
      <c r="R624" s="2" t="s">
        <v>82</v>
      </c>
      <c r="S624" s="2">
        <v>4</v>
      </c>
      <c r="T624" s="2" t="s">
        <v>24</v>
      </c>
      <c r="U624" s="10" t="str">
        <f t="shared" si="59"/>
        <v>May</v>
      </c>
      <c r="V624" s="10">
        <f t="shared" si="58"/>
        <v>2025</v>
      </c>
      <c r="W624" cm="1">
        <f t="array" ref="W624">_xlfn.IFS(U624="January",1,U624="February",2,U624="March",3,U624="April",4,U624="May",5,U624="June",6,U624="July",7,U624="August",8,U624="September",9,U624="October",10,U624="November",11,U624="December",12)</f>
        <v>5</v>
      </c>
    </row>
    <row r="625" spans="1:23" ht="15.75" customHeight="1" x14ac:dyDescent="0.25">
      <c r="A625" s="2" t="s">
        <v>1585</v>
      </c>
      <c r="B625" s="3">
        <v>45778.390381944453</v>
      </c>
      <c r="C625" s="2" t="s">
        <v>695</v>
      </c>
      <c r="D625" s="2" t="s">
        <v>119</v>
      </c>
      <c r="E625" s="2" t="s">
        <v>138</v>
      </c>
      <c r="F625" s="2" t="str" cm="1">
        <f t="array" ref="F625:G625">_xlfn.TEXTSPLIT(E625," - ")</f>
        <v>Gula Pasir</v>
      </c>
      <c r="G625" s="2" t="str">
        <v>Brand B</v>
      </c>
      <c r="H625" s="5">
        <v>17000</v>
      </c>
      <c r="I625" s="2">
        <v>4</v>
      </c>
      <c r="J625" s="2">
        <v>20</v>
      </c>
      <c r="K625" s="8">
        <f t="shared" si="54"/>
        <v>68000</v>
      </c>
      <c r="L625" s="8">
        <f t="shared" si="55"/>
        <v>13600</v>
      </c>
      <c r="M625" s="8">
        <f t="shared" si="56"/>
        <v>54400</v>
      </c>
      <c r="N625" s="5">
        <v>0</v>
      </c>
      <c r="O625" s="8">
        <f t="shared" si="57"/>
        <v>54400</v>
      </c>
      <c r="P625" s="2" t="s">
        <v>35</v>
      </c>
      <c r="Q625" s="10" t="str">
        <f>VLOOKUP(A625,Status!A:B,2,0)</f>
        <v>Completed</v>
      </c>
      <c r="R625" s="2" t="s">
        <v>82</v>
      </c>
      <c r="S625" s="2">
        <v>4</v>
      </c>
      <c r="T625" s="2" t="s">
        <v>24</v>
      </c>
      <c r="U625" s="10" t="str">
        <f t="shared" si="59"/>
        <v>May</v>
      </c>
      <c r="V625" s="10">
        <f t="shared" si="58"/>
        <v>2025</v>
      </c>
      <c r="W625" cm="1">
        <f t="array" ref="W625">_xlfn.IFS(U625="January",1,U625="February",2,U625="March",3,U625="April",4,U625="May",5,U625="June",6,U625="July",7,U625="August",8,U625="September",9,U625="October",10,U625="November",11,U625="December",12)</f>
        <v>5</v>
      </c>
    </row>
    <row r="626" spans="1:23" ht="15.75" customHeight="1" x14ac:dyDescent="0.25">
      <c r="A626" s="2" t="s">
        <v>1586</v>
      </c>
      <c r="B626" s="3">
        <v>45778.748715277783</v>
      </c>
      <c r="C626" s="2" t="s">
        <v>1509</v>
      </c>
      <c r="D626" s="2" t="s">
        <v>122</v>
      </c>
      <c r="E626" s="2" t="s">
        <v>104</v>
      </c>
      <c r="F626" s="2" t="str" cm="1">
        <f t="array" ref="F626:G626">_xlfn.TEXTSPLIT(E626," - ")</f>
        <v>Bawang Merah</v>
      </c>
      <c r="G626" s="2" t="str">
        <v>Brand A</v>
      </c>
      <c r="H626" s="5">
        <v>30000</v>
      </c>
      <c r="I626" s="2">
        <v>1</v>
      </c>
      <c r="J626" s="2">
        <v>0</v>
      </c>
      <c r="K626" s="8">
        <f t="shared" si="54"/>
        <v>30000</v>
      </c>
      <c r="L626" s="8">
        <f t="shared" si="55"/>
        <v>0</v>
      </c>
      <c r="M626" s="8">
        <f t="shared" si="56"/>
        <v>30000</v>
      </c>
      <c r="N626" s="5">
        <v>78000</v>
      </c>
      <c r="O626" s="8">
        <f t="shared" si="57"/>
        <v>108000</v>
      </c>
      <c r="P626" s="2" t="s">
        <v>63</v>
      </c>
      <c r="Q626" s="10" t="str">
        <f>VLOOKUP(A626,Status!A:B,2,0)</f>
        <v>Completed</v>
      </c>
      <c r="R626" s="2" t="s">
        <v>46</v>
      </c>
      <c r="S626" s="2">
        <v>5</v>
      </c>
      <c r="T626" s="2" t="s">
        <v>24</v>
      </c>
      <c r="U626" s="10" t="str">
        <f t="shared" si="59"/>
        <v>May</v>
      </c>
      <c r="V626" s="10">
        <f t="shared" si="58"/>
        <v>2025</v>
      </c>
      <c r="W626" cm="1">
        <f t="array" ref="W626">_xlfn.IFS(U626="January",1,U626="February",2,U626="March",3,U626="April",4,U626="May",5,U626="June",6,U626="July",7,U626="August",8,U626="September",9,U626="October",10,U626="November",11,U626="December",12)</f>
        <v>5</v>
      </c>
    </row>
    <row r="627" spans="1:23" ht="15.75" customHeight="1" x14ac:dyDescent="0.25">
      <c r="A627" s="2" t="s">
        <v>1587</v>
      </c>
      <c r="B627" s="3">
        <v>45778.814942129633</v>
      </c>
      <c r="C627" s="2" t="s">
        <v>1128</v>
      </c>
      <c r="D627" s="2" t="s">
        <v>113</v>
      </c>
      <c r="E627" s="2" t="s">
        <v>123</v>
      </c>
      <c r="F627" s="2" t="str" cm="1">
        <f t="array" ref="F627:G627">_xlfn.TEXTSPLIT(E627," - ")</f>
        <v>Telur Ayam</v>
      </c>
      <c r="G627" s="2" t="str">
        <v>Brand A</v>
      </c>
      <c r="H627" s="5">
        <v>22000</v>
      </c>
      <c r="I627" s="2">
        <v>1</v>
      </c>
      <c r="J627" s="2">
        <v>10</v>
      </c>
      <c r="K627" s="8">
        <f t="shared" si="54"/>
        <v>22000</v>
      </c>
      <c r="L627" s="8">
        <f t="shared" si="55"/>
        <v>2200</v>
      </c>
      <c r="M627" s="8">
        <f t="shared" si="56"/>
        <v>19800</v>
      </c>
      <c r="N627" s="5">
        <v>18000</v>
      </c>
      <c r="O627" s="8">
        <f t="shared" si="57"/>
        <v>37800</v>
      </c>
      <c r="P627" s="2" t="s">
        <v>35</v>
      </c>
      <c r="Q627" s="10" t="str">
        <f>VLOOKUP(A627,Status!A:B,2,0)</f>
        <v>Completed</v>
      </c>
      <c r="R627" s="2" t="s">
        <v>30</v>
      </c>
      <c r="S627" s="2">
        <v>2</v>
      </c>
      <c r="T627" s="2" t="s">
        <v>24</v>
      </c>
      <c r="U627" s="10" t="str">
        <f t="shared" si="59"/>
        <v>May</v>
      </c>
      <c r="V627" s="10">
        <f t="shared" si="58"/>
        <v>2025</v>
      </c>
      <c r="W627" cm="1">
        <f t="array" ref="W627">_xlfn.IFS(U627="January",1,U627="February",2,U627="March",3,U627="April",4,U627="May",5,U627="June",6,U627="July",7,U627="August",8,U627="September",9,U627="October",10,U627="November",11,U627="December",12)</f>
        <v>5</v>
      </c>
    </row>
    <row r="628" spans="1:23" ht="15.75" customHeight="1" x14ac:dyDescent="0.25">
      <c r="A628" s="2" t="s">
        <v>1587</v>
      </c>
      <c r="B628" s="3">
        <v>45778.814942129633</v>
      </c>
      <c r="C628" s="2" t="s">
        <v>1128</v>
      </c>
      <c r="D628" s="2" t="s">
        <v>113</v>
      </c>
      <c r="E628" s="2" t="s">
        <v>41</v>
      </c>
      <c r="F628" s="2" t="str" cm="1">
        <f t="array" ref="F628:G628">_xlfn.TEXTSPLIT(E628," - ")</f>
        <v>Garam</v>
      </c>
      <c r="G628" s="2" t="str">
        <v>Brand A</v>
      </c>
      <c r="H628" s="5">
        <v>4000</v>
      </c>
      <c r="I628" s="2">
        <v>1</v>
      </c>
      <c r="J628" s="2">
        <v>5</v>
      </c>
      <c r="K628" s="8">
        <f t="shared" si="54"/>
        <v>4000</v>
      </c>
      <c r="L628" s="8">
        <f t="shared" si="55"/>
        <v>200</v>
      </c>
      <c r="M628" s="8">
        <f t="shared" si="56"/>
        <v>3800</v>
      </c>
      <c r="N628" s="5">
        <v>0</v>
      </c>
      <c r="O628" s="8">
        <f t="shared" si="57"/>
        <v>3800</v>
      </c>
      <c r="P628" s="2" t="s">
        <v>35</v>
      </c>
      <c r="Q628" s="10" t="str">
        <f>VLOOKUP(A628,Status!A:B,2,0)</f>
        <v>Completed</v>
      </c>
      <c r="R628" s="2" t="s">
        <v>30</v>
      </c>
      <c r="S628" s="2">
        <v>2</v>
      </c>
      <c r="T628" s="2" t="s">
        <v>24</v>
      </c>
      <c r="U628" s="10" t="str">
        <f t="shared" si="59"/>
        <v>May</v>
      </c>
      <c r="V628" s="10">
        <f t="shared" si="58"/>
        <v>2025</v>
      </c>
      <c r="W628" cm="1">
        <f t="array" ref="W628">_xlfn.IFS(U628="January",1,U628="February",2,U628="March",3,U628="April",4,U628="May",5,U628="June",6,U628="July",7,U628="August",8,U628="September",9,U628="October",10,U628="November",11,U628="December",12)</f>
        <v>5</v>
      </c>
    </row>
    <row r="629" spans="1:23" ht="15.75" customHeight="1" x14ac:dyDescent="0.25">
      <c r="A629" s="2" t="s">
        <v>1588</v>
      </c>
      <c r="B629" s="3">
        <v>45779.01703703704</v>
      </c>
      <c r="C629" s="2" t="s">
        <v>218</v>
      </c>
      <c r="D629" s="2" t="s">
        <v>170</v>
      </c>
      <c r="E629" s="2" t="s">
        <v>50</v>
      </c>
      <c r="F629" s="2" t="str" cm="1">
        <f t="array" ref="F629:G629">_xlfn.TEXTSPLIT(E629," - ")</f>
        <v>Tepung Terigu</v>
      </c>
      <c r="G629" s="2" t="str">
        <v>Brand C</v>
      </c>
      <c r="H629" s="5">
        <v>14000</v>
      </c>
      <c r="I629" s="2">
        <v>5</v>
      </c>
      <c r="J629" s="2">
        <v>0</v>
      </c>
      <c r="K629" s="8">
        <f t="shared" si="54"/>
        <v>70000</v>
      </c>
      <c r="L629" s="8">
        <f t="shared" si="55"/>
        <v>0</v>
      </c>
      <c r="M629" s="8">
        <f t="shared" si="56"/>
        <v>70000</v>
      </c>
      <c r="N629" s="5">
        <v>46000</v>
      </c>
      <c r="O629" s="8">
        <f t="shared" si="57"/>
        <v>116000</v>
      </c>
      <c r="P629" s="2" t="s">
        <v>63</v>
      </c>
      <c r="Q629" s="10" t="str">
        <f>VLOOKUP(A629,Status!A:B,2,0)</f>
        <v>Completed</v>
      </c>
      <c r="R629" s="2" t="s">
        <v>36</v>
      </c>
      <c r="S629" s="2">
        <v>1</v>
      </c>
      <c r="T629" s="2" t="s">
        <v>24</v>
      </c>
      <c r="U629" s="10" t="str">
        <f t="shared" si="59"/>
        <v>May</v>
      </c>
      <c r="V629" s="10">
        <f t="shared" si="58"/>
        <v>2025</v>
      </c>
      <c r="W629" cm="1">
        <f t="array" ref="W629">_xlfn.IFS(U629="January",1,U629="February",2,U629="March",3,U629="April",4,U629="May",5,U629="June",6,U629="July",7,U629="August",8,U629="September",9,U629="October",10,U629="November",11,U629="December",12)</f>
        <v>5</v>
      </c>
    </row>
    <row r="630" spans="1:23" ht="15.75" customHeight="1" x14ac:dyDescent="0.25">
      <c r="A630" s="2" t="s">
        <v>1589</v>
      </c>
      <c r="B630" s="3">
        <v>45779.146724537037</v>
      </c>
      <c r="C630" s="2" t="s">
        <v>654</v>
      </c>
      <c r="D630" s="2" t="s">
        <v>375</v>
      </c>
      <c r="E630" s="2" t="s">
        <v>45</v>
      </c>
      <c r="F630" s="2" t="str" cm="1">
        <f t="array" ref="F630:G630">_xlfn.TEXTSPLIT(E630," - ")</f>
        <v>Daging Ayam</v>
      </c>
      <c r="G630" s="2" t="str">
        <v>Brand B</v>
      </c>
      <c r="H630" s="5">
        <v>40000</v>
      </c>
      <c r="I630" s="2">
        <v>5</v>
      </c>
      <c r="J630" s="2">
        <v>0</v>
      </c>
      <c r="K630" s="8">
        <f t="shared" si="54"/>
        <v>200000</v>
      </c>
      <c r="L630" s="8">
        <f t="shared" si="55"/>
        <v>0</v>
      </c>
      <c r="M630" s="8">
        <f t="shared" si="56"/>
        <v>200000</v>
      </c>
      <c r="N630" s="5">
        <v>21000</v>
      </c>
      <c r="O630" s="8">
        <f t="shared" si="57"/>
        <v>221000</v>
      </c>
      <c r="P630" s="2" t="s">
        <v>22</v>
      </c>
      <c r="Q630" s="10" t="str">
        <f>VLOOKUP(A630,Status!A:B,2,0)</f>
        <v>Completed</v>
      </c>
      <c r="R630" s="2" t="s">
        <v>30</v>
      </c>
      <c r="S630" s="2">
        <v>3</v>
      </c>
      <c r="T630" s="2" t="s">
        <v>24</v>
      </c>
      <c r="U630" s="10" t="str">
        <f t="shared" si="59"/>
        <v>May</v>
      </c>
      <c r="V630" s="10">
        <f t="shared" si="58"/>
        <v>2025</v>
      </c>
      <c r="W630" cm="1">
        <f t="array" ref="W630">_xlfn.IFS(U630="January",1,U630="February",2,U630="March",3,U630="April",4,U630="May",5,U630="June",6,U630="July",7,U630="August",8,U630="September",9,U630="October",10,U630="November",11,U630="December",12)</f>
        <v>5</v>
      </c>
    </row>
    <row r="631" spans="1:23" ht="15.75" customHeight="1" x14ac:dyDescent="0.25">
      <c r="A631" s="2" t="s">
        <v>1590</v>
      </c>
      <c r="B631" s="3">
        <v>45779.363807870373</v>
      </c>
      <c r="C631" s="2" t="s">
        <v>582</v>
      </c>
      <c r="D631" s="2" t="s">
        <v>435</v>
      </c>
      <c r="E631" s="2" t="s">
        <v>123</v>
      </c>
      <c r="F631" s="2" t="str" cm="1">
        <f t="array" ref="F631:G631">_xlfn.TEXTSPLIT(E631," - ")</f>
        <v>Telur Ayam</v>
      </c>
      <c r="G631" s="2" t="str">
        <v>Brand A</v>
      </c>
      <c r="H631" s="5">
        <v>22000</v>
      </c>
      <c r="I631" s="2">
        <v>2</v>
      </c>
      <c r="J631" s="2">
        <v>5</v>
      </c>
      <c r="K631" s="8">
        <f t="shared" si="54"/>
        <v>44000</v>
      </c>
      <c r="L631" s="8">
        <f t="shared" si="55"/>
        <v>2200</v>
      </c>
      <c r="M631" s="8">
        <f t="shared" si="56"/>
        <v>41800</v>
      </c>
      <c r="N631" s="5">
        <v>67000</v>
      </c>
      <c r="O631" s="8">
        <f t="shared" si="57"/>
        <v>108800</v>
      </c>
      <c r="P631" s="2" t="s">
        <v>22</v>
      </c>
      <c r="Q631" s="10" t="str">
        <f>VLOOKUP(A631,Status!A:B,2,0)</f>
        <v>Completed</v>
      </c>
      <c r="R631" s="2" t="s">
        <v>23</v>
      </c>
      <c r="S631" s="2">
        <v>3</v>
      </c>
      <c r="T631" s="2" t="s">
        <v>24</v>
      </c>
      <c r="U631" s="10" t="str">
        <f t="shared" si="59"/>
        <v>May</v>
      </c>
      <c r="V631" s="10">
        <f t="shared" si="58"/>
        <v>2025</v>
      </c>
      <c r="W631" cm="1">
        <f t="array" ref="W631">_xlfn.IFS(U631="January",1,U631="February",2,U631="March",3,U631="April",4,U631="May",5,U631="June",6,U631="July",7,U631="August",8,U631="September",9,U631="October",10,U631="November",11,U631="December",12)</f>
        <v>5</v>
      </c>
    </row>
    <row r="632" spans="1:23" ht="15.75" customHeight="1" x14ac:dyDescent="0.25">
      <c r="A632" s="2" t="s">
        <v>1591</v>
      </c>
      <c r="B632" s="3">
        <v>45779.48777777778</v>
      </c>
      <c r="C632" s="2" t="s">
        <v>269</v>
      </c>
      <c r="D632" s="2" t="s">
        <v>173</v>
      </c>
      <c r="E632" s="2" t="s">
        <v>62</v>
      </c>
      <c r="F632" s="2" t="str" cm="1">
        <f t="array" ref="F632:G632">_xlfn.TEXTSPLIT(E632," - ")</f>
        <v>Susu Bubuk</v>
      </c>
      <c r="G632" s="2" t="str">
        <v>Brand B</v>
      </c>
      <c r="H632" s="5">
        <v>50000</v>
      </c>
      <c r="I632" s="2">
        <v>4</v>
      </c>
      <c r="J632" s="2">
        <v>0</v>
      </c>
      <c r="K632" s="8">
        <f t="shared" si="54"/>
        <v>200000</v>
      </c>
      <c r="L632" s="8">
        <f t="shared" si="55"/>
        <v>0</v>
      </c>
      <c r="M632" s="8">
        <f t="shared" si="56"/>
        <v>200000</v>
      </c>
      <c r="N632" s="5">
        <v>49000</v>
      </c>
      <c r="O632" s="8">
        <f t="shared" si="57"/>
        <v>249000</v>
      </c>
      <c r="P632" s="2" t="s">
        <v>22</v>
      </c>
      <c r="Q632" s="10" t="str">
        <f>VLOOKUP(A632,Status!A:B,2,0)</f>
        <v>Completed</v>
      </c>
      <c r="R632" s="2" t="s">
        <v>82</v>
      </c>
      <c r="S632" s="2">
        <v>4</v>
      </c>
      <c r="T632" s="2" t="s">
        <v>37</v>
      </c>
      <c r="U632" s="10" t="str">
        <f t="shared" si="59"/>
        <v>May</v>
      </c>
      <c r="V632" s="10">
        <f t="shared" si="58"/>
        <v>2025</v>
      </c>
      <c r="W632" cm="1">
        <f t="array" ref="W632">_xlfn.IFS(U632="January",1,U632="February",2,U632="March",3,U632="April",4,U632="May",5,U632="June",6,U632="July",7,U632="August",8,U632="September",9,U632="October",10,U632="November",11,U632="December",12)</f>
        <v>5</v>
      </c>
    </row>
    <row r="633" spans="1:23" ht="15.75" customHeight="1" x14ac:dyDescent="0.25">
      <c r="A633" s="2" t="s">
        <v>1592</v>
      </c>
      <c r="B633" s="3">
        <v>45779.547106481477</v>
      </c>
      <c r="C633" s="2" t="s">
        <v>924</v>
      </c>
      <c r="D633" s="2" t="s">
        <v>20</v>
      </c>
      <c r="E633" s="2" t="s">
        <v>34</v>
      </c>
      <c r="F633" s="2" t="str" cm="1">
        <f t="array" ref="F633:G633">_xlfn.TEXTSPLIT(E633," - ")</f>
        <v>Minyak Goreng</v>
      </c>
      <c r="G633" s="2" t="str">
        <v>Brand A</v>
      </c>
      <c r="H633" s="5">
        <v>16000</v>
      </c>
      <c r="I633" s="2">
        <v>1</v>
      </c>
      <c r="J633" s="2">
        <v>0</v>
      </c>
      <c r="K633" s="8">
        <f t="shared" si="54"/>
        <v>16000</v>
      </c>
      <c r="L633" s="8">
        <f t="shared" si="55"/>
        <v>0</v>
      </c>
      <c r="M633" s="8">
        <f t="shared" si="56"/>
        <v>16000</v>
      </c>
      <c r="N633" s="5">
        <v>15000</v>
      </c>
      <c r="O633" s="8">
        <f t="shared" si="57"/>
        <v>31000</v>
      </c>
      <c r="P633" s="2" t="s">
        <v>22</v>
      </c>
      <c r="Q633" s="10" t="str">
        <f>VLOOKUP(A633,Status!A:B,2,0)</f>
        <v>Completed</v>
      </c>
      <c r="R633" s="2" t="s">
        <v>46</v>
      </c>
      <c r="S633" s="2">
        <v>4</v>
      </c>
      <c r="T633" s="2" t="s">
        <v>37</v>
      </c>
      <c r="U633" s="10" t="str">
        <f t="shared" si="59"/>
        <v>May</v>
      </c>
      <c r="V633" s="10">
        <f t="shared" si="58"/>
        <v>2025</v>
      </c>
      <c r="W633" cm="1">
        <f t="array" ref="W633">_xlfn.IFS(U633="January",1,U633="February",2,U633="March",3,U633="April",4,U633="May",5,U633="June",6,U633="July",7,U633="August",8,U633="September",9,U633="October",10,U633="November",11,U633="December",12)</f>
        <v>5</v>
      </c>
    </row>
    <row r="634" spans="1:23" ht="15.75" customHeight="1" x14ac:dyDescent="0.25">
      <c r="A634" s="2" t="s">
        <v>1592</v>
      </c>
      <c r="B634" s="3">
        <v>45779.547106481477</v>
      </c>
      <c r="C634" s="2" t="s">
        <v>924</v>
      </c>
      <c r="D634" s="2" t="s">
        <v>20</v>
      </c>
      <c r="E634" s="2" t="s">
        <v>71</v>
      </c>
      <c r="F634" s="2" t="str" cm="1">
        <f t="array" ref="F634:G634">_xlfn.TEXTSPLIT(E634," - ")</f>
        <v>Bawang Merah</v>
      </c>
      <c r="G634" s="2" t="str">
        <v>Brand C</v>
      </c>
      <c r="H634" s="5">
        <v>40000</v>
      </c>
      <c r="I634" s="2">
        <v>5</v>
      </c>
      <c r="J634" s="2">
        <v>20</v>
      </c>
      <c r="K634" s="8">
        <f t="shared" si="54"/>
        <v>200000</v>
      </c>
      <c r="L634" s="8">
        <f t="shared" si="55"/>
        <v>40000</v>
      </c>
      <c r="M634" s="8">
        <f t="shared" si="56"/>
        <v>160000</v>
      </c>
      <c r="N634" s="5">
        <v>0</v>
      </c>
      <c r="O634" s="8">
        <f t="shared" si="57"/>
        <v>160000</v>
      </c>
      <c r="P634" s="2" t="s">
        <v>22</v>
      </c>
      <c r="Q634" s="10" t="str">
        <f>VLOOKUP(A634,Status!A:B,2,0)</f>
        <v>Completed</v>
      </c>
      <c r="R634" s="2" t="s">
        <v>46</v>
      </c>
      <c r="S634" s="2">
        <v>4</v>
      </c>
      <c r="T634" s="2" t="s">
        <v>37</v>
      </c>
      <c r="U634" s="10" t="str">
        <f t="shared" si="59"/>
        <v>May</v>
      </c>
      <c r="V634" s="10">
        <f t="shared" si="58"/>
        <v>2025</v>
      </c>
      <c r="W634" cm="1">
        <f t="array" ref="W634">_xlfn.IFS(U634="January",1,U634="February",2,U634="March",3,U634="April",4,U634="May",5,U634="June",6,U634="July",7,U634="August",8,U634="September",9,U634="October",10,U634="November",11,U634="December",12)</f>
        <v>5</v>
      </c>
    </row>
    <row r="635" spans="1:23" ht="15.75" customHeight="1" x14ac:dyDescent="0.25">
      <c r="A635" s="2" t="s">
        <v>1593</v>
      </c>
      <c r="B635" s="3">
        <v>45780.730775462973</v>
      </c>
      <c r="C635" s="2" t="s">
        <v>1348</v>
      </c>
      <c r="D635" s="2" t="s">
        <v>296</v>
      </c>
      <c r="E635" s="2" t="s">
        <v>138</v>
      </c>
      <c r="F635" s="2" t="str" cm="1">
        <f t="array" ref="F635:G635">_xlfn.TEXTSPLIT(E635," - ")</f>
        <v>Gula Pasir</v>
      </c>
      <c r="G635" s="2" t="str">
        <v>Brand B</v>
      </c>
      <c r="H635" s="5">
        <v>17000</v>
      </c>
      <c r="I635" s="2">
        <v>2</v>
      </c>
      <c r="J635" s="2">
        <v>0</v>
      </c>
      <c r="K635" s="8">
        <f t="shared" si="54"/>
        <v>34000</v>
      </c>
      <c r="L635" s="8">
        <f t="shared" si="55"/>
        <v>0</v>
      </c>
      <c r="M635" s="8">
        <f t="shared" si="56"/>
        <v>34000</v>
      </c>
      <c r="N635" s="5">
        <v>79000</v>
      </c>
      <c r="O635" s="8">
        <f t="shared" si="57"/>
        <v>113000</v>
      </c>
      <c r="P635" s="2" t="s">
        <v>22</v>
      </c>
      <c r="Q635" s="10" t="str">
        <f>VLOOKUP(A635,Status!A:B,2,0)</f>
        <v>Completed</v>
      </c>
      <c r="R635" s="2" t="s">
        <v>30</v>
      </c>
      <c r="S635" s="2">
        <v>4</v>
      </c>
      <c r="T635" s="2" t="s">
        <v>24</v>
      </c>
      <c r="U635" s="10" t="str">
        <f t="shared" si="59"/>
        <v>May</v>
      </c>
      <c r="V635" s="10">
        <f t="shared" si="58"/>
        <v>2025</v>
      </c>
      <c r="W635" cm="1">
        <f t="array" ref="W635">_xlfn.IFS(U635="January",1,U635="February",2,U635="March",3,U635="April",4,U635="May",5,U635="June",6,U635="July",7,U635="August",8,U635="September",9,U635="October",10,U635="November",11,U635="December",12)</f>
        <v>5</v>
      </c>
    </row>
    <row r="636" spans="1:23" ht="15.75" customHeight="1" x14ac:dyDescent="0.25">
      <c r="A636" s="2" t="s">
        <v>1594</v>
      </c>
      <c r="B636" s="3">
        <v>45781.263715277782</v>
      </c>
      <c r="C636" s="2" t="s">
        <v>1025</v>
      </c>
      <c r="D636" s="2" t="s">
        <v>119</v>
      </c>
      <c r="E636" s="2" t="s">
        <v>28</v>
      </c>
      <c r="F636" s="2" t="str" cm="1">
        <f t="array" ref="F636:G636">_xlfn.TEXTSPLIT(E636," - ")</f>
        <v>Garam</v>
      </c>
      <c r="G636" s="2" t="str">
        <v>Brand B</v>
      </c>
      <c r="H636" s="5">
        <v>5000</v>
      </c>
      <c r="I636" s="2">
        <v>2</v>
      </c>
      <c r="J636" s="2">
        <v>10</v>
      </c>
      <c r="K636" s="8">
        <f t="shared" si="54"/>
        <v>10000</v>
      </c>
      <c r="L636" s="8">
        <f t="shared" si="55"/>
        <v>1000</v>
      </c>
      <c r="M636" s="8">
        <f t="shared" si="56"/>
        <v>9000</v>
      </c>
      <c r="N636" s="5">
        <v>0</v>
      </c>
      <c r="O636" s="8">
        <f t="shared" si="57"/>
        <v>9000</v>
      </c>
      <c r="P636" s="2" t="s">
        <v>63</v>
      </c>
      <c r="Q636" s="10" t="str">
        <f>VLOOKUP(A636,Status!A:B,2,0)</f>
        <v>Completed</v>
      </c>
      <c r="R636" s="2" t="s">
        <v>30</v>
      </c>
      <c r="S636" s="2">
        <v>5</v>
      </c>
      <c r="T636" s="2" t="s">
        <v>24</v>
      </c>
      <c r="U636" s="10" t="str">
        <f t="shared" si="59"/>
        <v>May</v>
      </c>
      <c r="V636" s="10">
        <f t="shared" si="58"/>
        <v>2025</v>
      </c>
      <c r="W636" cm="1">
        <f t="array" ref="W636">_xlfn.IFS(U636="January",1,U636="February",2,U636="March",3,U636="April",4,U636="May",5,U636="June",6,U636="July",7,U636="August",8,U636="September",9,U636="October",10,U636="November",11,U636="December",12)</f>
        <v>5</v>
      </c>
    </row>
    <row r="637" spans="1:23" ht="15.75" customHeight="1" x14ac:dyDescent="0.25">
      <c r="A637" s="2" t="s">
        <v>1595</v>
      </c>
      <c r="B637" s="3">
        <v>45781.320289351846</v>
      </c>
      <c r="C637" s="2" t="s">
        <v>729</v>
      </c>
      <c r="D637" s="2" t="s">
        <v>74</v>
      </c>
      <c r="E637" s="2" t="s">
        <v>136</v>
      </c>
      <c r="F637" s="2" t="str" cm="1">
        <f t="array" ref="F637:G637">_xlfn.TEXTSPLIT(E637," - ")</f>
        <v>Tepung Terigu</v>
      </c>
      <c r="G637" s="2" t="str">
        <v>Brand B</v>
      </c>
      <c r="H637" s="5">
        <v>12000</v>
      </c>
      <c r="I637" s="2">
        <v>2</v>
      </c>
      <c r="J637" s="2">
        <v>20</v>
      </c>
      <c r="K637" s="8">
        <f t="shared" si="54"/>
        <v>24000</v>
      </c>
      <c r="L637" s="8">
        <f t="shared" si="55"/>
        <v>4800</v>
      </c>
      <c r="M637" s="8">
        <f t="shared" si="56"/>
        <v>19200</v>
      </c>
      <c r="N637" s="5">
        <v>87000</v>
      </c>
      <c r="O637" s="8">
        <f t="shared" si="57"/>
        <v>106200</v>
      </c>
      <c r="P637" s="2" t="s">
        <v>63</v>
      </c>
      <c r="Q637" s="10" t="str">
        <f>VLOOKUP(A637,Status!A:B,2,0)</f>
        <v>Returned</v>
      </c>
      <c r="R637" s="2" t="s">
        <v>23</v>
      </c>
      <c r="S637" s="2">
        <v>3</v>
      </c>
      <c r="T637" s="2" t="s">
        <v>24</v>
      </c>
      <c r="U637" s="10" t="str">
        <f t="shared" si="59"/>
        <v>May</v>
      </c>
      <c r="V637" s="10">
        <f t="shared" si="58"/>
        <v>2025</v>
      </c>
      <c r="W637" cm="1">
        <f t="array" ref="W637">_xlfn.IFS(U637="January",1,U637="February",2,U637="March",3,U637="April",4,U637="May",5,U637="June",6,U637="July",7,U637="August",8,U637="September",9,U637="October",10,U637="November",11,U637="December",12)</f>
        <v>5</v>
      </c>
    </row>
    <row r="638" spans="1:23" ht="15.75" customHeight="1" x14ac:dyDescent="0.25">
      <c r="A638" s="2" t="s">
        <v>1596</v>
      </c>
      <c r="B638" s="3">
        <v>45781.498402777783</v>
      </c>
      <c r="C638" s="2" t="s">
        <v>176</v>
      </c>
      <c r="D638" s="2" t="s">
        <v>177</v>
      </c>
      <c r="E638" s="2" t="s">
        <v>21</v>
      </c>
      <c r="F638" s="2" t="str" cm="1">
        <f t="array" ref="F638:G638">_xlfn.TEXTSPLIT(E638," - ")</f>
        <v>Daging Ayam</v>
      </c>
      <c r="G638" s="2" t="str">
        <v>Brand C</v>
      </c>
      <c r="H638" s="5">
        <v>45000</v>
      </c>
      <c r="I638" s="2">
        <v>5</v>
      </c>
      <c r="J638" s="2">
        <v>5</v>
      </c>
      <c r="K638" s="8">
        <f t="shared" si="54"/>
        <v>225000</v>
      </c>
      <c r="L638" s="8">
        <f t="shared" si="55"/>
        <v>11250</v>
      </c>
      <c r="M638" s="8">
        <f t="shared" si="56"/>
        <v>213750</v>
      </c>
      <c r="N638" s="5">
        <v>56000</v>
      </c>
      <c r="O638" s="8">
        <f t="shared" si="57"/>
        <v>269750</v>
      </c>
      <c r="P638" s="2" t="s">
        <v>63</v>
      </c>
      <c r="Q638" s="10" t="str">
        <f>VLOOKUP(A638,Status!A:B,2,0)</f>
        <v>Completed</v>
      </c>
      <c r="R638" s="2" t="s">
        <v>30</v>
      </c>
      <c r="S638" s="2">
        <v>4</v>
      </c>
      <c r="T638" s="2" t="s">
        <v>24</v>
      </c>
      <c r="U638" s="10" t="str">
        <f t="shared" si="59"/>
        <v>May</v>
      </c>
      <c r="V638" s="10">
        <f t="shared" si="58"/>
        <v>2025</v>
      </c>
      <c r="W638" cm="1">
        <f t="array" ref="W638">_xlfn.IFS(U638="January",1,U638="February",2,U638="March",3,U638="April",4,U638="May",5,U638="June",6,U638="July",7,U638="August",8,U638="September",9,U638="October",10,U638="November",11,U638="December",12)</f>
        <v>5</v>
      </c>
    </row>
    <row r="639" spans="1:23" ht="15.75" customHeight="1" x14ac:dyDescent="0.25">
      <c r="A639" s="2" t="s">
        <v>1597</v>
      </c>
      <c r="B639" s="3">
        <v>45781.657546296286</v>
      </c>
      <c r="C639" s="2" t="s">
        <v>763</v>
      </c>
      <c r="D639" s="2" t="s">
        <v>74</v>
      </c>
      <c r="E639" s="2" t="s">
        <v>104</v>
      </c>
      <c r="F639" s="2" t="str" cm="1">
        <f t="array" ref="F639:G639">_xlfn.TEXTSPLIT(E639," - ")</f>
        <v>Bawang Merah</v>
      </c>
      <c r="G639" s="2" t="str">
        <v>Brand A</v>
      </c>
      <c r="H639" s="5">
        <v>30000</v>
      </c>
      <c r="I639" s="2">
        <v>3</v>
      </c>
      <c r="J639" s="2">
        <v>20</v>
      </c>
      <c r="K639" s="8">
        <f t="shared" si="54"/>
        <v>90000</v>
      </c>
      <c r="L639" s="8">
        <f t="shared" si="55"/>
        <v>18000</v>
      </c>
      <c r="M639" s="8">
        <f t="shared" si="56"/>
        <v>72000</v>
      </c>
      <c r="N639" s="5">
        <v>87000</v>
      </c>
      <c r="O639" s="8">
        <f t="shared" si="57"/>
        <v>159000</v>
      </c>
      <c r="P639" s="2" t="s">
        <v>35</v>
      </c>
      <c r="Q639" s="10" t="str">
        <f>VLOOKUP(A639,Status!A:B,2,0)</f>
        <v>Completed</v>
      </c>
      <c r="R639" s="2" t="s">
        <v>30</v>
      </c>
      <c r="S639" s="2">
        <v>2</v>
      </c>
      <c r="T639" s="2" t="s">
        <v>24</v>
      </c>
      <c r="U639" s="10" t="str">
        <f t="shared" si="59"/>
        <v>May</v>
      </c>
      <c r="V639" s="10">
        <f t="shared" si="58"/>
        <v>2025</v>
      </c>
      <c r="W639" cm="1">
        <f t="array" ref="W639">_xlfn.IFS(U639="January",1,U639="February",2,U639="March",3,U639="April",4,U639="May",5,U639="June",6,U639="July",7,U639="August",8,U639="September",9,U639="October",10,U639="November",11,U639="December",12)</f>
        <v>5</v>
      </c>
    </row>
    <row r="640" spans="1:23" ht="15.75" customHeight="1" x14ac:dyDescent="0.25">
      <c r="A640" s="2" t="s">
        <v>1598</v>
      </c>
      <c r="B640" s="3">
        <v>45781.945763888893</v>
      </c>
      <c r="C640" s="2" t="s">
        <v>269</v>
      </c>
      <c r="D640" s="2" t="s">
        <v>173</v>
      </c>
      <c r="E640" s="2" t="s">
        <v>250</v>
      </c>
      <c r="F640" s="2" t="str" cm="1">
        <f t="array" ref="F640:G640">_xlfn.TEXTSPLIT(E640," - ")</f>
        <v>Minyak Goreng</v>
      </c>
      <c r="G640" s="2" t="str">
        <v>Brand C</v>
      </c>
      <c r="H640" s="5">
        <v>18000</v>
      </c>
      <c r="I640" s="2">
        <v>5</v>
      </c>
      <c r="J640" s="2">
        <v>20</v>
      </c>
      <c r="K640" s="8">
        <f t="shared" si="54"/>
        <v>90000</v>
      </c>
      <c r="L640" s="8">
        <f t="shared" si="55"/>
        <v>18000</v>
      </c>
      <c r="M640" s="8">
        <f t="shared" si="56"/>
        <v>72000</v>
      </c>
      <c r="N640" s="5">
        <v>49000</v>
      </c>
      <c r="O640" s="8">
        <f t="shared" si="57"/>
        <v>121000</v>
      </c>
      <c r="P640" s="2" t="s">
        <v>35</v>
      </c>
      <c r="Q640" s="10" t="str">
        <f>VLOOKUP(A640,Status!A:B,2,0)</f>
        <v>Completed</v>
      </c>
      <c r="R640" s="2" t="s">
        <v>23</v>
      </c>
      <c r="S640" s="2">
        <v>4</v>
      </c>
      <c r="T640" s="2" t="s">
        <v>37</v>
      </c>
      <c r="U640" s="10" t="str">
        <f t="shared" si="59"/>
        <v>May</v>
      </c>
      <c r="V640" s="10">
        <f t="shared" si="58"/>
        <v>2025</v>
      </c>
      <c r="W640" cm="1">
        <f t="array" ref="W640">_xlfn.IFS(U640="January",1,U640="February",2,U640="March",3,U640="April",4,U640="May",5,U640="June",6,U640="July",7,U640="August",8,U640="September",9,U640="October",10,U640="November",11,U640="December",12)</f>
        <v>5</v>
      </c>
    </row>
    <row r="641" spans="1:23" ht="15.75" customHeight="1" x14ac:dyDescent="0.25">
      <c r="A641" s="2" t="s">
        <v>1599</v>
      </c>
      <c r="B641" s="3">
        <v>45782.263657407413</v>
      </c>
      <c r="C641" s="2" t="s">
        <v>900</v>
      </c>
      <c r="D641" s="2" t="s">
        <v>27</v>
      </c>
      <c r="E641" s="2" t="s">
        <v>28</v>
      </c>
      <c r="F641" s="2" t="str" cm="1">
        <f t="array" ref="F641:G641">_xlfn.TEXTSPLIT(E641," - ")</f>
        <v>Garam</v>
      </c>
      <c r="G641" s="2" t="str">
        <v>Brand B</v>
      </c>
      <c r="H641" s="5">
        <v>5000</v>
      </c>
      <c r="I641" s="2">
        <v>3</v>
      </c>
      <c r="J641" s="2">
        <v>15</v>
      </c>
      <c r="K641" s="8">
        <f t="shared" si="54"/>
        <v>15000</v>
      </c>
      <c r="L641" s="8">
        <f t="shared" si="55"/>
        <v>2250</v>
      </c>
      <c r="M641" s="8">
        <f t="shared" si="56"/>
        <v>12750</v>
      </c>
      <c r="N641" s="5">
        <v>17000</v>
      </c>
      <c r="O641" s="8">
        <f t="shared" si="57"/>
        <v>29750</v>
      </c>
      <c r="P641" s="2" t="s">
        <v>35</v>
      </c>
      <c r="Q641" s="10" t="str">
        <f>VLOOKUP(A641,Status!A:B,2,0)</f>
        <v>Completed</v>
      </c>
      <c r="R641" s="2" t="s">
        <v>23</v>
      </c>
      <c r="S641" s="2">
        <v>3</v>
      </c>
      <c r="T641" s="2" t="s">
        <v>24</v>
      </c>
      <c r="U641" s="10" t="str">
        <f t="shared" si="59"/>
        <v>May</v>
      </c>
      <c r="V641" s="10">
        <f t="shared" si="58"/>
        <v>2025</v>
      </c>
      <c r="W641" cm="1">
        <f t="array" ref="W641">_xlfn.IFS(U641="January",1,U641="February",2,U641="March",3,U641="April",4,U641="May",5,U641="June",6,U641="July",7,U641="August",8,U641="September",9,U641="October",10,U641="November",11,U641="December",12)</f>
        <v>5</v>
      </c>
    </row>
    <row r="642" spans="1:23" ht="15.75" customHeight="1" x14ac:dyDescent="0.25">
      <c r="A642" s="2" t="s">
        <v>1600</v>
      </c>
      <c r="B642" s="3">
        <v>45782.472997685189</v>
      </c>
      <c r="C642" s="2" t="s">
        <v>570</v>
      </c>
      <c r="D642" s="2" t="s">
        <v>80</v>
      </c>
      <c r="E642" s="2" t="s">
        <v>88</v>
      </c>
      <c r="F642" s="2" t="str" cm="1">
        <f t="array" ref="F642:G642">_xlfn.TEXTSPLIT(E642," - ")</f>
        <v>Beras</v>
      </c>
      <c r="G642" s="2" t="str">
        <v>Brand A</v>
      </c>
      <c r="H642" s="5">
        <v>14000</v>
      </c>
      <c r="I642" s="2">
        <v>4</v>
      </c>
      <c r="J642" s="2">
        <v>5</v>
      </c>
      <c r="K642" s="8">
        <f t="shared" ref="K642:K705" si="60">H642*I642</f>
        <v>56000</v>
      </c>
      <c r="L642" s="8">
        <f t="shared" ref="L642:L705" si="61">K642*J642%</f>
        <v>2800</v>
      </c>
      <c r="M642" s="8">
        <f t="shared" ref="M642:M705" si="62">K642-L642</f>
        <v>53200</v>
      </c>
      <c r="N642" s="5">
        <v>74000</v>
      </c>
      <c r="O642" s="8">
        <f t="shared" ref="O642:O705" si="63">M642+N642</f>
        <v>127200</v>
      </c>
      <c r="P642" s="2" t="s">
        <v>22</v>
      </c>
      <c r="Q642" s="10" t="str">
        <f>VLOOKUP(A642,Status!A:B,2,0)</f>
        <v>Completed</v>
      </c>
      <c r="R642" s="2" t="s">
        <v>46</v>
      </c>
      <c r="S642" s="2">
        <v>3</v>
      </c>
      <c r="T642" s="2" t="s">
        <v>24</v>
      </c>
      <c r="U642" s="10" t="str">
        <f t="shared" si="59"/>
        <v>May</v>
      </c>
      <c r="V642" s="10">
        <f t="shared" ref="V642:V705" si="64">YEAR(B642)</f>
        <v>2025</v>
      </c>
      <c r="W642" cm="1">
        <f t="array" ref="W642">_xlfn.IFS(U642="January",1,U642="February",2,U642="March",3,U642="April",4,U642="May",5,U642="June",6,U642="July",7,U642="August",8,U642="September",9,U642="October",10,U642="November",11,U642="December",12)</f>
        <v>5</v>
      </c>
    </row>
    <row r="643" spans="1:23" ht="15.75" customHeight="1" x14ac:dyDescent="0.25">
      <c r="A643" s="2" t="s">
        <v>1601</v>
      </c>
      <c r="B643" s="3">
        <v>45782.481724537043</v>
      </c>
      <c r="C643" s="2" t="s">
        <v>140</v>
      </c>
      <c r="D643" s="2" t="s">
        <v>92</v>
      </c>
      <c r="E643" s="2" t="s">
        <v>54</v>
      </c>
      <c r="F643" s="2" t="str" cm="1">
        <f t="array" ref="F643:G643">_xlfn.TEXTSPLIT(E643," - ")</f>
        <v>Beras</v>
      </c>
      <c r="G643" s="2" t="str">
        <v>Brand C</v>
      </c>
      <c r="H643" s="5">
        <v>16000</v>
      </c>
      <c r="I643" s="2">
        <v>2</v>
      </c>
      <c r="J643" s="2">
        <v>5</v>
      </c>
      <c r="K643" s="8">
        <f t="shared" si="60"/>
        <v>32000</v>
      </c>
      <c r="L643" s="8">
        <f t="shared" si="61"/>
        <v>1600</v>
      </c>
      <c r="M643" s="8">
        <f t="shared" si="62"/>
        <v>30400</v>
      </c>
      <c r="N643" s="5">
        <v>30000</v>
      </c>
      <c r="O643" s="8">
        <f t="shared" si="63"/>
        <v>60400</v>
      </c>
      <c r="P643" s="2" t="s">
        <v>35</v>
      </c>
      <c r="Q643" s="10" t="str">
        <f>VLOOKUP(A643,Status!A:B,2,0)</f>
        <v>Completed</v>
      </c>
      <c r="R643" s="2" t="s">
        <v>23</v>
      </c>
      <c r="S643" s="2">
        <v>1</v>
      </c>
      <c r="T643" s="2" t="s">
        <v>24</v>
      </c>
      <c r="U643" s="10" t="str">
        <f t="shared" ref="U643:U706" si="65">TEXT(B643,"MMM")</f>
        <v>May</v>
      </c>
      <c r="V643" s="10">
        <f t="shared" si="64"/>
        <v>2025</v>
      </c>
      <c r="W643" cm="1">
        <f t="array" ref="W643">_xlfn.IFS(U643="January",1,U643="February",2,U643="March",3,U643="April",4,U643="May",5,U643="June",6,U643="July",7,U643="August",8,U643="September",9,U643="October",10,U643="November",11,U643="December",12)</f>
        <v>5</v>
      </c>
    </row>
    <row r="644" spans="1:23" ht="15.75" customHeight="1" x14ac:dyDescent="0.25">
      <c r="A644" s="2" t="s">
        <v>1602</v>
      </c>
      <c r="B644" s="3">
        <v>45782.513668981483</v>
      </c>
      <c r="C644" s="2" t="s">
        <v>429</v>
      </c>
      <c r="D644" s="2" t="s">
        <v>177</v>
      </c>
      <c r="E644" s="2" t="s">
        <v>104</v>
      </c>
      <c r="F644" s="2" t="str" cm="1">
        <f t="array" ref="F644:G644">_xlfn.TEXTSPLIT(E644," - ")</f>
        <v>Bawang Merah</v>
      </c>
      <c r="G644" s="2" t="str">
        <v>Brand A</v>
      </c>
      <c r="H644" s="5">
        <v>30000</v>
      </c>
      <c r="I644" s="2">
        <v>1</v>
      </c>
      <c r="J644" s="2">
        <v>15</v>
      </c>
      <c r="K644" s="8">
        <f t="shared" si="60"/>
        <v>30000</v>
      </c>
      <c r="L644" s="8">
        <f t="shared" si="61"/>
        <v>4500</v>
      </c>
      <c r="M644" s="8">
        <f t="shared" si="62"/>
        <v>25500</v>
      </c>
      <c r="N644" s="5">
        <v>56000</v>
      </c>
      <c r="O644" s="8">
        <f t="shared" si="63"/>
        <v>81500</v>
      </c>
      <c r="P644" s="2" t="s">
        <v>29</v>
      </c>
      <c r="Q644" s="10" t="str">
        <f>VLOOKUP(A644,Status!A:B,2,0)</f>
        <v>Completed</v>
      </c>
      <c r="R644" s="2" t="s">
        <v>30</v>
      </c>
      <c r="S644" s="2">
        <v>4</v>
      </c>
      <c r="T644" s="2" t="s">
        <v>37</v>
      </c>
      <c r="U644" s="10" t="str">
        <f t="shared" si="65"/>
        <v>May</v>
      </c>
      <c r="V644" s="10">
        <f t="shared" si="64"/>
        <v>2025</v>
      </c>
      <c r="W644" cm="1">
        <f t="array" ref="W644">_xlfn.IFS(U644="January",1,U644="February",2,U644="March",3,U644="April",4,U644="May",5,U644="June",6,U644="July",7,U644="August",8,U644="September",9,U644="October",10,U644="November",11,U644="December",12)</f>
        <v>5</v>
      </c>
    </row>
    <row r="645" spans="1:23" ht="15.75" customHeight="1" x14ac:dyDescent="0.25">
      <c r="A645" s="2" t="s">
        <v>1603</v>
      </c>
      <c r="B645" s="3">
        <v>45782.594050925924</v>
      </c>
      <c r="C645" s="2" t="s">
        <v>681</v>
      </c>
      <c r="D645" s="2" t="s">
        <v>262</v>
      </c>
      <c r="E645" s="2" t="s">
        <v>110</v>
      </c>
      <c r="F645" s="2" t="str" cm="1">
        <f t="array" ref="F645:G645">_xlfn.TEXTSPLIT(E645," - ")</f>
        <v>Garam</v>
      </c>
      <c r="G645" s="2" t="str">
        <v>Brand C</v>
      </c>
      <c r="H645" s="5">
        <v>6000</v>
      </c>
      <c r="I645" s="2">
        <v>5</v>
      </c>
      <c r="J645" s="2">
        <v>20</v>
      </c>
      <c r="K645" s="8">
        <f t="shared" si="60"/>
        <v>30000</v>
      </c>
      <c r="L645" s="8">
        <f t="shared" si="61"/>
        <v>6000</v>
      </c>
      <c r="M645" s="8">
        <f t="shared" si="62"/>
        <v>24000</v>
      </c>
      <c r="N645" s="5">
        <v>18000</v>
      </c>
      <c r="O645" s="8">
        <f t="shared" si="63"/>
        <v>42000</v>
      </c>
      <c r="P645" s="2" t="s">
        <v>29</v>
      </c>
      <c r="Q645" s="10" t="str">
        <f>VLOOKUP(A645,Status!A:B,2,0)</f>
        <v>Completed</v>
      </c>
      <c r="R645" s="2" t="s">
        <v>46</v>
      </c>
      <c r="S645" s="2">
        <v>3</v>
      </c>
      <c r="T645" s="2" t="s">
        <v>24</v>
      </c>
      <c r="U645" s="10" t="str">
        <f t="shared" si="65"/>
        <v>May</v>
      </c>
      <c r="V645" s="10">
        <f t="shared" si="64"/>
        <v>2025</v>
      </c>
      <c r="W645" cm="1">
        <f t="array" ref="W645">_xlfn.IFS(U645="January",1,U645="February",2,U645="March",3,U645="April",4,U645="May",5,U645="June",6,U645="July",7,U645="August",8,U645="September",9,U645="October",10,U645="November",11,U645="December",12)</f>
        <v>5</v>
      </c>
    </row>
    <row r="646" spans="1:23" ht="15.75" customHeight="1" x14ac:dyDescent="0.25">
      <c r="A646" s="2" t="s">
        <v>1604</v>
      </c>
      <c r="B646" s="3">
        <v>45782.730474537027</v>
      </c>
      <c r="C646" s="2" t="s">
        <v>1022</v>
      </c>
      <c r="D646" s="2" t="s">
        <v>177</v>
      </c>
      <c r="E646" s="2" t="s">
        <v>38</v>
      </c>
      <c r="F646" s="2" t="str" cm="1">
        <f t="array" ref="F646:G646">_xlfn.TEXTSPLIT(E646," - ")</f>
        <v>Telur Ayam</v>
      </c>
      <c r="G646" s="2" t="str">
        <v>Brand C</v>
      </c>
      <c r="H646" s="5">
        <v>28000</v>
      </c>
      <c r="I646" s="2">
        <v>5</v>
      </c>
      <c r="J646" s="2">
        <v>5</v>
      </c>
      <c r="K646" s="8">
        <f t="shared" si="60"/>
        <v>140000</v>
      </c>
      <c r="L646" s="8">
        <f t="shared" si="61"/>
        <v>7000</v>
      </c>
      <c r="M646" s="8">
        <f t="shared" si="62"/>
        <v>133000</v>
      </c>
      <c r="N646" s="5">
        <v>56000</v>
      </c>
      <c r="O646" s="8">
        <f t="shared" si="63"/>
        <v>189000</v>
      </c>
      <c r="P646" s="2" t="s">
        <v>22</v>
      </c>
      <c r="Q646" s="10" t="str">
        <f>VLOOKUP(A646,Status!A:B,2,0)</f>
        <v>Completed</v>
      </c>
      <c r="R646" s="2" t="s">
        <v>36</v>
      </c>
      <c r="S646" s="2">
        <v>2</v>
      </c>
      <c r="T646" s="2" t="s">
        <v>24</v>
      </c>
      <c r="U646" s="10" t="str">
        <f t="shared" si="65"/>
        <v>May</v>
      </c>
      <c r="V646" s="10">
        <f t="shared" si="64"/>
        <v>2025</v>
      </c>
      <c r="W646" cm="1">
        <f t="array" ref="W646">_xlfn.IFS(U646="January",1,U646="February",2,U646="March",3,U646="April",4,U646="May",5,U646="June",6,U646="July",7,U646="August",8,U646="September",9,U646="October",10,U646="November",11,U646="December",12)</f>
        <v>5</v>
      </c>
    </row>
    <row r="647" spans="1:23" ht="15.75" customHeight="1" x14ac:dyDescent="0.25">
      <c r="A647" s="2" t="s">
        <v>1605</v>
      </c>
      <c r="B647" s="3">
        <v>45783.00677083333</v>
      </c>
      <c r="C647" s="2" t="s">
        <v>844</v>
      </c>
      <c r="D647" s="2" t="s">
        <v>119</v>
      </c>
      <c r="E647" s="2" t="s">
        <v>41</v>
      </c>
      <c r="F647" s="2" t="str" cm="1">
        <f t="array" ref="F647:G647">_xlfn.TEXTSPLIT(E647," - ")</f>
        <v>Garam</v>
      </c>
      <c r="G647" s="2" t="str">
        <v>Brand A</v>
      </c>
      <c r="H647" s="5">
        <v>4000</v>
      </c>
      <c r="I647" s="2">
        <v>4</v>
      </c>
      <c r="J647" s="2">
        <v>20</v>
      </c>
      <c r="K647" s="8">
        <f t="shared" si="60"/>
        <v>16000</v>
      </c>
      <c r="L647" s="8">
        <f t="shared" si="61"/>
        <v>3200</v>
      </c>
      <c r="M647" s="8">
        <f t="shared" si="62"/>
        <v>12800</v>
      </c>
      <c r="N647" s="5">
        <v>0</v>
      </c>
      <c r="O647" s="8">
        <f t="shared" si="63"/>
        <v>12800</v>
      </c>
      <c r="P647" s="2" t="s">
        <v>63</v>
      </c>
      <c r="Q647" s="10" t="str">
        <f>VLOOKUP(A647,Status!A:B,2,0)</f>
        <v>Completed</v>
      </c>
      <c r="R647" s="2" t="s">
        <v>36</v>
      </c>
      <c r="S647" s="2">
        <v>3</v>
      </c>
      <c r="T647" s="2" t="s">
        <v>24</v>
      </c>
      <c r="U647" s="10" t="str">
        <f t="shared" si="65"/>
        <v>May</v>
      </c>
      <c r="V647" s="10">
        <f t="shared" si="64"/>
        <v>2025</v>
      </c>
      <c r="W647" cm="1">
        <f t="array" ref="W647">_xlfn.IFS(U647="January",1,U647="February",2,U647="March",3,U647="April",4,U647="May",5,U647="June",6,U647="July",7,U647="August",8,U647="September",9,U647="October",10,U647="November",11,U647="December",12)</f>
        <v>5</v>
      </c>
    </row>
    <row r="648" spans="1:23" ht="15.75" customHeight="1" x14ac:dyDescent="0.25">
      <c r="A648" s="2" t="s">
        <v>1606</v>
      </c>
      <c r="B648" s="3">
        <v>45783.035254629627</v>
      </c>
      <c r="C648" s="2" t="s">
        <v>91</v>
      </c>
      <c r="D648" s="2" t="s">
        <v>92</v>
      </c>
      <c r="E648" s="2" t="s">
        <v>104</v>
      </c>
      <c r="F648" s="2" t="str" cm="1">
        <f t="array" ref="F648:G648">_xlfn.TEXTSPLIT(E648," - ")</f>
        <v>Bawang Merah</v>
      </c>
      <c r="G648" s="2" t="str">
        <v>Brand A</v>
      </c>
      <c r="H648" s="5">
        <v>30000</v>
      </c>
      <c r="I648" s="2">
        <v>2</v>
      </c>
      <c r="J648" s="2">
        <v>0</v>
      </c>
      <c r="K648" s="8">
        <f t="shared" si="60"/>
        <v>60000</v>
      </c>
      <c r="L648" s="8">
        <f t="shared" si="61"/>
        <v>0</v>
      </c>
      <c r="M648" s="8">
        <f t="shared" si="62"/>
        <v>60000</v>
      </c>
      <c r="N648" s="5">
        <v>30000</v>
      </c>
      <c r="O648" s="8">
        <f t="shared" si="63"/>
        <v>90000</v>
      </c>
      <c r="P648" s="2" t="s">
        <v>29</v>
      </c>
      <c r="Q648" s="10" t="str">
        <f>VLOOKUP(A648,Status!A:B,2,0)</f>
        <v>Completed</v>
      </c>
      <c r="R648" s="2" t="s">
        <v>23</v>
      </c>
      <c r="S648" s="2">
        <v>2</v>
      </c>
      <c r="T648" s="2" t="s">
        <v>24</v>
      </c>
      <c r="U648" s="10" t="str">
        <f t="shared" si="65"/>
        <v>May</v>
      </c>
      <c r="V648" s="10">
        <f t="shared" si="64"/>
        <v>2025</v>
      </c>
      <c r="W648" cm="1">
        <f t="array" ref="W648">_xlfn.IFS(U648="January",1,U648="February",2,U648="March",3,U648="April",4,U648="May",5,U648="June",6,U648="July",7,U648="August",8,U648="September",9,U648="October",10,U648="November",11,U648="December",12)</f>
        <v>5</v>
      </c>
    </row>
    <row r="649" spans="1:23" ht="15.75" customHeight="1" x14ac:dyDescent="0.25">
      <c r="A649" s="2" t="s">
        <v>1606</v>
      </c>
      <c r="B649" s="3">
        <v>45783.035254629627</v>
      </c>
      <c r="C649" s="2" t="s">
        <v>91</v>
      </c>
      <c r="D649" s="2" t="s">
        <v>92</v>
      </c>
      <c r="E649" s="2" t="s">
        <v>174</v>
      </c>
      <c r="F649" s="2" t="str" cm="1">
        <f t="array" ref="F649:G649">_xlfn.TEXTSPLIT(E649," - ")</f>
        <v>Tepung Terigu</v>
      </c>
      <c r="G649" s="2" t="str">
        <v>Brand A</v>
      </c>
      <c r="H649" s="5">
        <v>10000</v>
      </c>
      <c r="I649" s="2">
        <v>3</v>
      </c>
      <c r="J649" s="2">
        <v>15</v>
      </c>
      <c r="K649" s="8">
        <f t="shared" si="60"/>
        <v>30000</v>
      </c>
      <c r="L649" s="8">
        <f t="shared" si="61"/>
        <v>4500</v>
      </c>
      <c r="M649" s="8">
        <f t="shared" si="62"/>
        <v>25500</v>
      </c>
      <c r="N649" s="5">
        <v>0</v>
      </c>
      <c r="O649" s="8">
        <f t="shared" si="63"/>
        <v>25500</v>
      </c>
      <c r="P649" s="2" t="s">
        <v>29</v>
      </c>
      <c r="Q649" s="10" t="str">
        <f>VLOOKUP(A649,Status!A:B,2,0)</f>
        <v>Completed</v>
      </c>
      <c r="R649" s="2" t="s">
        <v>23</v>
      </c>
      <c r="S649" s="2">
        <v>2</v>
      </c>
      <c r="T649" s="2" t="s">
        <v>24</v>
      </c>
      <c r="U649" s="10" t="str">
        <f t="shared" si="65"/>
        <v>May</v>
      </c>
      <c r="V649" s="10">
        <f t="shared" si="64"/>
        <v>2025</v>
      </c>
      <c r="W649" cm="1">
        <f t="array" ref="W649">_xlfn.IFS(U649="January",1,U649="February",2,U649="March",3,U649="April",4,U649="May",5,U649="June",6,U649="July",7,U649="August",8,U649="September",9,U649="October",10,U649="November",11,U649="December",12)</f>
        <v>5</v>
      </c>
    </row>
    <row r="650" spans="1:23" ht="15.75" customHeight="1" x14ac:dyDescent="0.25">
      <c r="A650" s="2" t="s">
        <v>1607</v>
      </c>
      <c r="B650" s="3">
        <v>45783.286585648151</v>
      </c>
      <c r="C650" s="2" t="s">
        <v>523</v>
      </c>
      <c r="D650" s="2" t="s">
        <v>113</v>
      </c>
      <c r="E650" s="2" t="s">
        <v>71</v>
      </c>
      <c r="F650" s="2" t="str" cm="1">
        <f t="array" ref="F650:G650">_xlfn.TEXTSPLIT(E650," - ")</f>
        <v>Bawang Merah</v>
      </c>
      <c r="G650" s="2" t="str">
        <v>Brand C</v>
      </c>
      <c r="H650" s="5">
        <v>40000</v>
      </c>
      <c r="I650" s="2">
        <v>5</v>
      </c>
      <c r="J650" s="2">
        <v>20</v>
      </c>
      <c r="K650" s="8">
        <f t="shared" si="60"/>
        <v>200000</v>
      </c>
      <c r="L650" s="8">
        <f t="shared" si="61"/>
        <v>40000</v>
      </c>
      <c r="M650" s="8">
        <f t="shared" si="62"/>
        <v>160000</v>
      </c>
      <c r="N650" s="5">
        <v>18000</v>
      </c>
      <c r="O650" s="8">
        <f t="shared" si="63"/>
        <v>178000</v>
      </c>
      <c r="P650" s="2" t="s">
        <v>35</v>
      </c>
      <c r="Q650" s="10" t="str">
        <f>VLOOKUP(A650,Status!A:B,2,0)</f>
        <v>Completed</v>
      </c>
      <c r="R650" s="2" t="s">
        <v>46</v>
      </c>
      <c r="S650" s="2">
        <v>4</v>
      </c>
      <c r="T650" s="2" t="s">
        <v>24</v>
      </c>
      <c r="U650" s="10" t="str">
        <f t="shared" si="65"/>
        <v>May</v>
      </c>
      <c r="V650" s="10">
        <f t="shared" si="64"/>
        <v>2025</v>
      </c>
      <c r="W650" cm="1">
        <f t="array" ref="W650">_xlfn.IFS(U650="January",1,U650="February",2,U650="March",3,U650="April",4,U650="May",5,U650="June",6,U650="July",7,U650="August",8,U650="September",9,U650="October",10,U650="November",11,U650="December",12)</f>
        <v>5</v>
      </c>
    </row>
    <row r="651" spans="1:23" ht="15.75" customHeight="1" x14ac:dyDescent="0.25">
      <c r="A651" s="2" t="s">
        <v>1608</v>
      </c>
      <c r="B651" s="3">
        <v>45783.322337962964</v>
      </c>
      <c r="C651" s="2" t="s">
        <v>772</v>
      </c>
      <c r="D651" s="2" t="s">
        <v>113</v>
      </c>
      <c r="E651" s="2" t="s">
        <v>110</v>
      </c>
      <c r="F651" s="2" t="str" cm="1">
        <f t="array" ref="F651:G651">_xlfn.TEXTSPLIT(E651," - ")</f>
        <v>Garam</v>
      </c>
      <c r="G651" s="2" t="str">
        <v>Brand C</v>
      </c>
      <c r="H651" s="5">
        <v>6000</v>
      </c>
      <c r="I651" s="2">
        <v>5</v>
      </c>
      <c r="J651" s="2">
        <v>0</v>
      </c>
      <c r="K651" s="8">
        <f t="shared" si="60"/>
        <v>30000</v>
      </c>
      <c r="L651" s="8">
        <f t="shared" si="61"/>
        <v>0</v>
      </c>
      <c r="M651" s="8">
        <f t="shared" si="62"/>
        <v>30000</v>
      </c>
      <c r="N651" s="5">
        <v>18000</v>
      </c>
      <c r="O651" s="8">
        <f t="shared" si="63"/>
        <v>48000</v>
      </c>
      <c r="P651" s="2" t="s">
        <v>35</v>
      </c>
      <c r="Q651" s="10" t="str">
        <f>VLOOKUP(A651,Status!A:B,2,0)</f>
        <v>Completed</v>
      </c>
      <c r="R651" s="2" t="s">
        <v>30</v>
      </c>
      <c r="S651" s="2">
        <v>1</v>
      </c>
      <c r="T651" s="2" t="s">
        <v>24</v>
      </c>
      <c r="U651" s="10" t="str">
        <f t="shared" si="65"/>
        <v>May</v>
      </c>
      <c r="V651" s="10">
        <f t="shared" si="64"/>
        <v>2025</v>
      </c>
      <c r="W651" cm="1">
        <f t="array" ref="W651">_xlfn.IFS(U651="January",1,U651="February",2,U651="March",3,U651="April",4,U651="May",5,U651="June",6,U651="July",7,U651="August",8,U651="September",9,U651="October",10,U651="November",11,U651="December",12)</f>
        <v>5</v>
      </c>
    </row>
    <row r="652" spans="1:23" ht="15.75" customHeight="1" x14ac:dyDescent="0.25">
      <c r="A652" s="2" t="s">
        <v>1609</v>
      </c>
      <c r="B652" s="3">
        <v>45783.414594907408</v>
      </c>
      <c r="C652" s="2" t="s">
        <v>148</v>
      </c>
      <c r="D652" s="2" t="s">
        <v>74</v>
      </c>
      <c r="E652" s="2" t="s">
        <v>67</v>
      </c>
      <c r="F652" s="2" t="str" cm="1">
        <f t="array" ref="F652:G652">_xlfn.TEXTSPLIT(E652," - ")</f>
        <v>Beras</v>
      </c>
      <c r="G652" s="2" t="str">
        <v>Brand B</v>
      </c>
      <c r="H652" s="5">
        <v>15000</v>
      </c>
      <c r="I652" s="2">
        <v>3</v>
      </c>
      <c r="J652" s="2">
        <v>5</v>
      </c>
      <c r="K652" s="8">
        <f t="shared" si="60"/>
        <v>45000</v>
      </c>
      <c r="L652" s="8">
        <f t="shared" si="61"/>
        <v>2250</v>
      </c>
      <c r="M652" s="8">
        <f t="shared" si="62"/>
        <v>42750</v>
      </c>
      <c r="N652" s="5">
        <v>87000</v>
      </c>
      <c r="O652" s="8">
        <f t="shared" si="63"/>
        <v>129750</v>
      </c>
      <c r="P652" s="2" t="s">
        <v>35</v>
      </c>
      <c r="Q652" s="10" t="str">
        <f>VLOOKUP(A652,Status!A:B,2,0)</f>
        <v>Completed</v>
      </c>
      <c r="R652" s="2" t="s">
        <v>30</v>
      </c>
      <c r="S652" s="2">
        <v>2</v>
      </c>
      <c r="T652" s="2" t="s">
        <v>24</v>
      </c>
      <c r="U652" s="10" t="str">
        <f t="shared" si="65"/>
        <v>May</v>
      </c>
      <c r="V652" s="10">
        <f t="shared" si="64"/>
        <v>2025</v>
      </c>
      <c r="W652" cm="1">
        <f t="array" ref="W652">_xlfn.IFS(U652="January",1,U652="February",2,U652="March",3,U652="April",4,U652="May",5,U652="June",6,U652="July",7,U652="August",8,U652="September",9,U652="October",10,U652="November",11,U652="December",12)</f>
        <v>5</v>
      </c>
    </row>
    <row r="653" spans="1:23" ht="15.75" customHeight="1" x14ac:dyDescent="0.25">
      <c r="A653" s="2" t="s">
        <v>1610</v>
      </c>
      <c r="B653" s="3">
        <v>45783.724490740737</v>
      </c>
      <c r="C653" s="2" t="s">
        <v>155</v>
      </c>
      <c r="D653" s="2" t="s">
        <v>92</v>
      </c>
      <c r="E653" s="2" t="s">
        <v>85</v>
      </c>
      <c r="F653" s="2" t="str" cm="1">
        <f t="array" ref="F653:G653">_xlfn.TEXTSPLIT(E653," - ")</f>
        <v>Daging Ayam</v>
      </c>
      <c r="G653" s="2" t="str">
        <v>Brand A</v>
      </c>
      <c r="H653" s="5">
        <v>35000</v>
      </c>
      <c r="I653" s="2">
        <v>5</v>
      </c>
      <c r="J653" s="2">
        <v>10</v>
      </c>
      <c r="K653" s="8">
        <f t="shared" si="60"/>
        <v>175000</v>
      </c>
      <c r="L653" s="8">
        <f t="shared" si="61"/>
        <v>17500</v>
      </c>
      <c r="M653" s="8">
        <f t="shared" si="62"/>
        <v>157500</v>
      </c>
      <c r="N653" s="5">
        <v>30000</v>
      </c>
      <c r="O653" s="8">
        <f t="shared" si="63"/>
        <v>187500</v>
      </c>
      <c r="P653" s="2" t="s">
        <v>29</v>
      </c>
      <c r="Q653" s="10" t="str">
        <f>VLOOKUP(A653,Status!A:B,2,0)</f>
        <v>Completed</v>
      </c>
      <c r="R653" s="2" t="s">
        <v>36</v>
      </c>
      <c r="S653" s="2">
        <v>5</v>
      </c>
      <c r="T653" s="2" t="s">
        <v>24</v>
      </c>
      <c r="U653" s="10" t="str">
        <f t="shared" si="65"/>
        <v>May</v>
      </c>
      <c r="V653" s="10">
        <f t="shared" si="64"/>
        <v>2025</v>
      </c>
      <c r="W653" cm="1">
        <f t="array" ref="W653">_xlfn.IFS(U653="January",1,U653="February",2,U653="March",3,U653="April",4,U653="May",5,U653="June",6,U653="July",7,U653="August",8,U653="September",9,U653="October",10,U653="November",11,U653="December",12)</f>
        <v>5</v>
      </c>
    </row>
    <row r="654" spans="1:23" ht="15.75" customHeight="1" x14ac:dyDescent="0.25">
      <c r="A654" s="2" t="s">
        <v>1611</v>
      </c>
      <c r="B654" s="3">
        <v>45783.753206018519</v>
      </c>
      <c r="C654" s="2" t="s">
        <v>52</v>
      </c>
      <c r="D654" s="2" t="s">
        <v>53</v>
      </c>
      <c r="E654" s="2" t="s">
        <v>67</v>
      </c>
      <c r="F654" s="2" t="str" cm="1">
        <f t="array" ref="F654:G654">_xlfn.TEXTSPLIT(E654," - ")</f>
        <v>Beras</v>
      </c>
      <c r="G654" s="2" t="str">
        <v>Brand B</v>
      </c>
      <c r="H654" s="5">
        <v>15000</v>
      </c>
      <c r="I654" s="2">
        <v>3</v>
      </c>
      <c r="J654" s="2">
        <v>0</v>
      </c>
      <c r="K654" s="8">
        <f t="shared" si="60"/>
        <v>45000</v>
      </c>
      <c r="L654" s="8">
        <f t="shared" si="61"/>
        <v>0</v>
      </c>
      <c r="M654" s="8">
        <f t="shared" si="62"/>
        <v>45000</v>
      </c>
      <c r="N654" s="5">
        <v>18000</v>
      </c>
      <c r="O654" s="8">
        <f t="shared" si="63"/>
        <v>63000</v>
      </c>
      <c r="P654" s="2" t="s">
        <v>35</v>
      </c>
      <c r="Q654" s="10" t="str">
        <f>VLOOKUP(A654,Status!A:B,2,0)</f>
        <v>Completed</v>
      </c>
      <c r="R654" s="2" t="s">
        <v>46</v>
      </c>
      <c r="S654" s="2">
        <v>1</v>
      </c>
      <c r="T654" s="2" t="s">
        <v>24</v>
      </c>
      <c r="U654" s="10" t="str">
        <f t="shared" si="65"/>
        <v>May</v>
      </c>
      <c r="V654" s="10">
        <f t="shared" si="64"/>
        <v>2025</v>
      </c>
      <c r="W654" cm="1">
        <f t="array" ref="W654">_xlfn.IFS(U654="January",1,U654="February",2,U654="March",3,U654="April",4,U654="May",5,U654="June",6,U654="July",7,U654="August",8,U654="September",9,U654="October",10,U654="November",11,U654="December",12)</f>
        <v>5</v>
      </c>
    </row>
    <row r="655" spans="1:23" ht="15.75" customHeight="1" x14ac:dyDescent="0.25">
      <c r="A655" s="2" t="s">
        <v>1612</v>
      </c>
      <c r="B655" s="3">
        <v>45783.977777777778</v>
      </c>
      <c r="C655" s="2" t="s">
        <v>102</v>
      </c>
      <c r="D655" s="2" t="s">
        <v>103</v>
      </c>
      <c r="E655" s="2" t="s">
        <v>174</v>
      </c>
      <c r="F655" s="2" t="str" cm="1">
        <f t="array" ref="F655:G655">_xlfn.TEXTSPLIT(E655," - ")</f>
        <v>Tepung Terigu</v>
      </c>
      <c r="G655" s="2" t="str">
        <v>Brand A</v>
      </c>
      <c r="H655" s="5">
        <v>10000</v>
      </c>
      <c r="I655" s="2">
        <v>2</v>
      </c>
      <c r="J655" s="2">
        <v>15</v>
      </c>
      <c r="K655" s="8">
        <f t="shared" si="60"/>
        <v>20000</v>
      </c>
      <c r="L655" s="8">
        <f t="shared" si="61"/>
        <v>3000</v>
      </c>
      <c r="M655" s="8">
        <f t="shared" si="62"/>
        <v>17000</v>
      </c>
      <c r="N655" s="5">
        <v>85000</v>
      </c>
      <c r="O655" s="8">
        <f t="shared" si="63"/>
        <v>102000</v>
      </c>
      <c r="P655" s="2" t="s">
        <v>63</v>
      </c>
      <c r="Q655" s="10" t="str">
        <f>VLOOKUP(A655,Status!A:B,2,0)</f>
        <v>Returned</v>
      </c>
      <c r="R655" s="2" t="s">
        <v>46</v>
      </c>
      <c r="S655" s="2">
        <v>3</v>
      </c>
      <c r="T655" s="2" t="s">
        <v>24</v>
      </c>
      <c r="U655" s="10" t="str">
        <f t="shared" si="65"/>
        <v>May</v>
      </c>
      <c r="V655" s="10">
        <f t="shared" si="64"/>
        <v>2025</v>
      </c>
      <c r="W655" cm="1">
        <f t="array" ref="W655">_xlfn.IFS(U655="January",1,U655="February",2,U655="March",3,U655="April",4,U655="May",5,U655="June",6,U655="July",7,U655="August",8,U655="September",9,U655="October",10,U655="November",11,U655="December",12)</f>
        <v>5</v>
      </c>
    </row>
    <row r="656" spans="1:23" ht="15.75" customHeight="1" x14ac:dyDescent="0.25">
      <c r="A656" s="2" t="s">
        <v>1613</v>
      </c>
      <c r="B656" s="3">
        <v>45784.302152777767</v>
      </c>
      <c r="C656" s="2" t="s">
        <v>464</v>
      </c>
      <c r="D656" s="2" t="s">
        <v>296</v>
      </c>
      <c r="E656" s="2" t="s">
        <v>38</v>
      </c>
      <c r="F656" s="2" t="str" cm="1">
        <f t="array" ref="F656:G656">_xlfn.TEXTSPLIT(E656," - ")</f>
        <v>Telur Ayam</v>
      </c>
      <c r="G656" s="2" t="str">
        <v>Brand C</v>
      </c>
      <c r="H656" s="5">
        <v>28000</v>
      </c>
      <c r="I656" s="2">
        <v>5</v>
      </c>
      <c r="J656" s="2">
        <v>0</v>
      </c>
      <c r="K656" s="8">
        <f t="shared" si="60"/>
        <v>140000</v>
      </c>
      <c r="L656" s="8">
        <f t="shared" si="61"/>
        <v>0</v>
      </c>
      <c r="M656" s="8">
        <f t="shared" si="62"/>
        <v>140000</v>
      </c>
      <c r="N656" s="5">
        <v>79000</v>
      </c>
      <c r="O656" s="8">
        <f t="shared" si="63"/>
        <v>219000</v>
      </c>
      <c r="P656" s="2" t="s">
        <v>22</v>
      </c>
      <c r="Q656" s="10" t="str">
        <f>VLOOKUP(A656,Status!A:B,2,0)</f>
        <v>Completed</v>
      </c>
      <c r="R656" s="2" t="s">
        <v>46</v>
      </c>
      <c r="S656" s="2">
        <v>3</v>
      </c>
      <c r="T656" s="2" t="s">
        <v>37</v>
      </c>
      <c r="U656" s="10" t="str">
        <f t="shared" si="65"/>
        <v>May</v>
      </c>
      <c r="V656" s="10">
        <f t="shared" si="64"/>
        <v>2025</v>
      </c>
      <c r="W656" cm="1">
        <f t="array" ref="W656">_xlfn.IFS(U656="January",1,U656="February",2,U656="March",3,U656="April",4,U656="May",5,U656="June",6,U656="July",7,U656="August",8,U656="September",9,U656="October",10,U656="November",11,U656="December",12)</f>
        <v>5</v>
      </c>
    </row>
    <row r="657" spans="1:23" ht="15.75" customHeight="1" x14ac:dyDescent="0.25">
      <c r="A657" s="2" t="s">
        <v>1613</v>
      </c>
      <c r="B657" s="3">
        <v>45784.302152777767</v>
      </c>
      <c r="C657" s="2" t="s">
        <v>464</v>
      </c>
      <c r="D657" s="2" t="s">
        <v>296</v>
      </c>
      <c r="E657" s="2" t="s">
        <v>93</v>
      </c>
      <c r="F657" s="2" t="str" cm="1">
        <f t="array" ref="F657:G657">_xlfn.TEXTSPLIT(E657," - ")</f>
        <v>Telur Ayam</v>
      </c>
      <c r="G657" s="2" t="str">
        <v>Brand B</v>
      </c>
      <c r="H657" s="5">
        <v>25000</v>
      </c>
      <c r="I657" s="2">
        <v>4</v>
      </c>
      <c r="J657" s="2">
        <v>0</v>
      </c>
      <c r="K657" s="8">
        <f t="shared" si="60"/>
        <v>100000</v>
      </c>
      <c r="L657" s="8">
        <f t="shared" si="61"/>
        <v>0</v>
      </c>
      <c r="M657" s="8">
        <f t="shared" si="62"/>
        <v>100000</v>
      </c>
      <c r="N657" s="5">
        <v>0</v>
      </c>
      <c r="O657" s="8">
        <f t="shared" si="63"/>
        <v>100000</v>
      </c>
      <c r="P657" s="2" t="s">
        <v>22</v>
      </c>
      <c r="Q657" s="10" t="str">
        <f>VLOOKUP(A657,Status!A:B,2,0)</f>
        <v>Completed</v>
      </c>
      <c r="R657" s="2" t="s">
        <v>46</v>
      </c>
      <c r="S657" s="2">
        <v>3</v>
      </c>
      <c r="T657" s="2" t="s">
        <v>37</v>
      </c>
      <c r="U657" s="10" t="str">
        <f t="shared" si="65"/>
        <v>May</v>
      </c>
      <c r="V657" s="10">
        <f t="shared" si="64"/>
        <v>2025</v>
      </c>
      <c r="W657" cm="1">
        <f t="array" ref="W657">_xlfn.IFS(U657="January",1,U657="February",2,U657="March",3,U657="April",4,U657="May",5,U657="June",6,U657="July",7,U657="August",8,U657="September",9,U657="October",10,U657="November",11,U657="December",12)</f>
        <v>5</v>
      </c>
    </row>
    <row r="658" spans="1:23" ht="15.75" customHeight="1" x14ac:dyDescent="0.25">
      <c r="A658" s="2" t="s">
        <v>1614</v>
      </c>
      <c r="B658" s="3">
        <v>45784.679629629631</v>
      </c>
      <c r="C658" s="2" t="s">
        <v>883</v>
      </c>
      <c r="D658" s="2" t="s">
        <v>44</v>
      </c>
      <c r="E658" s="2" t="s">
        <v>75</v>
      </c>
      <c r="F658" s="2" t="str" cm="1">
        <f t="array" ref="F658:G658">_xlfn.TEXTSPLIT(E658," - ")</f>
        <v>Susu Bubuk</v>
      </c>
      <c r="G658" s="2" t="str">
        <v>Brand C</v>
      </c>
      <c r="H658" s="5">
        <v>55000</v>
      </c>
      <c r="I658" s="2">
        <v>3</v>
      </c>
      <c r="J658" s="2">
        <v>10</v>
      </c>
      <c r="K658" s="8">
        <f t="shared" si="60"/>
        <v>165000</v>
      </c>
      <c r="L658" s="8">
        <f t="shared" si="61"/>
        <v>16500</v>
      </c>
      <c r="M658" s="8">
        <f t="shared" si="62"/>
        <v>148500</v>
      </c>
      <c r="N658" s="5">
        <v>93000</v>
      </c>
      <c r="O658" s="8">
        <f t="shared" si="63"/>
        <v>241500</v>
      </c>
      <c r="P658" s="2" t="s">
        <v>63</v>
      </c>
      <c r="Q658" s="10" t="str">
        <f>VLOOKUP(A658,Status!A:B,2,0)</f>
        <v>Completed</v>
      </c>
      <c r="R658" s="2" t="s">
        <v>82</v>
      </c>
      <c r="S658" s="2">
        <v>2</v>
      </c>
      <c r="T658" s="2" t="s">
        <v>37</v>
      </c>
      <c r="U658" s="10" t="str">
        <f t="shared" si="65"/>
        <v>May</v>
      </c>
      <c r="V658" s="10">
        <f t="shared" si="64"/>
        <v>2025</v>
      </c>
      <c r="W658" cm="1">
        <f t="array" ref="W658">_xlfn.IFS(U658="January",1,U658="February",2,U658="March",3,U658="April",4,U658="May",5,U658="June",6,U658="July",7,U658="August",8,U658="September",9,U658="October",10,U658="November",11,U658="December",12)</f>
        <v>5</v>
      </c>
    </row>
    <row r="659" spans="1:23" ht="15.75" customHeight="1" x14ac:dyDescent="0.25">
      <c r="A659" s="2" t="s">
        <v>1615</v>
      </c>
      <c r="B659" s="3">
        <v>45784.88071759259</v>
      </c>
      <c r="C659" s="2" t="s">
        <v>381</v>
      </c>
      <c r="D659" s="2" t="s">
        <v>103</v>
      </c>
      <c r="E659" s="2" t="s">
        <v>88</v>
      </c>
      <c r="F659" s="2" t="str" cm="1">
        <f t="array" ref="F659:G659">_xlfn.TEXTSPLIT(E659," - ")</f>
        <v>Beras</v>
      </c>
      <c r="G659" s="2" t="str">
        <v>Brand A</v>
      </c>
      <c r="H659" s="5">
        <v>14000</v>
      </c>
      <c r="I659" s="2">
        <v>3</v>
      </c>
      <c r="J659" s="2">
        <v>5</v>
      </c>
      <c r="K659" s="8">
        <f t="shared" si="60"/>
        <v>42000</v>
      </c>
      <c r="L659" s="8">
        <f t="shared" si="61"/>
        <v>2100</v>
      </c>
      <c r="M659" s="8">
        <f t="shared" si="62"/>
        <v>39900</v>
      </c>
      <c r="N659" s="5">
        <v>85000</v>
      </c>
      <c r="O659" s="8">
        <f t="shared" si="63"/>
        <v>124900</v>
      </c>
      <c r="P659" s="2" t="s">
        <v>35</v>
      </c>
      <c r="Q659" s="10" t="str">
        <f>VLOOKUP(A659,Status!A:B,2,0)</f>
        <v>Completed</v>
      </c>
      <c r="R659" s="2" t="s">
        <v>46</v>
      </c>
      <c r="S659" s="2">
        <v>3</v>
      </c>
      <c r="T659" s="2" t="s">
        <v>24</v>
      </c>
      <c r="U659" s="10" t="str">
        <f t="shared" si="65"/>
        <v>May</v>
      </c>
      <c r="V659" s="10">
        <f t="shared" si="64"/>
        <v>2025</v>
      </c>
      <c r="W659" cm="1">
        <f t="array" ref="W659">_xlfn.IFS(U659="January",1,U659="February",2,U659="March",3,U659="April",4,U659="May",5,U659="June",6,U659="July",7,U659="August",8,U659="September",9,U659="October",10,U659="November",11,U659="December",12)</f>
        <v>5</v>
      </c>
    </row>
    <row r="660" spans="1:23" ht="15.75" customHeight="1" x14ac:dyDescent="0.25">
      <c r="A660" s="2" t="s">
        <v>1616</v>
      </c>
      <c r="B660" s="3">
        <v>45785.124386574083</v>
      </c>
      <c r="C660" s="2" t="s">
        <v>812</v>
      </c>
      <c r="D660" s="2" t="s">
        <v>33</v>
      </c>
      <c r="E660" s="2" t="s">
        <v>144</v>
      </c>
      <c r="F660" s="2" t="str" cm="1">
        <f t="array" ref="F660:G660">_xlfn.TEXTSPLIT(E660," - ")</f>
        <v>Gula Pasir</v>
      </c>
      <c r="G660" s="2" t="str">
        <v>Brand C</v>
      </c>
      <c r="H660" s="5">
        <v>18000</v>
      </c>
      <c r="I660" s="2">
        <v>1</v>
      </c>
      <c r="J660" s="2">
        <v>20</v>
      </c>
      <c r="K660" s="8">
        <f t="shared" si="60"/>
        <v>18000</v>
      </c>
      <c r="L660" s="8">
        <f t="shared" si="61"/>
        <v>3600</v>
      </c>
      <c r="M660" s="8">
        <f t="shared" si="62"/>
        <v>14400</v>
      </c>
      <c r="N660" s="5">
        <v>76000</v>
      </c>
      <c r="O660" s="8">
        <f t="shared" si="63"/>
        <v>90400</v>
      </c>
      <c r="P660" s="2" t="s">
        <v>35</v>
      </c>
      <c r="Q660" s="10" t="str">
        <f>VLOOKUP(A660,Status!A:B,2,0)</f>
        <v>Completed</v>
      </c>
      <c r="R660" s="2" t="s">
        <v>36</v>
      </c>
      <c r="S660" s="2">
        <v>4</v>
      </c>
      <c r="T660" s="2" t="s">
        <v>24</v>
      </c>
      <c r="U660" s="10" t="str">
        <f t="shared" si="65"/>
        <v>May</v>
      </c>
      <c r="V660" s="10">
        <f t="shared" si="64"/>
        <v>2025</v>
      </c>
      <c r="W660" cm="1">
        <f t="array" ref="W660">_xlfn.IFS(U660="January",1,U660="February",2,U660="March",3,U660="April",4,U660="May",5,U660="June",6,U660="July",7,U660="August",8,U660="September",9,U660="October",10,U660="November",11,U660="December",12)</f>
        <v>5</v>
      </c>
    </row>
    <row r="661" spans="1:23" ht="15.75" customHeight="1" x14ac:dyDescent="0.25">
      <c r="A661" s="2" t="s">
        <v>1617</v>
      </c>
      <c r="B661" s="3">
        <v>45785.138206018521</v>
      </c>
      <c r="C661" s="2" t="s">
        <v>724</v>
      </c>
      <c r="D661" s="2" t="s">
        <v>53</v>
      </c>
      <c r="E661" s="2" t="s">
        <v>88</v>
      </c>
      <c r="F661" s="2" t="str" cm="1">
        <f t="array" ref="F661:G661">_xlfn.TEXTSPLIT(E661," - ")</f>
        <v>Beras</v>
      </c>
      <c r="G661" s="2" t="str">
        <v>Brand A</v>
      </c>
      <c r="H661" s="5">
        <v>14000</v>
      </c>
      <c r="I661" s="2">
        <v>5</v>
      </c>
      <c r="J661" s="2">
        <v>0</v>
      </c>
      <c r="K661" s="8">
        <f t="shared" si="60"/>
        <v>70000</v>
      </c>
      <c r="L661" s="8">
        <f t="shared" si="61"/>
        <v>0</v>
      </c>
      <c r="M661" s="8">
        <f t="shared" si="62"/>
        <v>70000</v>
      </c>
      <c r="N661" s="5">
        <v>18000</v>
      </c>
      <c r="O661" s="8">
        <f t="shared" si="63"/>
        <v>88000</v>
      </c>
      <c r="P661" s="2" t="s">
        <v>22</v>
      </c>
      <c r="Q661" s="10" t="str">
        <f>VLOOKUP(A661,Status!A:B,2,0)</f>
        <v>Returned</v>
      </c>
      <c r="R661" s="2" t="s">
        <v>30</v>
      </c>
      <c r="S661" s="2">
        <v>4</v>
      </c>
      <c r="T661" s="2" t="s">
        <v>24</v>
      </c>
      <c r="U661" s="10" t="str">
        <f t="shared" si="65"/>
        <v>May</v>
      </c>
      <c r="V661" s="10">
        <f t="shared" si="64"/>
        <v>2025</v>
      </c>
      <c r="W661" cm="1">
        <f t="array" ref="W661">_xlfn.IFS(U661="January",1,U661="February",2,U661="March",3,U661="April",4,U661="May",5,U661="June",6,U661="July",7,U661="August",8,U661="September",9,U661="October",10,U661="November",11,U661="December",12)</f>
        <v>5</v>
      </c>
    </row>
    <row r="662" spans="1:23" ht="15.75" customHeight="1" x14ac:dyDescent="0.25">
      <c r="A662" s="2" t="s">
        <v>1618</v>
      </c>
      <c r="B662" s="3">
        <v>45785.758344907408</v>
      </c>
      <c r="C662" s="2" t="s">
        <v>459</v>
      </c>
      <c r="D662" s="2" t="s">
        <v>61</v>
      </c>
      <c r="E662" s="2" t="s">
        <v>136</v>
      </c>
      <c r="F662" s="2" t="str" cm="1">
        <f t="array" ref="F662:G662">_xlfn.TEXTSPLIT(E662," - ")</f>
        <v>Tepung Terigu</v>
      </c>
      <c r="G662" s="2" t="str">
        <v>Brand B</v>
      </c>
      <c r="H662" s="5">
        <v>12000</v>
      </c>
      <c r="I662" s="2">
        <v>1</v>
      </c>
      <c r="J662" s="2">
        <v>15</v>
      </c>
      <c r="K662" s="8">
        <f t="shared" si="60"/>
        <v>12000</v>
      </c>
      <c r="L662" s="8">
        <f t="shared" si="61"/>
        <v>1800</v>
      </c>
      <c r="M662" s="8">
        <f t="shared" si="62"/>
        <v>10200</v>
      </c>
      <c r="N662" s="5">
        <v>26000</v>
      </c>
      <c r="O662" s="8">
        <f t="shared" si="63"/>
        <v>36200</v>
      </c>
      <c r="P662" s="2" t="s">
        <v>29</v>
      </c>
      <c r="Q662" s="10" t="str">
        <f>VLOOKUP(A662,Status!A:B,2,0)</f>
        <v>Completed</v>
      </c>
      <c r="R662" s="2" t="s">
        <v>36</v>
      </c>
      <c r="S662" s="2">
        <v>1</v>
      </c>
      <c r="T662" s="2" t="s">
        <v>24</v>
      </c>
      <c r="U662" s="10" t="str">
        <f t="shared" si="65"/>
        <v>May</v>
      </c>
      <c r="V662" s="10">
        <f t="shared" si="64"/>
        <v>2025</v>
      </c>
      <c r="W662" cm="1">
        <f t="array" ref="W662">_xlfn.IFS(U662="January",1,U662="February",2,U662="March",3,U662="April",4,U662="May",5,U662="June",6,U662="July",7,U662="August",8,U662="September",9,U662="October",10,U662="November",11,U662="December",12)</f>
        <v>5</v>
      </c>
    </row>
    <row r="663" spans="1:23" ht="15.75" customHeight="1" x14ac:dyDescent="0.25">
      <c r="A663" s="2" t="s">
        <v>1619</v>
      </c>
      <c r="B663" s="3">
        <v>45785.785474537042</v>
      </c>
      <c r="C663" s="2" t="s">
        <v>1620</v>
      </c>
      <c r="D663" s="2" t="s">
        <v>92</v>
      </c>
      <c r="E663" s="2" t="s">
        <v>186</v>
      </c>
      <c r="F663" s="2" t="str" cm="1">
        <f t="array" ref="F663:G663">_xlfn.TEXTSPLIT(E663," - ")</f>
        <v>Susu Bubuk</v>
      </c>
      <c r="G663" s="2" t="str">
        <v>Brand A</v>
      </c>
      <c r="H663" s="5">
        <v>45000</v>
      </c>
      <c r="I663" s="2">
        <v>4</v>
      </c>
      <c r="J663" s="2">
        <v>10</v>
      </c>
      <c r="K663" s="8">
        <f t="shared" si="60"/>
        <v>180000</v>
      </c>
      <c r="L663" s="8">
        <f t="shared" si="61"/>
        <v>18000</v>
      </c>
      <c r="M663" s="8">
        <f t="shared" si="62"/>
        <v>162000</v>
      </c>
      <c r="N663" s="5">
        <v>30000</v>
      </c>
      <c r="O663" s="8">
        <f t="shared" si="63"/>
        <v>192000</v>
      </c>
      <c r="P663" s="2" t="s">
        <v>22</v>
      </c>
      <c r="Q663" s="10" t="str">
        <f>VLOOKUP(A663,Status!A:B,2,0)</f>
        <v>Completed</v>
      </c>
      <c r="R663" s="2" t="s">
        <v>23</v>
      </c>
      <c r="S663" s="2">
        <v>1</v>
      </c>
      <c r="T663" s="2" t="s">
        <v>24</v>
      </c>
      <c r="U663" s="10" t="str">
        <f t="shared" si="65"/>
        <v>May</v>
      </c>
      <c r="V663" s="10">
        <f t="shared" si="64"/>
        <v>2025</v>
      </c>
      <c r="W663" cm="1">
        <f t="array" ref="W663">_xlfn.IFS(U663="January",1,U663="February",2,U663="March",3,U663="April",4,U663="May",5,U663="June",6,U663="July",7,U663="August",8,U663="September",9,U663="October",10,U663="November",11,U663="December",12)</f>
        <v>5</v>
      </c>
    </row>
    <row r="664" spans="1:23" ht="15.75" customHeight="1" x14ac:dyDescent="0.25">
      <c r="A664" s="2" t="s">
        <v>1621</v>
      </c>
      <c r="B664" s="3">
        <v>45785.834872685176</v>
      </c>
      <c r="C664" s="2" t="s">
        <v>542</v>
      </c>
      <c r="D664" s="2" t="s">
        <v>122</v>
      </c>
      <c r="E664" s="2" t="s">
        <v>50</v>
      </c>
      <c r="F664" s="2" t="str" cm="1">
        <f t="array" ref="F664:G664">_xlfn.TEXTSPLIT(E664," - ")</f>
        <v>Tepung Terigu</v>
      </c>
      <c r="G664" s="2" t="str">
        <v>Brand C</v>
      </c>
      <c r="H664" s="5">
        <v>14000</v>
      </c>
      <c r="I664" s="2">
        <v>2</v>
      </c>
      <c r="J664" s="2">
        <v>15</v>
      </c>
      <c r="K664" s="8">
        <f t="shared" si="60"/>
        <v>28000</v>
      </c>
      <c r="L664" s="8">
        <f t="shared" si="61"/>
        <v>4200</v>
      </c>
      <c r="M664" s="8">
        <f t="shared" si="62"/>
        <v>23800</v>
      </c>
      <c r="N664" s="5">
        <v>78000</v>
      </c>
      <c r="O664" s="8">
        <f t="shared" si="63"/>
        <v>101800</v>
      </c>
      <c r="P664" s="2" t="s">
        <v>35</v>
      </c>
      <c r="Q664" s="10" t="str">
        <f>VLOOKUP(A664,Status!A:B,2,0)</f>
        <v>Completed</v>
      </c>
      <c r="R664" s="2" t="s">
        <v>36</v>
      </c>
      <c r="S664" s="2">
        <v>4</v>
      </c>
      <c r="T664" s="2" t="s">
        <v>24</v>
      </c>
      <c r="U664" s="10" t="str">
        <f t="shared" si="65"/>
        <v>May</v>
      </c>
      <c r="V664" s="10">
        <f t="shared" si="64"/>
        <v>2025</v>
      </c>
      <c r="W664" cm="1">
        <f t="array" ref="W664">_xlfn.IFS(U664="January",1,U664="February",2,U664="March",3,U664="April",4,U664="May",5,U664="June",6,U664="July",7,U664="August",8,U664="September",9,U664="October",10,U664="November",11,U664="December",12)</f>
        <v>5</v>
      </c>
    </row>
    <row r="665" spans="1:23" ht="15.75" customHeight="1" x14ac:dyDescent="0.25">
      <c r="A665" s="2" t="s">
        <v>1621</v>
      </c>
      <c r="B665" s="3">
        <v>45785.834872685176</v>
      </c>
      <c r="C665" s="2" t="s">
        <v>542</v>
      </c>
      <c r="D665" s="2" t="s">
        <v>122</v>
      </c>
      <c r="E665" s="2" t="s">
        <v>110</v>
      </c>
      <c r="F665" s="2" t="str" cm="1">
        <f t="array" ref="F665:G665">_xlfn.TEXTSPLIT(E665," - ")</f>
        <v>Garam</v>
      </c>
      <c r="G665" s="2" t="str">
        <v>Brand C</v>
      </c>
      <c r="H665" s="5">
        <v>6000</v>
      </c>
      <c r="I665" s="2">
        <v>3</v>
      </c>
      <c r="J665" s="2">
        <v>10</v>
      </c>
      <c r="K665" s="8">
        <f t="shared" si="60"/>
        <v>18000</v>
      </c>
      <c r="L665" s="8">
        <f t="shared" si="61"/>
        <v>1800</v>
      </c>
      <c r="M665" s="8">
        <f t="shared" si="62"/>
        <v>16200</v>
      </c>
      <c r="N665" s="5">
        <v>0</v>
      </c>
      <c r="O665" s="8">
        <f t="shared" si="63"/>
        <v>16200</v>
      </c>
      <c r="P665" s="2" t="s">
        <v>35</v>
      </c>
      <c r="Q665" s="10" t="str">
        <f>VLOOKUP(A665,Status!A:B,2,0)</f>
        <v>Completed</v>
      </c>
      <c r="R665" s="2" t="s">
        <v>36</v>
      </c>
      <c r="S665" s="2">
        <v>4</v>
      </c>
      <c r="T665" s="2" t="s">
        <v>24</v>
      </c>
      <c r="U665" s="10" t="str">
        <f t="shared" si="65"/>
        <v>May</v>
      </c>
      <c r="V665" s="10">
        <f t="shared" si="64"/>
        <v>2025</v>
      </c>
      <c r="W665" cm="1">
        <f t="array" ref="W665">_xlfn.IFS(U665="January",1,U665="February",2,U665="March",3,U665="April",4,U665="May",5,U665="June",6,U665="July",7,U665="August",8,U665="September",9,U665="October",10,U665="November",11,U665="December",12)</f>
        <v>5</v>
      </c>
    </row>
    <row r="666" spans="1:23" ht="15.75" customHeight="1" x14ac:dyDescent="0.25">
      <c r="A666" s="2" t="s">
        <v>1622</v>
      </c>
      <c r="B666" s="3">
        <v>45785.866412037038</v>
      </c>
      <c r="C666" s="2" t="s">
        <v>649</v>
      </c>
      <c r="D666" s="2" t="s">
        <v>177</v>
      </c>
      <c r="E666" s="2" t="s">
        <v>85</v>
      </c>
      <c r="F666" s="2" t="str" cm="1">
        <f t="array" ref="F666:G666">_xlfn.TEXTSPLIT(E666," - ")</f>
        <v>Daging Ayam</v>
      </c>
      <c r="G666" s="2" t="str">
        <v>Brand A</v>
      </c>
      <c r="H666" s="5">
        <v>35000</v>
      </c>
      <c r="I666" s="2">
        <v>1</v>
      </c>
      <c r="J666" s="2">
        <v>5</v>
      </c>
      <c r="K666" s="8">
        <f t="shared" si="60"/>
        <v>35000</v>
      </c>
      <c r="L666" s="8">
        <f t="shared" si="61"/>
        <v>1750</v>
      </c>
      <c r="M666" s="8">
        <f t="shared" si="62"/>
        <v>33250</v>
      </c>
      <c r="N666" s="5">
        <v>56000</v>
      </c>
      <c r="O666" s="8">
        <f t="shared" si="63"/>
        <v>89250</v>
      </c>
      <c r="P666" s="2" t="s">
        <v>22</v>
      </c>
      <c r="Q666" s="10" t="str">
        <f>VLOOKUP(A666,Status!A:B,2,0)</f>
        <v>Completed</v>
      </c>
      <c r="R666" s="2" t="s">
        <v>30</v>
      </c>
      <c r="S666" s="2">
        <v>2</v>
      </c>
      <c r="T666" s="2" t="s">
        <v>24</v>
      </c>
      <c r="U666" s="10" t="str">
        <f t="shared" si="65"/>
        <v>May</v>
      </c>
      <c r="V666" s="10">
        <f t="shared" si="64"/>
        <v>2025</v>
      </c>
      <c r="W666" cm="1">
        <f t="array" ref="W666">_xlfn.IFS(U666="January",1,U666="February",2,U666="March",3,U666="April",4,U666="May",5,U666="June",6,U666="July",7,U666="August",8,U666="September",9,U666="October",10,U666="November",11,U666="December",12)</f>
        <v>5</v>
      </c>
    </row>
    <row r="667" spans="1:23" ht="15.75" customHeight="1" x14ac:dyDescent="0.25">
      <c r="A667" s="2" t="s">
        <v>1623</v>
      </c>
      <c r="B667" s="3">
        <v>45785.898449074077</v>
      </c>
      <c r="C667" s="2" t="s">
        <v>1624</v>
      </c>
      <c r="D667" s="2" t="s">
        <v>33</v>
      </c>
      <c r="E667" s="2" t="s">
        <v>186</v>
      </c>
      <c r="F667" s="2" t="str" cm="1">
        <f t="array" ref="F667:G667">_xlfn.TEXTSPLIT(E667," - ")</f>
        <v>Susu Bubuk</v>
      </c>
      <c r="G667" s="2" t="str">
        <v>Brand A</v>
      </c>
      <c r="H667" s="5">
        <v>45000</v>
      </c>
      <c r="I667" s="2">
        <v>3</v>
      </c>
      <c r="J667" s="2">
        <v>10</v>
      </c>
      <c r="K667" s="8">
        <f t="shared" si="60"/>
        <v>135000</v>
      </c>
      <c r="L667" s="8">
        <f t="shared" si="61"/>
        <v>13500</v>
      </c>
      <c r="M667" s="8">
        <f t="shared" si="62"/>
        <v>121500</v>
      </c>
      <c r="N667" s="5">
        <v>76000</v>
      </c>
      <c r="O667" s="8">
        <f t="shared" si="63"/>
        <v>197500</v>
      </c>
      <c r="P667" s="2" t="s">
        <v>35</v>
      </c>
      <c r="Q667" s="10" t="str">
        <f>VLOOKUP(A667,Status!A:B,2,0)</f>
        <v>Completed</v>
      </c>
      <c r="R667" s="2" t="s">
        <v>30</v>
      </c>
      <c r="S667" s="2">
        <v>2</v>
      </c>
      <c r="T667" s="2" t="s">
        <v>24</v>
      </c>
      <c r="U667" s="10" t="str">
        <f t="shared" si="65"/>
        <v>May</v>
      </c>
      <c r="V667" s="10">
        <f t="shared" si="64"/>
        <v>2025</v>
      </c>
      <c r="W667" cm="1">
        <f t="array" ref="W667">_xlfn.IFS(U667="January",1,U667="February",2,U667="March",3,U667="April",4,U667="May",5,U667="June",6,U667="July",7,U667="August",8,U667="September",9,U667="October",10,U667="November",11,U667="December",12)</f>
        <v>5</v>
      </c>
    </row>
    <row r="668" spans="1:23" ht="15.75" customHeight="1" x14ac:dyDescent="0.25">
      <c r="A668" s="2" t="s">
        <v>1625</v>
      </c>
      <c r="B668" s="3">
        <v>45786.137766203698</v>
      </c>
      <c r="C668" s="2" t="s">
        <v>368</v>
      </c>
      <c r="D668" s="2" t="s">
        <v>113</v>
      </c>
      <c r="E668" s="2" t="s">
        <v>186</v>
      </c>
      <c r="F668" s="2" t="str" cm="1">
        <f t="array" ref="F668:G668">_xlfn.TEXTSPLIT(E668," - ")</f>
        <v>Susu Bubuk</v>
      </c>
      <c r="G668" s="2" t="str">
        <v>Brand A</v>
      </c>
      <c r="H668" s="5">
        <v>45000</v>
      </c>
      <c r="I668" s="2">
        <v>3</v>
      </c>
      <c r="J668" s="2">
        <v>10</v>
      </c>
      <c r="K668" s="8">
        <f t="shared" si="60"/>
        <v>135000</v>
      </c>
      <c r="L668" s="8">
        <f t="shared" si="61"/>
        <v>13500</v>
      </c>
      <c r="M668" s="8">
        <f t="shared" si="62"/>
        <v>121500</v>
      </c>
      <c r="N668" s="5">
        <v>18000</v>
      </c>
      <c r="O668" s="8">
        <f t="shared" si="63"/>
        <v>139500</v>
      </c>
      <c r="P668" s="2" t="s">
        <v>63</v>
      </c>
      <c r="Q668" s="10" t="str">
        <f>VLOOKUP(A668,Status!A:B,2,0)</f>
        <v>Completed</v>
      </c>
      <c r="R668" s="2" t="s">
        <v>36</v>
      </c>
      <c r="S668" s="2">
        <v>1</v>
      </c>
      <c r="T668" s="2" t="s">
        <v>37</v>
      </c>
      <c r="U668" s="10" t="str">
        <f t="shared" si="65"/>
        <v>May</v>
      </c>
      <c r="V668" s="10">
        <f t="shared" si="64"/>
        <v>2025</v>
      </c>
      <c r="W668" cm="1">
        <f t="array" ref="W668">_xlfn.IFS(U668="January",1,U668="February",2,U668="March",3,U668="April",4,U668="May",5,U668="June",6,U668="July",7,U668="August",8,U668="September",9,U668="October",10,U668="November",11,U668="December",12)</f>
        <v>5</v>
      </c>
    </row>
    <row r="669" spans="1:23" ht="15.75" customHeight="1" x14ac:dyDescent="0.25">
      <c r="A669" s="2" t="s">
        <v>1626</v>
      </c>
      <c r="B669" s="3">
        <v>45786.397569444453</v>
      </c>
      <c r="C669" s="2" t="s">
        <v>246</v>
      </c>
      <c r="D669" s="2" t="s">
        <v>238</v>
      </c>
      <c r="E669" s="2" t="s">
        <v>67</v>
      </c>
      <c r="F669" s="2" t="str" cm="1">
        <f t="array" ref="F669:G669">_xlfn.TEXTSPLIT(E669," - ")</f>
        <v>Beras</v>
      </c>
      <c r="G669" s="2" t="str">
        <v>Brand B</v>
      </c>
      <c r="H669" s="5">
        <v>15000</v>
      </c>
      <c r="I669" s="2">
        <v>2</v>
      </c>
      <c r="J669" s="2">
        <v>15</v>
      </c>
      <c r="K669" s="8">
        <f t="shared" si="60"/>
        <v>30000</v>
      </c>
      <c r="L669" s="8">
        <f t="shared" si="61"/>
        <v>4500</v>
      </c>
      <c r="M669" s="8">
        <f t="shared" si="62"/>
        <v>25500</v>
      </c>
      <c r="N669" s="5">
        <v>28000</v>
      </c>
      <c r="O669" s="8">
        <f t="shared" si="63"/>
        <v>53500</v>
      </c>
      <c r="P669" s="2" t="s">
        <v>22</v>
      </c>
      <c r="Q669" s="10" t="str">
        <f>VLOOKUP(A669,Status!A:B,2,0)</f>
        <v>Returned</v>
      </c>
      <c r="R669" s="2" t="s">
        <v>82</v>
      </c>
      <c r="S669" s="2">
        <v>5</v>
      </c>
      <c r="T669" s="2" t="s">
        <v>24</v>
      </c>
      <c r="U669" s="10" t="str">
        <f t="shared" si="65"/>
        <v>May</v>
      </c>
      <c r="V669" s="10">
        <f t="shared" si="64"/>
        <v>2025</v>
      </c>
      <c r="W669" cm="1">
        <f t="array" ref="W669">_xlfn.IFS(U669="January",1,U669="February",2,U669="March",3,U669="April",4,U669="May",5,U669="June",6,U669="July",7,U669="August",8,U669="September",9,U669="October",10,U669="November",11,U669="December",12)</f>
        <v>5</v>
      </c>
    </row>
    <row r="670" spans="1:23" ht="15.75" customHeight="1" x14ac:dyDescent="0.25">
      <c r="A670" s="2" t="s">
        <v>1627</v>
      </c>
      <c r="B670" s="3">
        <v>45786.459502314807</v>
      </c>
      <c r="C670" s="2" t="s">
        <v>269</v>
      </c>
      <c r="D670" s="2" t="s">
        <v>173</v>
      </c>
      <c r="E670" s="2" t="s">
        <v>85</v>
      </c>
      <c r="F670" s="2" t="str" cm="1">
        <f t="array" ref="F670:G670">_xlfn.TEXTSPLIT(E670," - ")</f>
        <v>Daging Ayam</v>
      </c>
      <c r="G670" s="2" t="str">
        <v>Brand A</v>
      </c>
      <c r="H670" s="5">
        <v>35000</v>
      </c>
      <c r="I670" s="2">
        <v>2</v>
      </c>
      <c r="J670" s="2">
        <v>10</v>
      </c>
      <c r="K670" s="8">
        <f t="shared" si="60"/>
        <v>70000</v>
      </c>
      <c r="L670" s="8">
        <f t="shared" si="61"/>
        <v>7000</v>
      </c>
      <c r="M670" s="8">
        <f t="shared" si="62"/>
        <v>63000</v>
      </c>
      <c r="N670" s="5">
        <v>49000</v>
      </c>
      <c r="O670" s="8">
        <f t="shared" si="63"/>
        <v>112000</v>
      </c>
      <c r="P670" s="2" t="s">
        <v>29</v>
      </c>
      <c r="Q670" s="10" t="str">
        <f>VLOOKUP(A670,Status!A:B,2,0)</f>
        <v>Completed</v>
      </c>
      <c r="R670" s="2" t="s">
        <v>82</v>
      </c>
      <c r="S670" s="2">
        <v>2</v>
      </c>
      <c r="T670" s="2" t="s">
        <v>37</v>
      </c>
      <c r="U670" s="10" t="str">
        <f t="shared" si="65"/>
        <v>May</v>
      </c>
      <c r="V670" s="10">
        <f t="shared" si="64"/>
        <v>2025</v>
      </c>
      <c r="W670" cm="1">
        <f t="array" ref="W670">_xlfn.IFS(U670="January",1,U670="February",2,U670="March",3,U670="April",4,U670="May",5,U670="June",6,U670="July",7,U670="August",8,U670="September",9,U670="October",10,U670="November",11,U670="December",12)</f>
        <v>5</v>
      </c>
    </row>
    <row r="671" spans="1:23" ht="15.75" customHeight="1" x14ac:dyDescent="0.25">
      <c r="A671" s="2" t="s">
        <v>1628</v>
      </c>
      <c r="B671" s="3">
        <v>45786.465185185189</v>
      </c>
      <c r="C671" s="2" t="s">
        <v>812</v>
      </c>
      <c r="D671" s="2" t="s">
        <v>33</v>
      </c>
      <c r="E671" s="2" t="s">
        <v>85</v>
      </c>
      <c r="F671" s="2" t="str" cm="1">
        <f t="array" ref="F671:G671">_xlfn.TEXTSPLIT(E671," - ")</f>
        <v>Daging Ayam</v>
      </c>
      <c r="G671" s="2" t="str">
        <v>Brand A</v>
      </c>
      <c r="H671" s="5">
        <v>35000</v>
      </c>
      <c r="I671" s="2">
        <v>5</v>
      </c>
      <c r="J671" s="2">
        <v>20</v>
      </c>
      <c r="K671" s="8">
        <f t="shared" si="60"/>
        <v>175000</v>
      </c>
      <c r="L671" s="8">
        <f t="shared" si="61"/>
        <v>35000</v>
      </c>
      <c r="M671" s="8">
        <f t="shared" si="62"/>
        <v>140000</v>
      </c>
      <c r="N671" s="5">
        <v>76000</v>
      </c>
      <c r="O671" s="8">
        <f t="shared" si="63"/>
        <v>216000</v>
      </c>
      <c r="P671" s="2" t="s">
        <v>35</v>
      </c>
      <c r="Q671" s="10" t="str">
        <f>VLOOKUP(A671,Status!A:B,2,0)</f>
        <v>Completed</v>
      </c>
      <c r="R671" s="2" t="s">
        <v>30</v>
      </c>
      <c r="S671" s="2">
        <v>4</v>
      </c>
      <c r="T671" s="2" t="s">
        <v>24</v>
      </c>
      <c r="U671" s="10" t="str">
        <f t="shared" si="65"/>
        <v>May</v>
      </c>
      <c r="V671" s="10">
        <f t="shared" si="64"/>
        <v>2025</v>
      </c>
      <c r="W671" cm="1">
        <f t="array" ref="W671">_xlfn.IFS(U671="January",1,U671="February",2,U671="March",3,U671="April",4,U671="May",5,U671="June",6,U671="July",7,U671="August",8,U671="September",9,U671="October",10,U671="November",11,U671="December",12)</f>
        <v>5</v>
      </c>
    </row>
    <row r="672" spans="1:23" ht="15.75" customHeight="1" x14ac:dyDescent="0.25">
      <c r="A672" s="2" t="s">
        <v>1629</v>
      </c>
      <c r="B672" s="3">
        <v>45786.621874999997</v>
      </c>
      <c r="C672" s="2" t="s">
        <v>449</v>
      </c>
      <c r="D672" s="2" t="s">
        <v>151</v>
      </c>
      <c r="E672" s="2" t="s">
        <v>45</v>
      </c>
      <c r="F672" s="2" t="str" cm="1">
        <f t="array" ref="F672:G672">_xlfn.TEXTSPLIT(E672," - ")</f>
        <v>Daging Ayam</v>
      </c>
      <c r="G672" s="2" t="str">
        <v>Brand B</v>
      </c>
      <c r="H672" s="5">
        <v>40000</v>
      </c>
      <c r="I672" s="2">
        <v>4</v>
      </c>
      <c r="J672" s="2">
        <v>20</v>
      </c>
      <c r="K672" s="8">
        <f t="shared" si="60"/>
        <v>160000</v>
      </c>
      <c r="L672" s="8">
        <f t="shared" si="61"/>
        <v>32000</v>
      </c>
      <c r="M672" s="8">
        <f t="shared" si="62"/>
        <v>128000</v>
      </c>
      <c r="N672" s="5">
        <v>55000</v>
      </c>
      <c r="O672" s="8">
        <f t="shared" si="63"/>
        <v>183000</v>
      </c>
      <c r="P672" s="2" t="s">
        <v>63</v>
      </c>
      <c r="Q672" s="10" t="str">
        <f>VLOOKUP(A672,Status!A:B,2,0)</f>
        <v>Completed</v>
      </c>
      <c r="R672" s="2" t="s">
        <v>23</v>
      </c>
      <c r="S672" s="2">
        <v>4</v>
      </c>
      <c r="T672" s="2" t="s">
        <v>24</v>
      </c>
      <c r="U672" s="10" t="str">
        <f t="shared" si="65"/>
        <v>May</v>
      </c>
      <c r="V672" s="10">
        <f t="shared" si="64"/>
        <v>2025</v>
      </c>
      <c r="W672" cm="1">
        <f t="array" ref="W672">_xlfn.IFS(U672="January",1,U672="February",2,U672="March",3,U672="April",4,U672="May",5,U672="June",6,U672="July",7,U672="August",8,U672="September",9,U672="October",10,U672="November",11,U672="December",12)</f>
        <v>5</v>
      </c>
    </row>
    <row r="673" spans="1:23" ht="15.75" customHeight="1" x14ac:dyDescent="0.25">
      <c r="A673" s="2" t="s">
        <v>1630</v>
      </c>
      <c r="B673" s="3">
        <v>45786.793541666673</v>
      </c>
      <c r="C673" s="2" t="s">
        <v>784</v>
      </c>
      <c r="D673" s="2" t="s">
        <v>116</v>
      </c>
      <c r="E673" s="2" t="s">
        <v>144</v>
      </c>
      <c r="F673" s="2" t="str" cm="1">
        <f t="array" ref="F673:G673">_xlfn.TEXTSPLIT(E673," - ")</f>
        <v>Gula Pasir</v>
      </c>
      <c r="G673" s="2" t="str">
        <v>Brand C</v>
      </c>
      <c r="H673" s="5">
        <v>18000</v>
      </c>
      <c r="I673" s="2">
        <v>1</v>
      </c>
      <c r="J673" s="2">
        <v>15</v>
      </c>
      <c r="K673" s="8">
        <f t="shared" si="60"/>
        <v>18000</v>
      </c>
      <c r="L673" s="8">
        <f t="shared" si="61"/>
        <v>2700</v>
      </c>
      <c r="M673" s="8">
        <f t="shared" si="62"/>
        <v>15300</v>
      </c>
      <c r="N673" s="5">
        <v>72000</v>
      </c>
      <c r="O673" s="8">
        <f t="shared" si="63"/>
        <v>87300</v>
      </c>
      <c r="P673" s="2" t="s">
        <v>22</v>
      </c>
      <c r="Q673" s="10" t="str">
        <f>VLOOKUP(A673,Status!A:B,2,0)</f>
        <v>Completed</v>
      </c>
      <c r="R673" s="2" t="s">
        <v>30</v>
      </c>
      <c r="S673" s="2">
        <v>4</v>
      </c>
      <c r="T673" s="2" t="s">
        <v>24</v>
      </c>
      <c r="U673" s="10" t="str">
        <f t="shared" si="65"/>
        <v>May</v>
      </c>
      <c r="V673" s="10">
        <f t="shared" si="64"/>
        <v>2025</v>
      </c>
      <c r="W673" cm="1">
        <f t="array" ref="W673">_xlfn.IFS(U673="January",1,U673="February",2,U673="March",3,U673="April",4,U673="May",5,U673="June",6,U673="July",7,U673="August",8,U673="September",9,U673="October",10,U673="November",11,U673="December",12)</f>
        <v>5</v>
      </c>
    </row>
    <row r="674" spans="1:23" ht="15.75" customHeight="1" x14ac:dyDescent="0.25">
      <c r="A674" s="2" t="s">
        <v>1631</v>
      </c>
      <c r="B674" s="3">
        <v>45786.961157407408</v>
      </c>
      <c r="C674" s="2" t="s">
        <v>402</v>
      </c>
      <c r="D674" s="2" t="s">
        <v>163</v>
      </c>
      <c r="E674" s="2" t="s">
        <v>62</v>
      </c>
      <c r="F674" s="2" t="str" cm="1">
        <f t="array" ref="F674:G674">_xlfn.TEXTSPLIT(E674," - ")</f>
        <v>Susu Bubuk</v>
      </c>
      <c r="G674" s="2" t="str">
        <v>Brand B</v>
      </c>
      <c r="H674" s="5">
        <v>50000</v>
      </c>
      <c r="I674" s="2">
        <v>2</v>
      </c>
      <c r="J674" s="2">
        <v>5</v>
      </c>
      <c r="K674" s="8">
        <f t="shared" si="60"/>
        <v>100000</v>
      </c>
      <c r="L674" s="8">
        <f t="shared" si="61"/>
        <v>5000</v>
      </c>
      <c r="M674" s="8">
        <f t="shared" si="62"/>
        <v>95000</v>
      </c>
      <c r="N674" s="5">
        <v>50000</v>
      </c>
      <c r="O674" s="8">
        <f t="shared" si="63"/>
        <v>145000</v>
      </c>
      <c r="P674" s="2" t="s">
        <v>63</v>
      </c>
      <c r="Q674" s="10" t="str">
        <f>VLOOKUP(A674,Status!A:B,2,0)</f>
        <v>Completed</v>
      </c>
      <c r="R674" s="2" t="s">
        <v>30</v>
      </c>
      <c r="S674" s="2">
        <v>5</v>
      </c>
      <c r="T674" s="2" t="s">
        <v>24</v>
      </c>
      <c r="U674" s="10" t="str">
        <f t="shared" si="65"/>
        <v>May</v>
      </c>
      <c r="V674" s="10">
        <f t="shared" si="64"/>
        <v>2025</v>
      </c>
      <c r="W674" cm="1">
        <f t="array" ref="W674">_xlfn.IFS(U674="January",1,U674="February",2,U674="March",3,U674="April",4,U674="May",5,U674="June",6,U674="July",7,U674="August",8,U674="September",9,U674="October",10,U674="November",11,U674="December",12)</f>
        <v>5</v>
      </c>
    </row>
    <row r="675" spans="1:23" ht="15.75" customHeight="1" x14ac:dyDescent="0.25">
      <c r="A675" s="2" t="s">
        <v>1632</v>
      </c>
      <c r="B675" s="3">
        <v>45787.08699074074</v>
      </c>
      <c r="C675" s="2" t="s">
        <v>502</v>
      </c>
      <c r="D675" s="2" t="s">
        <v>107</v>
      </c>
      <c r="E675" s="2" t="s">
        <v>50</v>
      </c>
      <c r="F675" s="2" t="str" cm="1">
        <f t="array" ref="F675:G675">_xlfn.TEXTSPLIT(E675," - ")</f>
        <v>Tepung Terigu</v>
      </c>
      <c r="G675" s="2" t="str">
        <v>Brand C</v>
      </c>
      <c r="H675" s="5">
        <v>14000</v>
      </c>
      <c r="I675" s="2">
        <v>1</v>
      </c>
      <c r="J675" s="2">
        <v>20</v>
      </c>
      <c r="K675" s="8">
        <f t="shared" si="60"/>
        <v>14000</v>
      </c>
      <c r="L675" s="8">
        <f t="shared" si="61"/>
        <v>2800</v>
      </c>
      <c r="M675" s="8">
        <f t="shared" si="62"/>
        <v>11200</v>
      </c>
      <c r="N675" s="5">
        <v>97000</v>
      </c>
      <c r="O675" s="8">
        <f t="shared" si="63"/>
        <v>108200</v>
      </c>
      <c r="P675" s="2" t="s">
        <v>63</v>
      </c>
      <c r="Q675" s="10" t="str">
        <f>VLOOKUP(A675,Status!A:B,2,0)</f>
        <v>Completed</v>
      </c>
      <c r="R675" s="2" t="s">
        <v>36</v>
      </c>
      <c r="S675" s="2">
        <v>4</v>
      </c>
      <c r="T675" s="2" t="s">
        <v>24</v>
      </c>
      <c r="U675" s="10" t="str">
        <f t="shared" si="65"/>
        <v>May</v>
      </c>
      <c r="V675" s="10">
        <f t="shared" si="64"/>
        <v>2025</v>
      </c>
      <c r="W675" cm="1">
        <f t="array" ref="W675">_xlfn.IFS(U675="January",1,U675="February",2,U675="March",3,U675="April",4,U675="May",5,U675="June",6,U675="July",7,U675="August",8,U675="September",9,U675="October",10,U675="November",11,U675="December",12)</f>
        <v>5</v>
      </c>
    </row>
    <row r="676" spans="1:23" ht="15.75" customHeight="1" x14ac:dyDescent="0.25">
      <c r="A676" s="2" t="s">
        <v>1632</v>
      </c>
      <c r="B676" s="3">
        <v>45787.08699074074</v>
      </c>
      <c r="C676" s="2" t="s">
        <v>502</v>
      </c>
      <c r="D676" s="2" t="s">
        <v>107</v>
      </c>
      <c r="E676" s="2" t="s">
        <v>81</v>
      </c>
      <c r="F676" s="2" t="str" cm="1">
        <f t="array" ref="F676:G676">_xlfn.TEXTSPLIT(E676," - ")</f>
        <v>Minyak Goreng</v>
      </c>
      <c r="G676" s="2" t="str">
        <v>Brand B</v>
      </c>
      <c r="H676" s="5">
        <v>17000</v>
      </c>
      <c r="I676" s="2">
        <v>4</v>
      </c>
      <c r="J676" s="2">
        <v>5</v>
      </c>
      <c r="K676" s="8">
        <f t="shared" si="60"/>
        <v>68000</v>
      </c>
      <c r="L676" s="8">
        <f t="shared" si="61"/>
        <v>3400</v>
      </c>
      <c r="M676" s="8">
        <f t="shared" si="62"/>
        <v>64600</v>
      </c>
      <c r="N676" s="5">
        <v>0</v>
      </c>
      <c r="O676" s="8">
        <f t="shared" si="63"/>
        <v>64600</v>
      </c>
      <c r="P676" s="2" t="s">
        <v>63</v>
      </c>
      <c r="Q676" s="10" t="str">
        <f>VLOOKUP(A676,Status!A:B,2,0)</f>
        <v>Completed</v>
      </c>
      <c r="R676" s="2" t="s">
        <v>36</v>
      </c>
      <c r="S676" s="2">
        <v>4</v>
      </c>
      <c r="T676" s="2" t="s">
        <v>24</v>
      </c>
      <c r="U676" s="10" t="str">
        <f t="shared" si="65"/>
        <v>May</v>
      </c>
      <c r="V676" s="10">
        <f t="shared" si="64"/>
        <v>2025</v>
      </c>
      <c r="W676" cm="1">
        <f t="array" ref="W676">_xlfn.IFS(U676="January",1,U676="February",2,U676="March",3,U676="April",4,U676="May",5,U676="June",6,U676="July",7,U676="August",8,U676="September",9,U676="October",10,U676="November",11,U676="December",12)</f>
        <v>5</v>
      </c>
    </row>
    <row r="677" spans="1:23" ht="15.75" customHeight="1" x14ac:dyDescent="0.25">
      <c r="A677" s="2" t="s">
        <v>1633</v>
      </c>
      <c r="B677" s="3">
        <v>45787.290150462963</v>
      </c>
      <c r="C677" s="2" t="s">
        <v>283</v>
      </c>
      <c r="D677" s="2" t="s">
        <v>92</v>
      </c>
      <c r="E677" s="2" t="s">
        <v>81</v>
      </c>
      <c r="F677" s="2" t="str" cm="1">
        <f t="array" ref="F677:G677">_xlfn.TEXTSPLIT(E677," - ")</f>
        <v>Minyak Goreng</v>
      </c>
      <c r="G677" s="2" t="str">
        <v>Brand B</v>
      </c>
      <c r="H677" s="5">
        <v>17000</v>
      </c>
      <c r="I677" s="2">
        <v>5</v>
      </c>
      <c r="J677" s="2">
        <v>5</v>
      </c>
      <c r="K677" s="8">
        <f t="shared" si="60"/>
        <v>85000</v>
      </c>
      <c r="L677" s="8">
        <f t="shared" si="61"/>
        <v>4250</v>
      </c>
      <c r="M677" s="8">
        <f t="shared" si="62"/>
        <v>80750</v>
      </c>
      <c r="N677" s="5">
        <v>30000</v>
      </c>
      <c r="O677" s="8">
        <f t="shared" si="63"/>
        <v>110750</v>
      </c>
      <c r="P677" s="2" t="s">
        <v>29</v>
      </c>
      <c r="Q677" s="10" t="str">
        <f>VLOOKUP(A677,Status!A:B,2,0)</f>
        <v>Returned</v>
      </c>
      <c r="R677" s="2" t="s">
        <v>36</v>
      </c>
      <c r="S677" s="2">
        <v>4</v>
      </c>
      <c r="T677" s="2" t="s">
        <v>24</v>
      </c>
      <c r="U677" s="10" t="str">
        <f t="shared" si="65"/>
        <v>May</v>
      </c>
      <c r="V677" s="10">
        <f t="shared" si="64"/>
        <v>2025</v>
      </c>
      <c r="W677" cm="1">
        <f t="array" ref="W677">_xlfn.IFS(U677="January",1,U677="February",2,U677="March",3,U677="April",4,U677="May",5,U677="June",6,U677="July",7,U677="August",8,U677="September",9,U677="October",10,U677="November",11,U677="December",12)</f>
        <v>5</v>
      </c>
    </row>
    <row r="678" spans="1:23" ht="15.75" customHeight="1" x14ac:dyDescent="0.25">
      <c r="A678" s="2" t="s">
        <v>1634</v>
      </c>
      <c r="B678" s="3">
        <v>45787.356238425928</v>
      </c>
      <c r="C678" s="2" t="s">
        <v>95</v>
      </c>
      <c r="D678" s="2" t="s">
        <v>96</v>
      </c>
      <c r="E678" s="2" t="s">
        <v>88</v>
      </c>
      <c r="F678" s="2" t="str" cm="1">
        <f t="array" ref="F678:G678">_xlfn.TEXTSPLIT(E678," - ")</f>
        <v>Beras</v>
      </c>
      <c r="G678" s="2" t="str">
        <v>Brand A</v>
      </c>
      <c r="H678" s="5">
        <v>14000</v>
      </c>
      <c r="I678" s="2">
        <v>3</v>
      </c>
      <c r="J678" s="2">
        <v>20</v>
      </c>
      <c r="K678" s="8">
        <f t="shared" si="60"/>
        <v>42000</v>
      </c>
      <c r="L678" s="8">
        <f t="shared" si="61"/>
        <v>8400</v>
      </c>
      <c r="M678" s="8">
        <f t="shared" si="62"/>
        <v>33600</v>
      </c>
      <c r="N678" s="5">
        <v>49000</v>
      </c>
      <c r="O678" s="8">
        <f t="shared" si="63"/>
        <v>82600</v>
      </c>
      <c r="P678" s="2" t="s">
        <v>63</v>
      </c>
      <c r="Q678" s="10" t="str">
        <f>VLOOKUP(A678,Status!A:B,2,0)</f>
        <v>Returned</v>
      </c>
      <c r="R678" s="2" t="s">
        <v>36</v>
      </c>
      <c r="S678" s="2">
        <v>3</v>
      </c>
      <c r="T678" s="2" t="s">
        <v>24</v>
      </c>
      <c r="U678" s="10" t="str">
        <f t="shared" si="65"/>
        <v>May</v>
      </c>
      <c r="V678" s="10">
        <f t="shared" si="64"/>
        <v>2025</v>
      </c>
      <c r="W678" cm="1">
        <f t="array" ref="W678">_xlfn.IFS(U678="January",1,U678="February",2,U678="March",3,U678="April",4,U678="May",5,U678="June",6,U678="July",7,U678="August",8,U678="September",9,U678="October",10,U678="November",11,U678="December",12)</f>
        <v>5</v>
      </c>
    </row>
    <row r="679" spans="1:23" ht="15.75" customHeight="1" x14ac:dyDescent="0.25">
      <c r="A679" s="2" t="s">
        <v>1635</v>
      </c>
      <c r="B679" s="3">
        <v>45787.442708333343</v>
      </c>
      <c r="C679" s="2" t="s">
        <v>726</v>
      </c>
      <c r="D679" s="2" t="s">
        <v>53</v>
      </c>
      <c r="E679" s="2" t="s">
        <v>88</v>
      </c>
      <c r="F679" s="2" t="str" cm="1">
        <f t="array" ref="F679:G679">_xlfn.TEXTSPLIT(E679," - ")</f>
        <v>Beras</v>
      </c>
      <c r="G679" s="2" t="str">
        <v>Brand A</v>
      </c>
      <c r="H679" s="5">
        <v>14000</v>
      </c>
      <c r="I679" s="2">
        <v>5</v>
      </c>
      <c r="J679" s="2">
        <v>15</v>
      </c>
      <c r="K679" s="8">
        <f t="shared" si="60"/>
        <v>70000</v>
      </c>
      <c r="L679" s="8">
        <f t="shared" si="61"/>
        <v>10500</v>
      </c>
      <c r="M679" s="8">
        <f t="shared" si="62"/>
        <v>59500</v>
      </c>
      <c r="N679" s="5">
        <v>18000</v>
      </c>
      <c r="O679" s="8">
        <f t="shared" si="63"/>
        <v>77500</v>
      </c>
      <c r="P679" s="2" t="s">
        <v>29</v>
      </c>
      <c r="Q679" s="10" t="str">
        <f>VLOOKUP(A679,Status!A:B,2,0)</f>
        <v>Returned</v>
      </c>
      <c r="R679" s="2" t="s">
        <v>30</v>
      </c>
      <c r="S679" s="2">
        <v>3</v>
      </c>
      <c r="T679" s="2" t="s">
        <v>37</v>
      </c>
      <c r="U679" s="10" t="str">
        <f t="shared" si="65"/>
        <v>May</v>
      </c>
      <c r="V679" s="10">
        <f t="shared" si="64"/>
        <v>2025</v>
      </c>
      <c r="W679" cm="1">
        <f t="array" ref="W679">_xlfn.IFS(U679="January",1,U679="February",2,U679="March",3,U679="April",4,U679="May",5,U679="June",6,U679="July",7,U679="August",8,U679="September",9,U679="October",10,U679="November",11,U679="December",12)</f>
        <v>5</v>
      </c>
    </row>
    <row r="680" spans="1:23" ht="15.75" customHeight="1" x14ac:dyDescent="0.25">
      <c r="A680" s="2" t="s">
        <v>1636</v>
      </c>
      <c r="B680" s="3">
        <v>45787.513912037037</v>
      </c>
      <c r="C680" s="2" t="s">
        <v>1139</v>
      </c>
      <c r="D680" s="2" t="s">
        <v>53</v>
      </c>
      <c r="E680" s="2" t="s">
        <v>62</v>
      </c>
      <c r="F680" s="2" t="str" cm="1">
        <f t="array" ref="F680:G680">_xlfn.TEXTSPLIT(E680," - ")</f>
        <v>Susu Bubuk</v>
      </c>
      <c r="G680" s="2" t="str">
        <v>Brand B</v>
      </c>
      <c r="H680" s="5">
        <v>50000</v>
      </c>
      <c r="I680" s="2">
        <v>1</v>
      </c>
      <c r="J680" s="2">
        <v>20</v>
      </c>
      <c r="K680" s="8">
        <f t="shared" si="60"/>
        <v>50000</v>
      </c>
      <c r="L680" s="8">
        <f t="shared" si="61"/>
        <v>10000</v>
      </c>
      <c r="M680" s="8">
        <f t="shared" si="62"/>
        <v>40000</v>
      </c>
      <c r="N680" s="5">
        <v>18000</v>
      </c>
      <c r="O680" s="8">
        <f t="shared" si="63"/>
        <v>58000</v>
      </c>
      <c r="P680" s="2" t="s">
        <v>29</v>
      </c>
      <c r="Q680" s="10" t="str">
        <f>VLOOKUP(A680,Status!A:B,2,0)</f>
        <v>Completed</v>
      </c>
      <c r="R680" s="2" t="s">
        <v>30</v>
      </c>
      <c r="S680" s="2">
        <v>3</v>
      </c>
      <c r="T680" s="2" t="s">
        <v>37</v>
      </c>
      <c r="U680" s="10" t="str">
        <f t="shared" si="65"/>
        <v>May</v>
      </c>
      <c r="V680" s="10">
        <f t="shared" si="64"/>
        <v>2025</v>
      </c>
      <c r="W680" cm="1">
        <f t="array" ref="W680">_xlfn.IFS(U680="January",1,U680="February",2,U680="March",3,U680="April",4,U680="May",5,U680="June",6,U680="July",7,U680="August",8,U680="September",9,U680="October",10,U680="November",11,U680="December",12)</f>
        <v>5</v>
      </c>
    </row>
    <row r="681" spans="1:23" ht="15.75" customHeight="1" x14ac:dyDescent="0.25">
      <c r="A681" s="2" t="s">
        <v>1637</v>
      </c>
      <c r="B681" s="3">
        <v>45787.592395833337</v>
      </c>
      <c r="C681" s="2" t="s">
        <v>1396</v>
      </c>
      <c r="D681" s="2" t="s">
        <v>435</v>
      </c>
      <c r="E681" s="2" t="s">
        <v>41</v>
      </c>
      <c r="F681" s="2" t="str" cm="1">
        <f t="array" ref="F681:G681">_xlfn.TEXTSPLIT(E681," - ")</f>
        <v>Garam</v>
      </c>
      <c r="G681" s="2" t="str">
        <v>Brand A</v>
      </c>
      <c r="H681" s="5">
        <v>4000</v>
      </c>
      <c r="I681" s="2">
        <v>4</v>
      </c>
      <c r="J681" s="2">
        <v>5</v>
      </c>
      <c r="K681" s="8">
        <f t="shared" si="60"/>
        <v>16000</v>
      </c>
      <c r="L681" s="8">
        <f t="shared" si="61"/>
        <v>800</v>
      </c>
      <c r="M681" s="8">
        <f t="shared" si="62"/>
        <v>15200</v>
      </c>
      <c r="N681" s="5">
        <v>67000</v>
      </c>
      <c r="O681" s="8">
        <f t="shared" si="63"/>
        <v>82200</v>
      </c>
      <c r="P681" s="2" t="s">
        <v>29</v>
      </c>
      <c r="Q681" s="10" t="str">
        <f>VLOOKUP(A681,Status!A:B,2,0)</f>
        <v>Completed</v>
      </c>
      <c r="R681" s="2" t="s">
        <v>82</v>
      </c>
      <c r="S681" s="2">
        <v>3</v>
      </c>
      <c r="T681" s="2" t="s">
        <v>24</v>
      </c>
      <c r="U681" s="10" t="str">
        <f t="shared" si="65"/>
        <v>May</v>
      </c>
      <c r="V681" s="10">
        <f t="shared" si="64"/>
        <v>2025</v>
      </c>
      <c r="W681" cm="1">
        <f t="array" ref="W681">_xlfn.IFS(U681="January",1,U681="February",2,U681="March",3,U681="April",4,U681="May",5,U681="June",6,U681="July",7,U681="August",8,U681="September",9,U681="October",10,U681="November",11,U681="December",12)</f>
        <v>5</v>
      </c>
    </row>
    <row r="682" spans="1:23" ht="15.75" customHeight="1" x14ac:dyDescent="0.25">
      <c r="A682" s="2" t="s">
        <v>1638</v>
      </c>
      <c r="B682" s="3">
        <v>45787.920972222222</v>
      </c>
      <c r="C682" s="2" t="s">
        <v>52</v>
      </c>
      <c r="D682" s="2" t="s">
        <v>53</v>
      </c>
      <c r="E682" s="2" t="s">
        <v>34</v>
      </c>
      <c r="F682" s="2" t="str" cm="1">
        <f t="array" ref="F682:G682">_xlfn.TEXTSPLIT(E682," - ")</f>
        <v>Minyak Goreng</v>
      </c>
      <c r="G682" s="2" t="str">
        <v>Brand A</v>
      </c>
      <c r="H682" s="5">
        <v>16000</v>
      </c>
      <c r="I682" s="2">
        <v>4</v>
      </c>
      <c r="J682" s="2">
        <v>0</v>
      </c>
      <c r="K682" s="8">
        <f t="shared" si="60"/>
        <v>64000</v>
      </c>
      <c r="L682" s="8">
        <f t="shared" si="61"/>
        <v>0</v>
      </c>
      <c r="M682" s="8">
        <f t="shared" si="62"/>
        <v>64000</v>
      </c>
      <c r="N682" s="5">
        <v>18000</v>
      </c>
      <c r="O682" s="8">
        <f t="shared" si="63"/>
        <v>82000</v>
      </c>
      <c r="P682" s="2" t="s">
        <v>29</v>
      </c>
      <c r="Q682" s="10" t="str">
        <f>VLOOKUP(A682,Status!A:B,2,0)</f>
        <v>Completed</v>
      </c>
      <c r="R682" s="2" t="s">
        <v>23</v>
      </c>
      <c r="S682" s="2">
        <v>3</v>
      </c>
      <c r="T682" s="2" t="s">
        <v>24</v>
      </c>
      <c r="U682" s="10" t="str">
        <f t="shared" si="65"/>
        <v>May</v>
      </c>
      <c r="V682" s="10">
        <f t="shared" si="64"/>
        <v>2025</v>
      </c>
      <c r="W682" cm="1">
        <f t="array" ref="W682">_xlfn.IFS(U682="January",1,U682="February",2,U682="March",3,U682="April",4,U682="May",5,U682="June",6,U682="July",7,U682="August",8,U682="September",9,U682="October",10,U682="November",11,U682="December",12)</f>
        <v>5</v>
      </c>
    </row>
    <row r="683" spans="1:23" ht="15.75" customHeight="1" x14ac:dyDescent="0.25">
      <c r="A683" s="2" t="s">
        <v>1639</v>
      </c>
      <c r="B683" s="3">
        <v>45787.959178240737</v>
      </c>
      <c r="C683" s="2" t="s">
        <v>1321</v>
      </c>
      <c r="D683" s="2" t="s">
        <v>113</v>
      </c>
      <c r="E683" s="2" t="s">
        <v>85</v>
      </c>
      <c r="F683" s="2" t="str" cm="1">
        <f t="array" ref="F683:G683">_xlfn.TEXTSPLIT(E683," - ")</f>
        <v>Daging Ayam</v>
      </c>
      <c r="G683" s="2" t="str">
        <v>Brand A</v>
      </c>
      <c r="H683" s="5">
        <v>35000</v>
      </c>
      <c r="I683" s="2">
        <v>2</v>
      </c>
      <c r="J683" s="2">
        <v>20</v>
      </c>
      <c r="K683" s="8">
        <f t="shared" si="60"/>
        <v>70000</v>
      </c>
      <c r="L683" s="8">
        <f t="shared" si="61"/>
        <v>14000</v>
      </c>
      <c r="M683" s="8">
        <f t="shared" si="62"/>
        <v>56000</v>
      </c>
      <c r="N683" s="5">
        <v>18000</v>
      </c>
      <c r="O683" s="8">
        <f t="shared" si="63"/>
        <v>74000</v>
      </c>
      <c r="P683" s="2" t="s">
        <v>63</v>
      </c>
      <c r="Q683" s="10" t="str">
        <f>VLOOKUP(A683,Status!A:B,2,0)</f>
        <v>Completed</v>
      </c>
      <c r="R683" s="2" t="s">
        <v>46</v>
      </c>
      <c r="S683" s="2">
        <v>1</v>
      </c>
      <c r="T683" s="2" t="s">
        <v>24</v>
      </c>
      <c r="U683" s="10" t="str">
        <f t="shared" si="65"/>
        <v>May</v>
      </c>
      <c r="V683" s="10">
        <f t="shared" si="64"/>
        <v>2025</v>
      </c>
      <c r="W683" cm="1">
        <f t="array" ref="W683">_xlfn.IFS(U683="January",1,U683="February",2,U683="March",3,U683="April",4,U683="May",5,U683="June",6,U683="July",7,U683="August",8,U683="September",9,U683="October",10,U683="November",11,U683="December",12)</f>
        <v>5</v>
      </c>
    </row>
    <row r="684" spans="1:23" ht="15.75" customHeight="1" x14ac:dyDescent="0.25">
      <c r="A684" s="2" t="s">
        <v>1640</v>
      </c>
      <c r="B684" s="3">
        <v>45788.053587962961</v>
      </c>
      <c r="C684" s="2" t="s">
        <v>1321</v>
      </c>
      <c r="D684" s="2" t="s">
        <v>113</v>
      </c>
      <c r="E684" s="2" t="s">
        <v>67</v>
      </c>
      <c r="F684" s="2" t="str" cm="1">
        <f t="array" ref="F684:G684">_xlfn.TEXTSPLIT(E684," - ")</f>
        <v>Beras</v>
      </c>
      <c r="G684" s="2" t="str">
        <v>Brand B</v>
      </c>
      <c r="H684" s="5">
        <v>15000</v>
      </c>
      <c r="I684" s="2">
        <v>5</v>
      </c>
      <c r="J684" s="2">
        <v>20</v>
      </c>
      <c r="K684" s="8">
        <f t="shared" si="60"/>
        <v>75000</v>
      </c>
      <c r="L684" s="8">
        <f t="shared" si="61"/>
        <v>15000</v>
      </c>
      <c r="M684" s="8">
        <f t="shared" si="62"/>
        <v>60000</v>
      </c>
      <c r="N684" s="5">
        <v>18000</v>
      </c>
      <c r="O684" s="8">
        <f t="shared" si="63"/>
        <v>78000</v>
      </c>
      <c r="P684" s="2" t="s">
        <v>22</v>
      </c>
      <c r="Q684" s="10" t="str">
        <f>VLOOKUP(A684,Status!A:B,2,0)</f>
        <v>Completed</v>
      </c>
      <c r="R684" s="2" t="s">
        <v>46</v>
      </c>
      <c r="S684" s="2">
        <v>1</v>
      </c>
      <c r="T684" s="2" t="s">
        <v>24</v>
      </c>
      <c r="U684" s="10" t="str">
        <f t="shared" si="65"/>
        <v>May</v>
      </c>
      <c r="V684" s="10">
        <f t="shared" si="64"/>
        <v>2025</v>
      </c>
      <c r="W684" cm="1">
        <f t="array" ref="W684">_xlfn.IFS(U684="January",1,U684="February",2,U684="March",3,U684="April",4,U684="May",5,U684="June",6,U684="July",7,U684="August",8,U684="September",9,U684="October",10,U684="November",11,U684="December",12)</f>
        <v>5</v>
      </c>
    </row>
    <row r="685" spans="1:23" ht="15.75" customHeight="1" x14ac:dyDescent="0.25">
      <c r="A685" s="2" t="s">
        <v>1641</v>
      </c>
      <c r="B685" s="3">
        <v>45788.124224537038</v>
      </c>
      <c r="C685" s="2" t="s">
        <v>1336</v>
      </c>
      <c r="D685" s="2" t="s">
        <v>96</v>
      </c>
      <c r="E685" s="2" t="s">
        <v>93</v>
      </c>
      <c r="F685" s="2" t="str" cm="1">
        <f t="array" ref="F685:G685">_xlfn.TEXTSPLIT(E685," - ")</f>
        <v>Telur Ayam</v>
      </c>
      <c r="G685" s="2" t="str">
        <v>Brand B</v>
      </c>
      <c r="H685" s="5">
        <v>25000</v>
      </c>
      <c r="I685" s="2">
        <v>4</v>
      </c>
      <c r="J685" s="2">
        <v>20</v>
      </c>
      <c r="K685" s="8">
        <f t="shared" si="60"/>
        <v>100000</v>
      </c>
      <c r="L685" s="8">
        <f t="shared" si="61"/>
        <v>20000</v>
      </c>
      <c r="M685" s="8">
        <f t="shared" si="62"/>
        <v>80000</v>
      </c>
      <c r="N685" s="5">
        <v>49000</v>
      </c>
      <c r="O685" s="8">
        <f t="shared" si="63"/>
        <v>129000</v>
      </c>
      <c r="P685" s="2" t="s">
        <v>35</v>
      </c>
      <c r="Q685" s="10" t="str">
        <f>VLOOKUP(A685,Status!A:B,2,0)</f>
        <v>Completed</v>
      </c>
      <c r="R685" s="2" t="s">
        <v>36</v>
      </c>
      <c r="S685" s="2">
        <v>1</v>
      </c>
      <c r="T685" s="2" t="s">
        <v>37</v>
      </c>
      <c r="U685" s="10" t="str">
        <f t="shared" si="65"/>
        <v>May</v>
      </c>
      <c r="V685" s="10">
        <f t="shared" si="64"/>
        <v>2025</v>
      </c>
      <c r="W685" cm="1">
        <f t="array" ref="W685">_xlfn.IFS(U685="January",1,U685="February",2,U685="March",3,U685="April",4,U685="May",5,U685="June",6,U685="July",7,U685="August",8,U685="September",9,U685="October",10,U685="November",11,U685="December",12)</f>
        <v>5</v>
      </c>
    </row>
    <row r="686" spans="1:23" ht="15.75" customHeight="1" x14ac:dyDescent="0.25">
      <c r="A686" s="2" t="s">
        <v>1642</v>
      </c>
      <c r="B686" s="3">
        <v>45788.335069444453</v>
      </c>
      <c r="C686" s="2" t="s">
        <v>261</v>
      </c>
      <c r="D686" s="2" t="s">
        <v>262</v>
      </c>
      <c r="E686" s="2" t="s">
        <v>81</v>
      </c>
      <c r="F686" s="2" t="str" cm="1">
        <f t="array" ref="F686:G686">_xlfn.TEXTSPLIT(E686," - ")</f>
        <v>Minyak Goreng</v>
      </c>
      <c r="G686" s="2" t="str">
        <v>Brand B</v>
      </c>
      <c r="H686" s="5">
        <v>17000</v>
      </c>
      <c r="I686" s="2">
        <v>3</v>
      </c>
      <c r="J686" s="2">
        <v>15</v>
      </c>
      <c r="K686" s="8">
        <f t="shared" si="60"/>
        <v>51000</v>
      </c>
      <c r="L686" s="8">
        <f t="shared" si="61"/>
        <v>7650</v>
      </c>
      <c r="M686" s="8">
        <f t="shared" si="62"/>
        <v>43350</v>
      </c>
      <c r="N686" s="5">
        <v>18000</v>
      </c>
      <c r="O686" s="8">
        <f t="shared" si="63"/>
        <v>61350</v>
      </c>
      <c r="P686" s="2" t="s">
        <v>35</v>
      </c>
      <c r="Q686" s="10" t="str">
        <f>VLOOKUP(A686,Status!A:B,2,0)</f>
        <v>Returned</v>
      </c>
      <c r="R686" s="2" t="s">
        <v>23</v>
      </c>
      <c r="S686" s="2">
        <v>5</v>
      </c>
      <c r="T686" s="2" t="s">
        <v>24</v>
      </c>
      <c r="U686" s="10" t="str">
        <f t="shared" si="65"/>
        <v>May</v>
      </c>
      <c r="V686" s="10">
        <f t="shared" si="64"/>
        <v>2025</v>
      </c>
      <c r="W686" cm="1">
        <f t="array" ref="W686">_xlfn.IFS(U686="January",1,U686="February",2,U686="March",3,U686="April",4,U686="May",5,U686="June",6,U686="July",7,U686="August",8,U686="September",9,U686="October",10,U686="November",11,U686="December",12)</f>
        <v>5</v>
      </c>
    </row>
    <row r="687" spans="1:23" ht="15.75" customHeight="1" x14ac:dyDescent="0.25">
      <c r="A687" s="2" t="s">
        <v>1642</v>
      </c>
      <c r="B687" s="3">
        <v>45788.335069444453</v>
      </c>
      <c r="C687" s="2" t="s">
        <v>261</v>
      </c>
      <c r="D687" s="2" t="s">
        <v>262</v>
      </c>
      <c r="E687" s="2" t="s">
        <v>186</v>
      </c>
      <c r="F687" s="2" t="str" cm="1">
        <f t="array" ref="F687:G687">_xlfn.TEXTSPLIT(E687," - ")</f>
        <v>Susu Bubuk</v>
      </c>
      <c r="G687" s="2" t="str">
        <v>Brand A</v>
      </c>
      <c r="H687" s="5">
        <v>45000</v>
      </c>
      <c r="I687" s="2">
        <v>3</v>
      </c>
      <c r="J687" s="2">
        <v>10</v>
      </c>
      <c r="K687" s="8">
        <f t="shared" si="60"/>
        <v>135000</v>
      </c>
      <c r="L687" s="8">
        <f t="shared" si="61"/>
        <v>13500</v>
      </c>
      <c r="M687" s="8">
        <f t="shared" si="62"/>
        <v>121500</v>
      </c>
      <c r="N687" s="5">
        <v>0</v>
      </c>
      <c r="O687" s="8">
        <f t="shared" si="63"/>
        <v>121500</v>
      </c>
      <c r="P687" s="2" t="s">
        <v>35</v>
      </c>
      <c r="Q687" s="10" t="str">
        <f>VLOOKUP(A687,Status!A:B,2,0)</f>
        <v>Returned</v>
      </c>
      <c r="R687" s="2" t="s">
        <v>23</v>
      </c>
      <c r="S687" s="2">
        <v>5</v>
      </c>
      <c r="T687" s="2" t="s">
        <v>24</v>
      </c>
      <c r="U687" s="10" t="str">
        <f t="shared" si="65"/>
        <v>May</v>
      </c>
      <c r="V687" s="10">
        <f t="shared" si="64"/>
        <v>2025</v>
      </c>
      <c r="W687" cm="1">
        <f t="array" ref="W687">_xlfn.IFS(U687="January",1,U687="February",2,U687="March",3,U687="April",4,U687="May",5,U687="June",6,U687="July",7,U687="August",8,U687="September",9,U687="October",10,U687="November",11,U687="December",12)</f>
        <v>5</v>
      </c>
    </row>
    <row r="688" spans="1:23" ht="15.75" customHeight="1" x14ac:dyDescent="0.25">
      <c r="A688" s="2" t="s">
        <v>1643</v>
      </c>
      <c r="B688" s="3">
        <v>45788.349826388891</v>
      </c>
      <c r="C688" s="2" t="s">
        <v>326</v>
      </c>
      <c r="D688" s="2" t="s">
        <v>262</v>
      </c>
      <c r="E688" s="2" t="s">
        <v>62</v>
      </c>
      <c r="F688" s="2" t="str" cm="1">
        <f t="array" ref="F688:G688">_xlfn.TEXTSPLIT(E688," - ")</f>
        <v>Susu Bubuk</v>
      </c>
      <c r="G688" s="2" t="str">
        <v>Brand B</v>
      </c>
      <c r="H688" s="5">
        <v>50000</v>
      </c>
      <c r="I688" s="2">
        <v>4</v>
      </c>
      <c r="J688" s="2">
        <v>10</v>
      </c>
      <c r="K688" s="8">
        <f t="shared" si="60"/>
        <v>200000</v>
      </c>
      <c r="L688" s="8">
        <f t="shared" si="61"/>
        <v>20000</v>
      </c>
      <c r="M688" s="8">
        <f t="shared" si="62"/>
        <v>180000</v>
      </c>
      <c r="N688" s="5">
        <v>18000</v>
      </c>
      <c r="O688" s="8">
        <f t="shared" si="63"/>
        <v>198000</v>
      </c>
      <c r="P688" s="2" t="s">
        <v>22</v>
      </c>
      <c r="Q688" s="10" t="str">
        <f>VLOOKUP(A688,Status!A:B,2,0)</f>
        <v>Completed</v>
      </c>
      <c r="R688" s="2" t="s">
        <v>46</v>
      </c>
      <c r="S688" s="2">
        <v>1</v>
      </c>
      <c r="T688" s="2" t="s">
        <v>37</v>
      </c>
      <c r="U688" s="10" t="str">
        <f t="shared" si="65"/>
        <v>May</v>
      </c>
      <c r="V688" s="10">
        <f t="shared" si="64"/>
        <v>2025</v>
      </c>
      <c r="W688" cm="1">
        <f t="array" ref="W688">_xlfn.IFS(U688="January",1,U688="February",2,U688="March",3,U688="April",4,U688="May",5,U688="June",6,U688="July",7,U688="August",8,U688="September",9,U688="October",10,U688="November",11,U688="December",12)</f>
        <v>5</v>
      </c>
    </row>
    <row r="689" spans="1:23" ht="15.75" customHeight="1" x14ac:dyDescent="0.25">
      <c r="A689" s="2" t="s">
        <v>1644</v>
      </c>
      <c r="B689" s="3">
        <v>45788.352199074077</v>
      </c>
      <c r="C689" s="2" t="s">
        <v>235</v>
      </c>
      <c r="D689" s="2" t="s">
        <v>189</v>
      </c>
      <c r="E689" s="2" t="s">
        <v>81</v>
      </c>
      <c r="F689" s="2" t="str" cm="1">
        <f t="array" ref="F689:G689">_xlfn.TEXTSPLIT(E689," - ")</f>
        <v>Minyak Goreng</v>
      </c>
      <c r="G689" s="2" t="str">
        <v>Brand B</v>
      </c>
      <c r="H689" s="5">
        <v>17000</v>
      </c>
      <c r="I689" s="2">
        <v>4</v>
      </c>
      <c r="J689" s="2">
        <v>15</v>
      </c>
      <c r="K689" s="8">
        <f t="shared" si="60"/>
        <v>68000</v>
      </c>
      <c r="L689" s="8">
        <f t="shared" si="61"/>
        <v>10200</v>
      </c>
      <c r="M689" s="8">
        <f t="shared" si="62"/>
        <v>57800</v>
      </c>
      <c r="N689" s="5">
        <v>57000</v>
      </c>
      <c r="O689" s="8">
        <f t="shared" si="63"/>
        <v>114800</v>
      </c>
      <c r="P689" s="2" t="s">
        <v>22</v>
      </c>
      <c r="Q689" s="10" t="str">
        <f>VLOOKUP(A689,Status!A:B,2,0)</f>
        <v>Completed</v>
      </c>
      <c r="R689" s="2" t="s">
        <v>30</v>
      </c>
      <c r="S689" s="2">
        <v>4</v>
      </c>
      <c r="T689" s="2" t="s">
        <v>37</v>
      </c>
      <c r="U689" s="10" t="str">
        <f t="shared" si="65"/>
        <v>May</v>
      </c>
      <c r="V689" s="10">
        <f t="shared" si="64"/>
        <v>2025</v>
      </c>
      <c r="W689" cm="1">
        <f t="array" ref="W689">_xlfn.IFS(U689="January",1,U689="February",2,U689="March",3,U689="April",4,U689="May",5,U689="June",6,U689="July",7,U689="August",8,U689="September",9,U689="October",10,U689="November",11,U689="December",12)</f>
        <v>5</v>
      </c>
    </row>
    <row r="690" spans="1:23" ht="15.75" customHeight="1" x14ac:dyDescent="0.25">
      <c r="A690" s="2" t="s">
        <v>1645</v>
      </c>
      <c r="B690" s="3">
        <v>45789.496990740743</v>
      </c>
      <c r="C690" s="2" t="s">
        <v>1022</v>
      </c>
      <c r="D690" s="2" t="s">
        <v>177</v>
      </c>
      <c r="E690" s="2" t="s">
        <v>58</v>
      </c>
      <c r="F690" s="2" t="str" cm="1">
        <f t="array" ref="F690:G690">_xlfn.TEXTSPLIT(E690," - ")</f>
        <v>Gula Pasir</v>
      </c>
      <c r="G690" s="2" t="str">
        <v>Brand A</v>
      </c>
      <c r="H690" s="5">
        <v>16000</v>
      </c>
      <c r="I690" s="2">
        <v>2</v>
      </c>
      <c r="J690" s="2">
        <v>20</v>
      </c>
      <c r="K690" s="8">
        <f t="shared" si="60"/>
        <v>32000</v>
      </c>
      <c r="L690" s="8">
        <f t="shared" si="61"/>
        <v>6400</v>
      </c>
      <c r="M690" s="8">
        <f t="shared" si="62"/>
        <v>25600</v>
      </c>
      <c r="N690" s="5">
        <v>56000</v>
      </c>
      <c r="O690" s="8">
        <f t="shared" si="63"/>
        <v>81600</v>
      </c>
      <c r="P690" s="2" t="s">
        <v>22</v>
      </c>
      <c r="Q690" s="10" t="str">
        <f>VLOOKUP(A690,Status!A:B,2,0)</f>
        <v>Completed</v>
      </c>
      <c r="R690" s="2" t="s">
        <v>36</v>
      </c>
      <c r="S690" s="2">
        <v>4</v>
      </c>
      <c r="T690" s="2" t="s">
        <v>24</v>
      </c>
      <c r="U690" s="10" t="str">
        <f t="shared" si="65"/>
        <v>May</v>
      </c>
      <c r="V690" s="10">
        <f t="shared" si="64"/>
        <v>2025</v>
      </c>
      <c r="W690" cm="1">
        <f t="array" ref="W690">_xlfn.IFS(U690="January",1,U690="February",2,U690="March",3,U690="April",4,U690="May",5,U690="June",6,U690="July",7,U690="August",8,U690="September",9,U690="October",10,U690="November",11,U690="December",12)</f>
        <v>5</v>
      </c>
    </row>
    <row r="691" spans="1:23" ht="15.75" customHeight="1" x14ac:dyDescent="0.25">
      <c r="A691" s="2" t="s">
        <v>1646</v>
      </c>
      <c r="B691" s="3">
        <v>45789.524062500001</v>
      </c>
      <c r="C691" s="2" t="s">
        <v>87</v>
      </c>
      <c r="D691" s="2" t="s">
        <v>80</v>
      </c>
      <c r="E691" s="2" t="s">
        <v>62</v>
      </c>
      <c r="F691" s="2" t="str" cm="1">
        <f t="array" ref="F691:G691">_xlfn.TEXTSPLIT(E691," - ")</f>
        <v>Susu Bubuk</v>
      </c>
      <c r="G691" s="2" t="str">
        <v>Brand B</v>
      </c>
      <c r="H691" s="5">
        <v>50000</v>
      </c>
      <c r="I691" s="2">
        <v>2</v>
      </c>
      <c r="J691" s="2">
        <v>15</v>
      </c>
      <c r="K691" s="8">
        <f t="shared" si="60"/>
        <v>100000</v>
      </c>
      <c r="L691" s="8">
        <f t="shared" si="61"/>
        <v>15000</v>
      </c>
      <c r="M691" s="8">
        <f t="shared" si="62"/>
        <v>85000</v>
      </c>
      <c r="N691" s="5">
        <v>74000</v>
      </c>
      <c r="O691" s="8">
        <f t="shared" si="63"/>
        <v>159000</v>
      </c>
      <c r="P691" s="2" t="s">
        <v>63</v>
      </c>
      <c r="Q691" s="10" t="str">
        <f>VLOOKUP(A691,Status!A:B,2,0)</f>
        <v>Returned</v>
      </c>
      <c r="R691" s="2" t="s">
        <v>23</v>
      </c>
      <c r="S691" s="2">
        <v>2</v>
      </c>
      <c r="T691" s="2" t="s">
        <v>24</v>
      </c>
      <c r="U691" s="10" t="str">
        <f t="shared" si="65"/>
        <v>May</v>
      </c>
      <c r="V691" s="10">
        <f t="shared" si="64"/>
        <v>2025</v>
      </c>
      <c r="W691" cm="1">
        <f t="array" ref="W691">_xlfn.IFS(U691="January",1,U691="February",2,U691="March",3,U691="April",4,U691="May",5,U691="June",6,U691="July",7,U691="August",8,U691="September",9,U691="October",10,U691="November",11,U691="December",12)</f>
        <v>5</v>
      </c>
    </row>
    <row r="692" spans="1:23" ht="15.75" customHeight="1" x14ac:dyDescent="0.25">
      <c r="A692" s="2" t="s">
        <v>1647</v>
      </c>
      <c r="B692" s="3">
        <v>45789.529050925928</v>
      </c>
      <c r="C692" s="2" t="s">
        <v>150</v>
      </c>
      <c r="D692" s="2" t="s">
        <v>151</v>
      </c>
      <c r="E692" s="2" t="s">
        <v>28</v>
      </c>
      <c r="F692" s="2" t="str" cm="1">
        <f t="array" ref="F692:G692">_xlfn.TEXTSPLIT(E692," - ")</f>
        <v>Garam</v>
      </c>
      <c r="G692" s="2" t="str">
        <v>Brand B</v>
      </c>
      <c r="H692" s="5">
        <v>5000</v>
      </c>
      <c r="I692" s="2">
        <v>2</v>
      </c>
      <c r="J692" s="2">
        <v>20</v>
      </c>
      <c r="K692" s="8">
        <f t="shared" si="60"/>
        <v>10000</v>
      </c>
      <c r="L692" s="8">
        <f t="shared" si="61"/>
        <v>2000</v>
      </c>
      <c r="M692" s="8">
        <f t="shared" si="62"/>
        <v>8000</v>
      </c>
      <c r="N692" s="5">
        <v>55000</v>
      </c>
      <c r="O692" s="8">
        <f t="shared" si="63"/>
        <v>63000</v>
      </c>
      <c r="P692" s="2" t="s">
        <v>22</v>
      </c>
      <c r="Q692" s="10" t="str">
        <f>VLOOKUP(A692,Status!A:B,2,0)</f>
        <v>Returned</v>
      </c>
      <c r="R692" s="2" t="s">
        <v>82</v>
      </c>
      <c r="S692" s="2">
        <v>5</v>
      </c>
      <c r="T692" s="2" t="s">
        <v>37</v>
      </c>
      <c r="U692" s="10" t="str">
        <f t="shared" si="65"/>
        <v>May</v>
      </c>
      <c r="V692" s="10">
        <f t="shared" si="64"/>
        <v>2025</v>
      </c>
      <c r="W692" cm="1">
        <f t="array" ref="W692">_xlfn.IFS(U692="January",1,U692="February",2,U692="March",3,U692="April",4,U692="May",5,U692="June",6,U692="July",7,U692="August",8,U692="September",9,U692="October",10,U692="November",11,U692="December",12)</f>
        <v>5</v>
      </c>
    </row>
    <row r="693" spans="1:23" ht="15.75" customHeight="1" x14ac:dyDescent="0.25">
      <c r="A693" s="2" t="s">
        <v>1648</v>
      </c>
      <c r="B693" s="3">
        <v>45789.548402777778</v>
      </c>
      <c r="C693" s="2" t="s">
        <v>271</v>
      </c>
      <c r="D693" s="2" t="s">
        <v>49</v>
      </c>
      <c r="E693" s="2" t="s">
        <v>38</v>
      </c>
      <c r="F693" s="2" t="str" cm="1">
        <f t="array" ref="F693:G693">_xlfn.TEXTSPLIT(E693," - ")</f>
        <v>Telur Ayam</v>
      </c>
      <c r="G693" s="2" t="str">
        <v>Brand C</v>
      </c>
      <c r="H693" s="5">
        <v>28000</v>
      </c>
      <c r="I693" s="2">
        <v>4</v>
      </c>
      <c r="J693" s="2">
        <v>0</v>
      </c>
      <c r="K693" s="8">
        <f t="shared" si="60"/>
        <v>112000</v>
      </c>
      <c r="L693" s="8">
        <f t="shared" si="61"/>
        <v>0</v>
      </c>
      <c r="M693" s="8">
        <f t="shared" si="62"/>
        <v>112000</v>
      </c>
      <c r="N693" s="5">
        <v>43000</v>
      </c>
      <c r="O693" s="8">
        <f t="shared" si="63"/>
        <v>155000</v>
      </c>
      <c r="P693" s="2" t="s">
        <v>29</v>
      </c>
      <c r="Q693" s="10" t="str">
        <f>VLOOKUP(A693,Status!A:B,2,0)</f>
        <v>Returned</v>
      </c>
      <c r="R693" s="2" t="s">
        <v>46</v>
      </c>
      <c r="S693" s="2">
        <v>4</v>
      </c>
      <c r="T693" s="2" t="s">
        <v>24</v>
      </c>
      <c r="U693" s="10" t="str">
        <f t="shared" si="65"/>
        <v>May</v>
      </c>
      <c r="V693" s="10">
        <f t="shared" si="64"/>
        <v>2025</v>
      </c>
      <c r="W693" cm="1">
        <f t="array" ref="W693">_xlfn.IFS(U693="January",1,U693="February",2,U693="March",3,U693="April",4,U693="May",5,U693="June",6,U693="July",7,U693="August",8,U693="September",9,U693="October",10,U693="November",11,U693="December",12)</f>
        <v>5</v>
      </c>
    </row>
    <row r="694" spans="1:23" ht="15.75" customHeight="1" x14ac:dyDescent="0.25">
      <c r="A694" s="2" t="s">
        <v>1649</v>
      </c>
      <c r="B694" s="3">
        <v>45789.681458333333</v>
      </c>
      <c r="C694" s="2" t="s">
        <v>410</v>
      </c>
      <c r="D694" s="2" t="s">
        <v>151</v>
      </c>
      <c r="E694" s="2" t="s">
        <v>54</v>
      </c>
      <c r="F694" s="2" t="str" cm="1">
        <f t="array" ref="F694:G694">_xlfn.TEXTSPLIT(E694," - ")</f>
        <v>Beras</v>
      </c>
      <c r="G694" s="2" t="str">
        <v>Brand C</v>
      </c>
      <c r="H694" s="5">
        <v>16000</v>
      </c>
      <c r="I694" s="2">
        <v>5</v>
      </c>
      <c r="J694" s="2">
        <v>5</v>
      </c>
      <c r="K694" s="8">
        <f t="shared" si="60"/>
        <v>80000</v>
      </c>
      <c r="L694" s="8">
        <f t="shared" si="61"/>
        <v>4000</v>
      </c>
      <c r="M694" s="8">
        <f t="shared" si="62"/>
        <v>76000</v>
      </c>
      <c r="N694" s="5">
        <v>55000</v>
      </c>
      <c r="O694" s="8">
        <f t="shared" si="63"/>
        <v>131000</v>
      </c>
      <c r="P694" s="2" t="s">
        <v>29</v>
      </c>
      <c r="Q694" s="10" t="str">
        <f>VLOOKUP(A694,Status!A:B,2,0)</f>
        <v>Returned</v>
      </c>
      <c r="R694" s="2" t="s">
        <v>46</v>
      </c>
      <c r="S694" s="2">
        <v>3</v>
      </c>
      <c r="T694" s="2" t="s">
        <v>24</v>
      </c>
      <c r="U694" s="10" t="str">
        <f t="shared" si="65"/>
        <v>May</v>
      </c>
      <c r="V694" s="10">
        <f t="shared" si="64"/>
        <v>2025</v>
      </c>
      <c r="W694" cm="1">
        <f t="array" ref="W694">_xlfn.IFS(U694="January",1,U694="February",2,U694="March",3,U694="April",4,U694="May",5,U694="June",6,U694="July",7,U694="August",8,U694="September",9,U694="October",10,U694="November",11,U694="December",12)</f>
        <v>5</v>
      </c>
    </row>
    <row r="695" spans="1:23" ht="15.75" customHeight="1" x14ac:dyDescent="0.25">
      <c r="A695" s="2" t="s">
        <v>1650</v>
      </c>
      <c r="B695" s="3">
        <v>45789.765416666669</v>
      </c>
      <c r="C695" s="2" t="s">
        <v>273</v>
      </c>
      <c r="D695" s="2" t="s">
        <v>195</v>
      </c>
      <c r="E695" s="2" t="s">
        <v>190</v>
      </c>
      <c r="F695" s="2" t="str" cm="1">
        <f t="array" ref="F695:G695">_xlfn.TEXTSPLIT(E695," - ")</f>
        <v>Bawang Merah</v>
      </c>
      <c r="G695" s="2" t="str">
        <v>Brand B</v>
      </c>
      <c r="H695" s="5">
        <v>35000</v>
      </c>
      <c r="I695" s="2">
        <v>3</v>
      </c>
      <c r="J695" s="2">
        <v>15</v>
      </c>
      <c r="K695" s="8">
        <f t="shared" si="60"/>
        <v>105000</v>
      </c>
      <c r="L695" s="8">
        <f t="shared" si="61"/>
        <v>15750</v>
      </c>
      <c r="M695" s="8">
        <f t="shared" si="62"/>
        <v>89250</v>
      </c>
      <c r="N695" s="5">
        <v>87000</v>
      </c>
      <c r="O695" s="8">
        <f t="shared" si="63"/>
        <v>176250</v>
      </c>
      <c r="P695" s="2" t="s">
        <v>63</v>
      </c>
      <c r="Q695" s="10" t="str">
        <f>VLOOKUP(A695,Status!A:B,2,0)</f>
        <v>Returned</v>
      </c>
      <c r="R695" s="2" t="s">
        <v>30</v>
      </c>
      <c r="S695" s="2">
        <v>2</v>
      </c>
      <c r="T695" s="2" t="s">
        <v>24</v>
      </c>
      <c r="U695" s="10" t="str">
        <f t="shared" si="65"/>
        <v>May</v>
      </c>
      <c r="V695" s="10">
        <f t="shared" si="64"/>
        <v>2025</v>
      </c>
      <c r="W695" cm="1">
        <f t="array" ref="W695">_xlfn.IFS(U695="January",1,U695="February",2,U695="March",3,U695="April",4,U695="May",5,U695="June",6,U695="July",7,U695="August",8,U695="September",9,U695="October",10,U695="November",11,U695="December",12)</f>
        <v>5</v>
      </c>
    </row>
    <row r="696" spans="1:23" ht="15.75" customHeight="1" x14ac:dyDescent="0.25">
      <c r="A696" s="2" t="s">
        <v>1651</v>
      </c>
      <c r="B696" s="3">
        <v>45789.803368055553</v>
      </c>
      <c r="C696" s="2" t="s">
        <v>243</v>
      </c>
      <c r="D696" s="2" t="s">
        <v>244</v>
      </c>
      <c r="E696" s="2" t="s">
        <v>58</v>
      </c>
      <c r="F696" s="2" t="str" cm="1">
        <f t="array" ref="F696:G696">_xlfn.TEXTSPLIT(E696," - ")</f>
        <v>Gula Pasir</v>
      </c>
      <c r="G696" s="2" t="str">
        <v>Brand A</v>
      </c>
      <c r="H696" s="5">
        <v>16000</v>
      </c>
      <c r="I696" s="2">
        <v>5</v>
      </c>
      <c r="J696" s="2">
        <v>20</v>
      </c>
      <c r="K696" s="8">
        <f t="shared" si="60"/>
        <v>80000</v>
      </c>
      <c r="L696" s="8">
        <f t="shared" si="61"/>
        <v>16000</v>
      </c>
      <c r="M696" s="8">
        <f t="shared" si="62"/>
        <v>64000</v>
      </c>
      <c r="N696" s="5">
        <v>80000</v>
      </c>
      <c r="O696" s="8">
        <f t="shared" si="63"/>
        <v>144000</v>
      </c>
      <c r="P696" s="2" t="s">
        <v>63</v>
      </c>
      <c r="Q696" s="10" t="str">
        <f>VLOOKUP(A696,Status!A:B,2,0)</f>
        <v>Completed</v>
      </c>
      <c r="R696" s="2" t="s">
        <v>36</v>
      </c>
      <c r="S696" s="2">
        <v>3</v>
      </c>
      <c r="T696" s="2" t="s">
        <v>37</v>
      </c>
      <c r="U696" s="10" t="str">
        <f t="shared" si="65"/>
        <v>May</v>
      </c>
      <c r="V696" s="10">
        <f t="shared" si="64"/>
        <v>2025</v>
      </c>
      <c r="W696" cm="1">
        <f t="array" ref="W696">_xlfn.IFS(U696="January",1,U696="February",2,U696="March",3,U696="April",4,U696="May",5,U696="June",6,U696="July",7,U696="August",8,U696="September",9,U696="October",10,U696="November",11,U696="December",12)</f>
        <v>5</v>
      </c>
    </row>
    <row r="697" spans="1:23" ht="15.75" customHeight="1" x14ac:dyDescent="0.25">
      <c r="A697" s="2" t="s">
        <v>1652</v>
      </c>
      <c r="B697" s="3">
        <v>45790.20107638889</v>
      </c>
      <c r="C697" s="2" t="s">
        <v>321</v>
      </c>
      <c r="D697" s="2" t="s">
        <v>80</v>
      </c>
      <c r="E697" s="2" t="s">
        <v>21</v>
      </c>
      <c r="F697" s="2" t="str" cm="1">
        <f t="array" ref="F697:G697">_xlfn.TEXTSPLIT(E697," - ")</f>
        <v>Daging Ayam</v>
      </c>
      <c r="G697" s="2" t="str">
        <v>Brand C</v>
      </c>
      <c r="H697" s="5">
        <v>45000</v>
      </c>
      <c r="I697" s="2">
        <v>3</v>
      </c>
      <c r="J697" s="2">
        <v>0</v>
      </c>
      <c r="K697" s="8">
        <f t="shared" si="60"/>
        <v>135000</v>
      </c>
      <c r="L697" s="8">
        <f t="shared" si="61"/>
        <v>0</v>
      </c>
      <c r="M697" s="8">
        <f t="shared" si="62"/>
        <v>135000</v>
      </c>
      <c r="N697" s="5">
        <v>74000</v>
      </c>
      <c r="O697" s="8">
        <f t="shared" si="63"/>
        <v>209000</v>
      </c>
      <c r="P697" s="2" t="s">
        <v>22</v>
      </c>
      <c r="Q697" s="10" t="str">
        <f>VLOOKUP(A697,Status!A:B,2,0)</f>
        <v>Completed</v>
      </c>
      <c r="R697" s="2" t="s">
        <v>82</v>
      </c>
      <c r="S697" s="2">
        <v>4</v>
      </c>
      <c r="T697" s="2" t="s">
        <v>24</v>
      </c>
      <c r="U697" s="10" t="str">
        <f t="shared" si="65"/>
        <v>May</v>
      </c>
      <c r="V697" s="10">
        <f t="shared" si="64"/>
        <v>2025</v>
      </c>
      <c r="W697" cm="1">
        <f t="array" ref="W697">_xlfn.IFS(U697="January",1,U697="February",2,U697="March",3,U697="April",4,U697="May",5,U697="June",6,U697="July",7,U697="August",8,U697="September",9,U697="October",10,U697="November",11,U697="December",12)</f>
        <v>5</v>
      </c>
    </row>
    <row r="698" spans="1:23" ht="15.75" customHeight="1" x14ac:dyDescent="0.25">
      <c r="A698" s="2" t="s">
        <v>1653</v>
      </c>
      <c r="B698" s="3">
        <v>45790.235763888893</v>
      </c>
      <c r="C698" s="2" t="s">
        <v>1654</v>
      </c>
      <c r="D698" s="2" t="s">
        <v>74</v>
      </c>
      <c r="E698" s="2" t="s">
        <v>21</v>
      </c>
      <c r="F698" s="2" t="str" cm="1">
        <f t="array" ref="F698:G698">_xlfn.TEXTSPLIT(E698," - ")</f>
        <v>Daging Ayam</v>
      </c>
      <c r="G698" s="2" t="str">
        <v>Brand C</v>
      </c>
      <c r="H698" s="5">
        <v>45000</v>
      </c>
      <c r="I698" s="2">
        <v>3</v>
      </c>
      <c r="J698" s="2">
        <v>10</v>
      </c>
      <c r="K698" s="8">
        <f t="shared" si="60"/>
        <v>135000</v>
      </c>
      <c r="L698" s="8">
        <f t="shared" si="61"/>
        <v>13500</v>
      </c>
      <c r="M698" s="8">
        <f t="shared" si="62"/>
        <v>121500</v>
      </c>
      <c r="N698" s="5">
        <v>87000</v>
      </c>
      <c r="O698" s="8">
        <f t="shared" si="63"/>
        <v>208500</v>
      </c>
      <c r="P698" s="2" t="s">
        <v>35</v>
      </c>
      <c r="Q698" s="10" t="str">
        <f>VLOOKUP(A698,Status!A:B,2,0)</f>
        <v>Returned</v>
      </c>
      <c r="R698" s="2" t="s">
        <v>82</v>
      </c>
      <c r="S698" s="2">
        <v>5</v>
      </c>
      <c r="T698" s="2" t="s">
        <v>37</v>
      </c>
      <c r="U698" s="10" t="str">
        <f t="shared" si="65"/>
        <v>May</v>
      </c>
      <c r="V698" s="10">
        <f t="shared" si="64"/>
        <v>2025</v>
      </c>
      <c r="W698" cm="1">
        <f t="array" ref="W698">_xlfn.IFS(U698="January",1,U698="February",2,U698="March",3,U698="April",4,U698="May",5,U698="June",6,U698="July",7,U698="August",8,U698="September",9,U698="October",10,U698="November",11,U698="December",12)</f>
        <v>5</v>
      </c>
    </row>
    <row r="699" spans="1:23" ht="15.75" customHeight="1" x14ac:dyDescent="0.25">
      <c r="A699" s="2" t="s">
        <v>1655</v>
      </c>
      <c r="B699" s="3">
        <v>45790.341597222221</v>
      </c>
      <c r="C699" s="2" t="s">
        <v>429</v>
      </c>
      <c r="D699" s="2" t="s">
        <v>177</v>
      </c>
      <c r="E699" s="2" t="s">
        <v>174</v>
      </c>
      <c r="F699" s="2" t="str" cm="1">
        <f t="array" ref="F699:G699">_xlfn.TEXTSPLIT(E699," - ")</f>
        <v>Tepung Terigu</v>
      </c>
      <c r="G699" s="2" t="str">
        <v>Brand A</v>
      </c>
      <c r="H699" s="5">
        <v>10000</v>
      </c>
      <c r="I699" s="2">
        <v>3</v>
      </c>
      <c r="J699" s="2">
        <v>0</v>
      </c>
      <c r="K699" s="8">
        <f t="shared" si="60"/>
        <v>30000</v>
      </c>
      <c r="L699" s="8">
        <f t="shared" si="61"/>
        <v>0</v>
      </c>
      <c r="M699" s="8">
        <f t="shared" si="62"/>
        <v>30000</v>
      </c>
      <c r="N699" s="5">
        <v>56000</v>
      </c>
      <c r="O699" s="8">
        <f t="shared" si="63"/>
        <v>86000</v>
      </c>
      <c r="P699" s="2" t="s">
        <v>63</v>
      </c>
      <c r="Q699" s="10" t="str">
        <f>VLOOKUP(A699,Status!A:B,2,0)</f>
        <v>Completed</v>
      </c>
      <c r="R699" s="2" t="s">
        <v>23</v>
      </c>
      <c r="S699" s="2">
        <v>5</v>
      </c>
      <c r="T699" s="2" t="s">
        <v>37</v>
      </c>
      <c r="U699" s="10" t="str">
        <f t="shared" si="65"/>
        <v>May</v>
      </c>
      <c r="V699" s="10">
        <f t="shared" si="64"/>
        <v>2025</v>
      </c>
      <c r="W699" cm="1">
        <f t="array" ref="W699">_xlfn.IFS(U699="January",1,U699="February",2,U699="March",3,U699="April",4,U699="May",5,U699="June",6,U699="July",7,U699="August",8,U699="September",9,U699="October",10,U699="November",11,U699="December",12)</f>
        <v>5</v>
      </c>
    </row>
    <row r="700" spans="1:23" ht="15.75" customHeight="1" x14ac:dyDescent="0.25">
      <c r="A700" s="2" t="s">
        <v>1656</v>
      </c>
      <c r="B700" s="3">
        <v>45790.422546296293</v>
      </c>
      <c r="C700" s="2" t="s">
        <v>383</v>
      </c>
      <c r="D700" s="2" t="s">
        <v>122</v>
      </c>
      <c r="E700" s="2" t="s">
        <v>85</v>
      </c>
      <c r="F700" s="2" t="str" cm="1">
        <f t="array" ref="F700:G700">_xlfn.TEXTSPLIT(E700," - ")</f>
        <v>Daging Ayam</v>
      </c>
      <c r="G700" s="2" t="str">
        <v>Brand A</v>
      </c>
      <c r="H700" s="5">
        <v>35000</v>
      </c>
      <c r="I700" s="2">
        <v>4</v>
      </c>
      <c r="J700" s="2">
        <v>10</v>
      </c>
      <c r="K700" s="8">
        <f t="shared" si="60"/>
        <v>140000</v>
      </c>
      <c r="L700" s="8">
        <f t="shared" si="61"/>
        <v>14000</v>
      </c>
      <c r="M700" s="8">
        <f t="shared" si="62"/>
        <v>126000</v>
      </c>
      <c r="N700" s="5">
        <v>78000</v>
      </c>
      <c r="O700" s="8">
        <f t="shared" si="63"/>
        <v>204000</v>
      </c>
      <c r="P700" s="2" t="s">
        <v>22</v>
      </c>
      <c r="Q700" s="10" t="str">
        <f>VLOOKUP(A700,Status!A:B,2,0)</f>
        <v>Cancelled</v>
      </c>
      <c r="R700" s="2" t="s">
        <v>36</v>
      </c>
      <c r="S700" s="2">
        <v>5</v>
      </c>
      <c r="T700" s="2" t="s">
        <v>24</v>
      </c>
      <c r="U700" s="10" t="str">
        <f t="shared" si="65"/>
        <v>May</v>
      </c>
      <c r="V700" s="10">
        <f t="shared" si="64"/>
        <v>2025</v>
      </c>
      <c r="W700" cm="1">
        <f t="array" ref="W700">_xlfn.IFS(U700="January",1,U700="February",2,U700="March",3,U700="April",4,U700="May",5,U700="June",6,U700="July",7,U700="August",8,U700="September",9,U700="October",10,U700="November",11,U700="December",12)</f>
        <v>5</v>
      </c>
    </row>
    <row r="701" spans="1:23" ht="15.75" customHeight="1" x14ac:dyDescent="0.25">
      <c r="A701" s="2" t="s">
        <v>1657</v>
      </c>
      <c r="B701" s="3">
        <v>45790.43476851852</v>
      </c>
      <c r="C701" s="2" t="s">
        <v>128</v>
      </c>
      <c r="D701" s="2" t="s">
        <v>103</v>
      </c>
      <c r="E701" s="2" t="s">
        <v>110</v>
      </c>
      <c r="F701" s="2" t="str" cm="1">
        <f t="array" ref="F701:G701">_xlfn.TEXTSPLIT(E701," - ")</f>
        <v>Garam</v>
      </c>
      <c r="G701" s="2" t="str">
        <v>Brand C</v>
      </c>
      <c r="H701" s="5">
        <v>6000</v>
      </c>
      <c r="I701" s="2">
        <v>4</v>
      </c>
      <c r="J701" s="2">
        <v>10</v>
      </c>
      <c r="K701" s="8">
        <f t="shared" si="60"/>
        <v>24000</v>
      </c>
      <c r="L701" s="8">
        <f t="shared" si="61"/>
        <v>2400</v>
      </c>
      <c r="M701" s="8">
        <f t="shared" si="62"/>
        <v>21600</v>
      </c>
      <c r="N701" s="5">
        <v>85000</v>
      </c>
      <c r="O701" s="8">
        <f t="shared" si="63"/>
        <v>106600</v>
      </c>
      <c r="P701" s="2" t="s">
        <v>35</v>
      </c>
      <c r="Q701" s="10" t="str">
        <f>VLOOKUP(A701,Status!A:B,2,0)</f>
        <v>Completed</v>
      </c>
      <c r="R701" s="2" t="s">
        <v>82</v>
      </c>
      <c r="S701" s="2">
        <v>2</v>
      </c>
      <c r="T701" s="2" t="s">
        <v>37</v>
      </c>
      <c r="U701" s="10" t="str">
        <f t="shared" si="65"/>
        <v>May</v>
      </c>
      <c r="V701" s="10">
        <f t="shared" si="64"/>
        <v>2025</v>
      </c>
      <c r="W701" cm="1">
        <f t="array" ref="W701">_xlfn.IFS(U701="January",1,U701="February",2,U701="March",3,U701="April",4,U701="May",5,U701="June",6,U701="July",7,U701="August",8,U701="September",9,U701="October",10,U701="November",11,U701="December",12)</f>
        <v>5</v>
      </c>
    </row>
    <row r="702" spans="1:23" ht="15.75" customHeight="1" x14ac:dyDescent="0.25">
      <c r="A702" s="2" t="s">
        <v>1658</v>
      </c>
      <c r="B702" s="3">
        <v>45790.56994212963</v>
      </c>
      <c r="C702" s="2" t="s">
        <v>1025</v>
      </c>
      <c r="D702" s="2" t="s">
        <v>119</v>
      </c>
      <c r="E702" s="2" t="s">
        <v>138</v>
      </c>
      <c r="F702" s="2" t="str" cm="1">
        <f t="array" ref="F702:G702">_xlfn.TEXTSPLIT(E702," - ")</f>
        <v>Gula Pasir</v>
      </c>
      <c r="G702" s="2" t="str">
        <v>Brand B</v>
      </c>
      <c r="H702" s="5">
        <v>17000</v>
      </c>
      <c r="I702" s="2">
        <v>1</v>
      </c>
      <c r="J702" s="2">
        <v>10</v>
      </c>
      <c r="K702" s="8">
        <f t="shared" si="60"/>
        <v>17000</v>
      </c>
      <c r="L702" s="8">
        <f t="shared" si="61"/>
        <v>1700</v>
      </c>
      <c r="M702" s="8">
        <f t="shared" si="62"/>
        <v>15300</v>
      </c>
      <c r="N702" s="5">
        <v>0</v>
      </c>
      <c r="O702" s="8">
        <f t="shared" si="63"/>
        <v>15300</v>
      </c>
      <c r="P702" s="2" t="s">
        <v>63</v>
      </c>
      <c r="Q702" s="10" t="str">
        <f>VLOOKUP(A702,Status!A:B,2,0)</f>
        <v>Returned</v>
      </c>
      <c r="R702" s="2" t="s">
        <v>23</v>
      </c>
      <c r="S702" s="2">
        <v>2</v>
      </c>
      <c r="T702" s="2" t="s">
        <v>24</v>
      </c>
      <c r="U702" s="10" t="str">
        <f t="shared" si="65"/>
        <v>May</v>
      </c>
      <c r="V702" s="10">
        <f t="shared" si="64"/>
        <v>2025</v>
      </c>
      <c r="W702" cm="1">
        <f t="array" ref="W702">_xlfn.IFS(U702="January",1,U702="February",2,U702="March",3,U702="April",4,U702="May",5,U702="June",6,U702="July",7,U702="August",8,U702="September",9,U702="October",10,U702="November",11,U702="December",12)</f>
        <v>5</v>
      </c>
    </row>
    <row r="703" spans="1:23" ht="15.75" customHeight="1" x14ac:dyDescent="0.25">
      <c r="A703" s="2" t="s">
        <v>1658</v>
      </c>
      <c r="B703" s="3">
        <v>45790.56994212963</v>
      </c>
      <c r="C703" s="2" t="s">
        <v>1025</v>
      </c>
      <c r="D703" s="2" t="s">
        <v>119</v>
      </c>
      <c r="E703" s="2" t="s">
        <v>144</v>
      </c>
      <c r="F703" s="2" t="str" cm="1">
        <f t="array" ref="F703:G703">_xlfn.TEXTSPLIT(E703," - ")</f>
        <v>Gula Pasir</v>
      </c>
      <c r="G703" s="2" t="str">
        <v>Brand C</v>
      </c>
      <c r="H703" s="5">
        <v>18000</v>
      </c>
      <c r="I703" s="2">
        <v>2</v>
      </c>
      <c r="J703" s="2">
        <v>5</v>
      </c>
      <c r="K703" s="8">
        <f t="shared" si="60"/>
        <v>36000</v>
      </c>
      <c r="L703" s="8">
        <f t="shared" si="61"/>
        <v>1800</v>
      </c>
      <c r="M703" s="8">
        <f t="shared" si="62"/>
        <v>34200</v>
      </c>
      <c r="N703" s="5">
        <v>0</v>
      </c>
      <c r="O703" s="8">
        <f t="shared" si="63"/>
        <v>34200</v>
      </c>
      <c r="P703" s="2" t="s">
        <v>63</v>
      </c>
      <c r="Q703" s="10" t="str">
        <f>VLOOKUP(A703,Status!A:B,2,0)</f>
        <v>Returned</v>
      </c>
      <c r="R703" s="2" t="s">
        <v>23</v>
      </c>
      <c r="S703" s="2">
        <v>2</v>
      </c>
      <c r="T703" s="2" t="s">
        <v>24</v>
      </c>
      <c r="U703" s="10" t="str">
        <f t="shared" si="65"/>
        <v>May</v>
      </c>
      <c r="V703" s="10">
        <f t="shared" si="64"/>
        <v>2025</v>
      </c>
      <c r="W703" cm="1">
        <f t="array" ref="W703">_xlfn.IFS(U703="January",1,U703="February",2,U703="March",3,U703="April",4,U703="May",5,U703="June",6,U703="July",7,U703="August",8,U703="September",9,U703="October",10,U703="November",11,U703="December",12)</f>
        <v>5</v>
      </c>
    </row>
    <row r="704" spans="1:23" ht="15.75" customHeight="1" x14ac:dyDescent="0.25">
      <c r="A704" s="2" t="s">
        <v>1659</v>
      </c>
      <c r="B704" s="3">
        <v>45790.58525462963</v>
      </c>
      <c r="C704" s="2" t="s">
        <v>473</v>
      </c>
      <c r="D704" s="2" t="s">
        <v>122</v>
      </c>
      <c r="E704" s="2" t="s">
        <v>136</v>
      </c>
      <c r="F704" s="2" t="str" cm="1">
        <f t="array" ref="F704:G704">_xlfn.TEXTSPLIT(E704," - ")</f>
        <v>Tepung Terigu</v>
      </c>
      <c r="G704" s="2" t="str">
        <v>Brand B</v>
      </c>
      <c r="H704" s="5">
        <v>12000</v>
      </c>
      <c r="I704" s="2">
        <v>5</v>
      </c>
      <c r="J704" s="2">
        <v>5</v>
      </c>
      <c r="K704" s="8">
        <f t="shared" si="60"/>
        <v>60000</v>
      </c>
      <c r="L704" s="8">
        <f t="shared" si="61"/>
        <v>3000</v>
      </c>
      <c r="M704" s="8">
        <f t="shared" si="62"/>
        <v>57000</v>
      </c>
      <c r="N704" s="5">
        <v>78000</v>
      </c>
      <c r="O704" s="8">
        <f t="shared" si="63"/>
        <v>135000</v>
      </c>
      <c r="P704" s="2" t="s">
        <v>63</v>
      </c>
      <c r="Q704" s="10" t="str">
        <f>VLOOKUP(A704,Status!A:B,2,0)</f>
        <v>Completed</v>
      </c>
      <c r="R704" s="2" t="s">
        <v>82</v>
      </c>
      <c r="S704" s="2">
        <v>1</v>
      </c>
      <c r="T704" s="2" t="s">
        <v>24</v>
      </c>
      <c r="U704" s="10" t="str">
        <f t="shared" si="65"/>
        <v>May</v>
      </c>
      <c r="V704" s="10">
        <f t="shared" si="64"/>
        <v>2025</v>
      </c>
      <c r="W704" cm="1">
        <f t="array" ref="W704">_xlfn.IFS(U704="January",1,U704="February",2,U704="March",3,U704="April",4,U704="May",5,U704="June",6,U704="July",7,U704="August",8,U704="September",9,U704="October",10,U704="November",11,U704="December",12)</f>
        <v>5</v>
      </c>
    </row>
    <row r="705" spans="1:23" ht="15.75" customHeight="1" x14ac:dyDescent="0.25">
      <c r="A705" s="2" t="s">
        <v>1660</v>
      </c>
      <c r="B705" s="3">
        <v>45790.722812499997</v>
      </c>
      <c r="C705" s="2" t="s">
        <v>1293</v>
      </c>
      <c r="D705" s="2" t="s">
        <v>44</v>
      </c>
      <c r="E705" s="2" t="s">
        <v>58</v>
      </c>
      <c r="F705" s="2" t="str" cm="1">
        <f t="array" ref="F705:G705">_xlfn.TEXTSPLIT(E705," - ")</f>
        <v>Gula Pasir</v>
      </c>
      <c r="G705" s="2" t="str">
        <v>Brand A</v>
      </c>
      <c r="H705" s="5">
        <v>16000</v>
      </c>
      <c r="I705" s="2">
        <v>2</v>
      </c>
      <c r="J705" s="2">
        <v>20</v>
      </c>
      <c r="K705" s="8">
        <f t="shared" si="60"/>
        <v>32000</v>
      </c>
      <c r="L705" s="8">
        <f t="shared" si="61"/>
        <v>6400</v>
      </c>
      <c r="M705" s="8">
        <f t="shared" si="62"/>
        <v>25600</v>
      </c>
      <c r="N705" s="5">
        <v>93000</v>
      </c>
      <c r="O705" s="8">
        <f t="shared" si="63"/>
        <v>118600</v>
      </c>
      <c r="P705" s="2" t="s">
        <v>29</v>
      </c>
      <c r="Q705" s="10" t="str">
        <f>VLOOKUP(A705,Status!A:B,2,0)</f>
        <v>Completed</v>
      </c>
      <c r="R705" s="2" t="s">
        <v>82</v>
      </c>
      <c r="S705" s="2">
        <v>5</v>
      </c>
      <c r="T705" s="2" t="s">
        <v>24</v>
      </c>
      <c r="U705" s="10" t="str">
        <f t="shared" si="65"/>
        <v>May</v>
      </c>
      <c r="V705" s="10">
        <f t="shared" si="64"/>
        <v>2025</v>
      </c>
      <c r="W705" cm="1">
        <f t="array" ref="W705">_xlfn.IFS(U705="January",1,U705="February",2,U705="March",3,U705="April",4,U705="May",5,U705="June",6,U705="July",7,U705="August",8,U705="September",9,U705="October",10,U705="November",11,U705="December",12)</f>
        <v>5</v>
      </c>
    </row>
    <row r="706" spans="1:23" ht="15.75" customHeight="1" x14ac:dyDescent="0.25">
      <c r="A706" s="2" t="s">
        <v>1661</v>
      </c>
      <c r="B706" s="3">
        <v>45790.800150462957</v>
      </c>
      <c r="C706" s="2" t="s">
        <v>307</v>
      </c>
      <c r="D706" s="2" t="s">
        <v>70</v>
      </c>
      <c r="E706" s="2" t="s">
        <v>123</v>
      </c>
      <c r="F706" s="2" t="str" cm="1">
        <f t="array" ref="F706:G706">_xlfn.TEXTSPLIT(E706," - ")</f>
        <v>Telur Ayam</v>
      </c>
      <c r="G706" s="2" t="str">
        <v>Brand A</v>
      </c>
      <c r="H706" s="5">
        <v>22000</v>
      </c>
      <c r="I706" s="2">
        <v>3</v>
      </c>
      <c r="J706" s="2">
        <v>0</v>
      </c>
      <c r="K706" s="8">
        <f t="shared" ref="K706:K769" si="66">H706*I706</f>
        <v>66000</v>
      </c>
      <c r="L706" s="8">
        <f t="shared" ref="L706:L769" si="67">K706*J706%</f>
        <v>0</v>
      </c>
      <c r="M706" s="8">
        <f t="shared" ref="M706:M769" si="68">K706-L706</f>
        <v>66000</v>
      </c>
      <c r="N706" s="5">
        <v>89000</v>
      </c>
      <c r="O706" s="8">
        <f t="shared" ref="O706:O769" si="69">M706+N706</f>
        <v>155000</v>
      </c>
      <c r="P706" s="2" t="s">
        <v>29</v>
      </c>
      <c r="Q706" s="10" t="str">
        <f>VLOOKUP(A706,Status!A:B,2,0)</f>
        <v>Returned</v>
      </c>
      <c r="R706" s="2" t="s">
        <v>23</v>
      </c>
      <c r="S706" s="2">
        <v>4</v>
      </c>
      <c r="T706" s="2" t="s">
        <v>24</v>
      </c>
      <c r="U706" s="10" t="str">
        <f t="shared" si="65"/>
        <v>May</v>
      </c>
      <c r="V706" s="10">
        <f t="shared" ref="V706:V769" si="70">YEAR(B706)</f>
        <v>2025</v>
      </c>
      <c r="W706" cm="1">
        <f t="array" ref="W706">_xlfn.IFS(U706="January",1,U706="February",2,U706="March",3,U706="April",4,U706="May",5,U706="June",6,U706="July",7,U706="August",8,U706="September",9,U706="October",10,U706="November",11,U706="December",12)</f>
        <v>5</v>
      </c>
    </row>
    <row r="707" spans="1:23" ht="15.75" customHeight="1" x14ac:dyDescent="0.25">
      <c r="A707" s="2" t="s">
        <v>1662</v>
      </c>
      <c r="B707" s="3">
        <v>45791.034675925926</v>
      </c>
      <c r="C707" s="2" t="s">
        <v>654</v>
      </c>
      <c r="D707" s="2" t="s">
        <v>375</v>
      </c>
      <c r="E707" s="2" t="s">
        <v>250</v>
      </c>
      <c r="F707" s="2" t="str" cm="1">
        <f t="array" ref="F707:G707">_xlfn.TEXTSPLIT(E707," - ")</f>
        <v>Minyak Goreng</v>
      </c>
      <c r="G707" s="2" t="str">
        <v>Brand C</v>
      </c>
      <c r="H707" s="5">
        <v>18000</v>
      </c>
      <c r="I707" s="2">
        <v>3</v>
      </c>
      <c r="J707" s="2">
        <v>10</v>
      </c>
      <c r="K707" s="8">
        <f t="shared" si="66"/>
        <v>54000</v>
      </c>
      <c r="L707" s="8">
        <f t="shared" si="67"/>
        <v>5400</v>
      </c>
      <c r="M707" s="8">
        <f t="shared" si="68"/>
        <v>48600</v>
      </c>
      <c r="N707" s="5">
        <v>21000</v>
      </c>
      <c r="O707" s="8">
        <f t="shared" si="69"/>
        <v>69600</v>
      </c>
      <c r="P707" s="2" t="s">
        <v>63</v>
      </c>
      <c r="Q707" s="10" t="str">
        <f>VLOOKUP(A707,Status!A:B,2,0)</f>
        <v>Returned</v>
      </c>
      <c r="R707" s="2" t="s">
        <v>46</v>
      </c>
      <c r="S707" s="2">
        <v>5</v>
      </c>
      <c r="T707" s="2" t="s">
        <v>24</v>
      </c>
      <c r="U707" s="10" t="str">
        <f t="shared" ref="U707:U770" si="71">TEXT(B707,"MMM")</f>
        <v>May</v>
      </c>
      <c r="V707" s="10">
        <f t="shared" si="70"/>
        <v>2025</v>
      </c>
      <c r="W707" cm="1">
        <f t="array" ref="W707">_xlfn.IFS(U707="January",1,U707="February",2,U707="March",3,U707="April",4,U707="May",5,U707="June",6,U707="July",7,U707="August",8,U707="September",9,U707="October",10,U707="November",11,U707="December",12)</f>
        <v>5</v>
      </c>
    </row>
    <row r="708" spans="1:23" ht="15.75" customHeight="1" x14ac:dyDescent="0.25">
      <c r="A708" s="2" t="s">
        <v>1663</v>
      </c>
      <c r="B708" s="3">
        <v>45791.093263888892</v>
      </c>
      <c r="C708" s="2" t="s">
        <v>479</v>
      </c>
      <c r="D708" s="2" t="s">
        <v>107</v>
      </c>
      <c r="E708" s="2" t="s">
        <v>62</v>
      </c>
      <c r="F708" s="2" t="str" cm="1">
        <f t="array" ref="F708:G708">_xlfn.TEXTSPLIT(E708," - ")</f>
        <v>Susu Bubuk</v>
      </c>
      <c r="G708" s="2" t="str">
        <v>Brand B</v>
      </c>
      <c r="H708" s="5">
        <v>50000</v>
      </c>
      <c r="I708" s="2">
        <v>3</v>
      </c>
      <c r="J708" s="2">
        <v>10</v>
      </c>
      <c r="K708" s="8">
        <f t="shared" si="66"/>
        <v>150000</v>
      </c>
      <c r="L708" s="8">
        <f t="shared" si="67"/>
        <v>15000</v>
      </c>
      <c r="M708" s="8">
        <f t="shared" si="68"/>
        <v>135000</v>
      </c>
      <c r="N708" s="5">
        <v>97000</v>
      </c>
      <c r="O708" s="8">
        <f t="shared" si="69"/>
        <v>232000</v>
      </c>
      <c r="P708" s="2" t="s">
        <v>22</v>
      </c>
      <c r="Q708" s="10" t="str">
        <f>VLOOKUP(A708,Status!A:B,2,0)</f>
        <v>Completed</v>
      </c>
      <c r="R708" s="2" t="s">
        <v>36</v>
      </c>
      <c r="S708" s="2">
        <v>2</v>
      </c>
      <c r="T708" s="2" t="s">
        <v>37</v>
      </c>
      <c r="U708" s="10" t="str">
        <f t="shared" si="71"/>
        <v>May</v>
      </c>
      <c r="V708" s="10">
        <f t="shared" si="70"/>
        <v>2025</v>
      </c>
      <c r="W708" cm="1">
        <f t="array" ref="W708">_xlfn.IFS(U708="January",1,U708="February",2,U708="March",3,U708="April",4,U708="May",5,U708="June",6,U708="July",7,U708="August",8,U708="September",9,U708="October",10,U708="November",11,U708="December",12)</f>
        <v>5</v>
      </c>
    </row>
    <row r="709" spans="1:23" ht="15.75" customHeight="1" x14ac:dyDescent="0.25">
      <c r="A709" s="2" t="s">
        <v>1664</v>
      </c>
      <c r="B709" s="3">
        <v>45791.246180555558</v>
      </c>
      <c r="C709" s="2" t="s">
        <v>295</v>
      </c>
      <c r="D709" s="2" t="s">
        <v>296</v>
      </c>
      <c r="E709" s="2" t="s">
        <v>34</v>
      </c>
      <c r="F709" s="2" t="str" cm="1">
        <f t="array" ref="F709:G709">_xlfn.TEXTSPLIT(E709," - ")</f>
        <v>Minyak Goreng</v>
      </c>
      <c r="G709" s="2" t="str">
        <v>Brand A</v>
      </c>
      <c r="H709" s="5">
        <v>16000</v>
      </c>
      <c r="I709" s="2">
        <v>1</v>
      </c>
      <c r="J709" s="2">
        <v>0</v>
      </c>
      <c r="K709" s="8">
        <f t="shared" si="66"/>
        <v>16000</v>
      </c>
      <c r="L709" s="8">
        <f t="shared" si="67"/>
        <v>0</v>
      </c>
      <c r="M709" s="8">
        <f t="shared" si="68"/>
        <v>16000</v>
      </c>
      <c r="N709" s="5">
        <v>79000</v>
      </c>
      <c r="O709" s="8">
        <f t="shared" si="69"/>
        <v>95000</v>
      </c>
      <c r="P709" s="2" t="s">
        <v>63</v>
      </c>
      <c r="Q709" s="10" t="str">
        <f>VLOOKUP(A709,Status!A:B,2,0)</f>
        <v>Completed</v>
      </c>
      <c r="R709" s="2" t="s">
        <v>36</v>
      </c>
      <c r="S709" s="2">
        <v>4</v>
      </c>
      <c r="T709" s="2" t="s">
        <v>24</v>
      </c>
      <c r="U709" s="10" t="str">
        <f t="shared" si="71"/>
        <v>May</v>
      </c>
      <c r="V709" s="10">
        <f t="shared" si="70"/>
        <v>2025</v>
      </c>
      <c r="W709" cm="1">
        <f t="array" ref="W709">_xlfn.IFS(U709="January",1,U709="February",2,U709="March",3,U709="April",4,U709="May",5,U709="June",6,U709="July",7,U709="August",8,U709="September",9,U709="October",10,U709="November",11,U709="December",12)</f>
        <v>5</v>
      </c>
    </row>
    <row r="710" spans="1:23" ht="15.75" customHeight="1" x14ac:dyDescent="0.25">
      <c r="A710" s="2" t="s">
        <v>1664</v>
      </c>
      <c r="B710" s="3">
        <v>45791.246180555558</v>
      </c>
      <c r="C710" s="2" t="s">
        <v>295</v>
      </c>
      <c r="D710" s="2" t="s">
        <v>296</v>
      </c>
      <c r="E710" s="2" t="s">
        <v>174</v>
      </c>
      <c r="F710" s="2" t="str" cm="1">
        <f t="array" ref="F710:G710">_xlfn.TEXTSPLIT(E710," - ")</f>
        <v>Tepung Terigu</v>
      </c>
      <c r="G710" s="2" t="str">
        <v>Brand A</v>
      </c>
      <c r="H710" s="5">
        <v>10000</v>
      </c>
      <c r="I710" s="2">
        <v>1</v>
      </c>
      <c r="J710" s="2">
        <v>5</v>
      </c>
      <c r="K710" s="8">
        <f t="shared" si="66"/>
        <v>10000</v>
      </c>
      <c r="L710" s="8">
        <f t="shared" si="67"/>
        <v>500</v>
      </c>
      <c r="M710" s="8">
        <f t="shared" si="68"/>
        <v>9500</v>
      </c>
      <c r="N710" s="5">
        <v>0</v>
      </c>
      <c r="O710" s="8">
        <f t="shared" si="69"/>
        <v>9500</v>
      </c>
      <c r="P710" s="2" t="s">
        <v>63</v>
      </c>
      <c r="Q710" s="10" t="str">
        <f>VLOOKUP(A710,Status!A:B,2,0)</f>
        <v>Completed</v>
      </c>
      <c r="R710" s="2" t="s">
        <v>36</v>
      </c>
      <c r="S710" s="2">
        <v>4</v>
      </c>
      <c r="T710" s="2" t="s">
        <v>24</v>
      </c>
      <c r="U710" s="10" t="str">
        <f t="shared" si="71"/>
        <v>May</v>
      </c>
      <c r="V710" s="10">
        <f t="shared" si="70"/>
        <v>2025</v>
      </c>
      <c r="W710" cm="1">
        <f t="array" ref="W710">_xlfn.IFS(U710="January",1,U710="February",2,U710="March",3,U710="April",4,U710="May",5,U710="June",6,U710="July",7,U710="August",8,U710="September",9,U710="October",10,U710="November",11,U710="December",12)</f>
        <v>5</v>
      </c>
    </row>
    <row r="711" spans="1:23" ht="15.75" customHeight="1" x14ac:dyDescent="0.25">
      <c r="A711" s="2" t="s">
        <v>1665</v>
      </c>
      <c r="B711" s="3">
        <v>45791.257627314822</v>
      </c>
      <c r="C711" s="2" t="s">
        <v>1666</v>
      </c>
      <c r="D711" s="2" t="s">
        <v>296</v>
      </c>
      <c r="E711" s="2" t="s">
        <v>54</v>
      </c>
      <c r="F711" s="2" t="str" cm="1">
        <f t="array" ref="F711:G711">_xlfn.TEXTSPLIT(E711," - ")</f>
        <v>Beras</v>
      </c>
      <c r="G711" s="2" t="str">
        <v>Brand C</v>
      </c>
      <c r="H711" s="5">
        <v>16000</v>
      </c>
      <c r="I711" s="2">
        <v>5</v>
      </c>
      <c r="J711" s="2">
        <v>20</v>
      </c>
      <c r="K711" s="8">
        <f t="shared" si="66"/>
        <v>80000</v>
      </c>
      <c r="L711" s="8">
        <f t="shared" si="67"/>
        <v>16000</v>
      </c>
      <c r="M711" s="8">
        <f t="shared" si="68"/>
        <v>64000</v>
      </c>
      <c r="N711" s="5">
        <v>79000</v>
      </c>
      <c r="O711" s="8">
        <f t="shared" si="69"/>
        <v>143000</v>
      </c>
      <c r="P711" s="2" t="s">
        <v>63</v>
      </c>
      <c r="Q711" s="10" t="str">
        <f>VLOOKUP(A711,Status!A:B,2,0)</f>
        <v>Completed</v>
      </c>
      <c r="R711" s="2" t="s">
        <v>82</v>
      </c>
      <c r="S711" s="2">
        <v>2</v>
      </c>
      <c r="T711" s="2" t="s">
        <v>37</v>
      </c>
      <c r="U711" s="10" t="str">
        <f t="shared" si="71"/>
        <v>May</v>
      </c>
      <c r="V711" s="10">
        <f t="shared" si="70"/>
        <v>2025</v>
      </c>
      <c r="W711" cm="1">
        <f t="array" ref="W711">_xlfn.IFS(U711="January",1,U711="February",2,U711="March",3,U711="April",4,U711="May",5,U711="June",6,U711="July",7,U711="August",8,U711="September",9,U711="October",10,U711="November",11,U711="December",12)</f>
        <v>5</v>
      </c>
    </row>
    <row r="712" spans="1:23" ht="15.75" customHeight="1" x14ac:dyDescent="0.25">
      <c r="A712" s="2" t="s">
        <v>1667</v>
      </c>
      <c r="B712" s="3">
        <v>45791.301724537043</v>
      </c>
      <c r="C712" s="2" t="s">
        <v>1366</v>
      </c>
      <c r="D712" s="2" t="s">
        <v>126</v>
      </c>
      <c r="E712" s="2" t="s">
        <v>58</v>
      </c>
      <c r="F712" s="2" t="str" cm="1">
        <f t="array" ref="F712:G712">_xlfn.TEXTSPLIT(E712," - ")</f>
        <v>Gula Pasir</v>
      </c>
      <c r="G712" s="2" t="str">
        <v>Brand A</v>
      </c>
      <c r="H712" s="5">
        <v>16000</v>
      </c>
      <c r="I712" s="2">
        <v>1</v>
      </c>
      <c r="J712" s="2">
        <v>15</v>
      </c>
      <c r="K712" s="8">
        <f t="shared" si="66"/>
        <v>16000</v>
      </c>
      <c r="L712" s="8">
        <f t="shared" si="67"/>
        <v>2400</v>
      </c>
      <c r="M712" s="8">
        <f t="shared" si="68"/>
        <v>13600</v>
      </c>
      <c r="N712" s="5">
        <v>84000</v>
      </c>
      <c r="O712" s="8">
        <f t="shared" si="69"/>
        <v>97600</v>
      </c>
      <c r="P712" s="2" t="s">
        <v>29</v>
      </c>
      <c r="Q712" s="10" t="str">
        <f>VLOOKUP(A712,Status!A:B,2,0)</f>
        <v>Completed</v>
      </c>
      <c r="R712" s="2" t="s">
        <v>30</v>
      </c>
      <c r="S712" s="2">
        <v>4</v>
      </c>
      <c r="T712" s="2" t="s">
        <v>24</v>
      </c>
      <c r="U712" s="10" t="str">
        <f t="shared" si="71"/>
        <v>May</v>
      </c>
      <c r="V712" s="10">
        <f t="shared" si="70"/>
        <v>2025</v>
      </c>
      <c r="W712" cm="1">
        <f t="array" ref="W712">_xlfn.IFS(U712="January",1,U712="February",2,U712="March",3,U712="April",4,U712="May",5,U712="June",6,U712="July",7,U712="August",8,U712="September",9,U712="October",10,U712="November",11,U712="December",12)</f>
        <v>5</v>
      </c>
    </row>
    <row r="713" spans="1:23" ht="15.75" customHeight="1" x14ac:dyDescent="0.25">
      <c r="A713" s="2" t="s">
        <v>1668</v>
      </c>
      <c r="B713" s="3">
        <v>45791.439097222217</v>
      </c>
      <c r="C713" s="2" t="s">
        <v>446</v>
      </c>
      <c r="D713" s="2" t="s">
        <v>296</v>
      </c>
      <c r="E713" s="2" t="s">
        <v>110</v>
      </c>
      <c r="F713" s="2" t="str" cm="1">
        <f t="array" ref="F713:G713">_xlfn.TEXTSPLIT(E713," - ")</f>
        <v>Garam</v>
      </c>
      <c r="G713" s="2" t="str">
        <v>Brand C</v>
      </c>
      <c r="H713" s="5">
        <v>6000</v>
      </c>
      <c r="I713" s="2">
        <v>2</v>
      </c>
      <c r="J713" s="2">
        <v>20</v>
      </c>
      <c r="K713" s="8">
        <f t="shared" si="66"/>
        <v>12000</v>
      </c>
      <c r="L713" s="8">
        <f t="shared" si="67"/>
        <v>2400</v>
      </c>
      <c r="M713" s="8">
        <f t="shared" si="68"/>
        <v>9600</v>
      </c>
      <c r="N713" s="5">
        <v>79000</v>
      </c>
      <c r="O713" s="8">
        <f t="shared" si="69"/>
        <v>88600</v>
      </c>
      <c r="P713" s="2" t="s">
        <v>29</v>
      </c>
      <c r="Q713" s="10" t="str">
        <f>VLOOKUP(A713,Status!A:B,2,0)</f>
        <v>Completed</v>
      </c>
      <c r="R713" s="2" t="s">
        <v>30</v>
      </c>
      <c r="S713" s="2">
        <v>3</v>
      </c>
      <c r="T713" s="2" t="s">
        <v>37</v>
      </c>
      <c r="U713" s="10" t="str">
        <f t="shared" si="71"/>
        <v>May</v>
      </c>
      <c r="V713" s="10">
        <f t="shared" si="70"/>
        <v>2025</v>
      </c>
      <c r="W713" cm="1">
        <f t="array" ref="W713">_xlfn.IFS(U713="January",1,U713="February",2,U713="March",3,U713="April",4,U713="May",5,U713="June",6,U713="July",7,U713="August",8,U713="September",9,U713="October",10,U713="November",11,U713="December",12)</f>
        <v>5</v>
      </c>
    </row>
    <row r="714" spans="1:23" ht="15.75" customHeight="1" x14ac:dyDescent="0.25">
      <c r="A714" s="2" t="s">
        <v>1669</v>
      </c>
      <c r="B714" s="3">
        <v>45791.512048611112</v>
      </c>
      <c r="C714" s="2" t="s">
        <v>525</v>
      </c>
      <c r="D714" s="2" t="s">
        <v>96</v>
      </c>
      <c r="E714" s="2" t="s">
        <v>54</v>
      </c>
      <c r="F714" s="2" t="str" cm="1">
        <f t="array" ref="F714:G714">_xlfn.TEXTSPLIT(E714," - ")</f>
        <v>Beras</v>
      </c>
      <c r="G714" s="2" t="str">
        <v>Brand C</v>
      </c>
      <c r="H714" s="5">
        <v>16000</v>
      </c>
      <c r="I714" s="2">
        <v>5</v>
      </c>
      <c r="J714" s="2">
        <v>0</v>
      </c>
      <c r="K714" s="8">
        <f t="shared" si="66"/>
        <v>80000</v>
      </c>
      <c r="L714" s="8">
        <f t="shared" si="67"/>
        <v>0</v>
      </c>
      <c r="M714" s="8">
        <f t="shared" si="68"/>
        <v>80000</v>
      </c>
      <c r="N714" s="5">
        <v>49000</v>
      </c>
      <c r="O714" s="8">
        <f t="shared" si="69"/>
        <v>129000</v>
      </c>
      <c r="P714" s="2" t="s">
        <v>22</v>
      </c>
      <c r="Q714" s="10" t="str">
        <f>VLOOKUP(A714,Status!A:B,2,0)</f>
        <v>Completed</v>
      </c>
      <c r="R714" s="2" t="s">
        <v>23</v>
      </c>
      <c r="S714" s="2">
        <v>4</v>
      </c>
      <c r="T714" s="2" t="s">
        <v>24</v>
      </c>
      <c r="U714" s="10" t="str">
        <f t="shared" si="71"/>
        <v>May</v>
      </c>
      <c r="V714" s="10">
        <f t="shared" si="70"/>
        <v>2025</v>
      </c>
      <c r="W714" cm="1">
        <f t="array" ref="W714">_xlfn.IFS(U714="January",1,U714="February",2,U714="March",3,U714="April",4,U714="May",5,U714="June",6,U714="July",7,U714="August",8,U714="September",9,U714="October",10,U714="November",11,U714="December",12)</f>
        <v>5</v>
      </c>
    </row>
    <row r="715" spans="1:23" ht="15.75" customHeight="1" x14ac:dyDescent="0.25">
      <c r="A715" s="2" t="s">
        <v>1670</v>
      </c>
      <c r="B715" s="3">
        <v>45791.52002314815</v>
      </c>
      <c r="C715" s="2" t="s">
        <v>387</v>
      </c>
      <c r="D715" s="2" t="s">
        <v>49</v>
      </c>
      <c r="E715" s="2" t="s">
        <v>136</v>
      </c>
      <c r="F715" s="2" t="str" cm="1">
        <f t="array" ref="F715:G715">_xlfn.TEXTSPLIT(E715," - ")</f>
        <v>Tepung Terigu</v>
      </c>
      <c r="G715" s="2" t="str">
        <v>Brand B</v>
      </c>
      <c r="H715" s="5">
        <v>12000</v>
      </c>
      <c r="I715" s="2">
        <v>5</v>
      </c>
      <c r="J715" s="2">
        <v>5</v>
      </c>
      <c r="K715" s="8">
        <f t="shared" si="66"/>
        <v>60000</v>
      </c>
      <c r="L715" s="8">
        <f t="shared" si="67"/>
        <v>3000</v>
      </c>
      <c r="M715" s="8">
        <f t="shared" si="68"/>
        <v>57000</v>
      </c>
      <c r="N715" s="5">
        <v>43000</v>
      </c>
      <c r="O715" s="8">
        <f t="shared" si="69"/>
        <v>100000</v>
      </c>
      <c r="P715" s="2" t="s">
        <v>35</v>
      </c>
      <c r="Q715" s="10" t="str">
        <f>VLOOKUP(A715,Status!A:B,2,0)</f>
        <v>Cancelled</v>
      </c>
      <c r="R715" s="2" t="s">
        <v>30</v>
      </c>
      <c r="S715" s="2">
        <v>5</v>
      </c>
      <c r="T715" s="2" t="s">
        <v>37</v>
      </c>
      <c r="U715" s="10" t="str">
        <f t="shared" si="71"/>
        <v>May</v>
      </c>
      <c r="V715" s="10">
        <f t="shared" si="70"/>
        <v>2025</v>
      </c>
      <c r="W715" cm="1">
        <f t="array" ref="W715">_xlfn.IFS(U715="January",1,U715="February",2,U715="March",3,U715="April",4,U715="May",5,U715="June",6,U715="July",7,U715="August",8,U715="September",9,U715="October",10,U715="November",11,U715="December",12)</f>
        <v>5</v>
      </c>
    </row>
    <row r="716" spans="1:23" ht="15.75" customHeight="1" x14ac:dyDescent="0.25">
      <c r="A716" s="2" t="s">
        <v>1671</v>
      </c>
      <c r="B716" s="3">
        <v>45791.562789351847</v>
      </c>
      <c r="C716" s="2" t="s">
        <v>1323</v>
      </c>
      <c r="D716" s="2" t="s">
        <v>74</v>
      </c>
      <c r="E716" s="2" t="s">
        <v>144</v>
      </c>
      <c r="F716" s="2" t="str" cm="1">
        <f t="array" ref="F716:G716">_xlfn.TEXTSPLIT(E716," - ")</f>
        <v>Gula Pasir</v>
      </c>
      <c r="G716" s="2" t="str">
        <v>Brand C</v>
      </c>
      <c r="H716" s="5">
        <v>18000</v>
      </c>
      <c r="I716" s="2">
        <v>5</v>
      </c>
      <c r="J716" s="2">
        <v>5</v>
      </c>
      <c r="K716" s="8">
        <f t="shared" si="66"/>
        <v>90000</v>
      </c>
      <c r="L716" s="8">
        <f t="shared" si="67"/>
        <v>4500</v>
      </c>
      <c r="M716" s="8">
        <f t="shared" si="68"/>
        <v>85500</v>
      </c>
      <c r="N716" s="5">
        <v>87000</v>
      </c>
      <c r="O716" s="8">
        <f t="shared" si="69"/>
        <v>172500</v>
      </c>
      <c r="P716" s="2" t="s">
        <v>22</v>
      </c>
      <c r="Q716" s="10" t="str">
        <f>VLOOKUP(A716,Status!A:B,2,0)</f>
        <v>Completed</v>
      </c>
      <c r="R716" s="2" t="s">
        <v>82</v>
      </c>
      <c r="S716" s="2">
        <v>3</v>
      </c>
      <c r="T716" s="2" t="s">
        <v>24</v>
      </c>
      <c r="U716" s="10" t="str">
        <f t="shared" si="71"/>
        <v>May</v>
      </c>
      <c r="V716" s="10">
        <f t="shared" si="70"/>
        <v>2025</v>
      </c>
      <c r="W716" cm="1">
        <f t="array" ref="W716">_xlfn.IFS(U716="January",1,U716="February",2,U716="March",3,U716="April",4,U716="May",5,U716="June",6,U716="July",7,U716="August",8,U716="September",9,U716="October",10,U716="November",11,U716="December",12)</f>
        <v>5</v>
      </c>
    </row>
    <row r="717" spans="1:23" ht="15.75" customHeight="1" x14ac:dyDescent="0.25">
      <c r="A717" s="2" t="s">
        <v>1672</v>
      </c>
      <c r="B717" s="3">
        <v>45791.686967592592</v>
      </c>
      <c r="C717" s="2" t="s">
        <v>576</v>
      </c>
      <c r="D717" s="2" t="s">
        <v>57</v>
      </c>
      <c r="E717" s="2" t="s">
        <v>50</v>
      </c>
      <c r="F717" s="2" t="str" cm="1">
        <f t="array" ref="F717:G717">_xlfn.TEXTSPLIT(E717," - ")</f>
        <v>Tepung Terigu</v>
      </c>
      <c r="G717" s="2" t="str">
        <v>Brand C</v>
      </c>
      <c r="H717" s="5">
        <v>14000</v>
      </c>
      <c r="I717" s="2">
        <v>2</v>
      </c>
      <c r="J717" s="2">
        <v>15</v>
      </c>
      <c r="K717" s="8">
        <f t="shared" si="66"/>
        <v>28000</v>
      </c>
      <c r="L717" s="8">
        <f t="shared" si="67"/>
        <v>4200</v>
      </c>
      <c r="M717" s="8">
        <f t="shared" si="68"/>
        <v>23800</v>
      </c>
      <c r="N717" s="5">
        <v>80000</v>
      </c>
      <c r="O717" s="8">
        <f t="shared" si="69"/>
        <v>103800</v>
      </c>
      <c r="P717" s="2" t="s">
        <v>63</v>
      </c>
      <c r="Q717" s="10" t="str">
        <f>VLOOKUP(A717,Status!A:B,2,0)</f>
        <v>Completed</v>
      </c>
      <c r="R717" s="2" t="s">
        <v>23</v>
      </c>
      <c r="S717" s="2">
        <v>5</v>
      </c>
      <c r="T717" s="2" t="s">
        <v>37</v>
      </c>
      <c r="U717" s="10" t="str">
        <f t="shared" si="71"/>
        <v>May</v>
      </c>
      <c r="V717" s="10">
        <f t="shared" si="70"/>
        <v>2025</v>
      </c>
      <c r="W717" cm="1">
        <f t="array" ref="W717">_xlfn.IFS(U717="January",1,U717="February",2,U717="March",3,U717="April",4,U717="May",5,U717="June",6,U717="July",7,U717="August",8,U717="September",9,U717="October",10,U717="November",11,U717="December",12)</f>
        <v>5</v>
      </c>
    </row>
    <row r="718" spans="1:23" ht="15.75" customHeight="1" x14ac:dyDescent="0.25">
      <c r="A718" s="2" t="s">
        <v>1673</v>
      </c>
      <c r="B718" s="3">
        <v>45791.735127314823</v>
      </c>
      <c r="C718" s="2" t="s">
        <v>128</v>
      </c>
      <c r="D718" s="2" t="s">
        <v>103</v>
      </c>
      <c r="E718" s="2" t="s">
        <v>81</v>
      </c>
      <c r="F718" s="2" t="str" cm="1">
        <f t="array" ref="F718:G718">_xlfn.TEXTSPLIT(E718," - ")</f>
        <v>Minyak Goreng</v>
      </c>
      <c r="G718" s="2" t="str">
        <v>Brand B</v>
      </c>
      <c r="H718" s="5">
        <v>17000</v>
      </c>
      <c r="I718" s="2">
        <v>5</v>
      </c>
      <c r="J718" s="2">
        <v>10</v>
      </c>
      <c r="K718" s="8">
        <f t="shared" si="66"/>
        <v>85000</v>
      </c>
      <c r="L718" s="8">
        <f t="shared" si="67"/>
        <v>8500</v>
      </c>
      <c r="M718" s="8">
        <f t="shared" si="68"/>
        <v>76500</v>
      </c>
      <c r="N718" s="5">
        <v>85000</v>
      </c>
      <c r="O718" s="8">
        <f t="shared" si="69"/>
        <v>161500</v>
      </c>
      <c r="P718" s="2" t="s">
        <v>35</v>
      </c>
      <c r="Q718" s="10" t="str">
        <f>VLOOKUP(A718,Status!A:B,2,0)</f>
        <v>Completed</v>
      </c>
      <c r="R718" s="2" t="s">
        <v>82</v>
      </c>
      <c r="S718" s="2">
        <v>3</v>
      </c>
      <c r="T718" s="2" t="s">
        <v>37</v>
      </c>
      <c r="U718" s="10" t="str">
        <f t="shared" si="71"/>
        <v>May</v>
      </c>
      <c r="V718" s="10">
        <f t="shared" si="70"/>
        <v>2025</v>
      </c>
      <c r="W718" cm="1">
        <f t="array" ref="W718">_xlfn.IFS(U718="January",1,U718="February",2,U718="March",3,U718="April",4,U718="May",5,U718="June",6,U718="July",7,U718="August",8,U718="September",9,U718="October",10,U718="November",11,U718="December",12)</f>
        <v>5</v>
      </c>
    </row>
    <row r="719" spans="1:23" ht="15.75" customHeight="1" x14ac:dyDescent="0.25">
      <c r="A719" s="2" t="s">
        <v>1674</v>
      </c>
      <c r="B719" s="3">
        <v>45792.079675925917</v>
      </c>
      <c r="C719" s="2" t="s">
        <v>192</v>
      </c>
      <c r="D719" s="2" t="s">
        <v>107</v>
      </c>
      <c r="E719" s="2" t="s">
        <v>190</v>
      </c>
      <c r="F719" s="2" t="str" cm="1">
        <f t="array" ref="F719:G719">_xlfn.TEXTSPLIT(E719," - ")</f>
        <v>Bawang Merah</v>
      </c>
      <c r="G719" s="2" t="str">
        <v>Brand B</v>
      </c>
      <c r="H719" s="5">
        <v>35000</v>
      </c>
      <c r="I719" s="2">
        <v>4</v>
      </c>
      <c r="J719" s="2">
        <v>20</v>
      </c>
      <c r="K719" s="8">
        <f t="shared" si="66"/>
        <v>140000</v>
      </c>
      <c r="L719" s="8">
        <f t="shared" si="67"/>
        <v>28000</v>
      </c>
      <c r="M719" s="8">
        <f t="shared" si="68"/>
        <v>112000</v>
      </c>
      <c r="N719" s="5">
        <v>97000</v>
      </c>
      <c r="O719" s="8">
        <f t="shared" si="69"/>
        <v>209000</v>
      </c>
      <c r="P719" s="2" t="s">
        <v>63</v>
      </c>
      <c r="Q719" s="10" t="str">
        <f>VLOOKUP(A719,Status!A:B,2,0)</f>
        <v>Completed</v>
      </c>
      <c r="R719" s="2" t="s">
        <v>23</v>
      </c>
      <c r="S719" s="2">
        <v>3</v>
      </c>
      <c r="T719" s="2" t="s">
        <v>24</v>
      </c>
      <c r="U719" s="10" t="str">
        <f t="shared" si="71"/>
        <v>May</v>
      </c>
      <c r="V719" s="10">
        <f t="shared" si="70"/>
        <v>2025</v>
      </c>
      <c r="W719" cm="1">
        <f t="array" ref="W719">_xlfn.IFS(U719="January",1,U719="February",2,U719="March",3,U719="April",4,U719="May",5,U719="June",6,U719="July",7,U719="August",8,U719="September",9,U719="October",10,U719="November",11,U719="December",12)</f>
        <v>5</v>
      </c>
    </row>
    <row r="720" spans="1:23" ht="15.75" customHeight="1" x14ac:dyDescent="0.25">
      <c r="A720" s="2" t="s">
        <v>1675</v>
      </c>
      <c r="B720" s="3">
        <v>45792.082291666673</v>
      </c>
      <c r="C720" s="2" t="s">
        <v>589</v>
      </c>
      <c r="D720" s="2" t="s">
        <v>262</v>
      </c>
      <c r="E720" s="2" t="s">
        <v>123</v>
      </c>
      <c r="F720" s="2" t="str" cm="1">
        <f t="array" ref="F720:G720">_xlfn.TEXTSPLIT(E720," - ")</f>
        <v>Telur Ayam</v>
      </c>
      <c r="G720" s="2" t="str">
        <v>Brand A</v>
      </c>
      <c r="H720" s="5">
        <v>22000</v>
      </c>
      <c r="I720" s="2">
        <v>3</v>
      </c>
      <c r="J720" s="2">
        <v>10</v>
      </c>
      <c r="K720" s="8">
        <f t="shared" si="66"/>
        <v>66000</v>
      </c>
      <c r="L720" s="8">
        <f t="shared" si="67"/>
        <v>6600</v>
      </c>
      <c r="M720" s="8">
        <f t="shared" si="68"/>
        <v>59400</v>
      </c>
      <c r="N720" s="5">
        <v>18000</v>
      </c>
      <c r="O720" s="8">
        <f t="shared" si="69"/>
        <v>77400</v>
      </c>
      <c r="P720" s="2" t="s">
        <v>22</v>
      </c>
      <c r="Q720" s="10" t="str">
        <f>VLOOKUP(A720,Status!A:B,2,0)</f>
        <v>Completed</v>
      </c>
      <c r="R720" s="2" t="s">
        <v>36</v>
      </c>
      <c r="S720" s="2">
        <v>3</v>
      </c>
      <c r="T720" s="2" t="s">
        <v>37</v>
      </c>
      <c r="U720" s="10" t="str">
        <f t="shared" si="71"/>
        <v>May</v>
      </c>
      <c r="V720" s="10">
        <f t="shared" si="70"/>
        <v>2025</v>
      </c>
      <c r="W720" cm="1">
        <f t="array" ref="W720">_xlfn.IFS(U720="January",1,U720="February",2,U720="March",3,U720="April",4,U720="May",5,U720="June",6,U720="July",7,U720="August",8,U720="September",9,U720="October",10,U720="November",11,U720="December",12)</f>
        <v>5</v>
      </c>
    </row>
    <row r="721" spans="1:23" ht="15.75" customHeight="1" x14ac:dyDescent="0.25">
      <c r="A721" s="2" t="s">
        <v>1676</v>
      </c>
      <c r="B721" s="3">
        <v>45792.312106481477</v>
      </c>
      <c r="C721" s="2" t="s">
        <v>851</v>
      </c>
      <c r="D721" s="2" t="s">
        <v>66</v>
      </c>
      <c r="E721" s="2" t="s">
        <v>28</v>
      </c>
      <c r="F721" s="2" t="str" cm="1">
        <f t="array" ref="F721:G721">_xlfn.TEXTSPLIT(E721," - ")</f>
        <v>Garam</v>
      </c>
      <c r="G721" s="2" t="str">
        <v>Brand B</v>
      </c>
      <c r="H721" s="5">
        <v>5000</v>
      </c>
      <c r="I721" s="2">
        <v>5</v>
      </c>
      <c r="J721" s="2">
        <v>5</v>
      </c>
      <c r="K721" s="8">
        <f t="shared" si="66"/>
        <v>25000</v>
      </c>
      <c r="L721" s="8">
        <f t="shared" si="67"/>
        <v>1250</v>
      </c>
      <c r="M721" s="8">
        <f t="shared" si="68"/>
        <v>23750</v>
      </c>
      <c r="N721" s="5">
        <v>59000</v>
      </c>
      <c r="O721" s="8">
        <f t="shared" si="69"/>
        <v>82750</v>
      </c>
      <c r="P721" s="2" t="s">
        <v>29</v>
      </c>
      <c r="Q721" s="10" t="str">
        <f>VLOOKUP(A721,Status!A:B,2,0)</f>
        <v>Completed</v>
      </c>
      <c r="R721" s="2" t="s">
        <v>82</v>
      </c>
      <c r="S721" s="2">
        <v>4</v>
      </c>
      <c r="T721" s="2" t="s">
        <v>37</v>
      </c>
      <c r="U721" s="10" t="str">
        <f t="shared" si="71"/>
        <v>May</v>
      </c>
      <c r="V721" s="10">
        <f t="shared" si="70"/>
        <v>2025</v>
      </c>
      <c r="W721" cm="1">
        <f t="array" ref="W721">_xlfn.IFS(U721="January",1,U721="February",2,U721="March",3,U721="April",4,U721="May",5,U721="June",6,U721="July",7,U721="August",8,U721="September",9,U721="October",10,U721="November",11,U721="December",12)</f>
        <v>5</v>
      </c>
    </row>
    <row r="722" spans="1:23" ht="15.75" customHeight="1" x14ac:dyDescent="0.25">
      <c r="A722" s="2" t="s">
        <v>1677</v>
      </c>
      <c r="B722" s="3">
        <v>45792.342673611107</v>
      </c>
      <c r="C722" s="2" t="s">
        <v>19</v>
      </c>
      <c r="D722" s="2" t="s">
        <v>20</v>
      </c>
      <c r="E722" s="2" t="s">
        <v>58</v>
      </c>
      <c r="F722" s="2" t="str" cm="1">
        <f t="array" ref="F722:G722">_xlfn.TEXTSPLIT(E722," - ")</f>
        <v>Gula Pasir</v>
      </c>
      <c r="G722" s="2" t="str">
        <v>Brand A</v>
      </c>
      <c r="H722" s="5">
        <v>16000</v>
      </c>
      <c r="I722" s="2">
        <v>3</v>
      </c>
      <c r="J722" s="2">
        <v>15</v>
      </c>
      <c r="K722" s="8">
        <f t="shared" si="66"/>
        <v>48000</v>
      </c>
      <c r="L722" s="8">
        <f t="shared" si="67"/>
        <v>7200</v>
      </c>
      <c r="M722" s="8">
        <f t="shared" si="68"/>
        <v>40800</v>
      </c>
      <c r="N722" s="5">
        <v>15000</v>
      </c>
      <c r="O722" s="8">
        <f t="shared" si="69"/>
        <v>55800</v>
      </c>
      <c r="P722" s="2" t="s">
        <v>35</v>
      </c>
      <c r="Q722" s="10" t="str">
        <f>VLOOKUP(A722,Status!A:B,2,0)</f>
        <v>Completed</v>
      </c>
      <c r="R722" s="2" t="s">
        <v>82</v>
      </c>
      <c r="S722" s="2">
        <v>2</v>
      </c>
      <c r="T722" s="2" t="s">
        <v>24</v>
      </c>
      <c r="U722" s="10" t="str">
        <f t="shared" si="71"/>
        <v>May</v>
      </c>
      <c r="V722" s="10">
        <f t="shared" si="70"/>
        <v>2025</v>
      </c>
      <c r="W722" cm="1">
        <f t="array" ref="W722">_xlfn.IFS(U722="January",1,U722="February",2,U722="March",3,U722="April",4,U722="May",5,U722="June",6,U722="July",7,U722="August",8,U722="September",9,U722="October",10,U722="November",11,U722="December",12)</f>
        <v>5</v>
      </c>
    </row>
    <row r="723" spans="1:23" ht="15.75" customHeight="1" x14ac:dyDescent="0.25">
      <c r="A723" s="2" t="s">
        <v>1677</v>
      </c>
      <c r="B723" s="3">
        <v>45792.342673611107</v>
      </c>
      <c r="C723" s="2" t="s">
        <v>19</v>
      </c>
      <c r="D723" s="2" t="s">
        <v>20</v>
      </c>
      <c r="E723" s="2" t="s">
        <v>75</v>
      </c>
      <c r="F723" s="2" t="str" cm="1">
        <f t="array" ref="F723:G723">_xlfn.TEXTSPLIT(E723," - ")</f>
        <v>Susu Bubuk</v>
      </c>
      <c r="G723" s="2" t="str">
        <v>Brand C</v>
      </c>
      <c r="H723" s="5">
        <v>55000</v>
      </c>
      <c r="I723" s="2">
        <v>3</v>
      </c>
      <c r="J723" s="2">
        <v>10</v>
      </c>
      <c r="K723" s="8">
        <f t="shared" si="66"/>
        <v>165000</v>
      </c>
      <c r="L723" s="8">
        <f t="shared" si="67"/>
        <v>16500</v>
      </c>
      <c r="M723" s="8">
        <f t="shared" si="68"/>
        <v>148500</v>
      </c>
      <c r="N723" s="5">
        <v>0</v>
      </c>
      <c r="O723" s="8">
        <f t="shared" si="69"/>
        <v>148500</v>
      </c>
      <c r="P723" s="2" t="s">
        <v>35</v>
      </c>
      <c r="Q723" s="10" t="str">
        <f>VLOOKUP(A723,Status!A:B,2,0)</f>
        <v>Completed</v>
      </c>
      <c r="R723" s="2" t="s">
        <v>82</v>
      </c>
      <c r="S723" s="2">
        <v>2</v>
      </c>
      <c r="T723" s="2" t="s">
        <v>24</v>
      </c>
      <c r="U723" s="10" t="str">
        <f t="shared" si="71"/>
        <v>May</v>
      </c>
      <c r="V723" s="10">
        <f t="shared" si="70"/>
        <v>2025</v>
      </c>
      <c r="W723" cm="1">
        <f t="array" ref="W723">_xlfn.IFS(U723="January",1,U723="February",2,U723="March",3,U723="April",4,U723="May",5,U723="June",6,U723="July",7,U723="August",8,U723="September",9,U723="October",10,U723="November",11,U723="December",12)</f>
        <v>5</v>
      </c>
    </row>
    <row r="724" spans="1:23" ht="15.75" customHeight="1" x14ac:dyDescent="0.25">
      <c r="A724" s="2" t="s">
        <v>1678</v>
      </c>
      <c r="B724" s="3">
        <v>45792.569108796299</v>
      </c>
      <c r="C724" s="2" t="s">
        <v>804</v>
      </c>
      <c r="D724" s="2" t="s">
        <v>49</v>
      </c>
      <c r="E724" s="2" t="s">
        <v>85</v>
      </c>
      <c r="F724" s="2" t="str" cm="1">
        <f t="array" ref="F724:G724">_xlfn.TEXTSPLIT(E724," - ")</f>
        <v>Daging Ayam</v>
      </c>
      <c r="G724" s="2" t="str">
        <v>Brand A</v>
      </c>
      <c r="H724" s="5">
        <v>35000</v>
      </c>
      <c r="I724" s="2">
        <v>4</v>
      </c>
      <c r="J724" s="2">
        <v>0</v>
      </c>
      <c r="K724" s="8">
        <f t="shared" si="66"/>
        <v>140000</v>
      </c>
      <c r="L724" s="8">
        <f t="shared" si="67"/>
        <v>0</v>
      </c>
      <c r="M724" s="8">
        <f t="shared" si="68"/>
        <v>140000</v>
      </c>
      <c r="N724" s="5">
        <v>43000</v>
      </c>
      <c r="O724" s="8">
        <f t="shared" si="69"/>
        <v>183000</v>
      </c>
      <c r="P724" s="2" t="s">
        <v>63</v>
      </c>
      <c r="Q724" s="10" t="str">
        <f>VLOOKUP(A724,Status!A:B,2,0)</f>
        <v>Completed</v>
      </c>
      <c r="R724" s="2" t="s">
        <v>30</v>
      </c>
      <c r="S724" s="2">
        <v>3</v>
      </c>
      <c r="T724" s="2" t="s">
        <v>24</v>
      </c>
      <c r="U724" s="10" t="str">
        <f t="shared" si="71"/>
        <v>May</v>
      </c>
      <c r="V724" s="10">
        <f t="shared" si="70"/>
        <v>2025</v>
      </c>
      <c r="W724" cm="1">
        <f t="array" ref="W724">_xlfn.IFS(U724="January",1,U724="February",2,U724="March",3,U724="April",4,U724="May",5,U724="June",6,U724="July",7,U724="August",8,U724="September",9,U724="October",10,U724="November",11,U724="December",12)</f>
        <v>5</v>
      </c>
    </row>
    <row r="725" spans="1:23" ht="15.75" customHeight="1" x14ac:dyDescent="0.25">
      <c r="A725" s="2" t="s">
        <v>1679</v>
      </c>
      <c r="B725" s="3">
        <v>45792.624212962961</v>
      </c>
      <c r="C725" s="2" t="s">
        <v>254</v>
      </c>
      <c r="D725" s="2" t="s">
        <v>61</v>
      </c>
      <c r="E725" s="2" t="s">
        <v>174</v>
      </c>
      <c r="F725" s="2" t="str" cm="1">
        <f t="array" ref="F725:G725">_xlfn.TEXTSPLIT(E725," - ")</f>
        <v>Tepung Terigu</v>
      </c>
      <c r="G725" s="2" t="str">
        <v>Brand A</v>
      </c>
      <c r="H725" s="5">
        <v>10000</v>
      </c>
      <c r="I725" s="2">
        <v>1</v>
      </c>
      <c r="J725" s="2">
        <v>5</v>
      </c>
      <c r="K725" s="8">
        <f t="shared" si="66"/>
        <v>10000</v>
      </c>
      <c r="L725" s="8">
        <f t="shared" si="67"/>
        <v>500</v>
      </c>
      <c r="M725" s="8">
        <f t="shared" si="68"/>
        <v>9500</v>
      </c>
      <c r="N725" s="5">
        <v>26000</v>
      </c>
      <c r="O725" s="8">
        <f t="shared" si="69"/>
        <v>35500</v>
      </c>
      <c r="P725" s="2" t="s">
        <v>29</v>
      </c>
      <c r="Q725" s="10" t="str">
        <f>VLOOKUP(A725,Status!A:B,2,0)</f>
        <v>Completed</v>
      </c>
      <c r="R725" s="2" t="s">
        <v>82</v>
      </c>
      <c r="S725" s="2">
        <v>4</v>
      </c>
      <c r="T725" s="2" t="s">
        <v>24</v>
      </c>
      <c r="U725" s="10" t="str">
        <f t="shared" si="71"/>
        <v>May</v>
      </c>
      <c r="V725" s="10">
        <f t="shared" si="70"/>
        <v>2025</v>
      </c>
      <c r="W725" cm="1">
        <f t="array" ref="W725">_xlfn.IFS(U725="January",1,U725="February",2,U725="March",3,U725="April",4,U725="May",5,U725="June",6,U725="July",7,U725="August",8,U725="September",9,U725="October",10,U725="November",11,U725="December",12)</f>
        <v>5</v>
      </c>
    </row>
    <row r="726" spans="1:23" ht="15.75" customHeight="1" x14ac:dyDescent="0.25">
      <c r="A726" s="2" t="s">
        <v>1680</v>
      </c>
      <c r="B726" s="3">
        <v>45792.682291666657</v>
      </c>
      <c r="C726" s="2" t="s">
        <v>181</v>
      </c>
      <c r="D726" s="2" t="s">
        <v>182</v>
      </c>
      <c r="E726" s="2" t="s">
        <v>21</v>
      </c>
      <c r="F726" s="2" t="str" cm="1">
        <f t="array" ref="F726:G726">_xlfn.TEXTSPLIT(E726," - ")</f>
        <v>Daging Ayam</v>
      </c>
      <c r="G726" s="2" t="str">
        <v>Brand C</v>
      </c>
      <c r="H726" s="5">
        <v>45000</v>
      </c>
      <c r="I726" s="2">
        <v>4</v>
      </c>
      <c r="J726" s="2">
        <v>10</v>
      </c>
      <c r="K726" s="8">
        <f t="shared" si="66"/>
        <v>180000</v>
      </c>
      <c r="L726" s="8">
        <f t="shared" si="67"/>
        <v>18000</v>
      </c>
      <c r="M726" s="8">
        <f t="shared" si="68"/>
        <v>162000</v>
      </c>
      <c r="N726" s="5">
        <v>48000</v>
      </c>
      <c r="O726" s="8">
        <f t="shared" si="69"/>
        <v>210000</v>
      </c>
      <c r="P726" s="2" t="s">
        <v>35</v>
      </c>
      <c r="Q726" s="10" t="str">
        <f>VLOOKUP(A726,Status!A:B,2,0)</f>
        <v>Completed</v>
      </c>
      <c r="R726" s="2" t="s">
        <v>46</v>
      </c>
      <c r="S726" s="2">
        <v>3</v>
      </c>
      <c r="T726" s="2" t="s">
        <v>24</v>
      </c>
      <c r="U726" s="10" t="str">
        <f t="shared" si="71"/>
        <v>May</v>
      </c>
      <c r="V726" s="10">
        <f t="shared" si="70"/>
        <v>2025</v>
      </c>
      <c r="W726" cm="1">
        <f t="array" ref="W726">_xlfn.IFS(U726="January",1,U726="February",2,U726="March",3,U726="April",4,U726="May",5,U726="June",6,U726="July",7,U726="August",8,U726="September",9,U726="October",10,U726="November",11,U726="December",12)</f>
        <v>5</v>
      </c>
    </row>
    <row r="727" spans="1:23" ht="15.75" customHeight="1" x14ac:dyDescent="0.25">
      <c r="A727" s="2" t="s">
        <v>1680</v>
      </c>
      <c r="B727" s="3">
        <v>45792.682291666657</v>
      </c>
      <c r="C727" s="2" t="s">
        <v>181</v>
      </c>
      <c r="D727" s="2" t="s">
        <v>182</v>
      </c>
      <c r="E727" s="2" t="s">
        <v>104</v>
      </c>
      <c r="F727" s="2" t="str" cm="1">
        <f t="array" ref="F727:G727">_xlfn.TEXTSPLIT(E727," - ")</f>
        <v>Bawang Merah</v>
      </c>
      <c r="G727" s="2" t="str">
        <v>Brand A</v>
      </c>
      <c r="H727" s="5">
        <v>30000</v>
      </c>
      <c r="I727" s="2">
        <v>1</v>
      </c>
      <c r="J727" s="2">
        <v>10</v>
      </c>
      <c r="K727" s="8">
        <f t="shared" si="66"/>
        <v>30000</v>
      </c>
      <c r="L727" s="8">
        <f t="shared" si="67"/>
        <v>3000</v>
      </c>
      <c r="M727" s="8">
        <f t="shared" si="68"/>
        <v>27000</v>
      </c>
      <c r="N727" s="5">
        <v>0</v>
      </c>
      <c r="O727" s="8">
        <f t="shared" si="69"/>
        <v>27000</v>
      </c>
      <c r="P727" s="2" t="s">
        <v>35</v>
      </c>
      <c r="Q727" s="10" t="str">
        <f>VLOOKUP(A727,Status!A:B,2,0)</f>
        <v>Completed</v>
      </c>
      <c r="R727" s="2" t="s">
        <v>46</v>
      </c>
      <c r="S727" s="2">
        <v>3</v>
      </c>
      <c r="T727" s="2" t="s">
        <v>24</v>
      </c>
      <c r="U727" s="10" t="str">
        <f t="shared" si="71"/>
        <v>May</v>
      </c>
      <c r="V727" s="10">
        <f t="shared" si="70"/>
        <v>2025</v>
      </c>
      <c r="W727" cm="1">
        <f t="array" ref="W727">_xlfn.IFS(U727="January",1,U727="February",2,U727="March",3,U727="April",4,U727="May",5,U727="June",6,U727="July",7,U727="August",8,U727="September",9,U727="October",10,U727="November",11,U727="December",12)</f>
        <v>5</v>
      </c>
    </row>
    <row r="728" spans="1:23" ht="15.75" customHeight="1" x14ac:dyDescent="0.25">
      <c r="A728" s="2" t="s">
        <v>1681</v>
      </c>
      <c r="B728" s="3">
        <v>45792.786874999998</v>
      </c>
      <c r="C728" s="2" t="s">
        <v>434</v>
      </c>
      <c r="D728" s="2" t="s">
        <v>435</v>
      </c>
      <c r="E728" s="2" t="s">
        <v>34</v>
      </c>
      <c r="F728" s="2" t="str" cm="1">
        <f t="array" ref="F728:G728">_xlfn.TEXTSPLIT(E728," - ")</f>
        <v>Minyak Goreng</v>
      </c>
      <c r="G728" s="2" t="str">
        <v>Brand A</v>
      </c>
      <c r="H728" s="5">
        <v>16000</v>
      </c>
      <c r="I728" s="2">
        <v>1</v>
      </c>
      <c r="J728" s="2">
        <v>10</v>
      </c>
      <c r="K728" s="8">
        <f t="shared" si="66"/>
        <v>16000</v>
      </c>
      <c r="L728" s="8">
        <f t="shared" si="67"/>
        <v>1600</v>
      </c>
      <c r="M728" s="8">
        <f t="shared" si="68"/>
        <v>14400</v>
      </c>
      <c r="N728" s="5">
        <v>67000</v>
      </c>
      <c r="O728" s="8">
        <f t="shared" si="69"/>
        <v>81400</v>
      </c>
      <c r="P728" s="2" t="s">
        <v>29</v>
      </c>
      <c r="Q728" s="10" t="str">
        <f>VLOOKUP(A728,Status!A:B,2,0)</f>
        <v>Completed</v>
      </c>
      <c r="R728" s="2" t="s">
        <v>23</v>
      </c>
      <c r="S728" s="2">
        <v>2</v>
      </c>
      <c r="T728" s="2" t="s">
        <v>24</v>
      </c>
      <c r="U728" s="10" t="str">
        <f t="shared" si="71"/>
        <v>May</v>
      </c>
      <c r="V728" s="10">
        <f t="shared" si="70"/>
        <v>2025</v>
      </c>
      <c r="W728" cm="1">
        <f t="array" ref="W728">_xlfn.IFS(U728="January",1,U728="February",2,U728="March",3,U728="April",4,U728="May",5,U728="June",6,U728="July",7,U728="August",8,U728="September",9,U728="October",10,U728="November",11,U728="December",12)</f>
        <v>5</v>
      </c>
    </row>
    <row r="729" spans="1:23" ht="15.75" customHeight="1" x14ac:dyDescent="0.25">
      <c r="A729" s="2" t="s">
        <v>1682</v>
      </c>
      <c r="B729" s="3">
        <v>45793.144826388889</v>
      </c>
      <c r="C729" s="2" t="s">
        <v>412</v>
      </c>
      <c r="D729" s="2" t="s">
        <v>70</v>
      </c>
      <c r="E729" s="2" t="s">
        <v>34</v>
      </c>
      <c r="F729" s="2" t="str" cm="1">
        <f t="array" ref="F729:G729">_xlfn.TEXTSPLIT(E729," - ")</f>
        <v>Minyak Goreng</v>
      </c>
      <c r="G729" s="2" t="str">
        <v>Brand A</v>
      </c>
      <c r="H729" s="5">
        <v>16000</v>
      </c>
      <c r="I729" s="2">
        <v>1</v>
      </c>
      <c r="J729" s="2">
        <v>0</v>
      </c>
      <c r="K729" s="8">
        <f t="shared" si="66"/>
        <v>16000</v>
      </c>
      <c r="L729" s="8">
        <f t="shared" si="67"/>
        <v>0</v>
      </c>
      <c r="M729" s="8">
        <f t="shared" si="68"/>
        <v>16000</v>
      </c>
      <c r="N729" s="5">
        <v>89000</v>
      </c>
      <c r="O729" s="8">
        <f t="shared" si="69"/>
        <v>105000</v>
      </c>
      <c r="P729" s="2" t="s">
        <v>22</v>
      </c>
      <c r="Q729" s="10" t="str">
        <f>VLOOKUP(A729,Status!A:B,2,0)</f>
        <v>Completed</v>
      </c>
      <c r="R729" s="2" t="s">
        <v>36</v>
      </c>
      <c r="S729" s="2">
        <v>5</v>
      </c>
      <c r="T729" s="2" t="s">
        <v>24</v>
      </c>
      <c r="U729" s="10" t="str">
        <f t="shared" si="71"/>
        <v>May</v>
      </c>
      <c r="V729" s="10">
        <f t="shared" si="70"/>
        <v>2025</v>
      </c>
      <c r="W729" cm="1">
        <f t="array" ref="W729">_xlfn.IFS(U729="January",1,U729="February",2,U729="March",3,U729="April",4,U729="May",5,U729="June",6,U729="July",7,U729="August",8,U729="September",9,U729="October",10,U729="November",11,U729="December",12)</f>
        <v>5</v>
      </c>
    </row>
    <row r="730" spans="1:23" ht="15.75" customHeight="1" x14ac:dyDescent="0.25">
      <c r="A730" s="2" t="s">
        <v>1683</v>
      </c>
      <c r="B730" s="3">
        <v>45793.158506944441</v>
      </c>
      <c r="C730" s="2" t="s">
        <v>91</v>
      </c>
      <c r="D730" s="2" t="s">
        <v>92</v>
      </c>
      <c r="E730" s="2" t="s">
        <v>67</v>
      </c>
      <c r="F730" s="2" t="str" cm="1">
        <f t="array" ref="F730:G730">_xlfn.TEXTSPLIT(E730," - ")</f>
        <v>Beras</v>
      </c>
      <c r="G730" s="2" t="str">
        <v>Brand B</v>
      </c>
      <c r="H730" s="5">
        <v>15000</v>
      </c>
      <c r="I730" s="2">
        <v>3</v>
      </c>
      <c r="J730" s="2">
        <v>5</v>
      </c>
      <c r="K730" s="8">
        <f t="shared" si="66"/>
        <v>45000</v>
      </c>
      <c r="L730" s="8">
        <f t="shared" si="67"/>
        <v>2250</v>
      </c>
      <c r="M730" s="8">
        <f t="shared" si="68"/>
        <v>42750</v>
      </c>
      <c r="N730" s="5">
        <v>30000</v>
      </c>
      <c r="O730" s="8">
        <f t="shared" si="69"/>
        <v>72750</v>
      </c>
      <c r="P730" s="2" t="s">
        <v>22</v>
      </c>
      <c r="Q730" s="10" t="str">
        <f>VLOOKUP(A730,Status!A:B,2,0)</f>
        <v>Completed</v>
      </c>
      <c r="R730" s="2" t="s">
        <v>82</v>
      </c>
      <c r="S730" s="2">
        <v>2</v>
      </c>
      <c r="T730" s="2" t="s">
        <v>24</v>
      </c>
      <c r="U730" s="10" t="str">
        <f t="shared" si="71"/>
        <v>May</v>
      </c>
      <c r="V730" s="10">
        <f t="shared" si="70"/>
        <v>2025</v>
      </c>
      <c r="W730" cm="1">
        <f t="array" ref="W730">_xlfn.IFS(U730="January",1,U730="February",2,U730="March",3,U730="April",4,U730="May",5,U730="June",6,U730="July",7,U730="August",8,U730="September",9,U730="October",10,U730="November",11,U730="December",12)</f>
        <v>5</v>
      </c>
    </row>
    <row r="731" spans="1:23" ht="15.75" customHeight="1" x14ac:dyDescent="0.25">
      <c r="A731" s="2" t="s">
        <v>1684</v>
      </c>
      <c r="B731" s="3">
        <v>45793.745891203696</v>
      </c>
      <c r="C731" s="2" t="s">
        <v>214</v>
      </c>
      <c r="D731" s="2" t="s">
        <v>131</v>
      </c>
      <c r="E731" s="2" t="s">
        <v>144</v>
      </c>
      <c r="F731" s="2" t="str" cm="1">
        <f t="array" ref="F731:G731">_xlfn.TEXTSPLIT(E731," - ")</f>
        <v>Gula Pasir</v>
      </c>
      <c r="G731" s="2" t="str">
        <v>Brand C</v>
      </c>
      <c r="H731" s="5">
        <v>18000</v>
      </c>
      <c r="I731" s="2">
        <v>4</v>
      </c>
      <c r="J731" s="2">
        <v>15</v>
      </c>
      <c r="K731" s="8">
        <f t="shared" si="66"/>
        <v>72000</v>
      </c>
      <c r="L731" s="8">
        <f t="shared" si="67"/>
        <v>10800</v>
      </c>
      <c r="M731" s="8">
        <f t="shared" si="68"/>
        <v>61200</v>
      </c>
      <c r="N731" s="5">
        <v>59000</v>
      </c>
      <c r="O731" s="8">
        <f t="shared" si="69"/>
        <v>120200</v>
      </c>
      <c r="P731" s="2" t="s">
        <v>63</v>
      </c>
      <c r="Q731" s="10" t="str">
        <f>VLOOKUP(A731,Status!A:B,2,0)</f>
        <v>Returned</v>
      </c>
      <c r="R731" s="2" t="s">
        <v>30</v>
      </c>
      <c r="S731" s="2">
        <v>4</v>
      </c>
      <c r="T731" s="2" t="s">
        <v>24</v>
      </c>
      <c r="U731" s="10" t="str">
        <f t="shared" si="71"/>
        <v>May</v>
      </c>
      <c r="V731" s="10">
        <f t="shared" si="70"/>
        <v>2025</v>
      </c>
      <c r="W731" cm="1">
        <f t="array" ref="W731">_xlfn.IFS(U731="January",1,U731="February",2,U731="March",3,U731="April",4,U731="May",5,U731="June",6,U731="July",7,U731="August",8,U731="September",9,U731="October",10,U731="November",11,U731="December",12)</f>
        <v>5</v>
      </c>
    </row>
    <row r="732" spans="1:23" ht="15.75" customHeight="1" x14ac:dyDescent="0.25">
      <c r="A732" s="2" t="s">
        <v>1685</v>
      </c>
      <c r="B732" s="3">
        <v>45793.898761574077</v>
      </c>
      <c r="C732" s="2" t="s">
        <v>246</v>
      </c>
      <c r="D732" s="2" t="s">
        <v>238</v>
      </c>
      <c r="E732" s="2" t="s">
        <v>190</v>
      </c>
      <c r="F732" s="2" t="str" cm="1">
        <f t="array" ref="F732:G732">_xlfn.TEXTSPLIT(E732," - ")</f>
        <v>Bawang Merah</v>
      </c>
      <c r="G732" s="2" t="str">
        <v>Brand B</v>
      </c>
      <c r="H732" s="5">
        <v>35000</v>
      </c>
      <c r="I732" s="2">
        <v>1</v>
      </c>
      <c r="J732" s="2">
        <v>15</v>
      </c>
      <c r="K732" s="8">
        <f t="shared" si="66"/>
        <v>35000</v>
      </c>
      <c r="L732" s="8">
        <f t="shared" si="67"/>
        <v>5250</v>
      </c>
      <c r="M732" s="8">
        <f t="shared" si="68"/>
        <v>29750</v>
      </c>
      <c r="N732" s="5">
        <v>28000</v>
      </c>
      <c r="O732" s="8">
        <f t="shared" si="69"/>
        <v>57750</v>
      </c>
      <c r="P732" s="2" t="s">
        <v>22</v>
      </c>
      <c r="Q732" s="10" t="str">
        <f>VLOOKUP(A732,Status!A:B,2,0)</f>
        <v>Completed</v>
      </c>
      <c r="R732" s="2" t="s">
        <v>23</v>
      </c>
      <c r="S732" s="2">
        <v>4</v>
      </c>
      <c r="T732" s="2" t="s">
        <v>24</v>
      </c>
      <c r="U732" s="10" t="str">
        <f t="shared" si="71"/>
        <v>May</v>
      </c>
      <c r="V732" s="10">
        <f t="shared" si="70"/>
        <v>2025</v>
      </c>
      <c r="W732" cm="1">
        <f t="array" ref="W732">_xlfn.IFS(U732="January",1,U732="February",2,U732="March",3,U732="April",4,U732="May",5,U732="June",6,U732="July",7,U732="August",8,U732="September",9,U732="October",10,U732="November",11,U732="December",12)</f>
        <v>5</v>
      </c>
    </row>
    <row r="733" spans="1:23" ht="15.75" customHeight="1" x14ac:dyDescent="0.25">
      <c r="A733" s="2" t="s">
        <v>1686</v>
      </c>
      <c r="B733" s="3">
        <v>45793.992638888893</v>
      </c>
      <c r="C733" s="2" t="s">
        <v>316</v>
      </c>
      <c r="D733" s="2" t="s">
        <v>244</v>
      </c>
      <c r="E733" s="2" t="s">
        <v>75</v>
      </c>
      <c r="F733" s="2" t="str" cm="1">
        <f t="array" ref="F733:G733">_xlfn.TEXTSPLIT(E733," - ")</f>
        <v>Susu Bubuk</v>
      </c>
      <c r="G733" s="2" t="str">
        <v>Brand C</v>
      </c>
      <c r="H733" s="5">
        <v>55000</v>
      </c>
      <c r="I733" s="2">
        <v>4</v>
      </c>
      <c r="J733" s="2">
        <v>15</v>
      </c>
      <c r="K733" s="8">
        <f t="shared" si="66"/>
        <v>220000</v>
      </c>
      <c r="L733" s="8">
        <f t="shared" si="67"/>
        <v>33000</v>
      </c>
      <c r="M733" s="8">
        <f t="shared" si="68"/>
        <v>187000</v>
      </c>
      <c r="N733" s="5">
        <v>80000</v>
      </c>
      <c r="O733" s="8">
        <f t="shared" si="69"/>
        <v>267000</v>
      </c>
      <c r="P733" s="2" t="s">
        <v>35</v>
      </c>
      <c r="Q733" s="10" t="str">
        <f>VLOOKUP(A733,Status!A:B,2,0)</f>
        <v>Completed</v>
      </c>
      <c r="R733" s="2" t="s">
        <v>82</v>
      </c>
      <c r="S733" s="2">
        <v>2</v>
      </c>
      <c r="T733" s="2" t="s">
        <v>24</v>
      </c>
      <c r="U733" s="10" t="str">
        <f t="shared" si="71"/>
        <v>May</v>
      </c>
      <c r="V733" s="10">
        <f t="shared" si="70"/>
        <v>2025</v>
      </c>
      <c r="W733" cm="1">
        <f t="array" ref="W733">_xlfn.IFS(U733="January",1,U733="February",2,U733="March",3,U733="April",4,U733="May",5,U733="June",6,U733="July",7,U733="August",8,U733="September",9,U733="October",10,U733="November",11,U733="December",12)</f>
        <v>5</v>
      </c>
    </row>
    <row r="734" spans="1:23" ht="15.75" customHeight="1" x14ac:dyDescent="0.25">
      <c r="A734" s="2" t="s">
        <v>1687</v>
      </c>
      <c r="B734" s="3">
        <v>45794.427870370368</v>
      </c>
      <c r="C734" s="2" t="s">
        <v>100</v>
      </c>
      <c r="D734" s="2" t="s">
        <v>66</v>
      </c>
      <c r="E734" s="2" t="s">
        <v>144</v>
      </c>
      <c r="F734" s="2" t="str" cm="1">
        <f t="array" ref="F734:G734">_xlfn.TEXTSPLIT(E734," - ")</f>
        <v>Gula Pasir</v>
      </c>
      <c r="G734" s="2" t="str">
        <v>Brand C</v>
      </c>
      <c r="H734" s="5">
        <v>18000</v>
      </c>
      <c r="I734" s="2">
        <v>1</v>
      </c>
      <c r="J734" s="2">
        <v>10</v>
      </c>
      <c r="K734" s="8">
        <f t="shared" si="66"/>
        <v>18000</v>
      </c>
      <c r="L734" s="8">
        <f t="shared" si="67"/>
        <v>1800</v>
      </c>
      <c r="M734" s="8">
        <f t="shared" si="68"/>
        <v>16200</v>
      </c>
      <c r="N734" s="5">
        <v>59000</v>
      </c>
      <c r="O734" s="8">
        <f t="shared" si="69"/>
        <v>75200</v>
      </c>
      <c r="P734" s="2" t="s">
        <v>63</v>
      </c>
      <c r="Q734" s="10" t="str">
        <f>VLOOKUP(A734,Status!A:B,2,0)</f>
        <v>Completed</v>
      </c>
      <c r="R734" s="2" t="s">
        <v>46</v>
      </c>
      <c r="S734" s="2">
        <v>2</v>
      </c>
      <c r="T734" s="2" t="s">
        <v>24</v>
      </c>
      <c r="U734" s="10" t="str">
        <f t="shared" si="71"/>
        <v>May</v>
      </c>
      <c r="V734" s="10">
        <f t="shared" si="70"/>
        <v>2025</v>
      </c>
      <c r="W734" cm="1">
        <f t="array" ref="W734">_xlfn.IFS(U734="January",1,U734="February",2,U734="March",3,U734="April",4,U734="May",5,U734="June",6,U734="July",7,U734="August",8,U734="September",9,U734="October",10,U734="November",11,U734="December",12)</f>
        <v>5</v>
      </c>
    </row>
    <row r="735" spans="1:23" ht="15.75" customHeight="1" x14ac:dyDescent="0.25">
      <c r="A735" s="2" t="s">
        <v>1688</v>
      </c>
      <c r="B735" s="3">
        <v>45794.592037037037</v>
      </c>
      <c r="C735" s="2" t="s">
        <v>796</v>
      </c>
      <c r="D735" s="2" t="s">
        <v>119</v>
      </c>
      <c r="E735" s="2" t="s">
        <v>85</v>
      </c>
      <c r="F735" s="2" t="str" cm="1">
        <f t="array" ref="F735:G735">_xlfn.TEXTSPLIT(E735," - ")</f>
        <v>Daging Ayam</v>
      </c>
      <c r="G735" s="2" t="str">
        <v>Brand A</v>
      </c>
      <c r="H735" s="5">
        <v>35000</v>
      </c>
      <c r="I735" s="2">
        <v>4</v>
      </c>
      <c r="J735" s="2">
        <v>20</v>
      </c>
      <c r="K735" s="8">
        <f t="shared" si="66"/>
        <v>140000</v>
      </c>
      <c r="L735" s="8">
        <f t="shared" si="67"/>
        <v>28000</v>
      </c>
      <c r="M735" s="8">
        <f t="shared" si="68"/>
        <v>112000</v>
      </c>
      <c r="N735" s="5">
        <v>0</v>
      </c>
      <c r="O735" s="8">
        <f t="shared" si="69"/>
        <v>112000</v>
      </c>
      <c r="P735" s="2" t="s">
        <v>22</v>
      </c>
      <c r="Q735" s="10" t="str">
        <f>VLOOKUP(A735,Status!A:B,2,0)</f>
        <v>Returned</v>
      </c>
      <c r="R735" s="2" t="s">
        <v>30</v>
      </c>
      <c r="S735" s="2">
        <v>1</v>
      </c>
      <c r="T735" s="2" t="s">
        <v>24</v>
      </c>
      <c r="U735" s="10" t="str">
        <f t="shared" si="71"/>
        <v>May</v>
      </c>
      <c r="V735" s="10">
        <f t="shared" si="70"/>
        <v>2025</v>
      </c>
      <c r="W735" cm="1">
        <f t="array" ref="W735">_xlfn.IFS(U735="January",1,U735="February",2,U735="March",3,U735="April",4,U735="May",5,U735="June",6,U735="July",7,U735="August",8,U735="September",9,U735="October",10,U735="November",11,U735="December",12)</f>
        <v>5</v>
      </c>
    </row>
    <row r="736" spans="1:23" ht="15.75" customHeight="1" x14ac:dyDescent="0.25">
      <c r="A736" s="2" t="s">
        <v>1689</v>
      </c>
      <c r="B736" s="3">
        <v>45794.908113425918</v>
      </c>
      <c r="C736" s="2" t="s">
        <v>510</v>
      </c>
      <c r="D736" s="2" t="s">
        <v>96</v>
      </c>
      <c r="E736" s="2" t="s">
        <v>186</v>
      </c>
      <c r="F736" s="2" t="str" cm="1">
        <f t="array" ref="F736:G736">_xlfn.TEXTSPLIT(E736," - ")</f>
        <v>Susu Bubuk</v>
      </c>
      <c r="G736" s="2" t="str">
        <v>Brand A</v>
      </c>
      <c r="H736" s="5">
        <v>45000</v>
      </c>
      <c r="I736" s="2">
        <v>4</v>
      </c>
      <c r="J736" s="2">
        <v>15</v>
      </c>
      <c r="K736" s="8">
        <f t="shared" si="66"/>
        <v>180000</v>
      </c>
      <c r="L736" s="8">
        <f t="shared" si="67"/>
        <v>27000</v>
      </c>
      <c r="M736" s="8">
        <f t="shared" si="68"/>
        <v>153000</v>
      </c>
      <c r="N736" s="5">
        <v>49000</v>
      </c>
      <c r="O736" s="8">
        <f t="shared" si="69"/>
        <v>202000</v>
      </c>
      <c r="P736" s="2" t="s">
        <v>29</v>
      </c>
      <c r="Q736" s="10" t="str">
        <f>VLOOKUP(A736,Status!A:B,2,0)</f>
        <v>Cancelled</v>
      </c>
      <c r="R736" s="2" t="s">
        <v>30</v>
      </c>
      <c r="S736" s="2">
        <v>3</v>
      </c>
      <c r="T736" s="2" t="s">
        <v>24</v>
      </c>
      <c r="U736" s="10" t="str">
        <f t="shared" si="71"/>
        <v>May</v>
      </c>
      <c r="V736" s="10">
        <f t="shared" si="70"/>
        <v>2025</v>
      </c>
      <c r="W736" cm="1">
        <f t="array" ref="W736">_xlfn.IFS(U736="January",1,U736="February",2,U736="March",3,U736="April",4,U736="May",5,U736="June",6,U736="July",7,U736="August",8,U736="September",9,U736="October",10,U736="November",11,U736="December",12)</f>
        <v>5</v>
      </c>
    </row>
    <row r="737" spans="1:23" ht="15.75" customHeight="1" x14ac:dyDescent="0.25">
      <c r="A737" s="2" t="s">
        <v>1690</v>
      </c>
      <c r="B737" s="3">
        <v>45795.023715277777</v>
      </c>
      <c r="C737" s="2" t="s">
        <v>1666</v>
      </c>
      <c r="D737" s="2" t="s">
        <v>296</v>
      </c>
      <c r="E737" s="2" t="s">
        <v>62</v>
      </c>
      <c r="F737" s="2" t="str" cm="1">
        <f t="array" ref="F737:G737">_xlfn.TEXTSPLIT(E737," - ")</f>
        <v>Susu Bubuk</v>
      </c>
      <c r="G737" s="2" t="str">
        <v>Brand B</v>
      </c>
      <c r="H737" s="5">
        <v>50000</v>
      </c>
      <c r="I737" s="2">
        <v>1</v>
      </c>
      <c r="J737" s="2">
        <v>20</v>
      </c>
      <c r="K737" s="8">
        <f t="shared" si="66"/>
        <v>50000</v>
      </c>
      <c r="L737" s="8">
        <f t="shared" si="67"/>
        <v>10000</v>
      </c>
      <c r="M737" s="8">
        <f t="shared" si="68"/>
        <v>40000</v>
      </c>
      <c r="N737" s="5">
        <v>79000</v>
      </c>
      <c r="O737" s="8">
        <f t="shared" si="69"/>
        <v>119000</v>
      </c>
      <c r="P737" s="2" t="s">
        <v>35</v>
      </c>
      <c r="Q737" s="10" t="str">
        <f>VLOOKUP(A737,Status!A:B,2,0)</f>
        <v>Returned</v>
      </c>
      <c r="R737" s="2" t="s">
        <v>46</v>
      </c>
      <c r="S737" s="2">
        <v>4</v>
      </c>
      <c r="T737" s="2" t="s">
        <v>37</v>
      </c>
      <c r="U737" s="10" t="str">
        <f t="shared" si="71"/>
        <v>May</v>
      </c>
      <c r="V737" s="10">
        <f t="shared" si="70"/>
        <v>2025</v>
      </c>
      <c r="W737" cm="1">
        <f t="array" ref="W737">_xlfn.IFS(U737="January",1,U737="February",2,U737="March",3,U737="April",4,U737="May",5,U737="June",6,U737="July",7,U737="August",8,U737="September",9,U737="October",10,U737="November",11,U737="December",12)</f>
        <v>5</v>
      </c>
    </row>
    <row r="738" spans="1:23" ht="15.75" customHeight="1" x14ac:dyDescent="0.25">
      <c r="A738" s="2" t="s">
        <v>1691</v>
      </c>
      <c r="B738" s="3">
        <v>45795.204236111109</v>
      </c>
      <c r="C738" s="2" t="s">
        <v>1083</v>
      </c>
      <c r="D738" s="2" t="s">
        <v>170</v>
      </c>
      <c r="E738" s="2" t="s">
        <v>34</v>
      </c>
      <c r="F738" s="2" t="str" cm="1">
        <f t="array" ref="F738:G738">_xlfn.TEXTSPLIT(E738," - ")</f>
        <v>Minyak Goreng</v>
      </c>
      <c r="G738" s="2" t="str">
        <v>Brand A</v>
      </c>
      <c r="H738" s="5">
        <v>16000</v>
      </c>
      <c r="I738" s="2">
        <v>2</v>
      </c>
      <c r="J738" s="2">
        <v>15</v>
      </c>
      <c r="K738" s="8">
        <f t="shared" si="66"/>
        <v>32000</v>
      </c>
      <c r="L738" s="8">
        <f t="shared" si="67"/>
        <v>4800</v>
      </c>
      <c r="M738" s="8">
        <f t="shared" si="68"/>
        <v>27200</v>
      </c>
      <c r="N738" s="5">
        <v>46000</v>
      </c>
      <c r="O738" s="8">
        <f t="shared" si="69"/>
        <v>73200</v>
      </c>
      <c r="P738" s="2" t="s">
        <v>63</v>
      </c>
      <c r="Q738" s="10" t="str">
        <f>VLOOKUP(A738,Status!A:B,2,0)</f>
        <v>Completed</v>
      </c>
      <c r="R738" s="2" t="s">
        <v>46</v>
      </c>
      <c r="S738" s="2">
        <v>3</v>
      </c>
      <c r="T738" s="2" t="s">
        <v>24</v>
      </c>
      <c r="U738" s="10" t="str">
        <f t="shared" si="71"/>
        <v>May</v>
      </c>
      <c r="V738" s="10">
        <f t="shared" si="70"/>
        <v>2025</v>
      </c>
      <c r="W738" cm="1">
        <f t="array" ref="W738">_xlfn.IFS(U738="January",1,U738="February",2,U738="March",3,U738="April",4,U738="May",5,U738="June",6,U738="July",7,U738="August",8,U738="September",9,U738="October",10,U738="November",11,U738="December",12)</f>
        <v>5</v>
      </c>
    </row>
    <row r="739" spans="1:23" ht="15.75" customHeight="1" x14ac:dyDescent="0.25">
      <c r="A739" s="2" t="s">
        <v>1692</v>
      </c>
      <c r="B739" s="3">
        <v>45795.617013888892</v>
      </c>
      <c r="C739" s="2" t="s">
        <v>102</v>
      </c>
      <c r="D739" s="2" t="s">
        <v>103</v>
      </c>
      <c r="E739" s="2" t="s">
        <v>81</v>
      </c>
      <c r="F739" s="2" t="str" cm="1">
        <f t="array" ref="F739:G739">_xlfn.TEXTSPLIT(E739," - ")</f>
        <v>Minyak Goreng</v>
      </c>
      <c r="G739" s="2" t="str">
        <v>Brand B</v>
      </c>
      <c r="H739" s="5">
        <v>17000</v>
      </c>
      <c r="I739" s="2">
        <v>2</v>
      </c>
      <c r="J739" s="2">
        <v>5</v>
      </c>
      <c r="K739" s="8">
        <f t="shared" si="66"/>
        <v>34000</v>
      </c>
      <c r="L739" s="8">
        <f t="shared" si="67"/>
        <v>1700</v>
      </c>
      <c r="M739" s="8">
        <f t="shared" si="68"/>
        <v>32300</v>
      </c>
      <c r="N739" s="5">
        <v>85000</v>
      </c>
      <c r="O739" s="8">
        <f t="shared" si="69"/>
        <v>117300</v>
      </c>
      <c r="P739" s="2" t="s">
        <v>29</v>
      </c>
      <c r="Q739" s="10" t="str">
        <f>VLOOKUP(A739,Status!A:B,2,0)</f>
        <v>Completed</v>
      </c>
      <c r="R739" s="2" t="s">
        <v>30</v>
      </c>
      <c r="S739" s="2">
        <v>3</v>
      </c>
      <c r="T739" s="2" t="s">
        <v>24</v>
      </c>
      <c r="U739" s="10" t="str">
        <f t="shared" si="71"/>
        <v>May</v>
      </c>
      <c r="V739" s="10">
        <f t="shared" si="70"/>
        <v>2025</v>
      </c>
      <c r="W739" cm="1">
        <f t="array" ref="W739">_xlfn.IFS(U739="January",1,U739="February",2,U739="March",3,U739="April",4,U739="May",5,U739="June",6,U739="July",7,U739="August",8,U739="September",9,U739="October",10,U739="November",11,U739="December",12)</f>
        <v>5</v>
      </c>
    </row>
    <row r="740" spans="1:23" ht="15.75" customHeight="1" x14ac:dyDescent="0.25">
      <c r="A740" s="2" t="s">
        <v>1693</v>
      </c>
      <c r="B740" s="3">
        <v>45795.916666666657</v>
      </c>
      <c r="C740" s="2" t="s">
        <v>776</v>
      </c>
      <c r="D740" s="2" t="s">
        <v>103</v>
      </c>
      <c r="E740" s="2" t="s">
        <v>250</v>
      </c>
      <c r="F740" s="2" t="str" cm="1">
        <f t="array" ref="F740:G740">_xlfn.TEXTSPLIT(E740," - ")</f>
        <v>Minyak Goreng</v>
      </c>
      <c r="G740" s="2" t="str">
        <v>Brand C</v>
      </c>
      <c r="H740" s="5">
        <v>18000</v>
      </c>
      <c r="I740" s="2">
        <v>3</v>
      </c>
      <c r="J740" s="2">
        <v>5</v>
      </c>
      <c r="K740" s="8">
        <f t="shared" si="66"/>
        <v>54000</v>
      </c>
      <c r="L740" s="8">
        <f t="shared" si="67"/>
        <v>2700</v>
      </c>
      <c r="M740" s="8">
        <f t="shared" si="68"/>
        <v>51300</v>
      </c>
      <c r="N740" s="5">
        <v>85000</v>
      </c>
      <c r="O740" s="8">
        <f t="shared" si="69"/>
        <v>136300</v>
      </c>
      <c r="P740" s="2" t="s">
        <v>29</v>
      </c>
      <c r="Q740" s="10" t="str">
        <f>VLOOKUP(A740,Status!A:B,2,0)</f>
        <v>Completed</v>
      </c>
      <c r="R740" s="2" t="s">
        <v>30</v>
      </c>
      <c r="S740" s="2">
        <v>5</v>
      </c>
      <c r="T740" s="2" t="s">
        <v>24</v>
      </c>
      <c r="U740" s="10" t="str">
        <f t="shared" si="71"/>
        <v>May</v>
      </c>
      <c r="V740" s="10">
        <f t="shared" si="70"/>
        <v>2025</v>
      </c>
      <c r="W740" cm="1">
        <f t="array" ref="W740">_xlfn.IFS(U740="January",1,U740="February",2,U740="March",3,U740="April",4,U740="May",5,U740="June",6,U740="July",7,U740="August",8,U740="September",9,U740="October",10,U740="November",11,U740="December",12)</f>
        <v>5</v>
      </c>
    </row>
    <row r="741" spans="1:23" ht="15.75" customHeight="1" x14ac:dyDescent="0.25">
      <c r="A741" s="2" t="s">
        <v>1694</v>
      </c>
      <c r="B741" s="3">
        <v>45795.935960648138</v>
      </c>
      <c r="C741" s="2" t="s">
        <v>644</v>
      </c>
      <c r="D741" s="2" t="s">
        <v>244</v>
      </c>
      <c r="E741" s="2" t="s">
        <v>81</v>
      </c>
      <c r="F741" s="2" t="str" cm="1">
        <f t="array" ref="F741:G741">_xlfn.TEXTSPLIT(E741," - ")</f>
        <v>Minyak Goreng</v>
      </c>
      <c r="G741" s="2" t="str">
        <v>Brand B</v>
      </c>
      <c r="H741" s="5">
        <v>17000</v>
      </c>
      <c r="I741" s="2">
        <v>4</v>
      </c>
      <c r="J741" s="2">
        <v>15</v>
      </c>
      <c r="K741" s="8">
        <f t="shared" si="66"/>
        <v>68000</v>
      </c>
      <c r="L741" s="8">
        <f t="shared" si="67"/>
        <v>10200</v>
      </c>
      <c r="M741" s="8">
        <f t="shared" si="68"/>
        <v>57800</v>
      </c>
      <c r="N741" s="5">
        <v>80000</v>
      </c>
      <c r="O741" s="8">
        <f t="shared" si="69"/>
        <v>137800</v>
      </c>
      <c r="P741" s="2" t="s">
        <v>29</v>
      </c>
      <c r="Q741" s="10" t="str">
        <f>VLOOKUP(A741,Status!A:B,2,0)</f>
        <v>Completed</v>
      </c>
      <c r="R741" s="2" t="s">
        <v>23</v>
      </c>
      <c r="S741" s="2">
        <v>4</v>
      </c>
      <c r="T741" s="2" t="s">
        <v>24</v>
      </c>
      <c r="U741" s="10" t="str">
        <f t="shared" si="71"/>
        <v>May</v>
      </c>
      <c r="V741" s="10">
        <f t="shared" si="70"/>
        <v>2025</v>
      </c>
      <c r="W741" cm="1">
        <f t="array" ref="W741">_xlfn.IFS(U741="January",1,U741="February",2,U741="March",3,U741="April",4,U741="May",5,U741="June",6,U741="July",7,U741="August",8,U741="September",9,U741="October",10,U741="November",11,U741="December",12)</f>
        <v>5</v>
      </c>
    </row>
    <row r="742" spans="1:23" ht="15.75" customHeight="1" x14ac:dyDescent="0.25">
      <c r="A742" s="2" t="s">
        <v>1695</v>
      </c>
      <c r="B742" s="3">
        <v>45795.995428240742</v>
      </c>
      <c r="C742" s="2" t="s">
        <v>1022</v>
      </c>
      <c r="D742" s="2" t="s">
        <v>177</v>
      </c>
      <c r="E742" s="2" t="s">
        <v>75</v>
      </c>
      <c r="F742" s="2" t="str" cm="1">
        <f t="array" ref="F742:G742">_xlfn.TEXTSPLIT(E742," - ")</f>
        <v>Susu Bubuk</v>
      </c>
      <c r="G742" s="2" t="str">
        <v>Brand C</v>
      </c>
      <c r="H742" s="5">
        <v>55000</v>
      </c>
      <c r="I742" s="2">
        <v>3</v>
      </c>
      <c r="J742" s="2">
        <v>5</v>
      </c>
      <c r="K742" s="8">
        <f t="shared" si="66"/>
        <v>165000</v>
      </c>
      <c r="L742" s="8">
        <f t="shared" si="67"/>
        <v>8250</v>
      </c>
      <c r="M742" s="8">
        <f t="shared" si="68"/>
        <v>156750</v>
      </c>
      <c r="N742" s="5">
        <v>56000</v>
      </c>
      <c r="O742" s="8">
        <f t="shared" si="69"/>
        <v>212750</v>
      </c>
      <c r="P742" s="2" t="s">
        <v>22</v>
      </c>
      <c r="Q742" s="10" t="str">
        <f>VLOOKUP(A742,Status!A:B,2,0)</f>
        <v>Completed</v>
      </c>
      <c r="R742" s="2" t="s">
        <v>46</v>
      </c>
      <c r="S742" s="2">
        <v>2</v>
      </c>
      <c r="T742" s="2" t="s">
        <v>24</v>
      </c>
      <c r="U742" s="10" t="str">
        <f t="shared" si="71"/>
        <v>May</v>
      </c>
      <c r="V742" s="10">
        <f t="shared" si="70"/>
        <v>2025</v>
      </c>
      <c r="W742" cm="1">
        <f t="array" ref="W742">_xlfn.IFS(U742="January",1,U742="February",2,U742="March",3,U742="April",4,U742="May",5,U742="June",6,U742="July",7,U742="August",8,U742="September",9,U742="October",10,U742="November",11,U742="December",12)</f>
        <v>5</v>
      </c>
    </row>
    <row r="743" spans="1:23" ht="15.75" customHeight="1" x14ac:dyDescent="0.25">
      <c r="A743" s="2" t="s">
        <v>1696</v>
      </c>
      <c r="B743" s="3">
        <v>45796.087268518517</v>
      </c>
      <c r="C743" s="2" t="s">
        <v>40</v>
      </c>
      <c r="D743" s="2" t="s">
        <v>27</v>
      </c>
      <c r="E743" s="2" t="s">
        <v>50</v>
      </c>
      <c r="F743" s="2" t="str" cm="1">
        <f t="array" ref="F743:G743">_xlfn.TEXTSPLIT(E743," - ")</f>
        <v>Tepung Terigu</v>
      </c>
      <c r="G743" s="2" t="str">
        <v>Brand C</v>
      </c>
      <c r="H743" s="5">
        <v>14000</v>
      </c>
      <c r="I743" s="2">
        <v>2</v>
      </c>
      <c r="J743" s="2">
        <v>20</v>
      </c>
      <c r="K743" s="8">
        <f t="shared" si="66"/>
        <v>28000</v>
      </c>
      <c r="L743" s="8">
        <f t="shared" si="67"/>
        <v>5600</v>
      </c>
      <c r="M743" s="8">
        <f t="shared" si="68"/>
        <v>22400</v>
      </c>
      <c r="N743" s="5">
        <v>17000</v>
      </c>
      <c r="O743" s="8">
        <f t="shared" si="69"/>
        <v>39400</v>
      </c>
      <c r="P743" s="2" t="s">
        <v>22</v>
      </c>
      <c r="Q743" s="10" t="str">
        <f>VLOOKUP(A743,Status!A:B,2,0)</f>
        <v>Completed</v>
      </c>
      <c r="R743" s="2" t="s">
        <v>82</v>
      </c>
      <c r="S743" s="2">
        <v>3</v>
      </c>
      <c r="T743" s="2" t="s">
        <v>24</v>
      </c>
      <c r="U743" s="10" t="str">
        <f t="shared" si="71"/>
        <v>May</v>
      </c>
      <c r="V743" s="10">
        <f t="shared" si="70"/>
        <v>2025</v>
      </c>
      <c r="W743" cm="1">
        <f t="array" ref="W743">_xlfn.IFS(U743="January",1,U743="February",2,U743="March",3,U743="April",4,U743="May",5,U743="June",6,U743="July",7,U743="August",8,U743="September",9,U743="October",10,U743="November",11,U743="December",12)</f>
        <v>5</v>
      </c>
    </row>
    <row r="744" spans="1:23" ht="15.75" customHeight="1" x14ac:dyDescent="0.25">
      <c r="A744" s="2" t="s">
        <v>1697</v>
      </c>
      <c r="B744" s="3">
        <v>45796.263101851851</v>
      </c>
      <c r="C744" s="2" t="s">
        <v>983</v>
      </c>
      <c r="D744" s="2" t="s">
        <v>262</v>
      </c>
      <c r="E744" s="2" t="s">
        <v>45</v>
      </c>
      <c r="F744" s="2" t="str" cm="1">
        <f t="array" ref="F744:G744">_xlfn.TEXTSPLIT(E744," - ")</f>
        <v>Daging Ayam</v>
      </c>
      <c r="G744" s="2" t="str">
        <v>Brand B</v>
      </c>
      <c r="H744" s="5">
        <v>40000</v>
      </c>
      <c r="I744" s="2">
        <v>2</v>
      </c>
      <c r="J744" s="2">
        <v>5</v>
      </c>
      <c r="K744" s="8">
        <f t="shared" si="66"/>
        <v>80000</v>
      </c>
      <c r="L744" s="8">
        <f t="shared" si="67"/>
        <v>4000</v>
      </c>
      <c r="M744" s="8">
        <f t="shared" si="68"/>
        <v>76000</v>
      </c>
      <c r="N744" s="5">
        <v>18000</v>
      </c>
      <c r="O744" s="8">
        <f t="shared" si="69"/>
        <v>94000</v>
      </c>
      <c r="P744" s="2" t="s">
        <v>63</v>
      </c>
      <c r="Q744" s="10" t="str">
        <f>VLOOKUP(A744,Status!A:B,2,0)</f>
        <v>Returned</v>
      </c>
      <c r="R744" s="2" t="s">
        <v>82</v>
      </c>
      <c r="S744" s="2">
        <v>5</v>
      </c>
      <c r="T744" s="2" t="s">
        <v>37</v>
      </c>
      <c r="U744" s="10" t="str">
        <f t="shared" si="71"/>
        <v>May</v>
      </c>
      <c r="V744" s="10">
        <f t="shared" si="70"/>
        <v>2025</v>
      </c>
      <c r="W744" cm="1">
        <f t="array" ref="W744">_xlfn.IFS(U744="January",1,U744="February",2,U744="March",3,U744="April",4,U744="May",5,U744="June",6,U744="July",7,U744="August",8,U744="September",9,U744="October",10,U744="November",11,U744="December",12)</f>
        <v>5</v>
      </c>
    </row>
    <row r="745" spans="1:23" ht="15.75" customHeight="1" x14ac:dyDescent="0.25">
      <c r="A745" s="2" t="s">
        <v>1698</v>
      </c>
      <c r="B745" s="3">
        <v>45796.744629629633</v>
      </c>
      <c r="C745" s="2" t="s">
        <v>344</v>
      </c>
      <c r="D745" s="2" t="s">
        <v>195</v>
      </c>
      <c r="E745" s="2" t="s">
        <v>45</v>
      </c>
      <c r="F745" s="2" t="str" cm="1">
        <f t="array" ref="F745:G745">_xlfn.TEXTSPLIT(E745," - ")</f>
        <v>Daging Ayam</v>
      </c>
      <c r="G745" s="2" t="str">
        <v>Brand B</v>
      </c>
      <c r="H745" s="5">
        <v>40000</v>
      </c>
      <c r="I745" s="2">
        <v>1</v>
      </c>
      <c r="J745" s="2">
        <v>0</v>
      </c>
      <c r="K745" s="8">
        <f t="shared" si="66"/>
        <v>40000</v>
      </c>
      <c r="L745" s="8">
        <f t="shared" si="67"/>
        <v>0</v>
      </c>
      <c r="M745" s="8">
        <f t="shared" si="68"/>
        <v>40000</v>
      </c>
      <c r="N745" s="5">
        <v>87000</v>
      </c>
      <c r="O745" s="8">
        <f t="shared" si="69"/>
        <v>127000</v>
      </c>
      <c r="P745" s="2" t="s">
        <v>22</v>
      </c>
      <c r="Q745" s="10" t="str">
        <f>VLOOKUP(A745,Status!A:B,2,0)</f>
        <v>Completed</v>
      </c>
      <c r="R745" s="2" t="s">
        <v>82</v>
      </c>
      <c r="S745" s="2">
        <v>2</v>
      </c>
      <c r="T745" s="2" t="s">
        <v>24</v>
      </c>
      <c r="U745" s="10" t="str">
        <f t="shared" si="71"/>
        <v>May</v>
      </c>
      <c r="V745" s="10">
        <f t="shared" si="70"/>
        <v>2025</v>
      </c>
      <c r="W745" cm="1">
        <f t="array" ref="W745">_xlfn.IFS(U745="January",1,U745="February",2,U745="March",3,U745="April",4,U745="May",5,U745="June",6,U745="July",7,U745="August",8,U745="September",9,U745="October",10,U745="November",11,U745="December",12)</f>
        <v>5</v>
      </c>
    </row>
    <row r="746" spans="1:23" ht="15.75" customHeight="1" x14ac:dyDescent="0.25">
      <c r="A746" s="2" t="s">
        <v>1699</v>
      </c>
      <c r="B746" s="3">
        <v>45797.032719907409</v>
      </c>
      <c r="C746" s="2" t="s">
        <v>148</v>
      </c>
      <c r="D746" s="2" t="s">
        <v>74</v>
      </c>
      <c r="E746" s="2" t="s">
        <v>41</v>
      </c>
      <c r="F746" s="2" t="str" cm="1">
        <f t="array" ref="F746:G746">_xlfn.TEXTSPLIT(E746," - ")</f>
        <v>Garam</v>
      </c>
      <c r="G746" s="2" t="str">
        <v>Brand A</v>
      </c>
      <c r="H746" s="5">
        <v>4000</v>
      </c>
      <c r="I746" s="2">
        <v>3</v>
      </c>
      <c r="J746" s="2">
        <v>10</v>
      </c>
      <c r="K746" s="8">
        <f t="shared" si="66"/>
        <v>12000</v>
      </c>
      <c r="L746" s="8">
        <f t="shared" si="67"/>
        <v>1200</v>
      </c>
      <c r="M746" s="8">
        <f t="shared" si="68"/>
        <v>10800</v>
      </c>
      <c r="N746" s="5">
        <v>87000</v>
      </c>
      <c r="O746" s="8">
        <f t="shared" si="69"/>
        <v>97800</v>
      </c>
      <c r="P746" s="2" t="s">
        <v>29</v>
      </c>
      <c r="Q746" s="10" t="str">
        <f>VLOOKUP(A746,Status!A:B,2,0)</f>
        <v>Returned</v>
      </c>
      <c r="R746" s="2" t="s">
        <v>46</v>
      </c>
      <c r="S746" s="2">
        <v>5</v>
      </c>
      <c r="T746" s="2" t="s">
        <v>24</v>
      </c>
      <c r="U746" s="10" t="str">
        <f t="shared" si="71"/>
        <v>May</v>
      </c>
      <c r="V746" s="10">
        <f t="shared" si="70"/>
        <v>2025</v>
      </c>
      <c r="W746" cm="1">
        <f t="array" ref="W746">_xlfn.IFS(U746="January",1,U746="February",2,U746="March",3,U746="April",4,U746="May",5,U746="June",6,U746="July",7,U746="August",8,U746="September",9,U746="October",10,U746="November",11,U746="December",12)</f>
        <v>5</v>
      </c>
    </row>
    <row r="747" spans="1:23" ht="15.75" customHeight="1" x14ac:dyDescent="0.25">
      <c r="A747" s="2" t="s">
        <v>1700</v>
      </c>
      <c r="B747" s="3">
        <v>45797.425219907411</v>
      </c>
      <c r="C747" s="2" t="s">
        <v>499</v>
      </c>
      <c r="D747" s="2" t="s">
        <v>131</v>
      </c>
      <c r="E747" s="2" t="s">
        <v>174</v>
      </c>
      <c r="F747" s="2" t="str" cm="1">
        <f t="array" ref="F747:G747">_xlfn.TEXTSPLIT(E747," - ")</f>
        <v>Tepung Terigu</v>
      </c>
      <c r="G747" s="2" t="str">
        <v>Brand A</v>
      </c>
      <c r="H747" s="5">
        <v>10000</v>
      </c>
      <c r="I747" s="2">
        <v>3</v>
      </c>
      <c r="J747" s="2">
        <v>0</v>
      </c>
      <c r="K747" s="8">
        <f t="shared" si="66"/>
        <v>30000</v>
      </c>
      <c r="L747" s="8">
        <f t="shared" si="67"/>
        <v>0</v>
      </c>
      <c r="M747" s="8">
        <f t="shared" si="68"/>
        <v>30000</v>
      </c>
      <c r="N747" s="5">
        <v>59000</v>
      </c>
      <c r="O747" s="8">
        <f t="shared" si="69"/>
        <v>89000</v>
      </c>
      <c r="P747" s="2" t="s">
        <v>35</v>
      </c>
      <c r="Q747" s="10" t="str">
        <f>VLOOKUP(A747,Status!A:B,2,0)</f>
        <v>Completed</v>
      </c>
      <c r="R747" s="2" t="s">
        <v>46</v>
      </c>
      <c r="S747" s="2">
        <v>3</v>
      </c>
      <c r="T747" s="2" t="s">
        <v>24</v>
      </c>
      <c r="U747" s="10" t="str">
        <f t="shared" si="71"/>
        <v>May</v>
      </c>
      <c r="V747" s="10">
        <f t="shared" si="70"/>
        <v>2025</v>
      </c>
      <c r="W747" cm="1">
        <f t="array" ref="W747">_xlfn.IFS(U747="January",1,U747="February",2,U747="March",3,U747="April",4,U747="May",5,U747="June",6,U747="July",7,U747="August",8,U747="September",9,U747="October",10,U747="November",11,U747="December",12)</f>
        <v>5</v>
      </c>
    </row>
    <row r="748" spans="1:23" ht="15.75" customHeight="1" x14ac:dyDescent="0.25">
      <c r="A748" s="2" t="s">
        <v>1701</v>
      </c>
      <c r="B748" s="3">
        <v>45797.735833333332</v>
      </c>
      <c r="C748" s="2" t="s">
        <v>118</v>
      </c>
      <c r="D748" s="2" t="s">
        <v>119</v>
      </c>
      <c r="E748" s="2" t="s">
        <v>190</v>
      </c>
      <c r="F748" s="2" t="str" cm="1">
        <f t="array" ref="F748:G748">_xlfn.TEXTSPLIT(E748," - ")</f>
        <v>Bawang Merah</v>
      </c>
      <c r="G748" s="2" t="str">
        <v>Brand B</v>
      </c>
      <c r="H748" s="5">
        <v>35000</v>
      </c>
      <c r="I748" s="2">
        <v>2</v>
      </c>
      <c r="J748" s="2">
        <v>20</v>
      </c>
      <c r="K748" s="8">
        <f t="shared" si="66"/>
        <v>70000</v>
      </c>
      <c r="L748" s="8">
        <f t="shared" si="67"/>
        <v>14000</v>
      </c>
      <c r="M748" s="8">
        <f t="shared" si="68"/>
        <v>56000</v>
      </c>
      <c r="N748" s="5">
        <v>0</v>
      </c>
      <c r="O748" s="8">
        <f t="shared" si="69"/>
        <v>56000</v>
      </c>
      <c r="P748" s="2" t="s">
        <v>35</v>
      </c>
      <c r="Q748" s="10" t="str">
        <f>VLOOKUP(A748,Status!A:B,2,0)</f>
        <v>Returned</v>
      </c>
      <c r="R748" s="2" t="s">
        <v>30</v>
      </c>
      <c r="S748" s="2">
        <v>4</v>
      </c>
      <c r="T748" s="2" t="s">
        <v>24</v>
      </c>
      <c r="U748" s="10" t="str">
        <f t="shared" si="71"/>
        <v>May</v>
      </c>
      <c r="V748" s="10">
        <f t="shared" si="70"/>
        <v>2025</v>
      </c>
      <c r="W748" cm="1">
        <f t="array" ref="W748">_xlfn.IFS(U748="January",1,U748="February",2,U748="March",3,U748="April",4,U748="May",5,U748="June",6,U748="July",7,U748="August",8,U748="September",9,U748="October",10,U748="November",11,U748="December",12)</f>
        <v>5</v>
      </c>
    </row>
    <row r="749" spans="1:23" ht="15.75" customHeight="1" x14ac:dyDescent="0.25">
      <c r="A749" s="2" t="s">
        <v>1702</v>
      </c>
      <c r="B749" s="3">
        <v>45797.861261574071</v>
      </c>
      <c r="C749" s="2" t="s">
        <v>453</v>
      </c>
      <c r="D749" s="2" t="s">
        <v>27</v>
      </c>
      <c r="E749" s="2" t="s">
        <v>71</v>
      </c>
      <c r="F749" s="2" t="str" cm="1">
        <f t="array" ref="F749:G749">_xlfn.TEXTSPLIT(E749," - ")</f>
        <v>Bawang Merah</v>
      </c>
      <c r="G749" s="2" t="str">
        <v>Brand C</v>
      </c>
      <c r="H749" s="5">
        <v>40000</v>
      </c>
      <c r="I749" s="2">
        <v>1</v>
      </c>
      <c r="J749" s="2">
        <v>15</v>
      </c>
      <c r="K749" s="8">
        <f t="shared" si="66"/>
        <v>40000</v>
      </c>
      <c r="L749" s="8">
        <f t="shared" si="67"/>
        <v>6000</v>
      </c>
      <c r="M749" s="8">
        <f t="shared" si="68"/>
        <v>34000</v>
      </c>
      <c r="N749" s="5">
        <v>17000</v>
      </c>
      <c r="O749" s="8">
        <f t="shared" si="69"/>
        <v>51000</v>
      </c>
      <c r="P749" s="2" t="s">
        <v>63</v>
      </c>
      <c r="Q749" s="10" t="str">
        <f>VLOOKUP(A749,Status!A:B,2,0)</f>
        <v>Completed</v>
      </c>
      <c r="R749" s="2" t="s">
        <v>30</v>
      </c>
      <c r="S749" s="2">
        <v>4</v>
      </c>
      <c r="T749" s="2" t="s">
        <v>37</v>
      </c>
      <c r="U749" s="10" t="str">
        <f t="shared" si="71"/>
        <v>May</v>
      </c>
      <c r="V749" s="10">
        <f t="shared" si="70"/>
        <v>2025</v>
      </c>
      <c r="W749" cm="1">
        <f t="array" ref="W749">_xlfn.IFS(U749="January",1,U749="February",2,U749="March",3,U749="April",4,U749="May",5,U749="June",6,U749="July",7,U749="August",8,U749="September",9,U749="October",10,U749="November",11,U749="December",12)</f>
        <v>5</v>
      </c>
    </row>
    <row r="750" spans="1:23" ht="15.75" customHeight="1" x14ac:dyDescent="0.25">
      <c r="A750" s="2" t="s">
        <v>1703</v>
      </c>
      <c r="B750" s="3">
        <v>45797.981851851851</v>
      </c>
      <c r="C750" s="2" t="s">
        <v>1620</v>
      </c>
      <c r="D750" s="2" t="s">
        <v>92</v>
      </c>
      <c r="E750" s="2" t="s">
        <v>138</v>
      </c>
      <c r="F750" s="2" t="str" cm="1">
        <f t="array" ref="F750:G750">_xlfn.TEXTSPLIT(E750," - ")</f>
        <v>Gula Pasir</v>
      </c>
      <c r="G750" s="2" t="str">
        <v>Brand B</v>
      </c>
      <c r="H750" s="5">
        <v>17000</v>
      </c>
      <c r="I750" s="2">
        <v>3</v>
      </c>
      <c r="J750" s="2">
        <v>15</v>
      </c>
      <c r="K750" s="8">
        <f t="shared" si="66"/>
        <v>51000</v>
      </c>
      <c r="L750" s="8">
        <f t="shared" si="67"/>
        <v>7650</v>
      </c>
      <c r="M750" s="8">
        <f t="shared" si="68"/>
        <v>43350</v>
      </c>
      <c r="N750" s="5">
        <v>30000</v>
      </c>
      <c r="O750" s="8">
        <f t="shared" si="69"/>
        <v>73350</v>
      </c>
      <c r="P750" s="2" t="s">
        <v>35</v>
      </c>
      <c r="Q750" s="10" t="str">
        <f>VLOOKUP(A750,Status!A:B,2,0)</f>
        <v>Completed</v>
      </c>
      <c r="R750" s="2" t="s">
        <v>23</v>
      </c>
      <c r="S750" s="2">
        <v>1</v>
      </c>
      <c r="T750" s="2" t="s">
        <v>24</v>
      </c>
      <c r="U750" s="10" t="str">
        <f t="shared" si="71"/>
        <v>May</v>
      </c>
      <c r="V750" s="10">
        <f t="shared" si="70"/>
        <v>2025</v>
      </c>
      <c r="W750" cm="1">
        <f t="array" ref="W750">_xlfn.IFS(U750="January",1,U750="February",2,U750="March",3,U750="April",4,U750="May",5,U750="June",6,U750="July",7,U750="August",8,U750="September",9,U750="October",10,U750="November",11,U750="December",12)</f>
        <v>5</v>
      </c>
    </row>
    <row r="751" spans="1:23" ht="15.75" customHeight="1" x14ac:dyDescent="0.25">
      <c r="A751" s="2" t="s">
        <v>1704</v>
      </c>
      <c r="B751" s="3">
        <v>45798.410138888888</v>
      </c>
      <c r="C751" s="2" t="s">
        <v>311</v>
      </c>
      <c r="D751" s="2" t="s">
        <v>116</v>
      </c>
      <c r="E751" s="2" t="s">
        <v>58</v>
      </c>
      <c r="F751" s="2" t="str" cm="1">
        <f t="array" ref="F751:G751">_xlfn.TEXTSPLIT(E751," - ")</f>
        <v>Gula Pasir</v>
      </c>
      <c r="G751" s="2" t="str">
        <v>Brand A</v>
      </c>
      <c r="H751" s="5">
        <v>16000</v>
      </c>
      <c r="I751" s="2">
        <v>3</v>
      </c>
      <c r="J751" s="2">
        <v>20</v>
      </c>
      <c r="K751" s="8">
        <f t="shared" si="66"/>
        <v>48000</v>
      </c>
      <c r="L751" s="8">
        <f t="shared" si="67"/>
        <v>9600</v>
      </c>
      <c r="M751" s="8">
        <f t="shared" si="68"/>
        <v>38400</v>
      </c>
      <c r="N751" s="5">
        <v>72000</v>
      </c>
      <c r="O751" s="8">
        <f t="shared" si="69"/>
        <v>110400</v>
      </c>
      <c r="P751" s="2" t="s">
        <v>29</v>
      </c>
      <c r="Q751" s="10" t="str">
        <f>VLOOKUP(A751,Status!A:B,2,0)</f>
        <v>Returned</v>
      </c>
      <c r="R751" s="2" t="s">
        <v>30</v>
      </c>
      <c r="S751" s="2">
        <v>1</v>
      </c>
      <c r="T751" s="2" t="s">
        <v>24</v>
      </c>
      <c r="U751" s="10" t="str">
        <f t="shared" si="71"/>
        <v>May</v>
      </c>
      <c r="V751" s="10">
        <f t="shared" si="70"/>
        <v>2025</v>
      </c>
      <c r="W751" cm="1">
        <f t="array" ref="W751">_xlfn.IFS(U751="January",1,U751="February",2,U751="March",3,U751="April",4,U751="May",5,U751="June",6,U751="July",7,U751="August",8,U751="September",9,U751="October",10,U751="November",11,U751="December",12)</f>
        <v>5</v>
      </c>
    </row>
    <row r="752" spans="1:23" ht="15.75" customHeight="1" x14ac:dyDescent="0.25">
      <c r="A752" s="2" t="s">
        <v>1705</v>
      </c>
      <c r="B752" s="3">
        <v>45798.515902777777</v>
      </c>
      <c r="C752" s="2" t="s">
        <v>527</v>
      </c>
      <c r="D752" s="2" t="s">
        <v>173</v>
      </c>
      <c r="E752" s="2" t="s">
        <v>136</v>
      </c>
      <c r="F752" s="2" t="str" cm="1">
        <f t="array" ref="F752:G752">_xlfn.TEXTSPLIT(E752," - ")</f>
        <v>Tepung Terigu</v>
      </c>
      <c r="G752" s="2" t="str">
        <v>Brand B</v>
      </c>
      <c r="H752" s="5">
        <v>12000</v>
      </c>
      <c r="I752" s="2">
        <v>4</v>
      </c>
      <c r="J752" s="2">
        <v>0</v>
      </c>
      <c r="K752" s="8">
        <f t="shared" si="66"/>
        <v>48000</v>
      </c>
      <c r="L752" s="8">
        <f t="shared" si="67"/>
        <v>0</v>
      </c>
      <c r="M752" s="8">
        <f t="shared" si="68"/>
        <v>48000</v>
      </c>
      <c r="N752" s="5">
        <v>49000</v>
      </c>
      <c r="O752" s="8">
        <f t="shared" si="69"/>
        <v>97000</v>
      </c>
      <c r="P752" s="2" t="s">
        <v>29</v>
      </c>
      <c r="Q752" s="10" t="str">
        <f>VLOOKUP(A752,Status!A:B,2,0)</f>
        <v>Completed</v>
      </c>
      <c r="R752" s="2" t="s">
        <v>30</v>
      </c>
      <c r="S752" s="2">
        <v>5</v>
      </c>
      <c r="T752" s="2" t="s">
        <v>24</v>
      </c>
      <c r="U752" s="10" t="str">
        <f t="shared" si="71"/>
        <v>May</v>
      </c>
      <c r="V752" s="10">
        <f t="shared" si="70"/>
        <v>2025</v>
      </c>
      <c r="W752" cm="1">
        <f t="array" ref="W752">_xlfn.IFS(U752="January",1,U752="February",2,U752="March",3,U752="April",4,U752="May",5,U752="June",6,U752="July",7,U752="August",8,U752="September",9,U752="October",10,U752="November",11,U752="December",12)</f>
        <v>5</v>
      </c>
    </row>
    <row r="753" spans="1:23" ht="15.75" customHeight="1" x14ac:dyDescent="0.25">
      <c r="A753" s="2" t="s">
        <v>1706</v>
      </c>
      <c r="B753" s="3">
        <v>45798.735196759262</v>
      </c>
      <c r="C753" s="2" t="s">
        <v>1523</v>
      </c>
      <c r="D753" s="2" t="s">
        <v>96</v>
      </c>
      <c r="E753" s="2" t="s">
        <v>93</v>
      </c>
      <c r="F753" s="2" t="str" cm="1">
        <f t="array" ref="F753:G753">_xlfn.TEXTSPLIT(E753," - ")</f>
        <v>Telur Ayam</v>
      </c>
      <c r="G753" s="2" t="str">
        <v>Brand B</v>
      </c>
      <c r="H753" s="5">
        <v>25000</v>
      </c>
      <c r="I753" s="2">
        <v>1</v>
      </c>
      <c r="J753" s="2">
        <v>10</v>
      </c>
      <c r="K753" s="8">
        <f t="shared" si="66"/>
        <v>25000</v>
      </c>
      <c r="L753" s="8">
        <f t="shared" si="67"/>
        <v>2500</v>
      </c>
      <c r="M753" s="8">
        <f t="shared" si="68"/>
        <v>22500</v>
      </c>
      <c r="N753" s="5">
        <v>49000</v>
      </c>
      <c r="O753" s="8">
        <f t="shared" si="69"/>
        <v>71500</v>
      </c>
      <c r="P753" s="2" t="s">
        <v>35</v>
      </c>
      <c r="Q753" s="10" t="str">
        <f>VLOOKUP(A753,Status!A:B,2,0)</f>
        <v>Returned</v>
      </c>
      <c r="R753" s="2" t="s">
        <v>30</v>
      </c>
      <c r="S753" s="2">
        <v>1</v>
      </c>
      <c r="T753" s="2" t="s">
        <v>24</v>
      </c>
      <c r="U753" s="10" t="str">
        <f t="shared" si="71"/>
        <v>May</v>
      </c>
      <c r="V753" s="10">
        <f t="shared" si="70"/>
        <v>2025</v>
      </c>
      <c r="W753" cm="1">
        <f t="array" ref="W753">_xlfn.IFS(U753="January",1,U753="February",2,U753="March",3,U753="April",4,U753="May",5,U753="June",6,U753="July",7,U753="August",8,U753="September",9,U753="October",10,U753="November",11,U753="December",12)</f>
        <v>5</v>
      </c>
    </row>
    <row r="754" spans="1:23" ht="15.75" customHeight="1" x14ac:dyDescent="0.25">
      <c r="A754" s="2" t="s">
        <v>1707</v>
      </c>
      <c r="B754" s="3">
        <v>45799.302233796298</v>
      </c>
      <c r="C754" s="2" t="s">
        <v>483</v>
      </c>
      <c r="D754" s="2" t="s">
        <v>170</v>
      </c>
      <c r="E754" s="2" t="s">
        <v>138</v>
      </c>
      <c r="F754" s="2" t="str" cm="1">
        <f t="array" ref="F754:G754">_xlfn.TEXTSPLIT(E754," - ")</f>
        <v>Gula Pasir</v>
      </c>
      <c r="G754" s="2" t="str">
        <v>Brand B</v>
      </c>
      <c r="H754" s="5">
        <v>17000</v>
      </c>
      <c r="I754" s="2">
        <v>4</v>
      </c>
      <c r="J754" s="2">
        <v>5</v>
      </c>
      <c r="K754" s="8">
        <f t="shared" si="66"/>
        <v>68000</v>
      </c>
      <c r="L754" s="8">
        <f t="shared" si="67"/>
        <v>3400</v>
      </c>
      <c r="M754" s="8">
        <f t="shared" si="68"/>
        <v>64600</v>
      </c>
      <c r="N754" s="5">
        <v>46000</v>
      </c>
      <c r="O754" s="8">
        <f t="shared" si="69"/>
        <v>110600</v>
      </c>
      <c r="P754" s="2" t="s">
        <v>35</v>
      </c>
      <c r="Q754" s="10" t="str">
        <f>VLOOKUP(A754,Status!A:B,2,0)</f>
        <v>Completed</v>
      </c>
      <c r="R754" s="2" t="s">
        <v>23</v>
      </c>
      <c r="S754" s="2">
        <v>2</v>
      </c>
      <c r="T754" s="2" t="s">
        <v>24</v>
      </c>
      <c r="U754" s="10" t="str">
        <f t="shared" si="71"/>
        <v>May</v>
      </c>
      <c r="V754" s="10">
        <f t="shared" si="70"/>
        <v>2025</v>
      </c>
      <c r="W754" cm="1">
        <f t="array" ref="W754">_xlfn.IFS(U754="January",1,U754="February",2,U754="March",3,U754="April",4,U754="May",5,U754="June",6,U754="July",7,U754="August",8,U754="September",9,U754="October",10,U754="November",11,U754="December",12)</f>
        <v>5</v>
      </c>
    </row>
    <row r="755" spans="1:23" ht="15.75" customHeight="1" x14ac:dyDescent="0.25">
      <c r="A755" s="2" t="s">
        <v>1708</v>
      </c>
      <c r="B755" s="3">
        <v>45799.39261574074</v>
      </c>
      <c r="C755" s="2" t="s">
        <v>598</v>
      </c>
      <c r="D755" s="2" t="s">
        <v>61</v>
      </c>
      <c r="E755" s="2" t="s">
        <v>190</v>
      </c>
      <c r="F755" s="2" t="str" cm="1">
        <f t="array" ref="F755:G755">_xlfn.TEXTSPLIT(E755," - ")</f>
        <v>Bawang Merah</v>
      </c>
      <c r="G755" s="2" t="str">
        <v>Brand B</v>
      </c>
      <c r="H755" s="5">
        <v>35000</v>
      </c>
      <c r="I755" s="2">
        <v>4</v>
      </c>
      <c r="J755" s="2">
        <v>10</v>
      </c>
      <c r="K755" s="8">
        <f t="shared" si="66"/>
        <v>140000</v>
      </c>
      <c r="L755" s="8">
        <f t="shared" si="67"/>
        <v>14000</v>
      </c>
      <c r="M755" s="8">
        <f t="shared" si="68"/>
        <v>126000</v>
      </c>
      <c r="N755" s="5">
        <v>26000</v>
      </c>
      <c r="O755" s="8">
        <f t="shared" si="69"/>
        <v>152000</v>
      </c>
      <c r="P755" s="2" t="s">
        <v>35</v>
      </c>
      <c r="Q755" s="10" t="str">
        <f>VLOOKUP(A755,Status!A:B,2,0)</f>
        <v>Cancelled</v>
      </c>
      <c r="R755" s="2" t="s">
        <v>46</v>
      </c>
      <c r="S755" s="2">
        <v>4</v>
      </c>
      <c r="T755" s="2" t="s">
        <v>24</v>
      </c>
      <c r="U755" s="10" t="str">
        <f t="shared" si="71"/>
        <v>May</v>
      </c>
      <c r="V755" s="10">
        <f t="shared" si="70"/>
        <v>2025</v>
      </c>
      <c r="W755" cm="1">
        <f t="array" ref="W755">_xlfn.IFS(U755="January",1,U755="February",2,U755="March",3,U755="April",4,U755="May",5,U755="June",6,U755="July",7,U755="August",8,U755="September",9,U755="October",10,U755="November",11,U755="December",12)</f>
        <v>5</v>
      </c>
    </row>
    <row r="756" spans="1:23" ht="15.75" customHeight="1" x14ac:dyDescent="0.25">
      <c r="A756" s="2" t="s">
        <v>1709</v>
      </c>
      <c r="B756" s="3">
        <v>45799.662685185183</v>
      </c>
      <c r="C756" s="2" t="s">
        <v>1087</v>
      </c>
      <c r="D756" s="2" t="s">
        <v>143</v>
      </c>
      <c r="E756" s="2" t="s">
        <v>50</v>
      </c>
      <c r="F756" s="2" t="str" cm="1">
        <f t="array" ref="F756:G756">_xlfn.TEXTSPLIT(E756," - ")</f>
        <v>Tepung Terigu</v>
      </c>
      <c r="G756" s="2" t="str">
        <v>Brand C</v>
      </c>
      <c r="H756" s="5">
        <v>14000</v>
      </c>
      <c r="I756" s="2">
        <v>5</v>
      </c>
      <c r="J756" s="2">
        <v>5</v>
      </c>
      <c r="K756" s="8">
        <f t="shared" si="66"/>
        <v>70000</v>
      </c>
      <c r="L756" s="8">
        <f t="shared" si="67"/>
        <v>3500</v>
      </c>
      <c r="M756" s="8">
        <f t="shared" si="68"/>
        <v>66500</v>
      </c>
      <c r="N756" s="5">
        <v>50000</v>
      </c>
      <c r="O756" s="8">
        <f t="shared" si="69"/>
        <v>116500</v>
      </c>
      <c r="P756" s="2" t="s">
        <v>29</v>
      </c>
      <c r="Q756" s="10" t="str">
        <f>VLOOKUP(A756,Status!A:B,2,0)</f>
        <v>Completed</v>
      </c>
      <c r="R756" s="2" t="s">
        <v>36</v>
      </c>
      <c r="S756" s="2">
        <v>1</v>
      </c>
      <c r="T756" s="2" t="s">
        <v>24</v>
      </c>
      <c r="U756" s="10" t="str">
        <f t="shared" si="71"/>
        <v>May</v>
      </c>
      <c r="V756" s="10">
        <f t="shared" si="70"/>
        <v>2025</v>
      </c>
      <c r="W756" cm="1">
        <f t="array" ref="W756">_xlfn.IFS(U756="January",1,U756="February",2,U756="March",3,U756="April",4,U756="May",5,U756="June",6,U756="July",7,U756="August",8,U756="September",9,U756="October",10,U756="November",11,U756="December",12)</f>
        <v>5</v>
      </c>
    </row>
    <row r="757" spans="1:23" ht="15.75" customHeight="1" x14ac:dyDescent="0.25">
      <c r="A757" s="2" t="s">
        <v>1710</v>
      </c>
      <c r="B757" s="3">
        <v>45799.76903935185</v>
      </c>
      <c r="C757" s="2" t="s">
        <v>1366</v>
      </c>
      <c r="D757" s="2" t="s">
        <v>126</v>
      </c>
      <c r="E757" s="2" t="s">
        <v>28</v>
      </c>
      <c r="F757" s="2" t="str" cm="1">
        <f t="array" ref="F757:G757">_xlfn.TEXTSPLIT(E757," - ")</f>
        <v>Garam</v>
      </c>
      <c r="G757" s="2" t="str">
        <v>Brand B</v>
      </c>
      <c r="H757" s="5">
        <v>5000</v>
      </c>
      <c r="I757" s="2">
        <v>4</v>
      </c>
      <c r="J757" s="2">
        <v>5</v>
      </c>
      <c r="K757" s="8">
        <f t="shared" si="66"/>
        <v>20000</v>
      </c>
      <c r="L757" s="8">
        <f t="shared" si="67"/>
        <v>1000</v>
      </c>
      <c r="M757" s="8">
        <f t="shared" si="68"/>
        <v>19000</v>
      </c>
      <c r="N757" s="5">
        <v>84000</v>
      </c>
      <c r="O757" s="8">
        <f t="shared" si="69"/>
        <v>103000</v>
      </c>
      <c r="P757" s="2" t="s">
        <v>22</v>
      </c>
      <c r="Q757" s="10" t="str">
        <f>VLOOKUP(A757,Status!A:B,2,0)</f>
        <v>Completed</v>
      </c>
      <c r="R757" s="2" t="s">
        <v>36</v>
      </c>
      <c r="S757" s="2">
        <v>4</v>
      </c>
      <c r="T757" s="2" t="s">
        <v>24</v>
      </c>
      <c r="U757" s="10" t="str">
        <f t="shared" si="71"/>
        <v>May</v>
      </c>
      <c r="V757" s="10">
        <f t="shared" si="70"/>
        <v>2025</v>
      </c>
      <c r="W757" cm="1">
        <f t="array" ref="W757">_xlfn.IFS(U757="January",1,U757="February",2,U757="March",3,U757="April",4,U757="May",5,U757="June",6,U757="July",7,U757="August",8,U757="September",9,U757="October",10,U757="November",11,U757="December",12)</f>
        <v>5</v>
      </c>
    </row>
    <row r="758" spans="1:23" ht="15.75" customHeight="1" x14ac:dyDescent="0.25">
      <c r="A758" s="2" t="s">
        <v>1711</v>
      </c>
      <c r="B758" s="3">
        <v>45799.893622685187</v>
      </c>
      <c r="C758" s="2" t="s">
        <v>48</v>
      </c>
      <c r="D758" s="2" t="s">
        <v>49</v>
      </c>
      <c r="E758" s="2" t="s">
        <v>88</v>
      </c>
      <c r="F758" s="2" t="str" cm="1">
        <f t="array" ref="F758:G758">_xlfn.TEXTSPLIT(E758," - ")</f>
        <v>Beras</v>
      </c>
      <c r="G758" s="2" t="str">
        <v>Brand A</v>
      </c>
      <c r="H758" s="5">
        <v>14000</v>
      </c>
      <c r="I758" s="2">
        <v>4</v>
      </c>
      <c r="J758" s="2">
        <v>10</v>
      </c>
      <c r="K758" s="8">
        <f t="shared" si="66"/>
        <v>56000</v>
      </c>
      <c r="L758" s="8">
        <f t="shared" si="67"/>
        <v>5600</v>
      </c>
      <c r="M758" s="8">
        <f t="shared" si="68"/>
        <v>50400</v>
      </c>
      <c r="N758" s="5">
        <v>43000</v>
      </c>
      <c r="O758" s="8">
        <f t="shared" si="69"/>
        <v>93400</v>
      </c>
      <c r="P758" s="2" t="s">
        <v>63</v>
      </c>
      <c r="Q758" s="10" t="str">
        <f>VLOOKUP(A758,Status!A:B,2,0)</f>
        <v>Completed</v>
      </c>
      <c r="R758" s="2" t="s">
        <v>46</v>
      </c>
      <c r="S758" s="2">
        <v>2</v>
      </c>
      <c r="T758" s="2" t="s">
        <v>24</v>
      </c>
      <c r="U758" s="10" t="str">
        <f t="shared" si="71"/>
        <v>May</v>
      </c>
      <c r="V758" s="10">
        <f t="shared" si="70"/>
        <v>2025</v>
      </c>
      <c r="W758" cm="1">
        <f t="array" ref="W758">_xlfn.IFS(U758="January",1,U758="February",2,U758="March",3,U758="April",4,U758="May",5,U758="June",6,U758="July",7,U758="August",8,U758="September",9,U758="October",10,U758="November",11,U758="December",12)</f>
        <v>5</v>
      </c>
    </row>
    <row r="759" spans="1:23" ht="15.75" customHeight="1" x14ac:dyDescent="0.25">
      <c r="A759" s="2" t="s">
        <v>1712</v>
      </c>
      <c r="B759" s="3">
        <v>45800.171909722223</v>
      </c>
      <c r="C759" s="2" t="s">
        <v>416</v>
      </c>
      <c r="D759" s="2" t="s">
        <v>131</v>
      </c>
      <c r="E759" s="2" t="s">
        <v>138</v>
      </c>
      <c r="F759" s="2" t="str" cm="1">
        <f t="array" ref="F759:G759">_xlfn.TEXTSPLIT(E759," - ")</f>
        <v>Gula Pasir</v>
      </c>
      <c r="G759" s="2" t="str">
        <v>Brand B</v>
      </c>
      <c r="H759" s="5">
        <v>17000</v>
      </c>
      <c r="I759" s="2">
        <v>5</v>
      </c>
      <c r="J759" s="2">
        <v>5</v>
      </c>
      <c r="K759" s="8">
        <f t="shared" si="66"/>
        <v>85000</v>
      </c>
      <c r="L759" s="8">
        <f t="shared" si="67"/>
        <v>4250</v>
      </c>
      <c r="M759" s="8">
        <f t="shared" si="68"/>
        <v>80750</v>
      </c>
      <c r="N759" s="5">
        <v>59000</v>
      </c>
      <c r="O759" s="8">
        <f t="shared" si="69"/>
        <v>139750</v>
      </c>
      <c r="P759" s="2" t="s">
        <v>29</v>
      </c>
      <c r="Q759" s="10" t="str">
        <f>VLOOKUP(A759,Status!A:B,2,0)</f>
        <v>Completed</v>
      </c>
      <c r="R759" s="2" t="s">
        <v>46</v>
      </c>
      <c r="S759" s="2">
        <v>3</v>
      </c>
      <c r="T759" s="2" t="s">
        <v>24</v>
      </c>
      <c r="U759" s="10" t="str">
        <f t="shared" si="71"/>
        <v>May</v>
      </c>
      <c r="V759" s="10">
        <f t="shared" si="70"/>
        <v>2025</v>
      </c>
      <c r="W759" cm="1">
        <f t="array" ref="W759">_xlfn.IFS(U759="January",1,U759="February",2,U759="March",3,U759="April",4,U759="May",5,U759="June",6,U759="July",7,U759="August",8,U759="September",9,U759="October",10,U759="November",11,U759="December",12)</f>
        <v>5</v>
      </c>
    </row>
    <row r="760" spans="1:23" ht="15.75" customHeight="1" x14ac:dyDescent="0.25">
      <c r="A760" s="2" t="s">
        <v>1713</v>
      </c>
      <c r="B760" s="3">
        <v>45800.360254629632</v>
      </c>
      <c r="C760" s="2" t="s">
        <v>1241</v>
      </c>
      <c r="D760" s="2" t="s">
        <v>80</v>
      </c>
      <c r="E760" s="2" t="s">
        <v>50</v>
      </c>
      <c r="F760" s="2" t="str" cm="1">
        <f t="array" ref="F760:G760">_xlfn.TEXTSPLIT(E760," - ")</f>
        <v>Tepung Terigu</v>
      </c>
      <c r="G760" s="2" t="str">
        <v>Brand C</v>
      </c>
      <c r="H760" s="5">
        <v>14000</v>
      </c>
      <c r="I760" s="2">
        <v>1</v>
      </c>
      <c r="J760" s="2">
        <v>0</v>
      </c>
      <c r="K760" s="8">
        <f t="shared" si="66"/>
        <v>14000</v>
      </c>
      <c r="L760" s="8">
        <f t="shared" si="67"/>
        <v>0</v>
      </c>
      <c r="M760" s="8">
        <f t="shared" si="68"/>
        <v>14000</v>
      </c>
      <c r="N760" s="5">
        <v>74000</v>
      </c>
      <c r="O760" s="8">
        <f t="shared" si="69"/>
        <v>88000</v>
      </c>
      <c r="P760" s="2" t="s">
        <v>63</v>
      </c>
      <c r="Q760" s="10" t="str">
        <f>VLOOKUP(A760,Status!A:B,2,0)</f>
        <v>Completed</v>
      </c>
      <c r="R760" s="2" t="s">
        <v>36</v>
      </c>
      <c r="S760" s="2">
        <v>5</v>
      </c>
      <c r="T760" s="2" t="s">
        <v>24</v>
      </c>
      <c r="U760" s="10" t="str">
        <f t="shared" si="71"/>
        <v>May</v>
      </c>
      <c r="V760" s="10">
        <f t="shared" si="70"/>
        <v>2025</v>
      </c>
      <c r="W760" cm="1">
        <f t="array" ref="W760">_xlfn.IFS(U760="January",1,U760="February",2,U760="March",3,U760="April",4,U760="May",5,U760="June",6,U760="July",7,U760="August",8,U760="September",9,U760="October",10,U760="November",11,U760="December",12)</f>
        <v>5</v>
      </c>
    </row>
    <row r="761" spans="1:23" ht="15.75" customHeight="1" x14ac:dyDescent="0.25">
      <c r="A761" s="2" t="s">
        <v>1714</v>
      </c>
      <c r="B761" s="3">
        <v>45800.374293981477</v>
      </c>
      <c r="C761" s="2" t="s">
        <v>570</v>
      </c>
      <c r="D761" s="2" t="s">
        <v>80</v>
      </c>
      <c r="E761" s="2" t="s">
        <v>144</v>
      </c>
      <c r="F761" s="2" t="str" cm="1">
        <f t="array" ref="F761:G761">_xlfn.TEXTSPLIT(E761," - ")</f>
        <v>Gula Pasir</v>
      </c>
      <c r="G761" s="2" t="str">
        <v>Brand C</v>
      </c>
      <c r="H761" s="5">
        <v>18000</v>
      </c>
      <c r="I761" s="2">
        <v>5</v>
      </c>
      <c r="J761" s="2">
        <v>15</v>
      </c>
      <c r="K761" s="8">
        <f t="shared" si="66"/>
        <v>90000</v>
      </c>
      <c r="L761" s="8">
        <f t="shared" si="67"/>
        <v>13500</v>
      </c>
      <c r="M761" s="8">
        <f t="shared" si="68"/>
        <v>76500</v>
      </c>
      <c r="N761" s="5">
        <v>74000</v>
      </c>
      <c r="O761" s="8">
        <f t="shared" si="69"/>
        <v>150500</v>
      </c>
      <c r="P761" s="2" t="s">
        <v>22</v>
      </c>
      <c r="Q761" s="10" t="str">
        <f>VLOOKUP(A761,Status!A:B,2,0)</f>
        <v>Completed</v>
      </c>
      <c r="R761" s="2" t="s">
        <v>23</v>
      </c>
      <c r="S761" s="2">
        <v>5</v>
      </c>
      <c r="T761" s="2" t="s">
        <v>24</v>
      </c>
      <c r="U761" s="10" t="str">
        <f t="shared" si="71"/>
        <v>May</v>
      </c>
      <c r="V761" s="10">
        <f t="shared" si="70"/>
        <v>2025</v>
      </c>
      <c r="W761" cm="1">
        <f t="array" ref="W761">_xlfn.IFS(U761="January",1,U761="February",2,U761="March",3,U761="April",4,U761="May",5,U761="June",6,U761="July",7,U761="August",8,U761="September",9,U761="October",10,U761="November",11,U761="December",12)</f>
        <v>5</v>
      </c>
    </row>
    <row r="762" spans="1:23" ht="15.75" customHeight="1" x14ac:dyDescent="0.25">
      <c r="A762" s="2" t="s">
        <v>1714</v>
      </c>
      <c r="B762" s="3">
        <v>45800.374293981477</v>
      </c>
      <c r="C762" s="2" t="s">
        <v>570</v>
      </c>
      <c r="D762" s="2" t="s">
        <v>80</v>
      </c>
      <c r="E762" s="2" t="s">
        <v>34</v>
      </c>
      <c r="F762" s="2" t="str" cm="1">
        <f t="array" ref="F762:G762">_xlfn.TEXTSPLIT(E762," - ")</f>
        <v>Minyak Goreng</v>
      </c>
      <c r="G762" s="2" t="str">
        <v>Brand A</v>
      </c>
      <c r="H762" s="5">
        <v>16000</v>
      </c>
      <c r="I762" s="2">
        <v>4</v>
      </c>
      <c r="J762" s="2">
        <v>20</v>
      </c>
      <c r="K762" s="8">
        <f t="shared" si="66"/>
        <v>64000</v>
      </c>
      <c r="L762" s="8">
        <f t="shared" si="67"/>
        <v>12800</v>
      </c>
      <c r="M762" s="8">
        <f t="shared" si="68"/>
        <v>51200</v>
      </c>
      <c r="N762" s="5">
        <v>0</v>
      </c>
      <c r="O762" s="8">
        <f t="shared" si="69"/>
        <v>51200</v>
      </c>
      <c r="P762" s="2" t="s">
        <v>22</v>
      </c>
      <c r="Q762" s="10" t="str">
        <f>VLOOKUP(A762,Status!A:B,2,0)</f>
        <v>Completed</v>
      </c>
      <c r="R762" s="2" t="s">
        <v>23</v>
      </c>
      <c r="S762" s="2">
        <v>5</v>
      </c>
      <c r="T762" s="2" t="s">
        <v>24</v>
      </c>
      <c r="U762" s="10" t="str">
        <f t="shared" si="71"/>
        <v>May</v>
      </c>
      <c r="V762" s="10">
        <f t="shared" si="70"/>
        <v>2025</v>
      </c>
      <c r="W762" cm="1">
        <f t="array" ref="W762">_xlfn.IFS(U762="January",1,U762="February",2,U762="March",3,U762="April",4,U762="May",5,U762="June",6,U762="July",7,U762="August",8,U762="September",9,U762="October",10,U762="November",11,U762="December",12)</f>
        <v>5</v>
      </c>
    </row>
    <row r="763" spans="1:23" ht="15.75" customHeight="1" x14ac:dyDescent="0.25">
      <c r="A763" s="2" t="s">
        <v>1715</v>
      </c>
      <c r="B763" s="3">
        <v>45800.840011574073</v>
      </c>
      <c r="C763" s="2" t="s">
        <v>1033</v>
      </c>
      <c r="D763" s="2" t="s">
        <v>122</v>
      </c>
      <c r="E763" s="2" t="s">
        <v>54</v>
      </c>
      <c r="F763" s="2" t="str" cm="1">
        <f t="array" ref="F763:G763">_xlfn.TEXTSPLIT(E763," - ")</f>
        <v>Beras</v>
      </c>
      <c r="G763" s="2" t="str">
        <v>Brand C</v>
      </c>
      <c r="H763" s="5">
        <v>16000</v>
      </c>
      <c r="I763" s="2">
        <v>5</v>
      </c>
      <c r="J763" s="2">
        <v>5</v>
      </c>
      <c r="K763" s="8">
        <f t="shared" si="66"/>
        <v>80000</v>
      </c>
      <c r="L763" s="8">
        <f t="shared" si="67"/>
        <v>4000</v>
      </c>
      <c r="M763" s="8">
        <f t="shared" si="68"/>
        <v>76000</v>
      </c>
      <c r="N763" s="5">
        <v>78000</v>
      </c>
      <c r="O763" s="8">
        <f t="shared" si="69"/>
        <v>154000</v>
      </c>
      <c r="P763" s="2" t="s">
        <v>22</v>
      </c>
      <c r="Q763" s="10" t="str">
        <f>VLOOKUP(A763,Status!A:B,2,0)</f>
        <v>Completed</v>
      </c>
      <c r="R763" s="2" t="s">
        <v>82</v>
      </c>
      <c r="S763" s="2">
        <v>5</v>
      </c>
      <c r="T763" s="2" t="s">
        <v>24</v>
      </c>
      <c r="U763" s="10" t="str">
        <f t="shared" si="71"/>
        <v>May</v>
      </c>
      <c r="V763" s="10">
        <f t="shared" si="70"/>
        <v>2025</v>
      </c>
      <c r="W763" cm="1">
        <f t="array" ref="W763">_xlfn.IFS(U763="January",1,U763="February",2,U763="March",3,U763="April",4,U763="May",5,U763="June",6,U763="July",7,U763="August",8,U763="September",9,U763="October",10,U763="November",11,U763="December",12)</f>
        <v>5</v>
      </c>
    </row>
    <row r="764" spans="1:23" ht="15.75" customHeight="1" x14ac:dyDescent="0.25">
      <c r="A764" s="2" t="s">
        <v>1716</v>
      </c>
      <c r="B764" s="3">
        <v>45801.033738425933</v>
      </c>
      <c r="C764" s="2" t="s">
        <v>427</v>
      </c>
      <c r="D764" s="2" t="s">
        <v>103</v>
      </c>
      <c r="E764" s="2" t="s">
        <v>50</v>
      </c>
      <c r="F764" s="2" t="str" cm="1">
        <f t="array" ref="F764:G764">_xlfn.TEXTSPLIT(E764," - ")</f>
        <v>Tepung Terigu</v>
      </c>
      <c r="G764" s="2" t="str">
        <v>Brand C</v>
      </c>
      <c r="H764" s="5">
        <v>14000</v>
      </c>
      <c r="I764" s="2">
        <v>1</v>
      </c>
      <c r="J764" s="2">
        <v>15</v>
      </c>
      <c r="K764" s="8">
        <f t="shared" si="66"/>
        <v>14000</v>
      </c>
      <c r="L764" s="8">
        <f t="shared" si="67"/>
        <v>2100</v>
      </c>
      <c r="M764" s="8">
        <f t="shared" si="68"/>
        <v>11900</v>
      </c>
      <c r="N764" s="5">
        <v>85000</v>
      </c>
      <c r="O764" s="8">
        <f t="shared" si="69"/>
        <v>96900</v>
      </c>
      <c r="P764" s="2" t="s">
        <v>22</v>
      </c>
      <c r="Q764" s="10" t="str">
        <f>VLOOKUP(A764,Status!A:B,2,0)</f>
        <v>Returned</v>
      </c>
      <c r="R764" s="2" t="s">
        <v>82</v>
      </c>
      <c r="S764" s="2">
        <v>1</v>
      </c>
      <c r="T764" s="2" t="s">
        <v>24</v>
      </c>
      <c r="U764" s="10" t="str">
        <f t="shared" si="71"/>
        <v>May</v>
      </c>
      <c r="V764" s="10">
        <f t="shared" si="70"/>
        <v>2025</v>
      </c>
      <c r="W764" cm="1">
        <f t="array" ref="W764">_xlfn.IFS(U764="January",1,U764="February",2,U764="March",3,U764="April",4,U764="May",5,U764="June",6,U764="July",7,U764="August",8,U764="September",9,U764="October",10,U764="November",11,U764="December",12)</f>
        <v>5</v>
      </c>
    </row>
    <row r="765" spans="1:23" ht="15.75" customHeight="1" x14ac:dyDescent="0.25">
      <c r="A765" s="2" t="s">
        <v>1716</v>
      </c>
      <c r="B765" s="3">
        <v>45801.033738425933</v>
      </c>
      <c r="C765" s="2" t="s">
        <v>427</v>
      </c>
      <c r="D765" s="2" t="s">
        <v>103</v>
      </c>
      <c r="E765" s="2" t="s">
        <v>54</v>
      </c>
      <c r="F765" s="2" t="str" cm="1">
        <f t="array" ref="F765:G765">_xlfn.TEXTSPLIT(E765," - ")</f>
        <v>Beras</v>
      </c>
      <c r="G765" s="2" t="str">
        <v>Brand C</v>
      </c>
      <c r="H765" s="5">
        <v>16000</v>
      </c>
      <c r="I765" s="2">
        <v>4</v>
      </c>
      <c r="J765" s="2">
        <v>10</v>
      </c>
      <c r="K765" s="8">
        <f t="shared" si="66"/>
        <v>64000</v>
      </c>
      <c r="L765" s="8">
        <f t="shared" si="67"/>
        <v>6400</v>
      </c>
      <c r="M765" s="8">
        <f t="shared" si="68"/>
        <v>57600</v>
      </c>
      <c r="N765" s="5">
        <v>0</v>
      </c>
      <c r="O765" s="8">
        <f t="shared" si="69"/>
        <v>57600</v>
      </c>
      <c r="P765" s="2" t="s">
        <v>22</v>
      </c>
      <c r="Q765" s="10" t="str">
        <f>VLOOKUP(A765,Status!A:B,2,0)</f>
        <v>Returned</v>
      </c>
      <c r="R765" s="2" t="s">
        <v>82</v>
      </c>
      <c r="S765" s="2">
        <v>1</v>
      </c>
      <c r="T765" s="2" t="s">
        <v>24</v>
      </c>
      <c r="U765" s="10" t="str">
        <f t="shared" si="71"/>
        <v>May</v>
      </c>
      <c r="V765" s="10">
        <f t="shared" si="70"/>
        <v>2025</v>
      </c>
      <c r="W765" cm="1">
        <f t="array" ref="W765">_xlfn.IFS(U765="January",1,U765="February",2,U765="March",3,U765="April",4,U765="May",5,U765="June",6,U765="July",7,U765="August",8,U765="September",9,U765="October",10,U765="November",11,U765="December",12)</f>
        <v>5</v>
      </c>
    </row>
    <row r="766" spans="1:23" ht="15.75" customHeight="1" x14ac:dyDescent="0.25">
      <c r="A766" s="2" t="s">
        <v>1717</v>
      </c>
      <c r="B766" s="3">
        <v>45801.037743055553</v>
      </c>
      <c r="C766" s="2" t="s">
        <v>203</v>
      </c>
      <c r="D766" s="2" t="s">
        <v>20</v>
      </c>
      <c r="E766" s="2" t="s">
        <v>50</v>
      </c>
      <c r="F766" s="2" t="str" cm="1">
        <f t="array" ref="F766:G766">_xlfn.TEXTSPLIT(E766," - ")</f>
        <v>Tepung Terigu</v>
      </c>
      <c r="G766" s="2" t="str">
        <v>Brand C</v>
      </c>
      <c r="H766" s="5">
        <v>14000</v>
      </c>
      <c r="I766" s="2">
        <v>1</v>
      </c>
      <c r="J766" s="2">
        <v>10</v>
      </c>
      <c r="K766" s="8">
        <f t="shared" si="66"/>
        <v>14000</v>
      </c>
      <c r="L766" s="8">
        <f t="shared" si="67"/>
        <v>1400</v>
      </c>
      <c r="M766" s="8">
        <f t="shared" si="68"/>
        <v>12600</v>
      </c>
      <c r="N766" s="5">
        <v>15000</v>
      </c>
      <c r="O766" s="8">
        <f t="shared" si="69"/>
        <v>27600</v>
      </c>
      <c r="P766" s="2" t="s">
        <v>29</v>
      </c>
      <c r="Q766" s="10" t="str">
        <f>VLOOKUP(A766,Status!A:B,2,0)</f>
        <v>Completed</v>
      </c>
      <c r="R766" s="2" t="s">
        <v>23</v>
      </c>
      <c r="S766" s="2">
        <v>4</v>
      </c>
      <c r="T766" s="2" t="s">
        <v>24</v>
      </c>
      <c r="U766" s="10" t="str">
        <f t="shared" si="71"/>
        <v>May</v>
      </c>
      <c r="V766" s="10">
        <f t="shared" si="70"/>
        <v>2025</v>
      </c>
      <c r="W766" cm="1">
        <f t="array" ref="W766">_xlfn.IFS(U766="January",1,U766="February",2,U766="March",3,U766="April",4,U766="May",5,U766="June",6,U766="July",7,U766="August",8,U766="September",9,U766="October",10,U766="November",11,U766="December",12)</f>
        <v>5</v>
      </c>
    </row>
    <row r="767" spans="1:23" ht="15.75" customHeight="1" x14ac:dyDescent="0.25">
      <c r="A767" s="2" t="s">
        <v>1718</v>
      </c>
      <c r="B767" s="3">
        <v>45801.344710648147</v>
      </c>
      <c r="C767" s="2" t="s">
        <v>333</v>
      </c>
      <c r="D767" s="2" t="s">
        <v>107</v>
      </c>
      <c r="E767" s="2" t="s">
        <v>28</v>
      </c>
      <c r="F767" s="2" t="str" cm="1">
        <f t="array" ref="F767:G767">_xlfn.TEXTSPLIT(E767," - ")</f>
        <v>Garam</v>
      </c>
      <c r="G767" s="2" t="str">
        <v>Brand B</v>
      </c>
      <c r="H767" s="5">
        <v>5000</v>
      </c>
      <c r="I767" s="2">
        <v>3</v>
      </c>
      <c r="J767" s="2">
        <v>10</v>
      </c>
      <c r="K767" s="8">
        <f t="shared" si="66"/>
        <v>15000</v>
      </c>
      <c r="L767" s="8">
        <f t="shared" si="67"/>
        <v>1500</v>
      </c>
      <c r="M767" s="8">
        <f t="shared" si="68"/>
        <v>13500</v>
      </c>
      <c r="N767" s="5">
        <v>97000</v>
      </c>
      <c r="O767" s="8">
        <f t="shared" si="69"/>
        <v>110500</v>
      </c>
      <c r="P767" s="2" t="s">
        <v>35</v>
      </c>
      <c r="Q767" s="10" t="str">
        <f>VLOOKUP(A767,Status!A:B,2,0)</f>
        <v>Completed</v>
      </c>
      <c r="R767" s="2" t="s">
        <v>82</v>
      </c>
      <c r="S767" s="2">
        <v>2</v>
      </c>
      <c r="T767" s="2" t="s">
        <v>37</v>
      </c>
      <c r="U767" s="10" t="str">
        <f t="shared" si="71"/>
        <v>May</v>
      </c>
      <c r="V767" s="10">
        <f t="shared" si="70"/>
        <v>2025</v>
      </c>
      <c r="W767" cm="1">
        <f t="array" ref="W767">_xlfn.IFS(U767="January",1,U767="February",2,U767="March",3,U767="April",4,U767="May",5,U767="June",6,U767="July",7,U767="August",8,U767="September",9,U767="October",10,U767="November",11,U767="December",12)</f>
        <v>5</v>
      </c>
    </row>
    <row r="768" spans="1:23" ht="15.75" customHeight="1" x14ac:dyDescent="0.25">
      <c r="A768" s="2" t="s">
        <v>1719</v>
      </c>
      <c r="B768" s="3">
        <v>45801.76462962963</v>
      </c>
      <c r="C768" s="2" t="s">
        <v>207</v>
      </c>
      <c r="D768" s="2" t="s">
        <v>96</v>
      </c>
      <c r="E768" s="2" t="s">
        <v>138</v>
      </c>
      <c r="F768" s="2" t="str" cm="1">
        <f t="array" ref="F768:G768">_xlfn.TEXTSPLIT(E768," - ")</f>
        <v>Gula Pasir</v>
      </c>
      <c r="G768" s="2" t="str">
        <v>Brand B</v>
      </c>
      <c r="H768" s="5">
        <v>17000</v>
      </c>
      <c r="I768" s="2">
        <v>3</v>
      </c>
      <c r="J768" s="2">
        <v>0</v>
      </c>
      <c r="K768" s="8">
        <f t="shared" si="66"/>
        <v>51000</v>
      </c>
      <c r="L768" s="8">
        <f t="shared" si="67"/>
        <v>0</v>
      </c>
      <c r="M768" s="8">
        <f t="shared" si="68"/>
        <v>51000</v>
      </c>
      <c r="N768" s="5">
        <v>49000</v>
      </c>
      <c r="O768" s="8">
        <f t="shared" si="69"/>
        <v>100000</v>
      </c>
      <c r="P768" s="2" t="s">
        <v>29</v>
      </c>
      <c r="Q768" s="10" t="str">
        <f>VLOOKUP(A768,Status!A:B,2,0)</f>
        <v>Returned</v>
      </c>
      <c r="R768" s="2" t="s">
        <v>82</v>
      </c>
      <c r="S768" s="2">
        <v>5</v>
      </c>
      <c r="T768" s="2" t="s">
        <v>24</v>
      </c>
      <c r="U768" s="10" t="str">
        <f t="shared" si="71"/>
        <v>May</v>
      </c>
      <c r="V768" s="10">
        <f t="shared" si="70"/>
        <v>2025</v>
      </c>
      <c r="W768" cm="1">
        <f t="array" ref="W768">_xlfn.IFS(U768="January",1,U768="February",2,U768="March",3,U768="April",4,U768="May",5,U768="June",6,U768="July",7,U768="August",8,U768="September",9,U768="October",10,U768="November",11,U768="December",12)</f>
        <v>5</v>
      </c>
    </row>
    <row r="769" spans="1:23" ht="15.75" customHeight="1" x14ac:dyDescent="0.25">
      <c r="A769" s="2" t="s">
        <v>1720</v>
      </c>
      <c r="B769" s="3">
        <v>45801.808657407397</v>
      </c>
      <c r="C769" s="2" t="s">
        <v>1436</v>
      </c>
      <c r="D769" s="2" t="s">
        <v>119</v>
      </c>
      <c r="E769" s="2" t="s">
        <v>54</v>
      </c>
      <c r="F769" s="2" t="str" cm="1">
        <f t="array" ref="F769:G769">_xlfn.TEXTSPLIT(E769," - ")</f>
        <v>Beras</v>
      </c>
      <c r="G769" s="2" t="str">
        <v>Brand C</v>
      </c>
      <c r="H769" s="5">
        <v>16000</v>
      </c>
      <c r="I769" s="2">
        <v>5</v>
      </c>
      <c r="J769" s="2">
        <v>0</v>
      </c>
      <c r="K769" s="8">
        <f t="shared" si="66"/>
        <v>80000</v>
      </c>
      <c r="L769" s="8">
        <f t="shared" si="67"/>
        <v>0</v>
      </c>
      <c r="M769" s="8">
        <f t="shared" si="68"/>
        <v>80000</v>
      </c>
      <c r="N769" s="5">
        <v>0</v>
      </c>
      <c r="O769" s="8">
        <f t="shared" si="69"/>
        <v>80000</v>
      </c>
      <c r="P769" s="2" t="s">
        <v>29</v>
      </c>
      <c r="Q769" s="10" t="str">
        <f>VLOOKUP(A769,Status!A:B,2,0)</f>
        <v>Completed</v>
      </c>
      <c r="R769" s="2" t="s">
        <v>36</v>
      </c>
      <c r="S769" s="2">
        <v>5</v>
      </c>
      <c r="T769" s="2" t="s">
        <v>24</v>
      </c>
      <c r="U769" s="10" t="str">
        <f t="shared" si="71"/>
        <v>May</v>
      </c>
      <c r="V769" s="10">
        <f t="shared" si="70"/>
        <v>2025</v>
      </c>
      <c r="W769" cm="1">
        <f t="array" ref="W769">_xlfn.IFS(U769="January",1,U769="February",2,U769="March",3,U769="April",4,U769="May",5,U769="June",6,U769="July",7,U769="August",8,U769="September",9,U769="October",10,U769="November",11,U769="December",12)</f>
        <v>5</v>
      </c>
    </row>
    <row r="770" spans="1:23" ht="15.75" customHeight="1" x14ac:dyDescent="0.25">
      <c r="A770" s="2" t="s">
        <v>1721</v>
      </c>
      <c r="B770" s="3">
        <v>45801.997141203698</v>
      </c>
      <c r="C770" s="2" t="s">
        <v>220</v>
      </c>
      <c r="D770" s="2" t="s">
        <v>53</v>
      </c>
      <c r="E770" s="2" t="s">
        <v>50</v>
      </c>
      <c r="F770" s="2" t="str" cm="1">
        <f t="array" ref="F770:G770">_xlfn.TEXTSPLIT(E770," - ")</f>
        <v>Tepung Terigu</v>
      </c>
      <c r="G770" s="2" t="str">
        <v>Brand C</v>
      </c>
      <c r="H770" s="5">
        <v>14000</v>
      </c>
      <c r="I770" s="2">
        <v>5</v>
      </c>
      <c r="J770" s="2">
        <v>15</v>
      </c>
      <c r="K770" s="8">
        <f t="shared" ref="K770:K833" si="72">H770*I770</f>
        <v>70000</v>
      </c>
      <c r="L770" s="8">
        <f t="shared" ref="L770:L833" si="73">K770*J770%</f>
        <v>10500</v>
      </c>
      <c r="M770" s="8">
        <f t="shared" ref="M770:M833" si="74">K770-L770</f>
        <v>59500</v>
      </c>
      <c r="N770" s="5">
        <v>18000</v>
      </c>
      <c r="O770" s="8">
        <f t="shared" ref="O770:O833" si="75">M770+N770</f>
        <v>77500</v>
      </c>
      <c r="P770" s="2" t="s">
        <v>35</v>
      </c>
      <c r="Q770" s="10" t="str">
        <f>VLOOKUP(A770,Status!A:B,2,0)</f>
        <v>Completed</v>
      </c>
      <c r="R770" s="2" t="s">
        <v>23</v>
      </c>
      <c r="S770" s="2">
        <v>4</v>
      </c>
      <c r="T770" s="2" t="s">
        <v>24</v>
      </c>
      <c r="U770" s="10" t="str">
        <f t="shared" si="71"/>
        <v>May</v>
      </c>
      <c r="V770" s="10">
        <f t="shared" ref="V770:V833" si="76">YEAR(B770)</f>
        <v>2025</v>
      </c>
      <c r="W770" cm="1">
        <f t="array" ref="W770">_xlfn.IFS(U770="January",1,U770="February",2,U770="March",3,U770="April",4,U770="May",5,U770="June",6,U770="July",7,U770="August",8,U770="September",9,U770="October",10,U770="November",11,U770="December",12)</f>
        <v>5</v>
      </c>
    </row>
    <row r="771" spans="1:23" ht="15.75" customHeight="1" x14ac:dyDescent="0.25">
      <c r="A771" s="2" t="s">
        <v>1722</v>
      </c>
      <c r="B771" s="3">
        <v>45802.425787037027</v>
      </c>
      <c r="C771" s="2" t="s">
        <v>205</v>
      </c>
      <c r="D771" s="2" t="s">
        <v>96</v>
      </c>
      <c r="E771" s="2" t="s">
        <v>144</v>
      </c>
      <c r="F771" s="2" t="str" cm="1">
        <f t="array" ref="F771:G771">_xlfn.TEXTSPLIT(E771," - ")</f>
        <v>Gula Pasir</v>
      </c>
      <c r="G771" s="2" t="str">
        <v>Brand C</v>
      </c>
      <c r="H771" s="5">
        <v>18000</v>
      </c>
      <c r="I771" s="2">
        <v>3</v>
      </c>
      <c r="J771" s="2">
        <v>0</v>
      </c>
      <c r="K771" s="8">
        <f t="shared" si="72"/>
        <v>54000</v>
      </c>
      <c r="L771" s="8">
        <f t="shared" si="73"/>
        <v>0</v>
      </c>
      <c r="M771" s="8">
        <f t="shared" si="74"/>
        <v>54000</v>
      </c>
      <c r="N771" s="5">
        <v>49000</v>
      </c>
      <c r="O771" s="8">
        <f t="shared" si="75"/>
        <v>103000</v>
      </c>
      <c r="P771" s="2" t="s">
        <v>63</v>
      </c>
      <c r="Q771" s="10" t="str">
        <f>VLOOKUP(A771,Status!A:B,2,0)</f>
        <v>Returned</v>
      </c>
      <c r="R771" s="2" t="s">
        <v>82</v>
      </c>
      <c r="S771" s="2">
        <v>2</v>
      </c>
      <c r="T771" s="2" t="s">
        <v>24</v>
      </c>
      <c r="U771" s="10" t="str">
        <f t="shared" ref="U771:U834" si="77">TEXT(B771,"MMM")</f>
        <v>May</v>
      </c>
      <c r="V771" s="10">
        <f t="shared" si="76"/>
        <v>2025</v>
      </c>
      <c r="W771" cm="1">
        <f t="array" ref="W771">_xlfn.IFS(U771="January",1,U771="February",2,U771="March",3,U771="April",4,U771="May",5,U771="June",6,U771="July",7,U771="August",8,U771="September",9,U771="October",10,U771="November",11,U771="December",12)</f>
        <v>5</v>
      </c>
    </row>
    <row r="772" spans="1:23" ht="15.75" customHeight="1" x14ac:dyDescent="0.25">
      <c r="A772" s="2" t="s">
        <v>1723</v>
      </c>
      <c r="B772" s="3">
        <v>45802.638159722221</v>
      </c>
      <c r="C772" s="2" t="s">
        <v>748</v>
      </c>
      <c r="D772" s="2" t="s">
        <v>160</v>
      </c>
      <c r="E772" s="2" t="s">
        <v>21</v>
      </c>
      <c r="F772" s="2" t="str" cm="1">
        <f t="array" ref="F772:G772">_xlfn.TEXTSPLIT(E772," - ")</f>
        <v>Daging Ayam</v>
      </c>
      <c r="G772" s="2" t="str">
        <v>Brand C</v>
      </c>
      <c r="H772" s="5">
        <v>45000</v>
      </c>
      <c r="I772" s="2">
        <v>5</v>
      </c>
      <c r="J772" s="2">
        <v>15</v>
      </c>
      <c r="K772" s="8">
        <f t="shared" si="72"/>
        <v>225000</v>
      </c>
      <c r="L772" s="8">
        <f t="shared" si="73"/>
        <v>33750</v>
      </c>
      <c r="M772" s="8">
        <f t="shared" si="74"/>
        <v>191250</v>
      </c>
      <c r="N772" s="5">
        <v>68000</v>
      </c>
      <c r="O772" s="8">
        <f t="shared" si="75"/>
        <v>259250</v>
      </c>
      <c r="P772" s="2" t="s">
        <v>29</v>
      </c>
      <c r="Q772" s="10" t="str">
        <f>VLOOKUP(A772,Status!A:B,2,0)</f>
        <v>Completed</v>
      </c>
      <c r="R772" s="2" t="s">
        <v>23</v>
      </c>
      <c r="S772" s="2">
        <v>4</v>
      </c>
      <c r="T772" s="2" t="s">
        <v>24</v>
      </c>
      <c r="U772" s="10" t="str">
        <f t="shared" si="77"/>
        <v>May</v>
      </c>
      <c r="V772" s="10">
        <f t="shared" si="76"/>
        <v>2025</v>
      </c>
      <c r="W772" cm="1">
        <f t="array" ref="W772">_xlfn.IFS(U772="January",1,U772="February",2,U772="March",3,U772="April",4,U772="May",5,U772="June",6,U772="July",7,U772="August",8,U772="September",9,U772="October",10,U772="November",11,U772="December",12)</f>
        <v>5</v>
      </c>
    </row>
    <row r="773" spans="1:23" ht="15.75" customHeight="1" x14ac:dyDescent="0.25">
      <c r="A773" s="2" t="s">
        <v>1724</v>
      </c>
      <c r="B773" s="3">
        <v>45802.656712962962</v>
      </c>
      <c r="C773" s="2" t="s">
        <v>118</v>
      </c>
      <c r="D773" s="2" t="s">
        <v>119</v>
      </c>
      <c r="E773" s="2" t="s">
        <v>110</v>
      </c>
      <c r="F773" s="2" t="str" cm="1">
        <f t="array" ref="F773:G773">_xlfn.TEXTSPLIT(E773," - ")</f>
        <v>Garam</v>
      </c>
      <c r="G773" s="2" t="str">
        <v>Brand C</v>
      </c>
      <c r="H773" s="5">
        <v>6000</v>
      </c>
      <c r="I773" s="2">
        <v>5</v>
      </c>
      <c r="J773" s="2">
        <v>10</v>
      </c>
      <c r="K773" s="8">
        <f t="shared" si="72"/>
        <v>30000</v>
      </c>
      <c r="L773" s="8">
        <f t="shared" si="73"/>
        <v>3000</v>
      </c>
      <c r="M773" s="8">
        <f t="shared" si="74"/>
        <v>27000</v>
      </c>
      <c r="N773" s="5">
        <v>0</v>
      </c>
      <c r="O773" s="8">
        <f t="shared" si="75"/>
        <v>27000</v>
      </c>
      <c r="P773" s="2" t="s">
        <v>22</v>
      </c>
      <c r="Q773" s="10" t="str">
        <f>VLOOKUP(A773,Status!A:B,2,0)</f>
        <v>Completed</v>
      </c>
      <c r="R773" s="2" t="s">
        <v>23</v>
      </c>
      <c r="S773" s="2">
        <v>3</v>
      </c>
      <c r="T773" s="2" t="s">
        <v>24</v>
      </c>
      <c r="U773" s="10" t="str">
        <f t="shared" si="77"/>
        <v>May</v>
      </c>
      <c r="V773" s="10">
        <f t="shared" si="76"/>
        <v>2025</v>
      </c>
      <c r="W773" cm="1">
        <f t="array" ref="W773">_xlfn.IFS(U773="January",1,U773="February",2,U773="March",3,U773="April",4,U773="May",5,U773="June",6,U773="July",7,U773="August",8,U773="September",9,U773="October",10,U773="November",11,U773="December",12)</f>
        <v>5</v>
      </c>
    </row>
    <row r="774" spans="1:23" ht="15.75" customHeight="1" x14ac:dyDescent="0.25">
      <c r="A774" s="2" t="s">
        <v>1725</v>
      </c>
      <c r="B774" s="3">
        <v>45802.660081018519</v>
      </c>
      <c r="C774" s="2" t="s">
        <v>43</v>
      </c>
      <c r="D774" s="2" t="s">
        <v>44</v>
      </c>
      <c r="E774" s="2" t="s">
        <v>174</v>
      </c>
      <c r="F774" s="2" t="str" cm="1">
        <f t="array" ref="F774:G774">_xlfn.TEXTSPLIT(E774," - ")</f>
        <v>Tepung Terigu</v>
      </c>
      <c r="G774" s="2" t="str">
        <v>Brand A</v>
      </c>
      <c r="H774" s="5">
        <v>10000</v>
      </c>
      <c r="I774" s="2">
        <v>1</v>
      </c>
      <c r="J774" s="2">
        <v>10</v>
      </c>
      <c r="K774" s="8">
        <f t="shared" si="72"/>
        <v>10000</v>
      </c>
      <c r="L774" s="8">
        <f t="shared" si="73"/>
        <v>1000</v>
      </c>
      <c r="M774" s="8">
        <f t="shared" si="74"/>
        <v>9000</v>
      </c>
      <c r="N774" s="5">
        <v>93000</v>
      </c>
      <c r="O774" s="8">
        <f t="shared" si="75"/>
        <v>102000</v>
      </c>
      <c r="P774" s="2" t="s">
        <v>35</v>
      </c>
      <c r="Q774" s="10" t="str">
        <f>VLOOKUP(A774,Status!A:B,2,0)</f>
        <v>Returned</v>
      </c>
      <c r="R774" s="2" t="s">
        <v>46</v>
      </c>
      <c r="S774" s="2">
        <v>5</v>
      </c>
      <c r="T774" s="2" t="s">
        <v>24</v>
      </c>
      <c r="U774" s="10" t="str">
        <f t="shared" si="77"/>
        <v>May</v>
      </c>
      <c r="V774" s="10">
        <f t="shared" si="76"/>
        <v>2025</v>
      </c>
      <c r="W774" cm="1">
        <f t="array" ref="W774">_xlfn.IFS(U774="January",1,U774="February",2,U774="March",3,U774="April",4,U774="May",5,U774="June",6,U774="July",7,U774="August",8,U774="September",9,U774="October",10,U774="November",11,U774="December",12)</f>
        <v>5</v>
      </c>
    </row>
    <row r="775" spans="1:23" ht="15.75" customHeight="1" x14ac:dyDescent="0.25">
      <c r="A775" s="2" t="s">
        <v>1726</v>
      </c>
      <c r="B775" s="3">
        <v>45802.77516203704</v>
      </c>
      <c r="C775" s="2" t="s">
        <v>275</v>
      </c>
      <c r="D775" s="2" t="s">
        <v>96</v>
      </c>
      <c r="E775" s="2" t="s">
        <v>62</v>
      </c>
      <c r="F775" s="2" t="str" cm="1">
        <f t="array" ref="F775:G775">_xlfn.TEXTSPLIT(E775," - ")</f>
        <v>Susu Bubuk</v>
      </c>
      <c r="G775" s="2" t="str">
        <v>Brand B</v>
      </c>
      <c r="H775" s="5">
        <v>50000</v>
      </c>
      <c r="I775" s="2">
        <v>1</v>
      </c>
      <c r="J775" s="2">
        <v>20</v>
      </c>
      <c r="K775" s="8">
        <f t="shared" si="72"/>
        <v>50000</v>
      </c>
      <c r="L775" s="8">
        <f t="shared" si="73"/>
        <v>10000</v>
      </c>
      <c r="M775" s="8">
        <f t="shared" si="74"/>
        <v>40000</v>
      </c>
      <c r="N775" s="5">
        <v>49000</v>
      </c>
      <c r="O775" s="8">
        <f t="shared" si="75"/>
        <v>89000</v>
      </c>
      <c r="P775" s="2" t="s">
        <v>29</v>
      </c>
      <c r="Q775" s="10" t="str">
        <f>VLOOKUP(A775,Status!A:B,2,0)</f>
        <v>Returned</v>
      </c>
      <c r="R775" s="2" t="s">
        <v>36</v>
      </c>
      <c r="S775" s="2">
        <v>4</v>
      </c>
      <c r="T775" s="2" t="s">
        <v>24</v>
      </c>
      <c r="U775" s="10" t="str">
        <f t="shared" si="77"/>
        <v>May</v>
      </c>
      <c r="V775" s="10">
        <f t="shared" si="76"/>
        <v>2025</v>
      </c>
      <c r="W775" cm="1">
        <f t="array" ref="W775">_xlfn.IFS(U775="January",1,U775="February",2,U775="March",3,U775="April",4,U775="May",5,U775="June",6,U775="July",7,U775="August",8,U775="September",9,U775="October",10,U775="November",11,U775="December",12)</f>
        <v>5</v>
      </c>
    </row>
    <row r="776" spans="1:23" ht="15.75" customHeight="1" x14ac:dyDescent="0.25">
      <c r="A776" s="2" t="s">
        <v>1727</v>
      </c>
      <c r="B776" s="3">
        <v>45802.920034722221</v>
      </c>
      <c r="C776" s="2" t="s">
        <v>786</v>
      </c>
      <c r="D776" s="2" t="s">
        <v>107</v>
      </c>
      <c r="E776" s="2" t="s">
        <v>136</v>
      </c>
      <c r="F776" s="2" t="str" cm="1">
        <f t="array" ref="F776:G776">_xlfn.TEXTSPLIT(E776," - ")</f>
        <v>Tepung Terigu</v>
      </c>
      <c r="G776" s="2" t="str">
        <v>Brand B</v>
      </c>
      <c r="H776" s="5">
        <v>12000</v>
      </c>
      <c r="I776" s="2">
        <v>3</v>
      </c>
      <c r="J776" s="2">
        <v>0</v>
      </c>
      <c r="K776" s="8">
        <f t="shared" si="72"/>
        <v>36000</v>
      </c>
      <c r="L776" s="8">
        <f t="shared" si="73"/>
        <v>0</v>
      </c>
      <c r="M776" s="8">
        <f t="shared" si="74"/>
        <v>36000</v>
      </c>
      <c r="N776" s="5">
        <v>97000</v>
      </c>
      <c r="O776" s="8">
        <f t="shared" si="75"/>
        <v>133000</v>
      </c>
      <c r="P776" s="2" t="s">
        <v>22</v>
      </c>
      <c r="Q776" s="10" t="str">
        <f>VLOOKUP(A776,Status!A:B,2,0)</f>
        <v>Completed</v>
      </c>
      <c r="R776" s="2" t="s">
        <v>46</v>
      </c>
      <c r="S776" s="2">
        <v>1</v>
      </c>
      <c r="T776" s="2" t="s">
        <v>24</v>
      </c>
      <c r="U776" s="10" t="str">
        <f t="shared" si="77"/>
        <v>May</v>
      </c>
      <c r="V776" s="10">
        <f t="shared" si="76"/>
        <v>2025</v>
      </c>
      <c r="W776" cm="1">
        <f t="array" ref="W776">_xlfn.IFS(U776="January",1,U776="February",2,U776="March",3,U776="April",4,U776="May",5,U776="June",6,U776="July",7,U776="August",8,U776="September",9,U776="October",10,U776="November",11,U776="December",12)</f>
        <v>5</v>
      </c>
    </row>
    <row r="777" spans="1:23" ht="15.75" customHeight="1" x14ac:dyDescent="0.25">
      <c r="A777" s="2" t="s">
        <v>1728</v>
      </c>
      <c r="B777" s="3">
        <v>45802.923831018517</v>
      </c>
      <c r="C777" s="2" t="s">
        <v>398</v>
      </c>
      <c r="D777" s="2" t="s">
        <v>182</v>
      </c>
      <c r="E777" s="2" t="s">
        <v>136</v>
      </c>
      <c r="F777" s="2" t="str" cm="1">
        <f t="array" ref="F777:G777">_xlfn.TEXTSPLIT(E777," - ")</f>
        <v>Tepung Terigu</v>
      </c>
      <c r="G777" s="2" t="str">
        <v>Brand B</v>
      </c>
      <c r="H777" s="5">
        <v>12000</v>
      </c>
      <c r="I777" s="2">
        <v>1</v>
      </c>
      <c r="J777" s="2">
        <v>10</v>
      </c>
      <c r="K777" s="8">
        <f t="shared" si="72"/>
        <v>12000</v>
      </c>
      <c r="L777" s="8">
        <f t="shared" si="73"/>
        <v>1200</v>
      </c>
      <c r="M777" s="8">
        <f t="shared" si="74"/>
        <v>10800</v>
      </c>
      <c r="N777" s="5">
        <v>48000</v>
      </c>
      <c r="O777" s="8">
        <f t="shared" si="75"/>
        <v>58800</v>
      </c>
      <c r="P777" s="2" t="s">
        <v>63</v>
      </c>
      <c r="Q777" s="10" t="str">
        <f>VLOOKUP(A777,Status!A:B,2,0)</f>
        <v>Completed</v>
      </c>
      <c r="R777" s="2" t="s">
        <v>82</v>
      </c>
      <c r="S777" s="2">
        <v>2</v>
      </c>
      <c r="T777" s="2" t="s">
        <v>24</v>
      </c>
      <c r="U777" s="10" t="str">
        <f t="shared" si="77"/>
        <v>May</v>
      </c>
      <c r="V777" s="10">
        <f t="shared" si="76"/>
        <v>2025</v>
      </c>
      <c r="W777" cm="1">
        <f t="array" ref="W777">_xlfn.IFS(U777="January",1,U777="February",2,U777="March",3,U777="April",4,U777="May",5,U777="June",6,U777="July",7,U777="August",8,U777="September",9,U777="October",10,U777="November",11,U777="December",12)</f>
        <v>5</v>
      </c>
    </row>
    <row r="778" spans="1:23" ht="15.75" customHeight="1" x14ac:dyDescent="0.25">
      <c r="A778" s="2" t="s">
        <v>1729</v>
      </c>
      <c r="B778" s="3">
        <v>45803.088113425933</v>
      </c>
      <c r="C778" s="2" t="s">
        <v>1293</v>
      </c>
      <c r="D778" s="2" t="s">
        <v>44</v>
      </c>
      <c r="E778" s="2" t="s">
        <v>58</v>
      </c>
      <c r="F778" s="2" t="str" cm="1">
        <f t="array" ref="F778:G778">_xlfn.TEXTSPLIT(E778," - ")</f>
        <v>Gula Pasir</v>
      </c>
      <c r="G778" s="2" t="str">
        <v>Brand A</v>
      </c>
      <c r="H778" s="5">
        <v>16000</v>
      </c>
      <c r="I778" s="2">
        <v>2</v>
      </c>
      <c r="J778" s="2">
        <v>5</v>
      </c>
      <c r="K778" s="8">
        <f t="shared" si="72"/>
        <v>32000</v>
      </c>
      <c r="L778" s="8">
        <f t="shared" si="73"/>
        <v>1600</v>
      </c>
      <c r="M778" s="8">
        <f t="shared" si="74"/>
        <v>30400</v>
      </c>
      <c r="N778" s="5">
        <v>93000</v>
      </c>
      <c r="O778" s="8">
        <f t="shared" si="75"/>
        <v>123400</v>
      </c>
      <c r="P778" s="2" t="s">
        <v>63</v>
      </c>
      <c r="Q778" s="10" t="str">
        <f>VLOOKUP(A778,Status!A:B,2,0)</f>
        <v>Completed</v>
      </c>
      <c r="R778" s="2" t="s">
        <v>82</v>
      </c>
      <c r="S778" s="2">
        <v>1</v>
      </c>
      <c r="T778" s="2" t="s">
        <v>24</v>
      </c>
      <c r="U778" s="10" t="str">
        <f t="shared" si="77"/>
        <v>May</v>
      </c>
      <c r="V778" s="10">
        <f t="shared" si="76"/>
        <v>2025</v>
      </c>
      <c r="W778" cm="1">
        <f t="array" ref="W778">_xlfn.IFS(U778="January",1,U778="February",2,U778="March",3,U778="April",4,U778="May",5,U778="June",6,U778="July",7,U778="August",8,U778="September",9,U778="October",10,U778="November",11,U778="December",12)</f>
        <v>5</v>
      </c>
    </row>
    <row r="779" spans="1:23" ht="15.75" customHeight="1" x14ac:dyDescent="0.25">
      <c r="A779" s="2" t="s">
        <v>1730</v>
      </c>
      <c r="B779" s="3">
        <v>45803.117256944453</v>
      </c>
      <c r="C779" s="2" t="s">
        <v>318</v>
      </c>
      <c r="D779" s="2" t="s">
        <v>244</v>
      </c>
      <c r="E779" s="2" t="s">
        <v>110</v>
      </c>
      <c r="F779" s="2" t="str" cm="1">
        <f t="array" ref="F779:G779">_xlfn.TEXTSPLIT(E779," - ")</f>
        <v>Garam</v>
      </c>
      <c r="G779" s="2" t="str">
        <v>Brand C</v>
      </c>
      <c r="H779" s="5">
        <v>6000</v>
      </c>
      <c r="I779" s="2">
        <v>4</v>
      </c>
      <c r="J779" s="2">
        <v>0</v>
      </c>
      <c r="K779" s="8">
        <f t="shared" si="72"/>
        <v>24000</v>
      </c>
      <c r="L779" s="8">
        <f t="shared" si="73"/>
        <v>0</v>
      </c>
      <c r="M779" s="8">
        <f t="shared" si="74"/>
        <v>24000</v>
      </c>
      <c r="N779" s="5">
        <v>80000</v>
      </c>
      <c r="O779" s="8">
        <f t="shared" si="75"/>
        <v>104000</v>
      </c>
      <c r="P779" s="2" t="s">
        <v>22</v>
      </c>
      <c r="Q779" s="10" t="str">
        <f>VLOOKUP(A779,Status!A:B,2,0)</f>
        <v>Cancelled</v>
      </c>
      <c r="R779" s="2" t="s">
        <v>36</v>
      </c>
      <c r="S779" s="2">
        <v>1</v>
      </c>
      <c r="T779" s="2" t="s">
        <v>37</v>
      </c>
      <c r="U779" s="10" t="str">
        <f t="shared" si="77"/>
        <v>May</v>
      </c>
      <c r="V779" s="10">
        <f t="shared" si="76"/>
        <v>2025</v>
      </c>
      <c r="W779" cm="1">
        <f t="array" ref="W779">_xlfn.IFS(U779="January",1,U779="February",2,U779="March",3,U779="April",4,U779="May",5,U779="June",6,U779="July",7,U779="August",8,U779="September",9,U779="October",10,U779="November",11,U779="December",12)</f>
        <v>5</v>
      </c>
    </row>
    <row r="780" spans="1:23" ht="15.75" customHeight="1" x14ac:dyDescent="0.25">
      <c r="A780" s="2" t="s">
        <v>1730</v>
      </c>
      <c r="B780" s="3">
        <v>45803.117256944453</v>
      </c>
      <c r="C780" s="2" t="s">
        <v>318</v>
      </c>
      <c r="D780" s="2" t="s">
        <v>244</v>
      </c>
      <c r="E780" s="2" t="s">
        <v>62</v>
      </c>
      <c r="F780" s="2" t="str" cm="1">
        <f t="array" ref="F780:G780">_xlfn.TEXTSPLIT(E780," - ")</f>
        <v>Susu Bubuk</v>
      </c>
      <c r="G780" s="2" t="str">
        <v>Brand B</v>
      </c>
      <c r="H780" s="5">
        <v>50000</v>
      </c>
      <c r="I780" s="2">
        <v>3</v>
      </c>
      <c r="J780" s="2">
        <v>10</v>
      </c>
      <c r="K780" s="8">
        <f t="shared" si="72"/>
        <v>150000</v>
      </c>
      <c r="L780" s="8">
        <f t="shared" si="73"/>
        <v>15000</v>
      </c>
      <c r="M780" s="8">
        <f t="shared" si="74"/>
        <v>135000</v>
      </c>
      <c r="N780" s="5">
        <v>0</v>
      </c>
      <c r="O780" s="8">
        <f t="shared" si="75"/>
        <v>135000</v>
      </c>
      <c r="P780" s="2" t="s">
        <v>22</v>
      </c>
      <c r="Q780" s="10" t="str">
        <f>VLOOKUP(A780,Status!A:B,2,0)</f>
        <v>Cancelled</v>
      </c>
      <c r="R780" s="2" t="s">
        <v>36</v>
      </c>
      <c r="S780" s="2">
        <v>1</v>
      </c>
      <c r="T780" s="2" t="s">
        <v>37</v>
      </c>
      <c r="U780" s="10" t="str">
        <f t="shared" si="77"/>
        <v>May</v>
      </c>
      <c r="V780" s="10">
        <f t="shared" si="76"/>
        <v>2025</v>
      </c>
      <c r="W780" cm="1">
        <f t="array" ref="W780">_xlfn.IFS(U780="January",1,U780="February",2,U780="March",3,U780="April",4,U780="May",5,U780="June",6,U780="July",7,U780="August",8,U780="September",9,U780="October",10,U780="November",11,U780="December",12)</f>
        <v>5</v>
      </c>
    </row>
    <row r="781" spans="1:23" ht="15.75" customHeight="1" x14ac:dyDescent="0.25">
      <c r="A781" s="2" t="s">
        <v>1731</v>
      </c>
      <c r="B781" s="3">
        <v>45803.139768518522</v>
      </c>
      <c r="C781" s="2" t="s">
        <v>287</v>
      </c>
      <c r="D781" s="2" t="s">
        <v>262</v>
      </c>
      <c r="E781" s="2" t="s">
        <v>58</v>
      </c>
      <c r="F781" s="2" t="str" cm="1">
        <f t="array" ref="F781:G781">_xlfn.TEXTSPLIT(E781," - ")</f>
        <v>Gula Pasir</v>
      </c>
      <c r="G781" s="2" t="str">
        <v>Brand A</v>
      </c>
      <c r="H781" s="5">
        <v>16000</v>
      </c>
      <c r="I781" s="2">
        <v>5</v>
      </c>
      <c r="J781" s="2">
        <v>15</v>
      </c>
      <c r="K781" s="8">
        <f t="shared" si="72"/>
        <v>80000</v>
      </c>
      <c r="L781" s="8">
        <f t="shared" si="73"/>
        <v>12000</v>
      </c>
      <c r="M781" s="8">
        <f t="shared" si="74"/>
        <v>68000</v>
      </c>
      <c r="N781" s="5">
        <v>18000</v>
      </c>
      <c r="O781" s="8">
        <f t="shared" si="75"/>
        <v>86000</v>
      </c>
      <c r="P781" s="2" t="s">
        <v>63</v>
      </c>
      <c r="Q781" s="10" t="str">
        <f>VLOOKUP(A781,Status!A:B,2,0)</f>
        <v>Completed</v>
      </c>
      <c r="R781" s="2" t="s">
        <v>30</v>
      </c>
      <c r="S781" s="2">
        <v>5</v>
      </c>
      <c r="T781" s="2" t="s">
        <v>24</v>
      </c>
      <c r="U781" s="10" t="str">
        <f t="shared" si="77"/>
        <v>May</v>
      </c>
      <c r="V781" s="10">
        <f t="shared" si="76"/>
        <v>2025</v>
      </c>
      <c r="W781" cm="1">
        <f t="array" ref="W781">_xlfn.IFS(U781="January",1,U781="February",2,U781="March",3,U781="April",4,U781="May",5,U781="June",6,U781="July",7,U781="August",8,U781="September",9,U781="October",10,U781="November",11,U781="December",12)</f>
        <v>5</v>
      </c>
    </row>
    <row r="782" spans="1:23" ht="15.75" customHeight="1" x14ac:dyDescent="0.25">
      <c r="A782" s="2" t="s">
        <v>1732</v>
      </c>
      <c r="B782" s="3">
        <v>45803.195162037038</v>
      </c>
      <c r="C782" s="2" t="s">
        <v>197</v>
      </c>
      <c r="D782" s="2" t="s">
        <v>119</v>
      </c>
      <c r="E782" s="2" t="s">
        <v>50</v>
      </c>
      <c r="F782" s="2" t="str" cm="1">
        <f t="array" ref="F782:G782">_xlfn.TEXTSPLIT(E782," - ")</f>
        <v>Tepung Terigu</v>
      </c>
      <c r="G782" s="2" t="str">
        <v>Brand C</v>
      </c>
      <c r="H782" s="5">
        <v>14000</v>
      </c>
      <c r="I782" s="2">
        <v>1</v>
      </c>
      <c r="J782" s="2">
        <v>10</v>
      </c>
      <c r="K782" s="8">
        <f t="shared" si="72"/>
        <v>14000</v>
      </c>
      <c r="L782" s="8">
        <f t="shared" si="73"/>
        <v>1400</v>
      </c>
      <c r="M782" s="8">
        <f t="shared" si="74"/>
        <v>12600</v>
      </c>
      <c r="N782" s="5">
        <v>0</v>
      </c>
      <c r="O782" s="8">
        <f t="shared" si="75"/>
        <v>12600</v>
      </c>
      <c r="P782" s="2" t="s">
        <v>29</v>
      </c>
      <c r="Q782" s="10" t="str">
        <f>VLOOKUP(A782,Status!A:B,2,0)</f>
        <v>Completed</v>
      </c>
      <c r="R782" s="2" t="s">
        <v>46</v>
      </c>
      <c r="S782" s="2">
        <v>4</v>
      </c>
      <c r="T782" s="2" t="s">
        <v>37</v>
      </c>
      <c r="U782" s="10" t="str">
        <f t="shared" si="77"/>
        <v>May</v>
      </c>
      <c r="V782" s="10">
        <f t="shared" si="76"/>
        <v>2025</v>
      </c>
      <c r="W782" cm="1">
        <f t="array" ref="W782">_xlfn.IFS(U782="January",1,U782="February",2,U782="March",3,U782="April",4,U782="May",5,U782="June",6,U782="July",7,U782="August",8,U782="September",9,U782="October",10,U782="November",11,U782="December",12)</f>
        <v>5</v>
      </c>
    </row>
    <row r="783" spans="1:23" ht="15.75" customHeight="1" x14ac:dyDescent="0.25">
      <c r="A783" s="2" t="s">
        <v>1733</v>
      </c>
      <c r="B783" s="3">
        <v>45803.279699074083</v>
      </c>
      <c r="C783" s="2" t="s">
        <v>741</v>
      </c>
      <c r="D783" s="2" t="s">
        <v>189</v>
      </c>
      <c r="E783" s="2" t="s">
        <v>81</v>
      </c>
      <c r="F783" s="2" t="str" cm="1">
        <f t="array" ref="F783:G783">_xlfn.TEXTSPLIT(E783," - ")</f>
        <v>Minyak Goreng</v>
      </c>
      <c r="G783" s="2" t="str">
        <v>Brand B</v>
      </c>
      <c r="H783" s="5">
        <v>17000</v>
      </c>
      <c r="I783" s="2">
        <v>2</v>
      </c>
      <c r="J783" s="2">
        <v>10</v>
      </c>
      <c r="K783" s="8">
        <f t="shared" si="72"/>
        <v>34000</v>
      </c>
      <c r="L783" s="8">
        <f t="shared" si="73"/>
        <v>3400</v>
      </c>
      <c r="M783" s="8">
        <f t="shared" si="74"/>
        <v>30600</v>
      </c>
      <c r="N783" s="5">
        <v>57000</v>
      </c>
      <c r="O783" s="8">
        <f t="shared" si="75"/>
        <v>87600</v>
      </c>
      <c r="P783" s="2" t="s">
        <v>29</v>
      </c>
      <c r="Q783" s="10" t="str">
        <f>VLOOKUP(A783,Status!A:B,2,0)</f>
        <v>Completed</v>
      </c>
      <c r="R783" s="2" t="s">
        <v>23</v>
      </c>
      <c r="S783" s="2">
        <v>3</v>
      </c>
      <c r="T783" s="2" t="s">
        <v>24</v>
      </c>
      <c r="U783" s="10" t="str">
        <f t="shared" si="77"/>
        <v>May</v>
      </c>
      <c r="V783" s="10">
        <f t="shared" si="76"/>
        <v>2025</v>
      </c>
      <c r="W783" cm="1">
        <f t="array" ref="W783">_xlfn.IFS(U783="January",1,U783="February",2,U783="March",3,U783="April",4,U783="May",5,U783="June",6,U783="July",7,U783="August",8,U783="September",9,U783="October",10,U783="November",11,U783="December",12)</f>
        <v>5</v>
      </c>
    </row>
    <row r="784" spans="1:23" ht="15.75" customHeight="1" x14ac:dyDescent="0.25">
      <c r="A784" s="2" t="s">
        <v>1734</v>
      </c>
      <c r="B784" s="3">
        <v>45803.584502314807</v>
      </c>
      <c r="C784" s="2" t="s">
        <v>1173</v>
      </c>
      <c r="D784" s="2" t="s">
        <v>170</v>
      </c>
      <c r="E784" s="2" t="s">
        <v>45</v>
      </c>
      <c r="F784" s="2" t="str" cm="1">
        <f t="array" ref="F784:G784">_xlfn.TEXTSPLIT(E784," - ")</f>
        <v>Daging Ayam</v>
      </c>
      <c r="G784" s="2" t="str">
        <v>Brand B</v>
      </c>
      <c r="H784" s="5">
        <v>40000</v>
      </c>
      <c r="I784" s="2">
        <v>4</v>
      </c>
      <c r="J784" s="2">
        <v>20</v>
      </c>
      <c r="K784" s="8">
        <f t="shared" si="72"/>
        <v>160000</v>
      </c>
      <c r="L784" s="8">
        <f t="shared" si="73"/>
        <v>32000</v>
      </c>
      <c r="M784" s="8">
        <f t="shared" si="74"/>
        <v>128000</v>
      </c>
      <c r="N784" s="5">
        <v>46000</v>
      </c>
      <c r="O784" s="8">
        <f t="shared" si="75"/>
        <v>174000</v>
      </c>
      <c r="P784" s="2" t="s">
        <v>22</v>
      </c>
      <c r="Q784" s="10" t="str">
        <f>VLOOKUP(A784,Status!A:B,2,0)</f>
        <v>Returned</v>
      </c>
      <c r="R784" s="2" t="s">
        <v>46</v>
      </c>
      <c r="S784" s="2">
        <v>2</v>
      </c>
      <c r="T784" s="2" t="s">
        <v>24</v>
      </c>
      <c r="U784" s="10" t="str">
        <f t="shared" si="77"/>
        <v>May</v>
      </c>
      <c r="V784" s="10">
        <f t="shared" si="76"/>
        <v>2025</v>
      </c>
      <c r="W784" cm="1">
        <f t="array" ref="W784">_xlfn.IFS(U784="January",1,U784="February",2,U784="March",3,U784="April",4,U784="May",5,U784="June",6,U784="July",7,U784="August",8,U784="September",9,U784="October",10,U784="November",11,U784="December",12)</f>
        <v>5</v>
      </c>
    </row>
    <row r="785" spans="1:23" ht="15.75" customHeight="1" x14ac:dyDescent="0.25">
      <c r="A785" s="2" t="s">
        <v>1735</v>
      </c>
      <c r="B785" s="3">
        <v>45803.98578703704</v>
      </c>
      <c r="C785" s="2" t="s">
        <v>184</v>
      </c>
      <c r="D785" s="2" t="s">
        <v>103</v>
      </c>
      <c r="E785" s="2" t="s">
        <v>34</v>
      </c>
      <c r="F785" s="2" t="str" cm="1">
        <f t="array" ref="F785:G785">_xlfn.TEXTSPLIT(E785," - ")</f>
        <v>Minyak Goreng</v>
      </c>
      <c r="G785" s="2" t="str">
        <v>Brand A</v>
      </c>
      <c r="H785" s="5">
        <v>16000</v>
      </c>
      <c r="I785" s="2">
        <v>4</v>
      </c>
      <c r="J785" s="2">
        <v>5</v>
      </c>
      <c r="K785" s="8">
        <f t="shared" si="72"/>
        <v>64000</v>
      </c>
      <c r="L785" s="8">
        <f t="shared" si="73"/>
        <v>3200</v>
      </c>
      <c r="M785" s="8">
        <f t="shared" si="74"/>
        <v>60800</v>
      </c>
      <c r="N785" s="5">
        <v>85000</v>
      </c>
      <c r="O785" s="8">
        <f t="shared" si="75"/>
        <v>145800</v>
      </c>
      <c r="P785" s="2" t="s">
        <v>29</v>
      </c>
      <c r="Q785" s="10" t="str">
        <f>VLOOKUP(A785,Status!A:B,2,0)</f>
        <v>Completed</v>
      </c>
      <c r="R785" s="2" t="s">
        <v>36</v>
      </c>
      <c r="S785" s="2">
        <v>4</v>
      </c>
      <c r="T785" s="2" t="s">
        <v>24</v>
      </c>
      <c r="U785" s="10" t="str">
        <f t="shared" si="77"/>
        <v>May</v>
      </c>
      <c r="V785" s="10">
        <f t="shared" si="76"/>
        <v>2025</v>
      </c>
      <c r="W785" cm="1">
        <f t="array" ref="W785">_xlfn.IFS(U785="January",1,U785="February",2,U785="March",3,U785="April",4,U785="May",5,U785="June",6,U785="July",7,U785="August",8,U785="September",9,U785="October",10,U785="November",11,U785="December",12)</f>
        <v>5</v>
      </c>
    </row>
    <row r="786" spans="1:23" ht="15.75" customHeight="1" x14ac:dyDescent="0.25">
      <c r="A786" s="2" t="s">
        <v>1736</v>
      </c>
      <c r="B786" s="3">
        <v>45804.007256944453</v>
      </c>
      <c r="C786" s="2" t="s">
        <v>431</v>
      </c>
      <c r="D786" s="2" t="s">
        <v>33</v>
      </c>
      <c r="E786" s="2" t="s">
        <v>34</v>
      </c>
      <c r="F786" s="2" t="str" cm="1">
        <f t="array" ref="F786:G786">_xlfn.TEXTSPLIT(E786," - ")</f>
        <v>Minyak Goreng</v>
      </c>
      <c r="G786" s="2" t="str">
        <v>Brand A</v>
      </c>
      <c r="H786" s="5">
        <v>16000</v>
      </c>
      <c r="I786" s="2">
        <v>3</v>
      </c>
      <c r="J786" s="2">
        <v>15</v>
      </c>
      <c r="K786" s="8">
        <f t="shared" si="72"/>
        <v>48000</v>
      </c>
      <c r="L786" s="8">
        <f t="shared" si="73"/>
        <v>7200</v>
      </c>
      <c r="M786" s="8">
        <f t="shared" si="74"/>
        <v>40800</v>
      </c>
      <c r="N786" s="5">
        <v>76000</v>
      </c>
      <c r="O786" s="8">
        <f t="shared" si="75"/>
        <v>116800</v>
      </c>
      <c r="P786" s="2" t="s">
        <v>35</v>
      </c>
      <c r="Q786" s="10" t="str">
        <f>VLOOKUP(A786,Status!A:B,2,0)</f>
        <v>Completed</v>
      </c>
      <c r="R786" s="2" t="s">
        <v>36</v>
      </c>
      <c r="S786" s="2">
        <v>2</v>
      </c>
      <c r="T786" s="2" t="s">
        <v>24</v>
      </c>
      <c r="U786" s="10" t="str">
        <f t="shared" si="77"/>
        <v>May</v>
      </c>
      <c r="V786" s="10">
        <f t="shared" si="76"/>
        <v>2025</v>
      </c>
      <c r="W786" cm="1">
        <f t="array" ref="W786">_xlfn.IFS(U786="January",1,U786="February",2,U786="March",3,U786="April",4,U786="May",5,U786="June",6,U786="July",7,U786="August",8,U786="September",9,U786="October",10,U786="November",11,U786="December",12)</f>
        <v>5</v>
      </c>
    </row>
    <row r="787" spans="1:23" ht="15.75" customHeight="1" x14ac:dyDescent="0.25">
      <c r="A787" s="2" t="s">
        <v>1737</v>
      </c>
      <c r="B787" s="3">
        <v>45804.123182870368</v>
      </c>
      <c r="C787" s="2" t="s">
        <v>780</v>
      </c>
      <c r="D787" s="2" t="s">
        <v>113</v>
      </c>
      <c r="E787" s="2" t="s">
        <v>45</v>
      </c>
      <c r="F787" s="2" t="str" cm="1">
        <f t="array" ref="F787:G787">_xlfn.TEXTSPLIT(E787," - ")</f>
        <v>Daging Ayam</v>
      </c>
      <c r="G787" s="2" t="str">
        <v>Brand B</v>
      </c>
      <c r="H787" s="5">
        <v>40000</v>
      </c>
      <c r="I787" s="2">
        <v>1</v>
      </c>
      <c r="J787" s="2">
        <v>5</v>
      </c>
      <c r="K787" s="8">
        <f t="shared" si="72"/>
        <v>40000</v>
      </c>
      <c r="L787" s="8">
        <f t="shared" si="73"/>
        <v>2000</v>
      </c>
      <c r="M787" s="8">
        <f t="shared" si="74"/>
        <v>38000</v>
      </c>
      <c r="N787" s="5">
        <v>18000</v>
      </c>
      <c r="O787" s="8">
        <f t="shared" si="75"/>
        <v>56000</v>
      </c>
      <c r="P787" s="2" t="s">
        <v>22</v>
      </c>
      <c r="Q787" s="10" t="str">
        <f>VLOOKUP(A787,Status!A:B,2,0)</f>
        <v>Completed</v>
      </c>
      <c r="R787" s="2" t="s">
        <v>30</v>
      </c>
      <c r="S787" s="2">
        <v>1</v>
      </c>
      <c r="T787" s="2" t="s">
        <v>24</v>
      </c>
      <c r="U787" s="10" t="str">
        <f t="shared" si="77"/>
        <v>May</v>
      </c>
      <c r="V787" s="10">
        <f t="shared" si="76"/>
        <v>2025</v>
      </c>
      <c r="W787" cm="1">
        <f t="array" ref="W787">_xlfn.IFS(U787="January",1,U787="February",2,U787="March",3,U787="April",4,U787="May",5,U787="June",6,U787="July",7,U787="August",8,U787="September",9,U787="October",10,U787="November",11,U787="December",12)</f>
        <v>5</v>
      </c>
    </row>
    <row r="788" spans="1:23" ht="15.75" customHeight="1" x14ac:dyDescent="0.25">
      <c r="A788" s="2" t="s">
        <v>1738</v>
      </c>
      <c r="B788" s="3">
        <v>45804.200624999998</v>
      </c>
      <c r="C788" s="2" t="s">
        <v>176</v>
      </c>
      <c r="D788" s="2" t="s">
        <v>177</v>
      </c>
      <c r="E788" s="2" t="s">
        <v>136</v>
      </c>
      <c r="F788" s="2" t="str" cm="1">
        <f t="array" ref="F788:G788">_xlfn.TEXTSPLIT(E788," - ")</f>
        <v>Tepung Terigu</v>
      </c>
      <c r="G788" s="2" t="str">
        <v>Brand B</v>
      </c>
      <c r="H788" s="5">
        <v>12000</v>
      </c>
      <c r="I788" s="2">
        <v>3</v>
      </c>
      <c r="J788" s="2">
        <v>0</v>
      </c>
      <c r="K788" s="8">
        <f t="shared" si="72"/>
        <v>36000</v>
      </c>
      <c r="L788" s="8">
        <f t="shared" si="73"/>
        <v>0</v>
      </c>
      <c r="M788" s="8">
        <f t="shared" si="74"/>
        <v>36000</v>
      </c>
      <c r="N788" s="5">
        <v>56000</v>
      </c>
      <c r="O788" s="8">
        <f t="shared" si="75"/>
        <v>92000</v>
      </c>
      <c r="P788" s="2" t="s">
        <v>35</v>
      </c>
      <c r="Q788" s="10" t="str">
        <f>VLOOKUP(A788,Status!A:B,2,0)</f>
        <v>Completed</v>
      </c>
      <c r="R788" s="2" t="s">
        <v>82</v>
      </c>
      <c r="S788" s="2">
        <v>5</v>
      </c>
      <c r="T788" s="2" t="s">
        <v>24</v>
      </c>
      <c r="U788" s="10" t="str">
        <f t="shared" si="77"/>
        <v>May</v>
      </c>
      <c r="V788" s="10">
        <f t="shared" si="76"/>
        <v>2025</v>
      </c>
      <c r="W788" cm="1">
        <f t="array" ref="W788">_xlfn.IFS(U788="January",1,U788="February",2,U788="March",3,U788="April",4,U788="May",5,U788="June",6,U788="July",7,U788="August",8,U788="September",9,U788="October",10,U788="November",11,U788="December",12)</f>
        <v>5</v>
      </c>
    </row>
    <row r="789" spans="1:23" ht="15.75" customHeight="1" x14ac:dyDescent="0.25">
      <c r="A789" s="2" t="s">
        <v>1739</v>
      </c>
      <c r="B789" s="3">
        <v>45804.696400462963</v>
      </c>
      <c r="C789" s="2" t="s">
        <v>431</v>
      </c>
      <c r="D789" s="2" t="s">
        <v>33</v>
      </c>
      <c r="E789" s="2" t="s">
        <v>81</v>
      </c>
      <c r="F789" s="2" t="str" cm="1">
        <f t="array" ref="F789:G789">_xlfn.TEXTSPLIT(E789," - ")</f>
        <v>Minyak Goreng</v>
      </c>
      <c r="G789" s="2" t="str">
        <v>Brand B</v>
      </c>
      <c r="H789" s="5">
        <v>17000</v>
      </c>
      <c r="I789" s="2">
        <v>5</v>
      </c>
      <c r="J789" s="2">
        <v>0</v>
      </c>
      <c r="K789" s="8">
        <f t="shared" si="72"/>
        <v>85000</v>
      </c>
      <c r="L789" s="8">
        <f t="shared" si="73"/>
        <v>0</v>
      </c>
      <c r="M789" s="8">
        <f t="shared" si="74"/>
        <v>85000</v>
      </c>
      <c r="N789" s="5">
        <v>76000</v>
      </c>
      <c r="O789" s="8">
        <f t="shared" si="75"/>
        <v>161000</v>
      </c>
      <c r="P789" s="2" t="s">
        <v>35</v>
      </c>
      <c r="Q789" s="10" t="str">
        <f>VLOOKUP(A789,Status!A:B,2,0)</f>
        <v>Completed</v>
      </c>
      <c r="R789" s="2" t="s">
        <v>23</v>
      </c>
      <c r="S789" s="2">
        <v>4</v>
      </c>
      <c r="T789" s="2" t="s">
        <v>24</v>
      </c>
      <c r="U789" s="10" t="str">
        <f t="shared" si="77"/>
        <v>May</v>
      </c>
      <c r="V789" s="10">
        <f t="shared" si="76"/>
        <v>2025</v>
      </c>
      <c r="W789" cm="1">
        <f t="array" ref="W789">_xlfn.IFS(U789="January",1,U789="February",2,U789="March",3,U789="April",4,U789="May",5,U789="June",6,U789="July",7,U789="August",8,U789="September",9,U789="October",10,U789="November",11,U789="December",12)</f>
        <v>5</v>
      </c>
    </row>
    <row r="790" spans="1:23" ht="15.75" customHeight="1" x14ac:dyDescent="0.25">
      <c r="A790" s="2" t="s">
        <v>1740</v>
      </c>
      <c r="B790" s="3">
        <v>45805.642951388887</v>
      </c>
      <c r="C790" s="2" t="s">
        <v>1741</v>
      </c>
      <c r="D790" s="2" t="s">
        <v>44</v>
      </c>
      <c r="E790" s="2" t="s">
        <v>190</v>
      </c>
      <c r="F790" s="2" t="str" cm="1">
        <f t="array" ref="F790:G790">_xlfn.TEXTSPLIT(E790," - ")</f>
        <v>Bawang Merah</v>
      </c>
      <c r="G790" s="2" t="str">
        <v>Brand B</v>
      </c>
      <c r="H790" s="5">
        <v>35000</v>
      </c>
      <c r="I790" s="2">
        <v>2</v>
      </c>
      <c r="J790" s="2">
        <v>0</v>
      </c>
      <c r="K790" s="8">
        <f t="shared" si="72"/>
        <v>70000</v>
      </c>
      <c r="L790" s="8">
        <f t="shared" si="73"/>
        <v>0</v>
      </c>
      <c r="M790" s="8">
        <f t="shared" si="74"/>
        <v>70000</v>
      </c>
      <c r="N790" s="5">
        <v>93000</v>
      </c>
      <c r="O790" s="8">
        <f t="shared" si="75"/>
        <v>163000</v>
      </c>
      <c r="P790" s="2" t="s">
        <v>63</v>
      </c>
      <c r="Q790" s="10" t="str">
        <f>VLOOKUP(A790,Status!A:B,2,0)</f>
        <v>Returned</v>
      </c>
      <c r="R790" s="2" t="s">
        <v>36</v>
      </c>
      <c r="S790" s="2">
        <v>5</v>
      </c>
      <c r="T790" s="2" t="s">
        <v>24</v>
      </c>
      <c r="U790" s="10" t="str">
        <f t="shared" si="77"/>
        <v>May</v>
      </c>
      <c r="V790" s="10">
        <f t="shared" si="76"/>
        <v>2025</v>
      </c>
      <c r="W790" cm="1">
        <f t="array" ref="W790">_xlfn.IFS(U790="January",1,U790="February",2,U790="March",3,U790="April",4,U790="May",5,U790="June",6,U790="July",7,U790="August",8,U790="September",9,U790="October",10,U790="November",11,U790="December",12)</f>
        <v>5</v>
      </c>
    </row>
    <row r="791" spans="1:23" ht="15.75" customHeight="1" x14ac:dyDescent="0.25">
      <c r="A791" s="2" t="s">
        <v>1742</v>
      </c>
      <c r="B791" s="3">
        <v>45805.645462962973</v>
      </c>
      <c r="C791" s="2" t="s">
        <v>416</v>
      </c>
      <c r="D791" s="2" t="s">
        <v>131</v>
      </c>
      <c r="E791" s="2" t="s">
        <v>75</v>
      </c>
      <c r="F791" s="2" t="str" cm="1">
        <f t="array" ref="F791:G791">_xlfn.TEXTSPLIT(E791," - ")</f>
        <v>Susu Bubuk</v>
      </c>
      <c r="G791" s="2" t="str">
        <v>Brand C</v>
      </c>
      <c r="H791" s="5">
        <v>55000</v>
      </c>
      <c r="I791" s="2">
        <v>1</v>
      </c>
      <c r="J791" s="2">
        <v>10</v>
      </c>
      <c r="K791" s="8">
        <f t="shared" si="72"/>
        <v>55000</v>
      </c>
      <c r="L791" s="8">
        <f t="shared" si="73"/>
        <v>5500</v>
      </c>
      <c r="M791" s="8">
        <f t="shared" si="74"/>
        <v>49500</v>
      </c>
      <c r="N791" s="5">
        <v>59000</v>
      </c>
      <c r="O791" s="8">
        <f t="shared" si="75"/>
        <v>108500</v>
      </c>
      <c r="P791" s="2" t="s">
        <v>22</v>
      </c>
      <c r="Q791" s="10" t="str">
        <f>VLOOKUP(A791,Status!A:B,2,0)</f>
        <v>Returned</v>
      </c>
      <c r="R791" s="2" t="s">
        <v>30</v>
      </c>
      <c r="S791" s="2">
        <v>2</v>
      </c>
      <c r="T791" s="2" t="s">
        <v>24</v>
      </c>
      <c r="U791" s="10" t="str">
        <f t="shared" si="77"/>
        <v>May</v>
      </c>
      <c r="V791" s="10">
        <f t="shared" si="76"/>
        <v>2025</v>
      </c>
      <c r="W791" cm="1">
        <f t="array" ref="W791">_xlfn.IFS(U791="January",1,U791="February",2,U791="March",3,U791="April",4,U791="May",5,U791="June",6,U791="July",7,U791="August",8,U791="September",9,U791="October",10,U791="November",11,U791="December",12)</f>
        <v>5</v>
      </c>
    </row>
    <row r="792" spans="1:23" ht="15.75" customHeight="1" x14ac:dyDescent="0.25">
      <c r="A792" s="2" t="s">
        <v>1743</v>
      </c>
      <c r="B792" s="3">
        <v>45805.911238425928</v>
      </c>
      <c r="C792" s="2" t="s">
        <v>1530</v>
      </c>
      <c r="D792" s="2" t="s">
        <v>122</v>
      </c>
      <c r="E792" s="2" t="s">
        <v>41</v>
      </c>
      <c r="F792" s="2" t="str" cm="1">
        <f t="array" ref="F792:G792">_xlfn.TEXTSPLIT(E792," - ")</f>
        <v>Garam</v>
      </c>
      <c r="G792" s="2" t="str">
        <v>Brand A</v>
      </c>
      <c r="H792" s="5">
        <v>4000</v>
      </c>
      <c r="I792" s="2">
        <v>5</v>
      </c>
      <c r="J792" s="2">
        <v>0</v>
      </c>
      <c r="K792" s="8">
        <f t="shared" si="72"/>
        <v>20000</v>
      </c>
      <c r="L792" s="8">
        <f t="shared" si="73"/>
        <v>0</v>
      </c>
      <c r="M792" s="8">
        <f t="shared" si="74"/>
        <v>20000</v>
      </c>
      <c r="N792" s="5">
        <v>78000</v>
      </c>
      <c r="O792" s="8">
        <f t="shared" si="75"/>
        <v>98000</v>
      </c>
      <c r="P792" s="2" t="s">
        <v>29</v>
      </c>
      <c r="Q792" s="10" t="str">
        <f>VLOOKUP(A792,Status!A:B,2,0)</f>
        <v>Returned</v>
      </c>
      <c r="R792" s="2" t="s">
        <v>23</v>
      </c>
      <c r="S792" s="2">
        <v>4</v>
      </c>
      <c r="T792" s="2" t="s">
        <v>24</v>
      </c>
      <c r="U792" s="10" t="str">
        <f t="shared" si="77"/>
        <v>May</v>
      </c>
      <c r="V792" s="10">
        <f t="shared" si="76"/>
        <v>2025</v>
      </c>
      <c r="W792" cm="1">
        <f t="array" ref="W792">_xlfn.IFS(U792="January",1,U792="February",2,U792="March",3,U792="April",4,U792="May",5,U792="June",6,U792="July",7,U792="August",8,U792="September",9,U792="October",10,U792="November",11,U792="December",12)</f>
        <v>5</v>
      </c>
    </row>
    <row r="793" spans="1:23" ht="15.75" customHeight="1" x14ac:dyDescent="0.25">
      <c r="A793" s="2" t="s">
        <v>1744</v>
      </c>
      <c r="B793" s="3">
        <v>45806.661747685182</v>
      </c>
      <c r="C793" s="2" t="s">
        <v>87</v>
      </c>
      <c r="D793" s="2" t="s">
        <v>80</v>
      </c>
      <c r="E793" s="2" t="s">
        <v>174</v>
      </c>
      <c r="F793" s="2" t="str" cm="1">
        <f t="array" ref="F793:G793">_xlfn.TEXTSPLIT(E793," - ")</f>
        <v>Tepung Terigu</v>
      </c>
      <c r="G793" s="2" t="str">
        <v>Brand A</v>
      </c>
      <c r="H793" s="5">
        <v>10000</v>
      </c>
      <c r="I793" s="2">
        <v>3</v>
      </c>
      <c r="J793" s="2">
        <v>10</v>
      </c>
      <c r="K793" s="8">
        <f t="shared" si="72"/>
        <v>30000</v>
      </c>
      <c r="L793" s="8">
        <f t="shared" si="73"/>
        <v>3000</v>
      </c>
      <c r="M793" s="8">
        <f t="shared" si="74"/>
        <v>27000</v>
      </c>
      <c r="N793" s="5">
        <v>74000</v>
      </c>
      <c r="O793" s="8">
        <f t="shared" si="75"/>
        <v>101000</v>
      </c>
      <c r="P793" s="2" t="s">
        <v>35</v>
      </c>
      <c r="Q793" s="10" t="str">
        <f>VLOOKUP(A793,Status!A:B,2,0)</f>
        <v>Completed</v>
      </c>
      <c r="R793" s="2" t="s">
        <v>46</v>
      </c>
      <c r="S793" s="2">
        <v>1</v>
      </c>
      <c r="T793" s="2" t="s">
        <v>24</v>
      </c>
      <c r="U793" s="10" t="str">
        <f t="shared" si="77"/>
        <v>May</v>
      </c>
      <c r="V793" s="10">
        <f t="shared" si="76"/>
        <v>2025</v>
      </c>
      <c r="W793" cm="1">
        <f t="array" ref="W793">_xlfn.IFS(U793="January",1,U793="February",2,U793="March",3,U793="April",4,U793="May",5,U793="June",6,U793="July",7,U793="August",8,U793="September",9,U793="October",10,U793="November",11,U793="December",12)</f>
        <v>5</v>
      </c>
    </row>
    <row r="794" spans="1:23" ht="15.75" customHeight="1" x14ac:dyDescent="0.25">
      <c r="A794" s="2" t="s">
        <v>1745</v>
      </c>
      <c r="B794" s="3">
        <v>45806.868321759262</v>
      </c>
      <c r="C794" s="2" t="s">
        <v>199</v>
      </c>
      <c r="D794" s="2" t="s">
        <v>143</v>
      </c>
      <c r="E794" s="2" t="s">
        <v>38</v>
      </c>
      <c r="F794" s="2" t="str" cm="1">
        <f t="array" ref="F794:G794">_xlfn.TEXTSPLIT(E794," - ")</f>
        <v>Telur Ayam</v>
      </c>
      <c r="G794" s="2" t="str">
        <v>Brand C</v>
      </c>
      <c r="H794" s="5">
        <v>28000</v>
      </c>
      <c r="I794" s="2">
        <v>4</v>
      </c>
      <c r="J794" s="2">
        <v>15</v>
      </c>
      <c r="K794" s="8">
        <f t="shared" si="72"/>
        <v>112000</v>
      </c>
      <c r="L794" s="8">
        <f t="shared" si="73"/>
        <v>16800</v>
      </c>
      <c r="M794" s="8">
        <f t="shared" si="74"/>
        <v>95200</v>
      </c>
      <c r="N794" s="5">
        <v>50000</v>
      </c>
      <c r="O794" s="8">
        <f t="shared" si="75"/>
        <v>145200</v>
      </c>
      <c r="P794" s="2" t="s">
        <v>63</v>
      </c>
      <c r="Q794" s="10" t="str">
        <f>VLOOKUP(A794,Status!A:B,2,0)</f>
        <v>Completed</v>
      </c>
      <c r="R794" s="2" t="s">
        <v>23</v>
      </c>
      <c r="S794" s="2">
        <v>4</v>
      </c>
      <c r="T794" s="2" t="s">
        <v>24</v>
      </c>
      <c r="U794" s="10" t="str">
        <f t="shared" si="77"/>
        <v>May</v>
      </c>
      <c r="V794" s="10">
        <f t="shared" si="76"/>
        <v>2025</v>
      </c>
      <c r="W794" cm="1">
        <f t="array" ref="W794">_xlfn.IFS(U794="January",1,U794="February",2,U794="March",3,U794="April",4,U794="May",5,U794="June",6,U794="July",7,U794="August",8,U794="September",9,U794="October",10,U794="November",11,U794="December",12)</f>
        <v>5</v>
      </c>
    </row>
    <row r="795" spans="1:23" ht="15.75" customHeight="1" x14ac:dyDescent="0.25">
      <c r="A795" s="2" t="s">
        <v>1746</v>
      </c>
      <c r="B795" s="3">
        <v>45807.260497685187</v>
      </c>
      <c r="C795" s="2" t="s">
        <v>225</v>
      </c>
      <c r="D795" s="2" t="s">
        <v>189</v>
      </c>
      <c r="E795" s="2" t="s">
        <v>88</v>
      </c>
      <c r="F795" s="2" t="str" cm="1">
        <f t="array" ref="F795:G795">_xlfn.TEXTSPLIT(E795," - ")</f>
        <v>Beras</v>
      </c>
      <c r="G795" s="2" t="str">
        <v>Brand A</v>
      </c>
      <c r="H795" s="5">
        <v>14000</v>
      </c>
      <c r="I795" s="2">
        <v>5</v>
      </c>
      <c r="J795" s="2">
        <v>5</v>
      </c>
      <c r="K795" s="8">
        <f t="shared" si="72"/>
        <v>70000</v>
      </c>
      <c r="L795" s="8">
        <f t="shared" si="73"/>
        <v>3500</v>
      </c>
      <c r="M795" s="8">
        <f t="shared" si="74"/>
        <v>66500</v>
      </c>
      <c r="N795" s="5">
        <v>57000</v>
      </c>
      <c r="O795" s="8">
        <f t="shared" si="75"/>
        <v>123500</v>
      </c>
      <c r="P795" s="2" t="s">
        <v>29</v>
      </c>
      <c r="Q795" s="10" t="str">
        <f>VLOOKUP(A795,Status!A:B,2,0)</f>
        <v>Completed</v>
      </c>
      <c r="R795" s="2" t="s">
        <v>46</v>
      </c>
      <c r="S795" s="2">
        <v>1</v>
      </c>
      <c r="T795" s="2" t="s">
        <v>37</v>
      </c>
      <c r="U795" s="10" t="str">
        <f t="shared" si="77"/>
        <v>May</v>
      </c>
      <c r="V795" s="10">
        <f t="shared" si="76"/>
        <v>2025</v>
      </c>
      <c r="W795" cm="1">
        <f t="array" ref="W795">_xlfn.IFS(U795="January",1,U795="February",2,U795="March",3,U795="April",4,U795="May",5,U795="June",6,U795="July",7,U795="August",8,U795="September",9,U795="October",10,U795="November",11,U795="December",12)</f>
        <v>5</v>
      </c>
    </row>
    <row r="796" spans="1:23" ht="15.75" customHeight="1" x14ac:dyDescent="0.25">
      <c r="A796" s="2" t="s">
        <v>1747</v>
      </c>
      <c r="B796" s="3">
        <v>45807.876099537039</v>
      </c>
      <c r="C796" s="2" t="s">
        <v>256</v>
      </c>
      <c r="D796" s="2" t="s">
        <v>107</v>
      </c>
      <c r="E796" s="2" t="s">
        <v>54</v>
      </c>
      <c r="F796" s="2" t="str" cm="1">
        <f t="array" ref="F796:G796">_xlfn.TEXTSPLIT(E796," - ")</f>
        <v>Beras</v>
      </c>
      <c r="G796" s="2" t="str">
        <v>Brand C</v>
      </c>
      <c r="H796" s="5">
        <v>16000</v>
      </c>
      <c r="I796" s="2">
        <v>3</v>
      </c>
      <c r="J796" s="2">
        <v>0</v>
      </c>
      <c r="K796" s="8">
        <f t="shared" si="72"/>
        <v>48000</v>
      </c>
      <c r="L796" s="8">
        <f t="shared" si="73"/>
        <v>0</v>
      </c>
      <c r="M796" s="8">
        <f t="shared" si="74"/>
        <v>48000</v>
      </c>
      <c r="N796" s="5">
        <v>97000</v>
      </c>
      <c r="O796" s="8">
        <f t="shared" si="75"/>
        <v>145000</v>
      </c>
      <c r="P796" s="2" t="s">
        <v>63</v>
      </c>
      <c r="Q796" s="10" t="str">
        <f>VLOOKUP(A796,Status!A:B,2,0)</f>
        <v>Returned</v>
      </c>
      <c r="R796" s="2" t="s">
        <v>30</v>
      </c>
      <c r="S796" s="2">
        <v>2</v>
      </c>
      <c r="T796" s="2" t="s">
        <v>24</v>
      </c>
      <c r="U796" s="10" t="str">
        <f t="shared" si="77"/>
        <v>May</v>
      </c>
      <c r="V796" s="10">
        <f t="shared" si="76"/>
        <v>2025</v>
      </c>
      <c r="W796" cm="1">
        <f t="array" ref="W796">_xlfn.IFS(U796="January",1,U796="February",2,U796="March",3,U796="April",4,U796="May",5,U796="June",6,U796="July",7,U796="August",8,U796="September",9,U796="October",10,U796="November",11,U796="December",12)</f>
        <v>5</v>
      </c>
    </row>
    <row r="797" spans="1:23" ht="15.75" customHeight="1" x14ac:dyDescent="0.25">
      <c r="A797" s="2" t="s">
        <v>1748</v>
      </c>
      <c r="B797" s="3">
        <v>45807.93608796296</v>
      </c>
      <c r="C797" s="2" t="s">
        <v>218</v>
      </c>
      <c r="D797" s="2" t="s">
        <v>170</v>
      </c>
      <c r="E797" s="2" t="s">
        <v>58</v>
      </c>
      <c r="F797" s="2" t="str" cm="1">
        <f t="array" ref="F797:G797">_xlfn.TEXTSPLIT(E797," - ")</f>
        <v>Gula Pasir</v>
      </c>
      <c r="G797" s="2" t="str">
        <v>Brand A</v>
      </c>
      <c r="H797" s="5">
        <v>16000</v>
      </c>
      <c r="I797" s="2">
        <v>4</v>
      </c>
      <c r="J797" s="2">
        <v>10</v>
      </c>
      <c r="K797" s="8">
        <f t="shared" si="72"/>
        <v>64000</v>
      </c>
      <c r="L797" s="8">
        <f t="shared" si="73"/>
        <v>6400</v>
      </c>
      <c r="M797" s="8">
        <f t="shared" si="74"/>
        <v>57600</v>
      </c>
      <c r="N797" s="5">
        <v>46000</v>
      </c>
      <c r="O797" s="8">
        <f t="shared" si="75"/>
        <v>103600</v>
      </c>
      <c r="P797" s="2" t="s">
        <v>35</v>
      </c>
      <c r="Q797" s="10" t="str">
        <f>VLOOKUP(A797,Status!A:B,2,0)</f>
        <v>Completed</v>
      </c>
      <c r="R797" s="2" t="s">
        <v>46</v>
      </c>
      <c r="S797" s="2">
        <v>5</v>
      </c>
      <c r="T797" s="2" t="s">
        <v>24</v>
      </c>
      <c r="U797" s="10" t="str">
        <f t="shared" si="77"/>
        <v>May</v>
      </c>
      <c r="V797" s="10">
        <f t="shared" si="76"/>
        <v>2025</v>
      </c>
      <c r="W797" cm="1">
        <f t="array" ref="W797">_xlfn.IFS(U797="January",1,U797="February",2,U797="March",3,U797="April",4,U797="May",5,U797="June",6,U797="July",7,U797="August",8,U797="September",9,U797="October",10,U797="November",11,U797="December",12)</f>
        <v>5</v>
      </c>
    </row>
    <row r="798" spans="1:23" ht="15.75" customHeight="1" x14ac:dyDescent="0.25">
      <c r="A798" s="2" t="s">
        <v>1749</v>
      </c>
      <c r="B798" s="3">
        <v>45808.147893518522</v>
      </c>
      <c r="C798" s="2" t="s">
        <v>355</v>
      </c>
      <c r="D798" s="2" t="s">
        <v>116</v>
      </c>
      <c r="E798" s="2" t="s">
        <v>144</v>
      </c>
      <c r="F798" s="2" t="str" cm="1">
        <f t="array" ref="F798:G798">_xlfn.TEXTSPLIT(E798," - ")</f>
        <v>Gula Pasir</v>
      </c>
      <c r="G798" s="2" t="str">
        <v>Brand C</v>
      </c>
      <c r="H798" s="5">
        <v>18000</v>
      </c>
      <c r="I798" s="2">
        <v>2</v>
      </c>
      <c r="J798" s="2">
        <v>10</v>
      </c>
      <c r="K798" s="8">
        <f t="shared" si="72"/>
        <v>36000</v>
      </c>
      <c r="L798" s="8">
        <f t="shared" si="73"/>
        <v>3600</v>
      </c>
      <c r="M798" s="8">
        <f t="shared" si="74"/>
        <v>32400</v>
      </c>
      <c r="N798" s="5">
        <v>72000</v>
      </c>
      <c r="O798" s="8">
        <f t="shared" si="75"/>
        <v>104400</v>
      </c>
      <c r="P798" s="2" t="s">
        <v>29</v>
      </c>
      <c r="Q798" s="10" t="str">
        <f>VLOOKUP(A798,Status!A:B,2,0)</f>
        <v>Completed</v>
      </c>
      <c r="R798" s="2" t="s">
        <v>36</v>
      </c>
      <c r="S798" s="2">
        <v>2</v>
      </c>
      <c r="T798" s="2" t="s">
        <v>24</v>
      </c>
      <c r="U798" s="10" t="str">
        <f t="shared" si="77"/>
        <v>May</v>
      </c>
      <c r="V798" s="10">
        <f t="shared" si="76"/>
        <v>2025</v>
      </c>
      <c r="W798" cm="1">
        <f t="array" ref="W798">_xlfn.IFS(U798="January",1,U798="February",2,U798="March",3,U798="April",4,U798="May",5,U798="June",6,U798="July",7,U798="August",8,U798="September",9,U798="October",10,U798="November",11,U798="December",12)</f>
        <v>5</v>
      </c>
    </row>
    <row r="799" spans="1:23" ht="15.75" customHeight="1" x14ac:dyDescent="0.25">
      <c r="A799" s="2" t="s">
        <v>1750</v>
      </c>
      <c r="B799" s="3">
        <v>45808.278726851851</v>
      </c>
      <c r="C799" s="2" t="s">
        <v>102</v>
      </c>
      <c r="D799" s="2" t="s">
        <v>103</v>
      </c>
      <c r="E799" s="2" t="s">
        <v>144</v>
      </c>
      <c r="F799" s="2" t="str" cm="1">
        <f t="array" ref="F799:G799">_xlfn.TEXTSPLIT(E799," - ")</f>
        <v>Gula Pasir</v>
      </c>
      <c r="G799" s="2" t="str">
        <v>Brand C</v>
      </c>
      <c r="H799" s="5">
        <v>18000</v>
      </c>
      <c r="I799" s="2">
        <v>1</v>
      </c>
      <c r="J799" s="2">
        <v>10</v>
      </c>
      <c r="K799" s="8">
        <f t="shared" si="72"/>
        <v>18000</v>
      </c>
      <c r="L799" s="8">
        <f t="shared" si="73"/>
        <v>1800</v>
      </c>
      <c r="M799" s="8">
        <f t="shared" si="74"/>
        <v>16200</v>
      </c>
      <c r="N799" s="5">
        <v>85000</v>
      </c>
      <c r="O799" s="8">
        <f t="shared" si="75"/>
        <v>101200</v>
      </c>
      <c r="P799" s="2" t="s">
        <v>22</v>
      </c>
      <c r="Q799" s="10" t="str">
        <f>VLOOKUP(A799,Status!A:B,2,0)</f>
        <v>Completed</v>
      </c>
      <c r="R799" s="2" t="s">
        <v>23</v>
      </c>
      <c r="S799" s="2">
        <v>1</v>
      </c>
      <c r="T799" s="2" t="s">
        <v>24</v>
      </c>
      <c r="U799" s="10" t="str">
        <f t="shared" si="77"/>
        <v>May</v>
      </c>
      <c r="V799" s="10">
        <f t="shared" si="76"/>
        <v>2025</v>
      </c>
      <c r="W799" cm="1">
        <f t="array" ref="W799">_xlfn.IFS(U799="January",1,U799="February",2,U799="March",3,U799="April",4,U799="May",5,U799="June",6,U799="July",7,U799="August",8,U799="September",9,U799="October",10,U799="November",11,U799="December",12)</f>
        <v>5</v>
      </c>
    </row>
    <row r="800" spans="1:23" ht="15.75" customHeight="1" x14ac:dyDescent="0.25">
      <c r="A800" s="2" t="s">
        <v>1751</v>
      </c>
      <c r="B800" s="3">
        <v>45808.335034722222</v>
      </c>
      <c r="C800" s="2" t="s">
        <v>549</v>
      </c>
      <c r="D800" s="2" t="s">
        <v>107</v>
      </c>
      <c r="E800" s="2" t="s">
        <v>38</v>
      </c>
      <c r="F800" s="2" t="str" cm="1">
        <f t="array" ref="F800:G800">_xlfn.TEXTSPLIT(E800," - ")</f>
        <v>Telur Ayam</v>
      </c>
      <c r="G800" s="2" t="str">
        <v>Brand C</v>
      </c>
      <c r="H800" s="5">
        <v>28000</v>
      </c>
      <c r="I800" s="2">
        <v>3</v>
      </c>
      <c r="J800" s="2">
        <v>10</v>
      </c>
      <c r="K800" s="8">
        <f t="shared" si="72"/>
        <v>84000</v>
      </c>
      <c r="L800" s="8">
        <f t="shared" si="73"/>
        <v>8400</v>
      </c>
      <c r="M800" s="8">
        <f t="shared" si="74"/>
        <v>75600</v>
      </c>
      <c r="N800" s="5">
        <v>97000</v>
      </c>
      <c r="O800" s="8">
        <f t="shared" si="75"/>
        <v>172600</v>
      </c>
      <c r="P800" s="2" t="s">
        <v>63</v>
      </c>
      <c r="Q800" s="10" t="str">
        <f>VLOOKUP(A800,Status!A:B,2,0)</f>
        <v>Completed</v>
      </c>
      <c r="R800" s="2" t="s">
        <v>23</v>
      </c>
      <c r="S800" s="2">
        <v>5</v>
      </c>
      <c r="T800" s="2" t="s">
        <v>24</v>
      </c>
      <c r="U800" s="10" t="str">
        <f t="shared" si="77"/>
        <v>May</v>
      </c>
      <c r="V800" s="10">
        <f t="shared" si="76"/>
        <v>2025</v>
      </c>
      <c r="W800" cm="1">
        <f t="array" ref="W800">_xlfn.IFS(U800="January",1,U800="February",2,U800="March",3,U800="April",4,U800="May",5,U800="June",6,U800="July",7,U800="August",8,U800="September",9,U800="October",10,U800="November",11,U800="December",12)</f>
        <v>5</v>
      </c>
    </row>
    <row r="801" spans="1:23" ht="15.75" customHeight="1" x14ac:dyDescent="0.25">
      <c r="A801" s="2" t="s">
        <v>1751</v>
      </c>
      <c r="B801" s="3">
        <v>45808.335034722222</v>
      </c>
      <c r="C801" s="2" t="s">
        <v>549</v>
      </c>
      <c r="D801" s="2" t="s">
        <v>107</v>
      </c>
      <c r="E801" s="2" t="s">
        <v>41</v>
      </c>
      <c r="F801" s="2" t="str" cm="1">
        <f t="array" ref="F801:G801">_xlfn.TEXTSPLIT(E801," - ")</f>
        <v>Garam</v>
      </c>
      <c r="G801" s="2" t="str">
        <v>Brand A</v>
      </c>
      <c r="H801" s="5">
        <v>4000</v>
      </c>
      <c r="I801" s="2">
        <v>5</v>
      </c>
      <c r="J801" s="2">
        <v>0</v>
      </c>
      <c r="K801" s="8">
        <f t="shared" si="72"/>
        <v>20000</v>
      </c>
      <c r="L801" s="8">
        <f t="shared" si="73"/>
        <v>0</v>
      </c>
      <c r="M801" s="8">
        <f t="shared" si="74"/>
        <v>20000</v>
      </c>
      <c r="N801" s="5">
        <v>0</v>
      </c>
      <c r="O801" s="8">
        <f t="shared" si="75"/>
        <v>20000</v>
      </c>
      <c r="P801" s="2" t="s">
        <v>63</v>
      </c>
      <c r="Q801" s="10" t="str">
        <f>VLOOKUP(A801,Status!A:B,2,0)</f>
        <v>Completed</v>
      </c>
      <c r="R801" s="2" t="s">
        <v>23</v>
      </c>
      <c r="S801" s="2">
        <v>5</v>
      </c>
      <c r="T801" s="2" t="s">
        <v>24</v>
      </c>
      <c r="U801" s="10" t="str">
        <f t="shared" si="77"/>
        <v>May</v>
      </c>
      <c r="V801" s="10">
        <f t="shared" si="76"/>
        <v>2025</v>
      </c>
      <c r="W801" cm="1">
        <f t="array" ref="W801">_xlfn.IFS(U801="January",1,U801="February",2,U801="March",3,U801="April",4,U801="May",5,U801="June",6,U801="July",7,U801="August",8,U801="September",9,U801="October",10,U801="November",11,U801="December",12)</f>
        <v>5</v>
      </c>
    </row>
    <row r="802" spans="1:23" ht="15.75" customHeight="1" x14ac:dyDescent="0.25">
      <c r="A802" s="2" t="s">
        <v>1752</v>
      </c>
      <c r="B802" s="3">
        <v>45808.48159722222</v>
      </c>
      <c r="C802" s="2" t="s">
        <v>179</v>
      </c>
      <c r="D802" s="2" t="s">
        <v>66</v>
      </c>
      <c r="E802" s="2" t="s">
        <v>54</v>
      </c>
      <c r="F802" s="2" t="str" cm="1">
        <f t="array" ref="F802:G802">_xlfn.TEXTSPLIT(E802," - ")</f>
        <v>Beras</v>
      </c>
      <c r="G802" s="2" t="str">
        <v>Brand C</v>
      </c>
      <c r="H802" s="5">
        <v>16000</v>
      </c>
      <c r="I802" s="2">
        <v>5</v>
      </c>
      <c r="J802" s="2">
        <v>0</v>
      </c>
      <c r="K802" s="8">
        <f t="shared" si="72"/>
        <v>80000</v>
      </c>
      <c r="L802" s="8">
        <f t="shared" si="73"/>
        <v>0</v>
      </c>
      <c r="M802" s="8">
        <f t="shared" si="74"/>
        <v>80000</v>
      </c>
      <c r="N802" s="5">
        <v>59000</v>
      </c>
      <c r="O802" s="8">
        <f t="shared" si="75"/>
        <v>139000</v>
      </c>
      <c r="P802" s="2" t="s">
        <v>63</v>
      </c>
      <c r="Q802" s="10" t="str">
        <f>VLOOKUP(A802,Status!A:B,2,0)</f>
        <v>Completed</v>
      </c>
      <c r="R802" s="2" t="s">
        <v>46</v>
      </c>
      <c r="S802" s="2">
        <v>2</v>
      </c>
      <c r="T802" s="2" t="s">
        <v>24</v>
      </c>
      <c r="U802" s="10" t="str">
        <f t="shared" si="77"/>
        <v>May</v>
      </c>
      <c r="V802" s="10">
        <f t="shared" si="76"/>
        <v>2025</v>
      </c>
      <c r="W802" cm="1">
        <f t="array" ref="W802">_xlfn.IFS(U802="January",1,U802="February",2,U802="March",3,U802="April",4,U802="May",5,U802="June",6,U802="July",7,U802="August",8,U802="September",9,U802="October",10,U802="November",11,U802="December",12)</f>
        <v>5</v>
      </c>
    </row>
    <row r="803" spans="1:23" ht="15.75" customHeight="1" x14ac:dyDescent="0.25">
      <c r="A803" s="2" t="s">
        <v>1753</v>
      </c>
      <c r="B803" s="3">
        <v>45808.593981481477</v>
      </c>
      <c r="C803" s="2" t="s">
        <v>314</v>
      </c>
      <c r="D803" s="2" t="s">
        <v>113</v>
      </c>
      <c r="E803" s="2" t="s">
        <v>75</v>
      </c>
      <c r="F803" s="2" t="str" cm="1">
        <f t="array" ref="F803:G803">_xlfn.TEXTSPLIT(E803," - ")</f>
        <v>Susu Bubuk</v>
      </c>
      <c r="G803" s="2" t="str">
        <v>Brand C</v>
      </c>
      <c r="H803" s="5">
        <v>55000</v>
      </c>
      <c r="I803" s="2">
        <v>4</v>
      </c>
      <c r="J803" s="2">
        <v>0</v>
      </c>
      <c r="K803" s="8">
        <f t="shared" si="72"/>
        <v>220000</v>
      </c>
      <c r="L803" s="8">
        <f t="shared" si="73"/>
        <v>0</v>
      </c>
      <c r="M803" s="8">
        <f t="shared" si="74"/>
        <v>220000</v>
      </c>
      <c r="N803" s="5">
        <v>18000</v>
      </c>
      <c r="O803" s="8">
        <f t="shared" si="75"/>
        <v>238000</v>
      </c>
      <c r="P803" s="2" t="s">
        <v>22</v>
      </c>
      <c r="Q803" s="10" t="str">
        <f>VLOOKUP(A803,Status!A:B,2,0)</f>
        <v>Completed</v>
      </c>
      <c r="R803" s="2" t="s">
        <v>30</v>
      </c>
      <c r="S803" s="2">
        <v>1</v>
      </c>
      <c r="T803" s="2" t="s">
        <v>24</v>
      </c>
      <c r="U803" s="10" t="str">
        <f t="shared" si="77"/>
        <v>May</v>
      </c>
      <c r="V803" s="10">
        <f t="shared" si="76"/>
        <v>2025</v>
      </c>
      <c r="W803" cm="1">
        <f t="array" ref="W803">_xlfn.IFS(U803="January",1,U803="February",2,U803="March",3,U803="April",4,U803="May",5,U803="June",6,U803="July",7,U803="August",8,U803="September",9,U803="October",10,U803="November",11,U803="December",12)</f>
        <v>5</v>
      </c>
    </row>
    <row r="804" spans="1:23" ht="15.75" customHeight="1" x14ac:dyDescent="0.25">
      <c r="A804" s="2" t="s">
        <v>1754</v>
      </c>
      <c r="B804" s="3">
        <v>45809.02171296296</v>
      </c>
      <c r="C804" s="2" t="s">
        <v>302</v>
      </c>
      <c r="D804" s="2" t="s">
        <v>74</v>
      </c>
      <c r="E804" s="2" t="s">
        <v>190</v>
      </c>
      <c r="F804" s="2" t="str" cm="1">
        <f t="array" ref="F804:G804">_xlfn.TEXTSPLIT(E804," - ")</f>
        <v>Bawang Merah</v>
      </c>
      <c r="G804" s="2" t="str">
        <v>Brand B</v>
      </c>
      <c r="H804" s="5">
        <v>35000</v>
      </c>
      <c r="I804" s="2">
        <v>2</v>
      </c>
      <c r="J804" s="2">
        <v>10</v>
      </c>
      <c r="K804" s="8">
        <f t="shared" si="72"/>
        <v>70000</v>
      </c>
      <c r="L804" s="8">
        <f t="shared" si="73"/>
        <v>7000</v>
      </c>
      <c r="M804" s="8">
        <f t="shared" si="74"/>
        <v>63000</v>
      </c>
      <c r="N804" s="5">
        <v>87000</v>
      </c>
      <c r="O804" s="8">
        <f t="shared" si="75"/>
        <v>150000</v>
      </c>
      <c r="P804" s="2" t="s">
        <v>29</v>
      </c>
      <c r="Q804" s="10" t="str">
        <f>VLOOKUP(A804,Status!A:B,2,0)</f>
        <v>Completed</v>
      </c>
      <c r="R804" s="2" t="s">
        <v>82</v>
      </c>
      <c r="S804" s="2">
        <v>2</v>
      </c>
      <c r="T804" s="2" t="s">
        <v>24</v>
      </c>
      <c r="U804" s="10" t="str">
        <f t="shared" si="77"/>
        <v>Jun</v>
      </c>
      <c r="V804" s="10">
        <f t="shared" si="76"/>
        <v>2025</v>
      </c>
      <c r="W804" t="e" cm="1">
        <f t="array" ref="W804">_xlfn.IFS(U804="January",1,U804="February",2,U804="March",3,U804="April",4,U804="May",5,U804="June",6,U804="July",7,U804="August",8,U804="September",9,U804="October",10,U804="November",11,U804="December",12)</f>
        <v>#N/A</v>
      </c>
    </row>
    <row r="805" spans="1:23" ht="15.75" customHeight="1" x14ac:dyDescent="0.25">
      <c r="A805" s="2" t="s">
        <v>1755</v>
      </c>
      <c r="B805" s="3">
        <v>45809.438032407408</v>
      </c>
      <c r="C805" s="2" t="s">
        <v>900</v>
      </c>
      <c r="D805" s="2" t="s">
        <v>27</v>
      </c>
      <c r="E805" s="2" t="s">
        <v>54</v>
      </c>
      <c r="F805" s="2" t="str" cm="1">
        <f t="array" ref="F805:G805">_xlfn.TEXTSPLIT(E805," - ")</f>
        <v>Beras</v>
      </c>
      <c r="G805" s="2" t="str">
        <v>Brand C</v>
      </c>
      <c r="H805" s="5">
        <v>16000</v>
      </c>
      <c r="I805" s="2">
        <v>1</v>
      </c>
      <c r="J805" s="2">
        <v>0</v>
      </c>
      <c r="K805" s="8">
        <f t="shared" si="72"/>
        <v>16000</v>
      </c>
      <c r="L805" s="8">
        <f t="shared" si="73"/>
        <v>0</v>
      </c>
      <c r="M805" s="8">
        <f t="shared" si="74"/>
        <v>16000</v>
      </c>
      <c r="N805" s="5">
        <v>17000</v>
      </c>
      <c r="O805" s="8">
        <f t="shared" si="75"/>
        <v>33000</v>
      </c>
      <c r="P805" s="2" t="s">
        <v>29</v>
      </c>
      <c r="Q805" s="10" t="str">
        <f>VLOOKUP(A805,Status!A:B,2,0)</f>
        <v>Completed</v>
      </c>
      <c r="R805" s="2" t="s">
        <v>46</v>
      </c>
      <c r="S805" s="2">
        <v>3</v>
      </c>
      <c r="T805" s="2" t="s">
        <v>24</v>
      </c>
      <c r="U805" s="10" t="str">
        <f t="shared" si="77"/>
        <v>Jun</v>
      </c>
      <c r="V805" s="10">
        <f t="shared" si="76"/>
        <v>2025</v>
      </c>
      <c r="W805" t="e" cm="1">
        <f t="array" ref="W805">_xlfn.IFS(U805="January",1,U805="February",2,U805="March",3,U805="April",4,U805="May",5,U805="June",6,U805="July",7,U805="August",8,U805="September",9,U805="October",10,U805="November",11,U805="December",12)</f>
        <v>#N/A</v>
      </c>
    </row>
    <row r="806" spans="1:23" ht="15.75" customHeight="1" x14ac:dyDescent="0.25">
      <c r="A806" s="2" t="s">
        <v>1756</v>
      </c>
      <c r="B806" s="3">
        <v>45809.503657407397</v>
      </c>
      <c r="C806" s="2" t="s">
        <v>1757</v>
      </c>
      <c r="D806" s="2" t="s">
        <v>74</v>
      </c>
      <c r="E806" s="2" t="s">
        <v>21</v>
      </c>
      <c r="F806" s="2" t="str" cm="1">
        <f t="array" ref="F806:G806">_xlfn.TEXTSPLIT(E806," - ")</f>
        <v>Daging Ayam</v>
      </c>
      <c r="G806" s="2" t="str">
        <v>Brand C</v>
      </c>
      <c r="H806" s="5">
        <v>45000</v>
      </c>
      <c r="I806" s="2">
        <v>3</v>
      </c>
      <c r="J806" s="2">
        <v>15</v>
      </c>
      <c r="K806" s="8">
        <f t="shared" si="72"/>
        <v>135000</v>
      </c>
      <c r="L806" s="8">
        <f t="shared" si="73"/>
        <v>20250</v>
      </c>
      <c r="M806" s="8">
        <f t="shared" si="74"/>
        <v>114750</v>
      </c>
      <c r="N806" s="5">
        <v>87000</v>
      </c>
      <c r="O806" s="8">
        <f t="shared" si="75"/>
        <v>201750</v>
      </c>
      <c r="P806" s="2" t="s">
        <v>22</v>
      </c>
      <c r="Q806" s="10" t="str">
        <f>VLOOKUP(A806,Status!A:B,2,0)</f>
        <v>Completed</v>
      </c>
      <c r="R806" s="2" t="s">
        <v>30</v>
      </c>
      <c r="S806" s="2">
        <v>3</v>
      </c>
      <c r="T806" s="2" t="s">
        <v>37</v>
      </c>
      <c r="U806" s="10" t="str">
        <f t="shared" si="77"/>
        <v>Jun</v>
      </c>
      <c r="V806" s="10">
        <f t="shared" si="76"/>
        <v>2025</v>
      </c>
      <c r="W806" t="e" cm="1">
        <f t="array" ref="W806">_xlfn.IFS(U806="January",1,U806="February",2,U806="March",3,U806="April",4,U806="May",5,U806="June",6,U806="July",7,U806="August",8,U806="September",9,U806="October",10,U806="November",11,U806="December",12)</f>
        <v>#N/A</v>
      </c>
    </row>
    <row r="807" spans="1:23" ht="15.75" customHeight="1" x14ac:dyDescent="0.25">
      <c r="A807" s="2" t="s">
        <v>1758</v>
      </c>
      <c r="B807" s="3">
        <v>45809.878032407411</v>
      </c>
      <c r="C807" s="2" t="s">
        <v>60</v>
      </c>
      <c r="D807" s="2" t="s">
        <v>61</v>
      </c>
      <c r="E807" s="2" t="s">
        <v>110</v>
      </c>
      <c r="F807" s="2" t="str" cm="1">
        <f t="array" ref="F807:G807">_xlfn.TEXTSPLIT(E807," - ")</f>
        <v>Garam</v>
      </c>
      <c r="G807" s="2" t="str">
        <v>Brand C</v>
      </c>
      <c r="H807" s="5">
        <v>6000</v>
      </c>
      <c r="I807" s="2">
        <v>1</v>
      </c>
      <c r="J807" s="2">
        <v>0</v>
      </c>
      <c r="K807" s="8">
        <f t="shared" si="72"/>
        <v>6000</v>
      </c>
      <c r="L807" s="8">
        <f t="shared" si="73"/>
        <v>0</v>
      </c>
      <c r="M807" s="8">
        <f t="shared" si="74"/>
        <v>6000</v>
      </c>
      <c r="N807" s="5">
        <v>26000</v>
      </c>
      <c r="O807" s="8">
        <f t="shared" si="75"/>
        <v>32000</v>
      </c>
      <c r="P807" s="2" t="s">
        <v>63</v>
      </c>
      <c r="Q807" s="10" t="str">
        <f>VLOOKUP(A807,Status!A:B,2,0)</f>
        <v>Returned</v>
      </c>
      <c r="R807" s="2" t="s">
        <v>82</v>
      </c>
      <c r="S807" s="2">
        <v>3</v>
      </c>
      <c r="T807" s="2" t="s">
        <v>24</v>
      </c>
      <c r="U807" s="10" t="str">
        <f t="shared" si="77"/>
        <v>Jun</v>
      </c>
      <c r="V807" s="10">
        <f t="shared" si="76"/>
        <v>2025</v>
      </c>
      <c r="W807" t="e" cm="1">
        <f t="array" ref="W807">_xlfn.IFS(U807="January",1,U807="February",2,U807="March",3,U807="April",4,U807="May",5,U807="June",6,U807="July",7,U807="August",8,U807="September",9,U807="October",10,U807="November",11,U807="December",12)</f>
        <v>#N/A</v>
      </c>
    </row>
    <row r="808" spans="1:23" ht="15.75" customHeight="1" x14ac:dyDescent="0.25">
      <c r="A808" s="2" t="s">
        <v>1759</v>
      </c>
      <c r="B808" s="3">
        <v>45810.018136574072</v>
      </c>
      <c r="C808" s="2" t="s">
        <v>441</v>
      </c>
      <c r="D808" s="2" t="s">
        <v>116</v>
      </c>
      <c r="E808" s="2" t="s">
        <v>67</v>
      </c>
      <c r="F808" s="2" t="str" cm="1">
        <f t="array" ref="F808:G808">_xlfn.TEXTSPLIT(E808," - ")</f>
        <v>Beras</v>
      </c>
      <c r="G808" s="2" t="str">
        <v>Brand B</v>
      </c>
      <c r="H808" s="5">
        <v>15000</v>
      </c>
      <c r="I808" s="2">
        <v>5</v>
      </c>
      <c r="J808" s="2">
        <v>0</v>
      </c>
      <c r="K808" s="8">
        <f t="shared" si="72"/>
        <v>75000</v>
      </c>
      <c r="L808" s="8">
        <f t="shared" si="73"/>
        <v>0</v>
      </c>
      <c r="M808" s="8">
        <f t="shared" si="74"/>
        <v>75000</v>
      </c>
      <c r="N808" s="5">
        <v>72000</v>
      </c>
      <c r="O808" s="8">
        <f t="shared" si="75"/>
        <v>147000</v>
      </c>
      <c r="P808" s="2" t="s">
        <v>35</v>
      </c>
      <c r="Q808" s="10" t="str">
        <f>VLOOKUP(A808,Status!A:B,2,0)</f>
        <v>Completed</v>
      </c>
      <c r="R808" s="2" t="s">
        <v>30</v>
      </c>
      <c r="S808" s="2">
        <v>4</v>
      </c>
      <c r="T808" s="2" t="s">
        <v>37</v>
      </c>
      <c r="U808" s="10" t="str">
        <f t="shared" si="77"/>
        <v>Jun</v>
      </c>
      <c r="V808" s="10">
        <f t="shared" si="76"/>
        <v>2025</v>
      </c>
      <c r="W808" t="e" cm="1">
        <f t="array" ref="W808">_xlfn.IFS(U808="January",1,U808="February",2,U808="March",3,U808="April",4,U808="May",5,U808="June",6,U808="July",7,U808="August",8,U808="September",9,U808="October",10,U808="November",11,U808="December",12)</f>
        <v>#N/A</v>
      </c>
    </row>
    <row r="809" spans="1:23" ht="15.75" customHeight="1" x14ac:dyDescent="0.25">
      <c r="A809" s="2" t="s">
        <v>1759</v>
      </c>
      <c r="B809" s="3">
        <v>45810.018136574072</v>
      </c>
      <c r="C809" s="2" t="s">
        <v>441</v>
      </c>
      <c r="D809" s="2" t="s">
        <v>116</v>
      </c>
      <c r="E809" s="2" t="s">
        <v>104</v>
      </c>
      <c r="F809" s="2" t="str" cm="1">
        <f t="array" ref="F809:G809">_xlfn.TEXTSPLIT(E809," - ")</f>
        <v>Bawang Merah</v>
      </c>
      <c r="G809" s="2" t="str">
        <v>Brand A</v>
      </c>
      <c r="H809" s="5">
        <v>30000</v>
      </c>
      <c r="I809" s="2">
        <v>1</v>
      </c>
      <c r="J809" s="2">
        <v>10</v>
      </c>
      <c r="K809" s="8">
        <f t="shared" si="72"/>
        <v>30000</v>
      </c>
      <c r="L809" s="8">
        <f t="shared" si="73"/>
        <v>3000</v>
      </c>
      <c r="M809" s="8">
        <f t="shared" si="74"/>
        <v>27000</v>
      </c>
      <c r="N809" s="5">
        <v>0</v>
      </c>
      <c r="O809" s="8">
        <f t="shared" si="75"/>
        <v>27000</v>
      </c>
      <c r="P809" s="2" t="s">
        <v>35</v>
      </c>
      <c r="Q809" s="10" t="str">
        <f>VLOOKUP(A809,Status!A:B,2,0)</f>
        <v>Completed</v>
      </c>
      <c r="R809" s="2" t="s">
        <v>30</v>
      </c>
      <c r="S809" s="2">
        <v>4</v>
      </c>
      <c r="T809" s="2" t="s">
        <v>37</v>
      </c>
      <c r="U809" s="10" t="str">
        <f t="shared" si="77"/>
        <v>Jun</v>
      </c>
      <c r="V809" s="10">
        <f t="shared" si="76"/>
        <v>2025</v>
      </c>
      <c r="W809" t="e" cm="1">
        <f t="array" ref="W809">_xlfn.IFS(U809="January",1,U809="February",2,U809="March",3,U809="April",4,U809="May",5,U809="June",6,U809="July",7,U809="August",8,U809="September",9,U809="October",10,U809="November",11,U809="December",12)</f>
        <v>#N/A</v>
      </c>
    </row>
    <row r="810" spans="1:23" ht="15.75" customHeight="1" x14ac:dyDescent="0.25">
      <c r="A810" s="2" t="s">
        <v>1760</v>
      </c>
      <c r="B810" s="3">
        <v>45810.365717592591</v>
      </c>
      <c r="C810" s="2" t="s">
        <v>1228</v>
      </c>
      <c r="D810" s="2" t="s">
        <v>33</v>
      </c>
      <c r="E810" s="2" t="s">
        <v>138</v>
      </c>
      <c r="F810" s="2" t="str" cm="1">
        <f t="array" ref="F810:G810">_xlfn.TEXTSPLIT(E810," - ")</f>
        <v>Gula Pasir</v>
      </c>
      <c r="G810" s="2" t="str">
        <v>Brand B</v>
      </c>
      <c r="H810" s="5">
        <v>17000</v>
      </c>
      <c r="I810" s="2">
        <v>4</v>
      </c>
      <c r="J810" s="2">
        <v>10</v>
      </c>
      <c r="K810" s="8">
        <f t="shared" si="72"/>
        <v>68000</v>
      </c>
      <c r="L810" s="8">
        <f t="shared" si="73"/>
        <v>6800</v>
      </c>
      <c r="M810" s="8">
        <f t="shared" si="74"/>
        <v>61200</v>
      </c>
      <c r="N810" s="5">
        <v>76000</v>
      </c>
      <c r="O810" s="8">
        <f t="shared" si="75"/>
        <v>137200</v>
      </c>
      <c r="P810" s="2" t="s">
        <v>29</v>
      </c>
      <c r="Q810" s="10" t="str">
        <f>VLOOKUP(A810,Status!A:B,2,0)</f>
        <v>Completed</v>
      </c>
      <c r="R810" s="2" t="s">
        <v>30</v>
      </c>
      <c r="S810" s="2">
        <v>3</v>
      </c>
      <c r="T810" s="2" t="s">
        <v>24</v>
      </c>
      <c r="U810" s="10" t="str">
        <f t="shared" si="77"/>
        <v>Jun</v>
      </c>
      <c r="V810" s="10">
        <f t="shared" si="76"/>
        <v>2025</v>
      </c>
      <c r="W810" t="e" cm="1">
        <f t="array" ref="W810">_xlfn.IFS(U810="January",1,U810="February",2,U810="March",3,U810="April",4,U810="May",5,U810="June",6,U810="July",7,U810="August",8,U810="September",9,U810="October",10,U810="November",11,U810="December",12)</f>
        <v>#N/A</v>
      </c>
    </row>
    <row r="811" spans="1:23" ht="15.75" customHeight="1" x14ac:dyDescent="0.25">
      <c r="A811" s="2" t="s">
        <v>1761</v>
      </c>
      <c r="B811" s="3">
        <v>45810.574479166673</v>
      </c>
      <c r="C811" s="2" t="s">
        <v>1574</v>
      </c>
      <c r="D811" s="2" t="s">
        <v>33</v>
      </c>
      <c r="E811" s="2" t="s">
        <v>50</v>
      </c>
      <c r="F811" s="2" t="str" cm="1">
        <f t="array" ref="F811:G811">_xlfn.TEXTSPLIT(E811," - ")</f>
        <v>Tepung Terigu</v>
      </c>
      <c r="G811" s="2" t="str">
        <v>Brand C</v>
      </c>
      <c r="H811" s="5">
        <v>14000</v>
      </c>
      <c r="I811" s="2">
        <v>4</v>
      </c>
      <c r="J811" s="2">
        <v>15</v>
      </c>
      <c r="K811" s="8">
        <f t="shared" si="72"/>
        <v>56000</v>
      </c>
      <c r="L811" s="8">
        <f t="shared" si="73"/>
        <v>8400</v>
      </c>
      <c r="M811" s="8">
        <f t="shared" si="74"/>
        <v>47600</v>
      </c>
      <c r="N811" s="5">
        <v>76000</v>
      </c>
      <c r="O811" s="8">
        <f t="shared" si="75"/>
        <v>123600</v>
      </c>
      <c r="P811" s="2" t="s">
        <v>35</v>
      </c>
      <c r="Q811" s="10" t="str">
        <f>VLOOKUP(A811,Status!A:B,2,0)</f>
        <v>Completed</v>
      </c>
      <c r="R811" s="2" t="s">
        <v>23</v>
      </c>
      <c r="S811" s="2">
        <v>5</v>
      </c>
      <c r="T811" s="2" t="s">
        <v>24</v>
      </c>
      <c r="U811" s="10" t="str">
        <f t="shared" si="77"/>
        <v>Jun</v>
      </c>
      <c r="V811" s="10">
        <f t="shared" si="76"/>
        <v>2025</v>
      </c>
      <c r="W811" t="e" cm="1">
        <f t="array" ref="W811">_xlfn.IFS(U811="January",1,U811="February",2,U811="March",3,U811="April",4,U811="May",5,U811="June",6,U811="July",7,U811="August",8,U811="September",9,U811="October",10,U811="November",11,U811="December",12)</f>
        <v>#N/A</v>
      </c>
    </row>
    <row r="812" spans="1:23" ht="15.75" customHeight="1" x14ac:dyDescent="0.25">
      <c r="A812" s="2" t="s">
        <v>1762</v>
      </c>
      <c r="B812" s="3">
        <v>45810.617997685193</v>
      </c>
      <c r="C812" s="2" t="s">
        <v>91</v>
      </c>
      <c r="D812" s="2" t="s">
        <v>92</v>
      </c>
      <c r="E812" s="2" t="s">
        <v>110</v>
      </c>
      <c r="F812" s="2" t="str" cm="1">
        <f t="array" ref="F812:G812">_xlfn.TEXTSPLIT(E812," - ")</f>
        <v>Garam</v>
      </c>
      <c r="G812" s="2" t="str">
        <v>Brand C</v>
      </c>
      <c r="H812" s="5">
        <v>6000</v>
      </c>
      <c r="I812" s="2">
        <v>5</v>
      </c>
      <c r="J812" s="2">
        <v>10</v>
      </c>
      <c r="K812" s="8">
        <f t="shared" si="72"/>
        <v>30000</v>
      </c>
      <c r="L812" s="8">
        <f t="shared" si="73"/>
        <v>3000</v>
      </c>
      <c r="M812" s="8">
        <f t="shared" si="74"/>
        <v>27000</v>
      </c>
      <c r="N812" s="5">
        <v>30000</v>
      </c>
      <c r="O812" s="8">
        <f t="shared" si="75"/>
        <v>57000</v>
      </c>
      <c r="P812" s="2" t="s">
        <v>22</v>
      </c>
      <c r="Q812" s="10" t="str">
        <f>VLOOKUP(A812,Status!A:B,2,0)</f>
        <v>Cancelled</v>
      </c>
      <c r="R812" s="2" t="s">
        <v>36</v>
      </c>
      <c r="S812" s="2">
        <v>3</v>
      </c>
      <c r="T812" s="2" t="s">
        <v>24</v>
      </c>
      <c r="U812" s="10" t="str">
        <f t="shared" si="77"/>
        <v>Jun</v>
      </c>
      <c r="V812" s="10">
        <f t="shared" si="76"/>
        <v>2025</v>
      </c>
      <c r="W812" t="e" cm="1">
        <f t="array" ref="W812">_xlfn.IFS(U812="January",1,U812="February",2,U812="March",3,U812="April",4,U812="May",5,U812="June",6,U812="July",7,U812="August",8,U812="September",9,U812="October",10,U812="November",11,U812="December",12)</f>
        <v>#N/A</v>
      </c>
    </row>
    <row r="813" spans="1:23" ht="15.75" customHeight="1" x14ac:dyDescent="0.25">
      <c r="A813" s="2" t="s">
        <v>1762</v>
      </c>
      <c r="B813" s="3">
        <v>45810.617997685193</v>
      </c>
      <c r="C813" s="2" t="s">
        <v>91</v>
      </c>
      <c r="D813" s="2" t="s">
        <v>92</v>
      </c>
      <c r="E813" s="2" t="s">
        <v>28</v>
      </c>
      <c r="F813" s="2" t="str" cm="1">
        <f t="array" ref="F813:G813">_xlfn.TEXTSPLIT(E813," - ")</f>
        <v>Garam</v>
      </c>
      <c r="G813" s="2" t="str">
        <v>Brand B</v>
      </c>
      <c r="H813" s="5">
        <v>5000</v>
      </c>
      <c r="I813" s="2">
        <v>5</v>
      </c>
      <c r="J813" s="2">
        <v>10</v>
      </c>
      <c r="K813" s="8">
        <f t="shared" si="72"/>
        <v>25000</v>
      </c>
      <c r="L813" s="8">
        <f t="shared" si="73"/>
        <v>2500</v>
      </c>
      <c r="M813" s="8">
        <f t="shared" si="74"/>
        <v>22500</v>
      </c>
      <c r="N813" s="5">
        <v>0</v>
      </c>
      <c r="O813" s="8">
        <f t="shared" si="75"/>
        <v>22500</v>
      </c>
      <c r="P813" s="2" t="s">
        <v>22</v>
      </c>
      <c r="Q813" s="10" t="str">
        <f>VLOOKUP(A813,Status!A:B,2,0)</f>
        <v>Cancelled</v>
      </c>
      <c r="R813" s="2" t="s">
        <v>36</v>
      </c>
      <c r="S813" s="2">
        <v>3</v>
      </c>
      <c r="T813" s="2" t="s">
        <v>24</v>
      </c>
      <c r="U813" s="10" t="str">
        <f t="shared" si="77"/>
        <v>Jun</v>
      </c>
      <c r="V813" s="10">
        <f t="shared" si="76"/>
        <v>2025</v>
      </c>
      <c r="W813" t="e" cm="1">
        <f t="array" ref="W813">_xlfn.IFS(U813="January",1,U813="February",2,U813="March",3,U813="April",4,U813="May",5,U813="June",6,U813="July",7,U813="August",8,U813="September",9,U813="October",10,U813="November",11,U813="December",12)</f>
        <v>#N/A</v>
      </c>
    </row>
    <row r="814" spans="1:23" ht="15.75" customHeight="1" x14ac:dyDescent="0.25">
      <c r="A814" s="2" t="s">
        <v>1763</v>
      </c>
      <c r="B814" s="3">
        <v>45810.663715277777</v>
      </c>
      <c r="C814" s="2" t="s">
        <v>1083</v>
      </c>
      <c r="D814" s="2" t="s">
        <v>170</v>
      </c>
      <c r="E814" s="2" t="s">
        <v>186</v>
      </c>
      <c r="F814" s="2" t="str" cm="1">
        <f t="array" ref="F814:G814">_xlfn.TEXTSPLIT(E814," - ")</f>
        <v>Susu Bubuk</v>
      </c>
      <c r="G814" s="2" t="str">
        <v>Brand A</v>
      </c>
      <c r="H814" s="5">
        <v>45000</v>
      </c>
      <c r="I814" s="2">
        <v>3</v>
      </c>
      <c r="J814" s="2">
        <v>5</v>
      </c>
      <c r="K814" s="8">
        <f t="shared" si="72"/>
        <v>135000</v>
      </c>
      <c r="L814" s="8">
        <f t="shared" si="73"/>
        <v>6750</v>
      </c>
      <c r="M814" s="8">
        <f t="shared" si="74"/>
        <v>128250</v>
      </c>
      <c r="N814" s="5">
        <v>46000</v>
      </c>
      <c r="O814" s="8">
        <f t="shared" si="75"/>
        <v>174250</v>
      </c>
      <c r="P814" s="2" t="s">
        <v>63</v>
      </c>
      <c r="Q814" s="10" t="str">
        <f>VLOOKUP(A814,Status!A:B,2,0)</f>
        <v>Returned</v>
      </c>
      <c r="R814" s="2" t="s">
        <v>46</v>
      </c>
      <c r="S814" s="2">
        <v>5</v>
      </c>
      <c r="T814" s="2" t="s">
        <v>24</v>
      </c>
      <c r="U814" s="10" t="str">
        <f t="shared" si="77"/>
        <v>Jun</v>
      </c>
      <c r="V814" s="10">
        <f t="shared" si="76"/>
        <v>2025</v>
      </c>
      <c r="W814" t="e" cm="1">
        <f t="array" ref="W814">_xlfn.IFS(U814="January",1,U814="February",2,U814="March",3,U814="April",4,U814="May",5,U814="June",6,U814="July",7,U814="August",8,U814="September",9,U814="October",10,U814="November",11,U814="December",12)</f>
        <v>#N/A</v>
      </c>
    </row>
    <row r="815" spans="1:23" ht="15.75" customHeight="1" x14ac:dyDescent="0.25">
      <c r="A815" s="2" t="s">
        <v>1764</v>
      </c>
      <c r="B815" s="3">
        <v>45810.887094907397</v>
      </c>
      <c r="C815" s="2" t="s">
        <v>359</v>
      </c>
      <c r="D815" s="2" t="s">
        <v>70</v>
      </c>
      <c r="E815" s="2" t="s">
        <v>93</v>
      </c>
      <c r="F815" s="2" t="str" cm="1">
        <f t="array" ref="F815:G815">_xlfn.TEXTSPLIT(E815," - ")</f>
        <v>Telur Ayam</v>
      </c>
      <c r="G815" s="2" t="str">
        <v>Brand B</v>
      </c>
      <c r="H815" s="5">
        <v>25000</v>
      </c>
      <c r="I815" s="2">
        <v>2</v>
      </c>
      <c r="J815" s="2">
        <v>10</v>
      </c>
      <c r="K815" s="8">
        <f t="shared" si="72"/>
        <v>50000</v>
      </c>
      <c r="L815" s="8">
        <f t="shared" si="73"/>
        <v>5000</v>
      </c>
      <c r="M815" s="8">
        <f t="shared" si="74"/>
        <v>45000</v>
      </c>
      <c r="N815" s="5">
        <v>89000</v>
      </c>
      <c r="O815" s="8">
        <f t="shared" si="75"/>
        <v>134000</v>
      </c>
      <c r="P815" s="2" t="s">
        <v>63</v>
      </c>
      <c r="Q815" s="10" t="str">
        <f>VLOOKUP(A815,Status!A:B,2,0)</f>
        <v>Returned</v>
      </c>
      <c r="R815" s="2" t="s">
        <v>23</v>
      </c>
      <c r="S815" s="2">
        <v>2</v>
      </c>
      <c r="T815" s="2" t="s">
        <v>24</v>
      </c>
      <c r="U815" s="10" t="str">
        <f t="shared" si="77"/>
        <v>Jun</v>
      </c>
      <c r="V815" s="10">
        <f t="shared" si="76"/>
        <v>2025</v>
      </c>
      <c r="W815" t="e" cm="1">
        <f t="array" ref="W815">_xlfn.IFS(U815="January",1,U815="February",2,U815="March",3,U815="April",4,U815="May",5,U815="June",6,U815="July",7,U815="August",8,U815="September",9,U815="October",10,U815="November",11,U815="December",12)</f>
        <v>#N/A</v>
      </c>
    </row>
    <row r="816" spans="1:23" ht="15.75" customHeight="1" x14ac:dyDescent="0.25">
      <c r="A816" s="2" t="s">
        <v>1765</v>
      </c>
      <c r="B816" s="3">
        <v>45810.92324074074</v>
      </c>
      <c r="C816" s="2" t="s">
        <v>340</v>
      </c>
      <c r="D816" s="2" t="s">
        <v>126</v>
      </c>
      <c r="E816" s="2" t="s">
        <v>45</v>
      </c>
      <c r="F816" s="2" t="str" cm="1">
        <f t="array" ref="F816:G816">_xlfn.TEXTSPLIT(E816," - ")</f>
        <v>Daging Ayam</v>
      </c>
      <c r="G816" s="2" t="str">
        <v>Brand B</v>
      </c>
      <c r="H816" s="5">
        <v>40000</v>
      </c>
      <c r="I816" s="2">
        <v>2</v>
      </c>
      <c r="J816" s="2">
        <v>0</v>
      </c>
      <c r="K816" s="8">
        <f t="shared" si="72"/>
        <v>80000</v>
      </c>
      <c r="L816" s="8">
        <f t="shared" si="73"/>
        <v>0</v>
      </c>
      <c r="M816" s="8">
        <f t="shared" si="74"/>
        <v>80000</v>
      </c>
      <c r="N816" s="5">
        <v>84000</v>
      </c>
      <c r="O816" s="8">
        <f t="shared" si="75"/>
        <v>164000</v>
      </c>
      <c r="P816" s="2" t="s">
        <v>29</v>
      </c>
      <c r="Q816" s="10" t="str">
        <f>VLOOKUP(A816,Status!A:B,2,0)</f>
        <v>Completed</v>
      </c>
      <c r="R816" s="2" t="s">
        <v>82</v>
      </c>
      <c r="S816" s="2">
        <v>1</v>
      </c>
      <c r="T816" s="2" t="s">
        <v>37</v>
      </c>
      <c r="U816" s="10" t="str">
        <f t="shared" si="77"/>
        <v>Jun</v>
      </c>
      <c r="V816" s="10">
        <f t="shared" si="76"/>
        <v>2025</v>
      </c>
      <c r="W816" t="e" cm="1">
        <f t="array" ref="W816">_xlfn.IFS(U816="January",1,U816="February",2,U816="March",3,U816="April",4,U816="May",5,U816="June",6,U816="July",7,U816="August",8,U816="September",9,U816="October",10,U816="November",11,U816="December",12)</f>
        <v>#N/A</v>
      </c>
    </row>
    <row r="817" spans="1:23" ht="15.75" customHeight="1" x14ac:dyDescent="0.25">
      <c r="A817" s="2" t="s">
        <v>1766</v>
      </c>
      <c r="B817" s="3">
        <v>45810.987210648149</v>
      </c>
      <c r="C817" s="2" t="s">
        <v>504</v>
      </c>
      <c r="D817" s="2" t="s">
        <v>195</v>
      </c>
      <c r="E817" s="2" t="s">
        <v>174</v>
      </c>
      <c r="F817" s="2" t="str" cm="1">
        <f t="array" ref="F817:G817">_xlfn.TEXTSPLIT(E817," - ")</f>
        <v>Tepung Terigu</v>
      </c>
      <c r="G817" s="2" t="str">
        <v>Brand A</v>
      </c>
      <c r="H817" s="5">
        <v>10000</v>
      </c>
      <c r="I817" s="2">
        <v>1</v>
      </c>
      <c r="J817" s="2">
        <v>0</v>
      </c>
      <c r="K817" s="8">
        <f t="shared" si="72"/>
        <v>10000</v>
      </c>
      <c r="L817" s="8">
        <f t="shared" si="73"/>
        <v>0</v>
      </c>
      <c r="M817" s="8">
        <f t="shared" si="74"/>
        <v>10000</v>
      </c>
      <c r="N817" s="5">
        <v>87000</v>
      </c>
      <c r="O817" s="8">
        <f t="shared" si="75"/>
        <v>97000</v>
      </c>
      <c r="P817" s="2" t="s">
        <v>29</v>
      </c>
      <c r="Q817" s="10" t="str">
        <f>VLOOKUP(A817,Status!A:B,2,0)</f>
        <v>Completed</v>
      </c>
      <c r="R817" s="2" t="s">
        <v>23</v>
      </c>
      <c r="S817" s="2">
        <v>5</v>
      </c>
      <c r="T817" s="2" t="s">
        <v>24</v>
      </c>
      <c r="U817" s="10" t="str">
        <f t="shared" si="77"/>
        <v>Jun</v>
      </c>
      <c r="V817" s="10">
        <f t="shared" si="76"/>
        <v>2025</v>
      </c>
      <c r="W817" t="e" cm="1">
        <f t="array" ref="W817">_xlfn.IFS(U817="January",1,U817="February",2,U817="March",3,U817="April",4,U817="May",5,U817="June",6,U817="July",7,U817="August",8,U817="September",9,U817="October",10,U817="November",11,U817="December",12)</f>
        <v>#N/A</v>
      </c>
    </row>
    <row r="818" spans="1:23" ht="15.75" customHeight="1" x14ac:dyDescent="0.25">
      <c r="A818" s="2" t="s">
        <v>1767</v>
      </c>
      <c r="B818" s="3">
        <v>45811.243773148148</v>
      </c>
      <c r="C818" s="2" t="s">
        <v>784</v>
      </c>
      <c r="D818" s="2" t="s">
        <v>116</v>
      </c>
      <c r="E818" s="2" t="s">
        <v>81</v>
      </c>
      <c r="F818" s="2" t="str" cm="1">
        <f t="array" ref="F818:G818">_xlfn.TEXTSPLIT(E818," - ")</f>
        <v>Minyak Goreng</v>
      </c>
      <c r="G818" s="2" t="str">
        <v>Brand B</v>
      </c>
      <c r="H818" s="5">
        <v>17000</v>
      </c>
      <c r="I818" s="2">
        <v>5</v>
      </c>
      <c r="J818" s="2">
        <v>0</v>
      </c>
      <c r="K818" s="8">
        <f t="shared" si="72"/>
        <v>85000</v>
      </c>
      <c r="L818" s="8">
        <f t="shared" si="73"/>
        <v>0</v>
      </c>
      <c r="M818" s="8">
        <f t="shared" si="74"/>
        <v>85000</v>
      </c>
      <c r="N818" s="5">
        <v>72000</v>
      </c>
      <c r="O818" s="8">
        <f t="shared" si="75"/>
        <v>157000</v>
      </c>
      <c r="P818" s="2" t="s">
        <v>22</v>
      </c>
      <c r="Q818" s="10" t="str">
        <f>VLOOKUP(A818,Status!A:B,2,0)</f>
        <v>Completed</v>
      </c>
      <c r="R818" s="2" t="s">
        <v>30</v>
      </c>
      <c r="S818" s="2">
        <v>1</v>
      </c>
      <c r="T818" s="2" t="s">
        <v>24</v>
      </c>
      <c r="U818" s="10" t="str">
        <f t="shared" si="77"/>
        <v>Jun</v>
      </c>
      <c r="V818" s="10">
        <f t="shared" si="76"/>
        <v>2025</v>
      </c>
      <c r="W818" t="e" cm="1">
        <f t="array" ref="W818">_xlfn.IFS(U818="January",1,U818="February",2,U818="March",3,U818="April",4,U818="May",5,U818="June",6,U818="July",7,U818="August",8,U818="September",9,U818="October",10,U818="November",11,U818="December",12)</f>
        <v>#N/A</v>
      </c>
    </row>
    <row r="819" spans="1:23" ht="15.75" customHeight="1" x14ac:dyDescent="0.25">
      <c r="A819" s="2" t="s">
        <v>1768</v>
      </c>
      <c r="B819" s="3">
        <v>45811.304328703707</v>
      </c>
      <c r="C819" s="2" t="s">
        <v>812</v>
      </c>
      <c r="D819" s="2" t="s">
        <v>33</v>
      </c>
      <c r="E819" s="2" t="s">
        <v>110</v>
      </c>
      <c r="F819" s="2" t="str" cm="1">
        <f t="array" ref="F819:G819">_xlfn.TEXTSPLIT(E819," - ")</f>
        <v>Garam</v>
      </c>
      <c r="G819" s="2" t="str">
        <v>Brand C</v>
      </c>
      <c r="H819" s="5">
        <v>6000</v>
      </c>
      <c r="I819" s="2">
        <v>5</v>
      </c>
      <c r="J819" s="2">
        <v>5</v>
      </c>
      <c r="K819" s="8">
        <f t="shared" si="72"/>
        <v>30000</v>
      </c>
      <c r="L819" s="8">
        <f t="shared" si="73"/>
        <v>1500</v>
      </c>
      <c r="M819" s="8">
        <f t="shared" si="74"/>
        <v>28500</v>
      </c>
      <c r="N819" s="5">
        <v>76000</v>
      </c>
      <c r="O819" s="8">
        <f t="shared" si="75"/>
        <v>104500</v>
      </c>
      <c r="P819" s="2" t="s">
        <v>63</v>
      </c>
      <c r="Q819" s="10" t="str">
        <f>VLOOKUP(A819,Status!A:B,2,0)</f>
        <v>Completed</v>
      </c>
      <c r="R819" s="2" t="s">
        <v>36</v>
      </c>
      <c r="S819" s="2">
        <v>1</v>
      </c>
      <c r="T819" s="2" t="s">
        <v>24</v>
      </c>
      <c r="U819" s="10" t="str">
        <f t="shared" si="77"/>
        <v>Jun</v>
      </c>
      <c r="V819" s="10">
        <f t="shared" si="76"/>
        <v>2025</v>
      </c>
      <c r="W819" t="e" cm="1">
        <f t="array" ref="W819">_xlfn.IFS(U819="January",1,U819="February",2,U819="March",3,U819="April",4,U819="May",5,U819="June",6,U819="July",7,U819="August",8,U819="September",9,U819="October",10,U819="November",11,U819="December",12)</f>
        <v>#N/A</v>
      </c>
    </row>
    <row r="820" spans="1:23" ht="15.75" customHeight="1" x14ac:dyDescent="0.25">
      <c r="A820" s="2" t="s">
        <v>1768</v>
      </c>
      <c r="B820" s="3">
        <v>45811.304328703707</v>
      </c>
      <c r="C820" s="2" t="s">
        <v>812</v>
      </c>
      <c r="D820" s="2" t="s">
        <v>33</v>
      </c>
      <c r="E820" s="2" t="s">
        <v>34</v>
      </c>
      <c r="F820" s="2" t="str" cm="1">
        <f t="array" ref="F820:G820">_xlfn.TEXTSPLIT(E820," - ")</f>
        <v>Minyak Goreng</v>
      </c>
      <c r="G820" s="2" t="str">
        <v>Brand A</v>
      </c>
      <c r="H820" s="5">
        <v>16000</v>
      </c>
      <c r="I820" s="2">
        <v>3</v>
      </c>
      <c r="J820" s="2">
        <v>15</v>
      </c>
      <c r="K820" s="8">
        <f t="shared" si="72"/>
        <v>48000</v>
      </c>
      <c r="L820" s="8">
        <f t="shared" si="73"/>
        <v>7200</v>
      </c>
      <c r="M820" s="8">
        <f t="shared" si="74"/>
        <v>40800</v>
      </c>
      <c r="N820" s="5">
        <v>0</v>
      </c>
      <c r="O820" s="8">
        <f t="shared" si="75"/>
        <v>40800</v>
      </c>
      <c r="P820" s="2" t="s">
        <v>63</v>
      </c>
      <c r="Q820" s="10" t="str">
        <f>VLOOKUP(A820,Status!A:B,2,0)</f>
        <v>Completed</v>
      </c>
      <c r="R820" s="2" t="s">
        <v>36</v>
      </c>
      <c r="S820" s="2">
        <v>1</v>
      </c>
      <c r="T820" s="2" t="s">
        <v>24</v>
      </c>
      <c r="U820" s="10" t="str">
        <f t="shared" si="77"/>
        <v>Jun</v>
      </c>
      <c r="V820" s="10">
        <f t="shared" si="76"/>
        <v>2025</v>
      </c>
      <c r="W820" t="e" cm="1">
        <f t="array" ref="W820">_xlfn.IFS(U820="January",1,U820="February",2,U820="March",3,U820="April",4,U820="May",5,U820="June",6,U820="July",7,U820="August",8,U820="September",9,U820="October",10,U820="November",11,U820="December",12)</f>
        <v>#N/A</v>
      </c>
    </row>
    <row r="821" spans="1:23" ht="15.75" customHeight="1" x14ac:dyDescent="0.25">
      <c r="A821" s="2" t="s">
        <v>1769</v>
      </c>
      <c r="B821" s="3">
        <v>45812.047696759262</v>
      </c>
      <c r="C821" s="2" t="s">
        <v>455</v>
      </c>
      <c r="D821" s="2" t="s">
        <v>33</v>
      </c>
      <c r="E821" s="2" t="s">
        <v>104</v>
      </c>
      <c r="F821" s="2" t="str" cm="1">
        <f t="array" ref="F821:G821">_xlfn.TEXTSPLIT(E821," - ")</f>
        <v>Bawang Merah</v>
      </c>
      <c r="G821" s="2" t="str">
        <v>Brand A</v>
      </c>
      <c r="H821" s="5">
        <v>30000</v>
      </c>
      <c r="I821" s="2">
        <v>4</v>
      </c>
      <c r="J821" s="2">
        <v>10</v>
      </c>
      <c r="K821" s="8">
        <f t="shared" si="72"/>
        <v>120000</v>
      </c>
      <c r="L821" s="8">
        <f t="shared" si="73"/>
        <v>12000</v>
      </c>
      <c r="M821" s="8">
        <f t="shared" si="74"/>
        <v>108000</v>
      </c>
      <c r="N821" s="5">
        <v>76000</v>
      </c>
      <c r="O821" s="8">
        <f t="shared" si="75"/>
        <v>184000</v>
      </c>
      <c r="P821" s="2" t="s">
        <v>63</v>
      </c>
      <c r="Q821" s="10" t="str">
        <f>VLOOKUP(A821,Status!A:B,2,0)</f>
        <v>Completed</v>
      </c>
      <c r="R821" s="2" t="s">
        <v>46</v>
      </c>
      <c r="S821" s="2">
        <v>5</v>
      </c>
      <c r="T821" s="2" t="s">
        <v>24</v>
      </c>
      <c r="U821" s="10" t="str">
        <f t="shared" si="77"/>
        <v>Jun</v>
      </c>
      <c r="V821" s="10">
        <f t="shared" si="76"/>
        <v>2025</v>
      </c>
      <c r="W821" t="e" cm="1">
        <f t="array" ref="W821">_xlfn.IFS(U821="January",1,U821="February",2,U821="March",3,U821="April",4,U821="May",5,U821="June",6,U821="July",7,U821="August",8,U821="September",9,U821="October",10,U821="November",11,U821="December",12)</f>
        <v>#N/A</v>
      </c>
    </row>
    <row r="822" spans="1:23" ht="15.75" customHeight="1" x14ac:dyDescent="0.25">
      <c r="A822" s="2" t="s">
        <v>1770</v>
      </c>
      <c r="B822" s="3">
        <v>45812.250324074077</v>
      </c>
      <c r="C822" s="2" t="s">
        <v>412</v>
      </c>
      <c r="D822" s="2" t="s">
        <v>70</v>
      </c>
      <c r="E822" s="2" t="s">
        <v>54</v>
      </c>
      <c r="F822" s="2" t="str" cm="1">
        <f t="array" ref="F822:G822">_xlfn.TEXTSPLIT(E822," - ")</f>
        <v>Beras</v>
      </c>
      <c r="G822" s="2" t="str">
        <v>Brand C</v>
      </c>
      <c r="H822" s="5">
        <v>16000</v>
      </c>
      <c r="I822" s="2">
        <v>3</v>
      </c>
      <c r="J822" s="2">
        <v>10</v>
      </c>
      <c r="K822" s="8">
        <f t="shared" si="72"/>
        <v>48000</v>
      </c>
      <c r="L822" s="8">
        <f t="shared" si="73"/>
        <v>4800</v>
      </c>
      <c r="M822" s="8">
        <f t="shared" si="74"/>
        <v>43200</v>
      </c>
      <c r="N822" s="5">
        <v>89000</v>
      </c>
      <c r="O822" s="8">
        <f t="shared" si="75"/>
        <v>132200</v>
      </c>
      <c r="P822" s="2" t="s">
        <v>63</v>
      </c>
      <c r="Q822" s="10" t="str">
        <f>VLOOKUP(A822,Status!A:B,2,0)</f>
        <v>Completed</v>
      </c>
      <c r="R822" s="2" t="s">
        <v>36</v>
      </c>
      <c r="S822" s="2">
        <v>1</v>
      </c>
      <c r="T822" s="2" t="s">
        <v>24</v>
      </c>
      <c r="U822" s="10" t="str">
        <f t="shared" si="77"/>
        <v>Jun</v>
      </c>
      <c r="V822" s="10">
        <f t="shared" si="76"/>
        <v>2025</v>
      </c>
      <c r="W822" t="e" cm="1">
        <f t="array" ref="W822">_xlfn.IFS(U822="January",1,U822="February",2,U822="March",3,U822="April",4,U822="May",5,U822="June",6,U822="July",7,U822="August",8,U822="September",9,U822="October",10,U822="November",11,U822="December",12)</f>
        <v>#N/A</v>
      </c>
    </row>
    <row r="823" spans="1:23" ht="15.75" customHeight="1" x14ac:dyDescent="0.25">
      <c r="A823" s="2" t="s">
        <v>1771</v>
      </c>
      <c r="B823" s="3">
        <v>45812.405717592592</v>
      </c>
      <c r="C823" s="2" t="s">
        <v>333</v>
      </c>
      <c r="D823" s="2" t="s">
        <v>107</v>
      </c>
      <c r="E823" s="2" t="s">
        <v>75</v>
      </c>
      <c r="F823" s="2" t="str" cm="1">
        <f t="array" ref="F823:G823">_xlfn.TEXTSPLIT(E823," - ")</f>
        <v>Susu Bubuk</v>
      </c>
      <c r="G823" s="2" t="str">
        <v>Brand C</v>
      </c>
      <c r="H823" s="5">
        <v>55000</v>
      </c>
      <c r="I823" s="2">
        <v>1</v>
      </c>
      <c r="J823" s="2">
        <v>20</v>
      </c>
      <c r="K823" s="8">
        <f t="shared" si="72"/>
        <v>55000</v>
      </c>
      <c r="L823" s="8">
        <f t="shared" si="73"/>
        <v>11000</v>
      </c>
      <c r="M823" s="8">
        <f t="shared" si="74"/>
        <v>44000</v>
      </c>
      <c r="N823" s="5">
        <v>97000</v>
      </c>
      <c r="O823" s="8">
        <f t="shared" si="75"/>
        <v>141000</v>
      </c>
      <c r="P823" s="2" t="s">
        <v>35</v>
      </c>
      <c r="Q823" s="10" t="str">
        <f>VLOOKUP(A823,Status!A:B,2,0)</f>
        <v>Completed</v>
      </c>
      <c r="R823" s="2" t="s">
        <v>30</v>
      </c>
      <c r="S823" s="2">
        <v>1</v>
      </c>
      <c r="T823" s="2" t="s">
        <v>37</v>
      </c>
      <c r="U823" s="10" t="str">
        <f t="shared" si="77"/>
        <v>Jun</v>
      </c>
      <c r="V823" s="10">
        <f t="shared" si="76"/>
        <v>2025</v>
      </c>
      <c r="W823" t="e" cm="1">
        <f t="array" ref="W823">_xlfn.IFS(U823="January",1,U823="February",2,U823="March",3,U823="April",4,U823="May",5,U823="June",6,U823="July",7,U823="August",8,U823="September",9,U823="October",10,U823="November",11,U823="December",12)</f>
        <v>#N/A</v>
      </c>
    </row>
    <row r="824" spans="1:23" ht="15.75" customHeight="1" x14ac:dyDescent="0.25">
      <c r="A824" s="2" t="s">
        <v>1772</v>
      </c>
      <c r="B824" s="3">
        <v>45812.512685185182</v>
      </c>
      <c r="C824" s="2" t="s">
        <v>699</v>
      </c>
      <c r="D824" s="2" t="s">
        <v>238</v>
      </c>
      <c r="E824" s="2" t="s">
        <v>58</v>
      </c>
      <c r="F824" s="2" t="str" cm="1">
        <f t="array" ref="F824:G824">_xlfn.TEXTSPLIT(E824," - ")</f>
        <v>Gula Pasir</v>
      </c>
      <c r="G824" s="2" t="str">
        <v>Brand A</v>
      </c>
      <c r="H824" s="5">
        <v>16000</v>
      </c>
      <c r="I824" s="2">
        <v>1</v>
      </c>
      <c r="J824" s="2">
        <v>10</v>
      </c>
      <c r="K824" s="8">
        <f t="shared" si="72"/>
        <v>16000</v>
      </c>
      <c r="L824" s="8">
        <f t="shared" si="73"/>
        <v>1600</v>
      </c>
      <c r="M824" s="8">
        <f t="shared" si="74"/>
        <v>14400</v>
      </c>
      <c r="N824" s="5">
        <v>28000</v>
      </c>
      <c r="O824" s="8">
        <f t="shared" si="75"/>
        <v>42400</v>
      </c>
      <c r="P824" s="2" t="s">
        <v>35</v>
      </c>
      <c r="Q824" s="10" t="str">
        <f>VLOOKUP(A824,Status!A:B,2,0)</f>
        <v>Completed</v>
      </c>
      <c r="R824" s="2" t="s">
        <v>30</v>
      </c>
      <c r="S824" s="2">
        <v>3</v>
      </c>
      <c r="T824" s="2" t="s">
        <v>37</v>
      </c>
      <c r="U824" s="10" t="str">
        <f t="shared" si="77"/>
        <v>Jun</v>
      </c>
      <c r="V824" s="10">
        <f t="shared" si="76"/>
        <v>2025</v>
      </c>
      <c r="W824" t="e" cm="1">
        <f t="array" ref="W824">_xlfn.IFS(U824="January",1,U824="February",2,U824="March",3,U824="April",4,U824="May",5,U824="June",6,U824="July",7,U824="August",8,U824="September",9,U824="October",10,U824="November",11,U824="December",12)</f>
        <v>#N/A</v>
      </c>
    </row>
    <row r="825" spans="1:23" ht="15.75" customHeight="1" x14ac:dyDescent="0.25">
      <c r="A825" s="2" t="s">
        <v>1773</v>
      </c>
      <c r="B825" s="3">
        <v>45812.691886574074</v>
      </c>
      <c r="C825" s="2" t="s">
        <v>84</v>
      </c>
      <c r="D825" s="2" t="s">
        <v>57</v>
      </c>
      <c r="E825" s="2" t="s">
        <v>54</v>
      </c>
      <c r="F825" s="2" t="str" cm="1">
        <f t="array" ref="F825:G825">_xlfn.TEXTSPLIT(E825," - ")</f>
        <v>Beras</v>
      </c>
      <c r="G825" s="2" t="str">
        <v>Brand C</v>
      </c>
      <c r="H825" s="5">
        <v>16000</v>
      </c>
      <c r="I825" s="2">
        <v>2</v>
      </c>
      <c r="J825" s="2">
        <v>0</v>
      </c>
      <c r="K825" s="8">
        <f t="shared" si="72"/>
        <v>32000</v>
      </c>
      <c r="L825" s="8">
        <f t="shared" si="73"/>
        <v>0</v>
      </c>
      <c r="M825" s="8">
        <f t="shared" si="74"/>
        <v>32000</v>
      </c>
      <c r="N825" s="5">
        <v>80000</v>
      </c>
      <c r="O825" s="8">
        <f t="shared" si="75"/>
        <v>112000</v>
      </c>
      <c r="P825" s="2" t="s">
        <v>22</v>
      </c>
      <c r="Q825" s="10" t="str">
        <f>VLOOKUP(A825,Status!A:B,2,0)</f>
        <v>Completed</v>
      </c>
      <c r="R825" s="2" t="s">
        <v>46</v>
      </c>
      <c r="S825" s="2">
        <v>4</v>
      </c>
      <c r="T825" s="2" t="s">
        <v>37</v>
      </c>
      <c r="U825" s="10" t="str">
        <f t="shared" si="77"/>
        <v>Jun</v>
      </c>
      <c r="V825" s="10">
        <f t="shared" si="76"/>
        <v>2025</v>
      </c>
      <c r="W825" t="e" cm="1">
        <f t="array" ref="W825">_xlfn.IFS(U825="January",1,U825="February",2,U825="March",3,U825="April",4,U825="May",5,U825="June",6,U825="July",7,U825="August",8,U825="September",9,U825="October",10,U825="November",11,U825="December",12)</f>
        <v>#N/A</v>
      </c>
    </row>
    <row r="826" spans="1:23" ht="15.75" customHeight="1" x14ac:dyDescent="0.25">
      <c r="A826" s="2" t="s">
        <v>1774</v>
      </c>
      <c r="B826" s="3">
        <v>45813.03224537037</v>
      </c>
      <c r="C826" s="2" t="s">
        <v>258</v>
      </c>
      <c r="D826" s="2" t="s">
        <v>44</v>
      </c>
      <c r="E826" s="2" t="s">
        <v>34</v>
      </c>
      <c r="F826" s="2" t="str" cm="1">
        <f t="array" ref="F826:G826">_xlfn.TEXTSPLIT(E826," - ")</f>
        <v>Minyak Goreng</v>
      </c>
      <c r="G826" s="2" t="str">
        <v>Brand A</v>
      </c>
      <c r="H826" s="5">
        <v>16000</v>
      </c>
      <c r="I826" s="2">
        <v>1</v>
      </c>
      <c r="J826" s="2">
        <v>0</v>
      </c>
      <c r="K826" s="8">
        <f t="shared" si="72"/>
        <v>16000</v>
      </c>
      <c r="L826" s="8">
        <f t="shared" si="73"/>
        <v>0</v>
      </c>
      <c r="M826" s="8">
        <f t="shared" si="74"/>
        <v>16000</v>
      </c>
      <c r="N826" s="5">
        <v>93000</v>
      </c>
      <c r="O826" s="8">
        <f t="shared" si="75"/>
        <v>109000</v>
      </c>
      <c r="P826" s="2" t="s">
        <v>22</v>
      </c>
      <c r="Q826" s="10" t="str">
        <f>VLOOKUP(A826,Status!A:B,2,0)</f>
        <v>Cancelled</v>
      </c>
      <c r="R826" s="2" t="s">
        <v>82</v>
      </c>
      <c r="S826" s="2">
        <v>4</v>
      </c>
      <c r="T826" s="2" t="s">
        <v>24</v>
      </c>
      <c r="U826" s="10" t="str">
        <f t="shared" si="77"/>
        <v>Jun</v>
      </c>
      <c r="V826" s="10">
        <f t="shared" si="76"/>
        <v>2025</v>
      </c>
      <c r="W826" t="e" cm="1">
        <f t="array" ref="W826">_xlfn.IFS(U826="January",1,U826="February",2,U826="March",3,U826="April",4,U826="May",5,U826="June",6,U826="July",7,U826="August",8,U826="September",9,U826="October",10,U826="November",11,U826="December",12)</f>
        <v>#N/A</v>
      </c>
    </row>
    <row r="827" spans="1:23" ht="15.75" customHeight="1" x14ac:dyDescent="0.25">
      <c r="A827" s="2" t="s">
        <v>1774</v>
      </c>
      <c r="B827" s="3">
        <v>45813.03224537037</v>
      </c>
      <c r="C827" s="2" t="s">
        <v>258</v>
      </c>
      <c r="D827" s="2" t="s">
        <v>44</v>
      </c>
      <c r="E827" s="2" t="s">
        <v>186</v>
      </c>
      <c r="F827" s="2" t="str" cm="1">
        <f t="array" ref="F827:G827">_xlfn.TEXTSPLIT(E827," - ")</f>
        <v>Susu Bubuk</v>
      </c>
      <c r="G827" s="2" t="str">
        <v>Brand A</v>
      </c>
      <c r="H827" s="5">
        <v>45000</v>
      </c>
      <c r="I827" s="2">
        <v>4</v>
      </c>
      <c r="J827" s="2">
        <v>20</v>
      </c>
      <c r="K827" s="8">
        <f t="shared" si="72"/>
        <v>180000</v>
      </c>
      <c r="L827" s="8">
        <f t="shared" si="73"/>
        <v>36000</v>
      </c>
      <c r="M827" s="8">
        <f t="shared" si="74"/>
        <v>144000</v>
      </c>
      <c r="N827" s="5">
        <v>0</v>
      </c>
      <c r="O827" s="8">
        <f t="shared" si="75"/>
        <v>144000</v>
      </c>
      <c r="P827" s="2" t="s">
        <v>22</v>
      </c>
      <c r="Q827" s="10" t="str">
        <f>VLOOKUP(A827,Status!A:B,2,0)</f>
        <v>Cancelled</v>
      </c>
      <c r="R827" s="2" t="s">
        <v>82</v>
      </c>
      <c r="S827" s="2">
        <v>4</v>
      </c>
      <c r="T827" s="2" t="s">
        <v>24</v>
      </c>
      <c r="U827" s="10" t="str">
        <f t="shared" si="77"/>
        <v>Jun</v>
      </c>
      <c r="V827" s="10">
        <f t="shared" si="76"/>
        <v>2025</v>
      </c>
      <c r="W827" t="e" cm="1">
        <f t="array" ref="W827">_xlfn.IFS(U827="January",1,U827="February",2,U827="March",3,U827="April",4,U827="May",5,U827="June",6,U827="July",7,U827="August",8,U827="September",9,U827="October",10,U827="November",11,U827="December",12)</f>
        <v>#N/A</v>
      </c>
    </row>
    <row r="828" spans="1:23" ht="15.75" customHeight="1" x14ac:dyDescent="0.25">
      <c r="A828" s="2" t="s">
        <v>1775</v>
      </c>
      <c r="B828" s="3">
        <v>45813.291944444441</v>
      </c>
      <c r="C828" s="2" t="s">
        <v>449</v>
      </c>
      <c r="D828" s="2" t="s">
        <v>151</v>
      </c>
      <c r="E828" s="2" t="s">
        <v>58</v>
      </c>
      <c r="F828" s="2" t="str" cm="1">
        <f t="array" ref="F828:G828">_xlfn.TEXTSPLIT(E828," - ")</f>
        <v>Gula Pasir</v>
      </c>
      <c r="G828" s="2" t="str">
        <v>Brand A</v>
      </c>
      <c r="H828" s="5">
        <v>16000</v>
      </c>
      <c r="I828" s="2">
        <v>4</v>
      </c>
      <c r="J828" s="2">
        <v>5</v>
      </c>
      <c r="K828" s="8">
        <f t="shared" si="72"/>
        <v>64000</v>
      </c>
      <c r="L828" s="8">
        <f t="shared" si="73"/>
        <v>3200</v>
      </c>
      <c r="M828" s="8">
        <f t="shared" si="74"/>
        <v>60800</v>
      </c>
      <c r="N828" s="5">
        <v>55000</v>
      </c>
      <c r="O828" s="8">
        <f t="shared" si="75"/>
        <v>115800</v>
      </c>
      <c r="P828" s="2" t="s">
        <v>63</v>
      </c>
      <c r="Q828" s="10" t="str">
        <f>VLOOKUP(A828,Status!A:B,2,0)</f>
        <v>Completed</v>
      </c>
      <c r="R828" s="2" t="s">
        <v>82</v>
      </c>
      <c r="S828" s="2">
        <v>1</v>
      </c>
      <c r="T828" s="2" t="s">
        <v>24</v>
      </c>
      <c r="U828" s="10" t="str">
        <f t="shared" si="77"/>
        <v>Jun</v>
      </c>
      <c r="V828" s="10">
        <f t="shared" si="76"/>
        <v>2025</v>
      </c>
      <c r="W828" t="e" cm="1">
        <f t="array" ref="W828">_xlfn.IFS(U828="January",1,U828="February",2,U828="March",3,U828="April",4,U828="May",5,U828="June",6,U828="July",7,U828="August",8,U828="September",9,U828="October",10,U828="November",11,U828="December",12)</f>
        <v>#N/A</v>
      </c>
    </row>
    <row r="829" spans="1:23" ht="15.75" customHeight="1" x14ac:dyDescent="0.25">
      <c r="A829" s="2" t="s">
        <v>1776</v>
      </c>
      <c r="B829" s="3">
        <v>45813.315138888887</v>
      </c>
      <c r="C829" s="2" t="s">
        <v>697</v>
      </c>
      <c r="D829" s="2" t="s">
        <v>143</v>
      </c>
      <c r="E829" s="2" t="s">
        <v>190</v>
      </c>
      <c r="F829" s="2" t="str" cm="1">
        <f t="array" ref="F829:G829">_xlfn.TEXTSPLIT(E829," - ")</f>
        <v>Bawang Merah</v>
      </c>
      <c r="G829" s="2" t="str">
        <v>Brand B</v>
      </c>
      <c r="H829" s="5">
        <v>35000</v>
      </c>
      <c r="I829" s="2">
        <v>4</v>
      </c>
      <c r="J829" s="2">
        <v>10</v>
      </c>
      <c r="K829" s="8">
        <f t="shared" si="72"/>
        <v>140000</v>
      </c>
      <c r="L829" s="8">
        <f t="shared" si="73"/>
        <v>14000</v>
      </c>
      <c r="M829" s="8">
        <f t="shared" si="74"/>
        <v>126000</v>
      </c>
      <c r="N829" s="5">
        <v>50000</v>
      </c>
      <c r="O829" s="8">
        <f t="shared" si="75"/>
        <v>176000</v>
      </c>
      <c r="P829" s="2" t="s">
        <v>29</v>
      </c>
      <c r="Q829" s="10" t="str">
        <f>VLOOKUP(A829,Status!A:B,2,0)</f>
        <v>Completed</v>
      </c>
      <c r="R829" s="2" t="s">
        <v>30</v>
      </c>
      <c r="S829" s="2">
        <v>5</v>
      </c>
      <c r="T829" s="2" t="s">
        <v>37</v>
      </c>
      <c r="U829" s="10" t="str">
        <f t="shared" si="77"/>
        <v>Jun</v>
      </c>
      <c r="V829" s="10">
        <f t="shared" si="76"/>
        <v>2025</v>
      </c>
      <c r="W829" t="e" cm="1">
        <f t="array" ref="W829">_xlfn.IFS(U829="January",1,U829="February",2,U829="March",3,U829="April",4,U829="May",5,U829="June",6,U829="July",7,U829="August",8,U829="September",9,U829="October",10,U829="November",11,U829="December",12)</f>
        <v>#N/A</v>
      </c>
    </row>
    <row r="830" spans="1:23" ht="15.75" customHeight="1" x14ac:dyDescent="0.25">
      <c r="A830" s="2" t="s">
        <v>1777</v>
      </c>
      <c r="B830" s="3">
        <v>45813.554722222223</v>
      </c>
      <c r="C830" s="2" t="s">
        <v>976</v>
      </c>
      <c r="D830" s="2" t="s">
        <v>182</v>
      </c>
      <c r="E830" s="2" t="s">
        <v>144</v>
      </c>
      <c r="F830" s="2" t="str" cm="1">
        <f t="array" ref="F830:G830">_xlfn.TEXTSPLIT(E830," - ")</f>
        <v>Gula Pasir</v>
      </c>
      <c r="G830" s="2" t="str">
        <v>Brand C</v>
      </c>
      <c r="H830" s="5">
        <v>18000</v>
      </c>
      <c r="I830" s="2">
        <v>5</v>
      </c>
      <c r="J830" s="2">
        <v>0</v>
      </c>
      <c r="K830" s="8">
        <f t="shared" si="72"/>
        <v>90000</v>
      </c>
      <c r="L830" s="8">
        <f t="shared" si="73"/>
        <v>0</v>
      </c>
      <c r="M830" s="8">
        <f t="shared" si="74"/>
        <v>90000</v>
      </c>
      <c r="N830" s="5">
        <v>48000</v>
      </c>
      <c r="O830" s="8">
        <f t="shared" si="75"/>
        <v>138000</v>
      </c>
      <c r="P830" s="2" t="s">
        <v>22</v>
      </c>
      <c r="Q830" s="10" t="str">
        <f>VLOOKUP(A830,Status!A:B,2,0)</f>
        <v>Returned</v>
      </c>
      <c r="R830" s="2" t="s">
        <v>30</v>
      </c>
      <c r="S830" s="2">
        <v>4</v>
      </c>
      <c r="T830" s="2" t="s">
        <v>24</v>
      </c>
      <c r="U830" s="10" t="str">
        <f t="shared" si="77"/>
        <v>Jun</v>
      </c>
      <c r="V830" s="10">
        <f t="shared" si="76"/>
        <v>2025</v>
      </c>
      <c r="W830" t="e" cm="1">
        <f t="array" ref="W830">_xlfn.IFS(U830="January",1,U830="February",2,U830="March",3,U830="April",4,U830="May",5,U830="June",6,U830="July",7,U830="August",8,U830="September",9,U830="October",10,U830="November",11,U830="December",12)</f>
        <v>#N/A</v>
      </c>
    </row>
    <row r="831" spans="1:23" ht="15.75" customHeight="1" x14ac:dyDescent="0.25">
      <c r="A831" s="2" t="s">
        <v>1778</v>
      </c>
      <c r="B831" s="3">
        <v>45814.017523148148</v>
      </c>
      <c r="C831" s="2" t="s">
        <v>525</v>
      </c>
      <c r="D831" s="2" t="s">
        <v>96</v>
      </c>
      <c r="E831" s="2" t="s">
        <v>38</v>
      </c>
      <c r="F831" s="2" t="str" cm="1">
        <f t="array" ref="F831:G831">_xlfn.TEXTSPLIT(E831," - ")</f>
        <v>Telur Ayam</v>
      </c>
      <c r="G831" s="2" t="str">
        <v>Brand C</v>
      </c>
      <c r="H831" s="5">
        <v>28000</v>
      </c>
      <c r="I831" s="2">
        <v>1</v>
      </c>
      <c r="J831" s="2">
        <v>5</v>
      </c>
      <c r="K831" s="8">
        <f t="shared" si="72"/>
        <v>28000</v>
      </c>
      <c r="L831" s="8">
        <f t="shared" si="73"/>
        <v>1400</v>
      </c>
      <c r="M831" s="8">
        <f t="shared" si="74"/>
        <v>26600</v>
      </c>
      <c r="N831" s="5">
        <v>49000</v>
      </c>
      <c r="O831" s="8">
        <f t="shared" si="75"/>
        <v>75600</v>
      </c>
      <c r="P831" s="2" t="s">
        <v>29</v>
      </c>
      <c r="Q831" s="10" t="str">
        <f>VLOOKUP(A831,Status!A:B,2,0)</f>
        <v>Completed</v>
      </c>
      <c r="R831" s="2" t="s">
        <v>46</v>
      </c>
      <c r="S831" s="2">
        <v>1</v>
      </c>
      <c r="T831" s="2" t="s">
        <v>24</v>
      </c>
      <c r="U831" s="10" t="str">
        <f t="shared" si="77"/>
        <v>Jun</v>
      </c>
      <c r="V831" s="10">
        <f t="shared" si="76"/>
        <v>2025</v>
      </c>
      <c r="W831" t="e" cm="1">
        <f t="array" ref="W831">_xlfn.IFS(U831="January",1,U831="February",2,U831="March",3,U831="April",4,U831="May",5,U831="June",6,U831="July",7,U831="August",8,U831="September",9,U831="October",10,U831="November",11,U831="December",12)</f>
        <v>#N/A</v>
      </c>
    </row>
    <row r="832" spans="1:23" ht="15.75" customHeight="1" x14ac:dyDescent="0.25">
      <c r="A832" s="2" t="s">
        <v>1779</v>
      </c>
      <c r="B832" s="3">
        <v>45814.048356481479</v>
      </c>
      <c r="C832" s="2" t="s">
        <v>271</v>
      </c>
      <c r="D832" s="2" t="s">
        <v>49</v>
      </c>
      <c r="E832" s="2" t="s">
        <v>81</v>
      </c>
      <c r="F832" s="2" t="str" cm="1">
        <f t="array" ref="F832:G832">_xlfn.TEXTSPLIT(E832," - ")</f>
        <v>Minyak Goreng</v>
      </c>
      <c r="G832" s="2" t="str">
        <v>Brand B</v>
      </c>
      <c r="H832" s="5">
        <v>17000</v>
      </c>
      <c r="I832" s="2">
        <v>4</v>
      </c>
      <c r="J832" s="2">
        <v>5</v>
      </c>
      <c r="K832" s="8">
        <f t="shared" si="72"/>
        <v>68000</v>
      </c>
      <c r="L832" s="8">
        <f t="shared" si="73"/>
        <v>3400</v>
      </c>
      <c r="M832" s="8">
        <f t="shared" si="74"/>
        <v>64600</v>
      </c>
      <c r="N832" s="5">
        <v>43000</v>
      </c>
      <c r="O832" s="8">
        <f t="shared" si="75"/>
        <v>107600</v>
      </c>
      <c r="P832" s="2" t="s">
        <v>29</v>
      </c>
      <c r="Q832" s="10" t="str">
        <f>VLOOKUP(A832,Status!A:B,2,0)</f>
        <v>Completed</v>
      </c>
      <c r="R832" s="2" t="s">
        <v>23</v>
      </c>
      <c r="S832" s="2">
        <v>3</v>
      </c>
      <c r="T832" s="2" t="s">
        <v>24</v>
      </c>
      <c r="U832" s="10" t="str">
        <f t="shared" si="77"/>
        <v>Jun</v>
      </c>
      <c r="V832" s="10">
        <f t="shared" si="76"/>
        <v>2025</v>
      </c>
      <c r="W832" t="e" cm="1">
        <f t="array" ref="W832">_xlfn.IFS(U832="January",1,U832="February",2,U832="March",3,U832="April",4,U832="May",5,U832="June",6,U832="July",7,U832="August",8,U832="September",9,U832="October",10,U832="November",11,U832="December",12)</f>
        <v>#N/A</v>
      </c>
    </row>
    <row r="833" spans="1:23" ht="15.75" customHeight="1" x14ac:dyDescent="0.25">
      <c r="A833" s="2" t="s">
        <v>1780</v>
      </c>
      <c r="B833" s="3">
        <v>45814.414872685193</v>
      </c>
      <c r="C833" s="2" t="s">
        <v>549</v>
      </c>
      <c r="D833" s="2" t="s">
        <v>107</v>
      </c>
      <c r="E833" s="2" t="s">
        <v>54</v>
      </c>
      <c r="F833" s="2" t="str" cm="1">
        <f t="array" ref="F833:G833">_xlfn.TEXTSPLIT(E833," - ")</f>
        <v>Beras</v>
      </c>
      <c r="G833" s="2" t="str">
        <v>Brand C</v>
      </c>
      <c r="H833" s="5">
        <v>16000</v>
      </c>
      <c r="I833" s="2">
        <v>4</v>
      </c>
      <c r="J833" s="2">
        <v>20</v>
      </c>
      <c r="K833" s="8">
        <f t="shared" si="72"/>
        <v>64000</v>
      </c>
      <c r="L833" s="8">
        <f t="shared" si="73"/>
        <v>12800</v>
      </c>
      <c r="M833" s="8">
        <f t="shared" si="74"/>
        <v>51200</v>
      </c>
      <c r="N833" s="5">
        <v>97000</v>
      </c>
      <c r="O833" s="8">
        <f t="shared" si="75"/>
        <v>148200</v>
      </c>
      <c r="P833" s="2" t="s">
        <v>29</v>
      </c>
      <c r="Q833" s="10" t="str">
        <f>VLOOKUP(A833,Status!A:B,2,0)</f>
        <v>Completed</v>
      </c>
      <c r="R833" s="2" t="s">
        <v>46</v>
      </c>
      <c r="S833" s="2">
        <v>4</v>
      </c>
      <c r="T833" s="2" t="s">
        <v>24</v>
      </c>
      <c r="U833" s="10" t="str">
        <f t="shared" si="77"/>
        <v>Jun</v>
      </c>
      <c r="V833" s="10">
        <f t="shared" si="76"/>
        <v>2025</v>
      </c>
      <c r="W833" t="e" cm="1">
        <f t="array" ref="W833">_xlfn.IFS(U833="January",1,U833="February",2,U833="March",3,U833="April",4,U833="May",5,U833="June",6,U833="July",7,U833="August",8,U833="September",9,U833="October",10,U833="November",11,U833="December",12)</f>
        <v>#N/A</v>
      </c>
    </row>
    <row r="834" spans="1:23" ht="15.75" customHeight="1" x14ac:dyDescent="0.25">
      <c r="A834" s="2" t="s">
        <v>1781</v>
      </c>
      <c r="B834" s="3">
        <v>45814.436238425929</v>
      </c>
      <c r="C834" s="2" t="s">
        <v>48</v>
      </c>
      <c r="D834" s="2" t="s">
        <v>49</v>
      </c>
      <c r="E834" s="2" t="s">
        <v>144</v>
      </c>
      <c r="F834" s="2" t="str" cm="1">
        <f t="array" ref="F834:G834">_xlfn.TEXTSPLIT(E834," - ")</f>
        <v>Gula Pasir</v>
      </c>
      <c r="G834" s="2" t="str">
        <v>Brand C</v>
      </c>
      <c r="H834" s="5">
        <v>18000</v>
      </c>
      <c r="I834" s="2">
        <v>4</v>
      </c>
      <c r="J834" s="2">
        <v>5</v>
      </c>
      <c r="K834" s="8">
        <f t="shared" ref="K834:K897" si="78">H834*I834</f>
        <v>72000</v>
      </c>
      <c r="L834" s="8">
        <f t="shared" ref="L834:L897" si="79">K834*J834%</f>
        <v>3600</v>
      </c>
      <c r="M834" s="8">
        <f t="shared" ref="M834:M897" si="80">K834-L834</f>
        <v>68400</v>
      </c>
      <c r="N834" s="5">
        <v>43000</v>
      </c>
      <c r="O834" s="8">
        <f t="shared" ref="O834:O897" si="81">M834+N834</f>
        <v>111400</v>
      </c>
      <c r="P834" s="2" t="s">
        <v>22</v>
      </c>
      <c r="Q834" s="10" t="str">
        <f>VLOOKUP(A834,Status!A:B,2,0)</f>
        <v>Completed</v>
      </c>
      <c r="R834" s="2" t="s">
        <v>23</v>
      </c>
      <c r="S834" s="2">
        <v>2</v>
      </c>
      <c r="T834" s="2" t="s">
        <v>24</v>
      </c>
      <c r="U834" s="10" t="str">
        <f t="shared" si="77"/>
        <v>Jun</v>
      </c>
      <c r="V834" s="10">
        <f t="shared" ref="V834:V897" si="82">YEAR(B834)</f>
        <v>2025</v>
      </c>
      <c r="W834" t="e" cm="1">
        <f t="array" ref="W834">_xlfn.IFS(U834="January",1,U834="February",2,U834="March",3,U834="April",4,U834="May",5,U834="June",6,U834="July",7,U834="August",8,U834="September",9,U834="October",10,U834="November",11,U834="December",12)</f>
        <v>#N/A</v>
      </c>
    </row>
    <row r="835" spans="1:23" ht="15.75" customHeight="1" x14ac:dyDescent="0.25">
      <c r="A835" s="2" t="s">
        <v>1782</v>
      </c>
      <c r="B835" s="3">
        <v>45814.713622685187</v>
      </c>
      <c r="C835" s="2" t="s">
        <v>381</v>
      </c>
      <c r="D835" s="2" t="s">
        <v>103</v>
      </c>
      <c r="E835" s="2" t="s">
        <v>34</v>
      </c>
      <c r="F835" s="2" t="str" cm="1">
        <f t="array" ref="F835:G835">_xlfn.TEXTSPLIT(E835," - ")</f>
        <v>Minyak Goreng</v>
      </c>
      <c r="G835" s="2" t="str">
        <v>Brand A</v>
      </c>
      <c r="H835" s="5">
        <v>16000</v>
      </c>
      <c r="I835" s="2">
        <v>5</v>
      </c>
      <c r="J835" s="2">
        <v>20</v>
      </c>
      <c r="K835" s="8">
        <f t="shared" si="78"/>
        <v>80000</v>
      </c>
      <c r="L835" s="8">
        <f t="shared" si="79"/>
        <v>16000</v>
      </c>
      <c r="M835" s="8">
        <f t="shared" si="80"/>
        <v>64000</v>
      </c>
      <c r="N835" s="5">
        <v>85000</v>
      </c>
      <c r="O835" s="8">
        <f t="shared" si="81"/>
        <v>149000</v>
      </c>
      <c r="P835" s="2" t="s">
        <v>63</v>
      </c>
      <c r="Q835" s="10" t="str">
        <f>VLOOKUP(A835,Status!A:B,2,0)</f>
        <v>Completed</v>
      </c>
      <c r="R835" s="2" t="s">
        <v>23</v>
      </c>
      <c r="S835" s="2">
        <v>2</v>
      </c>
      <c r="T835" s="2" t="s">
        <v>24</v>
      </c>
      <c r="U835" s="10" t="str">
        <f t="shared" ref="U835:U898" si="83">TEXT(B835,"MMM")</f>
        <v>Jun</v>
      </c>
      <c r="V835" s="10">
        <f t="shared" si="82"/>
        <v>2025</v>
      </c>
      <c r="W835" t="e" cm="1">
        <f t="array" ref="W835">_xlfn.IFS(U835="January",1,U835="February",2,U835="March",3,U835="April",4,U835="May",5,U835="June",6,U835="July",7,U835="August",8,U835="September",9,U835="October",10,U835="November",11,U835="December",12)</f>
        <v>#N/A</v>
      </c>
    </row>
    <row r="836" spans="1:23" ht="15.75" customHeight="1" x14ac:dyDescent="0.25">
      <c r="A836" s="2" t="s">
        <v>1783</v>
      </c>
      <c r="B836" s="3">
        <v>45815.187141203707</v>
      </c>
      <c r="C836" s="2" t="s">
        <v>802</v>
      </c>
      <c r="D836" s="2" t="s">
        <v>126</v>
      </c>
      <c r="E836" s="2" t="s">
        <v>34</v>
      </c>
      <c r="F836" s="2" t="str" cm="1">
        <f t="array" ref="F836:G836">_xlfn.TEXTSPLIT(E836," - ")</f>
        <v>Minyak Goreng</v>
      </c>
      <c r="G836" s="2" t="str">
        <v>Brand A</v>
      </c>
      <c r="H836" s="5">
        <v>16000</v>
      </c>
      <c r="I836" s="2">
        <v>1</v>
      </c>
      <c r="J836" s="2">
        <v>20</v>
      </c>
      <c r="K836" s="8">
        <f t="shared" si="78"/>
        <v>16000</v>
      </c>
      <c r="L836" s="8">
        <f t="shared" si="79"/>
        <v>3200</v>
      </c>
      <c r="M836" s="8">
        <f t="shared" si="80"/>
        <v>12800</v>
      </c>
      <c r="N836" s="5">
        <v>84000</v>
      </c>
      <c r="O836" s="8">
        <f t="shared" si="81"/>
        <v>96800</v>
      </c>
      <c r="P836" s="2" t="s">
        <v>29</v>
      </c>
      <c r="Q836" s="10" t="str">
        <f>VLOOKUP(A836,Status!A:B,2,0)</f>
        <v>Completed</v>
      </c>
      <c r="R836" s="2" t="s">
        <v>46</v>
      </c>
      <c r="S836" s="2">
        <v>1</v>
      </c>
      <c r="T836" s="2" t="s">
        <v>24</v>
      </c>
      <c r="U836" s="10" t="str">
        <f t="shared" si="83"/>
        <v>Jun</v>
      </c>
      <c r="V836" s="10">
        <f t="shared" si="82"/>
        <v>2025</v>
      </c>
      <c r="W836" t="e" cm="1">
        <f t="array" ref="W836">_xlfn.IFS(U836="January",1,U836="February",2,U836="March",3,U836="April",4,U836="May",5,U836="June",6,U836="July",7,U836="August",8,U836="September",9,U836="October",10,U836="November",11,U836="December",12)</f>
        <v>#N/A</v>
      </c>
    </row>
    <row r="837" spans="1:23" ht="15.75" customHeight="1" x14ac:dyDescent="0.25">
      <c r="A837" s="2" t="s">
        <v>1784</v>
      </c>
      <c r="B837" s="3">
        <v>45815.30265046296</v>
      </c>
      <c r="C837" s="2" t="s">
        <v>283</v>
      </c>
      <c r="D837" s="2" t="s">
        <v>92</v>
      </c>
      <c r="E837" s="2" t="s">
        <v>144</v>
      </c>
      <c r="F837" s="2" t="str" cm="1">
        <f t="array" ref="F837:G837">_xlfn.TEXTSPLIT(E837," - ")</f>
        <v>Gula Pasir</v>
      </c>
      <c r="G837" s="2" t="str">
        <v>Brand C</v>
      </c>
      <c r="H837" s="5">
        <v>18000</v>
      </c>
      <c r="I837" s="2">
        <v>3</v>
      </c>
      <c r="J837" s="2">
        <v>10</v>
      </c>
      <c r="K837" s="8">
        <f t="shared" si="78"/>
        <v>54000</v>
      </c>
      <c r="L837" s="8">
        <f t="shared" si="79"/>
        <v>5400</v>
      </c>
      <c r="M837" s="8">
        <f t="shared" si="80"/>
        <v>48600</v>
      </c>
      <c r="N837" s="5">
        <v>30000</v>
      </c>
      <c r="O837" s="8">
        <f t="shared" si="81"/>
        <v>78600</v>
      </c>
      <c r="P837" s="2" t="s">
        <v>29</v>
      </c>
      <c r="Q837" s="10" t="str">
        <f>VLOOKUP(A837,Status!A:B,2,0)</f>
        <v>Completed</v>
      </c>
      <c r="R837" s="2" t="s">
        <v>23</v>
      </c>
      <c r="S837" s="2">
        <v>1</v>
      </c>
      <c r="T837" s="2" t="s">
        <v>24</v>
      </c>
      <c r="U837" s="10" t="str">
        <f t="shared" si="83"/>
        <v>Jun</v>
      </c>
      <c r="V837" s="10">
        <f t="shared" si="82"/>
        <v>2025</v>
      </c>
      <c r="W837" t="e" cm="1">
        <f t="array" ref="W837">_xlfn.IFS(U837="January",1,U837="February",2,U837="March",3,U837="April",4,U837="May",5,U837="June",6,U837="July",7,U837="August",8,U837="September",9,U837="October",10,U837="November",11,U837="December",12)</f>
        <v>#N/A</v>
      </c>
    </row>
    <row r="838" spans="1:23" ht="15.75" customHeight="1" x14ac:dyDescent="0.25">
      <c r="A838" s="2" t="s">
        <v>1785</v>
      </c>
      <c r="B838" s="3">
        <v>45815.65730324074</v>
      </c>
      <c r="C838" s="2" t="s">
        <v>739</v>
      </c>
      <c r="D838" s="2" t="s">
        <v>177</v>
      </c>
      <c r="E838" s="2" t="s">
        <v>138</v>
      </c>
      <c r="F838" s="2" t="str" cm="1">
        <f t="array" ref="F838:G838">_xlfn.TEXTSPLIT(E838," - ")</f>
        <v>Gula Pasir</v>
      </c>
      <c r="G838" s="2" t="str">
        <v>Brand B</v>
      </c>
      <c r="H838" s="5">
        <v>17000</v>
      </c>
      <c r="I838" s="2">
        <v>4</v>
      </c>
      <c r="J838" s="2">
        <v>20</v>
      </c>
      <c r="K838" s="8">
        <f t="shared" si="78"/>
        <v>68000</v>
      </c>
      <c r="L838" s="8">
        <f t="shared" si="79"/>
        <v>13600</v>
      </c>
      <c r="M838" s="8">
        <f t="shared" si="80"/>
        <v>54400</v>
      </c>
      <c r="N838" s="5">
        <v>56000</v>
      </c>
      <c r="O838" s="8">
        <f t="shared" si="81"/>
        <v>110400</v>
      </c>
      <c r="P838" s="2" t="s">
        <v>63</v>
      </c>
      <c r="Q838" s="10" t="str">
        <f>VLOOKUP(A838,Status!A:B,2,0)</f>
        <v>Completed</v>
      </c>
      <c r="R838" s="2" t="s">
        <v>30</v>
      </c>
      <c r="S838" s="2">
        <v>3</v>
      </c>
      <c r="T838" s="2" t="s">
        <v>24</v>
      </c>
      <c r="U838" s="10" t="str">
        <f t="shared" si="83"/>
        <v>Jun</v>
      </c>
      <c r="V838" s="10">
        <f t="shared" si="82"/>
        <v>2025</v>
      </c>
      <c r="W838" t="e" cm="1">
        <f t="array" ref="W838">_xlfn.IFS(U838="January",1,U838="February",2,U838="March",3,U838="April",4,U838="May",5,U838="June",6,U838="July",7,U838="August",8,U838="September",9,U838="October",10,U838="November",11,U838="December",12)</f>
        <v>#N/A</v>
      </c>
    </row>
    <row r="839" spans="1:23" ht="15.75" customHeight="1" x14ac:dyDescent="0.25">
      <c r="A839" s="2" t="s">
        <v>1786</v>
      </c>
      <c r="B839" s="3">
        <v>45815.708148148151</v>
      </c>
      <c r="C839" s="2" t="s">
        <v>615</v>
      </c>
      <c r="D839" s="2" t="s">
        <v>92</v>
      </c>
      <c r="E839" s="2" t="s">
        <v>50</v>
      </c>
      <c r="F839" s="2" t="str" cm="1">
        <f t="array" ref="F839:G839">_xlfn.TEXTSPLIT(E839," - ")</f>
        <v>Tepung Terigu</v>
      </c>
      <c r="G839" s="2" t="str">
        <v>Brand C</v>
      </c>
      <c r="H839" s="5">
        <v>14000</v>
      </c>
      <c r="I839" s="2">
        <v>3</v>
      </c>
      <c r="J839" s="2">
        <v>5</v>
      </c>
      <c r="K839" s="8">
        <f t="shared" si="78"/>
        <v>42000</v>
      </c>
      <c r="L839" s="8">
        <f t="shared" si="79"/>
        <v>2100</v>
      </c>
      <c r="M839" s="8">
        <f t="shared" si="80"/>
        <v>39900</v>
      </c>
      <c r="N839" s="5">
        <v>30000</v>
      </c>
      <c r="O839" s="8">
        <f t="shared" si="81"/>
        <v>69900</v>
      </c>
      <c r="P839" s="2" t="s">
        <v>22</v>
      </c>
      <c r="Q839" s="10" t="str">
        <f>VLOOKUP(A839,Status!A:B,2,0)</f>
        <v>Completed</v>
      </c>
      <c r="R839" s="2" t="s">
        <v>30</v>
      </c>
      <c r="S839" s="2">
        <v>5</v>
      </c>
      <c r="T839" s="2" t="s">
        <v>24</v>
      </c>
      <c r="U839" s="10" t="str">
        <f t="shared" si="83"/>
        <v>Jun</v>
      </c>
      <c r="V839" s="10">
        <f t="shared" si="82"/>
        <v>2025</v>
      </c>
      <c r="W839" t="e" cm="1">
        <f t="array" ref="W839">_xlfn.IFS(U839="January",1,U839="February",2,U839="March",3,U839="April",4,U839="May",5,U839="June",6,U839="July",7,U839="August",8,U839="September",9,U839="October",10,U839="November",11,U839="December",12)</f>
        <v>#N/A</v>
      </c>
    </row>
    <row r="840" spans="1:23" ht="15.75" customHeight="1" x14ac:dyDescent="0.25">
      <c r="A840" s="2" t="s">
        <v>1787</v>
      </c>
      <c r="B840" s="3">
        <v>45815.729583333326</v>
      </c>
      <c r="C840" s="2" t="s">
        <v>254</v>
      </c>
      <c r="D840" s="2" t="s">
        <v>61</v>
      </c>
      <c r="E840" s="2" t="s">
        <v>38</v>
      </c>
      <c r="F840" s="2" t="str" cm="1">
        <f t="array" ref="F840:G840">_xlfn.TEXTSPLIT(E840," - ")</f>
        <v>Telur Ayam</v>
      </c>
      <c r="G840" s="2" t="str">
        <v>Brand C</v>
      </c>
      <c r="H840" s="5">
        <v>28000</v>
      </c>
      <c r="I840" s="2">
        <v>1</v>
      </c>
      <c r="J840" s="2">
        <v>20</v>
      </c>
      <c r="K840" s="8">
        <f t="shared" si="78"/>
        <v>28000</v>
      </c>
      <c r="L840" s="8">
        <f t="shared" si="79"/>
        <v>5600</v>
      </c>
      <c r="M840" s="8">
        <f t="shared" si="80"/>
        <v>22400</v>
      </c>
      <c r="N840" s="5">
        <v>26000</v>
      </c>
      <c r="O840" s="8">
        <f t="shared" si="81"/>
        <v>48400</v>
      </c>
      <c r="P840" s="2" t="s">
        <v>29</v>
      </c>
      <c r="Q840" s="10" t="str">
        <f>VLOOKUP(A840,Status!A:B,2,0)</f>
        <v>Completed</v>
      </c>
      <c r="R840" s="2" t="s">
        <v>82</v>
      </c>
      <c r="S840" s="2">
        <v>4</v>
      </c>
      <c r="T840" s="2" t="s">
        <v>24</v>
      </c>
      <c r="U840" s="10" t="str">
        <f t="shared" si="83"/>
        <v>Jun</v>
      </c>
      <c r="V840" s="10">
        <f t="shared" si="82"/>
        <v>2025</v>
      </c>
      <c r="W840" t="e" cm="1">
        <f t="array" ref="W840">_xlfn.IFS(U840="January",1,U840="February",2,U840="March",3,U840="April",4,U840="May",5,U840="June",6,U840="July",7,U840="August",8,U840="September",9,U840="October",10,U840="November",11,U840="December",12)</f>
        <v>#N/A</v>
      </c>
    </row>
    <row r="841" spans="1:23" ht="15.75" customHeight="1" x14ac:dyDescent="0.25">
      <c r="A841" s="2" t="s">
        <v>1788</v>
      </c>
      <c r="B841" s="3">
        <v>45816.723530092589</v>
      </c>
      <c r="C841" s="2" t="s">
        <v>1120</v>
      </c>
      <c r="D841" s="2" t="s">
        <v>173</v>
      </c>
      <c r="E841" s="2" t="s">
        <v>45</v>
      </c>
      <c r="F841" s="2" t="str" cm="1">
        <f t="array" ref="F841:G841">_xlfn.TEXTSPLIT(E841," - ")</f>
        <v>Daging Ayam</v>
      </c>
      <c r="G841" s="2" t="str">
        <v>Brand B</v>
      </c>
      <c r="H841" s="5">
        <v>40000</v>
      </c>
      <c r="I841" s="2">
        <v>1</v>
      </c>
      <c r="J841" s="2">
        <v>15</v>
      </c>
      <c r="K841" s="8">
        <f t="shared" si="78"/>
        <v>40000</v>
      </c>
      <c r="L841" s="8">
        <f t="shared" si="79"/>
        <v>6000</v>
      </c>
      <c r="M841" s="8">
        <f t="shared" si="80"/>
        <v>34000</v>
      </c>
      <c r="N841" s="5">
        <v>49000</v>
      </c>
      <c r="O841" s="8">
        <f t="shared" si="81"/>
        <v>83000</v>
      </c>
      <c r="P841" s="2" t="s">
        <v>63</v>
      </c>
      <c r="Q841" s="10" t="str">
        <f>VLOOKUP(A841,Status!A:B,2,0)</f>
        <v>Completed</v>
      </c>
      <c r="R841" s="2" t="s">
        <v>30</v>
      </c>
      <c r="S841" s="2">
        <v>4</v>
      </c>
      <c r="T841" s="2" t="s">
        <v>24</v>
      </c>
      <c r="U841" s="10" t="str">
        <f t="shared" si="83"/>
        <v>Jun</v>
      </c>
      <c r="V841" s="10">
        <f t="shared" si="82"/>
        <v>2025</v>
      </c>
      <c r="W841" t="e" cm="1">
        <f t="array" ref="W841">_xlfn.IFS(U841="January",1,U841="February",2,U841="March",3,U841="April",4,U841="May",5,U841="June",6,U841="July",7,U841="August",8,U841="September",9,U841="October",10,U841="November",11,U841="December",12)</f>
        <v>#N/A</v>
      </c>
    </row>
    <row r="842" spans="1:23" ht="15.75" customHeight="1" x14ac:dyDescent="0.25">
      <c r="A842" s="2" t="s">
        <v>1789</v>
      </c>
      <c r="B842" s="3">
        <v>45816.769236111111</v>
      </c>
      <c r="C842" s="2" t="s">
        <v>959</v>
      </c>
      <c r="D842" s="2" t="s">
        <v>182</v>
      </c>
      <c r="E842" s="2" t="s">
        <v>62</v>
      </c>
      <c r="F842" s="2" t="str" cm="1">
        <f t="array" ref="F842:G842">_xlfn.TEXTSPLIT(E842," - ")</f>
        <v>Susu Bubuk</v>
      </c>
      <c r="G842" s="2" t="str">
        <v>Brand B</v>
      </c>
      <c r="H842" s="5">
        <v>50000</v>
      </c>
      <c r="I842" s="2">
        <v>3</v>
      </c>
      <c r="J842" s="2">
        <v>0</v>
      </c>
      <c r="K842" s="8">
        <f t="shared" si="78"/>
        <v>150000</v>
      </c>
      <c r="L842" s="8">
        <f t="shared" si="79"/>
        <v>0</v>
      </c>
      <c r="M842" s="8">
        <f t="shared" si="80"/>
        <v>150000</v>
      </c>
      <c r="N842" s="5">
        <v>48000</v>
      </c>
      <c r="O842" s="8">
        <f t="shared" si="81"/>
        <v>198000</v>
      </c>
      <c r="P842" s="2" t="s">
        <v>35</v>
      </c>
      <c r="Q842" s="10" t="str">
        <f>VLOOKUP(A842,Status!A:B,2,0)</f>
        <v>Completed</v>
      </c>
      <c r="R842" s="2" t="s">
        <v>36</v>
      </c>
      <c r="S842" s="2">
        <v>1</v>
      </c>
      <c r="T842" s="2" t="s">
        <v>24</v>
      </c>
      <c r="U842" s="10" t="str">
        <f t="shared" si="83"/>
        <v>Jun</v>
      </c>
      <c r="V842" s="10">
        <f t="shared" si="82"/>
        <v>2025</v>
      </c>
      <c r="W842" t="e" cm="1">
        <f t="array" ref="W842">_xlfn.IFS(U842="January",1,U842="February",2,U842="March",3,U842="April",4,U842="May",5,U842="June",6,U842="July",7,U842="August",8,U842="September",9,U842="October",10,U842="November",11,U842="December",12)</f>
        <v>#N/A</v>
      </c>
    </row>
    <row r="843" spans="1:23" ht="15.75" customHeight="1" x14ac:dyDescent="0.25">
      <c r="A843" s="2" t="s">
        <v>1790</v>
      </c>
      <c r="B843" s="3">
        <v>45816.932210648149</v>
      </c>
      <c r="C843" s="2" t="s">
        <v>155</v>
      </c>
      <c r="D843" s="2" t="s">
        <v>92</v>
      </c>
      <c r="E843" s="2" t="s">
        <v>50</v>
      </c>
      <c r="F843" s="2" t="str" cm="1">
        <f t="array" ref="F843:G843">_xlfn.TEXTSPLIT(E843," - ")</f>
        <v>Tepung Terigu</v>
      </c>
      <c r="G843" s="2" t="str">
        <v>Brand C</v>
      </c>
      <c r="H843" s="5">
        <v>14000</v>
      </c>
      <c r="I843" s="2">
        <v>1</v>
      </c>
      <c r="J843" s="2">
        <v>10</v>
      </c>
      <c r="K843" s="8">
        <f t="shared" si="78"/>
        <v>14000</v>
      </c>
      <c r="L843" s="8">
        <f t="shared" si="79"/>
        <v>1400</v>
      </c>
      <c r="M843" s="8">
        <f t="shared" si="80"/>
        <v>12600</v>
      </c>
      <c r="N843" s="5">
        <v>30000</v>
      </c>
      <c r="O843" s="8">
        <f t="shared" si="81"/>
        <v>42600</v>
      </c>
      <c r="P843" s="2" t="s">
        <v>63</v>
      </c>
      <c r="Q843" s="10" t="str">
        <f>VLOOKUP(A843,Status!A:B,2,0)</f>
        <v>Completed</v>
      </c>
      <c r="R843" s="2" t="s">
        <v>30</v>
      </c>
      <c r="S843" s="2">
        <v>3</v>
      </c>
      <c r="T843" s="2" t="s">
        <v>24</v>
      </c>
      <c r="U843" s="10" t="str">
        <f t="shared" si="83"/>
        <v>Jun</v>
      </c>
      <c r="V843" s="10">
        <f t="shared" si="82"/>
        <v>2025</v>
      </c>
      <c r="W843" t="e" cm="1">
        <f t="array" ref="W843">_xlfn.IFS(U843="January",1,U843="February",2,U843="March",3,U843="April",4,U843="May",5,U843="June",6,U843="July",7,U843="August",8,U843="September",9,U843="October",10,U843="November",11,U843="December",12)</f>
        <v>#N/A</v>
      </c>
    </row>
    <row r="844" spans="1:23" ht="15.75" customHeight="1" x14ac:dyDescent="0.25">
      <c r="A844" s="2" t="s">
        <v>1791</v>
      </c>
      <c r="B844" s="3">
        <v>45816.956643518519</v>
      </c>
      <c r="C844" s="2" t="s">
        <v>1792</v>
      </c>
      <c r="D844" s="2" t="s">
        <v>49</v>
      </c>
      <c r="E844" s="2" t="s">
        <v>75</v>
      </c>
      <c r="F844" s="2" t="str" cm="1">
        <f t="array" ref="F844:G844">_xlfn.TEXTSPLIT(E844," - ")</f>
        <v>Susu Bubuk</v>
      </c>
      <c r="G844" s="2" t="str">
        <v>Brand C</v>
      </c>
      <c r="H844" s="5">
        <v>55000</v>
      </c>
      <c r="I844" s="2">
        <v>5</v>
      </c>
      <c r="J844" s="2">
        <v>5</v>
      </c>
      <c r="K844" s="8">
        <f t="shared" si="78"/>
        <v>275000</v>
      </c>
      <c r="L844" s="8">
        <f t="shared" si="79"/>
        <v>13750</v>
      </c>
      <c r="M844" s="8">
        <f t="shared" si="80"/>
        <v>261250</v>
      </c>
      <c r="N844" s="5">
        <v>43000</v>
      </c>
      <c r="O844" s="8">
        <f t="shared" si="81"/>
        <v>304250</v>
      </c>
      <c r="P844" s="2" t="s">
        <v>22</v>
      </c>
      <c r="Q844" s="10" t="str">
        <f>VLOOKUP(A844,Status!A:B,2,0)</f>
        <v>Completed</v>
      </c>
      <c r="R844" s="2" t="s">
        <v>36</v>
      </c>
      <c r="S844" s="2">
        <v>2</v>
      </c>
      <c r="T844" s="2" t="s">
        <v>37</v>
      </c>
      <c r="U844" s="10" t="str">
        <f t="shared" si="83"/>
        <v>Jun</v>
      </c>
      <c r="V844" s="10">
        <f t="shared" si="82"/>
        <v>2025</v>
      </c>
      <c r="W844" t="e" cm="1">
        <f t="array" ref="W844">_xlfn.IFS(U844="January",1,U844="February",2,U844="March",3,U844="April",4,U844="May",5,U844="June",6,U844="July",7,U844="August",8,U844="September",9,U844="October",10,U844="November",11,U844="December",12)</f>
        <v>#N/A</v>
      </c>
    </row>
    <row r="845" spans="1:23" ht="15.75" customHeight="1" x14ac:dyDescent="0.25">
      <c r="A845" s="2" t="s">
        <v>1793</v>
      </c>
      <c r="B845" s="3">
        <v>45817.117569444446</v>
      </c>
      <c r="C845" s="2" t="s">
        <v>1794</v>
      </c>
      <c r="D845" s="2" t="s">
        <v>195</v>
      </c>
      <c r="E845" s="2" t="s">
        <v>38</v>
      </c>
      <c r="F845" s="2" t="str" cm="1">
        <f t="array" ref="F845:G845">_xlfn.TEXTSPLIT(E845," - ")</f>
        <v>Telur Ayam</v>
      </c>
      <c r="G845" s="2" t="str">
        <v>Brand C</v>
      </c>
      <c r="H845" s="5">
        <v>28000</v>
      </c>
      <c r="I845" s="2">
        <v>4</v>
      </c>
      <c r="J845" s="2">
        <v>5</v>
      </c>
      <c r="K845" s="8">
        <f t="shared" si="78"/>
        <v>112000</v>
      </c>
      <c r="L845" s="8">
        <f t="shared" si="79"/>
        <v>5600</v>
      </c>
      <c r="M845" s="8">
        <f t="shared" si="80"/>
        <v>106400</v>
      </c>
      <c r="N845" s="5">
        <v>87000</v>
      </c>
      <c r="O845" s="8">
        <f t="shared" si="81"/>
        <v>193400</v>
      </c>
      <c r="P845" s="2" t="s">
        <v>35</v>
      </c>
      <c r="Q845" s="10" t="str">
        <f>VLOOKUP(A845,Status!A:B,2,0)</f>
        <v>Completed</v>
      </c>
      <c r="R845" s="2" t="s">
        <v>23</v>
      </c>
      <c r="S845" s="2">
        <v>5</v>
      </c>
      <c r="T845" s="2" t="s">
        <v>37</v>
      </c>
      <c r="U845" s="10" t="str">
        <f t="shared" si="83"/>
        <v>Jun</v>
      </c>
      <c r="V845" s="10">
        <f t="shared" si="82"/>
        <v>2025</v>
      </c>
      <c r="W845" t="e" cm="1">
        <f t="array" ref="W845">_xlfn.IFS(U845="January",1,U845="February",2,U845="March",3,U845="April",4,U845="May",5,U845="June",6,U845="July",7,U845="August",8,U845="September",9,U845="October",10,U845="November",11,U845="December",12)</f>
        <v>#N/A</v>
      </c>
    </row>
    <row r="846" spans="1:23" ht="15.75" customHeight="1" x14ac:dyDescent="0.25">
      <c r="A846" s="2" t="s">
        <v>1793</v>
      </c>
      <c r="B846" s="3">
        <v>45817.117569444446</v>
      </c>
      <c r="C846" s="2" t="s">
        <v>1794</v>
      </c>
      <c r="D846" s="2" t="s">
        <v>195</v>
      </c>
      <c r="E846" s="2" t="s">
        <v>110</v>
      </c>
      <c r="F846" s="2" t="str" cm="1">
        <f t="array" ref="F846:G846">_xlfn.TEXTSPLIT(E846," - ")</f>
        <v>Garam</v>
      </c>
      <c r="G846" s="2" t="str">
        <v>Brand C</v>
      </c>
      <c r="H846" s="5">
        <v>6000</v>
      </c>
      <c r="I846" s="2">
        <v>5</v>
      </c>
      <c r="J846" s="2">
        <v>5</v>
      </c>
      <c r="K846" s="8">
        <f t="shared" si="78"/>
        <v>30000</v>
      </c>
      <c r="L846" s="8">
        <f t="shared" si="79"/>
        <v>1500</v>
      </c>
      <c r="M846" s="8">
        <f t="shared" si="80"/>
        <v>28500</v>
      </c>
      <c r="N846" s="5">
        <v>0</v>
      </c>
      <c r="O846" s="8">
        <f t="shared" si="81"/>
        <v>28500</v>
      </c>
      <c r="P846" s="2" t="s">
        <v>35</v>
      </c>
      <c r="Q846" s="10" t="str">
        <f>VLOOKUP(A846,Status!A:B,2,0)</f>
        <v>Completed</v>
      </c>
      <c r="R846" s="2" t="s">
        <v>23</v>
      </c>
      <c r="S846" s="2">
        <v>5</v>
      </c>
      <c r="T846" s="2" t="s">
        <v>37</v>
      </c>
      <c r="U846" s="10" t="str">
        <f t="shared" si="83"/>
        <v>Jun</v>
      </c>
      <c r="V846" s="10">
        <f t="shared" si="82"/>
        <v>2025</v>
      </c>
      <c r="W846" t="e" cm="1">
        <f t="array" ref="W846">_xlfn.IFS(U846="January",1,U846="February",2,U846="March",3,U846="April",4,U846="May",5,U846="June",6,U846="July",7,U846="August",8,U846="September",9,U846="October",10,U846="November",11,U846="December",12)</f>
        <v>#N/A</v>
      </c>
    </row>
    <row r="847" spans="1:23" ht="15.75" customHeight="1" x14ac:dyDescent="0.25">
      <c r="A847" s="2" t="s">
        <v>1795</v>
      </c>
      <c r="B847" s="3">
        <v>45817.224178240736</v>
      </c>
      <c r="C847" s="2" t="s">
        <v>1341</v>
      </c>
      <c r="D847" s="2" t="s">
        <v>107</v>
      </c>
      <c r="E847" s="2" t="s">
        <v>144</v>
      </c>
      <c r="F847" s="2" t="str" cm="1">
        <f t="array" ref="F847:G847">_xlfn.TEXTSPLIT(E847," - ")</f>
        <v>Gula Pasir</v>
      </c>
      <c r="G847" s="2" t="str">
        <v>Brand C</v>
      </c>
      <c r="H847" s="5">
        <v>18000</v>
      </c>
      <c r="I847" s="2">
        <v>3</v>
      </c>
      <c r="J847" s="2">
        <v>20</v>
      </c>
      <c r="K847" s="8">
        <f t="shared" si="78"/>
        <v>54000</v>
      </c>
      <c r="L847" s="8">
        <f t="shared" si="79"/>
        <v>10800</v>
      </c>
      <c r="M847" s="8">
        <f t="shared" si="80"/>
        <v>43200</v>
      </c>
      <c r="N847" s="5">
        <v>97000</v>
      </c>
      <c r="O847" s="8">
        <f t="shared" si="81"/>
        <v>140200</v>
      </c>
      <c r="P847" s="2" t="s">
        <v>22</v>
      </c>
      <c r="Q847" s="10" t="str">
        <f>VLOOKUP(A847,Status!A:B,2,0)</f>
        <v>Cancelled</v>
      </c>
      <c r="R847" s="2" t="s">
        <v>23</v>
      </c>
      <c r="S847" s="2">
        <v>2</v>
      </c>
      <c r="T847" s="2" t="s">
        <v>37</v>
      </c>
      <c r="U847" s="10" t="str">
        <f t="shared" si="83"/>
        <v>Jun</v>
      </c>
      <c r="V847" s="10">
        <f t="shared" si="82"/>
        <v>2025</v>
      </c>
      <c r="W847" t="e" cm="1">
        <f t="array" ref="W847">_xlfn.IFS(U847="January",1,U847="February",2,U847="March",3,U847="April",4,U847="May",5,U847="June",6,U847="July",7,U847="August",8,U847="September",9,U847="October",10,U847="November",11,U847="December",12)</f>
        <v>#N/A</v>
      </c>
    </row>
    <row r="848" spans="1:23" ht="15.75" customHeight="1" x14ac:dyDescent="0.25">
      <c r="A848" s="2" t="s">
        <v>1796</v>
      </c>
      <c r="B848" s="3">
        <v>45817.542569444442</v>
      </c>
      <c r="C848" s="2" t="s">
        <v>488</v>
      </c>
      <c r="D848" s="2" t="s">
        <v>49</v>
      </c>
      <c r="E848" s="2" t="s">
        <v>85</v>
      </c>
      <c r="F848" s="2" t="str" cm="1">
        <f t="array" ref="F848:G848">_xlfn.TEXTSPLIT(E848," - ")</f>
        <v>Daging Ayam</v>
      </c>
      <c r="G848" s="2" t="str">
        <v>Brand A</v>
      </c>
      <c r="H848" s="5">
        <v>35000</v>
      </c>
      <c r="I848" s="2">
        <v>4</v>
      </c>
      <c r="J848" s="2">
        <v>20</v>
      </c>
      <c r="K848" s="8">
        <f t="shared" si="78"/>
        <v>140000</v>
      </c>
      <c r="L848" s="8">
        <f t="shared" si="79"/>
        <v>28000</v>
      </c>
      <c r="M848" s="8">
        <f t="shared" si="80"/>
        <v>112000</v>
      </c>
      <c r="N848" s="5">
        <v>43000</v>
      </c>
      <c r="O848" s="8">
        <f t="shared" si="81"/>
        <v>155000</v>
      </c>
      <c r="P848" s="2" t="s">
        <v>35</v>
      </c>
      <c r="Q848" s="10" t="str">
        <f>VLOOKUP(A848,Status!A:B,2,0)</f>
        <v>Returned</v>
      </c>
      <c r="R848" s="2" t="s">
        <v>30</v>
      </c>
      <c r="S848" s="2">
        <v>4</v>
      </c>
      <c r="T848" s="2" t="s">
        <v>24</v>
      </c>
      <c r="U848" s="10" t="str">
        <f t="shared" si="83"/>
        <v>Jun</v>
      </c>
      <c r="V848" s="10">
        <f t="shared" si="82"/>
        <v>2025</v>
      </c>
      <c r="W848" t="e" cm="1">
        <f t="array" ref="W848">_xlfn.IFS(U848="January",1,U848="February",2,U848="March",3,U848="April",4,U848="May",5,U848="June",6,U848="July",7,U848="August",8,U848="September",9,U848="October",10,U848="November",11,U848="December",12)</f>
        <v>#N/A</v>
      </c>
    </row>
    <row r="849" spans="1:23" ht="15.75" customHeight="1" x14ac:dyDescent="0.25">
      <c r="A849" s="2" t="s">
        <v>1797</v>
      </c>
      <c r="B849" s="3">
        <v>45817.726168981477</v>
      </c>
      <c r="C849" s="2" t="s">
        <v>497</v>
      </c>
      <c r="D849" s="2" t="s">
        <v>173</v>
      </c>
      <c r="E849" s="2" t="s">
        <v>136</v>
      </c>
      <c r="F849" s="2" t="str" cm="1">
        <f t="array" ref="F849:G849">_xlfn.TEXTSPLIT(E849," - ")</f>
        <v>Tepung Terigu</v>
      </c>
      <c r="G849" s="2" t="str">
        <v>Brand B</v>
      </c>
      <c r="H849" s="5">
        <v>12000</v>
      </c>
      <c r="I849" s="2">
        <v>1</v>
      </c>
      <c r="J849" s="2">
        <v>15</v>
      </c>
      <c r="K849" s="8">
        <f t="shared" si="78"/>
        <v>12000</v>
      </c>
      <c r="L849" s="8">
        <f t="shared" si="79"/>
        <v>1800</v>
      </c>
      <c r="M849" s="8">
        <f t="shared" si="80"/>
        <v>10200</v>
      </c>
      <c r="N849" s="5">
        <v>49000</v>
      </c>
      <c r="O849" s="8">
        <f t="shared" si="81"/>
        <v>59200</v>
      </c>
      <c r="P849" s="2" t="s">
        <v>35</v>
      </c>
      <c r="Q849" s="10" t="str">
        <f>VLOOKUP(A849,Status!A:B,2,0)</f>
        <v>Returned</v>
      </c>
      <c r="R849" s="2" t="s">
        <v>23</v>
      </c>
      <c r="S849" s="2">
        <v>1</v>
      </c>
      <c r="T849" s="2" t="s">
        <v>37</v>
      </c>
      <c r="U849" s="10" t="str">
        <f t="shared" si="83"/>
        <v>Jun</v>
      </c>
      <c r="V849" s="10">
        <f t="shared" si="82"/>
        <v>2025</v>
      </c>
      <c r="W849" t="e" cm="1">
        <f t="array" ref="W849">_xlfn.IFS(U849="January",1,U849="February",2,U849="March",3,U849="April",4,U849="May",5,U849="June",6,U849="July",7,U849="August",8,U849="September",9,U849="October",10,U849="November",11,U849="December",12)</f>
        <v>#N/A</v>
      </c>
    </row>
    <row r="850" spans="1:23" ht="15.75" customHeight="1" x14ac:dyDescent="0.25">
      <c r="A850" s="2" t="s">
        <v>1798</v>
      </c>
      <c r="B850" s="3">
        <v>45817.732604166667</v>
      </c>
      <c r="C850" s="2" t="s">
        <v>782</v>
      </c>
      <c r="D850" s="2" t="s">
        <v>177</v>
      </c>
      <c r="E850" s="2" t="s">
        <v>104</v>
      </c>
      <c r="F850" s="2" t="str" cm="1">
        <f t="array" ref="F850:G850">_xlfn.TEXTSPLIT(E850," - ")</f>
        <v>Bawang Merah</v>
      </c>
      <c r="G850" s="2" t="str">
        <v>Brand A</v>
      </c>
      <c r="H850" s="5">
        <v>30000</v>
      </c>
      <c r="I850" s="2">
        <v>5</v>
      </c>
      <c r="J850" s="2">
        <v>20</v>
      </c>
      <c r="K850" s="8">
        <f t="shared" si="78"/>
        <v>150000</v>
      </c>
      <c r="L850" s="8">
        <f t="shared" si="79"/>
        <v>30000</v>
      </c>
      <c r="M850" s="8">
        <f t="shared" si="80"/>
        <v>120000</v>
      </c>
      <c r="N850" s="5">
        <v>56000</v>
      </c>
      <c r="O850" s="8">
        <f t="shared" si="81"/>
        <v>176000</v>
      </c>
      <c r="P850" s="2" t="s">
        <v>35</v>
      </c>
      <c r="Q850" s="10" t="str">
        <f>VLOOKUP(A850,Status!A:B,2,0)</f>
        <v>Completed</v>
      </c>
      <c r="R850" s="2" t="s">
        <v>82</v>
      </c>
      <c r="S850" s="2">
        <v>2</v>
      </c>
      <c r="T850" s="2" t="s">
        <v>24</v>
      </c>
      <c r="U850" s="10" t="str">
        <f t="shared" si="83"/>
        <v>Jun</v>
      </c>
      <c r="V850" s="10">
        <f t="shared" si="82"/>
        <v>2025</v>
      </c>
      <c r="W850" t="e" cm="1">
        <f t="array" ref="W850">_xlfn.IFS(U850="January",1,U850="February",2,U850="March",3,U850="April",4,U850="May",5,U850="June",6,U850="July",7,U850="August",8,U850="September",9,U850="October",10,U850="November",11,U850="December",12)</f>
        <v>#N/A</v>
      </c>
    </row>
    <row r="851" spans="1:23" ht="15.75" customHeight="1" x14ac:dyDescent="0.25">
      <c r="A851" s="2" t="s">
        <v>1799</v>
      </c>
      <c r="B851" s="3">
        <v>45817.784768518519</v>
      </c>
      <c r="C851" s="2" t="s">
        <v>1396</v>
      </c>
      <c r="D851" s="2" t="s">
        <v>435</v>
      </c>
      <c r="E851" s="2" t="s">
        <v>67</v>
      </c>
      <c r="F851" s="2" t="str" cm="1">
        <f t="array" ref="F851:G851">_xlfn.TEXTSPLIT(E851," - ")</f>
        <v>Beras</v>
      </c>
      <c r="G851" s="2" t="str">
        <v>Brand B</v>
      </c>
      <c r="H851" s="5">
        <v>15000</v>
      </c>
      <c r="I851" s="2">
        <v>2</v>
      </c>
      <c r="J851" s="2">
        <v>15</v>
      </c>
      <c r="K851" s="8">
        <f t="shared" si="78"/>
        <v>30000</v>
      </c>
      <c r="L851" s="8">
        <f t="shared" si="79"/>
        <v>4500</v>
      </c>
      <c r="M851" s="8">
        <f t="shared" si="80"/>
        <v>25500</v>
      </c>
      <c r="N851" s="5">
        <v>67000</v>
      </c>
      <c r="O851" s="8">
        <f t="shared" si="81"/>
        <v>92500</v>
      </c>
      <c r="P851" s="2" t="s">
        <v>22</v>
      </c>
      <c r="Q851" s="10" t="str">
        <f>VLOOKUP(A851,Status!A:B,2,0)</f>
        <v>Completed</v>
      </c>
      <c r="R851" s="2" t="s">
        <v>36</v>
      </c>
      <c r="S851" s="2">
        <v>4</v>
      </c>
      <c r="T851" s="2" t="s">
        <v>24</v>
      </c>
      <c r="U851" s="10" t="str">
        <f t="shared" si="83"/>
        <v>Jun</v>
      </c>
      <c r="V851" s="10">
        <f t="shared" si="82"/>
        <v>2025</v>
      </c>
      <c r="W851" t="e" cm="1">
        <f t="array" ref="W851">_xlfn.IFS(U851="January",1,U851="February",2,U851="March",3,U851="April",4,U851="May",5,U851="June",6,U851="July",7,U851="August",8,U851="September",9,U851="October",10,U851="November",11,U851="December",12)</f>
        <v>#N/A</v>
      </c>
    </row>
    <row r="852" spans="1:23" ht="15.75" customHeight="1" x14ac:dyDescent="0.25">
      <c r="A852" s="2" t="s">
        <v>1800</v>
      </c>
      <c r="B852" s="3">
        <v>45818.309340277781</v>
      </c>
      <c r="C852" s="2" t="s">
        <v>576</v>
      </c>
      <c r="D852" s="2" t="s">
        <v>57</v>
      </c>
      <c r="E852" s="2" t="s">
        <v>50</v>
      </c>
      <c r="F852" s="2" t="str" cm="1">
        <f t="array" ref="F852:G852">_xlfn.TEXTSPLIT(E852," - ")</f>
        <v>Tepung Terigu</v>
      </c>
      <c r="G852" s="2" t="str">
        <v>Brand C</v>
      </c>
      <c r="H852" s="5">
        <v>14000</v>
      </c>
      <c r="I852" s="2">
        <v>1</v>
      </c>
      <c r="J852" s="2">
        <v>15</v>
      </c>
      <c r="K852" s="8">
        <f t="shared" si="78"/>
        <v>14000</v>
      </c>
      <c r="L852" s="8">
        <f t="shared" si="79"/>
        <v>2100</v>
      </c>
      <c r="M852" s="8">
        <f t="shared" si="80"/>
        <v>11900</v>
      </c>
      <c r="N852" s="5">
        <v>80000</v>
      </c>
      <c r="O852" s="8">
        <f t="shared" si="81"/>
        <v>91900</v>
      </c>
      <c r="P852" s="2" t="s">
        <v>29</v>
      </c>
      <c r="Q852" s="10" t="str">
        <f>VLOOKUP(A852,Status!A:B,2,0)</f>
        <v>Completed</v>
      </c>
      <c r="R852" s="2" t="s">
        <v>23</v>
      </c>
      <c r="S852" s="2">
        <v>1</v>
      </c>
      <c r="T852" s="2" t="s">
        <v>37</v>
      </c>
      <c r="U852" s="10" t="str">
        <f t="shared" si="83"/>
        <v>Jun</v>
      </c>
      <c r="V852" s="10">
        <f t="shared" si="82"/>
        <v>2025</v>
      </c>
      <c r="W852" t="e" cm="1">
        <f t="array" ref="W852">_xlfn.IFS(U852="January",1,U852="February",2,U852="March",3,U852="April",4,U852="May",5,U852="June",6,U852="July",7,U852="August",8,U852="September",9,U852="October",10,U852="November",11,U852="December",12)</f>
        <v>#N/A</v>
      </c>
    </row>
    <row r="853" spans="1:23" ht="15.75" customHeight="1" x14ac:dyDescent="0.25">
      <c r="A853" s="2" t="s">
        <v>1801</v>
      </c>
      <c r="B853" s="3">
        <v>45818.31212962963</v>
      </c>
      <c r="C853" s="2" t="s">
        <v>796</v>
      </c>
      <c r="D853" s="2" t="s">
        <v>119</v>
      </c>
      <c r="E853" s="2" t="s">
        <v>123</v>
      </c>
      <c r="F853" s="2" t="str" cm="1">
        <f t="array" ref="F853:G853">_xlfn.TEXTSPLIT(E853," - ")</f>
        <v>Telur Ayam</v>
      </c>
      <c r="G853" s="2" t="str">
        <v>Brand A</v>
      </c>
      <c r="H853" s="5">
        <v>22000</v>
      </c>
      <c r="I853" s="2">
        <v>1</v>
      </c>
      <c r="J853" s="2">
        <v>15</v>
      </c>
      <c r="K853" s="8">
        <f t="shared" si="78"/>
        <v>22000</v>
      </c>
      <c r="L853" s="8">
        <f t="shared" si="79"/>
        <v>3300</v>
      </c>
      <c r="M853" s="8">
        <f t="shared" si="80"/>
        <v>18700</v>
      </c>
      <c r="N853" s="5">
        <v>0</v>
      </c>
      <c r="O853" s="8">
        <f t="shared" si="81"/>
        <v>18700</v>
      </c>
      <c r="P853" s="2" t="s">
        <v>22</v>
      </c>
      <c r="Q853" s="10" t="str">
        <f>VLOOKUP(A853,Status!A:B,2,0)</f>
        <v>Completed</v>
      </c>
      <c r="R853" s="2" t="s">
        <v>82</v>
      </c>
      <c r="S853" s="2">
        <v>3</v>
      </c>
      <c r="T853" s="2" t="s">
        <v>24</v>
      </c>
      <c r="U853" s="10" t="str">
        <f t="shared" si="83"/>
        <v>Jun</v>
      </c>
      <c r="V853" s="10">
        <f t="shared" si="82"/>
        <v>2025</v>
      </c>
      <c r="W853" t="e" cm="1">
        <f t="array" ref="W853">_xlfn.IFS(U853="January",1,U853="February",2,U853="March",3,U853="April",4,U853="May",5,U853="June",6,U853="July",7,U853="August",8,U853="September",9,U853="October",10,U853="November",11,U853="December",12)</f>
        <v>#N/A</v>
      </c>
    </row>
    <row r="854" spans="1:23" ht="15.75" customHeight="1" x14ac:dyDescent="0.25">
      <c r="A854" s="2" t="s">
        <v>1802</v>
      </c>
      <c r="B854" s="3">
        <v>45818.331041666657</v>
      </c>
      <c r="C854" s="2" t="s">
        <v>596</v>
      </c>
      <c r="D854" s="2" t="s">
        <v>70</v>
      </c>
      <c r="E854" s="2" t="s">
        <v>58</v>
      </c>
      <c r="F854" s="2" t="str" cm="1">
        <f t="array" ref="F854:G854">_xlfn.TEXTSPLIT(E854," - ")</f>
        <v>Gula Pasir</v>
      </c>
      <c r="G854" s="2" t="str">
        <v>Brand A</v>
      </c>
      <c r="H854" s="5">
        <v>16000</v>
      </c>
      <c r="I854" s="2">
        <v>1</v>
      </c>
      <c r="J854" s="2">
        <v>20</v>
      </c>
      <c r="K854" s="8">
        <f t="shared" si="78"/>
        <v>16000</v>
      </c>
      <c r="L854" s="8">
        <f t="shared" si="79"/>
        <v>3200</v>
      </c>
      <c r="M854" s="8">
        <f t="shared" si="80"/>
        <v>12800</v>
      </c>
      <c r="N854" s="5">
        <v>89000</v>
      </c>
      <c r="O854" s="8">
        <f t="shared" si="81"/>
        <v>101800</v>
      </c>
      <c r="P854" s="2" t="s">
        <v>35</v>
      </c>
      <c r="Q854" s="10" t="str">
        <f>VLOOKUP(A854,Status!A:B,2,0)</f>
        <v>Completed</v>
      </c>
      <c r="R854" s="2" t="s">
        <v>46</v>
      </c>
      <c r="S854" s="2">
        <v>5</v>
      </c>
      <c r="T854" s="2" t="s">
        <v>24</v>
      </c>
      <c r="U854" s="10" t="str">
        <f t="shared" si="83"/>
        <v>Jun</v>
      </c>
      <c r="V854" s="10">
        <f t="shared" si="82"/>
        <v>2025</v>
      </c>
      <c r="W854" t="e" cm="1">
        <f t="array" ref="W854">_xlfn.IFS(U854="January",1,U854="February",2,U854="March",3,U854="April",4,U854="May",5,U854="June",6,U854="July",7,U854="August",8,U854="September",9,U854="October",10,U854="November",11,U854="December",12)</f>
        <v>#N/A</v>
      </c>
    </row>
    <row r="855" spans="1:23" ht="15.75" customHeight="1" x14ac:dyDescent="0.25">
      <c r="A855" s="2" t="s">
        <v>1803</v>
      </c>
      <c r="B855" s="3">
        <v>45818.379444444443</v>
      </c>
      <c r="C855" s="2" t="s">
        <v>1792</v>
      </c>
      <c r="D855" s="2" t="s">
        <v>49</v>
      </c>
      <c r="E855" s="2" t="s">
        <v>62</v>
      </c>
      <c r="F855" s="2" t="str" cm="1">
        <f t="array" ref="F855:G855">_xlfn.TEXTSPLIT(E855," - ")</f>
        <v>Susu Bubuk</v>
      </c>
      <c r="G855" s="2" t="str">
        <v>Brand B</v>
      </c>
      <c r="H855" s="5">
        <v>50000</v>
      </c>
      <c r="I855" s="2">
        <v>1</v>
      </c>
      <c r="J855" s="2">
        <v>0</v>
      </c>
      <c r="K855" s="8">
        <f t="shared" si="78"/>
        <v>50000</v>
      </c>
      <c r="L855" s="8">
        <f t="shared" si="79"/>
        <v>0</v>
      </c>
      <c r="M855" s="8">
        <f t="shared" si="80"/>
        <v>50000</v>
      </c>
      <c r="N855" s="5">
        <v>43000</v>
      </c>
      <c r="O855" s="8">
        <f t="shared" si="81"/>
        <v>93000</v>
      </c>
      <c r="P855" s="2" t="s">
        <v>29</v>
      </c>
      <c r="Q855" s="10" t="str">
        <f>VLOOKUP(A855,Status!A:B,2,0)</f>
        <v>Completed</v>
      </c>
      <c r="R855" s="2" t="s">
        <v>23</v>
      </c>
      <c r="S855" s="2">
        <v>3</v>
      </c>
      <c r="T855" s="2" t="s">
        <v>37</v>
      </c>
      <c r="U855" s="10" t="str">
        <f t="shared" si="83"/>
        <v>Jun</v>
      </c>
      <c r="V855" s="10">
        <f t="shared" si="82"/>
        <v>2025</v>
      </c>
      <c r="W855" t="e" cm="1">
        <f t="array" ref="W855">_xlfn.IFS(U855="January",1,U855="February",2,U855="March",3,U855="April",4,U855="May",5,U855="June",6,U855="July",7,U855="August",8,U855="September",9,U855="October",10,U855="November",11,U855="December",12)</f>
        <v>#N/A</v>
      </c>
    </row>
    <row r="856" spans="1:23" ht="15.75" customHeight="1" x14ac:dyDescent="0.25">
      <c r="A856" s="2" t="s">
        <v>1804</v>
      </c>
      <c r="B856" s="3">
        <v>45818.464212962957</v>
      </c>
      <c r="C856" s="2" t="s">
        <v>649</v>
      </c>
      <c r="D856" s="2" t="s">
        <v>177</v>
      </c>
      <c r="E856" s="2" t="s">
        <v>81</v>
      </c>
      <c r="F856" s="2" t="str" cm="1">
        <f t="array" ref="F856:G856">_xlfn.TEXTSPLIT(E856," - ")</f>
        <v>Minyak Goreng</v>
      </c>
      <c r="G856" s="2" t="str">
        <v>Brand B</v>
      </c>
      <c r="H856" s="5">
        <v>17000</v>
      </c>
      <c r="I856" s="2">
        <v>2</v>
      </c>
      <c r="J856" s="2">
        <v>0</v>
      </c>
      <c r="K856" s="8">
        <f t="shared" si="78"/>
        <v>34000</v>
      </c>
      <c r="L856" s="8">
        <f t="shared" si="79"/>
        <v>0</v>
      </c>
      <c r="M856" s="8">
        <f t="shared" si="80"/>
        <v>34000</v>
      </c>
      <c r="N856" s="5">
        <v>56000</v>
      </c>
      <c r="O856" s="8">
        <f t="shared" si="81"/>
        <v>90000</v>
      </c>
      <c r="P856" s="2" t="s">
        <v>29</v>
      </c>
      <c r="Q856" s="10" t="str">
        <f>VLOOKUP(A856,Status!A:B,2,0)</f>
        <v>Completed</v>
      </c>
      <c r="R856" s="2" t="s">
        <v>36</v>
      </c>
      <c r="S856" s="2">
        <v>2</v>
      </c>
      <c r="T856" s="2" t="s">
        <v>24</v>
      </c>
      <c r="U856" s="10" t="str">
        <f t="shared" si="83"/>
        <v>Jun</v>
      </c>
      <c r="V856" s="10">
        <f t="shared" si="82"/>
        <v>2025</v>
      </c>
      <c r="W856" t="e" cm="1">
        <f t="array" ref="W856">_xlfn.IFS(U856="January",1,U856="February",2,U856="March",3,U856="April",4,U856="May",5,U856="June",6,U856="July",7,U856="August",8,U856="September",9,U856="October",10,U856="November",11,U856="December",12)</f>
        <v>#N/A</v>
      </c>
    </row>
    <row r="857" spans="1:23" ht="15.75" customHeight="1" x14ac:dyDescent="0.25">
      <c r="A857" s="2" t="s">
        <v>1805</v>
      </c>
      <c r="B857" s="3">
        <v>45818.487604166658</v>
      </c>
      <c r="C857" s="2" t="s">
        <v>1382</v>
      </c>
      <c r="D857" s="2" t="s">
        <v>74</v>
      </c>
      <c r="E857" s="2" t="s">
        <v>93</v>
      </c>
      <c r="F857" s="2" t="str" cm="1">
        <f t="array" ref="F857:G857">_xlfn.TEXTSPLIT(E857," - ")</f>
        <v>Telur Ayam</v>
      </c>
      <c r="G857" s="2" t="str">
        <v>Brand B</v>
      </c>
      <c r="H857" s="5">
        <v>25000</v>
      </c>
      <c r="I857" s="2">
        <v>4</v>
      </c>
      <c r="J857" s="2">
        <v>5</v>
      </c>
      <c r="K857" s="8">
        <f t="shared" si="78"/>
        <v>100000</v>
      </c>
      <c r="L857" s="8">
        <f t="shared" si="79"/>
        <v>5000</v>
      </c>
      <c r="M857" s="8">
        <f t="shared" si="80"/>
        <v>95000</v>
      </c>
      <c r="N857" s="5">
        <v>87000</v>
      </c>
      <c r="O857" s="8">
        <f t="shared" si="81"/>
        <v>182000</v>
      </c>
      <c r="P857" s="2" t="s">
        <v>29</v>
      </c>
      <c r="Q857" s="10" t="str">
        <f>VLOOKUP(A857,Status!A:B,2,0)</f>
        <v>Completed</v>
      </c>
      <c r="R857" s="2" t="s">
        <v>30</v>
      </c>
      <c r="S857" s="2">
        <v>3</v>
      </c>
      <c r="T857" s="2" t="s">
        <v>24</v>
      </c>
      <c r="U857" s="10" t="str">
        <f t="shared" si="83"/>
        <v>Jun</v>
      </c>
      <c r="V857" s="10">
        <f t="shared" si="82"/>
        <v>2025</v>
      </c>
      <c r="W857" t="e" cm="1">
        <f t="array" ref="W857">_xlfn.IFS(U857="January",1,U857="February",2,U857="March",3,U857="April",4,U857="May",5,U857="June",6,U857="July",7,U857="August",8,U857="September",9,U857="October",10,U857="November",11,U857="December",12)</f>
        <v>#N/A</v>
      </c>
    </row>
    <row r="858" spans="1:23" ht="15.75" customHeight="1" x14ac:dyDescent="0.25">
      <c r="A858" s="2" t="s">
        <v>1806</v>
      </c>
      <c r="B858" s="3">
        <v>45818.517754629633</v>
      </c>
      <c r="C858" s="2" t="s">
        <v>1317</v>
      </c>
      <c r="D858" s="2" t="s">
        <v>113</v>
      </c>
      <c r="E858" s="2" t="s">
        <v>85</v>
      </c>
      <c r="F858" s="2" t="str" cm="1">
        <f t="array" ref="F858:G858">_xlfn.TEXTSPLIT(E858," - ")</f>
        <v>Daging Ayam</v>
      </c>
      <c r="G858" s="2" t="str">
        <v>Brand A</v>
      </c>
      <c r="H858" s="5">
        <v>35000</v>
      </c>
      <c r="I858" s="2">
        <v>1</v>
      </c>
      <c r="J858" s="2">
        <v>10</v>
      </c>
      <c r="K858" s="8">
        <f t="shared" si="78"/>
        <v>35000</v>
      </c>
      <c r="L858" s="8">
        <f t="shared" si="79"/>
        <v>3500</v>
      </c>
      <c r="M858" s="8">
        <f t="shared" si="80"/>
        <v>31500</v>
      </c>
      <c r="N858" s="5">
        <v>18000</v>
      </c>
      <c r="O858" s="8">
        <f t="shared" si="81"/>
        <v>49500</v>
      </c>
      <c r="P858" s="2" t="s">
        <v>29</v>
      </c>
      <c r="Q858" s="10" t="str">
        <f>VLOOKUP(A858,Status!A:B,2,0)</f>
        <v>Completed</v>
      </c>
      <c r="R858" s="2" t="s">
        <v>36</v>
      </c>
      <c r="S858" s="2">
        <v>5</v>
      </c>
      <c r="T858" s="2" t="s">
        <v>37</v>
      </c>
      <c r="U858" s="10" t="str">
        <f t="shared" si="83"/>
        <v>Jun</v>
      </c>
      <c r="V858" s="10">
        <f t="shared" si="82"/>
        <v>2025</v>
      </c>
      <c r="W858" t="e" cm="1">
        <f t="array" ref="W858">_xlfn.IFS(U858="January",1,U858="February",2,U858="March",3,U858="April",4,U858="May",5,U858="June",6,U858="July",7,U858="August",8,U858="September",9,U858="October",10,U858="November",11,U858="December",12)</f>
        <v>#N/A</v>
      </c>
    </row>
    <row r="859" spans="1:23" ht="15.75" customHeight="1" x14ac:dyDescent="0.25">
      <c r="A859" s="2" t="s">
        <v>1807</v>
      </c>
      <c r="B859" s="3">
        <v>45818.542754629627</v>
      </c>
      <c r="C859" s="2" t="s">
        <v>1808</v>
      </c>
      <c r="D859" s="2" t="s">
        <v>80</v>
      </c>
      <c r="E859" s="2" t="s">
        <v>67</v>
      </c>
      <c r="F859" s="2" t="str" cm="1">
        <f t="array" ref="F859:G859">_xlfn.TEXTSPLIT(E859," - ")</f>
        <v>Beras</v>
      </c>
      <c r="G859" s="2" t="str">
        <v>Brand B</v>
      </c>
      <c r="H859" s="5">
        <v>15000</v>
      </c>
      <c r="I859" s="2">
        <v>5</v>
      </c>
      <c r="J859" s="2">
        <v>10</v>
      </c>
      <c r="K859" s="8">
        <f t="shared" si="78"/>
        <v>75000</v>
      </c>
      <c r="L859" s="8">
        <f t="shared" si="79"/>
        <v>7500</v>
      </c>
      <c r="M859" s="8">
        <f t="shared" si="80"/>
        <v>67500</v>
      </c>
      <c r="N859" s="5">
        <v>74000</v>
      </c>
      <c r="O859" s="8">
        <f t="shared" si="81"/>
        <v>141500</v>
      </c>
      <c r="P859" s="2" t="s">
        <v>22</v>
      </c>
      <c r="Q859" s="10" t="str">
        <f>VLOOKUP(A859,Status!A:B,2,0)</f>
        <v>Completed</v>
      </c>
      <c r="R859" s="2" t="s">
        <v>23</v>
      </c>
      <c r="S859" s="2">
        <v>3</v>
      </c>
      <c r="T859" s="2" t="s">
        <v>24</v>
      </c>
      <c r="U859" s="10" t="str">
        <f t="shared" si="83"/>
        <v>Jun</v>
      </c>
      <c r="V859" s="10">
        <f t="shared" si="82"/>
        <v>2025</v>
      </c>
      <c r="W859" t="e" cm="1">
        <f t="array" ref="W859">_xlfn.IFS(U859="January",1,U859="February",2,U859="March",3,U859="April",4,U859="May",5,U859="June",6,U859="July",7,U859="August",8,U859="September",9,U859="October",10,U859="November",11,U859="December",12)</f>
        <v>#N/A</v>
      </c>
    </row>
    <row r="860" spans="1:23" ht="15.75" customHeight="1" x14ac:dyDescent="0.25">
      <c r="A860" s="2" t="s">
        <v>1807</v>
      </c>
      <c r="B860" s="3">
        <v>45818.542754629627</v>
      </c>
      <c r="C860" s="2" t="s">
        <v>1808</v>
      </c>
      <c r="D860" s="2" t="s">
        <v>80</v>
      </c>
      <c r="E860" s="2" t="s">
        <v>93</v>
      </c>
      <c r="F860" s="2" t="str" cm="1">
        <f t="array" ref="F860:G860">_xlfn.TEXTSPLIT(E860," - ")</f>
        <v>Telur Ayam</v>
      </c>
      <c r="G860" s="2" t="str">
        <v>Brand B</v>
      </c>
      <c r="H860" s="5">
        <v>25000</v>
      </c>
      <c r="I860" s="2">
        <v>4</v>
      </c>
      <c r="J860" s="2">
        <v>20</v>
      </c>
      <c r="K860" s="8">
        <f t="shared" si="78"/>
        <v>100000</v>
      </c>
      <c r="L860" s="8">
        <f t="shared" si="79"/>
        <v>20000</v>
      </c>
      <c r="M860" s="8">
        <f t="shared" si="80"/>
        <v>80000</v>
      </c>
      <c r="N860" s="5">
        <v>0</v>
      </c>
      <c r="O860" s="8">
        <f t="shared" si="81"/>
        <v>80000</v>
      </c>
      <c r="P860" s="2" t="s">
        <v>22</v>
      </c>
      <c r="Q860" s="10" t="str">
        <f>VLOOKUP(A860,Status!A:B,2,0)</f>
        <v>Completed</v>
      </c>
      <c r="R860" s="2" t="s">
        <v>23</v>
      </c>
      <c r="S860" s="2">
        <v>3</v>
      </c>
      <c r="T860" s="2" t="s">
        <v>24</v>
      </c>
      <c r="U860" s="10" t="str">
        <f t="shared" si="83"/>
        <v>Jun</v>
      </c>
      <c r="V860" s="10">
        <f t="shared" si="82"/>
        <v>2025</v>
      </c>
      <c r="W860" t="e" cm="1">
        <f t="array" ref="W860">_xlfn.IFS(U860="January",1,U860="February",2,U860="March",3,U860="April",4,U860="May",5,U860="June",6,U860="July",7,U860="August",8,U860="September",9,U860="October",10,U860="November",11,U860="December",12)</f>
        <v>#N/A</v>
      </c>
    </row>
    <row r="861" spans="1:23" ht="15.75" customHeight="1" x14ac:dyDescent="0.25">
      <c r="A861" s="2" t="s">
        <v>1809</v>
      </c>
      <c r="B861" s="3">
        <v>45819.572233796287</v>
      </c>
      <c r="C861" s="2" t="s">
        <v>513</v>
      </c>
      <c r="D861" s="2" t="s">
        <v>182</v>
      </c>
      <c r="E861" s="2" t="s">
        <v>138</v>
      </c>
      <c r="F861" s="2" t="str" cm="1">
        <f t="array" ref="F861:G861">_xlfn.TEXTSPLIT(E861," - ")</f>
        <v>Gula Pasir</v>
      </c>
      <c r="G861" s="2" t="str">
        <v>Brand B</v>
      </c>
      <c r="H861" s="5">
        <v>17000</v>
      </c>
      <c r="I861" s="2">
        <v>5</v>
      </c>
      <c r="J861" s="2">
        <v>5</v>
      </c>
      <c r="K861" s="8">
        <f t="shared" si="78"/>
        <v>85000</v>
      </c>
      <c r="L861" s="8">
        <f t="shared" si="79"/>
        <v>4250</v>
      </c>
      <c r="M861" s="8">
        <f t="shared" si="80"/>
        <v>80750</v>
      </c>
      <c r="N861" s="5">
        <v>48000</v>
      </c>
      <c r="O861" s="8">
        <f t="shared" si="81"/>
        <v>128750</v>
      </c>
      <c r="P861" s="2" t="s">
        <v>63</v>
      </c>
      <c r="Q861" s="10" t="str">
        <f>VLOOKUP(A861,Status!A:B,2,0)</f>
        <v>Returned</v>
      </c>
      <c r="R861" s="2" t="s">
        <v>46</v>
      </c>
      <c r="S861" s="2">
        <v>2</v>
      </c>
      <c r="T861" s="2" t="s">
        <v>24</v>
      </c>
      <c r="U861" s="10" t="str">
        <f t="shared" si="83"/>
        <v>Jun</v>
      </c>
      <c r="V861" s="10">
        <f t="shared" si="82"/>
        <v>2025</v>
      </c>
      <c r="W861" t="e" cm="1">
        <f t="array" ref="W861">_xlfn.IFS(U861="January",1,U861="February",2,U861="March",3,U861="April",4,U861="May",5,U861="June",6,U861="July",7,U861="August",8,U861="September",9,U861="October",10,U861="November",11,U861="December",12)</f>
        <v>#N/A</v>
      </c>
    </row>
    <row r="862" spans="1:23" ht="15.75" customHeight="1" x14ac:dyDescent="0.25">
      <c r="A862" s="2" t="s">
        <v>1810</v>
      </c>
      <c r="B862" s="3">
        <v>45819.749537037038</v>
      </c>
      <c r="C862" s="2" t="s">
        <v>121</v>
      </c>
      <c r="D862" s="2" t="s">
        <v>122</v>
      </c>
      <c r="E862" s="2" t="s">
        <v>88</v>
      </c>
      <c r="F862" s="2" t="str" cm="1">
        <f t="array" ref="F862:G862">_xlfn.TEXTSPLIT(E862," - ")</f>
        <v>Beras</v>
      </c>
      <c r="G862" s="2" t="str">
        <v>Brand A</v>
      </c>
      <c r="H862" s="5">
        <v>14000</v>
      </c>
      <c r="I862" s="2">
        <v>2</v>
      </c>
      <c r="J862" s="2">
        <v>10</v>
      </c>
      <c r="K862" s="8">
        <f t="shared" si="78"/>
        <v>28000</v>
      </c>
      <c r="L862" s="8">
        <f t="shared" si="79"/>
        <v>2800</v>
      </c>
      <c r="M862" s="8">
        <f t="shared" si="80"/>
        <v>25200</v>
      </c>
      <c r="N862" s="5">
        <v>78000</v>
      </c>
      <c r="O862" s="8">
        <f t="shared" si="81"/>
        <v>103200</v>
      </c>
      <c r="P862" s="2" t="s">
        <v>63</v>
      </c>
      <c r="Q862" s="10" t="str">
        <f>VLOOKUP(A862,Status!A:B,2,0)</f>
        <v>Completed</v>
      </c>
      <c r="R862" s="2" t="s">
        <v>46</v>
      </c>
      <c r="S862" s="2">
        <v>4</v>
      </c>
      <c r="T862" s="2" t="s">
        <v>24</v>
      </c>
      <c r="U862" s="10" t="str">
        <f t="shared" si="83"/>
        <v>Jun</v>
      </c>
      <c r="V862" s="10">
        <f t="shared" si="82"/>
        <v>2025</v>
      </c>
      <c r="W862" t="e" cm="1">
        <f t="array" ref="W862">_xlfn.IFS(U862="January",1,U862="February",2,U862="March",3,U862="April",4,U862="May",5,U862="June",6,U862="July",7,U862="August",8,U862="September",9,U862="October",10,U862="November",11,U862="December",12)</f>
        <v>#N/A</v>
      </c>
    </row>
    <row r="863" spans="1:23" ht="15.75" customHeight="1" x14ac:dyDescent="0.25">
      <c r="A863" s="2" t="s">
        <v>1811</v>
      </c>
      <c r="B863" s="3">
        <v>45819.857245370367</v>
      </c>
      <c r="C863" s="2" t="s">
        <v>1530</v>
      </c>
      <c r="D863" s="2" t="s">
        <v>122</v>
      </c>
      <c r="E863" s="2" t="s">
        <v>62</v>
      </c>
      <c r="F863" s="2" t="str" cm="1">
        <f t="array" ref="F863:G863">_xlfn.TEXTSPLIT(E863," - ")</f>
        <v>Susu Bubuk</v>
      </c>
      <c r="G863" s="2" t="str">
        <v>Brand B</v>
      </c>
      <c r="H863" s="5">
        <v>50000</v>
      </c>
      <c r="I863" s="2">
        <v>3</v>
      </c>
      <c r="J863" s="2">
        <v>20</v>
      </c>
      <c r="K863" s="8">
        <f t="shared" si="78"/>
        <v>150000</v>
      </c>
      <c r="L863" s="8">
        <f t="shared" si="79"/>
        <v>30000</v>
      </c>
      <c r="M863" s="8">
        <f t="shared" si="80"/>
        <v>120000</v>
      </c>
      <c r="N863" s="5">
        <v>78000</v>
      </c>
      <c r="O863" s="8">
        <f t="shared" si="81"/>
        <v>198000</v>
      </c>
      <c r="P863" s="2" t="s">
        <v>22</v>
      </c>
      <c r="Q863" s="10" t="str">
        <f>VLOOKUP(A863,Status!A:B,2,0)</f>
        <v>Completed</v>
      </c>
      <c r="R863" s="2" t="s">
        <v>46</v>
      </c>
      <c r="S863" s="2">
        <v>4</v>
      </c>
      <c r="T863" s="2" t="s">
        <v>24</v>
      </c>
      <c r="U863" s="10" t="str">
        <f t="shared" si="83"/>
        <v>Jun</v>
      </c>
      <c r="V863" s="10">
        <f t="shared" si="82"/>
        <v>2025</v>
      </c>
      <c r="W863" t="e" cm="1">
        <f t="array" ref="W863">_xlfn.IFS(U863="January",1,U863="February",2,U863="March",3,U863="April",4,U863="May",5,U863="June",6,U863="July",7,U863="August",8,U863="September",9,U863="October",10,U863="November",11,U863="December",12)</f>
        <v>#N/A</v>
      </c>
    </row>
    <row r="864" spans="1:23" ht="15.75" customHeight="1" x14ac:dyDescent="0.25">
      <c r="A864" s="2" t="s">
        <v>1812</v>
      </c>
      <c r="B864" s="3">
        <v>45820.31050925926</v>
      </c>
      <c r="C864" s="2" t="s">
        <v>271</v>
      </c>
      <c r="D864" s="2" t="s">
        <v>49</v>
      </c>
      <c r="E864" s="2" t="s">
        <v>81</v>
      </c>
      <c r="F864" s="2" t="str" cm="1">
        <f t="array" ref="F864:G864">_xlfn.TEXTSPLIT(E864," - ")</f>
        <v>Minyak Goreng</v>
      </c>
      <c r="G864" s="2" t="str">
        <v>Brand B</v>
      </c>
      <c r="H864" s="5">
        <v>17000</v>
      </c>
      <c r="I864" s="2">
        <v>1</v>
      </c>
      <c r="J864" s="2">
        <v>5</v>
      </c>
      <c r="K864" s="8">
        <f t="shared" si="78"/>
        <v>17000</v>
      </c>
      <c r="L864" s="8">
        <f t="shared" si="79"/>
        <v>850</v>
      </c>
      <c r="M864" s="8">
        <f t="shared" si="80"/>
        <v>16150</v>
      </c>
      <c r="N864" s="5">
        <v>43000</v>
      </c>
      <c r="O864" s="8">
        <f t="shared" si="81"/>
        <v>59150</v>
      </c>
      <c r="P864" s="2" t="s">
        <v>22</v>
      </c>
      <c r="Q864" s="10" t="str">
        <f>VLOOKUP(A864,Status!A:B,2,0)</f>
        <v>Completed</v>
      </c>
      <c r="R864" s="2" t="s">
        <v>36</v>
      </c>
      <c r="S864" s="2">
        <v>5</v>
      </c>
      <c r="T864" s="2" t="s">
        <v>24</v>
      </c>
      <c r="U864" s="10" t="str">
        <f t="shared" si="83"/>
        <v>Jun</v>
      </c>
      <c r="V864" s="10">
        <f t="shared" si="82"/>
        <v>2025</v>
      </c>
      <c r="W864" t="e" cm="1">
        <f t="array" ref="W864">_xlfn.IFS(U864="January",1,U864="February",2,U864="March",3,U864="April",4,U864="May",5,U864="June",6,U864="July",7,U864="August",8,U864="September",9,U864="October",10,U864="November",11,U864="December",12)</f>
        <v>#N/A</v>
      </c>
    </row>
    <row r="865" spans="1:23" ht="15.75" customHeight="1" x14ac:dyDescent="0.25">
      <c r="A865" s="2" t="s">
        <v>1813</v>
      </c>
      <c r="B865" s="3">
        <v>45820.340925925928</v>
      </c>
      <c r="C865" s="2" t="s">
        <v>381</v>
      </c>
      <c r="D865" s="2" t="s">
        <v>103</v>
      </c>
      <c r="E865" s="2" t="s">
        <v>34</v>
      </c>
      <c r="F865" s="2" t="str" cm="1">
        <f t="array" ref="F865:G865">_xlfn.TEXTSPLIT(E865," - ")</f>
        <v>Minyak Goreng</v>
      </c>
      <c r="G865" s="2" t="str">
        <v>Brand A</v>
      </c>
      <c r="H865" s="5">
        <v>16000</v>
      </c>
      <c r="I865" s="2">
        <v>3</v>
      </c>
      <c r="J865" s="2">
        <v>5</v>
      </c>
      <c r="K865" s="8">
        <f t="shared" si="78"/>
        <v>48000</v>
      </c>
      <c r="L865" s="8">
        <f t="shared" si="79"/>
        <v>2400</v>
      </c>
      <c r="M865" s="8">
        <f t="shared" si="80"/>
        <v>45600</v>
      </c>
      <c r="N865" s="5">
        <v>85000</v>
      </c>
      <c r="O865" s="8">
        <f t="shared" si="81"/>
        <v>130600</v>
      </c>
      <c r="P865" s="2" t="s">
        <v>22</v>
      </c>
      <c r="Q865" s="10" t="str">
        <f>VLOOKUP(A865,Status!A:B,2,0)</f>
        <v>Cancelled</v>
      </c>
      <c r="R865" s="2" t="s">
        <v>36</v>
      </c>
      <c r="S865" s="2">
        <v>4</v>
      </c>
      <c r="T865" s="2" t="s">
        <v>24</v>
      </c>
      <c r="U865" s="10" t="str">
        <f t="shared" si="83"/>
        <v>Jun</v>
      </c>
      <c r="V865" s="10">
        <f t="shared" si="82"/>
        <v>2025</v>
      </c>
      <c r="W865" t="e" cm="1">
        <f t="array" ref="W865">_xlfn.IFS(U865="January",1,U865="February",2,U865="March",3,U865="April",4,U865="May",5,U865="June",6,U865="July",7,U865="August",8,U865="September",9,U865="October",10,U865="November",11,U865="December",12)</f>
        <v>#N/A</v>
      </c>
    </row>
    <row r="866" spans="1:23" ht="15.75" customHeight="1" x14ac:dyDescent="0.25">
      <c r="A866" s="2" t="s">
        <v>1814</v>
      </c>
      <c r="B866" s="3">
        <v>45820.356620370367</v>
      </c>
      <c r="C866" s="2" t="s">
        <v>48</v>
      </c>
      <c r="D866" s="2" t="s">
        <v>49</v>
      </c>
      <c r="E866" s="2" t="s">
        <v>34</v>
      </c>
      <c r="F866" s="2" t="str" cm="1">
        <f t="array" ref="F866:G866">_xlfn.TEXTSPLIT(E866," - ")</f>
        <v>Minyak Goreng</v>
      </c>
      <c r="G866" s="2" t="str">
        <v>Brand A</v>
      </c>
      <c r="H866" s="5">
        <v>16000</v>
      </c>
      <c r="I866" s="2">
        <v>4</v>
      </c>
      <c r="J866" s="2">
        <v>10</v>
      </c>
      <c r="K866" s="8">
        <f t="shared" si="78"/>
        <v>64000</v>
      </c>
      <c r="L866" s="8">
        <f t="shared" si="79"/>
        <v>6400</v>
      </c>
      <c r="M866" s="8">
        <f t="shared" si="80"/>
        <v>57600</v>
      </c>
      <c r="N866" s="5">
        <v>43000</v>
      </c>
      <c r="O866" s="8">
        <f t="shared" si="81"/>
        <v>100600</v>
      </c>
      <c r="P866" s="2" t="s">
        <v>35</v>
      </c>
      <c r="Q866" s="10" t="str">
        <f>VLOOKUP(A866,Status!A:B,2,0)</f>
        <v>Completed</v>
      </c>
      <c r="R866" s="2" t="s">
        <v>36</v>
      </c>
      <c r="S866" s="2">
        <v>3</v>
      </c>
      <c r="T866" s="2" t="s">
        <v>24</v>
      </c>
      <c r="U866" s="10" t="str">
        <f t="shared" si="83"/>
        <v>Jun</v>
      </c>
      <c r="V866" s="10">
        <f t="shared" si="82"/>
        <v>2025</v>
      </c>
      <c r="W866" t="e" cm="1">
        <f t="array" ref="W866">_xlfn.IFS(U866="January",1,U866="February",2,U866="March",3,U866="April",4,U866="May",5,U866="June",6,U866="July",7,U866="August",8,U866="September",9,U866="October",10,U866="November",11,U866="December",12)</f>
        <v>#N/A</v>
      </c>
    </row>
    <row r="867" spans="1:23" ht="15.75" customHeight="1" x14ac:dyDescent="0.25">
      <c r="A867" s="2" t="s">
        <v>1815</v>
      </c>
      <c r="B867" s="3">
        <v>45820.480416666673</v>
      </c>
      <c r="C867" s="2" t="s">
        <v>394</v>
      </c>
      <c r="D867" s="2" t="s">
        <v>53</v>
      </c>
      <c r="E867" s="2" t="s">
        <v>190</v>
      </c>
      <c r="F867" s="2" t="str" cm="1">
        <f t="array" ref="F867:G867">_xlfn.TEXTSPLIT(E867," - ")</f>
        <v>Bawang Merah</v>
      </c>
      <c r="G867" s="2" t="str">
        <v>Brand B</v>
      </c>
      <c r="H867" s="5">
        <v>35000</v>
      </c>
      <c r="I867" s="2">
        <v>2</v>
      </c>
      <c r="J867" s="2">
        <v>20</v>
      </c>
      <c r="K867" s="8">
        <f t="shared" si="78"/>
        <v>70000</v>
      </c>
      <c r="L867" s="8">
        <f t="shared" si="79"/>
        <v>14000</v>
      </c>
      <c r="M867" s="8">
        <f t="shared" si="80"/>
        <v>56000</v>
      </c>
      <c r="N867" s="5">
        <v>18000</v>
      </c>
      <c r="O867" s="8">
        <f t="shared" si="81"/>
        <v>74000</v>
      </c>
      <c r="P867" s="2" t="s">
        <v>29</v>
      </c>
      <c r="Q867" s="10" t="str">
        <f>VLOOKUP(A867,Status!A:B,2,0)</f>
        <v>Completed</v>
      </c>
      <c r="R867" s="2" t="s">
        <v>23</v>
      </c>
      <c r="S867" s="2">
        <v>2</v>
      </c>
      <c r="T867" s="2" t="s">
        <v>24</v>
      </c>
      <c r="U867" s="10" t="str">
        <f t="shared" si="83"/>
        <v>Jun</v>
      </c>
      <c r="V867" s="10">
        <f t="shared" si="82"/>
        <v>2025</v>
      </c>
      <c r="W867" t="e" cm="1">
        <f t="array" ref="W867">_xlfn.IFS(U867="January",1,U867="February",2,U867="March",3,U867="April",4,U867="May",5,U867="June",6,U867="July",7,U867="August",8,U867="September",9,U867="October",10,U867="November",11,U867="December",12)</f>
        <v>#N/A</v>
      </c>
    </row>
    <row r="868" spans="1:23" ht="15.75" customHeight="1" x14ac:dyDescent="0.25">
      <c r="A868" s="2" t="s">
        <v>1816</v>
      </c>
      <c r="B868" s="3">
        <v>45820.572245370371</v>
      </c>
      <c r="C868" s="2" t="s">
        <v>851</v>
      </c>
      <c r="D868" s="2" t="s">
        <v>66</v>
      </c>
      <c r="E868" s="2" t="s">
        <v>38</v>
      </c>
      <c r="F868" s="2" t="str" cm="1">
        <f t="array" ref="F868:G868">_xlfn.TEXTSPLIT(E868," - ")</f>
        <v>Telur Ayam</v>
      </c>
      <c r="G868" s="2" t="str">
        <v>Brand C</v>
      </c>
      <c r="H868" s="5">
        <v>28000</v>
      </c>
      <c r="I868" s="2">
        <v>5</v>
      </c>
      <c r="J868" s="2">
        <v>20</v>
      </c>
      <c r="K868" s="8">
        <f t="shared" si="78"/>
        <v>140000</v>
      </c>
      <c r="L868" s="8">
        <f t="shared" si="79"/>
        <v>28000</v>
      </c>
      <c r="M868" s="8">
        <f t="shared" si="80"/>
        <v>112000</v>
      </c>
      <c r="N868" s="5">
        <v>59000</v>
      </c>
      <c r="O868" s="8">
        <f t="shared" si="81"/>
        <v>171000</v>
      </c>
      <c r="P868" s="2" t="s">
        <v>29</v>
      </c>
      <c r="Q868" s="10" t="str">
        <f>VLOOKUP(A868,Status!A:B,2,0)</f>
        <v>Completed</v>
      </c>
      <c r="R868" s="2" t="s">
        <v>30</v>
      </c>
      <c r="S868" s="2">
        <v>3</v>
      </c>
      <c r="T868" s="2" t="s">
        <v>37</v>
      </c>
      <c r="U868" s="10" t="str">
        <f t="shared" si="83"/>
        <v>Jun</v>
      </c>
      <c r="V868" s="10">
        <f t="shared" si="82"/>
        <v>2025</v>
      </c>
      <c r="W868" t="e" cm="1">
        <f t="array" ref="W868">_xlfn.IFS(U868="January",1,U868="February",2,U868="March",3,U868="April",4,U868="May",5,U868="June",6,U868="July",7,U868="August",8,U868="September",9,U868="October",10,U868="November",11,U868="December",12)</f>
        <v>#N/A</v>
      </c>
    </row>
    <row r="869" spans="1:23" ht="15.75" customHeight="1" x14ac:dyDescent="0.25">
      <c r="A869" s="2" t="s">
        <v>1817</v>
      </c>
      <c r="B869" s="3">
        <v>45820.794479166667</v>
      </c>
      <c r="C869" s="2" t="s">
        <v>729</v>
      </c>
      <c r="D869" s="2" t="s">
        <v>74</v>
      </c>
      <c r="E869" s="2" t="s">
        <v>186</v>
      </c>
      <c r="F869" s="2" t="str" cm="1">
        <f t="array" ref="F869:G869">_xlfn.TEXTSPLIT(E869," - ")</f>
        <v>Susu Bubuk</v>
      </c>
      <c r="G869" s="2" t="str">
        <v>Brand A</v>
      </c>
      <c r="H869" s="5">
        <v>45000</v>
      </c>
      <c r="I869" s="2">
        <v>1</v>
      </c>
      <c r="J869" s="2">
        <v>15</v>
      </c>
      <c r="K869" s="8">
        <f t="shared" si="78"/>
        <v>45000</v>
      </c>
      <c r="L869" s="8">
        <f t="shared" si="79"/>
        <v>6750</v>
      </c>
      <c r="M869" s="8">
        <f t="shared" si="80"/>
        <v>38250</v>
      </c>
      <c r="N869" s="5">
        <v>87000</v>
      </c>
      <c r="O869" s="8">
        <f t="shared" si="81"/>
        <v>125250</v>
      </c>
      <c r="P869" s="2" t="s">
        <v>29</v>
      </c>
      <c r="Q869" s="10" t="str">
        <f>VLOOKUP(A869,Status!A:B,2,0)</f>
        <v>Completed</v>
      </c>
      <c r="R869" s="2" t="s">
        <v>23</v>
      </c>
      <c r="S869" s="2">
        <v>5</v>
      </c>
      <c r="T869" s="2" t="s">
        <v>24</v>
      </c>
      <c r="U869" s="10" t="str">
        <f t="shared" si="83"/>
        <v>Jun</v>
      </c>
      <c r="V869" s="10">
        <f t="shared" si="82"/>
        <v>2025</v>
      </c>
      <c r="W869" t="e" cm="1">
        <f t="array" ref="W869">_xlfn.IFS(U869="January",1,U869="February",2,U869="March",3,U869="April",4,U869="May",5,U869="June",6,U869="July",7,U869="August",8,U869="September",9,U869="October",10,U869="November",11,U869="December",12)</f>
        <v>#N/A</v>
      </c>
    </row>
    <row r="870" spans="1:23" ht="15.75" customHeight="1" x14ac:dyDescent="0.25">
      <c r="A870" s="2" t="s">
        <v>1818</v>
      </c>
      <c r="B870" s="3">
        <v>45820.796851851846</v>
      </c>
      <c r="C870" s="2" t="s">
        <v>157</v>
      </c>
      <c r="D870" s="2" t="s">
        <v>20</v>
      </c>
      <c r="E870" s="2" t="s">
        <v>41</v>
      </c>
      <c r="F870" s="2" t="str" cm="1">
        <f t="array" ref="F870:G870">_xlfn.TEXTSPLIT(E870," - ")</f>
        <v>Garam</v>
      </c>
      <c r="G870" s="2" t="str">
        <v>Brand A</v>
      </c>
      <c r="H870" s="5">
        <v>4000</v>
      </c>
      <c r="I870" s="2">
        <v>1</v>
      </c>
      <c r="J870" s="2">
        <v>10</v>
      </c>
      <c r="K870" s="8">
        <f t="shared" si="78"/>
        <v>4000</v>
      </c>
      <c r="L870" s="8">
        <f t="shared" si="79"/>
        <v>400</v>
      </c>
      <c r="M870" s="8">
        <f t="shared" si="80"/>
        <v>3600</v>
      </c>
      <c r="N870" s="5">
        <v>15000</v>
      </c>
      <c r="O870" s="8">
        <f t="shared" si="81"/>
        <v>18600</v>
      </c>
      <c r="P870" s="2" t="s">
        <v>22</v>
      </c>
      <c r="Q870" s="10" t="str">
        <f>VLOOKUP(A870,Status!A:B,2,0)</f>
        <v>Completed</v>
      </c>
      <c r="R870" s="2" t="s">
        <v>82</v>
      </c>
      <c r="S870" s="2">
        <v>1</v>
      </c>
      <c r="T870" s="2" t="s">
        <v>24</v>
      </c>
      <c r="U870" s="10" t="str">
        <f t="shared" si="83"/>
        <v>Jun</v>
      </c>
      <c r="V870" s="10">
        <f t="shared" si="82"/>
        <v>2025</v>
      </c>
      <c r="W870" t="e" cm="1">
        <f t="array" ref="W870">_xlfn.IFS(U870="January",1,U870="February",2,U870="March",3,U870="April",4,U870="May",5,U870="June",6,U870="July",7,U870="August",8,U870="September",9,U870="October",10,U870="November",11,U870="December",12)</f>
        <v>#N/A</v>
      </c>
    </row>
    <row r="871" spans="1:23" ht="15.75" customHeight="1" x14ac:dyDescent="0.25">
      <c r="A871" s="2" t="s">
        <v>1819</v>
      </c>
      <c r="B871" s="3">
        <v>45820.921006944453</v>
      </c>
      <c r="C871" s="2" t="s">
        <v>1050</v>
      </c>
      <c r="D871" s="2" t="s">
        <v>92</v>
      </c>
      <c r="E871" s="2" t="s">
        <v>136</v>
      </c>
      <c r="F871" s="2" t="str" cm="1">
        <f t="array" ref="F871:G871">_xlfn.TEXTSPLIT(E871," - ")</f>
        <v>Tepung Terigu</v>
      </c>
      <c r="G871" s="2" t="str">
        <v>Brand B</v>
      </c>
      <c r="H871" s="5">
        <v>12000</v>
      </c>
      <c r="I871" s="2">
        <v>3</v>
      </c>
      <c r="J871" s="2">
        <v>20</v>
      </c>
      <c r="K871" s="8">
        <f t="shared" si="78"/>
        <v>36000</v>
      </c>
      <c r="L871" s="8">
        <f t="shared" si="79"/>
        <v>7200</v>
      </c>
      <c r="M871" s="8">
        <f t="shared" si="80"/>
        <v>28800</v>
      </c>
      <c r="N871" s="5">
        <v>30000</v>
      </c>
      <c r="O871" s="8">
        <f t="shared" si="81"/>
        <v>58800</v>
      </c>
      <c r="P871" s="2" t="s">
        <v>22</v>
      </c>
      <c r="Q871" s="10" t="str">
        <f>VLOOKUP(A871,Status!A:B,2,0)</f>
        <v>Completed</v>
      </c>
      <c r="R871" s="2" t="s">
        <v>36</v>
      </c>
      <c r="S871" s="2">
        <v>5</v>
      </c>
      <c r="T871" s="2" t="s">
        <v>24</v>
      </c>
      <c r="U871" s="10" t="str">
        <f t="shared" si="83"/>
        <v>Jun</v>
      </c>
      <c r="V871" s="10">
        <f t="shared" si="82"/>
        <v>2025</v>
      </c>
      <c r="W871" t="e" cm="1">
        <f t="array" ref="W871">_xlfn.IFS(U871="January",1,U871="February",2,U871="March",3,U871="April",4,U871="May",5,U871="June",6,U871="July",7,U871="August",8,U871="September",9,U871="October",10,U871="November",11,U871="December",12)</f>
        <v>#N/A</v>
      </c>
    </row>
    <row r="872" spans="1:23" ht="15.75" customHeight="1" x14ac:dyDescent="0.25">
      <c r="A872" s="2" t="s">
        <v>1820</v>
      </c>
      <c r="B872" s="3">
        <v>45820.929259259261</v>
      </c>
      <c r="C872" s="2" t="s">
        <v>1317</v>
      </c>
      <c r="D872" s="2" t="s">
        <v>113</v>
      </c>
      <c r="E872" s="2" t="s">
        <v>38</v>
      </c>
      <c r="F872" s="2" t="str" cm="1">
        <f t="array" ref="F872:G872">_xlfn.TEXTSPLIT(E872," - ")</f>
        <v>Telur Ayam</v>
      </c>
      <c r="G872" s="2" t="str">
        <v>Brand C</v>
      </c>
      <c r="H872" s="5">
        <v>28000</v>
      </c>
      <c r="I872" s="2">
        <v>4</v>
      </c>
      <c r="J872" s="2">
        <v>5</v>
      </c>
      <c r="K872" s="8">
        <f t="shared" si="78"/>
        <v>112000</v>
      </c>
      <c r="L872" s="8">
        <f t="shared" si="79"/>
        <v>5600</v>
      </c>
      <c r="M872" s="8">
        <f t="shared" si="80"/>
        <v>106400</v>
      </c>
      <c r="N872" s="5">
        <v>18000</v>
      </c>
      <c r="O872" s="8">
        <f t="shared" si="81"/>
        <v>124400</v>
      </c>
      <c r="P872" s="2" t="s">
        <v>63</v>
      </c>
      <c r="Q872" s="10" t="str">
        <f>VLOOKUP(A872,Status!A:B,2,0)</f>
        <v>Completed</v>
      </c>
      <c r="R872" s="2" t="s">
        <v>46</v>
      </c>
      <c r="S872" s="2">
        <v>2</v>
      </c>
      <c r="T872" s="2" t="s">
        <v>37</v>
      </c>
      <c r="U872" s="10" t="str">
        <f t="shared" si="83"/>
        <v>Jun</v>
      </c>
      <c r="V872" s="10">
        <f t="shared" si="82"/>
        <v>2025</v>
      </c>
      <c r="W872" t="e" cm="1">
        <f t="array" ref="W872">_xlfn.IFS(U872="January",1,U872="February",2,U872="March",3,U872="April",4,U872="May",5,U872="June",6,U872="July",7,U872="August",8,U872="September",9,U872="October",10,U872="November",11,U872="December",12)</f>
        <v>#N/A</v>
      </c>
    </row>
    <row r="873" spans="1:23" ht="15.75" customHeight="1" x14ac:dyDescent="0.25">
      <c r="A873" s="2" t="s">
        <v>1821</v>
      </c>
      <c r="B873" s="3">
        <v>45821.155428240738</v>
      </c>
      <c r="C873" s="2" t="s">
        <v>1130</v>
      </c>
      <c r="D873" s="2" t="s">
        <v>122</v>
      </c>
      <c r="E873" s="2" t="s">
        <v>38</v>
      </c>
      <c r="F873" s="2" t="str" cm="1">
        <f t="array" ref="F873:G873">_xlfn.TEXTSPLIT(E873," - ")</f>
        <v>Telur Ayam</v>
      </c>
      <c r="G873" s="2" t="str">
        <v>Brand C</v>
      </c>
      <c r="H873" s="5">
        <v>28000</v>
      </c>
      <c r="I873" s="2">
        <v>5</v>
      </c>
      <c r="J873" s="2">
        <v>5</v>
      </c>
      <c r="K873" s="8">
        <f t="shared" si="78"/>
        <v>140000</v>
      </c>
      <c r="L873" s="8">
        <f t="shared" si="79"/>
        <v>7000</v>
      </c>
      <c r="M873" s="8">
        <f t="shared" si="80"/>
        <v>133000</v>
      </c>
      <c r="N873" s="5">
        <v>78000</v>
      </c>
      <c r="O873" s="8">
        <f t="shared" si="81"/>
        <v>211000</v>
      </c>
      <c r="P873" s="2" t="s">
        <v>29</v>
      </c>
      <c r="Q873" s="10" t="str">
        <f>VLOOKUP(A873,Status!A:B,2,0)</f>
        <v>Completed</v>
      </c>
      <c r="R873" s="2" t="s">
        <v>30</v>
      </c>
      <c r="S873" s="2">
        <v>2</v>
      </c>
      <c r="T873" s="2" t="s">
        <v>24</v>
      </c>
      <c r="U873" s="10" t="str">
        <f t="shared" si="83"/>
        <v>Jun</v>
      </c>
      <c r="V873" s="10">
        <f t="shared" si="82"/>
        <v>2025</v>
      </c>
      <c r="W873" t="e" cm="1">
        <f t="array" ref="W873">_xlfn.IFS(U873="January",1,U873="February",2,U873="March",3,U873="April",4,U873="May",5,U873="June",6,U873="July",7,U873="August",8,U873="September",9,U873="October",10,U873="November",11,U873="December",12)</f>
        <v>#N/A</v>
      </c>
    </row>
    <row r="874" spans="1:23" ht="15.75" customHeight="1" x14ac:dyDescent="0.25">
      <c r="A874" s="2" t="s">
        <v>1821</v>
      </c>
      <c r="B874" s="3">
        <v>45821.155428240738</v>
      </c>
      <c r="C874" s="2" t="s">
        <v>1130</v>
      </c>
      <c r="D874" s="2" t="s">
        <v>122</v>
      </c>
      <c r="E874" s="2" t="s">
        <v>38</v>
      </c>
      <c r="F874" s="2" t="str" cm="1">
        <f t="array" ref="F874:G874">_xlfn.TEXTSPLIT(E874," - ")</f>
        <v>Telur Ayam</v>
      </c>
      <c r="G874" s="2" t="str">
        <v>Brand C</v>
      </c>
      <c r="H874" s="5">
        <v>28000</v>
      </c>
      <c r="I874" s="2">
        <v>4</v>
      </c>
      <c r="J874" s="2">
        <v>20</v>
      </c>
      <c r="K874" s="8">
        <f t="shared" si="78"/>
        <v>112000</v>
      </c>
      <c r="L874" s="8">
        <f t="shared" si="79"/>
        <v>22400</v>
      </c>
      <c r="M874" s="8">
        <f t="shared" si="80"/>
        <v>89600</v>
      </c>
      <c r="N874" s="5">
        <v>0</v>
      </c>
      <c r="O874" s="8">
        <f t="shared" si="81"/>
        <v>89600</v>
      </c>
      <c r="P874" s="2" t="s">
        <v>29</v>
      </c>
      <c r="Q874" s="10" t="str">
        <f>VLOOKUP(A874,Status!A:B,2,0)</f>
        <v>Completed</v>
      </c>
      <c r="R874" s="2" t="s">
        <v>30</v>
      </c>
      <c r="S874" s="2">
        <v>2</v>
      </c>
      <c r="T874" s="2" t="s">
        <v>24</v>
      </c>
      <c r="U874" s="10" t="str">
        <f t="shared" si="83"/>
        <v>Jun</v>
      </c>
      <c r="V874" s="10">
        <f t="shared" si="82"/>
        <v>2025</v>
      </c>
      <c r="W874" t="e" cm="1">
        <f t="array" ref="W874">_xlfn.IFS(U874="January",1,U874="February",2,U874="March",3,U874="April",4,U874="May",5,U874="June",6,U874="July",7,U874="August",8,U874="September",9,U874="October",10,U874="November",11,U874="December",12)</f>
        <v>#N/A</v>
      </c>
    </row>
    <row r="875" spans="1:23" ht="15.75" customHeight="1" x14ac:dyDescent="0.25">
      <c r="A875" s="2" t="s">
        <v>1822</v>
      </c>
      <c r="B875" s="3">
        <v>45821.395208333342</v>
      </c>
      <c r="C875" s="2" t="s">
        <v>1237</v>
      </c>
      <c r="D875" s="2" t="s">
        <v>92</v>
      </c>
      <c r="E875" s="2" t="s">
        <v>190</v>
      </c>
      <c r="F875" s="2" t="str" cm="1">
        <f t="array" ref="F875:G875">_xlfn.TEXTSPLIT(E875," - ")</f>
        <v>Bawang Merah</v>
      </c>
      <c r="G875" s="2" t="str">
        <v>Brand B</v>
      </c>
      <c r="H875" s="5">
        <v>35000</v>
      </c>
      <c r="I875" s="2">
        <v>2</v>
      </c>
      <c r="J875" s="2">
        <v>10</v>
      </c>
      <c r="K875" s="8">
        <f t="shared" si="78"/>
        <v>70000</v>
      </c>
      <c r="L875" s="8">
        <f t="shared" si="79"/>
        <v>7000</v>
      </c>
      <c r="M875" s="8">
        <f t="shared" si="80"/>
        <v>63000</v>
      </c>
      <c r="N875" s="5">
        <v>30000</v>
      </c>
      <c r="O875" s="8">
        <f t="shared" si="81"/>
        <v>93000</v>
      </c>
      <c r="P875" s="2" t="s">
        <v>22</v>
      </c>
      <c r="Q875" s="10" t="str">
        <f>VLOOKUP(A875,Status!A:B,2,0)</f>
        <v>Returned</v>
      </c>
      <c r="R875" s="2" t="s">
        <v>82</v>
      </c>
      <c r="S875" s="2">
        <v>2</v>
      </c>
      <c r="T875" s="2" t="s">
        <v>24</v>
      </c>
      <c r="U875" s="10" t="str">
        <f t="shared" si="83"/>
        <v>Jun</v>
      </c>
      <c r="V875" s="10">
        <f t="shared" si="82"/>
        <v>2025</v>
      </c>
      <c r="W875" t="e" cm="1">
        <f t="array" ref="W875">_xlfn.IFS(U875="January",1,U875="February",2,U875="March",3,U875="April",4,U875="May",5,U875="June",6,U875="July",7,U875="August",8,U875="September",9,U875="October",10,U875="November",11,U875="December",12)</f>
        <v>#N/A</v>
      </c>
    </row>
    <row r="876" spans="1:23" ht="15.75" customHeight="1" x14ac:dyDescent="0.25">
      <c r="A876" s="2" t="s">
        <v>1823</v>
      </c>
      <c r="B876" s="3">
        <v>45821.481944444437</v>
      </c>
      <c r="C876" s="2" t="s">
        <v>1561</v>
      </c>
      <c r="D876" s="2" t="s">
        <v>160</v>
      </c>
      <c r="E876" s="2" t="s">
        <v>50</v>
      </c>
      <c r="F876" s="2" t="str" cm="1">
        <f t="array" ref="F876:G876">_xlfn.TEXTSPLIT(E876," - ")</f>
        <v>Tepung Terigu</v>
      </c>
      <c r="G876" s="2" t="str">
        <v>Brand C</v>
      </c>
      <c r="H876" s="5">
        <v>14000</v>
      </c>
      <c r="I876" s="2">
        <v>4</v>
      </c>
      <c r="J876" s="2">
        <v>0</v>
      </c>
      <c r="K876" s="8">
        <f t="shared" si="78"/>
        <v>56000</v>
      </c>
      <c r="L876" s="8">
        <f t="shared" si="79"/>
        <v>0</v>
      </c>
      <c r="M876" s="8">
        <f t="shared" si="80"/>
        <v>56000</v>
      </c>
      <c r="N876" s="5">
        <v>68000</v>
      </c>
      <c r="O876" s="8">
        <f t="shared" si="81"/>
        <v>124000</v>
      </c>
      <c r="P876" s="2" t="s">
        <v>35</v>
      </c>
      <c r="Q876" s="10" t="str">
        <f>VLOOKUP(A876,Status!A:B,2,0)</f>
        <v>Completed</v>
      </c>
      <c r="R876" s="2" t="s">
        <v>82</v>
      </c>
      <c r="S876" s="2">
        <v>1</v>
      </c>
      <c r="T876" s="2" t="s">
        <v>24</v>
      </c>
      <c r="U876" s="10" t="str">
        <f t="shared" si="83"/>
        <v>Jun</v>
      </c>
      <c r="V876" s="10">
        <f t="shared" si="82"/>
        <v>2025</v>
      </c>
      <c r="W876" t="e" cm="1">
        <f t="array" ref="W876">_xlfn.IFS(U876="January",1,U876="February",2,U876="March",3,U876="April",4,U876="May",5,U876="June",6,U876="July",7,U876="August",8,U876="September",9,U876="October",10,U876="November",11,U876="December",12)</f>
        <v>#N/A</v>
      </c>
    </row>
    <row r="877" spans="1:23" ht="15.75" customHeight="1" x14ac:dyDescent="0.25">
      <c r="A877" s="2" t="s">
        <v>1824</v>
      </c>
      <c r="B877" s="3">
        <v>45821.530115740738</v>
      </c>
      <c r="C877" s="2" t="s">
        <v>1228</v>
      </c>
      <c r="D877" s="2" t="s">
        <v>33</v>
      </c>
      <c r="E877" s="2" t="s">
        <v>38</v>
      </c>
      <c r="F877" s="2" t="str" cm="1">
        <f t="array" ref="F877:G877">_xlfn.TEXTSPLIT(E877," - ")</f>
        <v>Telur Ayam</v>
      </c>
      <c r="G877" s="2" t="str">
        <v>Brand C</v>
      </c>
      <c r="H877" s="5">
        <v>28000</v>
      </c>
      <c r="I877" s="2">
        <v>2</v>
      </c>
      <c r="J877" s="2">
        <v>20</v>
      </c>
      <c r="K877" s="8">
        <f t="shared" si="78"/>
        <v>56000</v>
      </c>
      <c r="L877" s="8">
        <f t="shared" si="79"/>
        <v>11200</v>
      </c>
      <c r="M877" s="8">
        <f t="shared" si="80"/>
        <v>44800</v>
      </c>
      <c r="N877" s="5">
        <v>76000</v>
      </c>
      <c r="O877" s="8">
        <f t="shared" si="81"/>
        <v>120800</v>
      </c>
      <c r="P877" s="2" t="s">
        <v>29</v>
      </c>
      <c r="Q877" s="10" t="str">
        <f>VLOOKUP(A877,Status!A:B,2,0)</f>
        <v>Completed</v>
      </c>
      <c r="R877" s="2" t="s">
        <v>36</v>
      </c>
      <c r="S877" s="2">
        <v>2</v>
      </c>
      <c r="T877" s="2" t="s">
        <v>24</v>
      </c>
      <c r="U877" s="10" t="str">
        <f t="shared" si="83"/>
        <v>Jun</v>
      </c>
      <c r="V877" s="10">
        <f t="shared" si="82"/>
        <v>2025</v>
      </c>
      <c r="W877" t="e" cm="1">
        <f t="array" ref="W877">_xlfn.IFS(U877="January",1,U877="February",2,U877="March",3,U877="April",4,U877="May",5,U877="June",6,U877="July",7,U877="August",8,U877="September",9,U877="October",10,U877="November",11,U877="December",12)</f>
        <v>#N/A</v>
      </c>
    </row>
    <row r="878" spans="1:23" ht="15.75" customHeight="1" x14ac:dyDescent="0.25">
      <c r="A878" s="2" t="s">
        <v>1824</v>
      </c>
      <c r="B878" s="3">
        <v>45821.530115740738</v>
      </c>
      <c r="C878" s="2" t="s">
        <v>1228</v>
      </c>
      <c r="D878" s="2" t="s">
        <v>33</v>
      </c>
      <c r="E878" s="2" t="s">
        <v>174</v>
      </c>
      <c r="F878" s="2" t="str" cm="1">
        <f t="array" ref="F878:G878">_xlfn.TEXTSPLIT(E878," - ")</f>
        <v>Tepung Terigu</v>
      </c>
      <c r="G878" s="2" t="str">
        <v>Brand A</v>
      </c>
      <c r="H878" s="5">
        <v>10000</v>
      </c>
      <c r="I878" s="2">
        <v>5</v>
      </c>
      <c r="J878" s="2">
        <v>10</v>
      </c>
      <c r="K878" s="8">
        <f t="shared" si="78"/>
        <v>50000</v>
      </c>
      <c r="L878" s="8">
        <f t="shared" si="79"/>
        <v>5000</v>
      </c>
      <c r="M878" s="8">
        <f t="shared" si="80"/>
        <v>45000</v>
      </c>
      <c r="N878" s="5">
        <v>0</v>
      </c>
      <c r="O878" s="8">
        <f t="shared" si="81"/>
        <v>45000</v>
      </c>
      <c r="P878" s="2" t="s">
        <v>29</v>
      </c>
      <c r="Q878" s="10" t="str">
        <f>VLOOKUP(A878,Status!A:B,2,0)</f>
        <v>Completed</v>
      </c>
      <c r="R878" s="2" t="s">
        <v>36</v>
      </c>
      <c r="S878" s="2">
        <v>2</v>
      </c>
      <c r="T878" s="2" t="s">
        <v>24</v>
      </c>
      <c r="U878" s="10" t="str">
        <f t="shared" si="83"/>
        <v>Jun</v>
      </c>
      <c r="V878" s="10">
        <f t="shared" si="82"/>
        <v>2025</v>
      </c>
      <c r="W878" t="e" cm="1">
        <f t="array" ref="W878">_xlfn.IFS(U878="January",1,U878="February",2,U878="March",3,U878="April",4,U878="May",5,U878="June",6,U878="July",7,U878="August",8,U878="September",9,U878="October",10,U878="November",11,U878="December",12)</f>
        <v>#N/A</v>
      </c>
    </row>
    <row r="879" spans="1:23" ht="15.75" customHeight="1" x14ac:dyDescent="0.25">
      <c r="A879" s="2" t="s">
        <v>1825</v>
      </c>
      <c r="B879" s="3">
        <v>45821.599606481483</v>
      </c>
      <c r="C879" s="2" t="s">
        <v>150</v>
      </c>
      <c r="D879" s="2" t="s">
        <v>151</v>
      </c>
      <c r="E879" s="2" t="s">
        <v>250</v>
      </c>
      <c r="F879" s="2" t="str" cm="1">
        <f t="array" ref="F879:G879">_xlfn.TEXTSPLIT(E879," - ")</f>
        <v>Minyak Goreng</v>
      </c>
      <c r="G879" s="2" t="str">
        <v>Brand C</v>
      </c>
      <c r="H879" s="5">
        <v>18000</v>
      </c>
      <c r="I879" s="2">
        <v>5</v>
      </c>
      <c r="J879" s="2">
        <v>10</v>
      </c>
      <c r="K879" s="8">
        <f t="shared" si="78"/>
        <v>90000</v>
      </c>
      <c r="L879" s="8">
        <f t="shared" si="79"/>
        <v>9000</v>
      </c>
      <c r="M879" s="8">
        <f t="shared" si="80"/>
        <v>81000</v>
      </c>
      <c r="N879" s="5">
        <v>55000</v>
      </c>
      <c r="O879" s="8">
        <f t="shared" si="81"/>
        <v>136000</v>
      </c>
      <c r="P879" s="2" t="s">
        <v>22</v>
      </c>
      <c r="Q879" s="10" t="str">
        <f>VLOOKUP(A879,Status!A:B,2,0)</f>
        <v>Returned</v>
      </c>
      <c r="R879" s="2" t="s">
        <v>36</v>
      </c>
      <c r="S879" s="2">
        <v>5</v>
      </c>
      <c r="T879" s="2" t="s">
        <v>37</v>
      </c>
      <c r="U879" s="10" t="str">
        <f t="shared" si="83"/>
        <v>Jun</v>
      </c>
      <c r="V879" s="10">
        <f t="shared" si="82"/>
        <v>2025</v>
      </c>
      <c r="W879" t="e" cm="1">
        <f t="array" ref="W879">_xlfn.IFS(U879="January",1,U879="February",2,U879="March",3,U879="April",4,U879="May",5,U879="June",6,U879="July",7,U879="August",8,U879="September",9,U879="October",10,U879="November",11,U879="December",12)</f>
        <v>#N/A</v>
      </c>
    </row>
    <row r="880" spans="1:23" ht="15.75" customHeight="1" x14ac:dyDescent="0.25">
      <c r="A880" s="2" t="s">
        <v>1826</v>
      </c>
      <c r="B880" s="3">
        <v>45821.869247685187</v>
      </c>
      <c r="C880" s="2" t="s">
        <v>165</v>
      </c>
      <c r="D880" s="2" t="s">
        <v>143</v>
      </c>
      <c r="E880" s="2" t="s">
        <v>41</v>
      </c>
      <c r="F880" s="2" t="str" cm="1">
        <f t="array" ref="F880:G880">_xlfn.TEXTSPLIT(E880," - ")</f>
        <v>Garam</v>
      </c>
      <c r="G880" s="2" t="str">
        <v>Brand A</v>
      </c>
      <c r="H880" s="5">
        <v>4000</v>
      </c>
      <c r="I880" s="2">
        <v>2</v>
      </c>
      <c r="J880" s="2">
        <v>15</v>
      </c>
      <c r="K880" s="8">
        <f t="shared" si="78"/>
        <v>8000</v>
      </c>
      <c r="L880" s="8">
        <f t="shared" si="79"/>
        <v>1200</v>
      </c>
      <c r="M880" s="8">
        <f t="shared" si="80"/>
        <v>6800</v>
      </c>
      <c r="N880" s="5">
        <v>50000</v>
      </c>
      <c r="O880" s="8">
        <f t="shared" si="81"/>
        <v>56800</v>
      </c>
      <c r="P880" s="2" t="s">
        <v>35</v>
      </c>
      <c r="Q880" s="10" t="str">
        <f>VLOOKUP(A880,Status!A:B,2,0)</f>
        <v>Completed</v>
      </c>
      <c r="R880" s="2" t="s">
        <v>30</v>
      </c>
      <c r="S880" s="2">
        <v>4</v>
      </c>
      <c r="T880" s="2" t="s">
        <v>24</v>
      </c>
      <c r="U880" s="10" t="str">
        <f t="shared" si="83"/>
        <v>Jun</v>
      </c>
      <c r="V880" s="10">
        <f t="shared" si="82"/>
        <v>2025</v>
      </c>
      <c r="W880" t="e" cm="1">
        <f t="array" ref="W880">_xlfn.IFS(U880="January",1,U880="February",2,U880="March",3,U880="April",4,U880="May",5,U880="June",6,U880="July",7,U880="August",8,U880="September",9,U880="October",10,U880="November",11,U880="December",12)</f>
        <v>#N/A</v>
      </c>
    </row>
    <row r="881" spans="1:23" ht="15.75" customHeight="1" x14ac:dyDescent="0.25">
      <c r="A881" s="2" t="s">
        <v>1827</v>
      </c>
      <c r="B881" s="3">
        <v>45821.971087962957</v>
      </c>
      <c r="C881" s="2" t="s">
        <v>387</v>
      </c>
      <c r="D881" s="2" t="s">
        <v>49</v>
      </c>
      <c r="E881" s="2" t="s">
        <v>21</v>
      </c>
      <c r="F881" s="2" t="str" cm="1">
        <f t="array" ref="F881:G881">_xlfn.TEXTSPLIT(E881," - ")</f>
        <v>Daging Ayam</v>
      </c>
      <c r="G881" s="2" t="str">
        <v>Brand C</v>
      </c>
      <c r="H881" s="5">
        <v>45000</v>
      </c>
      <c r="I881" s="2">
        <v>5</v>
      </c>
      <c r="J881" s="2">
        <v>10</v>
      </c>
      <c r="K881" s="8">
        <f t="shared" si="78"/>
        <v>225000</v>
      </c>
      <c r="L881" s="8">
        <f t="shared" si="79"/>
        <v>22500</v>
      </c>
      <c r="M881" s="8">
        <f t="shared" si="80"/>
        <v>202500</v>
      </c>
      <c r="N881" s="5">
        <v>43000</v>
      </c>
      <c r="O881" s="8">
        <f t="shared" si="81"/>
        <v>245500</v>
      </c>
      <c r="P881" s="2" t="s">
        <v>22</v>
      </c>
      <c r="Q881" s="10" t="str">
        <f>VLOOKUP(A881,Status!A:B,2,0)</f>
        <v>Completed</v>
      </c>
      <c r="R881" s="2" t="s">
        <v>23</v>
      </c>
      <c r="S881" s="2">
        <v>2</v>
      </c>
      <c r="T881" s="2" t="s">
        <v>37</v>
      </c>
      <c r="U881" s="10" t="str">
        <f t="shared" si="83"/>
        <v>Jun</v>
      </c>
      <c r="V881" s="10">
        <f t="shared" si="82"/>
        <v>2025</v>
      </c>
      <c r="W881" t="e" cm="1">
        <f t="array" ref="W881">_xlfn.IFS(U881="January",1,U881="February",2,U881="March",3,U881="April",4,U881="May",5,U881="June",6,U881="July",7,U881="August",8,U881="September",9,U881="October",10,U881="November",11,U881="December",12)</f>
        <v>#N/A</v>
      </c>
    </row>
    <row r="882" spans="1:23" ht="15.75" customHeight="1" x14ac:dyDescent="0.25">
      <c r="A882" s="2" t="s">
        <v>1828</v>
      </c>
      <c r="B882" s="3">
        <v>45822.033310185187</v>
      </c>
      <c r="C882" s="2" t="s">
        <v>381</v>
      </c>
      <c r="D882" s="2" t="s">
        <v>103</v>
      </c>
      <c r="E882" s="2" t="s">
        <v>93</v>
      </c>
      <c r="F882" s="2" t="str" cm="1">
        <f t="array" ref="F882:G882">_xlfn.TEXTSPLIT(E882," - ")</f>
        <v>Telur Ayam</v>
      </c>
      <c r="G882" s="2" t="str">
        <v>Brand B</v>
      </c>
      <c r="H882" s="5">
        <v>25000</v>
      </c>
      <c r="I882" s="2">
        <v>1</v>
      </c>
      <c r="J882" s="2">
        <v>15</v>
      </c>
      <c r="K882" s="8">
        <f t="shared" si="78"/>
        <v>25000</v>
      </c>
      <c r="L882" s="8">
        <f t="shared" si="79"/>
        <v>3750</v>
      </c>
      <c r="M882" s="8">
        <f t="shared" si="80"/>
        <v>21250</v>
      </c>
      <c r="N882" s="5">
        <v>85000</v>
      </c>
      <c r="O882" s="8">
        <f t="shared" si="81"/>
        <v>106250</v>
      </c>
      <c r="P882" s="2" t="s">
        <v>35</v>
      </c>
      <c r="Q882" s="10" t="str">
        <f>VLOOKUP(A882,Status!A:B,2,0)</f>
        <v>Completed</v>
      </c>
      <c r="R882" s="2" t="s">
        <v>46</v>
      </c>
      <c r="S882" s="2">
        <v>1</v>
      </c>
      <c r="T882" s="2" t="s">
        <v>24</v>
      </c>
      <c r="U882" s="10" t="str">
        <f t="shared" si="83"/>
        <v>Jun</v>
      </c>
      <c r="V882" s="10">
        <f t="shared" si="82"/>
        <v>2025</v>
      </c>
      <c r="W882" t="e" cm="1">
        <f t="array" ref="W882">_xlfn.IFS(U882="January",1,U882="February",2,U882="March",3,U882="April",4,U882="May",5,U882="June",6,U882="July",7,U882="August",8,U882="September",9,U882="October",10,U882="November",11,U882="December",12)</f>
        <v>#N/A</v>
      </c>
    </row>
    <row r="883" spans="1:23" ht="15.75" customHeight="1" x14ac:dyDescent="0.25">
      <c r="A883" s="2" t="s">
        <v>1829</v>
      </c>
      <c r="B883" s="3">
        <v>45822.203634259262</v>
      </c>
      <c r="C883" s="2" t="s">
        <v>140</v>
      </c>
      <c r="D883" s="2" t="s">
        <v>92</v>
      </c>
      <c r="E883" s="2" t="s">
        <v>144</v>
      </c>
      <c r="F883" s="2" t="str" cm="1">
        <f t="array" ref="F883:G883">_xlfn.TEXTSPLIT(E883," - ")</f>
        <v>Gula Pasir</v>
      </c>
      <c r="G883" s="2" t="str">
        <v>Brand C</v>
      </c>
      <c r="H883" s="5">
        <v>18000</v>
      </c>
      <c r="I883" s="2">
        <v>4</v>
      </c>
      <c r="J883" s="2">
        <v>5</v>
      </c>
      <c r="K883" s="8">
        <f t="shared" si="78"/>
        <v>72000</v>
      </c>
      <c r="L883" s="8">
        <f t="shared" si="79"/>
        <v>3600</v>
      </c>
      <c r="M883" s="8">
        <f t="shared" si="80"/>
        <v>68400</v>
      </c>
      <c r="N883" s="5">
        <v>30000</v>
      </c>
      <c r="O883" s="8">
        <f t="shared" si="81"/>
        <v>98400</v>
      </c>
      <c r="P883" s="2" t="s">
        <v>63</v>
      </c>
      <c r="Q883" s="10" t="str">
        <f>VLOOKUP(A883,Status!A:B,2,0)</f>
        <v>Cancelled</v>
      </c>
      <c r="R883" s="2" t="s">
        <v>36</v>
      </c>
      <c r="S883" s="2">
        <v>4</v>
      </c>
      <c r="T883" s="2" t="s">
        <v>24</v>
      </c>
      <c r="U883" s="10" t="str">
        <f t="shared" si="83"/>
        <v>Jun</v>
      </c>
      <c r="V883" s="10">
        <f t="shared" si="82"/>
        <v>2025</v>
      </c>
      <c r="W883" t="e" cm="1">
        <f t="array" ref="W883">_xlfn.IFS(U883="January",1,U883="February",2,U883="March",3,U883="April",4,U883="May",5,U883="June",6,U883="July",7,U883="August",8,U883="September",9,U883="October",10,U883="November",11,U883="December",12)</f>
        <v>#N/A</v>
      </c>
    </row>
    <row r="884" spans="1:23" ht="15.75" customHeight="1" x14ac:dyDescent="0.25">
      <c r="A884" s="2" t="s">
        <v>1830</v>
      </c>
      <c r="B884" s="3">
        <v>45822.294039351851</v>
      </c>
      <c r="C884" s="2" t="s">
        <v>508</v>
      </c>
      <c r="D884" s="2" t="s">
        <v>20</v>
      </c>
      <c r="E884" s="2" t="s">
        <v>81</v>
      </c>
      <c r="F884" s="2" t="str" cm="1">
        <f t="array" ref="F884:G884">_xlfn.TEXTSPLIT(E884," - ")</f>
        <v>Minyak Goreng</v>
      </c>
      <c r="G884" s="2" t="str">
        <v>Brand B</v>
      </c>
      <c r="H884" s="5">
        <v>17000</v>
      </c>
      <c r="I884" s="2">
        <v>2</v>
      </c>
      <c r="J884" s="2">
        <v>5</v>
      </c>
      <c r="K884" s="8">
        <f t="shared" si="78"/>
        <v>34000</v>
      </c>
      <c r="L884" s="8">
        <f t="shared" si="79"/>
        <v>1700</v>
      </c>
      <c r="M884" s="8">
        <f t="shared" si="80"/>
        <v>32300</v>
      </c>
      <c r="N884" s="5">
        <v>15000</v>
      </c>
      <c r="O884" s="8">
        <f t="shared" si="81"/>
        <v>47300</v>
      </c>
      <c r="P884" s="2" t="s">
        <v>29</v>
      </c>
      <c r="Q884" s="10" t="str">
        <f>VLOOKUP(A884,Status!A:B,2,0)</f>
        <v>Completed</v>
      </c>
      <c r="R884" s="2" t="s">
        <v>30</v>
      </c>
      <c r="S884" s="2">
        <v>4</v>
      </c>
      <c r="T884" s="2" t="s">
        <v>37</v>
      </c>
      <c r="U884" s="10" t="str">
        <f t="shared" si="83"/>
        <v>Jun</v>
      </c>
      <c r="V884" s="10">
        <f t="shared" si="82"/>
        <v>2025</v>
      </c>
      <c r="W884" t="e" cm="1">
        <f t="array" ref="W884">_xlfn.IFS(U884="January",1,U884="February",2,U884="March",3,U884="April",4,U884="May",5,U884="June",6,U884="July",7,U884="August",8,U884="September",9,U884="October",10,U884="November",11,U884="December",12)</f>
        <v>#N/A</v>
      </c>
    </row>
    <row r="885" spans="1:23" ht="15.75" customHeight="1" x14ac:dyDescent="0.25">
      <c r="A885" s="2" t="s">
        <v>1830</v>
      </c>
      <c r="B885" s="3">
        <v>45822.294039351851</v>
      </c>
      <c r="C885" s="2" t="s">
        <v>508</v>
      </c>
      <c r="D885" s="2" t="s">
        <v>20</v>
      </c>
      <c r="E885" s="2" t="s">
        <v>186</v>
      </c>
      <c r="F885" s="2" t="str" cm="1">
        <f t="array" ref="F885:G885">_xlfn.TEXTSPLIT(E885," - ")</f>
        <v>Susu Bubuk</v>
      </c>
      <c r="G885" s="2" t="str">
        <v>Brand A</v>
      </c>
      <c r="H885" s="5">
        <v>45000</v>
      </c>
      <c r="I885" s="2">
        <v>3</v>
      </c>
      <c r="J885" s="2">
        <v>15</v>
      </c>
      <c r="K885" s="8">
        <f t="shared" si="78"/>
        <v>135000</v>
      </c>
      <c r="L885" s="8">
        <f t="shared" si="79"/>
        <v>20250</v>
      </c>
      <c r="M885" s="8">
        <f t="shared" si="80"/>
        <v>114750</v>
      </c>
      <c r="N885" s="5">
        <v>0</v>
      </c>
      <c r="O885" s="8">
        <f t="shared" si="81"/>
        <v>114750</v>
      </c>
      <c r="P885" s="2" t="s">
        <v>29</v>
      </c>
      <c r="Q885" s="10" t="str">
        <f>VLOOKUP(A885,Status!A:B,2,0)</f>
        <v>Completed</v>
      </c>
      <c r="R885" s="2" t="s">
        <v>30</v>
      </c>
      <c r="S885" s="2">
        <v>4</v>
      </c>
      <c r="T885" s="2" t="s">
        <v>37</v>
      </c>
      <c r="U885" s="10" t="str">
        <f t="shared" si="83"/>
        <v>Jun</v>
      </c>
      <c r="V885" s="10">
        <f t="shared" si="82"/>
        <v>2025</v>
      </c>
      <c r="W885" t="e" cm="1">
        <f t="array" ref="W885">_xlfn.IFS(U885="January",1,U885="February",2,U885="March",3,U885="April",4,U885="May",5,U885="June",6,U885="July",7,U885="August",8,U885="September",9,U885="October",10,U885="November",11,U885="December",12)</f>
        <v>#N/A</v>
      </c>
    </row>
    <row r="886" spans="1:23" ht="15.75" customHeight="1" x14ac:dyDescent="0.25">
      <c r="A886" s="2" t="s">
        <v>1831</v>
      </c>
      <c r="B886" s="3">
        <v>45822.71671296296</v>
      </c>
      <c r="C886" s="2" t="s">
        <v>416</v>
      </c>
      <c r="D886" s="2" t="s">
        <v>131</v>
      </c>
      <c r="E886" s="2" t="s">
        <v>93</v>
      </c>
      <c r="F886" s="2" t="str" cm="1">
        <f t="array" ref="F886:G886">_xlfn.TEXTSPLIT(E886," - ")</f>
        <v>Telur Ayam</v>
      </c>
      <c r="G886" s="2" t="str">
        <v>Brand B</v>
      </c>
      <c r="H886" s="5">
        <v>25000</v>
      </c>
      <c r="I886" s="2">
        <v>5</v>
      </c>
      <c r="J886" s="2">
        <v>10</v>
      </c>
      <c r="K886" s="8">
        <f t="shared" si="78"/>
        <v>125000</v>
      </c>
      <c r="L886" s="8">
        <f t="shared" si="79"/>
        <v>12500</v>
      </c>
      <c r="M886" s="8">
        <f t="shared" si="80"/>
        <v>112500</v>
      </c>
      <c r="N886" s="5">
        <v>59000</v>
      </c>
      <c r="O886" s="8">
        <f t="shared" si="81"/>
        <v>171500</v>
      </c>
      <c r="P886" s="2" t="s">
        <v>63</v>
      </c>
      <c r="Q886" s="10" t="str">
        <f>VLOOKUP(A886,Status!A:B,2,0)</f>
        <v>Returned</v>
      </c>
      <c r="R886" s="2" t="s">
        <v>36</v>
      </c>
      <c r="S886" s="2">
        <v>5</v>
      </c>
      <c r="T886" s="2" t="s">
        <v>24</v>
      </c>
      <c r="U886" s="10" t="str">
        <f t="shared" si="83"/>
        <v>Jun</v>
      </c>
      <c r="V886" s="10">
        <f t="shared" si="82"/>
        <v>2025</v>
      </c>
      <c r="W886" t="e" cm="1">
        <f t="array" ref="W886">_xlfn.IFS(U886="January",1,U886="February",2,U886="March",3,U886="April",4,U886="May",5,U886="June",6,U886="July",7,U886="August",8,U886="September",9,U886="October",10,U886="November",11,U886="December",12)</f>
        <v>#N/A</v>
      </c>
    </row>
    <row r="887" spans="1:23" ht="15.75" customHeight="1" x14ac:dyDescent="0.25">
      <c r="A887" s="2" t="s">
        <v>1832</v>
      </c>
      <c r="B887" s="3">
        <v>45823.010370370372</v>
      </c>
      <c r="C887" s="2" t="s">
        <v>194</v>
      </c>
      <c r="D887" s="2" t="s">
        <v>195</v>
      </c>
      <c r="E887" s="2" t="s">
        <v>93</v>
      </c>
      <c r="F887" s="2" t="str" cm="1">
        <f t="array" ref="F887:G887">_xlfn.TEXTSPLIT(E887," - ")</f>
        <v>Telur Ayam</v>
      </c>
      <c r="G887" s="2" t="str">
        <v>Brand B</v>
      </c>
      <c r="H887" s="5">
        <v>25000</v>
      </c>
      <c r="I887" s="2">
        <v>1</v>
      </c>
      <c r="J887" s="2">
        <v>0</v>
      </c>
      <c r="K887" s="8">
        <f t="shared" si="78"/>
        <v>25000</v>
      </c>
      <c r="L887" s="8">
        <f t="shared" si="79"/>
        <v>0</v>
      </c>
      <c r="M887" s="8">
        <f t="shared" si="80"/>
        <v>25000</v>
      </c>
      <c r="N887" s="5">
        <v>87000</v>
      </c>
      <c r="O887" s="8">
        <f t="shared" si="81"/>
        <v>112000</v>
      </c>
      <c r="P887" s="2" t="s">
        <v>22</v>
      </c>
      <c r="Q887" s="10" t="str">
        <f>VLOOKUP(A887,Status!A:B,2,0)</f>
        <v>Completed</v>
      </c>
      <c r="R887" s="2" t="s">
        <v>46</v>
      </c>
      <c r="S887" s="2">
        <v>1</v>
      </c>
      <c r="T887" s="2" t="s">
        <v>24</v>
      </c>
      <c r="U887" s="10" t="str">
        <f t="shared" si="83"/>
        <v>Jun</v>
      </c>
      <c r="V887" s="10">
        <f t="shared" si="82"/>
        <v>2025</v>
      </c>
      <c r="W887" t="e" cm="1">
        <f t="array" ref="W887">_xlfn.IFS(U887="January",1,U887="February",2,U887="March",3,U887="April",4,U887="May",5,U887="June",6,U887="July",7,U887="August",8,U887="September",9,U887="October",10,U887="November",11,U887="December",12)</f>
        <v>#N/A</v>
      </c>
    </row>
    <row r="888" spans="1:23" ht="15.75" customHeight="1" x14ac:dyDescent="0.25">
      <c r="A888" s="2" t="s">
        <v>1833</v>
      </c>
      <c r="B888" s="3">
        <v>45823.082731481481</v>
      </c>
      <c r="C888" s="2" t="s">
        <v>398</v>
      </c>
      <c r="D888" s="2" t="s">
        <v>182</v>
      </c>
      <c r="E888" s="2" t="s">
        <v>190</v>
      </c>
      <c r="F888" s="2" t="str" cm="1">
        <f t="array" ref="F888:G888">_xlfn.TEXTSPLIT(E888," - ")</f>
        <v>Bawang Merah</v>
      </c>
      <c r="G888" s="2" t="str">
        <v>Brand B</v>
      </c>
      <c r="H888" s="5">
        <v>35000</v>
      </c>
      <c r="I888" s="2">
        <v>3</v>
      </c>
      <c r="J888" s="2">
        <v>10</v>
      </c>
      <c r="K888" s="8">
        <f t="shared" si="78"/>
        <v>105000</v>
      </c>
      <c r="L888" s="8">
        <f t="shared" si="79"/>
        <v>10500</v>
      </c>
      <c r="M888" s="8">
        <f t="shared" si="80"/>
        <v>94500</v>
      </c>
      <c r="N888" s="5">
        <v>48000</v>
      </c>
      <c r="O888" s="8">
        <f t="shared" si="81"/>
        <v>142500</v>
      </c>
      <c r="P888" s="2" t="s">
        <v>22</v>
      </c>
      <c r="Q888" s="10" t="str">
        <f>VLOOKUP(A888,Status!A:B,2,0)</f>
        <v>Completed</v>
      </c>
      <c r="R888" s="2" t="s">
        <v>30</v>
      </c>
      <c r="S888" s="2">
        <v>4</v>
      </c>
      <c r="T888" s="2" t="s">
        <v>24</v>
      </c>
      <c r="U888" s="10" t="str">
        <f t="shared" si="83"/>
        <v>Jun</v>
      </c>
      <c r="V888" s="10">
        <f t="shared" si="82"/>
        <v>2025</v>
      </c>
      <c r="W888" t="e" cm="1">
        <f t="array" ref="W888">_xlfn.IFS(U888="January",1,U888="February",2,U888="March",3,U888="April",4,U888="May",5,U888="June",6,U888="July",7,U888="August",8,U888="September",9,U888="October",10,U888="November",11,U888="December",12)</f>
        <v>#N/A</v>
      </c>
    </row>
    <row r="889" spans="1:23" ht="15.75" customHeight="1" x14ac:dyDescent="0.25">
      <c r="A889" s="2" t="s">
        <v>1834</v>
      </c>
      <c r="B889" s="3">
        <v>45823.111273148148</v>
      </c>
      <c r="C889" s="2" t="s">
        <v>446</v>
      </c>
      <c r="D889" s="2" t="s">
        <v>296</v>
      </c>
      <c r="E889" s="2" t="s">
        <v>144</v>
      </c>
      <c r="F889" s="2" t="str" cm="1">
        <f t="array" ref="F889:G889">_xlfn.TEXTSPLIT(E889," - ")</f>
        <v>Gula Pasir</v>
      </c>
      <c r="G889" s="2" t="str">
        <v>Brand C</v>
      </c>
      <c r="H889" s="5">
        <v>18000</v>
      </c>
      <c r="I889" s="2">
        <v>1</v>
      </c>
      <c r="J889" s="2">
        <v>0</v>
      </c>
      <c r="K889" s="8">
        <f t="shared" si="78"/>
        <v>18000</v>
      </c>
      <c r="L889" s="8">
        <f t="shared" si="79"/>
        <v>0</v>
      </c>
      <c r="M889" s="8">
        <f t="shared" si="80"/>
        <v>18000</v>
      </c>
      <c r="N889" s="5">
        <v>79000</v>
      </c>
      <c r="O889" s="8">
        <f t="shared" si="81"/>
        <v>97000</v>
      </c>
      <c r="P889" s="2" t="s">
        <v>63</v>
      </c>
      <c r="Q889" s="10" t="str">
        <f>VLOOKUP(A889,Status!A:B,2,0)</f>
        <v>Completed</v>
      </c>
      <c r="R889" s="2" t="s">
        <v>23</v>
      </c>
      <c r="S889" s="2">
        <v>3</v>
      </c>
      <c r="T889" s="2" t="s">
        <v>37</v>
      </c>
      <c r="U889" s="10" t="str">
        <f t="shared" si="83"/>
        <v>Jun</v>
      </c>
      <c r="V889" s="10">
        <f t="shared" si="82"/>
        <v>2025</v>
      </c>
      <c r="W889" t="e" cm="1">
        <f t="array" ref="W889">_xlfn.IFS(U889="January",1,U889="February",2,U889="March",3,U889="April",4,U889="May",5,U889="June",6,U889="July",7,U889="August",8,U889="September",9,U889="October",10,U889="November",11,U889="December",12)</f>
        <v>#N/A</v>
      </c>
    </row>
    <row r="890" spans="1:23" ht="15.75" customHeight="1" x14ac:dyDescent="0.25">
      <c r="A890" s="2" t="s">
        <v>1835</v>
      </c>
      <c r="B890" s="3">
        <v>45823.283379629633</v>
      </c>
      <c r="C890" s="2" t="s">
        <v>437</v>
      </c>
      <c r="D890" s="2" t="s">
        <v>375</v>
      </c>
      <c r="E890" s="2" t="s">
        <v>136</v>
      </c>
      <c r="F890" s="2" t="str" cm="1">
        <f t="array" ref="F890:G890">_xlfn.TEXTSPLIT(E890," - ")</f>
        <v>Tepung Terigu</v>
      </c>
      <c r="G890" s="2" t="str">
        <v>Brand B</v>
      </c>
      <c r="H890" s="5">
        <v>12000</v>
      </c>
      <c r="I890" s="2">
        <v>3</v>
      </c>
      <c r="J890" s="2">
        <v>10</v>
      </c>
      <c r="K890" s="8">
        <f t="shared" si="78"/>
        <v>36000</v>
      </c>
      <c r="L890" s="8">
        <f t="shared" si="79"/>
        <v>3600</v>
      </c>
      <c r="M890" s="8">
        <f t="shared" si="80"/>
        <v>32400</v>
      </c>
      <c r="N890" s="5">
        <v>21000</v>
      </c>
      <c r="O890" s="8">
        <f t="shared" si="81"/>
        <v>53400</v>
      </c>
      <c r="P890" s="2" t="s">
        <v>63</v>
      </c>
      <c r="Q890" s="10" t="str">
        <f>VLOOKUP(A890,Status!A:B,2,0)</f>
        <v>Completed</v>
      </c>
      <c r="R890" s="2" t="s">
        <v>82</v>
      </c>
      <c r="S890" s="2">
        <v>5</v>
      </c>
      <c r="T890" s="2" t="s">
        <v>24</v>
      </c>
      <c r="U890" s="10" t="str">
        <f t="shared" si="83"/>
        <v>Jun</v>
      </c>
      <c r="V890" s="10">
        <f t="shared" si="82"/>
        <v>2025</v>
      </c>
      <c r="W890" t="e" cm="1">
        <f t="array" ref="W890">_xlfn.IFS(U890="January",1,U890="February",2,U890="March",3,U890="April",4,U890="May",5,U890="June",6,U890="July",7,U890="August",8,U890="September",9,U890="October",10,U890="November",11,U890="December",12)</f>
        <v>#N/A</v>
      </c>
    </row>
    <row r="891" spans="1:23" ht="15.75" customHeight="1" x14ac:dyDescent="0.25">
      <c r="A891" s="2" t="s">
        <v>1836</v>
      </c>
      <c r="B891" s="3">
        <v>45823.440046296288</v>
      </c>
      <c r="C891" s="2" t="s">
        <v>1311</v>
      </c>
      <c r="D891" s="2" t="s">
        <v>49</v>
      </c>
      <c r="E891" s="2" t="s">
        <v>136</v>
      </c>
      <c r="F891" s="2" t="str" cm="1">
        <f t="array" ref="F891:G891">_xlfn.TEXTSPLIT(E891," - ")</f>
        <v>Tepung Terigu</v>
      </c>
      <c r="G891" s="2" t="str">
        <v>Brand B</v>
      </c>
      <c r="H891" s="5">
        <v>12000</v>
      </c>
      <c r="I891" s="2">
        <v>3</v>
      </c>
      <c r="J891" s="2">
        <v>10</v>
      </c>
      <c r="K891" s="8">
        <f t="shared" si="78"/>
        <v>36000</v>
      </c>
      <c r="L891" s="8">
        <f t="shared" si="79"/>
        <v>3600</v>
      </c>
      <c r="M891" s="8">
        <f t="shared" si="80"/>
        <v>32400</v>
      </c>
      <c r="N891" s="5">
        <v>43000</v>
      </c>
      <c r="O891" s="8">
        <f t="shared" si="81"/>
        <v>75400</v>
      </c>
      <c r="P891" s="2" t="s">
        <v>35</v>
      </c>
      <c r="Q891" s="10" t="str">
        <f>VLOOKUP(A891,Status!A:B,2,0)</f>
        <v>Completed</v>
      </c>
      <c r="R891" s="2" t="s">
        <v>82</v>
      </c>
      <c r="S891" s="2">
        <v>4</v>
      </c>
      <c r="T891" s="2" t="s">
        <v>24</v>
      </c>
      <c r="U891" s="10" t="str">
        <f t="shared" si="83"/>
        <v>Jun</v>
      </c>
      <c r="V891" s="10">
        <f t="shared" si="82"/>
        <v>2025</v>
      </c>
      <c r="W891" t="e" cm="1">
        <f t="array" ref="W891">_xlfn.IFS(U891="January",1,U891="February",2,U891="March",3,U891="April",4,U891="May",5,U891="June",6,U891="July",7,U891="August",8,U891="September",9,U891="October",10,U891="November",11,U891="December",12)</f>
        <v>#N/A</v>
      </c>
    </row>
    <row r="892" spans="1:23" ht="15.75" customHeight="1" x14ac:dyDescent="0.25">
      <c r="A892" s="2" t="s">
        <v>1837</v>
      </c>
      <c r="B892" s="3">
        <v>45823.496724537043</v>
      </c>
      <c r="C892" s="2" t="s">
        <v>851</v>
      </c>
      <c r="D892" s="2" t="s">
        <v>66</v>
      </c>
      <c r="E892" s="2" t="s">
        <v>75</v>
      </c>
      <c r="F892" s="2" t="str" cm="1">
        <f t="array" ref="F892:G892">_xlfn.TEXTSPLIT(E892," - ")</f>
        <v>Susu Bubuk</v>
      </c>
      <c r="G892" s="2" t="str">
        <v>Brand C</v>
      </c>
      <c r="H892" s="5">
        <v>55000</v>
      </c>
      <c r="I892" s="2">
        <v>4</v>
      </c>
      <c r="J892" s="2">
        <v>5</v>
      </c>
      <c r="K892" s="8">
        <f t="shared" si="78"/>
        <v>220000</v>
      </c>
      <c r="L892" s="8">
        <f t="shared" si="79"/>
        <v>11000</v>
      </c>
      <c r="M892" s="8">
        <f t="shared" si="80"/>
        <v>209000</v>
      </c>
      <c r="N892" s="5">
        <v>59000</v>
      </c>
      <c r="O892" s="8">
        <f t="shared" si="81"/>
        <v>268000</v>
      </c>
      <c r="P892" s="2" t="s">
        <v>63</v>
      </c>
      <c r="Q892" s="10" t="str">
        <f>VLOOKUP(A892,Status!A:B,2,0)</f>
        <v>Cancelled</v>
      </c>
      <c r="R892" s="2" t="s">
        <v>46</v>
      </c>
      <c r="S892" s="2">
        <v>4</v>
      </c>
      <c r="T892" s="2" t="s">
        <v>37</v>
      </c>
      <c r="U892" s="10" t="str">
        <f t="shared" si="83"/>
        <v>Jun</v>
      </c>
      <c r="V892" s="10">
        <f t="shared" si="82"/>
        <v>2025</v>
      </c>
      <c r="W892" t="e" cm="1">
        <f t="array" ref="W892">_xlfn.IFS(U892="January",1,U892="February",2,U892="March",3,U892="April",4,U892="May",5,U892="June",6,U892="July",7,U892="August",8,U892="September",9,U892="October",10,U892="November",11,U892="December",12)</f>
        <v>#N/A</v>
      </c>
    </row>
    <row r="893" spans="1:23" ht="15.75" customHeight="1" x14ac:dyDescent="0.25">
      <c r="A893" s="2" t="s">
        <v>1838</v>
      </c>
      <c r="B893" s="3">
        <v>45823.572916666657</v>
      </c>
      <c r="C893" s="2" t="s">
        <v>488</v>
      </c>
      <c r="D893" s="2" t="s">
        <v>49</v>
      </c>
      <c r="E893" s="2" t="s">
        <v>58</v>
      </c>
      <c r="F893" s="2" t="str" cm="1">
        <f t="array" ref="F893:G893">_xlfn.TEXTSPLIT(E893," - ")</f>
        <v>Gula Pasir</v>
      </c>
      <c r="G893" s="2" t="str">
        <v>Brand A</v>
      </c>
      <c r="H893" s="5">
        <v>16000</v>
      </c>
      <c r="I893" s="2">
        <v>5</v>
      </c>
      <c r="J893" s="2">
        <v>15</v>
      </c>
      <c r="K893" s="8">
        <f t="shared" si="78"/>
        <v>80000</v>
      </c>
      <c r="L893" s="8">
        <f t="shared" si="79"/>
        <v>12000</v>
      </c>
      <c r="M893" s="8">
        <f t="shared" si="80"/>
        <v>68000</v>
      </c>
      <c r="N893" s="5">
        <v>43000</v>
      </c>
      <c r="O893" s="8">
        <f t="shared" si="81"/>
        <v>111000</v>
      </c>
      <c r="P893" s="2" t="s">
        <v>35</v>
      </c>
      <c r="Q893" s="10" t="str">
        <f>VLOOKUP(A893,Status!A:B,2,0)</f>
        <v>Returned</v>
      </c>
      <c r="R893" s="2" t="s">
        <v>46</v>
      </c>
      <c r="S893" s="2">
        <v>4</v>
      </c>
      <c r="T893" s="2" t="s">
        <v>24</v>
      </c>
      <c r="U893" s="10" t="str">
        <f t="shared" si="83"/>
        <v>Jun</v>
      </c>
      <c r="V893" s="10">
        <f t="shared" si="82"/>
        <v>2025</v>
      </c>
      <c r="W893" t="e" cm="1">
        <f t="array" ref="W893">_xlfn.IFS(U893="January",1,U893="February",2,U893="March",3,U893="April",4,U893="May",5,U893="June",6,U893="July",7,U893="August",8,U893="September",9,U893="October",10,U893="November",11,U893="December",12)</f>
        <v>#N/A</v>
      </c>
    </row>
    <row r="894" spans="1:23" ht="15.75" customHeight="1" x14ac:dyDescent="0.25">
      <c r="A894" s="2" t="s">
        <v>1839</v>
      </c>
      <c r="B894" s="3">
        <v>45823.580659722233</v>
      </c>
      <c r="C894" s="2" t="s">
        <v>644</v>
      </c>
      <c r="D894" s="2" t="s">
        <v>244</v>
      </c>
      <c r="E894" s="2" t="s">
        <v>38</v>
      </c>
      <c r="F894" s="2" t="str" cm="1">
        <f t="array" ref="F894:G894">_xlfn.TEXTSPLIT(E894," - ")</f>
        <v>Telur Ayam</v>
      </c>
      <c r="G894" s="2" t="str">
        <v>Brand C</v>
      </c>
      <c r="H894" s="5">
        <v>28000</v>
      </c>
      <c r="I894" s="2">
        <v>2</v>
      </c>
      <c r="J894" s="2">
        <v>15</v>
      </c>
      <c r="K894" s="8">
        <f t="shared" si="78"/>
        <v>56000</v>
      </c>
      <c r="L894" s="8">
        <f t="shared" si="79"/>
        <v>8400</v>
      </c>
      <c r="M894" s="8">
        <f t="shared" si="80"/>
        <v>47600</v>
      </c>
      <c r="N894" s="5">
        <v>80000</v>
      </c>
      <c r="O894" s="8">
        <f t="shared" si="81"/>
        <v>127600</v>
      </c>
      <c r="P894" s="2" t="s">
        <v>63</v>
      </c>
      <c r="Q894" s="10" t="str">
        <f>VLOOKUP(A894,Status!A:B,2,0)</f>
        <v>Completed</v>
      </c>
      <c r="R894" s="2" t="s">
        <v>23</v>
      </c>
      <c r="S894" s="2">
        <v>1</v>
      </c>
      <c r="T894" s="2" t="s">
        <v>24</v>
      </c>
      <c r="U894" s="10" t="str">
        <f t="shared" si="83"/>
        <v>Jun</v>
      </c>
      <c r="V894" s="10">
        <f t="shared" si="82"/>
        <v>2025</v>
      </c>
      <c r="W894" t="e" cm="1">
        <f t="array" ref="W894">_xlfn.IFS(U894="January",1,U894="February",2,U894="March",3,U894="April",4,U894="May",5,U894="June",6,U894="July",7,U894="August",8,U894="September",9,U894="October",10,U894="November",11,U894="December",12)</f>
        <v>#N/A</v>
      </c>
    </row>
    <row r="895" spans="1:23" ht="15.75" customHeight="1" x14ac:dyDescent="0.25">
      <c r="A895" s="2" t="s">
        <v>1840</v>
      </c>
      <c r="B895" s="3">
        <v>45824.059537037043</v>
      </c>
      <c r="C895" s="2" t="s">
        <v>121</v>
      </c>
      <c r="D895" s="2" t="s">
        <v>122</v>
      </c>
      <c r="E895" s="2" t="s">
        <v>28</v>
      </c>
      <c r="F895" s="2" t="str" cm="1">
        <f t="array" ref="F895:G895">_xlfn.TEXTSPLIT(E895," - ")</f>
        <v>Garam</v>
      </c>
      <c r="G895" s="2" t="str">
        <v>Brand B</v>
      </c>
      <c r="H895" s="5">
        <v>5000</v>
      </c>
      <c r="I895" s="2">
        <v>1</v>
      </c>
      <c r="J895" s="2">
        <v>20</v>
      </c>
      <c r="K895" s="8">
        <f t="shared" si="78"/>
        <v>5000</v>
      </c>
      <c r="L895" s="8">
        <f t="shared" si="79"/>
        <v>1000</v>
      </c>
      <c r="M895" s="8">
        <f t="shared" si="80"/>
        <v>4000</v>
      </c>
      <c r="N895" s="5">
        <v>78000</v>
      </c>
      <c r="O895" s="8">
        <f t="shared" si="81"/>
        <v>82000</v>
      </c>
      <c r="P895" s="2" t="s">
        <v>29</v>
      </c>
      <c r="Q895" s="10" t="str">
        <f>VLOOKUP(A895,Status!A:B,2,0)</f>
        <v>Completed</v>
      </c>
      <c r="R895" s="2" t="s">
        <v>36</v>
      </c>
      <c r="S895" s="2">
        <v>1</v>
      </c>
      <c r="T895" s="2" t="s">
        <v>24</v>
      </c>
      <c r="U895" s="10" t="str">
        <f t="shared" si="83"/>
        <v>Jun</v>
      </c>
      <c r="V895" s="10">
        <f t="shared" si="82"/>
        <v>2025</v>
      </c>
      <c r="W895" t="e" cm="1">
        <f t="array" ref="W895">_xlfn.IFS(U895="January",1,U895="February",2,U895="March",3,U895="April",4,U895="May",5,U895="June",6,U895="July",7,U895="August",8,U895="September",9,U895="October",10,U895="November",11,U895="December",12)</f>
        <v>#N/A</v>
      </c>
    </row>
    <row r="896" spans="1:23" ht="15.75" customHeight="1" x14ac:dyDescent="0.25">
      <c r="A896" s="2" t="s">
        <v>1841</v>
      </c>
      <c r="B896" s="3">
        <v>45824.182256944441</v>
      </c>
      <c r="C896" s="2" t="s">
        <v>220</v>
      </c>
      <c r="D896" s="2" t="s">
        <v>53</v>
      </c>
      <c r="E896" s="2" t="s">
        <v>88</v>
      </c>
      <c r="F896" s="2" t="str" cm="1">
        <f t="array" ref="F896:G896">_xlfn.TEXTSPLIT(E896," - ")</f>
        <v>Beras</v>
      </c>
      <c r="G896" s="2" t="str">
        <v>Brand A</v>
      </c>
      <c r="H896" s="5">
        <v>14000</v>
      </c>
      <c r="I896" s="2">
        <v>2</v>
      </c>
      <c r="J896" s="2">
        <v>5</v>
      </c>
      <c r="K896" s="8">
        <f t="shared" si="78"/>
        <v>28000</v>
      </c>
      <c r="L896" s="8">
        <f t="shared" si="79"/>
        <v>1400</v>
      </c>
      <c r="M896" s="8">
        <f t="shared" si="80"/>
        <v>26600</v>
      </c>
      <c r="N896" s="5">
        <v>18000</v>
      </c>
      <c r="O896" s="8">
        <f t="shared" si="81"/>
        <v>44600</v>
      </c>
      <c r="P896" s="2" t="s">
        <v>22</v>
      </c>
      <c r="Q896" s="10" t="str">
        <f>VLOOKUP(A896,Status!A:B,2,0)</f>
        <v>Completed</v>
      </c>
      <c r="R896" s="2" t="s">
        <v>23</v>
      </c>
      <c r="S896" s="2">
        <v>1</v>
      </c>
      <c r="T896" s="2" t="s">
        <v>24</v>
      </c>
      <c r="U896" s="10" t="str">
        <f t="shared" si="83"/>
        <v>Jun</v>
      </c>
      <c r="V896" s="10">
        <f t="shared" si="82"/>
        <v>2025</v>
      </c>
      <c r="W896" t="e" cm="1">
        <f t="array" ref="W896">_xlfn.IFS(U896="January",1,U896="February",2,U896="March",3,U896="April",4,U896="May",5,U896="June",6,U896="July",7,U896="August",8,U896="September",9,U896="October",10,U896="November",11,U896="December",12)</f>
        <v>#N/A</v>
      </c>
    </row>
    <row r="897" spans="1:23" ht="15.75" customHeight="1" x14ac:dyDescent="0.25">
      <c r="A897" s="2" t="s">
        <v>1842</v>
      </c>
      <c r="B897" s="3">
        <v>45824.325555555559</v>
      </c>
      <c r="C897" s="2" t="s">
        <v>416</v>
      </c>
      <c r="D897" s="2" t="s">
        <v>131</v>
      </c>
      <c r="E897" s="2" t="s">
        <v>138</v>
      </c>
      <c r="F897" s="2" t="str" cm="1">
        <f t="array" ref="F897:G897">_xlfn.TEXTSPLIT(E897," - ")</f>
        <v>Gula Pasir</v>
      </c>
      <c r="G897" s="2" t="str">
        <v>Brand B</v>
      </c>
      <c r="H897" s="5">
        <v>17000</v>
      </c>
      <c r="I897" s="2">
        <v>2</v>
      </c>
      <c r="J897" s="2">
        <v>20</v>
      </c>
      <c r="K897" s="8">
        <f t="shared" si="78"/>
        <v>34000</v>
      </c>
      <c r="L897" s="8">
        <f t="shared" si="79"/>
        <v>6800</v>
      </c>
      <c r="M897" s="8">
        <f t="shared" si="80"/>
        <v>27200</v>
      </c>
      <c r="N897" s="5">
        <v>59000</v>
      </c>
      <c r="O897" s="8">
        <f t="shared" si="81"/>
        <v>86200</v>
      </c>
      <c r="P897" s="2" t="s">
        <v>63</v>
      </c>
      <c r="Q897" s="10" t="str">
        <f>VLOOKUP(A897,Status!A:B,2,0)</f>
        <v>Completed</v>
      </c>
      <c r="R897" s="2" t="s">
        <v>36</v>
      </c>
      <c r="S897" s="2">
        <v>5</v>
      </c>
      <c r="T897" s="2" t="s">
        <v>24</v>
      </c>
      <c r="U897" s="10" t="str">
        <f t="shared" si="83"/>
        <v>Jun</v>
      </c>
      <c r="V897" s="10">
        <f t="shared" si="82"/>
        <v>2025</v>
      </c>
      <c r="W897" t="e" cm="1">
        <f t="array" ref="W897">_xlfn.IFS(U897="January",1,U897="February",2,U897="March",3,U897="April",4,U897="May",5,U897="June",6,U897="July",7,U897="August",8,U897="September",9,U897="October",10,U897="November",11,U897="December",12)</f>
        <v>#N/A</v>
      </c>
    </row>
    <row r="898" spans="1:23" ht="15.75" customHeight="1" x14ac:dyDescent="0.25">
      <c r="A898" s="2" t="s">
        <v>1843</v>
      </c>
      <c r="B898" s="3">
        <v>45824.400405092587</v>
      </c>
      <c r="C898" s="2" t="s">
        <v>412</v>
      </c>
      <c r="D898" s="2" t="s">
        <v>70</v>
      </c>
      <c r="E898" s="2" t="s">
        <v>75</v>
      </c>
      <c r="F898" s="2" t="str" cm="1">
        <f t="array" ref="F898:G898">_xlfn.TEXTSPLIT(E898," - ")</f>
        <v>Susu Bubuk</v>
      </c>
      <c r="G898" s="2" t="str">
        <v>Brand C</v>
      </c>
      <c r="H898" s="5">
        <v>55000</v>
      </c>
      <c r="I898" s="2">
        <v>3</v>
      </c>
      <c r="J898" s="2">
        <v>5</v>
      </c>
      <c r="K898" s="8">
        <f t="shared" ref="K898:K961" si="84">H898*I898</f>
        <v>165000</v>
      </c>
      <c r="L898" s="8">
        <f t="shared" ref="L898:L961" si="85">K898*J898%</f>
        <v>8250</v>
      </c>
      <c r="M898" s="8">
        <f t="shared" ref="M898:M961" si="86">K898-L898</f>
        <v>156750</v>
      </c>
      <c r="N898" s="5">
        <v>89000</v>
      </c>
      <c r="O898" s="8">
        <f t="shared" ref="O898:O961" si="87">M898+N898</f>
        <v>245750</v>
      </c>
      <c r="P898" s="2" t="s">
        <v>35</v>
      </c>
      <c r="Q898" s="10" t="str">
        <f>VLOOKUP(A898,Status!A:B,2,0)</f>
        <v>Completed</v>
      </c>
      <c r="R898" s="2" t="s">
        <v>30</v>
      </c>
      <c r="S898" s="2">
        <v>3</v>
      </c>
      <c r="T898" s="2" t="s">
        <v>24</v>
      </c>
      <c r="U898" s="10" t="str">
        <f t="shared" si="83"/>
        <v>Jun</v>
      </c>
      <c r="V898" s="10">
        <f t="shared" ref="V898:V961" si="88">YEAR(B898)</f>
        <v>2025</v>
      </c>
      <c r="W898" t="e" cm="1">
        <f t="array" ref="W898">_xlfn.IFS(U898="January",1,U898="February",2,U898="March",3,U898="April",4,U898="May",5,U898="June",6,U898="July",7,U898="August",8,U898="September",9,U898="October",10,U898="November",11,U898="December",12)</f>
        <v>#N/A</v>
      </c>
    </row>
    <row r="899" spans="1:23" ht="15.75" customHeight="1" x14ac:dyDescent="0.25">
      <c r="A899" s="2" t="s">
        <v>1844</v>
      </c>
      <c r="B899" s="3">
        <v>45824.791226851848</v>
      </c>
      <c r="C899" s="2" t="s">
        <v>1321</v>
      </c>
      <c r="D899" s="2" t="s">
        <v>113</v>
      </c>
      <c r="E899" s="2" t="s">
        <v>93</v>
      </c>
      <c r="F899" s="2" t="str" cm="1">
        <f t="array" ref="F899:G899">_xlfn.TEXTSPLIT(E899," - ")</f>
        <v>Telur Ayam</v>
      </c>
      <c r="G899" s="2" t="str">
        <v>Brand B</v>
      </c>
      <c r="H899" s="5">
        <v>25000</v>
      </c>
      <c r="I899" s="2">
        <v>4</v>
      </c>
      <c r="J899" s="2">
        <v>10</v>
      </c>
      <c r="K899" s="8">
        <f t="shared" si="84"/>
        <v>100000</v>
      </c>
      <c r="L899" s="8">
        <f t="shared" si="85"/>
        <v>10000</v>
      </c>
      <c r="M899" s="8">
        <f t="shared" si="86"/>
        <v>90000</v>
      </c>
      <c r="N899" s="5">
        <v>18000</v>
      </c>
      <c r="O899" s="8">
        <f t="shared" si="87"/>
        <v>108000</v>
      </c>
      <c r="P899" s="2" t="s">
        <v>29</v>
      </c>
      <c r="Q899" s="10" t="str">
        <f>VLOOKUP(A899,Status!A:B,2,0)</f>
        <v>Completed</v>
      </c>
      <c r="R899" s="2" t="s">
        <v>46</v>
      </c>
      <c r="S899" s="2">
        <v>5</v>
      </c>
      <c r="T899" s="2" t="s">
        <v>24</v>
      </c>
      <c r="U899" s="10" t="str">
        <f t="shared" ref="U899:U962" si="89">TEXT(B899,"MMM")</f>
        <v>Jun</v>
      </c>
      <c r="V899" s="10">
        <f t="shared" si="88"/>
        <v>2025</v>
      </c>
      <c r="W899" t="e" cm="1">
        <f t="array" ref="W899">_xlfn.IFS(U899="January",1,U899="February",2,U899="March",3,U899="April",4,U899="May",5,U899="June",6,U899="July",7,U899="August",8,U899="September",9,U899="October",10,U899="November",11,U899="December",12)</f>
        <v>#N/A</v>
      </c>
    </row>
    <row r="900" spans="1:23" ht="15.75" customHeight="1" x14ac:dyDescent="0.25">
      <c r="A900" s="2" t="s">
        <v>1845</v>
      </c>
      <c r="B900" s="3">
        <v>45824.819444444453</v>
      </c>
      <c r="C900" s="2" t="s">
        <v>410</v>
      </c>
      <c r="D900" s="2" t="s">
        <v>151</v>
      </c>
      <c r="E900" s="2" t="s">
        <v>186</v>
      </c>
      <c r="F900" s="2" t="str" cm="1">
        <f t="array" ref="F900:G900">_xlfn.TEXTSPLIT(E900," - ")</f>
        <v>Susu Bubuk</v>
      </c>
      <c r="G900" s="2" t="str">
        <v>Brand A</v>
      </c>
      <c r="H900" s="5">
        <v>45000</v>
      </c>
      <c r="I900" s="2">
        <v>3</v>
      </c>
      <c r="J900" s="2">
        <v>10</v>
      </c>
      <c r="K900" s="8">
        <f t="shared" si="84"/>
        <v>135000</v>
      </c>
      <c r="L900" s="8">
        <f t="shared" si="85"/>
        <v>13500</v>
      </c>
      <c r="M900" s="8">
        <f t="shared" si="86"/>
        <v>121500</v>
      </c>
      <c r="N900" s="5">
        <v>55000</v>
      </c>
      <c r="O900" s="8">
        <f t="shared" si="87"/>
        <v>176500</v>
      </c>
      <c r="P900" s="2" t="s">
        <v>35</v>
      </c>
      <c r="Q900" s="10" t="str">
        <f>VLOOKUP(A900,Status!A:B,2,0)</f>
        <v>Completed</v>
      </c>
      <c r="R900" s="2" t="s">
        <v>36</v>
      </c>
      <c r="S900" s="2">
        <v>1</v>
      </c>
      <c r="T900" s="2" t="s">
        <v>24</v>
      </c>
      <c r="U900" s="10" t="str">
        <f t="shared" si="89"/>
        <v>Jun</v>
      </c>
      <c r="V900" s="10">
        <f t="shared" si="88"/>
        <v>2025</v>
      </c>
      <c r="W900" t="e" cm="1">
        <f t="array" ref="W900">_xlfn.IFS(U900="January",1,U900="February",2,U900="March",3,U900="April",4,U900="May",5,U900="June",6,U900="July",7,U900="August",8,U900="September",9,U900="October",10,U900="November",11,U900="December",12)</f>
        <v>#N/A</v>
      </c>
    </row>
    <row r="901" spans="1:23" ht="15.75" customHeight="1" x14ac:dyDescent="0.25">
      <c r="A901" s="2" t="s">
        <v>1846</v>
      </c>
      <c r="B901" s="3">
        <v>45824.867627314823</v>
      </c>
      <c r="C901" s="2" t="s">
        <v>252</v>
      </c>
      <c r="D901" s="2" t="s">
        <v>131</v>
      </c>
      <c r="E901" s="2" t="s">
        <v>110</v>
      </c>
      <c r="F901" s="2" t="str" cm="1">
        <f t="array" ref="F901:G901">_xlfn.TEXTSPLIT(E901," - ")</f>
        <v>Garam</v>
      </c>
      <c r="G901" s="2" t="str">
        <v>Brand C</v>
      </c>
      <c r="H901" s="5">
        <v>6000</v>
      </c>
      <c r="I901" s="2">
        <v>4</v>
      </c>
      <c r="J901" s="2">
        <v>10</v>
      </c>
      <c r="K901" s="8">
        <f t="shared" si="84"/>
        <v>24000</v>
      </c>
      <c r="L901" s="8">
        <f t="shared" si="85"/>
        <v>2400</v>
      </c>
      <c r="M901" s="8">
        <f t="shared" si="86"/>
        <v>21600</v>
      </c>
      <c r="N901" s="5">
        <v>59000</v>
      </c>
      <c r="O901" s="8">
        <f t="shared" si="87"/>
        <v>80600</v>
      </c>
      <c r="P901" s="2" t="s">
        <v>63</v>
      </c>
      <c r="Q901" s="10" t="str">
        <f>VLOOKUP(A901,Status!A:B,2,0)</f>
        <v>Returned</v>
      </c>
      <c r="R901" s="2" t="s">
        <v>36</v>
      </c>
      <c r="S901" s="2">
        <v>4</v>
      </c>
      <c r="T901" s="2" t="s">
        <v>24</v>
      </c>
      <c r="U901" s="10" t="str">
        <f t="shared" si="89"/>
        <v>Jun</v>
      </c>
      <c r="V901" s="10">
        <f t="shared" si="88"/>
        <v>2025</v>
      </c>
      <c r="W901" t="e" cm="1">
        <f t="array" ref="W901">_xlfn.IFS(U901="January",1,U901="February",2,U901="March",3,U901="April",4,U901="May",5,U901="June",6,U901="July",7,U901="August",8,U901="September",9,U901="October",10,U901="November",11,U901="December",12)</f>
        <v>#N/A</v>
      </c>
    </row>
    <row r="902" spans="1:23" ht="15.75" customHeight="1" x14ac:dyDescent="0.25">
      <c r="A902" s="2" t="s">
        <v>1847</v>
      </c>
      <c r="B902" s="3">
        <v>45824.869571759264</v>
      </c>
      <c r="C902" s="2" t="s">
        <v>87</v>
      </c>
      <c r="D902" s="2" t="s">
        <v>80</v>
      </c>
      <c r="E902" s="2" t="s">
        <v>250</v>
      </c>
      <c r="F902" s="2" t="str" cm="1">
        <f t="array" ref="F902:G902">_xlfn.TEXTSPLIT(E902," - ")</f>
        <v>Minyak Goreng</v>
      </c>
      <c r="G902" s="2" t="str">
        <v>Brand C</v>
      </c>
      <c r="H902" s="5">
        <v>18000</v>
      </c>
      <c r="I902" s="2">
        <v>1</v>
      </c>
      <c r="J902" s="2">
        <v>15</v>
      </c>
      <c r="K902" s="8">
        <f t="shared" si="84"/>
        <v>18000</v>
      </c>
      <c r="L902" s="8">
        <f t="shared" si="85"/>
        <v>2700</v>
      </c>
      <c r="M902" s="8">
        <f t="shared" si="86"/>
        <v>15300</v>
      </c>
      <c r="N902" s="5">
        <v>74000</v>
      </c>
      <c r="O902" s="8">
        <f t="shared" si="87"/>
        <v>89300</v>
      </c>
      <c r="P902" s="2" t="s">
        <v>29</v>
      </c>
      <c r="Q902" s="10" t="str">
        <f>VLOOKUP(A902,Status!A:B,2,0)</f>
        <v>Returned</v>
      </c>
      <c r="R902" s="2" t="s">
        <v>46</v>
      </c>
      <c r="S902" s="2">
        <v>2</v>
      </c>
      <c r="T902" s="2" t="s">
        <v>24</v>
      </c>
      <c r="U902" s="10" t="str">
        <f t="shared" si="89"/>
        <v>Jun</v>
      </c>
      <c r="V902" s="10">
        <f t="shared" si="88"/>
        <v>2025</v>
      </c>
      <c r="W902" t="e" cm="1">
        <f t="array" ref="W902">_xlfn.IFS(U902="January",1,U902="February",2,U902="March",3,U902="April",4,U902="May",5,U902="June",6,U902="July",7,U902="August",8,U902="September",9,U902="October",10,U902="November",11,U902="December",12)</f>
        <v>#N/A</v>
      </c>
    </row>
    <row r="903" spans="1:23" ht="15.75" customHeight="1" x14ac:dyDescent="0.25">
      <c r="A903" s="2" t="s">
        <v>1848</v>
      </c>
      <c r="B903" s="3">
        <v>45824.939189814817</v>
      </c>
      <c r="C903" s="2" t="s">
        <v>1849</v>
      </c>
      <c r="D903" s="2" t="s">
        <v>238</v>
      </c>
      <c r="E903" s="2" t="s">
        <v>85</v>
      </c>
      <c r="F903" s="2" t="str" cm="1">
        <f t="array" ref="F903:G903">_xlfn.TEXTSPLIT(E903," - ")</f>
        <v>Daging Ayam</v>
      </c>
      <c r="G903" s="2" t="str">
        <v>Brand A</v>
      </c>
      <c r="H903" s="5">
        <v>35000</v>
      </c>
      <c r="I903" s="2">
        <v>5</v>
      </c>
      <c r="J903" s="2">
        <v>5</v>
      </c>
      <c r="K903" s="8">
        <f t="shared" si="84"/>
        <v>175000</v>
      </c>
      <c r="L903" s="8">
        <f t="shared" si="85"/>
        <v>8750</v>
      </c>
      <c r="M903" s="8">
        <f t="shared" si="86"/>
        <v>166250</v>
      </c>
      <c r="N903" s="5">
        <v>28000</v>
      </c>
      <c r="O903" s="8">
        <f t="shared" si="87"/>
        <v>194250</v>
      </c>
      <c r="P903" s="2" t="s">
        <v>63</v>
      </c>
      <c r="Q903" s="10" t="str">
        <f>VLOOKUP(A903,Status!A:B,2,0)</f>
        <v>Completed</v>
      </c>
      <c r="R903" s="2" t="s">
        <v>30</v>
      </c>
      <c r="S903" s="2">
        <v>5</v>
      </c>
      <c r="T903" s="2" t="s">
        <v>24</v>
      </c>
      <c r="U903" s="10" t="str">
        <f t="shared" si="89"/>
        <v>Jun</v>
      </c>
      <c r="V903" s="10">
        <f t="shared" si="88"/>
        <v>2025</v>
      </c>
      <c r="W903" t="e" cm="1">
        <f t="array" ref="W903">_xlfn.IFS(U903="January",1,U903="February",2,U903="March",3,U903="April",4,U903="May",5,U903="June",6,U903="July",7,U903="August",8,U903="September",9,U903="October",10,U903="November",11,U903="December",12)</f>
        <v>#N/A</v>
      </c>
    </row>
    <row r="904" spans="1:23" ht="15.75" customHeight="1" x14ac:dyDescent="0.25">
      <c r="A904" s="2" t="s">
        <v>1850</v>
      </c>
      <c r="B904" s="3">
        <v>45825.124027777783</v>
      </c>
      <c r="C904" s="2" t="s">
        <v>431</v>
      </c>
      <c r="D904" s="2" t="s">
        <v>33</v>
      </c>
      <c r="E904" s="2" t="s">
        <v>67</v>
      </c>
      <c r="F904" s="2" t="str" cm="1">
        <f t="array" ref="F904:G904">_xlfn.TEXTSPLIT(E904," - ")</f>
        <v>Beras</v>
      </c>
      <c r="G904" s="2" t="str">
        <v>Brand B</v>
      </c>
      <c r="H904" s="5">
        <v>15000</v>
      </c>
      <c r="I904" s="2">
        <v>4</v>
      </c>
      <c r="J904" s="2">
        <v>5</v>
      </c>
      <c r="K904" s="8">
        <f t="shared" si="84"/>
        <v>60000</v>
      </c>
      <c r="L904" s="8">
        <f t="shared" si="85"/>
        <v>3000</v>
      </c>
      <c r="M904" s="8">
        <f t="shared" si="86"/>
        <v>57000</v>
      </c>
      <c r="N904" s="5">
        <v>76000</v>
      </c>
      <c r="O904" s="8">
        <f t="shared" si="87"/>
        <v>133000</v>
      </c>
      <c r="P904" s="2" t="s">
        <v>22</v>
      </c>
      <c r="Q904" s="10" t="str">
        <f>VLOOKUP(A904,Status!A:B,2,0)</f>
        <v>Completed</v>
      </c>
      <c r="R904" s="2" t="s">
        <v>82</v>
      </c>
      <c r="S904" s="2">
        <v>5</v>
      </c>
      <c r="T904" s="2" t="s">
        <v>24</v>
      </c>
      <c r="U904" s="10" t="str">
        <f t="shared" si="89"/>
        <v>Jun</v>
      </c>
      <c r="V904" s="10">
        <f t="shared" si="88"/>
        <v>2025</v>
      </c>
      <c r="W904" t="e" cm="1">
        <f t="array" ref="W904">_xlfn.IFS(U904="January",1,U904="February",2,U904="March",3,U904="April",4,U904="May",5,U904="June",6,U904="July",7,U904="August",8,U904="September",9,U904="October",10,U904="November",11,U904="December",12)</f>
        <v>#N/A</v>
      </c>
    </row>
    <row r="905" spans="1:23" ht="15.75" customHeight="1" x14ac:dyDescent="0.25">
      <c r="A905" s="2" t="s">
        <v>1850</v>
      </c>
      <c r="B905" s="3">
        <v>45825.124027777783</v>
      </c>
      <c r="C905" s="2" t="s">
        <v>431</v>
      </c>
      <c r="D905" s="2" t="s">
        <v>33</v>
      </c>
      <c r="E905" s="2" t="s">
        <v>45</v>
      </c>
      <c r="F905" s="2" t="str" cm="1">
        <f t="array" ref="F905:G905">_xlfn.TEXTSPLIT(E905," - ")</f>
        <v>Daging Ayam</v>
      </c>
      <c r="G905" s="2" t="str">
        <v>Brand B</v>
      </c>
      <c r="H905" s="5">
        <v>40000</v>
      </c>
      <c r="I905" s="2">
        <v>5</v>
      </c>
      <c r="J905" s="2">
        <v>10</v>
      </c>
      <c r="K905" s="8">
        <f t="shared" si="84"/>
        <v>200000</v>
      </c>
      <c r="L905" s="8">
        <f t="shared" si="85"/>
        <v>20000</v>
      </c>
      <c r="M905" s="8">
        <f t="shared" si="86"/>
        <v>180000</v>
      </c>
      <c r="N905" s="5">
        <v>0</v>
      </c>
      <c r="O905" s="8">
        <f t="shared" si="87"/>
        <v>180000</v>
      </c>
      <c r="P905" s="2" t="s">
        <v>22</v>
      </c>
      <c r="Q905" s="10" t="str">
        <f>VLOOKUP(A905,Status!A:B,2,0)</f>
        <v>Completed</v>
      </c>
      <c r="R905" s="2" t="s">
        <v>82</v>
      </c>
      <c r="S905" s="2">
        <v>5</v>
      </c>
      <c r="T905" s="2" t="s">
        <v>24</v>
      </c>
      <c r="U905" s="10" t="str">
        <f t="shared" si="89"/>
        <v>Jun</v>
      </c>
      <c r="V905" s="10">
        <f t="shared" si="88"/>
        <v>2025</v>
      </c>
      <c r="W905" t="e" cm="1">
        <f t="array" ref="W905">_xlfn.IFS(U905="January",1,U905="February",2,U905="March",3,U905="April",4,U905="May",5,U905="June",6,U905="July",7,U905="August",8,U905="September",9,U905="October",10,U905="November",11,U905="December",12)</f>
        <v>#N/A</v>
      </c>
    </row>
    <row r="906" spans="1:23" ht="15.75" customHeight="1" x14ac:dyDescent="0.25">
      <c r="A906" s="2" t="s">
        <v>1851</v>
      </c>
      <c r="B906" s="3">
        <v>45825.14534722222</v>
      </c>
      <c r="C906" s="2" t="s">
        <v>827</v>
      </c>
      <c r="D906" s="2" t="s">
        <v>20</v>
      </c>
      <c r="E906" s="2" t="s">
        <v>136</v>
      </c>
      <c r="F906" s="2" t="str" cm="1">
        <f t="array" ref="F906:G906">_xlfn.TEXTSPLIT(E906," - ")</f>
        <v>Tepung Terigu</v>
      </c>
      <c r="G906" s="2" t="str">
        <v>Brand B</v>
      </c>
      <c r="H906" s="5">
        <v>12000</v>
      </c>
      <c r="I906" s="2">
        <v>5</v>
      </c>
      <c r="J906" s="2">
        <v>20</v>
      </c>
      <c r="K906" s="8">
        <f t="shared" si="84"/>
        <v>60000</v>
      </c>
      <c r="L906" s="8">
        <f t="shared" si="85"/>
        <v>12000</v>
      </c>
      <c r="M906" s="8">
        <f t="shared" si="86"/>
        <v>48000</v>
      </c>
      <c r="N906" s="5">
        <v>15000</v>
      </c>
      <c r="O906" s="8">
        <f t="shared" si="87"/>
        <v>63000</v>
      </c>
      <c r="P906" s="2" t="s">
        <v>35</v>
      </c>
      <c r="Q906" s="10" t="str">
        <f>VLOOKUP(A906,Status!A:B,2,0)</f>
        <v>Completed</v>
      </c>
      <c r="R906" s="2" t="s">
        <v>36</v>
      </c>
      <c r="S906" s="2">
        <v>3</v>
      </c>
      <c r="T906" s="2" t="s">
        <v>24</v>
      </c>
      <c r="U906" s="10" t="str">
        <f t="shared" si="89"/>
        <v>Jun</v>
      </c>
      <c r="V906" s="10">
        <f t="shared" si="88"/>
        <v>2025</v>
      </c>
      <c r="W906" t="e" cm="1">
        <f t="array" ref="W906">_xlfn.IFS(U906="January",1,U906="February",2,U906="March",3,U906="April",4,U906="May",5,U906="June",6,U906="July",7,U906="August",8,U906="September",9,U906="October",10,U906="November",11,U906="December",12)</f>
        <v>#N/A</v>
      </c>
    </row>
    <row r="907" spans="1:23" ht="15.75" customHeight="1" x14ac:dyDescent="0.25">
      <c r="A907" s="2" t="s">
        <v>1852</v>
      </c>
      <c r="B907" s="3">
        <v>45825.189467592587</v>
      </c>
      <c r="C907" s="2" t="s">
        <v>455</v>
      </c>
      <c r="D907" s="2" t="s">
        <v>33</v>
      </c>
      <c r="E907" s="2" t="s">
        <v>54</v>
      </c>
      <c r="F907" s="2" t="str" cm="1">
        <f t="array" ref="F907:G907">_xlfn.TEXTSPLIT(E907," - ")</f>
        <v>Beras</v>
      </c>
      <c r="G907" s="2" t="str">
        <v>Brand C</v>
      </c>
      <c r="H907" s="5">
        <v>16000</v>
      </c>
      <c r="I907" s="2">
        <v>5</v>
      </c>
      <c r="J907" s="2">
        <v>20</v>
      </c>
      <c r="K907" s="8">
        <f t="shared" si="84"/>
        <v>80000</v>
      </c>
      <c r="L907" s="8">
        <f t="shared" si="85"/>
        <v>16000</v>
      </c>
      <c r="M907" s="8">
        <f t="shared" si="86"/>
        <v>64000</v>
      </c>
      <c r="N907" s="5">
        <v>76000</v>
      </c>
      <c r="O907" s="8">
        <f t="shared" si="87"/>
        <v>140000</v>
      </c>
      <c r="P907" s="2" t="s">
        <v>29</v>
      </c>
      <c r="Q907" s="10" t="str">
        <f>VLOOKUP(A907,Status!A:B,2,0)</f>
        <v>Completed</v>
      </c>
      <c r="R907" s="2" t="s">
        <v>23</v>
      </c>
      <c r="S907" s="2">
        <v>5</v>
      </c>
      <c r="T907" s="2" t="s">
        <v>24</v>
      </c>
      <c r="U907" s="10" t="str">
        <f t="shared" si="89"/>
        <v>Jun</v>
      </c>
      <c r="V907" s="10">
        <f t="shared" si="88"/>
        <v>2025</v>
      </c>
      <c r="W907" t="e" cm="1">
        <f t="array" ref="W907">_xlfn.IFS(U907="January",1,U907="February",2,U907="March",3,U907="April",4,U907="May",5,U907="June",6,U907="July",7,U907="August",8,U907="September",9,U907="October",10,U907="November",11,U907="December",12)</f>
        <v>#N/A</v>
      </c>
    </row>
    <row r="908" spans="1:23" ht="15.75" customHeight="1" x14ac:dyDescent="0.25">
      <c r="A908" s="2" t="s">
        <v>1853</v>
      </c>
      <c r="B908" s="3">
        <v>45825.263229166667</v>
      </c>
      <c r="C908" s="2" t="s">
        <v>1130</v>
      </c>
      <c r="D908" s="2" t="s">
        <v>122</v>
      </c>
      <c r="E908" s="2" t="s">
        <v>71</v>
      </c>
      <c r="F908" s="2" t="str" cm="1">
        <f t="array" ref="F908:G908">_xlfn.TEXTSPLIT(E908," - ")</f>
        <v>Bawang Merah</v>
      </c>
      <c r="G908" s="2" t="str">
        <v>Brand C</v>
      </c>
      <c r="H908" s="5">
        <v>40000</v>
      </c>
      <c r="I908" s="2">
        <v>5</v>
      </c>
      <c r="J908" s="2">
        <v>20</v>
      </c>
      <c r="K908" s="8">
        <f t="shared" si="84"/>
        <v>200000</v>
      </c>
      <c r="L908" s="8">
        <f t="shared" si="85"/>
        <v>40000</v>
      </c>
      <c r="M908" s="8">
        <f t="shared" si="86"/>
        <v>160000</v>
      </c>
      <c r="N908" s="5">
        <v>78000</v>
      </c>
      <c r="O908" s="8">
        <f t="shared" si="87"/>
        <v>238000</v>
      </c>
      <c r="P908" s="2" t="s">
        <v>63</v>
      </c>
      <c r="Q908" s="10" t="str">
        <f>VLOOKUP(A908,Status!A:B,2,0)</f>
        <v>Completed</v>
      </c>
      <c r="R908" s="2" t="s">
        <v>46</v>
      </c>
      <c r="S908" s="2">
        <v>3</v>
      </c>
      <c r="T908" s="2" t="s">
        <v>24</v>
      </c>
      <c r="U908" s="10" t="str">
        <f t="shared" si="89"/>
        <v>Jun</v>
      </c>
      <c r="V908" s="10">
        <f t="shared" si="88"/>
        <v>2025</v>
      </c>
      <c r="W908" t="e" cm="1">
        <f t="array" ref="W908">_xlfn.IFS(U908="January",1,U908="February",2,U908="March",3,U908="April",4,U908="May",5,U908="June",6,U908="July",7,U908="August",8,U908="September",9,U908="October",10,U908="November",11,U908="December",12)</f>
        <v>#N/A</v>
      </c>
    </row>
    <row r="909" spans="1:23" ht="15.75" customHeight="1" x14ac:dyDescent="0.25">
      <c r="A909" s="2" t="s">
        <v>1854</v>
      </c>
      <c r="B909" s="3">
        <v>45825.270729166667</v>
      </c>
      <c r="C909" s="2" t="s">
        <v>377</v>
      </c>
      <c r="D909" s="2" t="s">
        <v>182</v>
      </c>
      <c r="E909" s="2" t="s">
        <v>93</v>
      </c>
      <c r="F909" s="2" t="str" cm="1">
        <f t="array" ref="F909:G909">_xlfn.TEXTSPLIT(E909," - ")</f>
        <v>Telur Ayam</v>
      </c>
      <c r="G909" s="2" t="str">
        <v>Brand B</v>
      </c>
      <c r="H909" s="5">
        <v>25000</v>
      </c>
      <c r="I909" s="2">
        <v>5</v>
      </c>
      <c r="J909" s="2">
        <v>0</v>
      </c>
      <c r="K909" s="8">
        <f t="shared" si="84"/>
        <v>125000</v>
      </c>
      <c r="L909" s="8">
        <f t="shared" si="85"/>
        <v>0</v>
      </c>
      <c r="M909" s="8">
        <f t="shared" si="86"/>
        <v>125000</v>
      </c>
      <c r="N909" s="5">
        <v>48000</v>
      </c>
      <c r="O909" s="8">
        <f t="shared" si="87"/>
        <v>173000</v>
      </c>
      <c r="P909" s="2" t="s">
        <v>63</v>
      </c>
      <c r="Q909" s="10" t="str">
        <f>VLOOKUP(A909,Status!A:B,2,0)</f>
        <v>Completed</v>
      </c>
      <c r="R909" s="2" t="s">
        <v>23</v>
      </c>
      <c r="S909" s="2">
        <v>4</v>
      </c>
      <c r="T909" s="2" t="s">
        <v>24</v>
      </c>
      <c r="U909" s="10" t="str">
        <f t="shared" si="89"/>
        <v>Jun</v>
      </c>
      <c r="V909" s="10">
        <f t="shared" si="88"/>
        <v>2025</v>
      </c>
      <c r="W909" t="e" cm="1">
        <f t="array" ref="W909">_xlfn.IFS(U909="January",1,U909="February",2,U909="March",3,U909="April",4,U909="May",5,U909="June",6,U909="July",7,U909="August",8,U909="September",9,U909="October",10,U909="November",11,U909="December",12)</f>
        <v>#N/A</v>
      </c>
    </row>
    <row r="910" spans="1:23" ht="15.75" customHeight="1" x14ac:dyDescent="0.25">
      <c r="A910" s="2" t="s">
        <v>1855</v>
      </c>
      <c r="B910" s="3">
        <v>45825.375011574077</v>
      </c>
      <c r="C910" s="2" t="s">
        <v>1038</v>
      </c>
      <c r="D910" s="2" t="s">
        <v>53</v>
      </c>
      <c r="E910" s="2" t="s">
        <v>186</v>
      </c>
      <c r="F910" s="2" t="str" cm="1">
        <f t="array" ref="F910:G910">_xlfn.TEXTSPLIT(E910," - ")</f>
        <v>Susu Bubuk</v>
      </c>
      <c r="G910" s="2" t="str">
        <v>Brand A</v>
      </c>
      <c r="H910" s="5">
        <v>45000</v>
      </c>
      <c r="I910" s="2">
        <v>2</v>
      </c>
      <c r="J910" s="2">
        <v>10</v>
      </c>
      <c r="K910" s="8">
        <f t="shared" si="84"/>
        <v>90000</v>
      </c>
      <c r="L910" s="8">
        <f t="shared" si="85"/>
        <v>9000</v>
      </c>
      <c r="M910" s="8">
        <f t="shared" si="86"/>
        <v>81000</v>
      </c>
      <c r="N910" s="5">
        <v>18000</v>
      </c>
      <c r="O910" s="8">
        <f t="shared" si="87"/>
        <v>99000</v>
      </c>
      <c r="P910" s="2" t="s">
        <v>35</v>
      </c>
      <c r="Q910" s="10" t="str">
        <f>VLOOKUP(A910,Status!A:B,2,0)</f>
        <v>Completed</v>
      </c>
      <c r="R910" s="2" t="s">
        <v>46</v>
      </c>
      <c r="S910" s="2">
        <v>3</v>
      </c>
      <c r="T910" s="2" t="s">
        <v>24</v>
      </c>
      <c r="U910" s="10" t="str">
        <f t="shared" si="89"/>
        <v>Jun</v>
      </c>
      <c r="V910" s="10">
        <f t="shared" si="88"/>
        <v>2025</v>
      </c>
      <c r="W910" t="e" cm="1">
        <f t="array" ref="W910">_xlfn.IFS(U910="January",1,U910="February",2,U910="March",3,U910="April",4,U910="May",5,U910="June",6,U910="July",7,U910="August",8,U910="September",9,U910="October",10,U910="November",11,U910="December",12)</f>
        <v>#N/A</v>
      </c>
    </row>
    <row r="911" spans="1:23" ht="15.75" customHeight="1" x14ac:dyDescent="0.25">
      <c r="A911" s="2" t="s">
        <v>1856</v>
      </c>
      <c r="B911" s="3">
        <v>45825.424328703702</v>
      </c>
      <c r="C911" s="2" t="s">
        <v>468</v>
      </c>
      <c r="D911" s="2" t="s">
        <v>163</v>
      </c>
      <c r="E911" s="2" t="s">
        <v>58</v>
      </c>
      <c r="F911" s="2" t="str" cm="1">
        <f t="array" ref="F911:G911">_xlfn.TEXTSPLIT(E911," - ")</f>
        <v>Gula Pasir</v>
      </c>
      <c r="G911" s="2" t="str">
        <v>Brand A</v>
      </c>
      <c r="H911" s="5">
        <v>16000</v>
      </c>
      <c r="I911" s="2">
        <v>5</v>
      </c>
      <c r="J911" s="2">
        <v>20</v>
      </c>
      <c r="K911" s="8">
        <f t="shared" si="84"/>
        <v>80000</v>
      </c>
      <c r="L911" s="8">
        <f t="shared" si="85"/>
        <v>16000</v>
      </c>
      <c r="M911" s="8">
        <f t="shared" si="86"/>
        <v>64000</v>
      </c>
      <c r="N911" s="5">
        <v>50000</v>
      </c>
      <c r="O911" s="8">
        <f t="shared" si="87"/>
        <v>114000</v>
      </c>
      <c r="P911" s="2" t="s">
        <v>22</v>
      </c>
      <c r="Q911" s="10" t="str">
        <f>VLOOKUP(A911,Status!A:B,2,0)</f>
        <v>Completed</v>
      </c>
      <c r="R911" s="2" t="s">
        <v>30</v>
      </c>
      <c r="S911" s="2">
        <v>4</v>
      </c>
      <c r="T911" s="2" t="s">
        <v>24</v>
      </c>
      <c r="U911" s="10" t="str">
        <f t="shared" si="89"/>
        <v>Jun</v>
      </c>
      <c r="V911" s="10">
        <f t="shared" si="88"/>
        <v>2025</v>
      </c>
      <c r="W911" t="e" cm="1">
        <f t="array" ref="W911">_xlfn.IFS(U911="January",1,U911="February",2,U911="March",3,U911="April",4,U911="May",5,U911="June",6,U911="July",7,U911="August",8,U911="September",9,U911="October",10,U911="November",11,U911="December",12)</f>
        <v>#N/A</v>
      </c>
    </row>
    <row r="912" spans="1:23" ht="15.75" customHeight="1" x14ac:dyDescent="0.25">
      <c r="A912" s="2" t="s">
        <v>1857</v>
      </c>
      <c r="B912" s="3">
        <v>45825.580231481479</v>
      </c>
      <c r="C912" s="2" t="s">
        <v>128</v>
      </c>
      <c r="D912" s="2" t="s">
        <v>103</v>
      </c>
      <c r="E912" s="2" t="s">
        <v>144</v>
      </c>
      <c r="F912" s="2" t="str" cm="1">
        <f t="array" ref="F912:G912">_xlfn.TEXTSPLIT(E912," - ")</f>
        <v>Gula Pasir</v>
      </c>
      <c r="G912" s="2" t="str">
        <v>Brand C</v>
      </c>
      <c r="H912" s="5">
        <v>18000</v>
      </c>
      <c r="I912" s="2">
        <v>5</v>
      </c>
      <c r="J912" s="2">
        <v>5</v>
      </c>
      <c r="K912" s="8">
        <f t="shared" si="84"/>
        <v>90000</v>
      </c>
      <c r="L912" s="8">
        <f t="shared" si="85"/>
        <v>4500</v>
      </c>
      <c r="M912" s="8">
        <f t="shared" si="86"/>
        <v>85500</v>
      </c>
      <c r="N912" s="5">
        <v>85000</v>
      </c>
      <c r="O912" s="8">
        <f t="shared" si="87"/>
        <v>170500</v>
      </c>
      <c r="P912" s="2" t="s">
        <v>29</v>
      </c>
      <c r="Q912" s="10" t="str">
        <f>VLOOKUP(A912,Status!A:B,2,0)</f>
        <v>Returned</v>
      </c>
      <c r="R912" s="2" t="s">
        <v>23</v>
      </c>
      <c r="S912" s="2">
        <v>5</v>
      </c>
      <c r="T912" s="2" t="s">
        <v>37</v>
      </c>
      <c r="U912" s="10" t="str">
        <f t="shared" si="89"/>
        <v>Jun</v>
      </c>
      <c r="V912" s="10">
        <f t="shared" si="88"/>
        <v>2025</v>
      </c>
      <c r="W912" t="e" cm="1">
        <f t="array" ref="W912">_xlfn.IFS(U912="January",1,U912="February",2,U912="March",3,U912="April",4,U912="May",5,U912="June",6,U912="July",7,U912="August",8,U912="September",9,U912="October",10,U912="November",11,U912="December",12)</f>
        <v>#N/A</v>
      </c>
    </row>
    <row r="913" spans="1:23" ht="15.75" customHeight="1" x14ac:dyDescent="0.25">
      <c r="A913" s="2" t="s">
        <v>1858</v>
      </c>
      <c r="B913" s="3">
        <v>45825.66238425926</v>
      </c>
      <c r="C913" s="2" t="s">
        <v>631</v>
      </c>
      <c r="D913" s="2" t="s">
        <v>20</v>
      </c>
      <c r="E913" s="2" t="s">
        <v>93</v>
      </c>
      <c r="F913" s="2" t="str" cm="1">
        <f t="array" ref="F913:G913">_xlfn.TEXTSPLIT(E913," - ")</f>
        <v>Telur Ayam</v>
      </c>
      <c r="G913" s="2" t="str">
        <v>Brand B</v>
      </c>
      <c r="H913" s="5">
        <v>25000</v>
      </c>
      <c r="I913" s="2">
        <v>4</v>
      </c>
      <c r="J913" s="2">
        <v>15</v>
      </c>
      <c r="K913" s="8">
        <f t="shared" si="84"/>
        <v>100000</v>
      </c>
      <c r="L913" s="8">
        <f t="shared" si="85"/>
        <v>15000</v>
      </c>
      <c r="M913" s="8">
        <f t="shared" si="86"/>
        <v>85000</v>
      </c>
      <c r="N913" s="5">
        <v>15000</v>
      </c>
      <c r="O913" s="8">
        <f t="shared" si="87"/>
        <v>100000</v>
      </c>
      <c r="P913" s="2" t="s">
        <v>22</v>
      </c>
      <c r="Q913" s="10" t="str">
        <f>VLOOKUP(A913,Status!A:B,2,0)</f>
        <v>Completed</v>
      </c>
      <c r="R913" s="2" t="s">
        <v>23</v>
      </c>
      <c r="S913" s="2">
        <v>2</v>
      </c>
      <c r="T913" s="2" t="s">
        <v>37</v>
      </c>
      <c r="U913" s="10" t="str">
        <f t="shared" si="89"/>
        <v>Jun</v>
      </c>
      <c r="V913" s="10">
        <f t="shared" si="88"/>
        <v>2025</v>
      </c>
      <c r="W913" t="e" cm="1">
        <f t="array" ref="W913">_xlfn.IFS(U913="January",1,U913="February",2,U913="March",3,U913="April",4,U913="May",5,U913="June",6,U913="July",7,U913="August",8,U913="September",9,U913="October",10,U913="November",11,U913="December",12)</f>
        <v>#N/A</v>
      </c>
    </row>
    <row r="914" spans="1:23" ht="15.75" customHeight="1" x14ac:dyDescent="0.25">
      <c r="A914" s="2" t="s">
        <v>1859</v>
      </c>
      <c r="B914" s="3">
        <v>45826.315011574072</v>
      </c>
      <c r="C914" s="2" t="s">
        <v>148</v>
      </c>
      <c r="D914" s="2" t="s">
        <v>74</v>
      </c>
      <c r="E914" s="2" t="s">
        <v>104</v>
      </c>
      <c r="F914" s="2" t="str" cm="1">
        <f t="array" ref="F914:G914">_xlfn.TEXTSPLIT(E914," - ")</f>
        <v>Bawang Merah</v>
      </c>
      <c r="G914" s="2" t="str">
        <v>Brand A</v>
      </c>
      <c r="H914" s="5">
        <v>30000</v>
      </c>
      <c r="I914" s="2">
        <v>5</v>
      </c>
      <c r="J914" s="2">
        <v>5</v>
      </c>
      <c r="K914" s="8">
        <f t="shared" si="84"/>
        <v>150000</v>
      </c>
      <c r="L914" s="8">
        <f t="shared" si="85"/>
        <v>7500</v>
      </c>
      <c r="M914" s="8">
        <f t="shared" si="86"/>
        <v>142500</v>
      </c>
      <c r="N914" s="5">
        <v>87000</v>
      </c>
      <c r="O914" s="8">
        <f t="shared" si="87"/>
        <v>229500</v>
      </c>
      <c r="P914" s="2" t="s">
        <v>63</v>
      </c>
      <c r="Q914" s="10" t="str">
        <f>VLOOKUP(A914,Status!A:B,2,0)</f>
        <v>Completed</v>
      </c>
      <c r="R914" s="2" t="s">
        <v>30</v>
      </c>
      <c r="S914" s="2">
        <v>4</v>
      </c>
      <c r="T914" s="2" t="s">
        <v>24</v>
      </c>
      <c r="U914" s="10" t="str">
        <f t="shared" si="89"/>
        <v>Jun</v>
      </c>
      <c r="V914" s="10">
        <f t="shared" si="88"/>
        <v>2025</v>
      </c>
      <c r="W914" t="e" cm="1">
        <f t="array" ref="W914">_xlfn.IFS(U914="January",1,U914="February",2,U914="March",3,U914="April",4,U914="May",5,U914="June",6,U914="July",7,U914="August",8,U914="September",9,U914="October",10,U914="November",11,U914="December",12)</f>
        <v>#N/A</v>
      </c>
    </row>
    <row r="915" spans="1:23" ht="15.75" customHeight="1" x14ac:dyDescent="0.25">
      <c r="A915" s="2" t="s">
        <v>1860</v>
      </c>
      <c r="B915" s="3">
        <v>45826.42459490741</v>
      </c>
      <c r="C915" s="2" t="s">
        <v>1311</v>
      </c>
      <c r="D915" s="2" t="s">
        <v>49</v>
      </c>
      <c r="E915" s="2" t="s">
        <v>41</v>
      </c>
      <c r="F915" s="2" t="str" cm="1">
        <f t="array" ref="F915:G915">_xlfn.TEXTSPLIT(E915," - ")</f>
        <v>Garam</v>
      </c>
      <c r="G915" s="2" t="str">
        <v>Brand A</v>
      </c>
      <c r="H915" s="5">
        <v>4000</v>
      </c>
      <c r="I915" s="2">
        <v>5</v>
      </c>
      <c r="J915" s="2">
        <v>5</v>
      </c>
      <c r="K915" s="8">
        <f t="shared" si="84"/>
        <v>20000</v>
      </c>
      <c r="L915" s="8">
        <f t="shared" si="85"/>
        <v>1000</v>
      </c>
      <c r="M915" s="8">
        <f t="shared" si="86"/>
        <v>19000</v>
      </c>
      <c r="N915" s="5">
        <v>43000</v>
      </c>
      <c r="O915" s="8">
        <f t="shared" si="87"/>
        <v>62000</v>
      </c>
      <c r="P915" s="2" t="s">
        <v>29</v>
      </c>
      <c r="Q915" s="10" t="str">
        <f>VLOOKUP(A915,Status!A:B,2,0)</f>
        <v>Completed</v>
      </c>
      <c r="R915" s="2" t="s">
        <v>23</v>
      </c>
      <c r="S915" s="2">
        <v>3</v>
      </c>
      <c r="T915" s="2" t="s">
        <v>24</v>
      </c>
      <c r="U915" s="10" t="str">
        <f t="shared" si="89"/>
        <v>Jun</v>
      </c>
      <c r="V915" s="10">
        <f t="shared" si="88"/>
        <v>2025</v>
      </c>
      <c r="W915" t="e" cm="1">
        <f t="array" ref="W915">_xlfn.IFS(U915="January",1,U915="February",2,U915="March",3,U915="April",4,U915="May",5,U915="June",6,U915="July",7,U915="August",8,U915="September",9,U915="October",10,U915="November",11,U915="December",12)</f>
        <v>#N/A</v>
      </c>
    </row>
    <row r="916" spans="1:23" ht="15.75" customHeight="1" x14ac:dyDescent="0.25">
      <c r="A916" s="2" t="s">
        <v>1861</v>
      </c>
      <c r="B916" s="3">
        <v>45826.569467592592</v>
      </c>
      <c r="C916" s="2" t="s">
        <v>429</v>
      </c>
      <c r="D916" s="2" t="s">
        <v>177</v>
      </c>
      <c r="E916" s="2" t="s">
        <v>34</v>
      </c>
      <c r="F916" s="2" t="str" cm="1">
        <f t="array" ref="F916:G916">_xlfn.TEXTSPLIT(E916," - ")</f>
        <v>Minyak Goreng</v>
      </c>
      <c r="G916" s="2" t="str">
        <v>Brand A</v>
      </c>
      <c r="H916" s="5">
        <v>16000</v>
      </c>
      <c r="I916" s="2">
        <v>2</v>
      </c>
      <c r="J916" s="2">
        <v>0</v>
      </c>
      <c r="K916" s="8">
        <f t="shared" si="84"/>
        <v>32000</v>
      </c>
      <c r="L916" s="8">
        <f t="shared" si="85"/>
        <v>0</v>
      </c>
      <c r="M916" s="8">
        <f t="shared" si="86"/>
        <v>32000</v>
      </c>
      <c r="N916" s="5">
        <v>56000</v>
      </c>
      <c r="O916" s="8">
        <f t="shared" si="87"/>
        <v>88000</v>
      </c>
      <c r="P916" s="2" t="s">
        <v>22</v>
      </c>
      <c r="Q916" s="10" t="str">
        <f>VLOOKUP(A916,Status!A:B,2,0)</f>
        <v>Completed</v>
      </c>
      <c r="R916" s="2" t="s">
        <v>36</v>
      </c>
      <c r="S916" s="2">
        <v>3</v>
      </c>
      <c r="T916" s="2" t="s">
        <v>37</v>
      </c>
      <c r="U916" s="10" t="str">
        <f t="shared" si="89"/>
        <v>Jun</v>
      </c>
      <c r="V916" s="10">
        <f t="shared" si="88"/>
        <v>2025</v>
      </c>
      <c r="W916" t="e" cm="1">
        <f t="array" ref="W916">_xlfn.IFS(U916="January",1,U916="February",2,U916="March",3,U916="April",4,U916="May",5,U916="June",6,U916="July",7,U916="August",8,U916="September",9,U916="October",10,U916="November",11,U916="December",12)</f>
        <v>#N/A</v>
      </c>
    </row>
    <row r="917" spans="1:23" ht="15.75" customHeight="1" x14ac:dyDescent="0.25">
      <c r="A917" s="2" t="s">
        <v>1862</v>
      </c>
      <c r="B917" s="3">
        <v>45826.58625</v>
      </c>
      <c r="C917" s="2" t="s">
        <v>65</v>
      </c>
      <c r="D917" s="2" t="s">
        <v>66</v>
      </c>
      <c r="E917" s="2" t="s">
        <v>93</v>
      </c>
      <c r="F917" s="2" t="str" cm="1">
        <f t="array" ref="F917:G917">_xlfn.TEXTSPLIT(E917," - ")</f>
        <v>Telur Ayam</v>
      </c>
      <c r="G917" s="2" t="str">
        <v>Brand B</v>
      </c>
      <c r="H917" s="5">
        <v>25000</v>
      </c>
      <c r="I917" s="2">
        <v>4</v>
      </c>
      <c r="J917" s="2">
        <v>0</v>
      </c>
      <c r="K917" s="8">
        <f t="shared" si="84"/>
        <v>100000</v>
      </c>
      <c r="L917" s="8">
        <f t="shared" si="85"/>
        <v>0</v>
      </c>
      <c r="M917" s="8">
        <f t="shared" si="86"/>
        <v>100000</v>
      </c>
      <c r="N917" s="5">
        <v>59000</v>
      </c>
      <c r="O917" s="8">
        <f t="shared" si="87"/>
        <v>159000</v>
      </c>
      <c r="P917" s="2" t="s">
        <v>22</v>
      </c>
      <c r="Q917" s="10" t="str">
        <f>VLOOKUP(A917,Status!A:B,2,0)</f>
        <v>Completed</v>
      </c>
      <c r="R917" s="2" t="s">
        <v>82</v>
      </c>
      <c r="S917" s="2">
        <v>4</v>
      </c>
      <c r="T917" s="2" t="s">
        <v>37</v>
      </c>
      <c r="U917" s="10" t="str">
        <f t="shared" si="89"/>
        <v>Jun</v>
      </c>
      <c r="V917" s="10">
        <f t="shared" si="88"/>
        <v>2025</v>
      </c>
      <c r="W917" t="e" cm="1">
        <f t="array" ref="W917">_xlfn.IFS(U917="January",1,U917="February",2,U917="March",3,U917="April",4,U917="May",5,U917="June",6,U917="July",7,U917="August",8,U917="September",9,U917="October",10,U917="November",11,U917="December",12)</f>
        <v>#N/A</v>
      </c>
    </row>
    <row r="918" spans="1:23" ht="15.75" customHeight="1" x14ac:dyDescent="0.25">
      <c r="A918" s="2" t="s">
        <v>1863</v>
      </c>
      <c r="B918" s="3">
        <v>45826.623067129629</v>
      </c>
      <c r="C918" s="2" t="s">
        <v>207</v>
      </c>
      <c r="D918" s="2" t="s">
        <v>96</v>
      </c>
      <c r="E918" s="2" t="s">
        <v>110</v>
      </c>
      <c r="F918" s="2" t="str" cm="1">
        <f t="array" ref="F918:G918">_xlfn.TEXTSPLIT(E918," - ")</f>
        <v>Garam</v>
      </c>
      <c r="G918" s="2" t="str">
        <v>Brand C</v>
      </c>
      <c r="H918" s="5">
        <v>6000</v>
      </c>
      <c r="I918" s="2">
        <v>5</v>
      </c>
      <c r="J918" s="2">
        <v>0</v>
      </c>
      <c r="K918" s="8">
        <f t="shared" si="84"/>
        <v>30000</v>
      </c>
      <c r="L918" s="8">
        <f t="shared" si="85"/>
        <v>0</v>
      </c>
      <c r="M918" s="8">
        <f t="shared" si="86"/>
        <v>30000</v>
      </c>
      <c r="N918" s="5">
        <v>49000</v>
      </c>
      <c r="O918" s="8">
        <f t="shared" si="87"/>
        <v>79000</v>
      </c>
      <c r="P918" s="2" t="s">
        <v>63</v>
      </c>
      <c r="Q918" s="10" t="str">
        <f>VLOOKUP(A918,Status!A:B,2,0)</f>
        <v>Completed</v>
      </c>
      <c r="R918" s="2" t="s">
        <v>36</v>
      </c>
      <c r="S918" s="2">
        <v>1</v>
      </c>
      <c r="T918" s="2" t="s">
        <v>24</v>
      </c>
      <c r="U918" s="10" t="str">
        <f t="shared" si="89"/>
        <v>Jun</v>
      </c>
      <c r="V918" s="10">
        <f t="shared" si="88"/>
        <v>2025</v>
      </c>
      <c r="W918" t="e" cm="1">
        <f t="array" ref="W918">_xlfn.IFS(U918="January",1,U918="February",2,U918="March",3,U918="April",4,U918="May",5,U918="June",6,U918="July",7,U918="August",8,U918="September",9,U918="October",10,U918="November",11,U918="December",12)</f>
        <v>#N/A</v>
      </c>
    </row>
    <row r="919" spans="1:23" ht="15.75" customHeight="1" x14ac:dyDescent="0.25">
      <c r="A919" s="2" t="s">
        <v>1864</v>
      </c>
      <c r="B919" s="3">
        <v>45826.692928240736</v>
      </c>
      <c r="C919" s="2" t="s">
        <v>1035</v>
      </c>
      <c r="D919" s="2" t="s">
        <v>66</v>
      </c>
      <c r="E919" s="2" t="s">
        <v>58</v>
      </c>
      <c r="F919" s="2" t="str" cm="1">
        <f t="array" ref="F919:G919">_xlfn.TEXTSPLIT(E919," - ")</f>
        <v>Gula Pasir</v>
      </c>
      <c r="G919" s="2" t="str">
        <v>Brand A</v>
      </c>
      <c r="H919" s="5">
        <v>16000</v>
      </c>
      <c r="I919" s="2">
        <v>5</v>
      </c>
      <c r="J919" s="2">
        <v>20</v>
      </c>
      <c r="K919" s="8">
        <f t="shared" si="84"/>
        <v>80000</v>
      </c>
      <c r="L919" s="8">
        <f t="shared" si="85"/>
        <v>16000</v>
      </c>
      <c r="M919" s="8">
        <f t="shared" si="86"/>
        <v>64000</v>
      </c>
      <c r="N919" s="5">
        <v>59000</v>
      </c>
      <c r="O919" s="8">
        <f t="shared" si="87"/>
        <v>123000</v>
      </c>
      <c r="P919" s="2" t="s">
        <v>63</v>
      </c>
      <c r="Q919" s="10" t="str">
        <f>VLOOKUP(A919,Status!A:B,2,0)</f>
        <v>Completed</v>
      </c>
      <c r="R919" s="2" t="s">
        <v>30</v>
      </c>
      <c r="S919" s="2">
        <v>3</v>
      </c>
      <c r="T919" s="2" t="s">
        <v>24</v>
      </c>
      <c r="U919" s="10" t="str">
        <f t="shared" si="89"/>
        <v>Jun</v>
      </c>
      <c r="V919" s="10">
        <f t="shared" si="88"/>
        <v>2025</v>
      </c>
      <c r="W919" t="e" cm="1">
        <f t="array" ref="W919">_xlfn.IFS(U919="January",1,U919="February",2,U919="March",3,U919="April",4,U919="May",5,U919="June",6,U919="July",7,U919="August",8,U919="September",9,U919="October",10,U919="November",11,U919="December",12)</f>
        <v>#N/A</v>
      </c>
    </row>
    <row r="920" spans="1:23" ht="15.75" customHeight="1" x14ac:dyDescent="0.25">
      <c r="A920" s="2" t="s">
        <v>1865</v>
      </c>
      <c r="B920" s="3">
        <v>45826.736527777779</v>
      </c>
      <c r="C920" s="2" t="s">
        <v>1063</v>
      </c>
      <c r="D920" s="2" t="s">
        <v>96</v>
      </c>
      <c r="E920" s="2" t="s">
        <v>54</v>
      </c>
      <c r="F920" s="2" t="str" cm="1">
        <f t="array" ref="F920:G920">_xlfn.TEXTSPLIT(E920," - ")</f>
        <v>Beras</v>
      </c>
      <c r="G920" s="2" t="str">
        <v>Brand C</v>
      </c>
      <c r="H920" s="5">
        <v>16000</v>
      </c>
      <c r="I920" s="2">
        <v>5</v>
      </c>
      <c r="J920" s="2">
        <v>20</v>
      </c>
      <c r="K920" s="8">
        <f t="shared" si="84"/>
        <v>80000</v>
      </c>
      <c r="L920" s="8">
        <f t="shared" si="85"/>
        <v>16000</v>
      </c>
      <c r="M920" s="8">
        <f t="shared" si="86"/>
        <v>64000</v>
      </c>
      <c r="N920" s="5">
        <v>49000</v>
      </c>
      <c r="O920" s="8">
        <f t="shared" si="87"/>
        <v>113000</v>
      </c>
      <c r="P920" s="2" t="s">
        <v>63</v>
      </c>
      <c r="Q920" s="10" t="str">
        <f>VLOOKUP(A920,Status!A:B,2,0)</f>
        <v>Completed</v>
      </c>
      <c r="R920" s="2" t="s">
        <v>30</v>
      </c>
      <c r="S920" s="2">
        <v>3</v>
      </c>
      <c r="T920" s="2" t="s">
        <v>24</v>
      </c>
      <c r="U920" s="10" t="str">
        <f t="shared" si="89"/>
        <v>Jun</v>
      </c>
      <c r="V920" s="10">
        <f t="shared" si="88"/>
        <v>2025</v>
      </c>
      <c r="W920" t="e" cm="1">
        <f t="array" ref="W920">_xlfn.IFS(U920="January",1,U920="February",2,U920="March",3,U920="April",4,U920="May",5,U920="June",6,U920="July",7,U920="August",8,U920="September",9,U920="October",10,U920="November",11,U920="December",12)</f>
        <v>#N/A</v>
      </c>
    </row>
    <row r="921" spans="1:23" ht="15.75" customHeight="1" x14ac:dyDescent="0.25">
      <c r="A921" s="2" t="s">
        <v>1866</v>
      </c>
      <c r="B921" s="3">
        <v>45826.87427083333</v>
      </c>
      <c r="C921" s="2" t="s">
        <v>377</v>
      </c>
      <c r="D921" s="2" t="s">
        <v>182</v>
      </c>
      <c r="E921" s="2" t="s">
        <v>54</v>
      </c>
      <c r="F921" s="2" t="str" cm="1">
        <f t="array" ref="F921:G921">_xlfn.TEXTSPLIT(E921," - ")</f>
        <v>Beras</v>
      </c>
      <c r="G921" s="2" t="str">
        <v>Brand C</v>
      </c>
      <c r="H921" s="5">
        <v>16000</v>
      </c>
      <c r="I921" s="2">
        <v>4</v>
      </c>
      <c r="J921" s="2">
        <v>0</v>
      </c>
      <c r="K921" s="8">
        <f t="shared" si="84"/>
        <v>64000</v>
      </c>
      <c r="L921" s="8">
        <f t="shared" si="85"/>
        <v>0</v>
      </c>
      <c r="M921" s="8">
        <f t="shared" si="86"/>
        <v>64000</v>
      </c>
      <c r="N921" s="5">
        <v>48000</v>
      </c>
      <c r="O921" s="8">
        <f t="shared" si="87"/>
        <v>112000</v>
      </c>
      <c r="P921" s="2" t="s">
        <v>35</v>
      </c>
      <c r="Q921" s="10" t="str">
        <f>VLOOKUP(A921,Status!A:B,2,0)</f>
        <v>Completed</v>
      </c>
      <c r="R921" s="2" t="s">
        <v>36</v>
      </c>
      <c r="S921" s="2">
        <v>4</v>
      </c>
      <c r="T921" s="2" t="s">
        <v>24</v>
      </c>
      <c r="U921" s="10" t="str">
        <f t="shared" si="89"/>
        <v>Jun</v>
      </c>
      <c r="V921" s="10">
        <f t="shared" si="88"/>
        <v>2025</v>
      </c>
      <c r="W921" t="e" cm="1">
        <f t="array" ref="W921">_xlfn.IFS(U921="January",1,U921="February",2,U921="March",3,U921="April",4,U921="May",5,U921="June",6,U921="July",7,U921="August",8,U921="September",9,U921="October",10,U921="November",11,U921="December",12)</f>
        <v>#N/A</v>
      </c>
    </row>
    <row r="922" spans="1:23" ht="15.75" customHeight="1" x14ac:dyDescent="0.25">
      <c r="A922" s="2" t="s">
        <v>1867</v>
      </c>
      <c r="B922" s="3">
        <v>45827.169039351851</v>
      </c>
      <c r="C922" s="2" t="s">
        <v>207</v>
      </c>
      <c r="D922" s="2" t="s">
        <v>96</v>
      </c>
      <c r="E922" s="2" t="s">
        <v>88</v>
      </c>
      <c r="F922" s="2" t="str" cm="1">
        <f t="array" ref="F922:G922">_xlfn.TEXTSPLIT(E922," - ")</f>
        <v>Beras</v>
      </c>
      <c r="G922" s="2" t="str">
        <v>Brand A</v>
      </c>
      <c r="H922" s="5">
        <v>14000</v>
      </c>
      <c r="I922" s="2">
        <v>5</v>
      </c>
      <c r="J922" s="2">
        <v>20</v>
      </c>
      <c r="K922" s="8">
        <f t="shared" si="84"/>
        <v>70000</v>
      </c>
      <c r="L922" s="8">
        <f t="shared" si="85"/>
        <v>14000</v>
      </c>
      <c r="M922" s="8">
        <f t="shared" si="86"/>
        <v>56000</v>
      </c>
      <c r="N922" s="5">
        <v>49000</v>
      </c>
      <c r="O922" s="8">
        <f t="shared" si="87"/>
        <v>105000</v>
      </c>
      <c r="P922" s="2" t="s">
        <v>35</v>
      </c>
      <c r="Q922" s="10" t="str">
        <f>VLOOKUP(A922,Status!A:B,2,0)</f>
        <v>Completed</v>
      </c>
      <c r="R922" s="2" t="s">
        <v>46</v>
      </c>
      <c r="S922" s="2">
        <v>2</v>
      </c>
      <c r="T922" s="2" t="s">
        <v>24</v>
      </c>
      <c r="U922" s="10" t="str">
        <f t="shared" si="89"/>
        <v>Jun</v>
      </c>
      <c r="V922" s="10">
        <f t="shared" si="88"/>
        <v>2025</v>
      </c>
      <c r="W922" t="e" cm="1">
        <f t="array" ref="W922">_xlfn.IFS(U922="January",1,U922="February",2,U922="March",3,U922="April",4,U922="May",5,U922="June",6,U922="July",7,U922="August",8,U922="September",9,U922="October",10,U922="November",11,U922="December",12)</f>
        <v>#N/A</v>
      </c>
    </row>
    <row r="923" spans="1:23" ht="15.75" customHeight="1" x14ac:dyDescent="0.25">
      <c r="A923" s="2" t="s">
        <v>1867</v>
      </c>
      <c r="B923" s="3">
        <v>45827.169039351851</v>
      </c>
      <c r="C923" s="2" t="s">
        <v>207</v>
      </c>
      <c r="D923" s="2" t="s">
        <v>96</v>
      </c>
      <c r="E923" s="2" t="s">
        <v>110</v>
      </c>
      <c r="F923" s="2" t="str" cm="1">
        <f t="array" ref="F923:G923">_xlfn.TEXTSPLIT(E923," - ")</f>
        <v>Garam</v>
      </c>
      <c r="G923" s="2" t="str">
        <v>Brand C</v>
      </c>
      <c r="H923" s="5">
        <v>6000</v>
      </c>
      <c r="I923" s="2">
        <v>4</v>
      </c>
      <c r="J923" s="2">
        <v>5</v>
      </c>
      <c r="K923" s="8">
        <f t="shared" si="84"/>
        <v>24000</v>
      </c>
      <c r="L923" s="8">
        <f t="shared" si="85"/>
        <v>1200</v>
      </c>
      <c r="M923" s="8">
        <f t="shared" si="86"/>
        <v>22800</v>
      </c>
      <c r="N923" s="5">
        <v>0</v>
      </c>
      <c r="O923" s="8">
        <f t="shared" si="87"/>
        <v>22800</v>
      </c>
      <c r="P923" s="2" t="s">
        <v>35</v>
      </c>
      <c r="Q923" s="10" t="str">
        <f>VLOOKUP(A923,Status!A:B,2,0)</f>
        <v>Completed</v>
      </c>
      <c r="R923" s="2" t="s">
        <v>46</v>
      </c>
      <c r="S923" s="2">
        <v>2</v>
      </c>
      <c r="T923" s="2" t="s">
        <v>24</v>
      </c>
      <c r="U923" s="10" t="str">
        <f t="shared" si="89"/>
        <v>Jun</v>
      </c>
      <c r="V923" s="10">
        <f t="shared" si="88"/>
        <v>2025</v>
      </c>
      <c r="W923" t="e" cm="1">
        <f t="array" ref="W923">_xlfn.IFS(U923="January",1,U923="February",2,U923="March",3,U923="April",4,U923="May",5,U923="June",6,U923="July",7,U923="August",8,U923="September",9,U923="October",10,U923="November",11,U923="December",12)</f>
        <v>#N/A</v>
      </c>
    </row>
    <row r="924" spans="1:23" ht="15.75" customHeight="1" x14ac:dyDescent="0.25">
      <c r="A924" s="2" t="s">
        <v>1868</v>
      </c>
      <c r="B924" s="3">
        <v>45827.70103009259</v>
      </c>
      <c r="C924" s="2" t="s">
        <v>601</v>
      </c>
      <c r="D924" s="2" t="s">
        <v>119</v>
      </c>
      <c r="E924" s="2" t="s">
        <v>38</v>
      </c>
      <c r="F924" s="2" t="str" cm="1">
        <f t="array" ref="F924:G924">_xlfn.TEXTSPLIT(E924," - ")</f>
        <v>Telur Ayam</v>
      </c>
      <c r="G924" s="2" t="str">
        <v>Brand C</v>
      </c>
      <c r="H924" s="5">
        <v>28000</v>
      </c>
      <c r="I924" s="2">
        <v>4</v>
      </c>
      <c r="J924" s="2">
        <v>15</v>
      </c>
      <c r="K924" s="8">
        <f t="shared" si="84"/>
        <v>112000</v>
      </c>
      <c r="L924" s="8">
        <f t="shared" si="85"/>
        <v>16800</v>
      </c>
      <c r="M924" s="8">
        <f t="shared" si="86"/>
        <v>95200</v>
      </c>
      <c r="N924" s="5">
        <v>0</v>
      </c>
      <c r="O924" s="8">
        <f t="shared" si="87"/>
        <v>95200</v>
      </c>
      <c r="P924" s="2" t="s">
        <v>29</v>
      </c>
      <c r="Q924" s="10" t="str">
        <f>VLOOKUP(A924,Status!A:B,2,0)</f>
        <v>Completed</v>
      </c>
      <c r="R924" s="2" t="s">
        <v>36</v>
      </c>
      <c r="S924" s="2">
        <v>3</v>
      </c>
      <c r="T924" s="2" t="s">
        <v>24</v>
      </c>
      <c r="U924" s="10" t="str">
        <f t="shared" si="89"/>
        <v>Jun</v>
      </c>
      <c r="V924" s="10">
        <f t="shared" si="88"/>
        <v>2025</v>
      </c>
      <c r="W924" t="e" cm="1">
        <f t="array" ref="W924">_xlfn.IFS(U924="January",1,U924="February",2,U924="March",3,U924="April",4,U924="May",5,U924="June",6,U924="July",7,U924="August",8,U924="September",9,U924="October",10,U924="November",11,U924="December",12)</f>
        <v>#N/A</v>
      </c>
    </row>
    <row r="925" spans="1:23" ht="15.75" customHeight="1" x14ac:dyDescent="0.25">
      <c r="A925" s="2" t="s">
        <v>1869</v>
      </c>
      <c r="B925" s="3">
        <v>45828.014074074083</v>
      </c>
      <c r="C925" s="2" t="s">
        <v>192</v>
      </c>
      <c r="D925" s="2" t="s">
        <v>107</v>
      </c>
      <c r="E925" s="2" t="s">
        <v>34</v>
      </c>
      <c r="F925" s="2" t="str" cm="1">
        <f t="array" ref="F925:G925">_xlfn.TEXTSPLIT(E925," - ")</f>
        <v>Minyak Goreng</v>
      </c>
      <c r="G925" s="2" t="str">
        <v>Brand A</v>
      </c>
      <c r="H925" s="5">
        <v>16000</v>
      </c>
      <c r="I925" s="2">
        <v>1</v>
      </c>
      <c r="J925" s="2">
        <v>15</v>
      </c>
      <c r="K925" s="8">
        <f t="shared" si="84"/>
        <v>16000</v>
      </c>
      <c r="L925" s="8">
        <f t="shared" si="85"/>
        <v>2400</v>
      </c>
      <c r="M925" s="8">
        <f t="shared" si="86"/>
        <v>13600</v>
      </c>
      <c r="N925" s="5">
        <v>97000</v>
      </c>
      <c r="O925" s="8">
        <f t="shared" si="87"/>
        <v>110600</v>
      </c>
      <c r="P925" s="2" t="s">
        <v>63</v>
      </c>
      <c r="Q925" s="10" t="str">
        <f>VLOOKUP(A925,Status!A:B,2,0)</f>
        <v>Completed</v>
      </c>
      <c r="R925" s="2" t="s">
        <v>30</v>
      </c>
      <c r="S925" s="2">
        <v>3</v>
      </c>
      <c r="T925" s="2" t="s">
        <v>24</v>
      </c>
      <c r="U925" s="10" t="str">
        <f t="shared" si="89"/>
        <v>Jun</v>
      </c>
      <c r="V925" s="10">
        <f t="shared" si="88"/>
        <v>2025</v>
      </c>
      <c r="W925" t="e" cm="1">
        <f t="array" ref="W925">_xlfn.IFS(U925="January",1,U925="February",2,U925="March",3,U925="April",4,U925="May",5,U925="June",6,U925="July",7,U925="August",8,U925="September",9,U925="October",10,U925="November",11,U925="December",12)</f>
        <v>#N/A</v>
      </c>
    </row>
    <row r="926" spans="1:23" ht="15.75" customHeight="1" x14ac:dyDescent="0.25">
      <c r="A926" s="2" t="s">
        <v>1870</v>
      </c>
      <c r="B926" s="3">
        <v>45828.168564814812</v>
      </c>
      <c r="C926" s="2" t="s">
        <v>261</v>
      </c>
      <c r="D926" s="2" t="s">
        <v>262</v>
      </c>
      <c r="E926" s="2" t="s">
        <v>123</v>
      </c>
      <c r="F926" s="2" t="str" cm="1">
        <f t="array" ref="F926:G926">_xlfn.TEXTSPLIT(E926," - ")</f>
        <v>Telur Ayam</v>
      </c>
      <c r="G926" s="2" t="str">
        <v>Brand A</v>
      </c>
      <c r="H926" s="5">
        <v>22000</v>
      </c>
      <c r="I926" s="2">
        <v>5</v>
      </c>
      <c r="J926" s="2">
        <v>0</v>
      </c>
      <c r="K926" s="8">
        <f t="shared" si="84"/>
        <v>110000</v>
      </c>
      <c r="L926" s="8">
        <f t="shared" si="85"/>
        <v>0</v>
      </c>
      <c r="M926" s="8">
        <f t="shared" si="86"/>
        <v>110000</v>
      </c>
      <c r="N926" s="5">
        <v>18000</v>
      </c>
      <c r="O926" s="8">
        <f t="shared" si="87"/>
        <v>128000</v>
      </c>
      <c r="P926" s="2" t="s">
        <v>29</v>
      </c>
      <c r="Q926" s="10" t="str">
        <f>VLOOKUP(A926,Status!A:B,2,0)</f>
        <v>Completed</v>
      </c>
      <c r="R926" s="2" t="s">
        <v>30</v>
      </c>
      <c r="S926" s="2">
        <v>4</v>
      </c>
      <c r="T926" s="2" t="s">
        <v>24</v>
      </c>
      <c r="U926" s="10" t="str">
        <f t="shared" si="89"/>
        <v>Jun</v>
      </c>
      <c r="V926" s="10">
        <f t="shared" si="88"/>
        <v>2025</v>
      </c>
      <c r="W926" t="e" cm="1">
        <f t="array" ref="W926">_xlfn.IFS(U926="January",1,U926="February",2,U926="March",3,U926="April",4,U926="May",5,U926="June",6,U926="July",7,U926="August",8,U926="September",9,U926="October",10,U926="November",11,U926="December",12)</f>
        <v>#N/A</v>
      </c>
    </row>
    <row r="927" spans="1:23" ht="15.75" customHeight="1" x14ac:dyDescent="0.25">
      <c r="A927" s="2" t="s">
        <v>1871</v>
      </c>
      <c r="B927" s="3">
        <v>45828.297627314823</v>
      </c>
      <c r="C927" s="2" t="s">
        <v>112</v>
      </c>
      <c r="D927" s="2" t="s">
        <v>113</v>
      </c>
      <c r="E927" s="2" t="s">
        <v>38</v>
      </c>
      <c r="F927" s="2" t="str" cm="1">
        <f t="array" ref="F927:G927">_xlfn.TEXTSPLIT(E927," - ")</f>
        <v>Telur Ayam</v>
      </c>
      <c r="G927" s="2" t="str">
        <v>Brand C</v>
      </c>
      <c r="H927" s="5">
        <v>28000</v>
      </c>
      <c r="I927" s="2">
        <v>3</v>
      </c>
      <c r="J927" s="2">
        <v>20</v>
      </c>
      <c r="K927" s="8">
        <f t="shared" si="84"/>
        <v>84000</v>
      </c>
      <c r="L927" s="8">
        <f t="shared" si="85"/>
        <v>16800</v>
      </c>
      <c r="M927" s="8">
        <f t="shared" si="86"/>
        <v>67200</v>
      </c>
      <c r="N927" s="5">
        <v>18000</v>
      </c>
      <c r="O927" s="8">
        <f t="shared" si="87"/>
        <v>85200</v>
      </c>
      <c r="P927" s="2" t="s">
        <v>35</v>
      </c>
      <c r="Q927" s="10" t="str">
        <f>VLOOKUP(A927,Status!A:B,2,0)</f>
        <v>Returned</v>
      </c>
      <c r="R927" s="2" t="s">
        <v>46</v>
      </c>
      <c r="S927" s="2">
        <v>3</v>
      </c>
      <c r="T927" s="2" t="s">
        <v>24</v>
      </c>
      <c r="U927" s="10" t="str">
        <f t="shared" si="89"/>
        <v>Jun</v>
      </c>
      <c r="V927" s="10">
        <f t="shared" si="88"/>
        <v>2025</v>
      </c>
      <c r="W927" t="e" cm="1">
        <f t="array" ref="W927">_xlfn.IFS(U927="January",1,U927="February",2,U927="March",3,U927="April",4,U927="May",5,U927="June",6,U927="July",7,U927="August",8,U927="September",9,U927="October",10,U927="November",11,U927="December",12)</f>
        <v>#N/A</v>
      </c>
    </row>
    <row r="928" spans="1:23" ht="15.75" customHeight="1" x14ac:dyDescent="0.25">
      <c r="A928" s="2" t="s">
        <v>1872</v>
      </c>
      <c r="B928" s="3">
        <v>45828.358946759261</v>
      </c>
      <c r="C928" s="2" t="s">
        <v>497</v>
      </c>
      <c r="D928" s="2" t="s">
        <v>173</v>
      </c>
      <c r="E928" s="2" t="s">
        <v>136</v>
      </c>
      <c r="F928" s="2" t="str" cm="1">
        <f t="array" ref="F928:G928">_xlfn.TEXTSPLIT(E928," - ")</f>
        <v>Tepung Terigu</v>
      </c>
      <c r="G928" s="2" t="str">
        <v>Brand B</v>
      </c>
      <c r="H928" s="5">
        <v>12000</v>
      </c>
      <c r="I928" s="2">
        <v>4</v>
      </c>
      <c r="J928" s="2">
        <v>15</v>
      </c>
      <c r="K928" s="8">
        <f t="shared" si="84"/>
        <v>48000</v>
      </c>
      <c r="L928" s="8">
        <f t="shared" si="85"/>
        <v>7200</v>
      </c>
      <c r="M928" s="8">
        <f t="shared" si="86"/>
        <v>40800</v>
      </c>
      <c r="N928" s="5">
        <v>49000</v>
      </c>
      <c r="O928" s="8">
        <f t="shared" si="87"/>
        <v>89800</v>
      </c>
      <c r="P928" s="2" t="s">
        <v>29</v>
      </c>
      <c r="Q928" s="10" t="str">
        <f>VLOOKUP(A928,Status!A:B,2,0)</f>
        <v>Completed</v>
      </c>
      <c r="R928" s="2" t="s">
        <v>23</v>
      </c>
      <c r="S928" s="2">
        <v>4</v>
      </c>
      <c r="T928" s="2" t="s">
        <v>37</v>
      </c>
      <c r="U928" s="10" t="str">
        <f t="shared" si="89"/>
        <v>Jun</v>
      </c>
      <c r="V928" s="10">
        <f t="shared" si="88"/>
        <v>2025</v>
      </c>
      <c r="W928" t="e" cm="1">
        <f t="array" ref="W928">_xlfn.IFS(U928="January",1,U928="February",2,U928="March",3,U928="April",4,U928="May",5,U928="June",6,U928="July",7,U928="August",8,U928="September",9,U928="October",10,U928="November",11,U928="December",12)</f>
        <v>#N/A</v>
      </c>
    </row>
    <row r="929" spans="1:23" ht="15.75" customHeight="1" x14ac:dyDescent="0.25">
      <c r="A929" s="2" t="s">
        <v>1873</v>
      </c>
      <c r="B929" s="3">
        <v>45828.4608912037</v>
      </c>
      <c r="C929" s="2" t="s">
        <v>860</v>
      </c>
      <c r="D929" s="2" t="s">
        <v>44</v>
      </c>
      <c r="E929" s="2" t="s">
        <v>88</v>
      </c>
      <c r="F929" s="2" t="str" cm="1">
        <f t="array" ref="F929:G929">_xlfn.TEXTSPLIT(E929," - ")</f>
        <v>Beras</v>
      </c>
      <c r="G929" s="2" t="str">
        <v>Brand A</v>
      </c>
      <c r="H929" s="5">
        <v>14000</v>
      </c>
      <c r="I929" s="2">
        <v>1</v>
      </c>
      <c r="J929" s="2">
        <v>15</v>
      </c>
      <c r="K929" s="8">
        <f t="shared" si="84"/>
        <v>14000</v>
      </c>
      <c r="L929" s="8">
        <f t="shared" si="85"/>
        <v>2100</v>
      </c>
      <c r="M929" s="8">
        <f t="shared" si="86"/>
        <v>11900</v>
      </c>
      <c r="N929" s="5">
        <v>93000</v>
      </c>
      <c r="O929" s="8">
        <f t="shared" si="87"/>
        <v>104900</v>
      </c>
      <c r="P929" s="2" t="s">
        <v>22</v>
      </c>
      <c r="Q929" s="10" t="str">
        <f>VLOOKUP(A929,Status!A:B,2,0)</f>
        <v>Completed</v>
      </c>
      <c r="R929" s="2" t="s">
        <v>36</v>
      </c>
      <c r="S929" s="2">
        <v>5</v>
      </c>
      <c r="T929" s="2" t="s">
        <v>37</v>
      </c>
      <c r="U929" s="10" t="str">
        <f t="shared" si="89"/>
        <v>Jun</v>
      </c>
      <c r="V929" s="10">
        <f t="shared" si="88"/>
        <v>2025</v>
      </c>
      <c r="W929" t="e" cm="1">
        <f t="array" ref="W929">_xlfn.IFS(U929="January",1,U929="February",2,U929="March",3,U929="April",4,U929="May",5,U929="June",6,U929="July",7,U929="August",8,U929="September",9,U929="October",10,U929="November",11,U929="December",12)</f>
        <v>#N/A</v>
      </c>
    </row>
    <row r="930" spans="1:23" ht="15.75" customHeight="1" x14ac:dyDescent="0.25">
      <c r="A930" s="2" t="s">
        <v>1874</v>
      </c>
      <c r="B930" s="3">
        <v>45828.640914351847</v>
      </c>
      <c r="C930" s="2" t="s">
        <v>130</v>
      </c>
      <c r="D930" s="2" t="s">
        <v>131</v>
      </c>
      <c r="E930" s="2" t="s">
        <v>93</v>
      </c>
      <c r="F930" s="2" t="str" cm="1">
        <f t="array" ref="F930:G930">_xlfn.TEXTSPLIT(E930," - ")</f>
        <v>Telur Ayam</v>
      </c>
      <c r="G930" s="2" t="str">
        <v>Brand B</v>
      </c>
      <c r="H930" s="5">
        <v>25000</v>
      </c>
      <c r="I930" s="2">
        <v>2</v>
      </c>
      <c r="J930" s="2">
        <v>5</v>
      </c>
      <c r="K930" s="8">
        <f t="shared" si="84"/>
        <v>50000</v>
      </c>
      <c r="L930" s="8">
        <f t="shared" si="85"/>
        <v>2500</v>
      </c>
      <c r="M930" s="8">
        <f t="shared" si="86"/>
        <v>47500</v>
      </c>
      <c r="N930" s="5">
        <v>59000</v>
      </c>
      <c r="O930" s="8">
        <f t="shared" si="87"/>
        <v>106500</v>
      </c>
      <c r="P930" s="2" t="s">
        <v>29</v>
      </c>
      <c r="Q930" s="10" t="str">
        <f>VLOOKUP(A930,Status!A:B,2,0)</f>
        <v>Cancelled</v>
      </c>
      <c r="R930" s="2" t="s">
        <v>36</v>
      </c>
      <c r="S930" s="2">
        <v>2</v>
      </c>
      <c r="T930" s="2" t="s">
        <v>24</v>
      </c>
      <c r="U930" s="10" t="str">
        <f t="shared" si="89"/>
        <v>Jun</v>
      </c>
      <c r="V930" s="10">
        <f t="shared" si="88"/>
        <v>2025</v>
      </c>
      <c r="W930" t="e" cm="1">
        <f t="array" ref="W930">_xlfn.IFS(U930="January",1,U930="February",2,U930="March",3,U930="April",4,U930="May",5,U930="June",6,U930="July",7,U930="August",8,U930="September",9,U930="October",10,U930="November",11,U930="December",12)</f>
        <v>#N/A</v>
      </c>
    </row>
    <row r="931" spans="1:23" ht="15.75" customHeight="1" x14ac:dyDescent="0.25">
      <c r="A931" s="2" t="s">
        <v>1875</v>
      </c>
      <c r="B931" s="3">
        <v>45828.7734837963</v>
      </c>
      <c r="C931" s="2" t="s">
        <v>321</v>
      </c>
      <c r="D931" s="2" t="s">
        <v>80</v>
      </c>
      <c r="E931" s="2" t="s">
        <v>144</v>
      </c>
      <c r="F931" s="2" t="str" cm="1">
        <f t="array" ref="F931:G931">_xlfn.TEXTSPLIT(E931," - ")</f>
        <v>Gula Pasir</v>
      </c>
      <c r="G931" s="2" t="str">
        <v>Brand C</v>
      </c>
      <c r="H931" s="5">
        <v>18000</v>
      </c>
      <c r="I931" s="2">
        <v>2</v>
      </c>
      <c r="J931" s="2">
        <v>5</v>
      </c>
      <c r="K931" s="8">
        <f t="shared" si="84"/>
        <v>36000</v>
      </c>
      <c r="L931" s="8">
        <f t="shared" si="85"/>
        <v>1800</v>
      </c>
      <c r="M931" s="8">
        <f t="shared" si="86"/>
        <v>34200</v>
      </c>
      <c r="N931" s="5">
        <v>74000</v>
      </c>
      <c r="O931" s="8">
        <f t="shared" si="87"/>
        <v>108200</v>
      </c>
      <c r="P931" s="2" t="s">
        <v>63</v>
      </c>
      <c r="Q931" s="10" t="str">
        <f>VLOOKUP(A931,Status!A:B,2,0)</f>
        <v>Completed</v>
      </c>
      <c r="R931" s="2" t="s">
        <v>23</v>
      </c>
      <c r="S931" s="2">
        <v>3</v>
      </c>
      <c r="T931" s="2" t="s">
        <v>24</v>
      </c>
      <c r="U931" s="10" t="str">
        <f t="shared" si="89"/>
        <v>Jun</v>
      </c>
      <c r="V931" s="10">
        <f t="shared" si="88"/>
        <v>2025</v>
      </c>
      <c r="W931" t="e" cm="1">
        <f t="array" ref="W931">_xlfn.IFS(U931="January",1,U931="February",2,U931="March",3,U931="April",4,U931="May",5,U931="June",6,U931="July",7,U931="August",8,U931="September",9,U931="October",10,U931="November",11,U931="December",12)</f>
        <v>#N/A</v>
      </c>
    </row>
    <row r="932" spans="1:23" ht="15.75" customHeight="1" x14ac:dyDescent="0.25">
      <c r="A932" s="2" t="s">
        <v>1876</v>
      </c>
      <c r="B932" s="3">
        <v>45829.102546296293</v>
      </c>
      <c r="C932" s="2" t="s">
        <v>681</v>
      </c>
      <c r="D932" s="2" t="s">
        <v>262</v>
      </c>
      <c r="E932" s="2" t="s">
        <v>21</v>
      </c>
      <c r="F932" s="2" t="str" cm="1">
        <f t="array" ref="F932:G932">_xlfn.TEXTSPLIT(E932," - ")</f>
        <v>Daging Ayam</v>
      </c>
      <c r="G932" s="2" t="str">
        <v>Brand C</v>
      </c>
      <c r="H932" s="5">
        <v>45000</v>
      </c>
      <c r="I932" s="2">
        <v>4</v>
      </c>
      <c r="J932" s="2">
        <v>20</v>
      </c>
      <c r="K932" s="8">
        <f t="shared" si="84"/>
        <v>180000</v>
      </c>
      <c r="L932" s="8">
        <f t="shared" si="85"/>
        <v>36000</v>
      </c>
      <c r="M932" s="8">
        <f t="shared" si="86"/>
        <v>144000</v>
      </c>
      <c r="N932" s="5">
        <v>18000</v>
      </c>
      <c r="O932" s="8">
        <f t="shared" si="87"/>
        <v>162000</v>
      </c>
      <c r="P932" s="2" t="s">
        <v>35</v>
      </c>
      <c r="Q932" s="10" t="str">
        <f>VLOOKUP(A932,Status!A:B,2,0)</f>
        <v>Completed</v>
      </c>
      <c r="R932" s="2" t="s">
        <v>23</v>
      </c>
      <c r="S932" s="2">
        <v>1</v>
      </c>
      <c r="T932" s="2" t="s">
        <v>24</v>
      </c>
      <c r="U932" s="10" t="str">
        <f t="shared" si="89"/>
        <v>Jun</v>
      </c>
      <c r="V932" s="10">
        <f t="shared" si="88"/>
        <v>2025</v>
      </c>
      <c r="W932" t="e" cm="1">
        <f t="array" ref="W932">_xlfn.IFS(U932="January",1,U932="February",2,U932="March",3,U932="April",4,U932="May",5,U932="June",6,U932="July",7,U932="August",8,U932="September",9,U932="October",10,U932="November",11,U932="December",12)</f>
        <v>#N/A</v>
      </c>
    </row>
    <row r="933" spans="1:23" ht="15.75" customHeight="1" x14ac:dyDescent="0.25">
      <c r="A933" s="2" t="s">
        <v>1877</v>
      </c>
      <c r="B933" s="3">
        <v>45829.202673611107</v>
      </c>
      <c r="C933" s="2" t="s">
        <v>593</v>
      </c>
      <c r="D933" s="2" t="s">
        <v>195</v>
      </c>
      <c r="E933" s="2" t="s">
        <v>41</v>
      </c>
      <c r="F933" s="2" t="str" cm="1">
        <f t="array" ref="F933:G933">_xlfn.TEXTSPLIT(E933," - ")</f>
        <v>Garam</v>
      </c>
      <c r="G933" s="2" t="str">
        <v>Brand A</v>
      </c>
      <c r="H933" s="5">
        <v>4000</v>
      </c>
      <c r="I933" s="2">
        <v>3</v>
      </c>
      <c r="J933" s="2">
        <v>5</v>
      </c>
      <c r="K933" s="8">
        <f t="shared" si="84"/>
        <v>12000</v>
      </c>
      <c r="L933" s="8">
        <f t="shared" si="85"/>
        <v>600</v>
      </c>
      <c r="M933" s="8">
        <f t="shared" si="86"/>
        <v>11400</v>
      </c>
      <c r="N933" s="5">
        <v>87000</v>
      </c>
      <c r="O933" s="8">
        <f t="shared" si="87"/>
        <v>98400</v>
      </c>
      <c r="P933" s="2" t="s">
        <v>22</v>
      </c>
      <c r="Q933" s="10" t="str">
        <f>VLOOKUP(A933,Status!A:B,2,0)</f>
        <v>Completed</v>
      </c>
      <c r="R933" s="2" t="s">
        <v>30</v>
      </c>
      <c r="S933" s="2">
        <v>2</v>
      </c>
      <c r="T933" s="2" t="s">
        <v>24</v>
      </c>
      <c r="U933" s="10" t="str">
        <f t="shared" si="89"/>
        <v>Jun</v>
      </c>
      <c r="V933" s="10">
        <f t="shared" si="88"/>
        <v>2025</v>
      </c>
      <c r="W933" t="e" cm="1">
        <f t="array" ref="W933">_xlfn.IFS(U933="January",1,U933="February",2,U933="March",3,U933="April",4,U933="May",5,U933="June",6,U933="July",7,U933="August",8,U933="September",9,U933="October",10,U933="November",11,U933="December",12)</f>
        <v>#N/A</v>
      </c>
    </row>
    <row r="934" spans="1:23" ht="15.75" customHeight="1" x14ac:dyDescent="0.25">
      <c r="A934" s="2" t="s">
        <v>1878</v>
      </c>
      <c r="B934" s="3">
        <v>45829.474479166667</v>
      </c>
      <c r="C934" s="2" t="s">
        <v>593</v>
      </c>
      <c r="D934" s="2" t="s">
        <v>195</v>
      </c>
      <c r="E934" s="2" t="s">
        <v>41</v>
      </c>
      <c r="F934" s="2" t="str" cm="1">
        <f t="array" ref="F934:G934">_xlfn.TEXTSPLIT(E934," - ")</f>
        <v>Garam</v>
      </c>
      <c r="G934" s="2" t="str">
        <v>Brand A</v>
      </c>
      <c r="H934" s="5">
        <v>4000</v>
      </c>
      <c r="I934" s="2">
        <v>2</v>
      </c>
      <c r="J934" s="2">
        <v>15</v>
      </c>
      <c r="K934" s="8">
        <f t="shared" si="84"/>
        <v>8000</v>
      </c>
      <c r="L934" s="8">
        <f t="shared" si="85"/>
        <v>1200</v>
      </c>
      <c r="M934" s="8">
        <f t="shared" si="86"/>
        <v>6800</v>
      </c>
      <c r="N934" s="5">
        <v>87000</v>
      </c>
      <c r="O934" s="8">
        <f t="shared" si="87"/>
        <v>93800</v>
      </c>
      <c r="P934" s="2" t="s">
        <v>63</v>
      </c>
      <c r="Q934" s="10" t="str">
        <f>VLOOKUP(A934,Status!A:B,2,0)</f>
        <v>Completed</v>
      </c>
      <c r="R934" s="2" t="s">
        <v>23</v>
      </c>
      <c r="S934" s="2">
        <v>3</v>
      </c>
      <c r="T934" s="2" t="s">
        <v>24</v>
      </c>
      <c r="U934" s="10" t="str">
        <f t="shared" si="89"/>
        <v>Jun</v>
      </c>
      <c r="V934" s="10">
        <f t="shared" si="88"/>
        <v>2025</v>
      </c>
      <c r="W934" t="e" cm="1">
        <f t="array" ref="W934">_xlfn.IFS(U934="January",1,U934="February",2,U934="March",3,U934="April",4,U934="May",5,U934="June",6,U934="July",7,U934="August",8,U934="September",9,U934="October",10,U934="November",11,U934="December",12)</f>
        <v>#N/A</v>
      </c>
    </row>
    <row r="935" spans="1:23" ht="15.75" customHeight="1" x14ac:dyDescent="0.25">
      <c r="A935" s="2" t="s">
        <v>1879</v>
      </c>
      <c r="B935" s="3">
        <v>45829.580046296287</v>
      </c>
      <c r="C935" s="2" t="s">
        <v>1436</v>
      </c>
      <c r="D935" s="2" t="s">
        <v>119</v>
      </c>
      <c r="E935" s="2" t="s">
        <v>85</v>
      </c>
      <c r="F935" s="2" t="str" cm="1">
        <f t="array" ref="F935:G935">_xlfn.TEXTSPLIT(E935," - ")</f>
        <v>Daging Ayam</v>
      </c>
      <c r="G935" s="2" t="str">
        <v>Brand A</v>
      </c>
      <c r="H935" s="5">
        <v>35000</v>
      </c>
      <c r="I935" s="2">
        <v>1</v>
      </c>
      <c r="J935" s="2">
        <v>0</v>
      </c>
      <c r="K935" s="8">
        <f t="shared" si="84"/>
        <v>35000</v>
      </c>
      <c r="L935" s="8">
        <f t="shared" si="85"/>
        <v>0</v>
      </c>
      <c r="M935" s="8">
        <f t="shared" si="86"/>
        <v>35000</v>
      </c>
      <c r="N935" s="5">
        <v>0</v>
      </c>
      <c r="O935" s="8">
        <f t="shared" si="87"/>
        <v>35000</v>
      </c>
      <c r="P935" s="2" t="s">
        <v>29</v>
      </c>
      <c r="Q935" s="10" t="str">
        <f>VLOOKUP(A935,Status!A:B,2,0)</f>
        <v>Completed</v>
      </c>
      <c r="R935" s="2" t="s">
        <v>36</v>
      </c>
      <c r="S935" s="2">
        <v>2</v>
      </c>
      <c r="T935" s="2" t="s">
        <v>24</v>
      </c>
      <c r="U935" s="10" t="str">
        <f t="shared" si="89"/>
        <v>Jun</v>
      </c>
      <c r="V935" s="10">
        <f t="shared" si="88"/>
        <v>2025</v>
      </c>
      <c r="W935" t="e" cm="1">
        <f t="array" ref="W935">_xlfn.IFS(U935="January",1,U935="February",2,U935="March",3,U935="April",4,U935="May",5,U935="June",6,U935="July",7,U935="August",8,U935="September",9,U935="October",10,U935="November",11,U935="December",12)</f>
        <v>#N/A</v>
      </c>
    </row>
    <row r="936" spans="1:23" ht="15.75" customHeight="1" x14ac:dyDescent="0.25">
      <c r="A936" s="2" t="s">
        <v>1880</v>
      </c>
      <c r="B936" s="3">
        <v>45829.607395833344</v>
      </c>
      <c r="C936" s="2" t="s">
        <v>473</v>
      </c>
      <c r="D936" s="2" t="s">
        <v>122</v>
      </c>
      <c r="E936" s="2" t="s">
        <v>71</v>
      </c>
      <c r="F936" s="2" t="str" cm="1">
        <f t="array" ref="F936:G936">_xlfn.TEXTSPLIT(E936," - ")</f>
        <v>Bawang Merah</v>
      </c>
      <c r="G936" s="2" t="str">
        <v>Brand C</v>
      </c>
      <c r="H936" s="5">
        <v>40000</v>
      </c>
      <c r="I936" s="2">
        <v>1</v>
      </c>
      <c r="J936" s="2">
        <v>0</v>
      </c>
      <c r="K936" s="8">
        <f t="shared" si="84"/>
        <v>40000</v>
      </c>
      <c r="L936" s="8">
        <f t="shared" si="85"/>
        <v>0</v>
      </c>
      <c r="M936" s="8">
        <f t="shared" si="86"/>
        <v>40000</v>
      </c>
      <c r="N936" s="5">
        <v>78000</v>
      </c>
      <c r="O936" s="8">
        <f t="shared" si="87"/>
        <v>118000</v>
      </c>
      <c r="P936" s="2" t="s">
        <v>22</v>
      </c>
      <c r="Q936" s="10" t="str">
        <f>VLOOKUP(A936,Status!A:B,2,0)</f>
        <v>Completed</v>
      </c>
      <c r="R936" s="2" t="s">
        <v>30</v>
      </c>
      <c r="S936" s="2">
        <v>1</v>
      </c>
      <c r="T936" s="2" t="s">
        <v>24</v>
      </c>
      <c r="U936" s="10" t="str">
        <f t="shared" si="89"/>
        <v>Jun</v>
      </c>
      <c r="V936" s="10">
        <f t="shared" si="88"/>
        <v>2025</v>
      </c>
      <c r="W936" t="e" cm="1">
        <f t="array" ref="W936">_xlfn.IFS(U936="January",1,U936="February",2,U936="March",3,U936="April",4,U936="May",5,U936="June",6,U936="July",7,U936="August",8,U936="September",9,U936="October",10,U936="November",11,U936="December",12)</f>
        <v>#N/A</v>
      </c>
    </row>
    <row r="937" spans="1:23" ht="15.75" customHeight="1" x14ac:dyDescent="0.25">
      <c r="A937" s="2" t="s">
        <v>1881</v>
      </c>
      <c r="B937" s="3">
        <v>45829.627430555563</v>
      </c>
      <c r="C937" s="2" t="s">
        <v>688</v>
      </c>
      <c r="D937" s="2" t="s">
        <v>92</v>
      </c>
      <c r="E937" s="2" t="s">
        <v>250</v>
      </c>
      <c r="F937" s="2" t="str" cm="1">
        <f t="array" ref="F937:G937">_xlfn.TEXTSPLIT(E937," - ")</f>
        <v>Minyak Goreng</v>
      </c>
      <c r="G937" s="2" t="str">
        <v>Brand C</v>
      </c>
      <c r="H937" s="5">
        <v>18000</v>
      </c>
      <c r="I937" s="2">
        <v>2</v>
      </c>
      <c r="J937" s="2">
        <v>15</v>
      </c>
      <c r="K937" s="8">
        <f t="shared" si="84"/>
        <v>36000</v>
      </c>
      <c r="L937" s="8">
        <f t="shared" si="85"/>
        <v>5400</v>
      </c>
      <c r="M937" s="8">
        <f t="shared" si="86"/>
        <v>30600</v>
      </c>
      <c r="N937" s="5">
        <v>30000</v>
      </c>
      <c r="O937" s="8">
        <f t="shared" si="87"/>
        <v>60600</v>
      </c>
      <c r="P937" s="2" t="s">
        <v>29</v>
      </c>
      <c r="Q937" s="10" t="str">
        <f>VLOOKUP(A937,Status!A:B,2,0)</f>
        <v>Completed</v>
      </c>
      <c r="R937" s="2" t="s">
        <v>36</v>
      </c>
      <c r="S937" s="2">
        <v>1</v>
      </c>
      <c r="T937" s="2" t="s">
        <v>24</v>
      </c>
      <c r="U937" s="10" t="str">
        <f t="shared" si="89"/>
        <v>Jun</v>
      </c>
      <c r="V937" s="10">
        <f t="shared" si="88"/>
        <v>2025</v>
      </c>
      <c r="W937" t="e" cm="1">
        <f t="array" ref="W937">_xlfn.IFS(U937="January",1,U937="February",2,U937="March",3,U937="April",4,U937="May",5,U937="June",6,U937="July",7,U937="August",8,U937="September",9,U937="October",10,U937="November",11,U937="December",12)</f>
        <v>#N/A</v>
      </c>
    </row>
    <row r="938" spans="1:23" ht="15.75" customHeight="1" x14ac:dyDescent="0.25">
      <c r="A938" s="2" t="s">
        <v>1882</v>
      </c>
      <c r="B938" s="3">
        <v>45829.718715277777</v>
      </c>
      <c r="C938" s="2" t="s">
        <v>557</v>
      </c>
      <c r="D938" s="2" t="s">
        <v>173</v>
      </c>
      <c r="E938" s="2" t="s">
        <v>104</v>
      </c>
      <c r="F938" s="2" t="str" cm="1">
        <f t="array" ref="F938:G938">_xlfn.TEXTSPLIT(E938," - ")</f>
        <v>Bawang Merah</v>
      </c>
      <c r="G938" s="2" t="str">
        <v>Brand A</v>
      </c>
      <c r="H938" s="5">
        <v>30000</v>
      </c>
      <c r="I938" s="2">
        <v>5</v>
      </c>
      <c r="J938" s="2">
        <v>10</v>
      </c>
      <c r="K938" s="8">
        <f t="shared" si="84"/>
        <v>150000</v>
      </c>
      <c r="L938" s="8">
        <f t="shared" si="85"/>
        <v>15000</v>
      </c>
      <c r="M938" s="8">
        <f t="shared" si="86"/>
        <v>135000</v>
      </c>
      <c r="N938" s="5">
        <v>49000</v>
      </c>
      <c r="O938" s="8">
        <f t="shared" si="87"/>
        <v>184000</v>
      </c>
      <c r="P938" s="2" t="s">
        <v>29</v>
      </c>
      <c r="Q938" s="10" t="str">
        <f>VLOOKUP(A938,Status!A:B,2,0)</f>
        <v>Cancelled</v>
      </c>
      <c r="R938" s="2" t="s">
        <v>36</v>
      </c>
      <c r="S938" s="2">
        <v>5</v>
      </c>
      <c r="T938" s="2" t="s">
        <v>24</v>
      </c>
      <c r="U938" s="10" t="str">
        <f t="shared" si="89"/>
        <v>Jun</v>
      </c>
      <c r="V938" s="10">
        <f t="shared" si="88"/>
        <v>2025</v>
      </c>
      <c r="W938" t="e" cm="1">
        <f t="array" ref="W938">_xlfn.IFS(U938="January",1,U938="February",2,U938="March",3,U938="April",4,U938="May",5,U938="June",6,U938="July",7,U938="August",8,U938="September",9,U938="October",10,U938="November",11,U938="December",12)</f>
        <v>#N/A</v>
      </c>
    </row>
    <row r="939" spans="1:23" ht="15.75" customHeight="1" x14ac:dyDescent="0.25">
      <c r="A939" s="2" t="s">
        <v>1883</v>
      </c>
      <c r="B939" s="3">
        <v>45829.995729166672</v>
      </c>
      <c r="C939" s="2" t="s">
        <v>1530</v>
      </c>
      <c r="D939" s="2" t="s">
        <v>122</v>
      </c>
      <c r="E939" s="2" t="s">
        <v>174</v>
      </c>
      <c r="F939" s="2" t="str" cm="1">
        <f t="array" ref="F939:G939">_xlfn.TEXTSPLIT(E939," - ")</f>
        <v>Tepung Terigu</v>
      </c>
      <c r="G939" s="2" t="str">
        <v>Brand A</v>
      </c>
      <c r="H939" s="5">
        <v>10000</v>
      </c>
      <c r="I939" s="2">
        <v>3</v>
      </c>
      <c r="J939" s="2">
        <v>5</v>
      </c>
      <c r="K939" s="8">
        <f t="shared" si="84"/>
        <v>30000</v>
      </c>
      <c r="L939" s="8">
        <f t="shared" si="85"/>
        <v>1500</v>
      </c>
      <c r="M939" s="8">
        <f t="shared" si="86"/>
        <v>28500</v>
      </c>
      <c r="N939" s="5">
        <v>78000</v>
      </c>
      <c r="O939" s="8">
        <f t="shared" si="87"/>
        <v>106500</v>
      </c>
      <c r="P939" s="2" t="s">
        <v>22</v>
      </c>
      <c r="Q939" s="10" t="str">
        <f>VLOOKUP(A939,Status!A:B,2,0)</f>
        <v>Cancelled</v>
      </c>
      <c r="R939" s="2" t="s">
        <v>82</v>
      </c>
      <c r="S939" s="2">
        <v>3</v>
      </c>
      <c r="T939" s="2" t="s">
        <v>24</v>
      </c>
      <c r="U939" s="10" t="str">
        <f t="shared" si="89"/>
        <v>Jun</v>
      </c>
      <c r="V939" s="10">
        <f t="shared" si="88"/>
        <v>2025</v>
      </c>
      <c r="W939" t="e" cm="1">
        <f t="array" ref="W939">_xlfn.IFS(U939="January",1,U939="February",2,U939="March",3,U939="April",4,U939="May",5,U939="June",6,U939="July",7,U939="August",8,U939="September",9,U939="October",10,U939="November",11,U939="December",12)</f>
        <v>#N/A</v>
      </c>
    </row>
    <row r="940" spans="1:23" ht="15.75" customHeight="1" x14ac:dyDescent="0.25">
      <c r="A940" s="2" t="s">
        <v>1884</v>
      </c>
      <c r="B940" s="3">
        <v>45830.073067129633</v>
      </c>
      <c r="C940" s="2" t="s">
        <v>167</v>
      </c>
      <c r="D940" s="2" t="s">
        <v>44</v>
      </c>
      <c r="E940" s="2" t="s">
        <v>81</v>
      </c>
      <c r="F940" s="2" t="str" cm="1">
        <f t="array" ref="F940:G940">_xlfn.TEXTSPLIT(E940," - ")</f>
        <v>Minyak Goreng</v>
      </c>
      <c r="G940" s="2" t="str">
        <v>Brand B</v>
      </c>
      <c r="H940" s="5">
        <v>17000</v>
      </c>
      <c r="I940" s="2">
        <v>3</v>
      </c>
      <c r="J940" s="2">
        <v>20</v>
      </c>
      <c r="K940" s="8">
        <f t="shared" si="84"/>
        <v>51000</v>
      </c>
      <c r="L940" s="8">
        <f t="shared" si="85"/>
        <v>10200</v>
      </c>
      <c r="M940" s="8">
        <f t="shared" si="86"/>
        <v>40800</v>
      </c>
      <c r="N940" s="5">
        <v>93000</v>
      </c>
      <c r="O940" s="8">
        <f t="shared" si="87"/>
        <v>133800</v>
      </c>
      <c r="P940" s="2" t="s">
        <v>22</v>
      </c>
      <c r="Q940" s="10" t="str">
        <f>VLOOKUP(A940,Status!A:B,2,0)</f>
        <v>Completed</v>
      </c>
      <c r="R940" s="2" t="s">
        <v>82</v>
      </c>
      <c r="S940" s="2">
        <v>4</v>
      </c>
      <c r="T940" s="2" t="s">
        <v>24</v>
      </c>
      <c r="U940" s="10" t="str">
        <f t="shared" si="89"/>
        <v>Jun</v>
      </c>
      <c r="V940" s="10">
        <f t="shared" si="88"/>
        <v>2025</v>
      </c>
      <c r="W940" t="e" cm="1">
        <f t="array" ref="W940">_xlfn.IFS(U940="January",1,U940="February",2,U940="March",3,U940="April",4,U940="May",5,U940="June",6,U940="July",7,U940="August",8,U940="September",9,U940="October",10,U940="November",11,U940="December",12)</f>
        <v>#N/A</v>
      </c>
    </row>
    <row r="941" spans="1:23" ht="15.75" customHeight="1" x14ac:dyDescent="0.25">
      <c r="A941" s="2" t="s">
        <v>1885</v>
      </c>
      <c r="B941" s="3">
        <v>45830.227199074077</v>
      </c>
      <c r="C941" s="2" t="s">
        <v>786</v>
      </c>
      <c r="D941" s="2" t="s">
        <v>107</v>
      </c>
      <c r="E941" s="2" t="s">
        <v>21</v>
      </c>
      <c r="F941" s="2" t="str" cm="1">
        <f t="array" ref="F941:G941">_xlfn.TEXTSPLIT(E941," - ")</f>
        <v>Daging Ayam</v>
      </c>
      <c r="G941" s="2" t="str">
        <v>Brand C</v>
      </c>
      <c r="H941" s="5">
        <v>45000</v>
      </c>
      <c r="I941" s="2">
        <v>4</v>
      </c>
      <c r="J941" s="2">
        <v>5</v>
      </c>
      <c r="K941" s="8">
        <f t="shared" si="84"/>
        <v>180000</v>
      </c>
      <c r="L941" s="8">
        <f t="shared" si="85"/>
        <v>9000</v>
      </c>
      <c r="M941" s="8">
        <f t="shared" si="86"/>
        <v>171000</v>
      </c>
      <c r="N941" s="5">
        <v>97000</v>
      </c>
      <c r="O941" s="8">
        <f t="shared" si="87"/>
        <v>268000</v>
      </c>
      <c r="P941" s="2" t="s">
        <v>22</v>
      </c>
      <c r="Q941" s="10" t="str">
        <f>VLOOKUP(A941,Status!A:B,2,0)</f>
        <v>Returned</v>
      </c>
      <c r="R941" s="2" t="s">
        <v>30</v>
      </c>
      <c r="S941" s="2">
        <v>3</v>
      </c>
      <c r="T941" s="2" t="s">
        <v>24</v>
      </c>
      <c r="U941" s="10" t="str">
        <f t="shared" si="89"/>
        <v>Jun</v>
      </c>
      <c r="V941" s="10">
        <f t="shared" si="88"/>
        <v>2025</v>
      </c>
      <c r="W941" t="e" cm="1">
        <f t="array" ref="W941">_xlfn.IFS(U941="January",1,U941="February",2,U941="March",3,U941="April",4,U941="May",5,U941="June",6,U941="July",7,U941="August",8,U941="September",9,U941="October",10,U941="November",11,U941="December",12)</f>
        <v>#N/A</v>
      </c>
    </row>
    <row r="942" spans="1:23" ht="15.75" customHeight="1" x14ac:dyDescent="0.25">
      <c r="A942" s="2" t="s">
        <v>1886</v>
      </c>
      <c r="B942" s="3">
        <v>45830.288483796299</v>
      </c>
      <c r="C942" s="2" t="s">
        <v>1887</v>
      </c>
      <c r="D942" s="2" t="s">
        <v>238</v>
      </c>
      <c r="E942" s="2" t="s">
        <v>123</v>
      </c>
      <c r="F942" s="2" t="str" cm="1">
        <f t="array" ref="F942:G942">_xlfn.TEXTSPLIT(E942," - ")</f>
        <v>Telur Ayam</v>
      </c>
      <c r="G942" s="2" t="str">
        <v>Brand A</v>
      </c>
      <c r="H942" s="5">
        <v>22000</v>
      </c>
      <c r="I942" s="2">
        <v>5</v>
      </c>
      <c r="J942" s="2">
        <v>10</v>
      </c>
      <c r="K942" s="8">
        <f t="shared" si="84"/>
        <v>110000</v>
      </c>
      <c r="L942" s="8">
        <f t="shared" si="85"/>
        <v>11000</v>
      </c>
      <c r="M942" s="8">
        <f t="shared" si="86"/>
        <v>99000</v>
      </c>
      <c r="N942" s="5">
        <v>28000</v>
      </c>
      <c r="O942" s="8">
        <f t="shared" si="87"/>
        <v>127000</v>
      </c>
      <c r="P942" s="2" t="s">
        <v>63</v>
      </c>
      <c r="Q942" s="10" t="str">
        <f>VLOOKUP(A942,Status!A:B,2,0)</f>
        <v>Completed</v>
      </c>
      <c r="R942" s="2" t="s">
        <v>36</v>
      </c>
      <c r="S942" s="2">
        <v>2</v>
      </c>
      <c r="T942" s="2" t="s">
        <v>24</v>
      </c>
      <c r="U942" s="10" t="str">
        <f t="shared" si="89"/>
        <v>Jun</v>
      </c>
      <c r="V942" s="10">
        <f t="shared" si="88"/>
        <v>2025</v>
      </c>
      <c r="W942" t="e" cm="1">
        <f t="array" ref="W942">_xlfn.IFS(U942="January",1,U942="February",2,U942="March",3,U942="April",4,U942="May",5,U942="June",6,U942="July",7,U942="August",8,U942="September",9,U942="October",10,U942="November",11,U942="December",12)</f>
        <v>#N/A</v>
      </c>
    </row>
    <row r="943" spans="1:23" ht="15.75" customHeight="1" x14ac:dyDescent="0.25">
      <c r="A943" s="2" t="s">
        <v>1886</v>
      </c>
      <c r="B943" s="3">
        <v>45830.288483796299</v>
      </c>
      <c r="C943" s="2" t="s">
        <v>1887</v>
      </c>
      <c r="D943" s="2" t="s">
        <v>238</v>
      </c>
      <c r="E943" s="2" t="s">
        <v>71</v>
      </c>
      <c r="F943" s="2" t="str" cm="1">
        <f t="array" ref="F943:G943">_xlfn.TEXTSPLIT(E943," - ")</f>
        <v>Bawang Merah</v>
      </c>
      <c r="G943" s="2" t="str">
        <v>Brand C</v>
      </c>
      <c r="H943" s="5">
        <v>40000</v>
      </c>
      <c r="I943" s="2">
        <v>2</v>
      </c>
      <c r="J943" s="2">
        <v>10</v>
      </c>
      <c r="K943" s="8">
        <f t="shared" si="84"/>
        <v>80000</v>
      </c>
      <c r="L943" s="8">
        <f t="shared" si="85"/>
        <v>8000</v>
      </c>
      <c r="M943" s="8">
        <f t="shared" si="86"/>
        <v>72000</v>
      </c>
      <c r="N943" s="5">
        <v>0</v>
      </c>
      <c r="O943" s="8">
        <f t="shared" si="87"/>
        <v>72000</v>
      </c>
      <c r="P943" s="2" t="s">
        <v>63</v>
      </c>
      <c r="Q943" s="10" t="str">
        <f>VLOOKUP(A943,Status!A:B,2,0)</f>
        <v>Completed</v>
      </c>
      <c r="R943" s="2" t="s">
        <v>36</v>
      </c>
      <c r="S943" s="2">
        <v>2</v>
      </c>
      <c r="T943" s="2" t="s">
        <v>24</v>
      </c>
      <c r="U943" s="10" t="str">
        <f t="shared" si="89"/>
        <v>Jun</v>
      </c>
      <c r="V943" s="10">
        <f t="shared" si="88"/>
        <v>2025</v>
      </c>
      <c r="W943" t="e" cm="1">
        <f t="array" ref="W943">_xlfn.IFS(U943="January",1,U943="February",2,U943="March",3,U943="April",4,U943="May",5,U943="June",6,U943="July",7,U943="August",8,U943="September",9,U943="October",10,U943="November",11,U943="December",12)</f>
        <v>#N/A</v>
      </c>
    </row>
    <row r="944" spans="1:23" ht="15.75" customHeight="1" x14ac:dyDescent="0.25">
      <c r="A944" s="2" t="s">
        <v>1888</v>
      </c>
      <c r="B944" s="3">
        <v>45830.345300925917</v>
      </c>
      <c r="C944" s="2" t="s">
        <v>222</v>
      </c>
      <c r="D944" s="2" t="s">
        <v>49</v>
      </c>
      <c r="E944" s="2" t="s">
        <v>38</v>
      </c>
      <c r="F944" s="2" t="str" cm="1">
        <f t="array" ref="F944:G944">_xlfn.TEXTSPLIT(E944," - ")</f>
        <v>Telur Ayam</v>
      </c>
      <c r="G944" s="2" t="str">
        <v>Brand C</v>
      </c>
      <c r="H944" s="5">
        <v>28000</v>
      </c>
      <c r="I944" s="2">
        <v>2</v>
      </c>
      <c r="J944" s="2">
        <v>0</v>
      </c>
      <c r="K944" s="8">
        <f t="shared" si="84"/>
        <v>56000</v>
      </c>
      <c r="L944" s="8">
        <f t="shared" si="85"/>
        <v>0</v>
      </c>
      <c r="M944" s="8">
        <f t="shared" si="86"/>
        <v>56000</v>
      </c>
      <c r="N944" s="5">
        <v>43000</v>
      </c>
      <c r="O944" s="8">
        <f t="shared" si="87"/>
        <v>99000</v>
      </c>
      <c r="P944" s="2" t="s">
        <v>63</v>
      </c>
      <c r="Q944" s="10" t="str">
        <f>VLOOKUP(A944,Status!A:B,2,0)</f>
        <v>Completed</v>
      </c>
      <c r="R944" s="2" t="s">
        <v>82</v>
      </c>
      <c r="S944" s="2">
        <v>1</v>
      </c>
      <c r="T944" s="2" t="s">
        <v>24</v>
      </c>
      <c r="U944" s="10" t="str">
        <f t="shared" si="89"/>
        <v>Jun</v>
      </c>
      <c r="V944" s="10">
        <f t="shared" si="88"/>
        <v>2025</v>
      </c>
      <c r="W944" t="e" cm="1">
        <f t="array" ref="W944">_xlfn.IFS(U944="January",1,U944="February",2,U944="March",3,U944="April",4,U944="May",5,U944="June",6,U944="July",7,U944="August",8,U944="September",9,U944="October",10,U944="November",11,U944="December",12)</f>
        <v>#N/A</v>
      </c>
    </row>
    <row r="945" spans="1:23" ht="15.75" customHeight="1" x14ac:dyDescent="0.25">
      <c r="A945" s="2" t="s">
        <v>1889</v>
      </c>
      <c r="B945" s="3">
        <v>45830.581990740742</v>
      </c>
      <c r="C945" s="2" t="s">
        <v>708</v>
      </c>
      <c r="D945" s="2" t="s">
        <v>116</v>
      </c>
      <c r="E945" s="2" t="s">
        <v>50</v>
      </c>
      <c r="F945" s="2" t="str" cm="1">
        <f t="array" ref="F945:G945">_xlfn.TEXTSPLIT(E945," - ")</f>
        <v>Tepung Terigu</v>
      </c>
      <c r="G945" s="2" t="str">
        <v>Brand C</v>
      </c>
      <c r="H945" s="5">
        <v>14000</v>
      </c>
      <c r="I945" s="2">
        <v>3</v>
      </c>
      <c r="J945" s="2">
        <v>20</v>
      </c>
      <c r="K945" s="8">
        <f t="shared" si="84"/>
        <v>42000</v>
      </c>
      <c r="L945" s="8">
        <f t="shared" si="85"/>
        <v>8400</v>
      </c>
      <c r="M945" s="8">
        <f t="shared" si="86"/>
        <v>33600</v>
      </c>
      <c r="N945" s="5">
        <v>72000</v>
      </c>
      <c r="O945" s="8">
        <f t="shared" si="87"/>
        <v>105600</v>
      </c>
      <c r="P945" s="2" t="s">
        <v>29</v>
      </c>
      <c r="Q945" s="10" t="str">
        <f>VLOOKUP(A945,Status!A:B,2,0)</f>
        <v>Completed</v>
      </c>
      <c r="R945" s="2" t="s">
        <v>30</v>
      </c>
      <c r="S945" s="2">
        <v>1</v>
      </c>
      <c r="T945" s="2" t="s">
        <v>24</v>
      </c>
      <c r="U945" s="10" t="str">
        <f t="shared" si="89"/>
        <v>Jun</v>
      </c>
      <c r="V945" s="10">
        <f t="shared" si="88"/>
        <v>2025</v>
      </c>
      <c r="W945" t="e" cm="1">
        <f t="array" ref="W945">_xlfn.IFS(U945="January",1,U945="February",2,U945="March",3,U945="April",4,U945="May",5,U945="June",6,U945="July",7,U945="August",8,U945="September",9,U945="October",10,U945="November",11,U945="December",12)</f>
        <v>#N/A</v>
      </c>
    </row>
    <row r="946" spans="1:23" ht="15.75" customHeight="1" x14ac:dyDescent="0.25">
      <c r="A946" s="2" t="s">
        <v>1890</v>
      </c>
      <c r="B946" s="3">
        <v>45830.671400462961</v>
      </c>
      <c r="C946" s="2" t="s">
        <v>361</v>
      </c>
      <c r="D946" s="2" t="s">
        <v>70</v>
      </c>
      <c r="E946" s="2" t="s">
        <v>250</v>
      </c>
      <c r="F946" s="2" t="str" cm="1">
        <f t="array" ref="F946:G946">_xlfn.TEXTSPLIT(E946," - ")</f>
        <v>Minyak Goreng</v>
      </c>
      <c r="G946" s="2" t="str">
        <v>Brand C</v>
      </c>
      <c r="H946" s="5">
        <v>18000</v>
      </c>
      <c r="I946" s="2">
        <v>5</v>
      </c>
      <c r="J946" s="2">
        <v>0</v>
      </c>
      <c r="K946" s="8">
        <f t="shared" si="84"/>
        <v>90000</v>
      </c>
      <c r="L946" s="8">
        <f t="shared" si="85"/>
        <v>0</v>
      </c>
      <c r="M946" s="8">
        <f t="shared" si="86"/>
        <v>90000</v>
      </c>
      <c r="N946" s="5">
        <v>89000</v>
      </c>
      <c r="O946" s="8">
        <f t="shared" si="87"/>
        <v>179000</v>
      </c>
      <c r="P946" s="2" t="s">
        <v>63</v>
      </c>
      <c r="Q946" s="10" t="str">
        <f>VLOOKUP(A946,Status!A:B,2,0)</f>
        <v>Completed</v>
      </c>
      <c r="R946" s="2" t="s">
        <v>23</v>
      </c>
      <c r="S946" s="2">
        <v>1</v>
      </c>
      <c r="T946" s="2" t="s">
        <v>37</v>
      </c>
      <c r="U946" s="10" t="str">
        <f t="shared" si="89"/>
        <v>Jun</v>
      </c>
      <c r="V946" s="10">
        <f t="shared" si="88"/>
        <v>2025</v>
      </c>
      <c r="W946" t="e" cm="1">
        <f t="array" ref="W946">_xlfn.IFS(U946="January",1,U946="February",2,U946="March",3,U946="April",4,U946="May",5,U946="June",6,U946="July",7,U946="August",8,U946="September",9,U946="October",10,U946="November",11,U946="December",12)</f>
        <v>#N/A</v>
      </c>
    </row>
    <row r="947" spans="1:23" ht="15.75" customHeight="1" x14ac:dyDescent="0.25">
      <c r="A947" s="2" t="s">
        <v>1891</v>
      </c>
      <c r="B947" s="3">
        <v>45830.673506944448</v>
      </c>
      <c r="C947" s="2" t="s">
        <v>246</v>
      </c>
      <c r="D947" s="2" t="s">
        <v>238</v>
      </c>
      <c r="E947" s="2" t="s">
        <v>54</v>
      </c>
      <c r="F947" s="2" t="str" cm="1">
        <f t="array" ref="F947:G947">_xlfn.TEXTSPLIT(E947," - ")</f>
        <v>Beras</v>
      </c>
      <c r="G947" s="2" t="str">
        <v>Brand C</v>
      </c>
      <c r="H947" s="5">
        <v>16000</v>
      </c>
      <c r="I947" s="2">
        <v>2</v>
      </c>
      <c r="J947" s="2">
        <v>15</v>
      </c>
      <c r="K947" s="8">
        <f t="shared" si="84"/>
        <v>32000</v>
      </c>
      <c r="L947" s="8">
        <f t="shared" si="85"/>
        <v>4800</v>
      </c>
      <c r="M947" s="8">
        <f t="shared" si="86"/>
        <v>27200</v>
      </c>
      <c r="N947" s="5">
        <v>28000</v>
      </c>
      <c r="O947" s="8">
        <f t="shared" si="87"/>
        <v>55200</v>
      </c>
      <c r="P947" s="2" t="s">
        <v>22</v>
      </c>
      <c r="Q947" s="10" t="str">
        <f>VLOOKUP(A947,Status!A:B,2,0)</f>
        <v>Completed</v>
      </c>
      <c r="R947" s="2" t="s">
        <v>82</v>
      </c>
      <c r="S947" s="2">
        <v>2</v>
      </c>
      <c r="T947" s="2" t="s">
        <v>24</v>
      </c>
      <c r="U947" s="10" t="str">
        <f t="shared" si="89"/>
        <v>Jun</v>
      </c>
      <c r="V947" s="10">
        <f t="shared" si="88"/>
        <v>2025</v>
      </c>
      <c r="W947" t="e" cm="1">
        <f t="array" ref="W947">_xlfn.IFS(U947="January",1,U947="February",2,U947="March",3,U947="April",4,U947="May",5,U947="June",6,U947="July",7,U947="August",8,U947="September",9,U947="October",10,U947="November",11,U947="December",12)</f>
        <v>#N/A</v>
      </c>
    </row>
    <row r="948" spans="1:23" ht="15.75" customHeight="1" x14ac:dyDescent="0.25">
      <c r="A948" s="2" t="s">
        <v>1892</v>
      </c>
      <c r="B948" s="3">
        <v>45830.705601851849</v>
      </c>
      <c r="C948" s="2" t="s">
        <v>1133</v>
      </c>
      <c r="D948" s="2" t="s">
        <v>80</v>
      </c>
      <c r="E948" s="2" t="s">
        <v>21</v>
      </c>
      <c r="F948" s="2" t="str" cm="1">
        <f t="array" ref="F948:G948">_xlfn.TEXTSPLIT(E948," - ")</f>
        <v>Daging Ayam</v>
      </c>
      <c r="G948" s="2" t="str">
        <v>Brand C</v>
      </c>
      <c r="H948" s="5">
        <v>45000</v>
      </c>
      <c r="I948" s="2">
        <v>3</v>
      </c>
      <c r="J948" s="2">
        <v>15</v>
      </c>
      <c r="K948" s="8">
        <f t="shared" si="84"/>
        <v>135000</v>
      </c>
      <c r="L948" s="8">
        <f t="shared" si="85"/>
        <v>20250</v>
      </c>
      <c r="M948" s="8">
        <f t="shared" si="86"/>
        <v>114750</v>
      </c>
      <c r="N948" s="5">
        <v>74000</v>
      </c>
      <c r="O948" s="8">
        <f t="shared" si="87"/>
        <v>188750</v>
      </c>
      <c r="P948" s="2" t="s">
        <v>22</v>
      </c>
      <c r="Q948" s="10" t="str">
        <f>VLOOKUP(A948,Status!A:B,2,0)</f>
        <v>Returned</v>
      </c>
      <c r="R948" s="2" t="s">
        <v>46</v>
      </c>
      <c r="S948" s="2">
        <v>2</v>
      </c>
      <c r="T948" s="2" t="s">
        <v>24</v>
      </c>
      <c r="U948" s="10" t="str">
        <f t="shared" si="89"/>
        <v>Jun</v>
      </c>
      <c r="V948" s="10">
        <f t="shared" si="88"/>
        <v>2025</v>
      </c>
      <c r="W948" t="e" cm="1">
        <f t="array" ref="W948">_xlfn.IFS(U948="January",1,U948="February",2,U948="March",3,U948="April",4,U948="May",5,U948="June",6,U948="July",7,U948="August",8,U948="September",9,U948="October",10,U948="November",11,U948="December",12)</f>
        <v>#N/A</v>
      </c>
    </row>
    <row r="949" spans="1:23" ht="15.75" customHeight="1" x14ac:dyDescent="0.25">
      <c r="A949" s="2" t="s">
        <v>1893</v>
      </c>
      <c r="B949" s="3">
        <v>45830.708506944437</v>
      </c>
      <c r="C949" s="2" t="s">
        <v>1382</v>
      </c>
      <c r="D949" s="2" t="s">
        <v>74</v>
      </c>
      <c r="E949" s="2" t="s">
        <v>75</v>
      </c>
      <c r="F949" s="2" t="str" cm="1">
        <f t="array" ref="F949:G949">_xlfn.TEXTSPLIT(E949," - ")</f>
        <v>Susu Bubuk</v>
      </c>
      <c r="G949" s="2" t="str">
        <v>Brand C</v>
      </c>
      <c r="H949" s="5">
        <v>55000</v>
      </c>
      <c r="I949" s="2">
        <v>2</v>
      </c>
      <c r="J949" s="2">
        <v>20</v>
      </c>
      <c r="K949" s="8">
        <f t="shared" si="84"/>
        <v>110000</v>
      </c>
      <c r="L949" s="8">
        <f t="shared" si="85"/>
        <v>22000</v>
      </c>
      <c r="M949" s="8">
        <f t="shared" si="86"/>
        <v>88000</v>
      </c>
      <c r="N949" s="5">
        <v>87000</v>
      </c>
      <c r="O949" s="8">
        <f t="shared" si="87"/>
        <v>175000</v>
      </c>
      <c r="P949" s="2" t="s">
        <v>63</v>
      </c>
      <c r="Q949" s="10" t="str">
        <f>VLOOKUP(A949,Status!A:B,2,0)</f>
        <v>Completed</v>
      </c>
      <c r="R949" s="2" t="s">
        <v>46</v>
      </c>
      <c r="S949" s="2">
        <v>3</v>
      </c>
      <c r="T949" s="2" t="s">
        <v>24</v>
      </c>
      <c r="U949" s="10" t="str">
        <f t="shared" si="89"/>
        <v>Jun</v>
      </c>
      <c r="V949" s="10">
        <f t="shared" si="88"/>
        <v>2025</v>
      </c>
      <c r="W949" t="e" cm="1">
        <f t="array" ref="W949">_xlfn.IFS(U949="January",1,U949="February",2,U949="March",3,U949="April",4,U949="May",5,U949="June",6,U949="July",7,U949="August",8,U949="September",9,U949="October",10,U949="November",11,U949="December",12)</f>
        <v>#N/A</v>
      </c>
    </row>
    <row r="950" spans="1:23" ht="15.75" customHeight="1" x14ac:dyDescent="0.25">
      <c r="A950" s="2" t="s">
        <v>1894</v>
      </c>
      <c r="B950" s="3">
        <v>45830.878240740742</v>
      </c>
      <c r="C950" s="2" t="s">
        <v>273</v>
      </c>
      <c r="D950" s="2" t="s">
        <v>195</v>
      </c>
      <c r="E950" s="2" t="s">
        <v>136</v>
      </c>
      <c r="F950" s="2" t="str" cm="1">
        <f t="array" ref="F950:G950">_xlfn.TEXTSPLIT(E950," - ")</f>
        <v>Tepung Terigu</v>
      </c>
      <c r="G950" s="2" t="str">
        <v>Brand B</v>
      </c>
      <c r="H950" s="5">
        <v>12000</v>
      </c>
      <c r="I950" s="2">
        <v>2</v>
      </c>
      <c r="J950" s="2">
        <v>0</v>
      </c>
      <c r="K950" s="8">
        <f t="shared" si="84"/>
        <v>24000</v>
      </c>
      <c r="L950" s="8">
        <f t="shared" si="85"/>
        <v>0</v>
      </c>
      <c r="M950" s="8">
        <f t="shared" si="86"/>
        <v>24000</v>
      </c>
      <c r="N950" s="5">
        <v>87000</v>
      </c>
      <c r="O950" s="8">
        <f t="shared" si="87"/>
        <v>111000</v>
      </c>
      <c r="P950" s="2" t="s">
        <v>22</v>
      </c>
      <c r="Q950" s="10" t="str">
        <f>VLOOKUP(A950,Status!A:B,2,0)</f>
        <v>Completed</v>
      </c>
      <c r="R950" s="2" t="s">
        <v>30</v>
      </c>
      <c r="S950" s="2">
        <v>5</v>
      </c>
      <c r="T950" s="2" t="s">
        <v>24</v>
      </c>
      <c r="U950" s="10" t="str">
        <f t="shared" si="89"/>
        <v>Jun</v>
      </c>
      <c r="V950" s="10">
        <f t="shared" si="88"/>
        <v>2025</v>
      </c>
      <c r="W950" t="e" cm="1">
        <f t="array" ref="W950">_xlfn.IFS(U950="January",1,U950="February",2,U950="March",3,U950="April",4,U950="May",5,U950="June",6,U950="July",7,U950="August",8,U950="September",9,U950="October",10,U950="November",11,U950="December",12)</f>
        <v>#N/A</v>
      </c>
    </row>
    <row r="951" spans="1:23" ht="15.75" customHeight="1" x14ac:dyDescent="0.25">
      <c r="A951" s="2" t="s">
        <v>1895</v>
      </c>
      <c r="B951" s="3">
        <v>45831.159814814811</v>
      </c>
      <c r="C951" s="2" t="s">
        <v>353</v>
      </c>
      <c r="D951" s="2" t="s">
        <v>66</v>
      </c>
      <c r="E951" s="2" t="s">
        <v>62</v>
      </c>
      <c r="F951" s="2" t="str" cm="1">
        <f t="array" ref="F951:G951">_xlfn.TEXTSPLIT(E951," - ")</f>
        <v>Susu Bubuk</v>
      </c>
      <c r="G951" s="2" t="str">
        <v>Brand B</v>
      </c>
      <c r="H951" s="5">
        <v>50000</v>
      </c>
      <c r="I951" s="2">
        <v>2</v>
      </c>
      <c r="J951" s="2">
        <v>15</v>
      </c>
      <c r="K951" s="8">
        <f t="shared" si="84"/>
        <v>100000</v>
      </c>
      <c r="L951" s="8">
        <f t="shared" si="85"/>
        <v>15000</v>
      </c>
      <c r="M951" s="8">
        <f t="shared" si="86"/>
        <v>85000</v>
      </c>
      <c r="N951" s="5">
        <v>59000</v>
      </c>
      <c r="O951" s="8">
        <f t="shared" si="87"/>
        <v>144000</v>
      </c>
      <c r="P951" s="2" t="s">
        <v>35</v>
      </c>
      <c r="Q951" s="10" t="str">
        <f>VLOOKUP(A951,Status!A:B,2,0)</f>
        <v>Completed</v>
      </c>
      <c r="R951" s="2" t="s">
        <v>46</v>
      </c>
      <c r="S951" s="2">
        <v>5</v>
      </c>
      <c r="T951" s="2" t="s">
        <v>24</v>
      </c>
      <c r="U951" s="10" t="str">
        <f t="shared" si="89"/>
        <v>Jun</v>
      </c>
      <c r="V951" s="10">
        <f t="shared" si="88"/>
        <v>2025</v>
      </c>
      <c r="W951" t="e" cm="1">
        <f t="array" ref="W951">_xlfn.IFS(U951="January",1,U951="February",2,U951="March",3,U951="April",4,U951="May",5,U951="June",6,U951="July",7,U951="August",8,U951="September",9,U951="October",10,U951="November",11,U951="December",12)</f>
        <v>#N/A</v>
      </c>
    </row>
    <row r="952" spans="1:23" ht="15.75" customHeight="1" x14ac:dyDescent="0.25">
      <c r="A952" s="2" t="s">
        <v>1896</v>
      </c>
      <c r="B952" s="3">
        <v>45831.452824074076</v>
      </c>
      <c r="C952" s="2" t="s">
        <v>688</v>
      </c>
      <c r="D952" s="2" t="s">
        <v>92</v>
      </c>
      <c r="E952" s="2" t="s">
        <v>138</v>
      </c>
      <c r="F952" s="2" t="str" cm="1">
        <f t="array" ref="F952:G952">_xlfn.TEXTSPLIT(E952," - ")</f>
        <v>Gula Pasir</v>
      </c>
      <c r="G952" s="2" t="str">
        <v>Brand B</v>
      </c>
      <c r="H952" s="5">
        <v>17000</v>
      </c>
      <c r="I952" s="2">
        <v>5</v>
      </c>
      <c r="J952" s="2">
        <v>0</v>
      </c>
      <c r="K952" s="8">
        <f t="shared" si="84"/>
        <v>85000</v>
      </c>
      <c r="L952" s="8">
        <f t="shared" si="85"/>
        <v>0</v>
      </c>
      <c r="M952" s="8">
        <f t="shared" si="86"/>
        <v>85000</v>
      </c>
      <c r="N952" s="5">
        <v>30000</v>
      </c>
      <c r="O952" s="8">
        <f t="shared" si="87"/>
        <v>115000</v>
      </c>
      <c r="P952" s="2" t="s">
        <v>35</v>
      </c>
      <c r="Q952" s="10" t="str">
        <f>VLOOKUP(A952,Status!A:B,2,0)</f>
        <v>Completed</v>
      </c>
      <c r="R952" s="2" t="s">
        <v>23</v>
      </c>
      <c r="S952" s="2">
        <v>4</v>
      </c>
      <c r="T952" s="2" t="s">
        <v>24</v>
      </c>
      <c r="U952" s="10" t="str">
        <f t="shared" si="89"/>
        <v>Jun</v>
      </c>
      <c r="V952" s="10">
        <f t="shared" si="88"/>
        <v>2025</v>
      </c>
      <c r="W952" t="e" cm="1">
        <f t="array" ref="W952">_xlfn.IFS(U952="January",1,U952="February",2,U952="March",3,U952="April",4,U952="May",5,U952="June",6,U952="July",7,U952="August",8,U952="September",9,U952="October",10,U952="November",11,U952="December",12)</f>
        <v>#N/A</v>
      </c>
    </row>
    <row r="953" spans="1:23" ht="15.75" customHeight="1" x14ac:dyDescent="0.25">
      <c r="A953" s="2" t="s">
        <v>1897</v>
      </c>
      <c r="B953" s="3">
        <v>45831.528344907398</v>
      </c>
      <c r="C953" s="2" t="s">
        <v>314</v>
      </c>
      <c r="D953" s="2" t="s">
        <v>113</v>
      </c>
      <c r="E953" s="2" t="s">
        <v>45</v>
      </c>
      <c r="F953" s="2" t="str" cm="1">
        <f t="array" ref="F953:G953">_xlfn.TEXTSPLIT(E953," - ")</f>
        <v>Daging Ayam</v>
      </c>
      <c r="G953" s="2" t="str">
        <v>Brand B</v>
      </c>
      <c r="H953" s="5">
        <v>40000</v>
      </c>
      <c r="I953" s="2">
        <v>1</v>
      </c>
      <c r="J953" s="2">
        <v>5</v>
      </c>
      <c r="K953" s="8">
        <f t="shared" si="84"/>
        <v>40000</v>
      </c>
      <c r="L953" s="8">
        <f t="shared" si="85"/>
        <v>2000</v>
      </c>
      <c r="M953" s="8">
        <f t="shared" si="86"/>
        <v>38000</v>
      </c>
      <c r="N953" s="5">
        <v>18000</v>
      </c>
      <c r="O953" s="8">
        <f t="shared" si="87"/>
        <v>56000</v>
      </c>
      <c r="P953" s="2" t="s">
        <v>63</v>
      </c>
      <c r="Q953" s="10" t="str">
        <f>VLOOKUP(A953,Status!A:B,2,0)</f>
        <v>Completed</v>
      </c>
      <c r="R953" s="2" t="s">
        <v>23</v>
      </c>
      <c r="S953" s="2">
        <v>2</v>
      </c>
      <c r="T953" s="2" t="s">
        <v>24</v>
      </c>
      <c r="U953" s="10" t="str">
        <f t="shared" si="89"/>
        <v>Jun</v>
      </c>
      <c r="V953" s="10">
        <f t="shared" si="88"/>
        <v>2025</v>
      </c>
      <c r="W953" t="e" cm="1">
        <f t="array" ref="W953">_xlfn.IFS(U953="January",1,U953="February",2,U953="March",3,U953="April",4,U953="May",5,U953="June",6,U953="July",7,U953="August",8,U953="September",9,U953="October",10,U953="November",11,U953="December",12)</f>
        <v>#N/A</v>
      </c>
    </row>
    <row r="954" spans="1:23" ht="15.75" customHeight="1" x14ac:dyDescent="0.25">
      <c r="A954" s="2" t="s">
        <v>1898</v>
      </c>
      <c r="B954" s="3">
        <v>45831.597777777781</v>
      </c>
      <c r="C954" s="2" t="s">
        <v>326</v>
      </c>
      <c r="D954" s="2" t="s">
        <v>262</v>
      </c>
      <c r="E954" s="2" t="s">
        <v>28</v>
      </c>
      <c r="F954" s="2" t="str" cm="1">
        <f t="array" ref="F954:G954">_xlfn.TEXTSPLIT(E954," - ")</f>
        <v>Garam</v>
      </c>
      <c r="G954" s="2" t="str">
        <v>Brand B</v>
      </c>
      <c r="H954" s="5">
        <v>5000</v>
      </c>
      <c r="I954" s="2">
        <v>1</v>
      </c>
      <c r="J954" s="2">
        <v>20</v>
      </c>
      <c r="K954" s="8">
        <f t="shared" si="84"/>
        <v>5000</v>
      </c>
      <c r="L954" s="8">
        <f t="shared" si="85"/>
        <v>1000</v>
      </c>
      <c r="M954" s="8">
        <f t="shared" si="86"/>
        <v>4000</v>
      </c>
      <c r="N954" s="5">
        <v>18000</v>
      </c>
      <c r="O954" s="8">
        <f t="shared" si="87"/>
        <v>22000</v>
      </c>
      <c r="P954" s="2" t="s">
        <v>35</v>
      </c>
      <c r="Q954" s="10" t="str">
        <f>VLOOKUP(A954,Status!A:B,2,0)</f>
        <v>Completed</v>
      </c>
      <c r="R954" s="2" t="s">
        <v>82</v>
      </c>
      <c r="S954" s="2">
        <v>4</v>
      </c>
      <c r="T954" s="2" t="s">
        <v>37</v>
      </c>
      <c r="U954" s="10" t="str">
        <f t="shared" si="89"/>
        <v>Jun</v>
      </c>
      <c r="V954" s="10">
        <f t="shared" si="88"/>
        <v>2025</v>
      </c>
      <c r="W954" t="e" cm="1">
        <f t="array" ref="W954">_xlfn.IFS(U954="January",1,U954="February",2,U954="March",3,U954="April",4,U954="May",5,U954="June",6,U954="July",7,U954="August",8,U954="September",9,U954="October",10,U954="November",11,U954="December",12)</f>
        <v>#N/A</v>
      </c>
    </row>
    <row r="955" spans="1:23" ht="15.75" customHeight="1" x14ac:dyDescent="0.25">
      <c r="A955" s="2" t="s">
        <v>1899</v>
      </c>
      <c r="B955" s="3">
        <v>45831.82885416667</v>
      </c>
      <c r="C955" s="2" t="s">
        <v>271</v>
      </c>
      <c r="D955" s="2" t="s">
        <v>49</v>
      </c>
      <c r="E955" s="2" t="s">
        <v>190</v>
      </c>
      <c r="F955" s="2" t="str" cm="1">
        <f t="array" ref="F955:G955">_xlfn.TEXTSPLIT(E955," - ")</f>
        <v>Bawang Merah</v>
      </c>
      <c r="G955" s="2" t="str">
        <v>Brand B</v>
      </c>
      <c r="H955" s="5">
        <v>35000</v>
      </c>
      <c r="I955" s="2">
        <v>1</v>
      </c>
      <c r="J955" s="2">
        <v>0</v>
      </c>
      <c r="K955" s="8">
        <f t="shared" si="84"/>
        <v>35000</v>
      </c>
      <c r="L955" s="8">
        <f t="shared" si="85"/>
        <v>0</v>
      </c>
      <c r="M955" s="8">
        <f t="shared" si="86"/>
        <v>35000</v>
      </c>
      <c r="N955" s="5">
        <v>43000</v>
      </c>
      <c r="O955" s="8">
        <f t="shared" si="87"/>
        <v>78000</v>
      </c>
      <c r="P955" s="2" t="s">
        <v>22</v>
      </c>
      <c r="Q955" s="10" t="str">
        <f>VLOOKUP(A955,Status!A:B,2,0)</f>
        <v>Completed</v>
      </c>
      <c r="R955" s="2" t="s">
        <v>23</v>
      </c>
      <c r="S955" s="2">
        <v>1</v>
      </c>
      <c r="T955" s="2" t="s">
        <v>24</v>
      </c>
      <c r="U955" s="10" t="str">
        <f t="shared" si="89"/>
        <v>Jun</v>
      </c>
      <c r="V955" s="10">
        <f t="shared" si="88"/>
        <v>2025</v>
      </c>
      <c r="W955" t="e" cm="1">
        <f t="array" ref="W955">_xlfn.IFS(U955="January",1,U955="February",2,U955="March",3,U955="April",4,U955="May",5,U955="June",6,U955="July",7,U955="August",8,U955="September",9,U955="October",10,U955="November",11,U955="December",12)</f>
        <v>#N/A</v>
      </c>
    </row>
    <row r="956" spans="1:23" ht="15.75" customHeight="1" x14ac:dyDescent="0.25">
      <c r="A956" s="2" t="s">
        <v>1900</v>
      </c>
      <c r="B956" s="3">
        <v>45832.112662037027</v>
      </c>
      <c r="C956" s="2" t="s">
        <v>638</v>
      </c>
      <c r="D956" s="2" t="s">
        <v>195</v>
      </c>
      <c r="E956" s="2" t="s">
        <v>81</v>
      </c>
      <c r="F956" s="2" t="str" cm="1">
        <f t="array" ref="F956:G956">_xlfn.TEXTSPLIT(E956," - ")</f>
        <v>Minyak Goreng</v>
      </c>
      <c r="G956" s="2" t="str">
        <v>Brand B</v>
      </c>
      <c r="H956" s="5">
        <v>17000</v>
      </c>
      <c r="I956" s="2">
        <v>2</v>
      </c>
      <c r="J956" s="2">
        <v>15</v>
      </c>
      <c r="K956" s="8">
        <f t="shared" si="84"/>
        <v>34000</v>
      </c>
      <c r="L956" s="8">
        <f t="shared" si="85"/>
        <v>5100</v>
      </c>
      <c r="M956" s="8">
        <f t="shared" si="86"/>
        <v>28900</v>
      </c>
      <c r="N956" s="5">
        <v>87000</v>
      </c>
      <c r="O956" s="8">
        <f t="shared" si="87"/>
        <v>115900</v>
      </c>
      <c r="P956" s="2" t="s">
        <v>22</v>
      </c>
      <c r="Q956" s="10" t="str">
        <f>VLOOKUP(A956,Status!A:B,2,0)</f>
        <v>Completed</v>
      </c>
      <c r="R956" s="2" t="s">
        <v>30</v>
      </c>
      <c r="S956" s="2">
        <v>5</v>
      </c>
      <c r="T956" s="2" t="s">
        <v>37</v>
      </c>
      <c r="U956" s="10" t="str">
        <f t="shared" si="89"/>
        <v>Jun</v>
      </c>
      <c r="V956" s="10">
        <f t="shared" si="88"/>
        <v>2025</v>
      </c>
      <c r="W956" t="e" cm="1">
        <f t="array" ref="W956">_xlfn.IFS(U956="January",1,U956="February",2,U956="March",3,U956="April",4,U956="May",5,U956="June",6,U956="July",7,U956="August",8,U956="September",9,U956="October",10,U956="November",11,U956="December",12)</f>
        <v>#N/A</v>
      </c>
    </row>
    <row r="957" spans="1:23" ht="15.75" customHeight="1" x14ac:dyDescent="0.25">
      <c r="A957" s="2" t="s">
        <v>1901</v>
      </c>
      <c r="B957" s="3">
        <v>45832.615891203714</v>
      </c>
      <c r="C957" s="2" t="s">
        <v>1199</v>
      </c>
      <c r="D957" s="2" t="s">
        <v>375</v>
      </c>
      <c r="E957" s="2" t="s">
        <v>123</v>
      </c>
      <c r="F957" s="2" t="str" cm="1">
        <f t="array" ref="F957:G957">_xlfn.TEXTSPLIT(E957," - ")</f>
        <v>Telur Ayam</v>
      </c>
      <c r="G957" s="2" t="str">
        <v>Brand A</v>
      </c>
      <c r="H957" s="5">
        <v>22000</v>
      </c>
      <c r="I957" s="2">
        <v>2</v>
      </c>
      <c r="J957" s="2">
        <v>20</v>
      </c>
      <c r="K957" s="8">
        <f t="shared" si="84"/>
        <v>44000</v>
      </c>
      <c r="L957" s="8">
        <f t="shared" si="85"/>
        <v>8800</v>
      </c>
      <c r="M957" s="8">
        <f t="shared" si="86"/>
        <v>35200</v>
      </c>
      <c r="N957" s="5">
        <v>21000</v>
      </c>
      <c r="O957" s="8">
        <f t="shared" si="87"/>
        <v>56200</v>
      </c>
      <c r="P957" s="2" t="s">
        <v>35</v>
      </c>
      <c r="Q957" s="10" t="str">
        <f>VLOOKUP(A957,Status!A:B,2,0)</f>
        <v>Completed</v>
      </c>
      <c r="R957" s="2" t="s">
        <v>36</v>
      </c>
      <c r="S957" s="2">
        <v>1</v>
      </c>
      <c r="T957" s="2" t="s">
        <v>24</v>
      </c>
      <c r="U957" s="10" t="str">
        <f t="shared" si="89"/>
        <v>Jun</v>
      </c>
      <c r="V957" s="10">
        <f t="shared" si="88"/>
        <v>2025</v>
      </c>
      <c r="W957" t="e" cm="1">
        <f t="array" ref="W957">_xlfn.IFS(U957="January",1,U957="February",2,U957="March",3,U957="April",4,U957="May",5,U957="June",6,U957="July",7,U957="August",8,U957="September",9,U957="October",10,U957="November",11,U957="December",12)</f>
        <v>#N/A</v>
      </c>
    </row>
    <row r="958" spans="1:23" ht="15.75" customHeight="1" x14ac:dyDescent="0.25">
      <c r="A958" s="2" t="s">
        <v>1902</v>
      </c>
      <c r="B958" s="3">
        <v>45832.70207175926</v>
      </c>
      <c r="C958" s="2" t="s">
        <v>1047</v>
      </c>
      <c r="D958" s="2" t="s">
        <v>160</v>
      </c>
      <c r="E958" s="2" t="s">
        <v>38</v>
      </c>
      <c r="F958" s="2" t="str" cm="1">
        <f t="array" ref="F958:G958">_xlfn.TEXTSPLIT(E958," - ")</f>
        <v>Telur Ayam</v>
      </c>
      <c r="G958" s="2" t="str">
        <v>Brand C</v>
      </c>
      <c r="H958" s="5">
        <v>28000</v>
      </c>
      <c r="I958" s="2">
        <v>3</v>
      </c>
      <c r="J958" s="2">
        <v>5</v>
      </c>
      <c r="K958" s="8">
        <f t="shared" si="84"/>
        <v>84000</v>
      </c>
      <c r="L958" s="8">
        <f t="shared" si="85"/>
        <v>4200</v>
      </c>
      <c r="M958" s="8">
        <f t="shared" si="86"/>
        <v>79800</v>
      </c>
      <c r="N958" s="5">
        <v>68000</v>
      </c>
      <c r="O958" s="8">
        <f t="shared" si="87"/>
        <v>147800</v>
      </c>
      <c r="P958" s="2" t="s">
        <v>22</v>
      </c>
      <c r="Q958" s="10" t="str">
        <f>VLOOKUP(A958,Status!A:B,2,0)</f>
        <v>Completed</v>
      </c>
      <c r="R958" s="2" t="s">
        <v>82</v>
      </c>
      <c r="S958" s="2">
        <v>3</v>
      </c>
      <c r="T958" s="2" t="s">
        <v>24</v>
      </c>
      <c r="U958" s="10" t="str">
        <f t="shared" si="89"/>
        <v>Jun</v>
      </c>
      <c r="V958" s="10">
        <f t="shared" si="88"/>
        <v>2025</v>
      </c>
      <c r="W958" t="e" cm="1">
        <f t="array" ref="W958">_xlfn.IFS(U958="January",1,U958="February",2,U958="March",3,U958="April",4,U958="May",5,U958="June",6,U958="July",7,U958="August",8,U958="September",9,U958="October",10,U958="November",11,U958="December",12)</f>
        <v>#N/A</v>
      </c>
    </row>
    <row r="959" spans="1:23" ht="15.75" customHeight="1" x14ac:dyDescent="0.25">
      <c r="A959" s="2" t="s">
        <v>1903</v>
      </c>
      <c r="B959" s="3">
        <v>45832.955671296288</v>
      </c>
      <c r="C959" s="2" t="s">
        <v>337</v>
      </c>
      <c r="D959" s="2" t="s">
        <v>131</v>
      </c>
      <c r="E959" s="2" t="s">
        <v>144</v>
      </c>
      <c r="F959" s="2" t="str" cm="1">
        <f t="array" ref="F959:G959">_xlfn.TEXTSPLIT(E959," - ")</f>
        <v>Gula Pasir</v>
      </c>
      <c r="G959" s="2" t="str">
        <v>Brand C</v>
      </c>
      <c r="H959" s="5">
        <v>18000</v>
      </c>
      <c r="I959" s="2">
        <v>5</v>
      </c>
      <c r="J959" s="2">
        <v>0</v>
      </c>
      <c r="K959" s="8">
        <f t="shared" si="84"/>
        <v>90000</v>
      </c>
      <c r="L959" s="8">
        <f t="shared" si="85"/>
        <v>0</v>
      </c>
      <c r="M959" s="8">
        <f t="shared" si="86"/>
        <v>90000</v>
      </c>
      <c r="N959" s="5">
        <v>59000</v>
      </c>
      <c r="O959" s="8">
        <f t="shared" si="87"/>
        <v>149000</v>
      </c>
      <c r="P959" s="2" t="s">
        <v>29</v>
      </c>
      <c r="Q959" s="10" t="str">
        <f>VLOOKUP(A959,Status!A:B,2,0)</f>
        <v>Completed</v>
      </c>
      <c r="R959" s="2" t="s">
        <v>23</v>
      </c>
      <c r="S959" s="2">
        <v>5</v>
      </c>
      <c r="T959" s="2" t="s">
        <v>24</v>
      </c>
      <c r="U959" s="10" t="str">
        <f t="shared" si="89"/>
        <v>Jun</v>
      </c>
      <c r="V959" s="10">
        <f t="shared" si="88"/>
        <v>2025</v>
      </c>
      <c r="W959" t="e" cm="1">
        <f t="array" ref="W959">_xlfn.IFS(U959="January",1,U959="February",2,U959="March",3,U959="April",4,U959="May",5,U959="June",6,U959="July",7,U959="August",8,U959="September",9,U959="October",10,U959="November",11,U959="December",12)</f>
        <v>#N/A</v>
      </c>
    </row>
    <row r="960" spans="1:23" ht="15.75" customHeight="1" x14ac:dyDescent="0.25">
      <c r="A960" s="2" t="s">
        <v>1904</v>
      </c>
      <c r="B960" s="3">
        <v>45833.024351851847</v>
      </c>
      <c r="C960" s="2" t="s">
        <v>267</v>
      </c>
      <c r="D960" s="2" t="s">
        <v>131</v>
      </c>
      <c r="E960" s="2" t="s">
        <v>190</v>
      </c>
      <c r="F960" s="2" t="str" cm="1">
        <f t="array" ref="F960:G960">_xlfn.TEXTSPLIT(E960," - ")</f>
        <v>Bawang Merah</v>
      </c>
      <c r="G960" s="2" t="str">
        <v>Brand B</v>
      </c>
      <c r="H960" s="5">
        <v>35000</v>
      </c>
      <c r="I960" s="2">
        <v>4</v>
      </c>
      <c r="J960" s="2">
        <v>15</v>
      </c>
      <c r="K960" s="8">
        <f t="shared" si="84"/>
        <v>140000</v>
      </c>
      <c r="L960" s="8">
        <f t="shared" si="85"/>
        <v>21000</v>
      </c>
      <c r="M960" s="8">
        <f t="shared" si="86"/>
        <v>119000</v>
      </c>
      <c r="N960" s="5">
        <v>59000</v>
      </c>
      <c r="O960" s="8">
        <f t="shared" si="87"/>
        <v>178000</v>
      </c>
      <c r="P960" s="2" t="s">
        <v>63</v>
      </c>
      <c r="Q960" s="10" t="str">
        <f>VLOOKUP(A960,Status!A:B,2,0)</f>
        <v>Completed</v>
      </c>
      <c r="R960" s="2" t="s">
        <v>23</v>
      </c>
      <c r="S960" s="2">
        <v>4</v>
      </c>
      <c r="T960" s="2" t="s">
        <v>24</v>
      </c>
      <c r="U960" s="10" t="str">
        <f t="shared" si="89"/>
        <v>Jun</v>
      </c>
      <c r="V960" s="10">
        <f t="shared" si="88"/>
        <v>2025</v>
      </c>
      <c r="W960" t="e" cm="1">
        <f t="array" ref="W960">_xlfn.IFS(U960="January",1,U960="February",2,U960="March",3,U960="April",4,U960="May",5,U960="June",6,U960="July",7,U960="August",8,U960="September",9,U960="October",10,U960="November",11,U960="December",12)</f>
        <v>#N/A</v>
      </c>
    </row>
    <row r="961" spans="1:23" ht="15.75" customHeight="1" x14ac:dyDescent="0.25">
      <c r="A961" s="2" t="s">
        <v>1905</v>
      </c>
      <c r="B961" s="3">
        <v>45833.297638888893</v>
      </c>
      <c r="C961" s="2" t="s">
        <v>985</v>
      </c>
      <c r="D961" s="2" t="s">
        <v>53</v>
      </c>
      <c r="E961" s="2" t="s">
        <v>54</v>
      </c>
      <c r="F961" s="2" t="str" cm="1">
        <f t="array" ref="F961:G961">_xlfn.TEXTSPLIT(E961," - ")</f>
        <v>Beras</v>
      </c>
      <c r="G961" s="2" t="str">
        <v>Brand C</v>
      </c>
      <c r="H961" s="5">
        <v>16000</v>
      </c>
      <c r="I961" s="2">
        <v>2</v>
      </c>
      <c r="J961" s="2">
        <v>10</v>
      </c>
      <c r="K961" s="8">
        <f t="shared" si="84"/>
        <v>32000</v>
      </c>
      <c r="L961" s="8">
        <f t="shared" si="85"/>
        <v>3200</v>
      </c>
      <c r="M961" s="8">
        <f t="shared" si="86"/>
        <v>28800</v>
      </c>
      <c r="N961" s="5">
        <v>18000</v>
      </c>
      <c r="O961" s="8">
        <f t="shared" si="87"/>
        <v>46800</v>
      </c>
      <c r="P961" s="2" t="s">
        <v>63</v>
      </c>
      <c r="Q961" s="10" t="str">
        <f>VLOOKUP(A961,Status!A:B,2,0)</f>
        <v>Returned</v>
      </c>
      <c r="R961" s="2" t="s">
        <v>23</v>
      </c>
      <c r="S961" s="2">
        <v>5</v>
      </c>
      <c r="T961" s="2" t="s">
        <v>24</v>
      </c>
      <c r="U961" s="10" t="str">
        <f t="shared" si="89"/>
        <v>Jun</v>
      </c>
      <c r="V961" s="10">
        <f t="shared" si="88"/>
        <v>2025</v>
      </c>
      <c r="W961" t="e" cm="1">
        <f t="array" ref="W961">_xlfn.IFS(U961="January",1,U961="February",2,U961="March",3,U961="April",4,U961="May",5,U961="June",6,U961="July",7,U961="August",8,U961="September",9,U961="October",10,U961="November",11,U961="December",12)</f>
        <v>#N/A</v>
      </c>
    </row>
    <row r="962" spans="1:23" ht="15.75" customHeight="1" x14ac:dyDescent="0.25">
      <c r="A962" s="2" t="s">
        <v>1906</v>
      </c>
      <c r="B962" s="3">
        <v>45833.859907407408</v>
      </c>
      <c r="C962" s="2" t="s">
        <v>1654</v>
      </c>
      <c r="D962" s="2" t="s">
        <v>74</v>
      </c>
      <c r="E962" s="2" t="s">
        <v>28</v>
      </c>
      <c r="F962" s="2" t="str" cm="1">
        <f t="array" ref="F962:G962">_xlfn.TEXTSPLIT(E962," - ")</f>
        <v>Garam</v>
      </c>
      <c r="G962" s="2" t="str">
        <v>Brand B</v>
      </c>
      <c r="H962" s="5">
        <v>5000</v>
      </c>
      <c r="I962" s="2">
        <v>3</v>
      </c>
      <c r="J962" s="2">
        <v>0</v>
      </c>
      <c r="K962" s="8">
        <f t="shared" ref="K962:K1025" si="90">H962*I962</f>
        <v>15000</v>
      </c>
      <c r="L962" s="8">
        <f t="shared" ref="L962:L1025" si="91">K962*J962%</f>
        <v>0</v>
      </c>
      <c r="M962" s="8">
        <f t="shared" ref="M962:M1025" si="92">K962-L962</f>
        <v>15000</v>
      </c>
      <c r="N962" s="5">
        <v>87000</v>
      </c>
      <c r="O962" s="8">
        <f t="shared" ref="O962:O1025" si="93">M962+N962</f>
        <v>102000</v>
      </c>
      <c r="P962" s="2" t="s">
        <v>35</v>
      </c>
      <c r="Q962" s="10" t="str">
        <f>VLOOKUP(A962,Status!A:B,2,0)</f>
        <v>Completed</v>
      </c>
      <c r="R962" s="2" t="s">
        <v>36</v>
      </c>
      <c r="S962" s="2">
        <v>2</v>
      </c>
      <c r="T962" s="2" t="s">
        <v>37</v>
      </c>
      <c r="U962" s="10" t="str">
        <f t="shared" si="89"/>
        <v>Jun</v>
      </c>
      <c r="V962" s="10">
        <f t="shared" ref="V962:V1025" si="94">YEAR(B962)</f>
        <v>2025</v>
      </c>
      <c r="W962" t="e" cm="1">
        <f t="array" ref="W962">_xlfn.IFS(U962="January",1,U962="February",2,U962="March",3,U962="April",4,U962="May",5,U962="June",6,U962="July",7,U962="August",8,U962="September",9,U962="October",10,U962="November",11,U962="December",12)</f>
        <v>#N/A</v>
      </c>
    </row>
    <row r="963" spans="1:23" ht="15.75" customHeight="1" x14ac:dyDescent="0.25">
      <c r="A963" s="2" t="s">
        <v>1907</v>
      </c>
      <c r="B963" s="3">
        <v>45834.059502314813</v>
      </c>
      <c r="C963" s="2" t="s">
        <v>222</v>
      </c>
      <c r="D963" s="2" t="s">
        <v>49</v>
      </c>
      <c r="E963" s="2" t="s">
        <v>190</v>
      </c>
      <c r="F963" s="2" t="str" cm="1">
        <f t="array" ref="F963:G963">_xlfn.TEXTSPLIT(E963," - ")</f>
        <v>Bawang Merah</v>
      </c>
      <c r="G963" s="2" t="str">
        <v>Brand B</v>
      </c>
      <c r="H963" s="5">
        <v>35000</v>
      </c>
      <c r="I963" s="2">
        <v>3</v>
      </c>
      <c r="J963" s="2">
        <v>10</v>
      </c>
      <c r="K963" s="8">
        <f t="shared" si="90"/>
        <v>105000</v>
      </c>
      <c r="L963" s="8">
        <f t="shared" si="91"/>
        <v>10500</v>
      </c>
      <c r="M963" s="8">
        <f t="shared" si="92"/>
        <v>94500</v>
      </c>
      <c r="N963" s="5">
        <v>43000</v>
      </c>
      <c r="O963" s="8">
        <f t="shared" si="93"/>
        <v>137500</v>
      </c>
      <c r="P963" s="2" t="s">
        <v>29</v>
      </c>
      <c r="Q963" s="10" t="str">
        <f>VLOOKUP(A963,Status!A:B,2,0)</f>
        <v>Completed</v>
      </c>
      <c r="R963" s="2" t="s">
        <v>46</v>
      </c>
      <c r="S963" s="2">
        <v>3</v>
      </c>
      <c r="T963" s="2" t="s">
        <v>24</v>
      </c>
      <c r="U963" s="10" t="str">
        <f t="shared" ref="U963:U1026" si="95">TEXT(B963,"MMM")</f>
        <v>Jun</v>
      </c>
      <c r="V963" s="10">
        <f t="shared" si="94"/>
        <v>2025</v>
      </c>
      <c r="W963" t="e" cm="1">
        <f t="array" ref="W963">_xlfn.IFS(U963="January",1,U963="February",2,U963="March",3,U963="April",4,U963="May",5,U963="June",6,U963="July",7,U963="August",8,U963="September",9,U963="October",10,U963="November",11,U963="December",12)</f>
        <v>#N/A</v>
      </c>
    </row>
    <row r="964" spans="1:23" ht="15.75" customHeight="1" x14ac:dyDescent="0.25">
      <c r="A964" s="2" t="s">
        <v>1908</v>
      </c>
      <c r="B964" s="3">
        <v>45834.124675925923</v>
      </c>
      <c r="C964" s="2" t="s">
        <v>891</v>
      </c>
      <c r="D964" s="2" t="s">
        <v>126</v>
      </c>
      <c r="E964" s="2" t="s">
        <v>75</v>
      </c>
      <c r="F964" s="2" t="str" cm="1">
        <f t="array" ref="F964:G964">_xlfn.TEXTSPLIT(E964," - ")</f>
        <v>Susu Bubuk</v>
      </c>
      <c r="G964" s="2" t="str">
        <v>Brand C</v>
      </c>
      <c r="H964" s="5">
        <v>55000</v>
      </c>
      <c r="I964" s="2">
        <v>1</v>
      </c>
      <c r="J964" s="2">
        <v>10</v>
      </c>
      <c r="K964" s="8">
        <f t="shared" si="90"/>
        <v>55000</v>
      </c>
      <c r="L964" s="8">
        <f t="shared" si="91"/>
        <v>5500</v>
      </c>
      <c r="M964" s="8">
        <f t="shared" si="92"/>
        <v>49500</v>
      </c>
      <c r="N964" s="5">
        <v>84000</v>
      </c>
      <c r="O964" s="8">
        <f t="shared" si="93"/>
        <v>133500</v>
      </c>
      <c r="P964" s="2" t="s">
        <v>22</v>
      </c>
      <c r="Q964" s="10" t="str">
        <f>VLOOKUP(A964,Status!A:B,2,0)</f>
        <v>Completed</v>
      </c>
      <c r="R964" s="2" t="s">
        <v>82</v>
      </c>
      <c r="S964" s="2">
        <v>3</v>
      </c>
      <c r="T964" s="2" t="s">
        <v>37</v>
      </c>
      <c r="U964" s="10" t="str">
        <f t="shared" si="95"/>
        <v>Jun</v>
      </c>
      <c r="V964" s="10">
        <f t="shared" si="94"/>
        <v>2025</v>
      </c>
      <c r="W964" t="e" cm="1">
        <f t="array" ref="W964">_xlfn.IFS(U964="January",1,U964="February",2,U964="March",3,U964="April",4,U964="May",5,U964="June",6,U964="July",7,U964="August",8,U964="September",9,U964="October",10,U964="November",11,U964="December",12)</f>
        <v>#N/A</v>
      </c>
    </row>
    <row r="965" spans="1:23" ht="15.75" customHeight="1" x14ac:dyDescent="0.25">
      <c r="A965" s="2" t="s">
        <v>1909</v>
      </c>
      <c r="B965" s="3">
        <v>45834.260358796288</v>
      </c>
      <c r="C965" s="2" t="s">
        <v>1040</v>
      </c>
      <c r="D965" s="2" t="s">
        <v>61</v>
      </c>
      <c r="E965" s="2" t="s">
        <v>138</v>
      </c>
      <c r="F965" s="2" t="str" cm="1">
        <f t="array" ref="F965:G965">_xlfn.TEXTSPLIT(E965," - ")</f>
        <v>Gula Pasir</v>
      </c>
      <c r="G965" s="2" t="str">
        <v>Brand B</v>
      </c>
      <c r="H965" s="5">
        <v>17000</v>
      </c>
      <c r="I965" s="2">
        <v>4</v>
      </c>
      <c r="J965" s="2">
        <v>15</v>
      </c>
      <c r="K965" s="8">
        <f t="shared" si="90"/>
        <v>68000</v>
      </c>
      <c r="L965" s="8">
        <f t="shared" si="91"/>
        <v>10200</v>
      </c>
      <c r="M965" s="8">
        <f t="shared" si="92"/>
        <v>57800</v>
      </c>
      <c r="N965" s="5">
        <v>26000</v>
      </c>
      <c r="O965" s="8">
        <f t="shared" si="93"/>
        <v>83800</v>
      </c>
      <c r="P965" s="2" t="s">
        <v>63</v>
      </c>
      <c r="Q965" s="10" t="str">
        <f>VLOOKUP(A965,Status!A:B,2,0)</f>
        <v>Completed</v>
      </c>
      <c r="R965" s="2" t="s">
        <v>46</v>
      </c>
      <c r="S965" s="2">
        <v>2</v>
      </c>
      <c r="T965" s="2" t="s">
        <v>24</v>
      </c>
      <c r="U965" s="10" t="str">
        <f t="shared" si="95"/>
        <v>Jun</v>
      </c>
      <c r="V965" s="10">
        <f t="shared" si="94"/>
        <v>2025</v>
      </c>
      <c r="W965" t="e" cm="1">
        <f t="array" ref="W965">_xlfn.IFS(U965="January",1,U965="February",2,U965="March",3,U965="April",4,U965="May",5,U965="June",6,U965="July",7,U965="August",8,U965="September",9,U965="October",10,U965="November",11,U965="December",12)</f>
        <v>#N/A</v>
      </c>
    </row>
    <row r="966" spans="1:23" ht="15.75" customHeight="1" x14ac:dyDescent="0.25">
      <c r="A966" s="2" t="s">
        <v>1910</v>
      </c>
      <c r="B966" s="3">
        <v>45834.40934027778</v>
      </c>
      <c r="C966" s="2" t="s">
        <v>118</v>
      </c>
      <c r="D966" s="2" t="s">
        <v>119</v>
      </c>
      <c r="E966" s="2" t="s">
        <v>75</v>
      </c>
      <c r="F966" s="2" t="str" cm="1">
        <f t="array" ref="F966:G966">_xlfn.TEXTSPLIT(E966," - ")</f>
        <v>Susu Bubuk</v>
      </c>
      <c r="G966" s="2" t="str">
        <v>Brand C</v>
      </c>
      <c r="H966" s="5">
        <v>55000</v>
      </c>
      <c r="I966" s="2">
        <v>3</v>
      </c>
      <c r="J966" s="2">
        <v>5</v>
      </c>
      <c r="K966" s="8">
        <f t="shared" si="90"/>
        <v>165000</v>
      </c>
      <c r="L966" s="8">
        <f t="shared" si="91"/>
        <v>8250</v>
      </c>
      <c r="M966" s="8">
        <f t="shared" si="92"/>
        <v>156750</v>
      </c>
      <c r="N966" s="5">
        <v>0</v>
      </c>
      <c r="O966" s="8">
        <f t="shared" si="93"/>
        <v>156750</v>
      </c>
      <c r="P966" s="2" t="s">
        <v>22</v>
      </c>
      <c r="Q966" s="10" t="str">
        <f>VLOOKUP(A966,Status!A:B,2,0)</f>
        <v>Cancelled</v>
      </c>
      <c r="R966" s="2" t="s">
        <v>23</v>
      </c>
      <c r="S966" s="2">
        <v>1</v>
      </c>
      <c r="T966" s="2" t="s">
        <v>24</v>
      </c>
      <c r="U966" s="10" t="str">
        <f t="shared" si="95"/>
        <v>Jun</v>
      </c>
      <c r="V966" s="10">
        <f t="shared" si="94"/>
        <v>2025</v>
      </c>
      <c r="W966" t="e" cm="1">
        <f t="array" ref="W966">_xlfn.IFS(U966="January",1,U966="February",2,U966="March",3,U966="April",4,U966="May",5,U966="June",6,U966="July",7,U966="August",8,U966="September",9,U966="October",10,U966="November",11,U966="December",12)</f>
        <v>#N/A</v>
      </c>
    </row>
    <row r="967" spans="1:23" ht="15.75" customHeight="1" x14ac:dyDescent="0.25">
      <c r="A967" s="2" t="s">
        <v>1911</v>
      </c>
      <c r="B967" s="3">
        <v>45834.511157407411</v>
      </c>
      <c r="C967" s="2" t="s">
        <v>106</v>
      </c>
      <c r="D967" s="2" t="s">
        <v>107</v>
      </c>
      <c r="E967" s="2" t="s">
        <v>136</v>
      </c>
      <c r="F967" s="2" t="str" cm="1">
        <f t="array" ref="F967:G967">_xlfn.TEXTSPLIT(E967," - ")</f>
        <v>Tepung Terigu</v>
      </c>
      <c r="G967" s="2" t="str">
        <v>Brand B</v>
      </c>
      <c r="H967" s="5">
        <v>12000</v>
      </c>
      <c r="I967" s="2">
        <v>1</v>
      </c>
      <c r="J967" s="2">
        <v>10</v>
      </c>
      <c r="K967" s="8">
        <f t="shared" si="90"/>
        <v>12000</v>
      </c>
      <c r="L967" s="8">
        <f t="shared" si="91"/>
        <v>1200</v>
      </c>
      <c r="M967" s="8">
        <f t="shared" si="92"/>
        <v>10800</v>
      </c>
      <c r="N967" s="5">
        <v>97000</v>
      </c>
      <c r="O967" s="8">
        <f t="shared" si="93"/>
        <v>107800</v>
      </c>
      <c r="P967" s="2" t="s">
        <v>63</v>
      </c>
      <c r="Q967" s="10" t="str">
        <f>VLOOKUP(A967,Status!A:B,2,0)</f>
        <v>Completed</v>
      </c>
      <c r="R967" s="2" t="s">
        <v>82</v>
      </c>
      <c r="S967" s="2">
        <v>2</v>
      </c>
      <c r="T967" s="2" t="s">
        <v>24</v>
      </c>
      <c r="U967" s="10" t="str">
        <f t="shared" si="95"/>
        <v>Jun</v>
      </c>
      <c r="V967" s="10">
        <f t="shared" si="94"/>
        <v>2025</v>
      </c>
      <c r="W967" t="e" cm="1">
        <f t="array" ref="W967">_xlfn.IFS(U967="January",1,U967="February",2,U967="March",3,U967="April",4,U967="May",5,U967="June",6,U967="July",7,U967="August",8,U967="September",9,U967="October",10,U967="November",11,U967="December",12)</f>
        <v>#N/A</v>
      </c>
    </row>
    <row r="968" spans="1:23" ht="15.75" customHeight="1" x14ac:dyDescent="0.25">
      <c r="A968" s="2" t="s">
        <v>1912</v>
      </c>
      <c r="B968" s="3">
        <v>45834.859282407408</v>
      </c>
      <c r="C968" s="2" t="s">
        <v>243</v>
      </c>
      <c r="D968" s="2" t="s">
        <v>244</v>
      </c>
      <c r="E968" s="2" t="s">
        <v>250</v>
      </c>
      <c r="F968" s="2" t="str" cm="1">
        <f t="array" ref="F968:G968">_xlfn.TEXTSPLIT(E968," - ")</f>
        <v>Minyak Goreng</v>
      </c>
      <c r="G968" s="2" t="str">
        <v>Brand C</v>
      </c>
      <c r="H968" s="5">
        <v>18000</v>
      </c>
      <c r="I968" s="2">
        <v>5</v>
      </c>
      <c r="J968" s="2">
        <v>0</v>
      </c>
      <c r="K968" s="8">
        <f t="shared" si="90"/>
        <v>90000</v>
      </c>
      <c r="L968" s="8">
        <f t="shared" si="91"/>
        <v>0</v>
      </c>
      <c r="M968" s="8">
        <f t="shared" si="92"/>
        <v>90000</v>
      </c>
      <c r="N968" s="5">
        <v>80000</v>
      </c>
      <c r="O968" s="8">
        <f t="shared" si="93"/>
        <v>170000</v>
      </c>
      <c r="P968" s="2" t="s">
        <v>22</v>
      </c>
      <c r="Q968" s="10" t="str">
        <f>VLOOKUP(A968,Status!A:B,2,0)</f>
        <v>Returned</v>
      </c>
      <c r="R968" s="2" t="s">
        <v>82</v>
      </c>
      <c r="S968" s="2">
        <v>4</v>
      </c>
      <c r="T968" s="2" t="s">
        <v>37</v>
      </c>
      <c r="U968" s="10" t="str">
        <f t="shared" si="95"/>
        <v>Jun</v>
      </c>
      <c r="V968" s="10">
        <f t="shared" si="94"/>
        <v>2025</v>
      </c>
      <c r="W968" t="e" cm="1">
        <f t="array" ref="W968">_xlfn.IFS(U968="January",1,U968="February",2,U968="March",3,U968="April",4,U968="May",5,U968="June",6,U968="July",7,U968="August",8,U968="September",9,U968="October",10,U968="November",11,U968="December",12)</f>
        <v>#N/A</v>
      </c>
    </row>
    <row r="969" spans="1:23" ht="15.75" customHeight="1" x14ac:dyDescent="0.25">
      <c r="A969" s="2" t="s">
        <v>1913</v>
      </c>
      <c r="B969" s="3">
        <v>45834.879988425928</v>
      </c>
      <c r="C969" s="2" t="s">
        <v>515</v>
      </c>
      <c r="D969" s="2" t="s">
        <v>182</v>
      </c>
      <c r="E969" s="2" t="s">
        <v>88</v>
      </c>
      <c r="F969" s="2" t="str" cm="1">
        <f t="array" ref="F969:G969">_xlfn.TEXTSPLIT(E969," - ")</f>
        <v>Beras</v>
      </c>
      <c r="G969" s="2" t="str">
        <v>Brand A</v>
      </c>
      <c r="H969" s="5">
        <v>14000</v>
      </c>
      <c r="I969" s="2">
        <v>2</v>
      </c>
      <c r="J969" s="2">
        <v>5</v>
      </c>
      <c r="K969" s="8">
        <f t="shared" si="90"/>
        <v>28000</v>
      </c>
      <c r="L969" s="8">
        <f t="shared" si="91"/>
        <v>1400</v>
      </c>
      <c r="M969" s="8">
        <f t="shared" si="92"/>
        <v>26600</v>
      </c>
      <c r="N969" s="5">
        <v>48000</v>
      </c>
      <c r="O969" s="8">
        <f t="shared" si="93"/>
        <v>74600</v>
      </c>
      <c r="P969" s="2" t="s">
        <v>63</v>
      </c>
      <c r="Q969" s="10" t="str">
        <f>VLOOKUP(A969,Status!A:B,2,0)</f>
        <v>Completed</v>
      </c>
      <c r="R969" s="2" t="s">
        <v>46</v>
      </c>
      <c r="S969" s="2">
        <v>1</v>
      </c>
      <c r="T969" s="2" t="s">
        <v>24</v>
      </c>
      <c r="U969" s="10" t="str">
        <f t="shared" si="95"/>
        <v>Jun</v>
      </c>
      <c r="V969" s="10">
        <f t="shared" si="94"/>
        <v>2025</v>
      </c>
      <c r="W969" t="e" cm="1">
        <f t="array" ref="W969">_xlfn.IFS(U969="January",1,U969="February",2,U969="March",3,U969="April",4,U969="May",5,U969="June",6,U969="July",7,U969="August",8,U969="September",9,U969="October",10,U969="November",11,U969="December",12)</f>
        <v>#N/A</v>
      </c>
    </row>
    <row r="970" spans="1:23" ht="15.75" customHeight="1" x14ac:dyDescent="0.25">
      <c r="A970" s="2" t="s">
        <v>1914</v>
      </c>
      <c r="B970" s="3">
        <v>45835.018020833333</v>
      </c>
      <c r="C970" s="2" t="s">
        <v>774</v>
      </c>
      <c r="D970" s="2" t="s">
        <v>262</v>
      </c>
      <c r="E970" s="2" t="s">
        <v>250</v>
      </c>
      <c r="F970" s="2" t="str" cm="1">
        <f t="array" ref="F970:G970">_xlfn.TEXTSPLIT(E970," - ")</f>
        <v>Minyak Goreng</v>
      </c>
      <c r="G970" s="2" t="str">
        <v>Brand C</v>
      </c>
      <c r="H970" s="5">
        <v>18000</v>
      </c>
      <c r="I970" s="2">
        <v>1</v>
      </c>
      <c r="J970" s="2">
        <v>10</v>
      </c>
      <c r="K970" s="8">
        <f t="shared" si="90"/>
        <v>18000</v>
      </c>
      <c r="L970" s="8">
        <f t="shared" si="91"/>
        <v>1800</v>
      </c>
      <c r="M970" s="8">
        <f t="shared" si="92"/>
        <v>16200</v>
      </c>
      <c r="N970" s="5">
        <v>18000</v>
      </c>
      <c r="O970" s="8">
        <f t="shared" si="93"/>
        <v>34200</v>
      </c>
      <c r="P970" s="2" t="s">
        <v>29</v>
      </c>
      <c r="Q970" s="10" t="str">
        <f>VLOOKUP(A970,Status!A:B,2,0)</f>
        <v>Completed</v>
      </c>
      <c r="R970" s="2" t="s">
        <v>36</v>
      </c>
      <c r="S970" s="2">
        <v>2</v>
      </c>
      <c r="T970" s="2" t="s">
        <v>24</v>
      </c>
      <c r="U970" s="10" t="str">
        <f t="shared" si="95"/>
        <v>Jun</v>
      </c>
      <c r="V970" s="10">
        <f t="shared" si="94"/>
        <v>2025</v>
      </c>
      <c r="W970" t="e" cm="1">
        <f t="array" ref="W970">_xlfn.IFS(U970="January",1,U970="February",2,U970="March",3,U970="April",4,U970="May",5,U970="June",6,U970="July",7,U970="August",8,U970="September",9,U970="October",10,U970="November",11,U970="December",12)</f>
        <v>#N/A</v>
      </c>
    </row>
    <row r="971" spans="1:23" ht="15.75" customHeight="1" x14ac:dyDescent="0.25">
      <c r="A971" s="2" t="s">
        <v>1915</v>
      </c>
      <c r="B971" s="3">
        <v>45835.074872685182</v>
      </c>
      <c r="C971" s="2" t="s">
        <v>473</v>
      </c>
      <c r="D971" s="2" t="s">
        <v>122</v>
      </c>
      <c r="E971" s="2" t="s">
        <v>21</v>
      </c>
      <c r="F971" s="2" t="str" cm="1">
        <f t="array" ref="F971:G971">_xlfn.TEXTSPLIT(E971," - ")</f>
        <v>Daging Ayam</v>
      </c>
      <c r="G971" s="2" t="str">
        <v>Brand C</v>
      </c>
      <c r="H971" s="5">
        <v>45000</v>
      </c>
      <c r="I971" s="2">
        <v>3</v>
      </c>
      <c r="J971" s="2">
        <v>0</v>
      </c>
      <c r="K971" s="8">
        <f t="shared" si="90"/>
        <v>135000</v>
      </c>
      <c r="L971" s="8">
        <f t="shared" si="91"/>
        <v>0</v>
      </c>
      <c r="M971" s="8">
        <f t="shared" si="92"/>
        <v>135000</v>
      </c>
      <c r="N971" s="5">
        <v>78000</v>
      </c>
      <c r="O971" s="8">
        <f t="shared" si="93"/>
        <v>213000</v>
      </c>
      <c r="P971" s="2" t="s">
        <v>29</v>
      </c>
      <c r="Q971" s="10" t="str">
        <f>VLOOKUP(A971,Status!A:B,2,0)</f>
        <v>Completed</v>
      </c>
      <c r="R971" s="2" t="s">
        <v>36</v>
      </c>
      <c r="S971" s="2">
        <v>4</v>
      </c>
      <c r="T971" s="2" t="s">
        <v>24</v>
      </c>
      <c r="U971" s="10" t="str">
        <f t="shared" si="95"/>
        <v>Jun</v>
      </c>
      <c r="V971" s="10">
        <f t="shared" si="94"/>
        <v>2025</v>
      </c>
      <c r="W971" t="e" cm="1">
        <f t="array" ref="W971">_xlfn.IFS(U971="January",1,U971="February",2,U971="March",3,U971="April",4,U971="May",5,U971="June",6,U971="July",7,U971="August",8,U971="September",9,U971="October",10,U971="November",11,U971="December",12)</f>
        <v>#N/A</v>
      </c>
    </row>
    <row r="972" spans="1:23" ht="15.75" customHeight="1" x14ac:dyDescent="0.25">
      <c r="A972" s="2" t="s">
        <v>1916</v>
      </c>
      <c r="B972" s="3">
        <v>45835.552071759259</v>
      </c>
      <c r="C972" s="2" t="s">
        <v>112</v>
      </c>
      <c r="D972" s="2" t="s">
        <v>113</v>
      </c>
      <c r="E972" s="2" t="s">
        <v>50</v>
      </c>
      <c r="F972" s="2" t="str" cm="1">
        <f t="array" ref="F972:G972">_xlfn.TEXTSPLIT(E972," - ")</f>
        <v>Tepung Terigu</v>
      </c>
      <c r="G972" s="2" t="str">
        <v>Brand C</v>
      </c>
      <c r="H972" s="5">
        <v>14000</v>
      </c>
      <c r="I972" s="2">
        <v>1</v>
      </c>
      <c r="J972" s="2">
        <v>10</v>
      </c>
      <c r="K972" s="8">
        <f t="shared" si="90"/>
        <v>14000</v>
      </c>
      <c r="L972" s="8">
        <f t="shared" si="91"/>
        <v>1400</v>
      </c>
      <c r="M972" s="8">
        <f t="shared" si="92"/>
        <v>12600</v>
      </c>
      <c r="N972" s="5">
        <v>18000</v>
      </c>
      <c r="O972" s="8">
        <f t="shared" si="93"/>
        <v>30600</v>
      </c>
      <c r="P972" s="2" t="s">
        <v>63</v>
      </c>
      <c r="Q972" s="10" t="str">
        <f>VLOOKUP(A972,Status!A:B,2,0)</f>
        <v>Completed</v>
      </c>
      <c r="R972" s="2" t="s">
        <v>36</v>
      </c>
      <c r="S972" s="2">
        <v>5</v>
      </c>
      <c r="T972" s="2" t="s">
        <v>24</v>
      </c>
      <c r="U972" s="10" t="str">
        <f t="shared" si="95"/>
        <v>Jun</v>
      </c>
      <c r="V972" s="10">
        <f t="shared" si="94"/>
        <v>2025</v>
      </c>
      <c r="W972" t="e" cm="1">
        <f t="array" ref="W972">_xlfn.IFS(U972="January",1,U972="February",2,U972="March",3,U972="April",4,U972="May",5,U972="June",6,U972="July",7,U972="August",8,U972="September",9,U972="October",10,U972="November",11,U972="December",12)</f>
        <v>#N/A</v>
      </c>
    </row>
    <row r="973" spans="1:23" ht="15.75" customHeight="1" x14ac:dyDescent="0.25">
      <c r="A973" s="2" t="s">
        <v>1917</v>
      </c>
      <c r="B973" s="3">
        <v>45835.804826388892</v>
      </c>
      <c r="C973" s="2" t="s">
        <v>184</v>
      </c>
      <c r="D973" s="2" t="s">
        <v>103</v>
      </c>
      <c r="E973" s="2" t="s">
        <v>41</v>
      </c>
      <c r="F973" s="2" t="str" cm="1">
        <f t="array" ref="F973:G973">_xlfn.TEXTSPLIT(E973," - ")</f>
        <v>Garam</v>
      </c>
      <c r="G973" s="2" t="str">
        <v>Brand A</v>
      </c>
      <c r="H973" s="5">
        <v>4000</v>
      </c>
      <c r="I973" s="2">
        <v>3</v>
      </c>
      <c r="J973" s="2">
        <v>0</v>
      </c>
      <c r="K973" s="8">
        <f t="shared" si="90"/>
        <v>12000</v>
      </c>
      <c r="L973" s="8">
        <f t="shared" si="91"/>
        <v>0</v>
      </c>
      <c r="M973" s="8">
        <f t="shared" si="92"/>
        <v>12000</v>
      </c>
      <c r="N973" s="5">
        <v>85000</v>
      </c>
      <c r="O973" s="8">
        <f t="shared" si="93"/>
        <v>97000</v>
      </c>
      <c r="P973" s="2" t="s">
        <v>22</v>
      </c>
      <c r="Q973" s="10" t="str">
        <f>VLOOKUP(A973,Status!A:B,2,0)</f>
        <v>Returned</v>
      </c>
      <c r="R973" s="2" t="s">
        <v>46</v>
      </c>
      <c r="S973" s="2">
        <v>2</v>
      </c>
      <c r="T973" s="2" t="s">
        <v>24</v>
      </c>
      <c r="U973" s="10" t="str">
        <f t="shared" si="95"/>
        <v>Jun</v>
      </c>
      <c r="V973" s="10">
        <f t="shared" si="94"/>
        <v>2025</v>
      </c>
      <c r="W973" t="e" cm="1">
        <f t="array" ref="W973">_xlfn.IFS(U973="January",1,U973="February",2,U973="March",3,U973="April",4,U973="May",5,U973="June",6,U973="July",7,U973="August",8,U973="September",9,U973="October",10,U973="November",11,U973="December",12)</f>
        <v>#N/A</v>
      </c>
    </row>
    <row r="974" spans="1:23" ht="15.75" customHeight="1" x14ac:dyDescent="0.25">
      <c r="A974" s="2" t="s">
        <v>1918</v>
      </c>
      <c r="B974" s="3">
        <v>45835.8749537037</v>
      </c>
      <c r="C974" s="2" t="s">
        <v>40</v>
      </c>
      <c r="D974" s="2" t="s">
        <v>27</v>
      </c>
      <c r="E974" s="2" t="s">
        <v>75</v>
      </c>
      <c r="F974" s="2" t="str" cm="1">
        <f t="array" ref="F974:G974">_xlfn.TEXTSPLIT(E974," - ")</f>
        <v>Susu Bubuk</v>
      </c>
      <c r="G974" s="2" t="str">
        <v>Brand C</v>
      </c>
      <c r="H974" s="5">
        <v>55000</v>
      </c>
      <c r="I974" s="2">
        <v>2</v>
      </c>
      <c r="J974" s="2">
        <v>20</v>
      </c>
      <c r="K974" s="8">
        <f t="shared" si="90"/>
        <v>110000</v>
      </c>
      <c r="L974" s="8">
        <f t="shared" si="91"/>
        <v>22000</v>
      </c>
      <c r="M974" s="8">
        <f t="shared" si="92"/>
        <v>88000</v>
      </c>
      <c r="N974" s="5">
        <v>17000</v>
      </c>
      <c r="O974" s="8">
        <f t="shared" si="93"/>
        <v>105000</v>
      </c>
      <c r="P974" s="2" t="s">
        <v>63</v>
      </c>
      <c r="Q974" s="10" t="str">
        <f>VLOOKUP(A974,Status!A:B,2,0)</f>
        <v>Completed</v>
      </c>
      <c r="R974" s="2" t="s">
        <v>30</v>
      </c>
      <c r="S974" s="2">
        <v>1</v>
      </c>
      <c r="T974" s="2" t="s">
        <v>24</v>
      </c>
      <c r="U974" s="10" t="str">
        <f t="shared" si="95"/>
        <v>Jun</v>
      </c>
      <c r="V974" s="10">
        <f t="shared" si="94"/>
        <v>2025</v>
      </c>
      <c r="W974" t="e" cm="1">
        <f t="array" ref="W974">_xlfn.IFS(U974="January",1,U974="February",2,U974="March",3,U974="April",4,U974="May",5,U974="June",6,U974="July",7,U974="August",8,U974="September",9,U974="October",10,U974="November",11,U974="December",12)</f>
        <v>#N/A</v>
      </c>
    </row>
    <row r="975" spans="1:23" ht="15.75" customHeight="1" x14ac:dyDescent="0.25">
      <c r="A975" s="2" t="s">
        <v>1919</v>
      </c>
      <c r="B975" s="3">
        <v>45836.165405092594</v>
      </c>
      <c r="C975" s="2" t="s">
        <v>1317</v>
      </c>
      <c r="D975" s="2" t="s">
        <v>113</v>
      </c>
      <c r="E975" s="2" t="s">
        <v>54</v>
      </c>
      <c r="F975" s="2" t="str" cm="1">
        <f t="array" ref="F975:G975">_xlfn.TEXTSPLIT(E975," - ")</f>
        <v>Beras</v>
      </c>
      <c r="G975" s="2" t="str">
        <v>Brand C</v>
      </c>
      <c r="H975" s="5">
        <v>16000</v>
      </c>
      <c r="I975" s="2">
        <v>3</v>
      </c>
      <c r="J975" s="2">
        <v>5</v>
      </c>
      <c r="K975" s="8">
        <f t="shared" si="90"/>
        <v>48000</v>
      </c>
      <c r="L975" s="8">
        <f t="shared" si="91"/>
        <v>2400</v>
      </c>
      <c r="M975" s="8">
        <f t="shared" si="92"/>
        <v>45600</v>
      </c>
      <c r="N975" s="5">
        <v>18000</v>
      </c>
      <c r="O975" s="8">
        <f t="shared" si="93"/>
        <v>63600</v>
      </c>
      <c r="P975" s="2" t="s">
        <v>35</v>
      </c>
      <c r="Q975" s="10" t="str">
        <f>VLOOKUP(A975,Status!A:B,2,0)</f>
        <v>Completed</v>
      </c>
      <c r="R975" s="2" t="s">
        <v>46</v>
      </c>
      <c r="S975" s="2">
        <v>2</v>
      </c>
      <c r="T975" s="2" t="s">
        <v>37</v>
      </c>
      <c r="U975" s="10" t="str">
        <f t="shared" si="95"/>
        <v>Jun</v>
      </c>
      <c r="V975" s="10">
        <f t="shared" si="94"/>
        <v>2025</v>
      </c>
      <c r="W975" t="e" cm="1">
        <f t="array" ref="W975">_xlfn.IFS(U975="January",1,U975="February",2,U975="March",3,U975="April",4,U975="May",5,U975="June",6,U975="July",7,U975="August",8,U975="September",9,U975="October",10,U975="November",11,U975="December",12)</f>
        <v>#N/A</v>
      </c>
    </row>
    <row r="976" spans="1:23" ht="15.75" customHeight="1" x14ac:dyDescent="0.25">
      <c r="A976" s="2" t="s">
        <v>1920</v>
      </c>
      <c r="B976" s="3">
        <v>45836.346585648149</v>
      </c>
      <c r="C976" s="2" t="s">
        <v>146</v>
      </c>
      <c r="D976" s="2" t="s">
        <v>92</v>
      </c>
      <c r="E976" s="2" t="s">
        <v>85</v>
      </c>
      <c r="F976" s="2" t="str" cm="1">
        <f t="array" ref="F976:G976">_xlfn.TEXTSPLIT(E976," - ")</f>
        <v>Daging Ayam</v>
      </c>
      <c r="G976" s="2" t="str">
        <v>Brand A</v>
      </c>
      <c r="H976" s="5">
        <v>35000</v>
      </c>
      <c r="I976" s="2">
        <v>3</v>
      </c>
      <c r="J976" s="2">
        <v>5</v>
      </c>
      <c r="K976" s="8">
        <f t="shared" si="90"/>
        <v>105000</v>
      </c>
      <c r="L976" s="8">
        <f t="shared" si="91"/>
        <v>5250</v>
      </c>
      <c r="M976" s="8">
        <f t="shared" si="92"/>
        <v>99750</v>
      </c>
      <c r="N976" s="5">
        <v>30000</v>
      </c>
      <c r="O976" s="8">
        <f t="shared" si="93"/>
        <v>129750</v>
      </c>
      <c r="P976" s="2" t="s">
        <v>35</v>
      </c>
      <c r="Q976" s="10" t="str">
        <f>VLOOKUP(A976,Status!A:B,2,0)</f>
        <v>Completed</v>
      </c>
      <c r="R976" s="2" t="s">
        <v>82</v>
      </c>
      <c r="S976" s="2">
        <v>1</v>
      </c>
      <c r="T976" s="2" t="s">
        <v>37</v>
      </c>
      <c r="U976" s="10" t="str">
        <f t="shared" si="95"/>
        <v>Jun</v>
      </c>
      <c r="V976" s="10">
        <f t="shared" si="94"/>
        <v>2025</v>
      </c>
      <c r="W976" t="e" cm="1">
        <f t="array" ref="W976">_xlfn.IFS(U976="January",1,U976="February",2,U976="March",3,U976="April",4,U976="May",5,U976="June",6,U976="July",7,U976="August",8,U976="September",9,U976="October",10,U976="November",11,U976="December",12)</f>
        <v>#N/A</v>
      </c>
    </row>
    <row r="977" spans="1:23" ht="15.75" customHeight="1" x14ac:dyDescent="0.25">
      <c r="A977" s="2" t="s">
        <v>1921</v>
      </c>
      <c r="B977" s="3">
        <v>45836.484502314823</v>
      </c>
      <c r="C977" s="2" t="s">
        <v>603</v>
      </c>
      <c r="D977" s="2" t="s">
        <v>53</v>
      </c>
      <c r="E977" s="2" t="s">
        <v>88</v>
      </c>
      <c r="F977" s="2" t="str" cm="1">
        <f t="array" ref="F977:G977">_xlfn.TEXTSPLIT(E977," - ")</f>
        <v>Beras</v>
      </c>
      <c r="G977" s="2" t="str">
        <v>Brand A</v>
      </c>
      <c r="H977" s="5">
        <v>14000</v>
      </c>
      <c r="I977" s="2">
        <v>2</v>
      </c>
      <c r="J977" s="2">
        <v>15</v>
      </c>
      <c r="K977" s="8">
        <f t="shared" si="90"/>
        <v>28000</v>
      </c>
      <c r="L977" s="8">
        <f t="shared" si="91"/>
        <v>4200</v>
      </c>
      <c r="M977" s="8">
        <f t="shared" si="92"/>
        <v>23800</v>
      </c>
      <c r="N977" s="5">
        <v>18000</v>
      </c>
      <c r="O977" s="8">
        <f t="shared" si="93"/>
        <v>41800</v>
      </c>
      <c r="P977" s="2" t="s">
        <v>35</v>
      </c>
      <c r="Q977" s="10" t="str">
        <f>VLOOKUP(A977,Status!A:B,2,0)</f>
        <v>Completed</v>
      </c>
      <c r="R977" s="2" t="s">
        <v>46</v>
      </c>
      <c r="S977" s="2">
        <v>2</v>
      </c>
      <c r="T977" s="2" t="s">
        <v>24</v>
      </c>
      <c r="U977" s="10" t="str">
        <f t="shared" si="95"/>
        <v>Jun</v>
      </c>
      <c r="V977" s="10">
        <f t="shared" si="94"/>
        <v>2025</v>
      </c>
      <c r="W977" t="e" cm="1">
        <f t="array" ref="W977">_xlfn.IFS(U977="January",1,U977="February",2,U977="March",3,U977="April",4,U977="May",5,U977="June",6,U977="July",7,U977="August",8,U977="September",9,U977="October",10,U977="November",11,U977="December",12)</f>
        <v>#N/A</v>
      </c>
    </row>
    <row r="978" spans="1:23" ht="15.75" customHeight="1" x14ac:dyDescent="0.25">
      <c r="A978" s="2" t="s">
        <v>1922</v>
      </c>
      <c r="B978" s="3">
        <v>45836.536307870367</v>
      </c>
      <c r="C978" s="2" t="s">
        <v>32</v>
      </c>
      <c r="D978" s="2" t="s">
        <v>33</v>
      </c>
      <c r="E978" s="2" t="s">
        <v>38</v>
      </c>
      <c r="F978" s="2" t="str" cm="1">
        <f t="array" ref="F978:G978">_xlfn.TEXTSPLIT(E978," - ")</f>
        <v>Telur Ayam</v>
      </c>
      <c r="G978" s="2" t="str">
        <v>Brand C</v>
      </c>
      <c r="H978" s="5">
        <v>28000</v>
      </c>
      <c r="I978" s="2">
        <v>5</v>
      </c>
      <c r="J978" s="2">
        <v>15</v>
      </c>
      <c r="K978" s="8">
        <f t="shared" si="90"/>
        <v>140000</v>
      </c>
      <c r="L978" s="8">
        <f t="shared" si="91"/>
        <v>21000</v>
      </c>
      <c r="M978" s="8">
        <f t="shared" si="92"/>
        <v>119000</v>
      </c>
      <c r="N978" s="5">
        <v>76000</v>
      </c>
      <c r="O978" s="8">
        <f t="shared" si="93"/>
        <v>195000</v>
      </c>
      <c r="P978" s="2" t="s">
        <v>35</v>
      </c>
      <c r="Q978" s="10" t="str">
        <f>VLOOKUP(A978,Status!A:B,2,0)</f>
        <v>Cancelled</v>
      </c>
      <c r="R978" s="2" t="s">
        <v>23</v>
      </c>
      <c r="S978" s="2">
        <v>4</v>
      </c>
      <c r="T978" s="2" t="s">
        <v>37</v>
      </c>
      <c r="U978" s="10" t="str">
        <f t="shared" si="95"/>
        <v>Jun</v>
      </c>
      <c r="V978" s="10">
        <f t="shared" si="94"/>
        <v>2025</v>
      </c>
      <c r="W978" t="e" cm="1">
        <f t="array" ref="W978">_xlfn.IFS(U978="January",1,U978="February",2,U978="March",3,U978="April",4,U978="May",5,U978="June",6,U978="July",7,U978="August",8,U978="September",9,U978="October",10,U978="November",11,U978="December",12)</f>
        <v>#N/A</v>
      </c>
    </row>
    <row r="979" spans="1:23" ht="15.75" customHeight="1" x14ac:dyDescent="0.25">
      <c r="A979" s="2" t="s">
        <v>1923</v>
      </c>
      <c r="B979" s="3">
        <v>45837.039467592593</v>
      </c>
      <c r="C979" s="2" t="s">
        <v>69</v>
      </c>
      <c r="D979" s="2" t="s">
        <v>70</v>
      </c>
      <c r="E979" s="2" t="s">
        <v>38</v>
      </c>
      <c r="F979" s="2" t="str" cm="1">
        <f t="array" ref="F979:G979">_xlfn.TEXTSPLIT(E979," - ")</f>
        <v>Telur Ayam</v>
      </c>
      <c r="G979" s="2" t="str">
        <v>Brand C</v>
      </c>
      <c r="H979" s="5">
        <v>28000</v>
      </c>
      <c r="I979" s="2">
        <v>3</v>
      </c>
      <c r="J979" s="2">
        <v>10</v>
      </c>
      <c r="K979" s="8">
        <f t="shared" si="90"/>
        <v>84000</v>
      </c>
      <c r="L979" s="8">
        <f t="shared" si="91"/>
        <v>8400</v>
      </c>
      <c r="M979" s="8">
        <f t="shared" si="92"/>
        <v>75600</v>
      </c>
      <c r="N979" s="5">
        <v>89000</v>
      </c>
      <c r="O979" s="8">
        <f t="shared" si="93"/>
        <v>164600</v>
      </c>
      <c r="P979" s="2" t="s">
        <v>63</v>
      </c>
      <c r="Q979" s="10" t="str">
        <f>VLOOKUP(A979,Status!A:B,2,0)</f>
        <v>Completed</v>
      </c>
      <c r="R979" s="2" t="s">
        <v>82</v>
      </c>
      <c r="S979" s="2">
        <v>4</v>
      </c>
      <c r="T979" s="2" t="s">
        <v>37</v>
      </c>
      <c r="U979" s="10" t="str">
        <f t="shared" si="95"/>
        <v>Jun</v>
      </c>
      <c r="V979" s="10">
        <f t="shared" si="94"/>
        <v>2025</v>
      </c>
      <c r="W979" t="e" cm="1">
        <f t="array" ref="W979">_xlfn.IFS(U979="January",1,U979="February",2,U979="March",3,U979="April",4,U979="May",5,U979="June",6,U979="July",7,U979="August",8,U979="September",9,U979="October",10,U979="November",11,U979="December",12)</f>
        <v>#N/A</v>
      </c>
    </row>
    <row r="980" spans="1:23" ht="15.75" customHeight="1" x14ac:dyDescent="0.25">
      <c r="A980" s="2" t="s">
        <v>1924</v>
      </c>
      <c r="B980" s="3">
        <v>45837.163124999999</v>
      </c>
      <c r="C980" s="2" t="s">
        <v>237</v>
      </c>
      <c r="D980" s="2" t="s">
        <v>238</v>
      </c>
      <c r="E980" s="2" t="s">
        <v>93</v>
      </c>
      <c r="F980" s="2" t="str" cm="1">
        <f t="array" ref="F980:G980">_xlfn.TEXTSPLIT(E980," - ")</f>
        <v>Telur Ayam</v>
      </c>
      <c r="G980" s="2" t="str">
        <v>Brand B</v>
      </c>
      <c r="H980" s="5">
        <v>25000</v>
      </c>
      <c r="I980" s="2">
        <v>4</v>
      </c>
      <c r="J980" s="2">
        <v>15</v>
      </c>
      <c r="K980" s="8">
        <f t="shared" si="90"/>
        <v>100000</v>
      </c>
      <c r="L980" s="8">
        <f t="shared" si="91"/>
        <v>15000</v>
      </c>
      <c r="M980" s="8">
        <f t="shared" si="92"/>
        <v>85000</v>
      </c>
      <c r="N980" s="5">
        <v>28000</v>
      </c>
      <c r="O980" s="8">
        <f t="shared" si="93"/>
        <v>113000</v>
      </c>
      <c r="P980" s="2" t="s">
        <v>35</v>
      </c>
      <c r="Q980" s="10" t="str">
        <f>VLOOKUP(A980,Status!A:B,2,0)</f>
        <v>Completed</v>
      </c>
      <c r="R980" s="2" t="s">
        <v>46</v>
      </c>
      <c r="S980" s="2">
        <v>3</v>
      </c>
      <c r="T980" s="2" t="s">
        <v>24</v>
      </c>
      <c r="U980" s="10" t="str">
        <f t="shared" si="95"/>
        <v>Jun</v>
      </c>
      <c r="V980" s="10">
        <f t="shared" si="94"/>
        <v>2025</v>
      </c>
      <c r="W980" t="e" cm="1">
        <f t="array" ref="W980">_xlfn.IFS(U980="January",1,U980="February",2,U980="March",3,U980="April",4,U980="May",5,U980="June",6,U980="July",7,U980="August",8,U980="September",9,U980="October",10,U980="November",11,U980="December",12)</f>
        <v>#N/A</v>
      </c>
    </row>
    <row r="981" spans="1:23" ht="15.75" customHeight="1" x14ac:dyDescent="0.25">
      <c r="A981" s="2" t="s">
        <v>1925</v>
      </c>
      <c r="B981" s="3">
        <v>45837.244930555556</v>
      </c>
      <c r="C981" s="2" t="s">
        <v>314</v>
      </c>
      <c r="D981" s="2" t="s">
        <v>113</v>
      </c>
      <c r="E981" s="2" t="s">
        <v>88</v>
      </c>
      <c r="F981" s="2" t="str" cm="1">
        <f t="array" ref="F981:G981">_xlfn.TEXTSPLIT(E981," - ")</f>
        <v>Beras</v>
      </c>
      <c r="G981" s="2" t="str">
        <v>Brand A</v>
      </c>
      <c r="H981" s="5">
        <v>14000</v>
      </c>
      <c r="I981" s="2">
        <v>5</v>
      </c>
      <c r="J981" s="2">
        <v>0</v>
      </c>
      <c r="K981" s="8">
        <f t="shared" si="90"/>
        <v>70000</v>
      </c>
      <c r="L981" s="8">
        <f t="shared" si="91"/>
        <v>0</v>
      </c>
      <c r="M981" s="8">
        <f t="shared" si="92"/>
        <v>70000</v>
      </c>
      <c r="N981" s="5">
        <v>18000</v>
      </c>
      <c r="O981" s="8">
        <f t="shared" si="93"/>
        <v>88000</v>
      </c>
      <c r="P981" s="2" t="s">
        <v>35</v>
      </c>
      <c r="Q981" s="10" t="str">
        <f>VLOOKUP(A981,Status!A:B,2,0)</f>
        <v>Returned</v>
      </c>
      <c r="R981" s="2" t="s">
        <v>46</v>
      </c>
      <c r="S981" s="2">
        <v>3</v>
      </c>
      <c r="T981" s="2" t="s">
        <v>24</v>
      </c>
      <c r="U981" s="10" t="str">
        <f t="shared" si="95"/>
        <v>Jun</v>
      </c>
      <c r="V981" s="10">
        <f t="shared" si="94"/>
        <v>2025</v>
      </c>
      <c r="W981" t="e" cm="1">
        <f t="array" ref="W981">_xlfn.IFS(U981="January",1,U981="February",2,U981="March",3,U981="April",4,U981="May",5,U981="June",6,U981="July",7,U981="August",8,U981="September",9,U981="October",10,U981="November",11,U981="December",12)</f>
        <v>#N/A</v>
      </c>
    </row>
    <row r="982" spans="1:23" ht="15.75" customHeight="1" x14ac:dyDescent="0.25">
      <c r="A982" s="2" t="s">
        <v>1925</v>
      </c>
      <c r="B982" s="3">
        <v>45837.244930555556</v>
      </c>
      <c r="C982" s="2" t="s">
        <v>314</v>
      </c>
      <c r="D982" s="2" t="s">
        <v>113</v>
      </c>
      <c r="E982" s="2" t="s">
        <v>104</v>
      </c>
      <c r="F982" s="2" t="str" cm="1">
        <f t="array" ref="F982:G982">_xlfn.TEXTSPLIT(E982," - ")</f>
        <v>Bawang Merah</v>
      </c>
      <c r="G982" s="2" t="str">
        <v>Brand A</v>
      </c>
      <c r="H982" s="5">
        <v>30000</v>
      </c>
      <c r="I982" s="2">
        <v>3</v>
      </c>
      <c r="J982" s="2">
        <v>15</v>
      </c>
      <c r="K982" s="8">
        <f t="shared" si="90"/>
        <v>90000</v>
      </c>
      <c r="L982" s="8">
        <f t="shared" si="91"/>
        <v>13500</v>
      </c>
      <c r="M982" s="8">
        <f t="shared" si="92"/>
        <v>76500</v>
      </c>
      <c r="N982" s="5">
        <v>0</v>
      </c>
      <c r="O982" s="8">
        <f t="shared" si="93"/>
        <v>76500</v>
      </c>
      <c r="P982" s="2" t="s">
        <v>35</v>
      </c>
      <c r="Q982" s="10" t="str">
        <f>VLOOKUP(A982,Status!A:B,2,0)</f>
        <v>Returned</v>
      </c>
      <c r="R982" s="2" t="s">
        <v>46</v>
      </c>
      <c r="S982" s="2">
        <v>3</v>
      </c>
      <c r="T982" s="2" t="s">
        <v>24</v>
      </c>
      <c r="U982" s="10" t="str">
        <f t="shared" si="95"/>
        <v>Jun</v>
      </c>
      <c r="V982" s="10">
        <f t="shared" si="94"/>
        <v>2025</v>
      </c>
      <c r="W982" t="e" cm="1">
        <f t="array" ref="W982">_xlfn.IFS(U982="January",1,U982="February",2,U982="March",3,U982="April",4,U982="May",5,U982="June",6,U982="July",7,U982="August",8,U982="September",9,U982="October",10,U982="November",11,U982="December",12)</f>
        <v>#N/A</v>
      </c>
    </row>
    <row r="983" spans="1:23" ht="15.75" customHeight="1" x14ac:dyDescent="0.25">
      <c r="A983" s="2" t="s">
        <v>1926</v>
      </c>
      <c r="B983" s="3">
        <v>45837.430983796286</v>
      </c>
      <c r="C983" s="2" t="s">
        <v>542</v>
      </c>
      <c r="D983" s="2" t="s">
        <v>122</v>
      </c>
      <c r="E983" s="2" t="s">
        <v>138</v>
      </c>
      <c r="F983" s="2" t="str" cm="1">
        <f t="array" ref="F983:G983">_xlfn.TEXTSPLIT(E983," - ")</f>
        <v>Gula Pasir</v>
      </c>
      <c r="G983" s="2" t="str">
        <v>Brand B</v>
      </c>
      <c r="H983" s="5">
        <v>17000</v>
      </c>
      <c r="I983" s="2">
        <v>4</v>
      </c>
      <c r="J983" s="2">
        <v>0</v>
      </c>
      <c r="K983" s="8">
        <f t="shared" si="90"/>
        <v>68000</v>
      </c>
      <c r="L983" s="8">
        <f t="shared" si="91"/>
        <v>0</v>
      </c>
      <c r="M983" s="8">
        <f t="shared" si="92"/>
        <v>68000</v>
      </c>
      <c r="N983" s="5">
        <v>78000</v>
      </c>
      <c r="O983" s="8">
        <f t="shared" si="93"/>
        <v>146000</v>
      </c>
      <c r="P983" s="2" t="s">
        <v>22</v>
      </c>
      <c r="Q983" s="10" t="str">
        <f>VLOOKUP(A983,Status!A:B,2,0)</f>
        <v>Completed</v>
      </c>
      <c r="R983" s="2" t="s">
        <v>82</v>
      </c>
      <c r="S983" s="2">
        <v>1</v>
      </c>
      <c r="T983" s="2" t="s">
        <v>24</v>
      </c>
      <c r="U983" s="10" t="str">
        <f t="shared" si="95"/>
        <v>Jun</v>
      </c>
      <c r="V983" s="10">
        <f t="shared" si="94"/>
        <v>2025</v>
      </c>
      <c r="W983" t="e" cm="1">
        <f t="array" ref="W983">_xlfn.IFS(U983="January",1,U983="February",2,U983="March",3,U983="April",4,U983="May",5,U983="June",6,U983="July",7,U983="August",8,U983="September",9,U983="October",10,U983="November",11,U983="December",12)</f>
        <v>#N/A</v>
      </c>
    </row>
    <row r="984" spans="1:23" ht="15.75" customHeight="1" x14ac:dyDescent="0.25">
      <c r="A984" s="2" t="s">
        <v>1927</v>
      </c>
      <c r="B984" s="3">
        <v>45837.844050925924</v>
      </c>
      <c r="C984" s="2" t="s">
        <v>350</v>
      </c>
      <c r="D984" s="2" t="s">
        <v>195</v>
      </c>
      <c r="E984" s="2" t="s">
        <v>41</v>
      </c>
      <c r="F984" s="2" t="str" cm="1">
        <f t="array" ref="F984:G984">_xlfn.TEXTSPLIT(E984," - ")</f>
        <v>Garam</v>
      </c>
      <c r="G984" s="2" t="str">
        <v>Brand A</v>
      </c>
      <c r="H984" s="5">
        <v>4000</v>
      </c>
      <c r="I984" s="2">
        <v>4</v>
      </c>
      <c r="J984" s="2">
        <v>15</v>
      </c>
      <c r="K984" s="8">
        <f t="shared" si="90"/>
        <v>16000</v>
      </c>
      <c r="L984" s="8">
        <f t="shared" si="91"/>
        <v>2400</v>
      </c>
      <c r="M984" s="8">
        <f t="shared" si="92"/>
        <v>13600</v>
      </c>
      <c r="N984" s="5">
        <v>87000</v>
      </c>
      <c r="O984" s="8">
        <f t="shared" si="93"/>
        <v>100600</v>
      </c>
      <c r="P984" s="2" t="s">
        <v>29</v>
      </c>
      <c r="Q984" s="10" t="str">
        <f>VLOOKUP(A984,Status!A:B,2,0)</f>
        <v>Completed</v>
      </c>
      <c r="R984" s="2" t="s">
        <v>36</v>
      </c>
      <c r="S984" s="2">
        <v>2</v>
      </c>
      <c r="T984" s="2" t="s">
        <v>37</v>
      </c>
      <c r="U984" s="10" t="str">
        <f t="shared" si="95"/>
        <v>Jun</v>
      </c>
      <c r="V984" s="10">
        <f t="shared" si="94"/>
        <v>2025</v>
      </c>
      <c r="W984" t="e" cm="1">
        <f t="array" ref="W984">_xlfn.IFS(U984="January",1,U984="February",2,U984="March",3,U984="April",4,U984="May",5,U984="June",6,U984="July",7,U984="August",8,U984="September",9,U984="October",10,U984="November",11,U984="December",12)</f>
        <v>#N/A</v>
      </c>
    </row>
    <row r="985" spans="1:23" ht="15.75" customHeight="1" x14ac:dyDescent="0.25">
      <c r="A985" s="2" t="s">
        <v>1928</v>
      </c>
      <c r="B985" s="3">
        <v>45838.117222222223</v>
      </c>
      <c r="C985" s="2" t="s">
        <v>100</v>
      </c>
      <c r="D985" s="2" t="s">
        <v>66</v>
      </c>
      <c r="E985" s="2" t="s">
        <v>45</v>
      </c>
      <c r="F985" s="2" t="str" cm="1">
        <f t="array" ref="F985:G985">_xlfn.TEXTSPLIT(E985," - ")</f>
        <v>Daging Ayam</v>
      </c>
      <c r="G985" s="2" t="str">
        <v>Brand B</v>
      </c>
      <c r="H985" s="5">
        <v>40000</v>
      </c>
      <c r="I985" s="2">
        <v>4</v>
      </c>
      <c r="J985" s="2">
        <v>20</v>
      </c>
      <c r="K985" s="8">
        <f t="shared" si="90"/>
        <v>160000</v>
      </c>
      <c r="L985" s="8">
        <f t="shared" si="91"/>
        <v>32000</v>
      </c>
      <c r="M985" s="8">
        <f t="shared" si="92"/>
        <v>128000</v>
      </c>
      <c r="N985" s="5">
        <v>59000</v>
      </c>
      <c r="O985" s="8">
        <f t="shared" si="93"/>
        <v>187000</v>
      </c>
      <c r="P985" s="2" t="s">
        <v>35</v>
      </c>
      <c r="Q985" s="10" t="str">
        <f>VLOOKUP(A985,Status!A:B,2,0)</f>
        <v>Completed</v>
      </c>
      <c r="R985" s="2" t="s">
        <v>46</v>
      </c>
      <c r="S985" s="2">
        <v>3</v>
      </c>
      <c r="T985" s="2" t="s">
        <v>24</v>
      </c>
      <c r="U985" s="10" t="str">
        <f t="shared" si="95"/>
        <v>Jun</v>
      </c>
      <c r="V985" s="10">
        <f t="shared" si="94"/>
        <v>2025</v>
      </c>
      <c r="W985" t="e" cm="1">
        <f t="array" ref="W985">_xlfn.IFS(U985="January",1,U985="February",2,U985="March",3,U985="April",4,U985="May",5,U985="June",6,U985="July",7,U985="August",8,U985="September",9,U985="October",10,U985="November",11,U985="December",12)</f>
        <v>#N/A</v>
      </c>
    </row>
    <row r="986" spans="1:23" ht="15.75" customHeight="1" x14ac:dyDescent="0.25">
      <c r="A986" s="2" t="s">
        <v>1929</v>
      </c>
      <c r="B986" s="3">
        <v>45838.143055555563</v>
      </c>
      <c r="C986" s="2" t="s">
        <v>693</v>
      </c>
      <c r="D986" s="2" t="s">
        <v>119</v>
      </c>
      <c r="E986" s="2" t="s">
        <v>250</v>
      </c>
      <c r="F986" s="2" t="str" cm="1">
        <f t="array" ref="F986:G986">_xlfn.TEXTSPLIT(E986," - ")</f>
        <v>Minyak Goreng</v>
      </c>
      <c r="G986" s="2" t="str">
        <v>Brand C</v>
      </c>
      <c r="H986" s="5">
        <v>18000</v>
      </c>
      <c r="I986" s="2">
        <v>2</v>
      </c>
      <c r="J986" s="2">
        <v>10</v>
      </c>
      <c r="K986" s="8">
        <f t="shared" si="90"/>
        <v>36000</v>
      </c>
      <c r="L986" s="8">
        <f t="shared" si="91"/>
        <v>3600</v>
      </c>
      <c r="M986" s="8">
        <f t="shared" si="92"/>
        <v>32400</v>
      </c>
      <c r="N986" s="5">
        <v>0</v>
      </c>
      <c r="O986" s="8">
        <f t="shared" si="93"/>
        <v>32400</v>
      </c>
      <c r="P986" s="2" t="s">
        <v>29</v>
      </c>
      <c r="Q986" s="10" t="str">
        <f>VLOOKUP(A986,Status!A:B,2,0)</f>
        <v>Completed</v>
      </c>
      <c r="R986" s="2" t="s">
        <v>82</v>
      </c>
      <c r="S986" s="2">
        <v>2</v>
      </c>
      <c r="T986" s="2" t="s">
        <v>24</v>
      </c>
      <c r="U986" s="10" t="str">
        <f t="shared" si="95"/>
        <v>Jun</v>
      </c>
      <c r="V986" s="10">
        <f t="shared" si="94"/>
        <v>2025</v>
      </c>
      <c r="W986" t="e" cm="1">
        <f t="array" ref="W986">_xlfn.IFS(U986="January",1,U986="February",2,U986="March",3,U986="April",4,U986="May",5,U986="June",6,U986="July",7,U986="August",8,U986="September",9,U986="October",10,U986="November",11,U986="December",12)</f>
        <v>#N/A</v>
      </c>
    </row>
    <row r="987" spans="1:23" ht="15.75" customHeight="1" x14ac:dyDescent="0.25">
      <c r="A987" s="2" t="s">
        <v>1929</v>
      </c>
      <c r="B987" s="3">
        <v>45838.143055555563</v>
      </c>
      <c r="C987" s="2" t="s">
        <v>693</v>
      </c>
      <c r="D987" s="2" t="s">
        <v>119</v>
      </c>
      <c r="E987" s="2" t="s">
        <v>58</v>
      </c>
      <c r="F987" s="2" t="str" cm="1">
        <f t="array" ref="F987:G987">_xlfn.TEXTSPLIT(E987," - ")</f>
        <v>Gula Pasir</v>
      </c>
      <c r="G987" s="2" t="str">
        <v>Brand A</v>
      </c>
      <c r="H987" s="5">
        <v>16000</v>
      </c>
      <c r="I987" s="2">
        <v>1</v>
      </c>
      <c r="J987" s="2">
        <v>10</v>
      </c>
      <c r="K987" s="8">
        <f t="shared" si="90"/>
        <v>16000</v>
      </c>
      <c r="L987" s="8">
        <f t="shared" si="91"/>
        <v>1600</v>
      </c>
      <c r="M987" s="8">
        <f t="shared" si="92"/>
        <v>14400</v>
      </c>
      <c r="N987" s="5">
        <v>0</v>
      </c>
      <c r="O987" s="8">
        <f t="shared" si="93"/>
        <v>14400</v>
      </c>
      <c r="P987" s="2" t="s">
        <v>29</v>
      </c>
      <c r="Q987" s="10" t="str">
        <f>VLOOKUP(A987,Status!A:B,2,0)</f>
        <v>Completed</v>
      </c>
      <c r="R987" s="2" t="s">
        <v>82</v>
      </c>
      <c r="S987" s="2">
        <v>2</v>
      </c>
      <c r="T987" s="2" t="s">
        <v>24</v>
      </c>
      <c r="U987" s="10" t="str">
        <f t="shared" si="95"/>
        <v>Jun</v>
      </c>
      <c r="V987" s="10">
        <f t="shared" si="94"/>
        <v>2025</v>
      </c>
      <c r="W987" t="e" cm="1">
        <f t="array" ref="W987">_xlfn.IFS(U987="January",1,U987="February",2,U987="March",3,U987="April",4,U987="May",5,U987="June",6,U987="July",7,U987="August",8,U987="September",9,U987="October",10,U987="November",11,U987="December",12)</f>
        <v>#N/A</v>
      </c>
    </row>
    <row r="988" spans="1:23" ht="15.75" customHeight="1" x14ac:dyDescent="0.25">
      <c r="A988" s="2" t="s">
        <v>1930</v>
      </c>
      <c r="B988" s="3">
        <v>45838.146493055552</v>
      </c>
      <c r="C988" s="2" t="s">
        <v>79</v>
      </c>
      <c r="D988" s="2" t="s">
        <v>80</v>
      </c>
      <c r="E988" s="2" t="s">
        <v>136</v>
      </c>
      <c r="F988" s="2" t="str" cm="1">
        <f t="array" ref="F988:G988">_xlfn.TEXTSPLIT(E988," - ")</f>
        <v>Tepung Terigu</v>
      </c>
      <c r="G988" s="2" t="str">
        <v>Brand B</v>
      </c>
      <c r="H988" s="5">
        <v>12000</v>
      </c>
      <c r="I988" s="2">
        <v>2</v>
      </c>
      <c r="J988" s="2">
        <v>15</v>
      </c>
      <c r="K988" s="8">
        <f t="shared" si="90"/>
        <v>24000</v>
      </c>
      <c r="L988" s="8">
        <f t="shared" si="91"/>
        <v>3600</v>
      </c>
      <c r="M988" s="8">
        <f t="shared" si="92"/>
        <v>20400</v>
      </c>
      <c r="N988" s="5">
        <v>74000</v>
      </c>
      <c r="O988" s="8">
        <f t="shared" si="93"/>
        <v>94400</v>
      </c>
      <c r="P988" s="2" t="s">
        <v>35</v>
      </c>
      <c r="Q988" s="10" t="str">
        <f>VLOOKUP(A988,Status!A:B,2,0)</f>
        <v>Returned</v>
      </c>
      <c r="R988" s="2" t="s">
        <v>82</v>
      </c>
      <c r="S988" s="2">
        <v>4</v>
      </c>
      <c r="T988" s="2" t="s">
        <v>24</v>
      </c>
      <c r="U988" s="10" t="str">
        <f t="shared" si="95"/>
        <v>Jun</v>
      </c>
      <c r="V988" s="10">
        <f t="shared" si="94"/>
        <v>2025</v>
      </c>
      <c r="W988" t="e" cm="1">
        <f t="array" ref="W988">_xlfn.IFS(U988="January",1,U988="February",2,U988="March",3,U988="April",4,U988="May",5,U988="June",6,U988="July",7,U988="August",8,U988="September",9,U988="October",10,U988="November",11,U988="December",12)</f>
        <v>#N/A</v>
      </c>
    </row>
    <row r="989" spans="1:23" ht="15.75" customHeight="1" x14ac:dyDescent="0.25">
      <c r="A989" s="2" t="s">
        <v>1931</v>
      </c>
      <c r="B989" s="3">
        <v>45839.624236111107</v>
      </c>
      <c r="C989" s="2" t="s">
        <v>596</v>
      </c>
      <c r="D989" s="2" t="s">
        <v>70</v>
      </c>
      <c r="E989" s="2" t="s">
        <v>138</v>
      </c>
      <c r="F989" s="2" t="str" cm="1">
        <f t="array" ref="F989:G989">_xlfn.TEXTSPLIT(E989," - ")</f>
        <v>Gula Pasir</v>
      </c>
      <c r="G989" s="2" t="str">
        <v>Brand B</v>
      </c>
      <c r="H989" s="5">
        <v>17000</v>
      </c>
      <c r="I989" s="2">
        <v>3</v>
      </c>
      <c r="J989" s="2">
        <v>10</v>
      </c>
      <c r="K989" s="8">
        <f t="shared" si="90"/>
        <v>51000</v>
      </c>
      <c r="L989" s="8">
        <f t="shared" si="91"/>
        <v>5100</v>
      </c>
      <c r="M989" s="8">
        <f t="shared" si="92"/>
        <v>45900</v>
      </c>
      <c r="N989" s="5">
        <v>89000</v>
      </c>
      <c r="O989" s="8">
        <f t="shared" si="93"/>
        <v>134900</v>
      </c>
      <c r="P989" s="2" t="s">
        <v>22</v>
      </c>
      <c r="Q989" s="10" t="str">
        <f>VLOOKUP(A989,Status!A:B,2,0)</f>
        <v>Cancelled</v>
      </c>
      <c r="R989" s="2" t="s">
        <v>46</v>
      </c>
      <c r="S989" s="2">
        <v>1</v>
      </c>
      <c r="T989" s="2" t="s">
        <v>24</v>
      </c>
      <c r="U989" s="10" t="str">
        <f t="shared" si="95"/>
        <v>Jul</v>
      </c>
      <c r="V989" s="10">
        <f t="shared" si="94"/>
        <v>2025</v>
      </c>
      <c r="W989" t="e" cm="1">
        <f t="array" ref="W989">_xlfn.IFS(U989="January",1,U989="February",2,U989="March",3,U989="April",4,U989="May",5,U989="June",6,U989="July",7,U989="August",8,U989="September",9,U989="October",10,U989="November",11,U989="December",12)</f>
        <v>#N/A</v>
      </c>
    </row>
    <row r="990" spans="1:23" ht="15.75" customHeight="1" x14ac:dyDescent="0.25">
      <c r="A990" s="2" t="s">
        <v>1932</v>
      </c>
      <c r="B990" s="3">
        <v>45839.654513888891</v>
      </c>
      <c r="C990" s="2" t="s">
        <v>307</v>
      </c>
      <c r="D990" s="2" t="s">
        <v>70</v>
      </c>
      <c r="E990" s="2" t="s">
        <v>144</v>
      </c>
      <c r="F990" s="2" t="str" cm="1">
        <f t="array" ref="F990:G990">_xlfn.TEXTSPLIT(E990," - ")</f>
        <v>Gula Pasir</v>
      </c>
      <c r="G990" s="2" t="str">
        <v>Brand C</v>
      </c>
      <c r="H990" s="5">
        <v>18000</v>
      </c>
      <c r="I990" s="2">
        <v>2</v>
      </c>
      <c r="J990" s="2">
        <v>5</v>
      </c>
      <c r="K990" s="8">
        <f t="shared" si="90"/>
        <v>36000</v>
      </c>
      <c r="L990" s="8">
        <f t="shared" si="91"/>
        <v>1800</v>
      </c>
      <c r="M990" s="8">
        <f t="shared" si="92"/>
        <v>34200</v>
      </c>
      <c r="N990" s="5">
        <v>89000</v>
      </c>
      <c r="O990" s="8">
        <f t="shared" si="93"/>
        <v>123200</v>
      </c>
      <c r="P990" s="2" t="s">
        <v>29</v>
      </c>
      <c r="Q990" s="10" t="str">
        <f>VLOOKUP(A990,Status!A:B,2,0)</f>
        <v>Completed</v>
      </c>
      <c r="R990" s="2" t="s">
        <v>36</v>
      </c>
      <c r="S990" s="2">
        <v>4</v>
      </c>
      <c r="T990" s="2" t="s">
        <v>24</v>
      </c>
      <c r="U990" s="10" t="str">
        <f t="shared" si="95"/>
        <v>Jul</v>
      </c>
      <c r="V990" s="10">
        <f t="shared" si="94"/>
        <v>2025</v>
      </c>
      <c r="W990" t="e" cm="1">
        <f t="array" ref="W990">_xlfn.IFS(U990="January",1,U990="February",2,U990="March",3,U990="April",4,U990="May",5,U990="June",6,U990="July",7,U990="August",8,U990="September",9,U990="October",10,U990="November",11,U990="December",12)</f>
        <v>#N/A</v>
      </c>
    </row>
    <row r="991" spans="1:23" ht="15.75" customHeight="1" x14ac:dyDescent="0.25">
      <c r="A991" s="2" t="s">
        <v>1933</v>
      </c>
      <c r="B991" s="3">
        <v>45839.766805555562</v>
      </c>
      <c r="C991" s="2" t="s">
        <v>1321</v>
      </c>
      <c r="D991" s="2" t="s">
        <v>113</v>
      </c>
      <c r="E991" s="2" t="s">
        <v>136</v>
      </c>
      <c r="F991" s="2" t="str" cm="1">
        <f t="array" ref="F991:G991">_xlfn.TEXTSPLIT(E991," - ")</f>
        <v>Tepung Terigu</v>
      </c>
      <c r="G991" s="2" t="str">
        <v>Brand B</v>
      </c>
      <c r="H991" s="5">
        <v>12000</v>
      </c>
      <c r="I991" s="2">
        <v>3</v>
      </c>
      <c r="J991" s="2">
        <v>20</v>
      </c>
      <c r="K991" s="8">
        <f t="shared" si="90"/>
        <v>36000</v>
      </c>
      <c r="L991" s="8">
        <f t="shared" si="91"/>
        <v>7200</v>
      </c>
      <c r="M991" s="8">
        <f t="shared" si="92"/>
        <v>28800</v>
      </c>
      <c r="N991" s="5">
        <v>18000</v>
      </c>
      <c r="O991" s="8">
        <f t="shared" si="93"/>
        <v>46800</v>
      </c>
      <c r="P991" s="2" t="s">
        <v>29</v>
      </c>
      <c r="Q991" s="10" t="str">
        <f>VLOOKUP(A991,Status!A:B,2,0)</f>
        <v>Completed</v>
      </c>
      <c r="R991" s="2" t="s">
        <v>46</v>
      </c>
      <c r="S991" s="2">
        <v>5</v>
      </c>
      <c r="T991" s="2" t="s">
        <v>24</v>
      </c>
      <c r="U991" s="10" t="str">
        <f t="shared" si="95"/>
        <v>Jul</v>
      </c>
      <c r="V991" s="10">
        <f t="shared" si="94"/>
        <v>2025</v>
      </c>
      <c r="W991" t="e" cm="1">
        <f t="array" ref="W991">_xlfn.IFS(U991="January",1,U991="February",2,U991="March",3,U991="April",4,U991="May",5,U991="June",6,U991="July",7,U991="August",8,U991="September",9,U991="October",10,U991="November",11,U991="December",12)</f>
        <v>#N/A</v>
      </c>
    </row>
    <row r="992" spans="1:23" ht="15.75" customHeight="1" x14ac:dyDescent="0.25">
      <c r="A992" s="2" t="s">
        <v>1934</v>
      </c>
      <c r="B992" s="3">
        <v>45839.773773148147</v>
      </c>
      <c r="C992" s="2" t="s">
        <v>109</v>
      </c>
      <c r="D992" s="2" t="s">
        <v>49</v>
      </c>
      <c r="E992" s="2" t="s">
        <v>81</v>
      </c>
      <c r="F992" s="2" t="str" cm="1">
        <f t="array" ref="F992:G992">_xlfn.TEXTSPLIT(E992," - ")</f>
        <v>Minyak Goreng</v>
      </c>
      <c r="G992" s="2" t="str">
        <v>Brand B</v>
      </c>
      <c r="H992" s="5">
        <v>17000</v>
      </c>
      <c r="I992" s="2">
        <v>1</v>
      </c>
      <c r="J992" s="2">
        <v>15</v>
      </c>
      <c r="K992" s="8">
        <f t="shared" si="90"/>
        <v>17000</v>
      </c>
      <c r="L992" s="8">
        <f t="shared" si="91"/>
        <v>2550</v>
      </c>
      <c r="M992" s="8">
        <f t="shared" si="92"/>
        <v>14450</v>
      </c>
      <c r="N992" s="5">
        <v>43000</v>
      </c>
      <c r="O992" s="8">
        <f t="shared" si="93"/>
        <v>57450</v>
      </c>
      <c r="P992" s="2" t="s">
        <v>29</v>
      </c>
      <c r="Q992" s="10" t="str">
        <f>VLOOKUP(A992,Status!A:B,2,0)</f>
        <v>Completed</v>
      </c>
      <c r="R992" s="2" t="s">
        <v>82</v>
      </c>
      <c r="S992" s="2">
        <v>4</v>
      </c>
      <c r="T992" s="2" t="s">
        <v>24</v>
      </c>
      <c r="U992" s="10" t="str">
        <f t="shared" si="95"/>
        <v>Jul</v>
      </c>
      <c r="V992" s="10">
        <f t="shared" si="94"/>
        <v>2025</v>
      </c>
      <c r="W992" t="e" cm="1">
        <f t="array" ref="W992">_xlfn.IFS(U992="January",1,U992="February",2,U992="March",3,U992="April",4,U992="May",5,U992="June",6,U992="July",7,U992="August",8,U992="September",9,U992="October",10,U992="November",11,U992="December",12)</f>
        <v>#N/A</v>
      </c>
    </row>
    <row r="993" spans="1:23" ht="15.75" customHeight="1" x14ac:dyDescent="0.25">
      <c r="A993" s="2" t="s">
        <v>1934</v>
      </c>
      <c r="B993" s="3">
        <v>45839.773773148147</v>
      </c>
      <c r="C993" s="2" t="s">
        <v>109</v>
      </c>
      <c r="D993" s="2" t="s">
        <v>49</v>
      </c>
      <c r="E993" s="2" t="s">
        <v>144</v>
      </c>
      <c r="F993" s="2" t="str" cm="1">
        <f t="array" ref="F993:G993">_xlfn.TEXTSPLIT(E993," - ")</f>
        <v>Gula Pasir</v>
      </c>
      <c r="G993" s="2" t="str">
        <v>Brand C</v>
      </c>
      <c r="H993" s="5">
        <v>18000</v>
      </c>
      <c r="I993" s="2">
        <v>3</v>
      </c>
      <c r="J993" s="2">
        <v>10</v>
      </c>
      <c r="K993" s="8">
        <f t="shared" si="90"/>
        <v>54000</v>
      </c>
      <c r="L993" s="8">
        <f t="shared" si="91"/>
        <v>5400</v>
      </c>
      <c r="M993" s="8">
        <f t="shared" si="92"/>
        <v>48600</v>
      </c>
      <c r="N993" s="5">
        <v>0</v>
      </c>
      <c r="O993" s="8">
        <f t="shared" si="93"/>
        <v>48600</v>
      </c>
      <c r="P993" s="2" t="s">
        <v>29</v>
      </c>
      <c r="Q993" s="10" t="str">
        <f>VLOOKUP(A993,Status!A:B,2,0)</f>
        <v>Completed</v>
      </c>
      <c r="R993" s="2" t="s">
        <v>82</v>
      </c>
      <c r="S993" s="2">
        <v>4</v>
      </c>
      <c r="T993" s="2" t="s">
        <v>24</v>
      </c>
      <c r="U993" s="10" t="str">
        <f t="shared" si="95"/>
        <v>Jul</v>
      </c>
      <c r="V993" s="10">
        <f t="shared" si="94"/>
        <v>2025</v>
      </c>
      <c r="W993" t="e" cm="1">
        <f t="array" ref="W993">_xlfn.IFS(U993="January",1,U993="February",2,U993="March",3,U993="April",4,U993="May",5,U993="June",6,U993="July",7,U993="August",8,U993="September",9,U993="October",10,U993="November",11,U993="December",12)</f>
        <v>#N/A</v>
      </c>
    </row>
    <row r="994" spans="1:23" ht="15.75" customHeight="1" x14ac:dyDescent="0.25">
      <c r="A994" s="2" t="s">
        <v>1935</v>
      </c>
      <c r="B994" s="3">
        <v>45839.859733796293</v>
      </c>
      <c r="C994" s="2" t="s">
        <v>570</v>
      </c>
      <c r="D994" s="2" t="s">
        <v>80</v>
      </c>
      <c r="E994" s="2" t="s">
        <v>38</v>
      </c>
      <c r="F994" s="2" t="str" cm="1">
        <f t="array" ref="F994:G994">_xlfn.TEXTSPLIT(E994," - ")</f>
        <v>Telur Ayam</v>
      </c>
      <c r="G994" s="2" t="str">
        <v>Brand C</v>
      </c>
      <c r="H994" s="5">
        <v>28000</v>
      </c>
      <c r="I994" s="2">
        <v>2</v>
      </c>
      <c r="J994" s="2">
        <v>20</v>
      </c>
      <c r="K994" s="8">
        <f t="shared" si="90"/>
        <v>56000</v>
      </c>
      <c r="L994" s="8">
        <f t="shared" si="91"/>
        <v>11200</v>
      </c>
      <c r="M994" s="8">
        <f t="shared" si="92"/>
        <v>44800</v>
      </c>
      <c r="N994" s="5">
        <v>74000</v>
      </c>
      <c r="O994" s="8">
        <f t="shared" si="93"/>
        <v>118800</v>
      </c>
      <c r="P994" s="2" t="s">
        <v>29</v>
      </c>
      <c r="Q994" s="10" t="str">
        <f>VLOOKUP(A994,Status!A:B,2,0)</f>
        <v>Returned</v>
      </c>
      <c r="R994" s="2" t="s">
        <v>23</v>
      </c>
      <c r="S994" s="2">
        <v>4</v>
      </c>
      <c r="T994" s="2" t="s">
        <v>24</v>
      </c>
      <c r="U994" s="10" t="str">
        <f t="shared" si="95"/>
        <v>Jul</v>
      </c>
      <c r="V994" s="10">
        <f t="shared" si="94"/>
        <v>2025</v>
      </c>
      <c r="W994" t="e" cm="1">
        <f t="array" ref="W994">_xlfn.IFS(U994="January",1,U994="February",2,U994="March",3,U994="April",4,U994="May",5,U994="June",6,U994="July",7,U994="August",8,U994="September",9,U994="October",10,U994="November",11,U994="December",12)</f>
        <v>#N/A</v>
      </c>
    </row>
    <row r="995" spans="1:23" ht="15.75" customHeight="1" x14ac:dyDescent="0.25">
      <c r="A995" s="2" t="s">
        <v>1936</v>
      </c>
      <c r="B995" s="3">
        <v>45840.205706018518</v>
      </c>
      <c r="C995" s="2" t="s">
        <v>1757</v>
      </c>
      <c r="D995" s="2" t="s">
        <v>74</v>
      </c>
      <c r="E995" s="2" t="s">
        <v>75</v>
      </c>
      <c r="F995" s="2" t="str" cm="1">
        <f t="array" ref="F995:G995">_xlfn.TEXTSPLIT(E995," - ")</f>
        <v>Susu Bubuk</v>
      </c>
      <c r="G995" s="2" t="str">
        <v>Brand C</v>
      </c>
      <c r="H995" s="5">
        <v>55000</v>
      </c>
      <c r="I995" s="2">
        <v>2</v>
      </c>
      <c r="J995" s="2">
        <v>10</v>
      </c>
      <c r="K995" s="8">
        <f t="shared" si="90"/>
        <v>110000</v>
      </c>
      <c r="L995" s="8">
        <f t="shared" si="91"/>
        <v>11000</v>
      </c>
      <c r="M995" s="8">
        <f t="shared" si="92"/>
        <v>99000</v>
      </c>
      <c r="N995" s="5">
        <v>87000</v>
      </c>
      <c r="O995" s="8">
        <f t="shared" si="93"/>
        <v>186000</v>
      </c>
      <c r="P995" s="2" t="s">
        <v>35</v>
      </c>
      <c r="Q995" s="10" t="str">
        <f>VLOOKUP(A995,Status!A:B,2,0)</f>
        <v>Completed</v>
      </c>
      <c r="R995" s="2" t="s">
        <v>82</v>
      </c>
      <c r="S995" s="2">
        <v>2</v>
      </c>
      <c r="T995" s="2" t="s">
        <v>37</v>
      </c>
      <c r="U995" s="10" t="str">
        <f t="shared" si="95"/>
        <v>Jul</v>
      </c>
      <c r="V995" s="10">
        <f t="shared" si="94"/>
        <v>2025</v>
      </c>
      <c r="W995" t="e" cm="1">
        <f t="array" ref="W995">_xlfn.IFS(U995="January",1,U995="February",2,U995="March",3,U995="April",4,U995="May",5,U995="June",6,U995="July",7,U995="August",8,U995="September",9,U995="October",10,U995="November",11,U995="December",12)</f>
        <v>#N/A</v>
      </c>
    </row>
    <row r="996" spans="1:23" ht="15.75" customHeight="1" x14ac:dyDescent="0.25">
      <c r="A996" s="2" t="s">
        <v>1937</v>
      </c>
      <c r="B996" s="3">
        <v>45840.385729166657</v>
      </c>
      <c r="C996" s="2" t="s">
        <v>84</v>
      </c>
      <c r="D996" s="2" t="s">
        <v>57</v>
      </c>
      <c r="E996" s="2" t="s">
        <v>54</v>
      </c>
      <c r="F996" s="2" t="str" cm="1">
        <f t="array" ref="F996:G996">_xlfn.TEXTSPLIT(E996," - ")</f>
        <v>Beras</v>
      </c>
      <c r="G996" s="2" t="str">
        <v>Brand C</v>
      </c>
      <c r="H996" s="5">
        <v>16000</v>
      </c>
      <c r="I996" s="2">
        <v>5</v>
      </c>
      <c r="J996" s="2">
        <v>10</v>
      </c>
      <c r="K996" s="8">
        <f t="shared" si="90"/>
        <v>80000</v>
      </c>
      <c r="L996" s="8">
        <f t="shared" si="91"/>
        <v>8000</v>
      </c>
      <c r="M996" s="8">
        <f t="shared" si="92"/>
        <v>72000</v>
      </c>
      <c r="N996" s="5">
        <v>80000</v>
      </c>
      <c r="O996" s="8">
        <f t="shared" si="93"/>
        <v>152000</v>
      </c>
      <c r="P996" s="2" t="s">
        <v>35</v>
      </c>
      <c r="Q996" s="10" t="str">
        <f>VLOOKUP(A996,Status!A:B,2,0)</f>
        <v>Returned</v>
      </c>
      <c r="R996" s="2" t="s">
        <v>46</v>
      </c>
      <c r="S996" s="2">
        <v>5</v>
      </c>
      <c r="T996" s="2" t="s">
        <v>37</v>
      </c>
      <c r="U996" s="10" t="str">
        <f t="shared" si="95"/>
        <v>Jul</v>
      </c>
      <c r="V996" s="10">
        <f t="shared" si="94"/>
        <v>2025</v>
      </c>
      <c r="W996" t="e" cm="1">
        <f t="array" ref="W996">_xlfn.IFS(U996="January",1,U996="February",2,U996="March",3,U996="April",4,U996="May",5,U996="June",6,U996="July",7,U996="August",8,U996="September",9,U996="October",10,U996="November",11,U996="December",12)</f>
        <v>#N/A</v>
      </c>
    </row>
    <row r="997" spans="1:23" ht="15.75" customHeight="1" x14ac:dyDescent="0.25">
      <c r="A997" s="2" t="s">
        <v>1938</v>
      </c>
      <c r="B997" s="3">
        <v>45840.414513888893</v>
      </c>
      <c r="C997" s="2" t="s">
        <v>121</v>
      </c>
      <c r="D997" s="2" t="s">
        <v>122</v>
      </c>
      <c r="E997" s="2" t="s">
        <v>186</v>
      </c>
      <c r="F997" s="2" t="str" cm="1">
        <f t="array" ref="F997:G997">_xlfn.TEXTSPLIT(E997," - ")</f>
        <v>Susu Bubuk</v>
      </c>
      <c r="G997" s="2" t="str">
        <v>Brand A</v>
      </c>
      <c r="H997" s="5">
        <v>45000</v>
      </c>
      <c r="I997" s="2">
        <v>3</v>
      </c>
      <c r="J997" s="2">
        <v>5</v>
      </c>
      <c r="K997" s="8">
        <f t="shared" si="90"/>
        <v>135000</v>
      </c>
      <c r="L997" s="8">
        <f t="shared" si="91"/>
        <v>6750</v>
      </c>
      <c r="M997" s="8">
        <f t="shared" si="92"/>
        <v>128250</v>
      </c>
      <c r="N997" s="5">
        <v>78000</v>
      </c>
      <c r="O997" s="8">
        <f t="shared" si="93"/>
        <v>206250</v>
      </c>
      <c r="P997" s="2" t="s">
        <v>35</v>
      </c>
      <c r="Q997" s="10" t="str">
        <f>VLOOKUP(A997,Status!A:B,2,0)</f>
        <v>Completed</v>
      </c>
      <c r="R997" s="2" t="s">
        <v>36</v>
      </c>
      <c r="S997" s="2">
        <v>1</v>
      </c>
      <c r="T997" s="2" t="s">
        <v>24</v>
      </c>
      <c r="U997" s="10" t="str">
        <f t="shared" si="95"/>
        <v>Jul</v>
      </c>
      <c r="V997" s="10">
        <f t="shared" si="94"/>
        <v>2025</v>
      </c>
      <c r="W997" t="e" cm="1">
        <f t="array" ref="W997">_xlfn.IFS(U997="January",1,U997="February",2,U997="March",3,U997="April",4,U997="May",5,U997="June",6,U997="July",7,U997="August",8,U997="September",9,U997="October",10,U997="November",11,U997="December",12)</f>
        <v>#N/A</v>
      </c>
    </row>
    <row r="998" spans="1:23" ht="15.75" customHeight="1" x14ac:dyDescent="0.25">
      <c r="A998" s="2" t="s">
        <v>1939</v>
      </c>
      <c r="B998" s="3">
        <v>45840.800034722219</v>
      </c>
      <c r="C998" s="2" t="s">
        <v>121</v>
      </c>
      <c r="D998" s="2" t="s">
        <v>122</v>
      </c>
      <c r="E998" s="2" t="s">
        <v>81</v>
      </c>
      <c r="F998" s="2" t="str" cm="1">
        <f t="array" ref="F998:G998">_xlfn.TEXTSPLIT(E998," - ")</f>
        <v>Minyak Goreng</v>
      </c>
      <c r="G998" s="2" t="str">
        <v>Brand B</v>
      </c>
      <c r="H998" s="5">
        <v>17000</v>
      </c>
      <c r="I998" s="2">
        <v>3</v>
      </c>
      <c r="J998" s="2">
        <v>15</v>
      </c>
      <c r="K998" s="8">
        <f t="shared" si="90"/>
        <v>51000</v>
      </c>
      <c r="L998" s="8">
        <f t="shared" si="91"/>
        <v>7650</v>
      </c>
      <c r="M998" s="8">
        <f t="shared" si="92"/>
        <v>43350</v>
      </c>
      <c r="N998" s="5">
        <v>78000</v>
      </c>
      <c r="O998" s="8">
        <f t="shared" si="93"/>
        <v>121350</v>
      </c>
      <c r="P998" s="2" t="s">
        <v>35</v>
      </c>
      <c r="Q998" s="10" t="str">
        <f>VLOOKUP(A998,Status!A:B,2,0)</f>
        <v>Completed</v>
      </c>
      <c r="R998" s="2" t="s">
        <v>46</v>
      </c>
      <c r="S998" s="2">
        <v>2</v>
      </c>
      <c r="T998" s="2" t="s">
        <v>24</v>
      </c>
      <c r="U998" s="10" t="str">
        <f t="shared" si="95"/>
        <v>Jul</v>
      </c>
      <c r="V998" s="10">
        <f t="shared" si="94"/>
        <v>2025</v>
      </c>
      <c r="W998" t="e" cm="1">
        <f t="array" ref="W998">_xlfn.IFS(U998="January",1,U998="February",2,U998="March",3,U998="April",4,U998="May",5,U998="June",6,U998="July",7,U998="August",8,U998="September",9,U998="October",10,U998="November",11,U998="December",12)</f>
        <v>#N/A</v>
      </c>
    </row>
    <row r="999" spans="1:23" ht="15.75" customHeight="1" x14ac:dyDescent="0.25">
      <c r="A999" s="2" t="s">
        <v>1940</v>
      </c>
      <c r="B999" s="3">
        <v>45840.905833333331</v>
      </c>
      <c r="C999" s="2" t="s">
        <v>741</v>
      </c>
      <c r="D999" s="2" t="s">
        <v>189</v>
      </c>
      <c r="E999" s="2" t="s">
        <v>190</v>
      </c>
      <c r="F999" s="2" t="str" cm="1">
        <f t="array" ref="F999:G999">_xlfn.TEXTSPLIT(E999," - ")</f>
        <v>Bawang Merah</v>
      </c>
      <c r="G999" s="2" t="str">
        <v>Brand B</v>
      </c>
      <c r="H999" s="5">
        <v>35000</v>
      </c>
      <c r="I999" s="2">
        <v>3</v>
      </c>
      <c r="J999" s="2">
        <v>0</v>
      </c>
      <c r="K999" s="8">
        <f t="shared" si="90"/>
        <v>105000</v>
      </c>
      <c r="L999" s="8">
        <f t="shared" si="91"/>
        <v>0</v>
      </c>
      <c r="M999" s="8">
        <f t="shared" si="92"/>
        <v>105000</v>
      </c>
      <c r="N999" s="5">
        <v>57000</v>
      </c>
      <c r="O999" s="8">
        <f t="shared" si="93"/>
        <v>162000</v>
      </c>
      <c r="P999" s="2" t="s">
        <v>22</v>
      </c>
      <c r="Q999" s="10" t="str">
        <f>VLOOKUP(A999,Status!A:B,2,0)</f>
        <v>Completed</v>
      </c>
      <c r="R999" s="2" t="s">
        <v>82</v>
      </c>
      <c r="S999" s="2">
        <v>2</v>
      </c>
      <c r="T999" s="2" t="s">
        <v>24</v>
      </c>
      <c r="U999" s="10" t="str">
        <f t="shared" si="95"/>
        <v>Jul</v>
      </c>
      <c r="V999" s="10">
        <f t="shared" si="94"/>
        <v>2025</v>
      </c>
      <c r="W999" t="e" cm="1">
        <f t="array" ref="W999">_xlfn.IFS(U999="January",1,U999="February",2,U999="March",3,U999="April",4,U999="May",5,U999="June",6,U999="July",7,U999="August",8,U999="September",9,U999="October",10,U999="November",11,U999="December",12)</f>
        <v>#N/A</v>
      </c>
    </row>
    <row r="1000" spans="1:23" ht="15.75" customHeight="1" x14ac:dyDescent="0.25">
      <c r="A1000" s="2" t="s">
        <v>1941</v>
      </c>
      <c r="B1000" s="3">
        <v>45840.9059375</v>
      </c>
      <c r="C1000" s="2" t="s">
        <v>644</v>
      </c>
      <c r="D1000" s="2" t="s">
        <v>244</v>
      </c>
      <c r="E1000" s="2" t="s">
        <v>110</v>
      </c>
      <c r="F1000" s="2" t="str" cm="1">
        <f t="array" ref="F1000:G1000">_xlfn.TEXTSPLIT(E1000," - ")</f>
        <v>Garam</v>
      </c>
      <c r="G1000" s="2" t="str">
        <v>Brand C</v>
      </c>
      <c r="H1000" s="5">
        <v>6000</v>
      </c>
      <c r="I1000" s="2">
        <v>3</v>
      </c>
      <c r="J1000" s="2">
        <v>10</v>
      </c>
      <c r="K1000" s="8">
        <f t="shared" si="90"/>
        <v>18000</v>
      </c>
      <c r="L1000" s="8">
        <f t="shared" si="91"/>
        <v>1800</v>
      </c>
      <c r="M1000" s="8">
        <f t="shared" si="92"/>
        <v>16200</v>
      </c>
      <c r="N1000" s="5">
        <v>80000</v>
      </c>
      <c r="O1000" s="8">
        <f t="shared" si="93"/>
        <v>96200</v>
      </c>
      <c r="P1000" s="2" t="s">
        <v>63</v>
      </c>
      <c r="Q1000" s="10" t="str">
        <f>VLOOKUP(A1000,Status!A:B,2,0)</f>
        <v>Completed</v>
      </c>
      <c r="R1000" s="2" t="s">
        <v>30</v>
      </c>
      <c r="S1000" s="2">
        <v>5</v>
      </c>
      <c r="T1000" s="2" t="s">
        <v>24</v>
      </c>
      <c r="U1000" s="10" t="str">
        <f t="shared" si="95"/>
        <v>Jul</v>
      </c>
      <c r="V1000" s="10">
        <f t="shared" si="94"/>
        <v>2025</v>
      </c>
      <c r="W1000" t="e" cm="1">
        <f t="array" ref="W1000">_xlfn.IFS(U1000="January",1,U1000="February",2,U1000="March",3,U1000="April",4,U1000="May",5,U1000="June",6,U1000="July",7,U1000="August",8,U1000="September",9,U1000="October",10,U1000="November",11,U1000="December",12)</f>
        <v>#N/A</v>
      </c>
    </row>
    <row r="1001" spans="1:23" ht="15.75" customHeight="1" x14ac:dyDescent="0.25">
      <c r="A1001" s="2" t="s">
        <v>1942</v>
      </c>
      <c r="B1001" s="3">
        <v>45840.914421296293</v>
      </c>
      <c r="C1001" s="2" t="s">
        <v>786</v>
      </c>
      <c r="D1001" s="2" t="s">
        <v>107</v>
      </c>
      <c r="E1001" s="2" t="s">
        <v>85</v>
      </c>
      <c r="F1001" s="2" t="str" cm="1">
        <f t="array" ref="F1001:G1001">_xlfn.TEXTSPLIT(E1001," - ")</f>
        <v>Daging Ayam</v>
      </c>
      <c r="G1001" s="2" t="str">
        <v>Brand A</v>
      </c>
      <c r="H1001" s="5">
        <v>35000</v>
      </c>
      <c r="I1001" s="2">
        <v>1</v>
      </c>
      <c r="J1001" s="2">
        <v>5</v>
      </c>
      <c r="K1001" s="8">
        <f t="shared" si="90"/>
        <v>35000</v>
      </c>
      <c r="L1001" s="8">
        <f t="shared" si="91"/>
        <v>1750</v>
      </c>
      <c r="M1001" s="8">
        <f t="shared" si="92"/>
        <v>33250</v>
      </c>
      <c r="N1001" s="5">
        <v>97000</v>
      </c>
      <c r="O1001" s="8">
        <f t="shared" si="93"/>
        <v>130250</v>
      </c>
      <c r="P1001" s="2" t="s">
        <v>35</v>
      </c>
      <c r="Q1001" s="10" t="str">
        <f>VLOOKUP(A1001,Status!A:B,2,0)</f>
        <v>Returned</v>
      </c>
      <c r="R1001" s="2" t="s">
        <v>36</v>
      </c>
      <c r="S1001" s="2">
        <v>4</v>
      </c>
      <c r="T1001" s="2" t="s">
        <v>24</v>
      </c>
      <c r="U1001" s="10" t="str">
        <f t="shared" si="95"/>
        <v>Jul</v>
      </c>
      <c r="V1001" s="10">
        <f t="shared" si="94"/>
        <v>2025</v>
      </c>
      <c r="W1001" t="e" cm="1">
        <f t="array" ref="W1001">_xlfn.IFS(U1001="January",1,U1001="February",2,U1001="March",3,U1001="April",4,U1001="May",5,U1001="June",6,U1001="July",7,U1001="August",8,U1001="September",9,U1001="October",10,U1001="November",11,U1001="December",12)</f>
        <v>#N/A</v>
      </c>
    </row>
    <row r="1002" spans="1:23" ht="15.75" customHeight="1" x14ac:dyDescent="0.25">
      <c r="A1002" s="2" t="s">
        <v>1943</v>
      </c>
      <c r="B1002" s="3">
        <v>45841.040833333333</v>
      </c>
      <c r="C1002" s="2" t="s">
        <v>1047</v>
      </c>
      <c r="D1002" s="2" t="s">
        <v>160</v>
      </c>
      <c r="E1002" s="2" t="s">
        <v>28</v>
      </c>
      <c r="F1002" s="2" t="str" cm="1">
        <f t="array" ref="F1002:G1002">_xlfn.TEXTSPLIT(E1002," - ")</f>
        <v>Garam</v>
      </c>
      <c r="G1002" s="2" t="str">
        <v>Brand B</v>
      </c>
      <c r="H1002" s="5">
        <v>5000</v>
      </c>
      <c r="I1002" s="2">
        <v>4</v>
      </c>
      <c r="J1002" s="2">
        <v>20</v>
      </c>
      <c r="K1002" s="8">
        <f t="shared" si="90"/>
        <v>20000</v>
      </c>
      <c r="L1002" s="8">
        <f t="shared" si="91"/>
        <v>4000</v>
      </c>
      <c r="M1002" s="8">
        <f t="shared" si="92"/>
        <v>16000</v>
      </c>
      <c r="N1002" s="5">
        <v>68000</v>
      </c>
      <c r="O1002" s="8">
        <f t="shared" si="93"/>
        <v>84000</v>
      </c>
      <c r="P1002" s="2" t="s">
        <v>29</v>
      </c>
      <c r="Q1002" s="10" t="str">
        <f>VLOOKUP(A1002,Status!A:B,2,0)</f>
        <v>Completed</v>
      </c>
      <c r="R1002" s="2" t="s">
        <v>82</v>
      </c>
      <c r="S1002" s="2">
        <v>1</v>
      </c>
      <c r="T1002" s="2" t="s">
        <v>24</v>
      </c>
      <c r="U1002" s="10" t="str">
        <f t="shared" si="95"/>
        <v>Jul</v>
      </c>
      <c r="V1002" s="10">
        <f t="shared" si="94"/>
        <v>2025</v>
      </c>
      <c r="W1002" t="e" cm="1">
        <f t="array" ref="W1002">_xlfn.IFS(U1002="January",1,U1002="February",2,U1002="March",3,U1002="April",4,U1002="May",5,U1002="June",6,U1002="July",7,U1002="August",8,U1002="September",9,U1002="October",10,U1002="November",11,U1002="December",12)</f>
        <v>#N/A</v>
      </c>
    </row>
    <row r="1003" spans="1:23" ht="15.75" customHeight="1" x14ac:dyDescent="0.25">
      <c r="A1003" s="2" t="s">
        <v>1944</v>
      </c>
      <c r="B1003" s="3">
        <v>45841.435023148151</v>
      </c>
      <c r="C1003" s="2" t="s">
        <v>589</v>
      </c>
      <c r="D1003" s="2" t="s">
        <v>262</v>
      </c>
      <c r="E1003" s="2" t="s">
        <v>174</v>
      </c>
      <c r="F1003" s="2" t="str" cm="1">
        <f t="array" ref="F1003:G1003">_xlfn.TEXTSPLIT(E1003," - ")</f>
        <v>Tepung Terigu</v>
      </c>
      <c r="G1003" s="2" t="str">
        <v>Brand A</v>
      </c>
      <c r="H1003" s="5">
        <v>10000</v>
      </c>
      <c r="I1003" s="2">
        <v>4</v>
      </c>
      <c r="J1003" s="2">
        <v>5</v>
      </c>
      <c r="K1003" s="8">
        <f t="shared" si="90"/>
        <v>40000</v>
      </c>
      <c r="L1003" s="8">
        <f t="shared" si="91"/>
        <v>2000</v>
      </c>
      <c r="M1003" s="8">
        <f t="shared" si="92"/>
        <v>38000</v>
      </c>
      <c r="N1003" s="5">
        <v>18000</v>
      </c>
      <c r="O1003" s="8">
        <f t="shared" si="93"/>
        <v>56000</v>
      </c>
      <c r="P1003" s="2" t="s">
        <v>35</v>
      </c>
      <c r="Q1003" s="10" t="str">
        <f>VLOOKUP(A1003,Status!A:B,2,0)</f>
        <v>Completed</v>
      </c>
      <c r="R1003" s="2" t="s">
        <v>36</v>
      </c>
      <c r="S1003" s="2">
        <v>4</v>
      </c>
      <c r="T1003" s="2" t="s">
        <v>37</v>
      </c>
      <c r="U1003" s="10" t="str">
        <f t="shared" si="95"/>
        <v>Jul</v>
      </c>
      <c r="V1003" s="10">
        <f t="shared" si="94"/>
        <v>2025</v>
      </c>
      <c r="W1003" t="e" cm="1">
        <f t="array" ref="W1003">_xlfn.IFS(U1003="January",1,U1003="February",2,U1003="March",3,U1003="April",4,U1003="May",5,U1003="June",6,U1003="July",7,U1003="August",8,U1003="September",9,U1003="October",10,U1003="November",11,U1003="December",12)</f>
        <v>#N/A</v>
      </c>
    </row>
    <row r="1004" spans="1:23" ht="15.75" customHeight="1" x14ac:dyDescent="0.25">
      <c r="A1004" s="2" t="s">
        <v>1944</v>
      </c>
      <c r="B1004" s="3">
        <v>45841.435023148151</v>
      </c>
      <c r="C1004" s="2" t="s">
        <v>589</v>
      </c>
      <c r="D1004" s="2" t="s">
        <v>262</v>
      </c>
      <c r="E1004" s="2" t="s">
        <v>93</v>
      </c>
      <c r="F1004" s="2" t="str" cm="1">
        <f t="array" ref="F1004:G1004">_xlfn.TEXTSPLIT(E1004," - ")</f>
        <v>Telur Ayam</v>
      </c>
      <c r="G1004" s="2" t="str">
        <v>Brand B</v>
      </c>
      <c r="H1004" s="5">
        <v>25000</v>
      </c>
      <c r="I1004" s="2">
        <v>5</v>
      </c>
      <c r="J1004" s="2">
        <v>0</v>
      </c>
      <c r="K1004" s="8">
        <f t="shared" si="90"/>
        <v>125000</v>
      </c>
      <c r="L1004" s="8">
        <f t="shared" si="91"/>
        <v>0</v>
      </c>
      <c r="M1004" s="8">
        <f t="shared" si="92"/>
        <v>125000</v>
      </c>
      <c r="N1004" s="5">
        <v>0</v>
      </c>
      <c r="O1004" s="8">
        <f t="shared" si="93"/>
        <v>125000</v>
      </c>
      <c r="P1004" s="2" t="s">
        <v>35</v>
      </c>
      <c r="Q1004" s="10" t="str">
        <f>VLOOKUP(A1004,Status!A:B,2,0)</f>
        <v>Completed</v>
      </c>
      <c r="R1004" s="2" t="s">
        <v>36</v>
      </c>
      <c r="S1004" s="2">
        <v>4</v>
      </c>
      <c r="T1004" s="2" t="s">
        <v>37</v>
      </c>
      <c r="U1004" s="10" t="str">
        <f t="shared" si="95"/>
        <v>Jul</v>
      </c>
      <c r="V1004" s="10">
        <f t="shared" si="94"/>
        <v>2025</v>
      </c>
      <c r="W1004" t="e" cm="1">
        <f t="array" ref="W1004">_xlfn.IFS(U1004="January",1,U1004="February",2,U1004="March",3,U1004="April",4,U1004="May",5,U1004="June",6,U1004="July",7,U1004="August",8,U1004="September",9,U1004="October",10,U1004="November",11,U1004="December",12)</f>
        <v>#N/A</v>
      </c>
    </row>
    <row r="1005" spans="1:23" ht="15.75" customHeight="1" x14ac:dyDescent="0.25">
      <c r="A1005" s="2" t="s">
        <v>1945</v>
      </c>
      <c r="B1005" s="3">
        <v>45841.462708333333</v>
      </c>
      <c r="C1005" s="2" t="s">
        <v>644</v>
      </c>
      <c r="D1005" s="2" t="s">
        <v>244</v>
      </c>
      <c r="E1005" s="2" t="s">
        <v>144</v>
      </c>
      <c r="F1005" s="2" t="str" cm="1">
        <f t="array" ref="F1005:G1005">_xlfn.TEXTSPLIT(E1005," - ")</f>
        <v>Gula Pasir</v>
      </c>
      <c r="G1005" s="2" t="str">
        <v>Brand C</v>
      </c>
      <c r="H1005" s="5">
        <v>18000</v>
      </c>
      <c r="I1005" s="2">
        <v>1</v>
      </c>
      <c r="J1005" s="2">
        <v>20</v>
      </c>
      <c r="K1005" s="8">
        <f t="shared" si="90"/>
        <v>18000</v>
      </c>
      <c r="L1005" s="8">
        <f t="shared" si="91"/>
        <v>3600</v>
      </c>
      <c r="M1005" s="8">
        <f t="shared" si="92"/>
        <v>14400</v>
      </c>
      <c r="N1005" s="5">
        <v>80000</v>
      </c>
      <c r="O1005" s="8">
        <f t="shared" si="93"/>
        <v>94400</v>
      </c>
      <c r="P1005" s="2" t="s">
        <v>63</v>
      </c>
      <c r="Q1005" s="10" t="str">
        <f>VLOOKUP(A1005,Status!A:B,2,0)</f>
        <v>Completed</v>
      </c>
      <c r="R1005" s="2" t="s">
        <v>30</v>
      </c>
      <c r="S1005" s="2">
        <v>1</v>
      </c>
      <c r="T1005" s="2" t="s">
        <v>24</v>
      </c>
      <c r="U1005" s="10" t="str">
        <f t="shared" si="95"/>
        <v>Jul</v>
      </c>
      <c r="V1005" s="10">
        <f t="shared" si="94"/>
        <v>2025</v>
      </c>
      <c r="W1005" t="e" cm="1">
        <f t="array" ref="W1005">_xlfn.IFS(U1005="January",1,U1005="February",2,U1005="March",3,U1005="April",4,U1005="May",5,U1005="June",6,U1005="July",7,U1005="August",8,U1005="September",9,U1005="October",10,U1005="November",11,U1005="December",12)</f>
        <v>#N/A</v>
      </c>
    </row>
    <row r="1006" spans="1:23" ht="15.75" customHeight="1" x14ac:dyDescent="0.25">
      <c r="A1006" s="2" t="s">
        <v>1946</v>
      </c>
      <c r="B1006" s="3">
        <v>45841.764409722222</v>
      </c>
      <c r="C1006" s="2" t="s">
        <v>377</v>
      </c>
      <c r="D1006" s="2" t="s">
        <v>182</v>
      </c>
      <c r="E1006" s="2" t="s">
        <v>88</v>
      </c>
      <c r="F1006" s="2" t="str" cm="1">
        <f t="array" ref="F1006:G1006">_xlfn.TEXTSPLIT(E1006," - ")</f>
        <v>Beras</v>
      </c>
      <c r="G1006" s="2" t="str">
        <v>Brand A</v>
      </c>
      <c r="H1006" s="5">
        <v>14000</v>
      </c>
      <c r="I1006" s="2">
        <v>3</v>
      </c>
      <c r="J1006" s="2">
        <v>0</v>
      </c>
      <c r="K1006" s="8">
        <f t="shared" si="90"/>
        <v>42000</v>
      </c>
      <c r="L1006" s="8">
        <f t="shared" si="91"/>
        <v>0</v>
      </c>
      <c r="M1006" s="8">
        <f t="shared" si="92"/>
        <v>42000</v>
      </c>
      <c r="N1006" s="5">
        <v>48000</v>
      </c>
      <c r="O1006" s="8">
        <f t="shared" si="93"/>
        <v>90000</v>
      </c>
      <c r="P1006" s="2" t="s">
        <v>22</v>
      </c>
      <c r="Q1006" s="10" t="str">
        <f>VLOOKUP(A1006,Status!A:B,2,0)</f>
        <v>Completed</v>
      </c>
      <c r="R1006" s="2" t="s">
        <v>36</v>
      </c>
      <c r="S1006" s="2">
        <v>1</v>
      </c>
      <c r="T1006" s="2" t="s">
        <v>24</v>
      </c>
      <c r="U1006" s="10" t="str">
        <f t="shared" si="95"/>
        <v>Jul</v>
      </c>
      <c r="V1006" s="10">
        <f t="shared" si="94"/>
        <v>2025</v>
      </c>
      <c r="W1006" t="e" cm="1">
        <f t="array" ref="W1006">_xlfn.IFS(U1006="January",1,U1006="February",2,U1006="March",3,U1006="April",4,U1006="May",5,U1006="June",6,U1006="July",7,U1006="August",8,U1006="September",9,U1006="October",10,U1006="November",11,U1006="December",12)</f>
        <v>#N/A</v>
      </c>
    </row>
    <row r="1007" spans="1:23" ht="15.75" customHeight="1" x14ac:dyDescent="0.25">
      <c r="A1007" s="2" t="s">
        <v>1947</v>
      </c>
      <c r="B1007" s="3">
        <v>45841.9294212963</v>
      </c>
      <c r="C1007" s="2" t="s">
        <v>246</v>
      </c>
      <c r="D1007" s="2" t="s">
        <v>238</v>
      </c>
      <c r="E1007" s="2" t="s">
        <v>88</v>
      </c>
      <c r="F1007" s="2" t="str" cm="1">
        <f t="array" ref="F1007:G1007">_xlfn.TEXTSPLIT(E1007," - ")</f>
        <v>Beras</v>
      </c>
      <c r="G1007" s="2" t="str">
        <v>Brand A</v>
      </c>
      <c r="H1007" s="5">
        <v>14000</v>
      </c>
      <c r="I1007" s="2">
        <v>4</v>
      </c>
      <c r="J1007" s="2">
        <v>5</v>
      </c>
      <c r="K1007" s="8">
        <f t="shared" si="90"/>
        <v>56000</v>
      </c>
      <c r="L1007" s="8">
        <f t="shared" si="91"/>
        <v>2800</v>
      </c>
      <c r="M1007" s="8">
        <f t="shared" si="92"/>
        <v>53200</v>
      </c>
      <c r="N1007" s="5">
        <v>28000</v>
      </c>
      <c r="O1007" s="8">
        <f t="shared" si="93"/>
        <v>81200</v>
      </c>
      <c r="P1007" s="2" t="s">
        <v>22</v>
      </c>
      <c r="Q1007" s="10" t="str">
        <f>VLOOKUP(A1007,Status!A:B,2,0)</f>
        <v>Completed</v>
      </c>
      <c r="R1007" s="2" t="s">
        <v>36</v>
      </c>
      <c r="S1007" s="2">
        <v>5</v>
      </c>
      <c r="T1007" s="2" t="s">
        <v>24</v>
      </c>
      <c r="U1007" s="10" t="str">
        <f t="shared" si="95"/>
        <v>Jul</v>
      </c>
      <c r="V1007" s="10">
        <f t="shared" si="94"/>
        <v>2025</v>
      </c>
      <c r="W1007" t="e" cm="1">
        <f t="array" ref="W1007">_xlfn.IFS(U1007="January",1,U1007="February",2,U1007="March",3,U1007="April",4,U1007="May",5,U1007="June",6,U1007="July",7,U1007="August",8,U1007="September",9,U1007="October",10,U1007="November",11,U1007="December",12)</f>
        <v>#N/A</v>
      </c>
    </row>
    <row r="1008" spans="1:23" ht="15.75" customHeight="1" x14ac:dyDescent="0.25">
      <c r="A1008" s="2" t="s">
        <v>1948</v>
      </c>
      <c r="B1008" s="3">
        <v>45842.011111111111</v>
      </c>
      <c r="C1008" s="2" t="s">
        <v>425</v>
      </c>
      <c r="D1008" s="2" t="s">
        <v>44</v>
      </c>
      <c r="E1008" s="2" t="s">
        <v>93</v>
      </c>
      <c r="F1008" s="2" t="str" cm="1">
        <f t="array" ref="F1008:G1008">_xlfn.TEXTSPLIT(E1008," - ")</f>
        <v>Telur Ayam</v>
      </c>
      <c r="G1008" s="2" t="str">
        <v>Brand B</v>
      </c>
      <c r="H1008" s="5">
        <v>25000</v>
      </c>
      <c r="I1008" s="2">
        <v>4</v>
      </c>
      <c r="J1008" s="2">
        <v>0</v>
      </c>
      <c r="K1008" s="8">
        <f t="shared" si="90"/>
        <v>100000</v>
      </c>
      <c r="L1008" s="8">
        <f t="shared" si="91"/>
        <v>0</v>
      </c>
      <c r="M1008" s="8">
        <f t="shared" si="92"/>
        <v>100000</v>
      </c>
      <c r="N1008" s="5">
        <v>93000</v>
      </c>
      <c r="O1008" s="8">
        <f t="shared" si="93"/>
        <v>193000</v>
      </c>
      <c r="P1008" s="2" t="s">
        <v>22</v>
      </c>
      <c r="Q1008" s="10" t="str">
        <f>VLOOKUP(A1008,Status!A:B,2,0)</f>
        <v>Completed</v>
      </c>
      <c r="R1008" s="2" t="s">
        <v>30</v>
      </c>
      <c r="S1008" s="2">
        <v>2</v>
      </c>
      <c r="T1008" s="2" t="s">
        <v>37</v>
      </c>
      <c r="U1008" s="10" t="str">
        <f t="shared" si="95"/>
        <v>Jul</v>
      </c>
      <c r="V1008" s="10">
        <f t="shared" si="94"/>
        <v>2025</v>
      </c>
      <c r="W1008" t="e" cm="1">
        <f t="array" ref="W1008">_xlfn.IFS(U1008="January",1,U1008="February",2,U1008="March",3,U1008="April",4,U1008="May",5,U1008="June",6,U1008="July",7,U1008="August",8,U1008="September",9,U1008="October",10,U1008="November",11,U1008="December",12)</f>
        <v>#N/A</v>
      </c>
    </row>
    <row r="1009" spans="1:23" ht="15.75" customHeight="1" x14ac:dyDescent="0.25">
      <c r="A1009" s="2" t="s">
        <v>1949</v>
      </c>
      <c r="B1009" s="3">
        <v>45842.195590277777</v>
      </c>
      <c r="C1009" s="2" t="s">
        <v>48</v>
      </c>
      <c r="D1009" s="2" t="s">
        <v>49</v>
      </c>
      <c r="E1009" s="2" t="s">
        <v>67</v>
      </c>
      <c r="F1009" s="2" t="str" cm="1">
        <f t="array" ref="F1009:G1009">_xlfn.TEXTSPLIT(E1009," - ")</f>
        <v>Beras</v>
      </c>
      <c r="G1009" s="2" t="str">
        <v>Brand B</v>
      </c>
      <c r="H1009" s="5">
        <v>15000</v>
      </c>
      <c r="I1009" s="2">
        <v>3</v>
      </c>
      <c r="J1009" s="2">
        <v>15</v>
      </c>
      <c r="K1009" s="8">
        <f t="shared" si="90"/>
        <v>45000</v>
      </c>
      <c r="L1009" s="8">
        <f t="shared" si="91"/>
        <v>6750</v>
      </c>
      <c r="M1009" s="8">
        <f t="shared" si="92"/>
        <v>38250</v>
      </c>
      <c r="N1009" s="5">
        <v>43000</v>
      </c>
      <c r="O1009" s="8">
        <f t="shared" si="93"/>
        <v>81250</v>
      </c>
      <c r="P1009" s="2" t="s">
        <v>63</v>
      </c>
      <c r="Q1009" s="10" t="str">
        <f>VLOOKUP(A1009,Status!A:B,2,0)</f>
        <v>Returned</v>
      </c>
      <c r="R1009" s="2" t="s">
        <v>30</v>
      </c>
      <c r="S1009" s="2">
        <v>1</v>
      </c>
      <c r="T1009" s="2" t="s">
        <v>24</v>
      </c>
      <c r="U1009" s="10" t="str">
        <f t="shared" si="95"/>
        <v>Jul</v>
      </c>
      <c r="V1009" s="10">
        <f t="shared" si="94"/>
        <v>2025</v>
      </c>
      <c r="W1009" t="e" cm="1">
        <f t="array" ref="W1009">_xlfn.IFS(U1009="January",1,U1009="February",2,U1009="March",3,U1009="April",4,U1009="May",5,U1009="June",6,U1009="July",7,U1009="August",8,U1009="September",9,U1009="October",10,U1009="November",11,U1009="December",12)</f>
        <v>#N/A</v>
      </c>
    </row>
    <row r="1010" spans="1:23" ht="15.75" customHeight="1" x14ac:dyDescent="0.25">
      <c r="A1010" s="2" t="s">
        <v>1950</v>
      </c>
      <c r="B1010" s="3">
        <v>45842.215555555558</v>
      </c>
      <c r="C1010" s="2" t="s">
        <v>1624</v>
      </c>
      <c r="D1010" s="2" t="s">
        <v>33</v>
      </c>
      <c r="E1010" s="2" t="s">
        <v>81</v>
      </c>
      <c r="F1010" s="2" t="str" cm="1">
        <f t="array" ref="F1010:G1010">_xlfn.TEXTSPLIT(E1010," - ")</f>
        <v>Minyak Goreng</v>
      </c>
      <c r="G1010" s="2" t="str">
        <v>Brand B</v>
      </c>
      <c r="H1010" s="5">
        <v>17000</v>
      </c>
      <c r="I1010" s="2">
        <v>5</v>
      </c>
      <c r="J1010" s="2">
        <v>20</v>
      </c>
      <c r="K1010" s="8">
        <f t="shared" si="90"/>
        <v>85000</v>
      </c>
      <c r="L1010" s="8">
        <f t="shared" si="91"/>
        <v>17000</v>
      </c>
      <c r="M1010" s="8">
        <f t="shared" si="92"/>
        <v>68000</v>
      </c>
      <c r="N1010" s="5">
        <v>76000</v>
      </c>
      <c r="O1010" s="8">
        <f t="shared" si="93"/>
        <v>144000</v>
      </c>
      <c r="P1010" s="2" t="s">
        <v>35</v>
      </c>
      <c r="Q1010" s="10" t="str">
        <f>VLOOKUP(A1010,Status!A:B,2,0)</f>
        <v>Returned</v>
      </c>
      <c r="R1010" s="2" t="s">
        <v>36</v>
      </c>
      <c r="S1010" s="2">
        <v>2</v>
      </c>
      <c r="T1010" s="2" t="s">
        <v>24</v>
      </c>
      <c r="U1010" s="10" t="str">
        <f t="shared" si="95"/>
        <v>Jul</v>
      </c>
      <c r="V1010" s="10">
        <f t="shared" si="94"/>
        <v>2025</v>
      </c>
      <c r="W1010" t="e" cm="1">
        <f t="array" ref="W1010">_xlfn.IFS(U1010="January",1,U1010="February",2,U1010="March",3,U1010="April",4,U1010="May",5,U1010="June",6,U1010="July",7,U1010="August",8,U1010="September",9,U1010="October",10,U1010="November",11,U1010="December",12)</f>
        <v>#N/A</v>
      </c>
    </row>
    <row r="1011" spans="1:23" ht="15.75" customHeight="1" x14ac:dyDescent="0.25">
      <c r="A1011" s="2" t="s">
        <v>1951</v>
      </c>
      <c r="B1011" s="3">
        <v>45842.227025462962</v>
      </c>
      <c r="C1011" s="2" t="s">
        <v>699</v>
      </c>
      <c r="D1011" s="2" t="s">
        <v>238</v>
      </c>
      <c r="E1011" s="2" t="s">
        <v>123</v>
      </c>
      <c r="F1011" s="2" t="str" cm="1">
        <f t="array" ref="F1011:G1011">_xlfn.TEXTSPLIT(E1011," - ")</f>
        <v>Telur Ayam</v>
      </c>
      <c r="G1011" s="2" t="str">
        <v>Brand A</v>
      </c>
      <c r="H1011" s="5">
        <v>22000</v>
      </c>
      <c r="I1011" s="2">
        <v>3</v>
      </c>
      <c r="J1011" s="2">
        <v>15</v>
      </c>
      <c r="K1011" s="8">
        <f t="shared" si="90"/>
        <v>66000</v>
      </c>
      <c r="L1011" s="8">
        <f t="shared" si="91"/>
        <v>9900</v>
      </c>
      <c r="M1011" s="8">
        <f t="shared" si="92"/>
        <v>56100</v>
      </c>
      <c r="N1011" s="5">
        <v>28000</v>
      </c>
      <c r="O1011" s="8">
        <f t="shared" si="93"/>
        <v>84100</v>
      </c>
      <c r="P1011" s="2" t="s">
        <v>22</v>
      </c>
      <c r="Q1011" s="10" t="str">
        <f>VLOOKUP(A1011,Status!A:B,2,0)</f>
        <v>Completed</v>
      </c>
      <c r="R1011" s="2" t="s">
        <v>82</v>
      </c>
      <c r="S1011" s="2">
        <v>5</v>
      </c>
      <c r="T1011" s="2" t="s">
        <v>37</v>
      </c>
      <c r="U1011" s="10" t="str">
        <f t="shared" si="95"/>
        <v>Jul</v>
      </c>
      <c r="V1011" s="10">
        <f t="shared" si="94"/>
        <v>2025</v>
      </c>
      <c r="W1011" t="e" cm="1">
        <f t="array" ref="W1011">_xlfn.IFS(U1011="January",1,U1011="February",2,U1011="March",3,U1011="April",4,U1011="May",5,U1011="June",6,U1011="July",7,U1011="August",8,U1011="September",9,U1011="October",10,U1011="November",11,U1011="December",12)</f>
        <v>#N/A</v>
      </c>
    </row>
    <row r="1012" spans="1:23" ht="15.75" customHeight="1" x14ac:dyDescent="0.25">
      <c r="A1012" s="2" t="s">
        <v>1952</v>
      </c>
      <c r="B1012" s="3">
        <v>45842.25236111111</v>
      </c>
      <c r="C1012" s="2" t="s">
        <v>821</v>
      </c>
      <c r="D1012" s="2" t="s">
        <v>131</v>
      </c>
      <c r="E1012" s="2" t="s">
        <v>34</v>
      </c>
      <c r="F1012" s="2" t="str" cm="1">
        <f t="array" ref="F1012:G1012">_xlfn.TEXTSPLIT(E1012," - ")</f>
        <v>Minyak Goreng</v>
      </c>
      <c r="G1012" s="2" t="str">
        <v>Brand A</v>
      </c>
      <c r="H1012" s="5">
        <v>16000</v>
      </c>
      <c r="I1012" s="2">
        <v>3</v>
      </c>
      <c r="J1012" s="2">
        <v>0</v>
      </c>
      <c r="K1012" s="8">
        <f t="shared" si="90"/>
        <v>48000</v>
      </c>
      <c r="L1012" s="8">
        <f t="shared" si="91"/>
        <v>0</v>
      </c>
      <c r="M1012" s="8">
        <f t="shared" si="92"/>
        <v>48000</v>
      </c>
      <c r="N1012" s="5">
        <v>59000</v>
      </c>
      <c r="O1012" s="8">
        <f t="shared" si="93"/>
        <v>107000</v>
      </c>
      <c r="P1012" s="2" t="s">
        <v>63</v>
      </c>
      <c r="Q1012" s="10" t="str">
        <f>VLOOKUP(A1012,Status!A:B,2,0)</f>
        <v>Completed</v>
      </c>
      <c r="R1012" s="2" t="s">
        <v>23</v>
      </c>
      <c r="S1012" s="2">
        <v>4</v>
      </c>
      <c r="T1012" s="2" t="s">
        <v>24</v>
      </c>
      <c r="U1012" s="10" t="str">
        <f t="shared" si="95"/>
        <v>Jul</v>
      </c>
      <c r="V1012" s="10">
        <f t="shared" si="94"/>
        <v>2025</v>
      </c>
      <c r="W1012" t="e" cm="1">
        <f t="array" ref="W1012">_xlfn.IFS(U1012="January",1,U1012="February",2,U1012="March",3,U1012="April",4,U1012="May",5,U1012="June",6,U1012="July",7,U1012="August",8,U1012="September",9,U1012="October",10,U1012="November",11,U1012="December",12)</f>
        <v>#N/A</v>
      </c>
    </row>
    <row r="1013" spans="1:23" ht="15.75" customHeight="1" x14ac:dyDescent="0.25">
      <c r="A1013" s="2" t="s">
        <v>1953</v>
      </c>
      <c r="B1013" s="3">
        <v>45842.444062499999</v>
      </c>
      <c r="C1013" s="2" t="s">
        <v>246</v>
      </c>
      <c r="D1013" s="2" t="s">
        <v>238</v>
      </c>
      <c r="E1013" s="2" t="s">
        <v>50</v>
      </c>
      <c r="F1013" s="2" t="str" cm="1">
        <f t="array" ref="F1013:G1013">_xlfn.TEXTSPLIT(E1013," - ")</f>
        <v>Tepung Terigu</v>
      </c>
      <c r="G1013" s="2" t="str">
        <v>Brand C</v>
      </c>
      <c r="H1013" s="5">
        <v>14000</v>
      </c>
      <c r="I1013" s="2">
        <v>2</v>
      </c>
      <c r="J1013" s="2">
        <v>15</v>
      </c>
      <c r="K1013" s="8">
        <f t="shared" si="90"/>
        <v>28000</v>
      </c>
      <c r="L1013" s="8">
        <f t="shared" si="91"/>
        <v>4200</v>
      </c>
      <c r="M1013" s="8">
        <f t="shared" si="92"/>
        <v>23800</v>
      </c>
      <c r="N1013" s="5">
        <v>28000</v>
      </c>
      <c r="O1013" s="8">
        <f t="shared" si="93"/>
        <v>51800</v>
      </c>
      <c r="P1013" s="2" t="s">
        <v>22</v>
      </c>
      <c r="Q1013" s="10" t="str">
        <f>VLOOKUP(A1013,Status!A:B,2,0)</f>
        <v>Completed</v>
      </c>
      <c r="R1013" s="2" t="s">
        <v>30</v>
      </c>
      <c r="S1013" s="2">
        <v>5</v>
      </c>
      <c r="T1013" s="2" t="s">
        <v>24</v>
      </c>
      <c r="U1013" s="10" t="str">
        <f t="shared" si="95"/>
        <v>Jul</v>
      </c>
      <c r="V1013" s="10">
        <f t="shared" si="94"/>
        <v>2025</v>
      </c>
      <c r="W1013" t="e" cm="1">
        <f t="array" ref="W1013">_xlfn.IFS(U1013="January",1,U1013="February",2,U1013="March",3,U1013="April",4,U1013="May",5,U1013="June",6,U1013="July",7,U1013="August",8,U1013="September",9,U1013="October",10,U1013="November",11,U1013="December",12)</f>
        <v>#N/A</v>
      </c>
    </row>
    <row r="1014" spans="1:23" ht="15.75" customHeight="1" x14ac:dyDescent="0.25">
      <c r="A1014" s="2" t="s">
        <v>1954</v>
      </c>
      <c r="B1014" s="3">
        <v>45842.444108796299</v>
      </c>
      <c r="C1014" s="2" t="s">
        <v>216</v>
      </c>
      <c r="D1014" s="2" t="s">
        <v>143</v>
      </c>
      <c r="E1014" s="2" t="s">
        <v>88</v>
      </c>
      <c r="F1014" s="2" t="str" cm="1">
        <f t="array" ref="F1014:G1014">_xlfn.TEXTSPLIT(E1014," - ")</f>
        <v>Beras</v>
      </c>
      <c r="G1014" s="2" t="str">
        <v>Brand A</v>
      </c>
      <c r="H1014" s="5">
        <v>14000</v>
      </c>
      <c r="I1014" s="2">
        <v>2</v>
      </c>
      <c r="J1014" s="2">
        <v>10</v>
      </c>
      <c r="K1014" s="8">
        <f t="shared" si="90"/>
        <v>28000</v>
      </c>
      <c r="L1014" s="8">
        <f t="shared" si="91"/>
        <v>2800</v>
      </c>
      <c r="M1014" s="8">
        <f t="shared" si="92"/>
        <v>25200</v>
      </c>
      <c r="N1014" s="5">
        <v>50000</v>
      </c>
      <c r="O1014" s="8">
        <f t="shared" si="93"/>
        <v>75200</v>
      </c>
      <c r="P1014" s="2" t="s">
        <v>35</v>
      </c>
      <c r="Q1014" s="10" t="str">
        <f>VLOOKUP(A1014,Status!A:B,2,0)</f>
        <v>Completed</v>
      </c>
      <c r="R1014" s="2" t="s">
        <v>82</v>
      </c>
      <c r="S1014" s="2">
        <v>5</v>
      </c>
      <c r="T1014" s="2" t="s">
        <v>24</v>
      </c>
      <c r="U1014" s="10" t="str">
        <f t="shared" si="95"/>
        <v>Jul</v>
      </c>
      <c r="V1014" s="10">
        <f t="shared" si="94"/>
        <v>2025</v>
      </c>
      <c r="W1014" t="e" cm="1">
        <f t="array" ref="W1014">_xlfn.IFS(U1014="January",1,U1014="February",2,U1014="March",3,U1014="April",4,U1014="May",5,U1014="June",6,U1014="July",7,U1014="August",8,U1014="September",9,U1014="October",10,U1014="November",11,U1014="December",12)</f>
        <v>#N/A</v>
      </c>
    </row>
    <row r="1015" spans="1:23" ht="15.75" customHeight="1" x14ac:dyDescent="0.25">
      <c r="A1015" s="2" t="s">
        <v>1955</v>
      </c>
      <c r="B1015" s="3">
        <v>45842.601006944453</v>
      </c>
      <c r="C1015" s="2" t="s">
        <v>1424</v>
      </c>
      <c r="D1015" s="2" t="s">
        <v>296</v>
      </c>
      <c r="E1015" s="2" t="s">
        <v>174</v>
      </c>
      <c r="F1015" s="2" t="str" cm="1">
        <f t="array" ref="F1015:G1015">_xlfn.TEXTSPLIT(E1015," - ")</f>
        <v>Tepung Terigu</v>
      </c>
      <c r="G1015" s="2" t="str">
        <v>Brand A</v>
      </c>
      <c r="H1015" s="5">
        <v>10000</v>
      </c>
      <c r="I1015" s="2">
        <v>3</v>
      </c>
      <c r="J1015" s="2">
        <v>0</v>
      </c>
      <c r="K1015" s="8">
        <f t="shared" si="90"/>
        <v>30000</v>
      </c>
      <c r="L1015" s="8">
        <f t="shared" si="91"/>
        <v>0</v>
      </c>
      <c r="M1015" s="8">
        <f t="shared" si="92"/>
        <v>30000</v>
      </c>
      <c r="N1015" s="5">
        <v>79000</v>
      </c>
      <c r="O1015" s="8">
        <f t="shared" si="93"/>
        <v>109000</v>
      </c>
      <c r="P1015" s="2" t="s">
        <v>22</v>
      </c>
      <c r="Q1015" s="10" t="str">
        <f>VLOOKUP(A1015,Status!A:B,2,0)</f>
        <v>Completed</v>
      </c>
      <c r="R1015" s="2" t="s">
        <v>30</v>
      </c>
      <c r="S1015" s="2">
        <v>1</v>
      </c>
      <c r="T1015" s="2" t="s">
        <v>24</v>
      </c>
      <c r="U1015" s="10" t="str">
        <f t="shared" si="95"/>
        <v>Jul</v>
      </c>
      <c r="V1015" s="10">
        <f t="shared" si="94"/>
        <v>2025</v>
      </c>
      <c r="W1015" t="e" cm="1">
        <f t="array" ref="W1015">_xlfn.IFS(U1015="January",1,U1015="February",2,U1015="March",3,U1015="April",4,U1015="May",5,U1015="June",6,U1015="July",7,U1015="August",8,U1015="September",9,U1015="October",10,U1015="November",11,U1015="December",12)</f>
        <v>#N/A</v>
      </c>
    </row>
    <row r="1016" spans="1:23" ht="15.75" customHeight="1" x14ac:dyDescent="0.25">
      <c r="A1016" s="2" t="s">
        <v>1956</v>
      </c>
      <c r="B1016" s="3">
        <v>45842.943124999998</v>
      </c>
      <c r="C1016" s="2" t="s">
        <v>121</v>
      </c>
      <c r="D1016" s="2" t="s">
        <v>122</v>
      </c>
      <c r="E1016" s="2" t="s">
        <v>75</v>
      </c>
      <c r="F1016" s="2" t="str" cm="1">
        <f t="array" ref="F1016:G1016">_xlfn.TEXTSPLIT(E1016," - ")</f>
        <v>Susu Bubuk</v>
      </c>
      <c r="G1016" s="2" t="str">
        <v>Brand C</v>
      </c>
      <c r="H1016" s="5">
        <v>55000</v>
      </c>
      <c r="I1016" s="2">
        <v>2</v>
      </c>
      <c r="J1016" s="2">
        <v>0</v>
      </c>
      <c r="K1016" s="8">
        <f t="shared" si="90"/>
        <v>110000</v>
      </c>
      <c r="L1016" s="8">
        <f t="shared" si="91"/>
        <v>0</v>
      </c>
      <c r="M1016" s="8">
        <f t="shared" si="92"/>
        <v>110000</v>
      </c>
      <c r="N1016" s="5">
        <v>78000</v>
      </c>
      <c r="O1016" s="8">
        <f t="shared" si="93"/>
        <v>188000</v>
      </c>
      <c r="P1016" s="2" t="s">
        <v>29</v>
      </c>
      <c r="Q1016" s="10" t="str">
        <f>VLOOKUP(A1016,Status!A:B,2,0)</f>
        <v>Completed</v>
      </c>
      <c r="R1016" s="2" t="s">
        <v>82</v>
      </c>
      <c r="S1016" s="2">
        <v>1</v>
      </c>
      <c r="T1016" s="2" t="s">
        <v>24</v>
      </c>
      <c r="U1016" s="10" t="str">
        <f t="shared" si="95"/>
        <v>Jul</v>
      </c>
      <c r="V1016" s="10">
        <f t="shared" si="94"/>
        <v>2025</v>
      </c>
      <c r="W1016" t="e" cm="1">
        <f t="array" ref="W1016">_xlfn.IFS(U1016="January",1,U1016="February",2,U1016="March",3,U1016="April",4,U1016="May",5,U1016="June",6,U1016="July",7,U1016="August",8,U1016="September",9,U1016="October",10,U1016="November",11,U1016="December",12)</f>
        <v>#N/A</v>
      </c>
    </row>
    <row r="1017" spans="1:23" ht="15.75" customHeight="1" x14ac:dyDescent="0.25">
      <c r="A1017" s="2" t="s">
        <v>1957</v>
      </c>
      <c r="B1017" s="3">
        <v>45843.090069444443</v>
      </c>
      <c r="C1017" s="2" t="s">
        <v>359</v>
      </c>
      <c r="D1017" s="2" t="s">
        <v>70</v>
      </c>
      <c r="E1017" s="2" t="s">
        <v>123</v>
      </c>
      <c r="F1017" s="2" t="str" cm="1">
        <f t="array" ref="F1017:G1017">_xlfn.TEXTSPLIT(E1017," - ")</f>
        <v>Telur Ayam</v>
      </c>
      <c r="G1017" s="2" t="str">
        <v>Brand A</v>
      </c>
      <c r="H1017" s="5">
        <v>22000</v>
      </c>
      <c r="I1017" s="2">
        <v>5</v>
      </c>
      <c r="J1017" s="2">
        <v>0</v>
      </c>
      <c r="K1017" s="8">
        <f t="shared" si="90"/>
        <v>110000</v>
      </c>
      <c r="L1017" s="8">
        <f t="shared" si="91"/>
        <v>0</v>
      </c>
      <c r="M1017" s="8">
        <f t="shared" si="92"/>
        <v>110000</v>
      </c>
      <c r="N1017" s="5">
        <v>89000</v>
      </c>
      <c r="O1017" s="8">
        <f t="shared" si="93"/>
        <v>199000</v>
      </c>
      <c r="P1017" s="2" t="s">
        <v>35</v>
      </c>
      <c r="Q1017" s="10" t="str">
        <f>VLOOKUP(A1017,Status!A:B,2,0)</f>
        <v>Returned</v>
      </c>
      <c r="R1017" s="2" t="s">
        <v>82</v>
      </c>
      <c r="S1017" s="2">
        <v>2</v>
      </c>
      <c r="T1017" s="2" t="s">
        <v>24</v>
      </c>
      <c r="U1017" s="10" t="str">
        <f t="shared" si="95"/>
        <v>Jul</v>
      </c>
      <c r="V1017" s="10">
        <f t="shared" si="94"/>
        <v>2025</v>
      </c>
      <c r="W1017" t="e" cm="1">
        <f t="array" ref="W1017">_xlfn.IFS(U1017="January",1,U1017="February",2,U1017="March",3,U1017="April",4,U1017="May",5,U1017="June",6,U1017="July",7,U1017="August",8,U1017="September",9,U1017="October",10,U1017="November",11,U1017="December",12)</f>
        <v>#N/A</v>
      </c>
    </row>
    <row r="1018" spans="1:23" ht="15.75" customHeight="1" x14ac:dyDescent="0.25">
      <c r="A1018" s="2" t="s">
        <v>1958</v>
      </c>
      <c r="B1018" s="3">
        <v>45843.655636574083</v>
      </c>
      <c r="C1018" s="2" t="s">
        <v>1654</v>
      </c>
      <c r="D1018" s="2" t="s">
        <v>74</v>
      </c>
      <c r="E1018" s="2" t="s">
        <v>34</v>
      </c>
      <c r="F1018" s="2" t="str" cm="1">
        <f t="array" ref="F1018:G1018">_xlfn.TEXTSPLIT(E1018," - ")</f>
        <v>Minyak Goreng</v>
      </c>
      <c r="G1018" s="2" t="str">
        <v>Brand A</v>
      </c>
      <c r="H1018" s="5">
        <v>16000</v>
      </c>
      <c r="I1018" s="2">
        <v>2</v>
      </c>
      <c r="J1018" s="2">
        <v>0</v>
      </c>
      <c r="K1018" s="8">
        <f t="shared" si="90"/>
        <v>32000</v>
      </c>
      <c r="L1018" s="8">
        <f t="shared" si="91"/>
        <v>0</v>
      </c>
      <c r="M1018" s="8">
        <f t="shared" si="92"/>
        <v>32000</v>
      </c>
      <c r="N1018" s="5">
        <v>87000</v>
      </c>
      <c r="O1018" s="8">
        <f t="shared" si="93"/>
        <v>119000</v>
      </c>
      <c r="P1018" s="2" t="s">
        <v>35</v>
      </c>
      <c r="Q1018" s="10" t="str">
        <f>VLOOKUP(A1018,Status!A:B,2,0)</f>
        <v>Returned</v>
      </c>
      <c r="R1018" s="2" t="s">
        <v>36</v>
      </c>
      <c r="S1018" s="2">
        <v>4</v>
      </c>
      <c r="T1018" s="2" t="s">
        <v>37</v>
      </c>
      <c r="U1018" s="10" t="str">
        <f t="shared" si="95"/>
        <v>Jul</v>
      </c>
      <c r="V1018" s="10">
        <f t="shared" si="94"/>
        <v>2025</v>
      </c>
      <c r="W1018" t="e" cm="1">
        <f t="array" ref="W1018">_xlfn.IFS(U1018="January",1,U1018="February",2,U1018="March",3,U1018="April",4,U1018="May",5,U1018="June",6,U1018="July",7,U1018="August",8,U1018="September",9,U1018="October",10,U1018="November",11,U1018="December",12)</f>
        <v>#N/A</v>
      </c>
    </row>
    <row r="1019" spans="1:23" ht="15.75" customHeight="1" x14ac:dyDescent="0.25">
      <c r="A1019" s="2" t="s">
        <v>1959</v>
      </c>
      <c r="B1019" s="3">
        <v>45843.706342592603</v>
      </c>
      <c r="C1019" s="2" t="s">
        <v>1278</v>
      </c>
      <c r="D1019" s="2" t="s">
        <v>74</v>
      </c>
      <c r="E1019" s="2" t="s">
        <v>71</v>
      </c>
      <c r="F1019" s="2" t="str" cm="1">
        <f t="array" ref="F1019:G1019">_xlfn.TEXTSPLIT(E1019," - ")</f>
        <v>Bawang Merah</v>
      </c>
      <c r="G1019" s="2" t="str">
        <v>Brand C</v>
      </c>
      <c r="H1019" s="5">
        <v>40000</v>
      </c>
      <c r="I1019" s="2">
        <v>5</v>
      </c>
      <c r="J1019" s="2">
        <v>15</v>
      </c>
      <c r="K1019" s="8">
        <f t="shared" si="90"/>
        <v>200000</v>
      </c>
      <c r="L1019" s="8">
        <f t="shared" si="91"/>
        <v>30000</v>
      </c>
      <c r="M1019" s="8">
        <f t="shared" si="92"/>
        <v>170000</v>
      </c>
      <c r="N1019" s="5">
        <v>87000</v>
      </c>
      <c r="O1019" s="8">
        <f t="shared" si="93"/>
        <v>257000</v>
      </c>
      <c r="P1019" s="2" t="s">
        <v>35</v>
      </c>
      <c r="Q1019" s="10" t="str">
        <f>VLOOKUP(A1019,Status!A:B,2,0)</f>
        <v>Returned</v>
      </c>
      <c r="R1019" s="2" t="s">
        <v>36</v>
      </c>
      <c r="S1019" s="2">
        <v>4</v>
      </c>
      <c r="T1019" s="2" t="s">
        <v>24</v>
      </c>
      <c r="U1019" s="10" t="str">
        <f t="shared" si="95"/>
        <v>Jul</v>
      </c>
      <c r="V1019" s="10">
        <f t="shared" si="94"/>
        <v>2025</v>
      </c>
      <c r="W1019" t="e" cm="1">
        <f t="array" ref="W1019">_xlfn.IFS(U1019="January",1,U1019="February",2,U1019="March",3,U1019="April",4,U1019="May",5,U1019="June",6,U1019="July",7,U1019="August",8,U1019="September",9,U1019="October",10,U1019="November",11,U1019="December",12)</f>
        <v>#N/A</v>
      </c>
    </row>
    <row r="1020" spans="1:23" ht="15.75" customHeight="1" x14ac:dyDescent="0.25">
      <c r="A1020" s="2" t="s">
        <v>1960</v>
      </c>
      <c r="B1020" s="3">
        <v>45844.037314814806</v>
      </c>
      <c r="C1020" s="2" t="s">
        <v>1083</v>
      </c>
      <c r="D1020" s="2" t="s">
        <v>170</v>
      </c>
      <c r="E1020" s="2" t="s">
        <v>110</v>
      </c>
      <c r="F1020" s="2" t="str" cm="1">
        <f t="array" ref="F1020:G1020">_xlfn.TEXTSPLIT(E1020," - ")</f>
        <v>Garam</v>
      </c>
      <c r="G1020" s="2" t="str">
        <v>Brand C</v>
      </c>
      <c r="H1020" s="5">
        <v>6000</v>
      </c>
      <c r="I1020" s="2">
        <v>1</v>
      </c>
      <c r="J1020" s="2">
        <v>15</v>
      </c>
      <c r="K1020" s="8">
        <f t="shared" si="90"/>
        <v>6000</v>
      </c>
      <c r="L1020" s="8">
        <f t="shared" si="91"/>
        <v>900</v>
      </c>
      <c r="M1020" s="8">
        <f t="shared" si="92"/>
        <v>5100</v>
      </c>
      <c r="N1020" s="5">
        <v>46000</v>
      </c>
      <c r="O1020" s="8">
        <f t="shared" si="93"/>
        <v>51100</v>
      </c>
      <c r="P1020" s="2" t="s">
        <v>35</v>
      </c>
      <c r="Q1020" s="10" t="str">
        <f>VLOOKUP(A1020,Status!A:B,2,0)</f>
        <v>Completed</v>
      </c>
      <c r="R1020" s="2" t="s">
        <v>82</v>
      </c>
      <c r="S1020" s="2">
        <v>5</v>
      </c>
      <c r="T1020" s="2" t="s">
        <v>24</v>
      </c>
      <c r="U1020" s="10" t="str">
        <f t="shared" si="95"/>
        <v>Jul</v>
      </c>
      <c r="V1020" s="10">
        <f t="shared" si="94"/>
        <v>2025</v>
      </c>
      <c r="W1020" t="e" cm="1">
        <f t="array" ref="W1020">_xlfn.IFS(U1020="January",1,U1020="February",2,U1020="March",3,U1020="April",4,U1020="May",5,U1020="June",6,U1020="July",7,U1020="August",8,U1020="September",9,U1020="October",10,U1020="November",11,U1020="December",12)</f>
        <v>#N/A</v>
      </c>
    </row>
    <row r="1021" spans="1:23" ht="15.75" customHeight="1" x14ac:dyDescent="0.25">
      <c r="A1021" s="2" t="s">
        <v>1961</v>
      </c>
      <c r="B1021" s="3">
        <v>45844.212384259263</v>
      </c>
      <c r="C1021" s="2" t="s">
        <v>289</v>
      </c>
      <c r="D1021" s="2" t="s">
        <v>20</v>
      </c>
      <c r="E1021" s="2" t="s">
        <v>71</v>
      </c>
      <c r="F1021" s="2" t="str" cm="1">
        <f t="array" ref="F1021:G1021">_xlfn.TEXTSPLIT(E1021," - ")</f>
        <v>Bawang Merah</v>
      </c>
      <c r="G1021" s="2" t="str">
        <v>Brand C</v>
      </c>
      <c r="H1021" s="5">
        <v>40000</v>
      </c>
      <c r="I1021" s="2">
        <v>1</v>
      </c>
      <c r="J1021" s="2">
        <v>0</v>
      </c>
      <c r="K1021" s="8">
        <f t="shared" si="90"/>
        <v>40000</v>
      </c>
      <c r="L1021" s="8">
        <f t="shared" si="91"/>
        <v>0</v>
      </c>
      <c r="M1021" s="8">
        <f t="shared" si="92"/>
        <v>40000</v>
      </c>
      <c r="N1021" s="5">
        <v>15000</v>
      </c>
      <c r="O1021" s="8">
        <f t="shared" si="93"/>
        <v>55000</v>
      </c>
      <c r="P1021" s="2" t="s">
        <v>63</v>
      </c>
      <c r="Q1021" s="10" t="str">
        <f>VLOOKUP(A1021,Status!A:B,2,0)</f>
        <v>Completed</v>
      </c>
      <c r="R1021" s="2" t="s">
        <v>36</v>
      </c>
      <c r="S1021" s="2">
        <v>1</v>
      </c>
      <c r="T1021" s="2" t="s">
        <v>24</v>
      </c>
      <c r="U1021" s="10" t="str">
        <f t="shared" si="95"/>
        <v>Jul</v>
      </c>
      <c r="V1021" s="10">
        <f t="shared" si="94"/>
        <v>2025</v>
      </c>
      <c r="W1021" t="e" cm="1">
        <f t="array" ref="W1021">_xlfn.IFS(U1021="January",1,U1021="February",2,U1021="March",3,U1021="April",4,U1021="May",5,U1021="June",6,U1021="July",7,U1021="August",8,U1021="September",9,U1021="October",10,U1021="November",11,U1021="December",12)</f>
        <v>#N/A</v>
      </c>
    </row>
    <row r="1022" spans="1:23" ht="15.75" customHeight="1" x14ac:dyDescent="0.25">
      <c r="A1022" s="2" t="s">
        <v>1962</v>
      </c>
      <c r="B1022" s="3">
        <v>45844.357835648138</v>
      </c>
      <c r="C1022" s="2" t="s">
        <v>201</v>
      </c>
      <c r="D1022" s="2" t="s">
        <v>107</v>
      </c>
      <c r="E1022" s="2" t="s">
        <v>38</v>
      </c>
      <c r="F1022" s="2" t="str" cm="1">
        <f t="array" ref="F1022:G1022">_xlfn.TEXTSPLIT(E1022," - ")</f>
        <v>Telur Ayam</v>
      </c>
      <c r="G1022" s="2" t="str">
        <v>Brand C</v>
      </c>
      <c r="H1022" s="5">
        <v>28000</v>
      </c>
      <c r="I1022" s="2">
        <v>5</v>
      </c>
      <c r="J1022" s="2">
        <v>15</v>
      </c>
      <c r="K1022" s="8">
        <f t="shared" si="90"/>
        <v>140000</v>
      </c>
      <c r="L1022" s="8">
        <f t="shared" si="91"/>
        <v>21000</v>
      </c>
      <c r="M1022" s="8">
        <f t="shared" si="92"/>
        <v>119000</v>
      </c>
      <c r="N1022" s="5">
        <v>97000</v>
      </c>
      <c r="O1022" s="8">
        <f t="shared" si="93"/>
        <v>216000</v>
      </c>
      <c r="P1022" s="2" t="s">
        <v>29</v>
      </c>
      <c r="Q1022" s="10" t="str">
        <f>VLOOKUP(A1022,Status!A:B,2,0)</f>
        <v>Completed</v>
      </c>
      <c r="R1022" s="2" t="s">
        <v>82</v>
      </c>
      <c r="S1022" s="2">
        <v>2</v>
      </c>
      <c r="T1022" s="2" t="s">
        <v>24</v>
      </c>
      <c r="U1022" s="10" t="str">
        <f t="shared" si="95"/>
        <v>Jul</v>
      </c>
      <c r="V1022" s="10">
        <f t="shared" si="94"/>
        <v>2025</v>
      </c>
      <c r="W1022" t="e" cm="1">
        <f t="array" ref="W1022">_xlfn.IFS(U1022="January",1,U1022="February",2,U1022="March",3,U1022="April",4,U1022="May",5,U1022="June",6,U1022="July",7,U1022="August",8,U1022="September",9,U1022="October",10,U1022="November",11,U1022="December",12)</f>
        <v>#N/A</v>
      </c>
    </row>
    <row r="1023" spans="1:23" ht="15.75" customHeight="1" x14ac:dyDescent="0.25">
      <c r="A1023" s="2" t="s">
        <v>1963</v>
      </c>
      <c r="B1023" s="3">
        <v>45844.525231481479</v>
      </c>
      <c r="C1023" s="2" t="s">
        <v>91</v>
      </c>
      <c r="D1023" s="2" t="s">
        <v>92</v>
      </c>
      <c r="E1023" s="2" t="s">
        <v>186</v>
      </c>
      <c r="F1023" s="2" t="str" cm="1">
        <f t="array" ref="F1023:G1023">_xlfn.TEXTSPLIT(E1023," - ")</f>
        <v>Susu Bubuk</v>
      </c>
      <c r="G1023" s="2" t="str">
        <v>Brand A</v>
      </c>
      <c r="H1023" s="5">
        <v>45000</v>
      </c>
      <c r="I1023" s="2">
        <v>1</v>
      </c>
      <c r="J1023" s="2">
        <v>15</v>
      </c>
      <c r="K1023" s="8">
        <f t="shared" si="90"/>
        <v>45000</v>
      </c>
      <c r="L1023" s="8">
        <f t="shared" si="91"/>
        <v>6750</v>
      </c>
      <c r="M1023" s="8">
        <f t="shared" si="92"/>
        <v>38250</v>
      </c>
      <c r="N1023" s="5">
        <v>30000</v>
      </c>
      <c r="O1023" s="8">
        <f t="shared" si="93"/>
        <v>68250</v>
      </c>
      <c r="P1023" s="2" t="s">
        <v>22</v>
      </c>
      <c r="Q1023" s="10" t="str">
        <f>VLOOKUP(A1023,Status!A:B,2,0)</f>
        <v>Completed</v>
      </c>
      <c r="R1023" s="2" t="s">
        <v>23</v>
      </c>
      <c r="S1023" s="2">
        <v>3</v>
      </c>
      <c r="T1023" s="2" t="s">
        <v>24</v>
      </c>
      <c r="U1023" s="10" t="str">
        <f t="shared" si="95"/>
        <v>Jul</v>
      </c>
      <c r="V1023" s="10">
        <f t="shared" si="94"/>
        <v>2025</v>
      </c>
      <c r="W1023" t="e" cm="1">
        <f t="array" ref="W1023">_xlfn.IFS(U1023="January",1,U1023="February",2,U1023="March",3,U1023="April",4,U1023="May",5,U1023="June",6,U1023="July",7,U1023="August",8,U1023="September",9,U1023="October",10,U1023="November",11,U1023="December",12)</f>
        <v>#N/A</v>
      </c>
    </row>
    <row r="1024" spans="1:23" ht="15.75" customHeight="1" x14ac:dyDescent="0.25">
      <c r="A1024" s="2" t="s">
        <v>1964</v>
      </c>
      <c r="B1024" s="3">
        <v>45845.04115740741</v>
      </c>
      <c r="C1024" s="2" t="s">
        <v>772</v>
      </c>
      <c r="D1024" s="2" t="s">
        <v>113</v>
      </c>
      <c r="E1024" s="2" t="s">
        <v>34</v>
      </c>
      <c r="F1024" s="2" t="str" cm="1">
        <f t="array" ref="F1024:G1024">_xlfn.TEXTSPLIT(E1024," - ")</f>
        <v>Minyak Goreng</v>
      </c>
      <c r="G1024" s="2" t="str">
        <v>Brand A</v>
      </c>
      <c r="H1024" s="5">
        <v>16000</v>
      </c>
      <c r="I1024" s="2">
        <v>3</v>
      </c>
      <c r="J1024" s="2">
        <v>20</v>
      </c>
      <c r="K1024" s="8">
        <f t="shared" si="90"/>
        <v>48000</v>
      </c>
      <c r="L1024" s="8">
        <f t="shared" si="91"/>
        <v>9600</v>
      </c>
      <c r="M1024" s="8">
        <f t="shared" si="92"/>
        <v>38400</v>
      </c>
      <c r="N1024" s="5">
        <v>18000</v>
      </c>
      <c r="O1024" s="8">
        <f t="shared" si="93"/>
        <v>56400</v>
      </c>
      <c r="P1024" s="2" t="s">
        <v>35</v>
      </c>
      <c r="Q1024" s="10" t="str">
        <f>VLOOKUP(A1024,Status!A:B,2,0)</f>
        <v>Completed</v>
      </c>
      <c r="R1024" s="2" t="s">
        <v>23</v>
      </c>
      <c r="S1024" s="2">
        <v>5</v>
      </c>
      <c r="T1024" s="2" t="s">
        <v>24</v>
      </c>
      <c r="U1024" s="10" t="str">
        <f t="shared" si="95"/>
        <v>Jul</v>
      </c>
      <c r="V1024" s="10">
        <f t="shared" si="94"/>
        <v>2025</v>
      </c>
      <c r="W1024" t="e" cm="1">
        <f t="array" ref="W1024">_xlfn.IFS(U1024="January",1,U1024="February",2,U1024="March",3,U1024="April",4,U1024="May",5,U1024="June",6,U1024="July",7,U1024="August",8,U1024="September",9,U1024="October",10,U1024="November",11,U1024="December",12)</f>
        <v>#N/A</v>
      </c>
    </row>
    <row r="1025" spans="1:23" ht="15.75" customHeight="1" x14ac:dyDescent="0.25">
      <c r="A1025" s="2" t="s">
        <v>1964</v>
      </c>
      <c r="B1025" s="3">
        <v>45845.04115740741</v>
      </c>
      <c r="C1025" s="2" t="s">
        <v>772</v>
      </c>
      <c r="D1025" s="2" t="s">
        <v>113</v>
      </c>
      <c r="E1025" s="2" t="s">
        <v>144</v>
      </c>
      <c r="F1025" s="2" t="str" cm="1">
        <f t="array" ref="F1025:G1025">_xlfn.TEXTSPLIT(E1025," - ")</f>
        <v>Gula Pasir</v>
      </c>
      <c r="G1025" s="2" t="str">
        <v>Brand C</v>
      </c>
      <c r="H1025" s="5">
        <v>18000</v>
      </c>
      <c r="I1025" s="2">
        <v>5</v>
      </c>
      <c r="J1025" s="2">
        <v>10</v>
      </c>
      <c r="K1025" s="8">
        <f t="shared" si="90"/>
        <v>90000</v>
      </c>
      <c r="L1025" s="8">
        <f t="shared" si="91"/>
        <v>9000</v>
      </c>
      <c r="M1025" s="8">
        <f t="shared" si="92"/>
        <v>81000</v>
      </c>
      <c r="N1025" s="5">
        <v>0</v>
      </c>
      <c r="O1025" s="8">
        <f t="shared" si="93"/>
        <v>81000</v>
      </c>
      <c r="P1025" s="2" t="s">
        <v>35</v>
      </c>
      <c r="Q1025" s="10" t="str">
        <f>VLOOKUP(A1025,Status!A:B,2,0)</f>
        <v>Completed</v>
      </c>
      <c r="R1025" s="2" t="s">
        <v>23</v>
      </c>
      <c r="S1025" s="2">
        <v>5</v>
      </c>
      <c r="T1025" s="2" t="s">
        <v>24</v>
      </c>
      <c r="U1025" s="10" t="str">
        <f t="shared" si="95"/>
        <v>Jul</v>
      </c>
      <c r="V1025" s="10">
        <f t="shared" si="94"/>
        <v>2025</v>
      </c>
      <c r="W1025" t="e" cm="1">
        <f t="array" ref="W1025">_xlfn.IFS(U1025="January",1,U1025="February",2,U1025="March",3,U1025="April",4,U1025="May",5,U1025="June",6,U1025="July",7,U1025="August",8,U1025="September",9,U1025="October",10,U1025="November",11,U1025="December",12)</f>
        <v>#N/A</v>
      </c>
    </row>
    <row r="1026" spans="1:23" ht="15.75" customHeight="1" x14ac:dyDescent="0.25">
      <c r="A1026" s="2" t="s">
        <v>1965</v>
      </c>
      <c r="B1026" s="3">
        <v>45845.244791666657</v>
      </c>
      <c r="C1026" s="2" t="s">
        <v>808</v>
      </c>
      <c r="D1026" s="2" t="s">
        <v>61</v>
      </c>
      <c r="E1026" s="2" t="s">
        <v>45</v>
      </c>
      <c r="F1026" s="2" t="str" cm="1">
        <f t="array" ref="F1026:G1026">_xlfn.TEXTSPLIT(E1026," - ")</f>
        <v>Daging Ayam</v>
      </c>
      <c r="G1026" s="2" t="str">
        <v>Brand B</v>
      </c>
      <c r="H1026" s="5">
        <v>40000</v>
      </c>
      <c r="I1026" s="2">
        <v>2</v>
      </c>
      <c r="J1026" s="2">
        <v>15</v>
      </c>
      <c r="K1026" s="8">
        <f t="shared" ref="K1026:K1089" si="96">H1026*I1026</f>
        <v>80000</v>
      </c>
      <c r="L1026" s="8">
        <f t="shared" ref="L1026:L1089" si="97">K1026*J1026%</f>
        <v>12000</v>
      </c>
      <c r="M1026" s="8">
        <f t="shared" ref="M1026:M1089" si="98">K1026-L1026</f>
        <v>68000</v>
      </c>
      <c r="N1026" s="5">
        <v>26000</v>
      </c>
      <c r="O1026" s="8">
        <f t="shared" ref="O1026:O1089" si="99">M1026+N1026</f>
        <v>94000</v>
      </c>
      <c r="P1026" s="2" t="s">
        <v>22</v>
      </c>
      <c r="Q1026" s="10" t="str">
        <f>VLOOKUP(A1026,Status!A:B,2,0)</f>
        <v>Completed</v>
      </c>
      <c r="R1026" s="2" t="s">
        <v>82</v>
      </c>
      <c r="S1026" s="2">
        <v>4</v>
      </c>
      <c r="T1026" s="2" t="s">
        <v>24</v>
      </c>
      <c r="U1026" s="10" t="str">
        <f t="shared" si="95"/>
        <v>Jul</v>
      </c>
      <c r="V1026" s="10">
        <f t="shared" ref="V1026:V1089" si="100">YEAR(B1026)</f>
        <v>2025</v>
      </c>
      <c r="W1026" t="e" cm="1">
        <f t="array" ref="W1026">_xlfn.IFS(U1026="January",1,U1026="February",2,U1026="March",3,U1026="April",4,U1026="May",5,U1026="June",6,U1026="July",7,U1026="August",8,U1026="September",9,U1026="October",10,U1026="November",11,U1026="December",12)</f>
        <v>#N/A</v>
      </c>
    </row>
    <row r="1027" spans="1:23" ht="15.75" customHeight="1" x14ac:dyDescent="0.25">
      <c r="A1027" s="2" t="s">
        <v>1966</v>
      </c>
      <c r="B1027" s="3">
        <v>45845.371365740742</v>
      </c>
      <c r="C1027" s="2" t="s">
        <v>261</v>
      </c>
      <c r="D1027" s="2" t="s">
        <v>262</v>
      </c>
      <c r="E1027" s="2" t="s">
        <v>190</v>
      </c>
      <c r="F1027" s="2" t="str" cm="1">
        <f t="array" ref="F1027:G1027">_xlfn.TEXTSPLIT(E1027," - ")</f>
        <v>Bawang Merah</v>
      </c>
      <c r="G1027" s="2" t="str">
        <v>Brand B</v>
      </c>
      <c r="H1027" s="5">
        <v>35000</v>
      </c>
      <c r="I1027" s="2">
        <v>1</v>
      </c>
      <c r="J1027" s="2">
        <v>0</v>
      </c>
      <c r="K1027" s="8">
        <f t="shared" si="96"/>
        <v>35000</v>
      </c>
      <c r="L1027" s="8">
        <f t="shared" si="97"/>
        <v>0</v>
      </c>
      <c r="M1027" s="8">
        <f t="shared" si="98"/>
        <v>35000</v>
      </c>
      <c r="N1027" s="5">
        <v>18000</v>
      </c>
      <c r="O1027" s="8">
        <f t="shared" si="99"/>
        <v>53000</v>
      </c>
      <c r="P1027" s="2" t="s">
        <v>29</v>
      </c>
      <c r="Q1027" s="10" t="str">
        <f>VLOOKUP(A1027,Status!A:B,2,0)</f>
        <v>Returned</v>
      </c>
      <c r="R1027" s="2" t="s">
        <v>46</v>
      </c>
      <c r="S1027" s="2">
        <v>1</v>
      </c>
      <c r="T1027" s="2" t="s">
        <v>24</v>
      </c>
      <c r="U1027" s="10" t="str">
        <f t="shared" ref="U1027:U1090" si="101">TEXT(B1027,"MMM")</f>
        <v>Jul</v>
      </c>
      <c r="V1027" s="10">
        <f t="shared" si="100"/>
        <v>2025</v>
      </c>
      <c r="W1027" t="e" cm="1">
        <f t="array" ref="W1027">_xlfn.IFS(U1027="January",1,U1027="February",2,U1027="March",3,U1027="April",4,U1027="May",5,U1027="June",6,U1027="July",7,U1027="August",8,U1027="September",9,U1027="October",10,U1027="November",11,U1027="December",12)</f>
        <v>#N/A</v>
      </c>
    </row>
    <row r="1028" spans="1:23" ht="15.75" customHeight="1" x14ac:dyDescent="0.25">
      <c r="A1028" s="2" t="s">
        <v>1967</v>
      </c>
      <c r="B1028" s="3">
        <v>45845.829988425918</v>
      </c>
      <c r="C1028" s="2" t="s">
        <v>924</v>
      </c>
      <c r="D1028" s="2" t="s">
        <v>20</v>
      </c>
      <c r="E1028" s="2" t="s">
        <v>38</v>
      </c>
      <c r="F1028" s="2" t="str" cm="1">
        <f t="array" ref="F1028:G1028">_xlfn.TEXTSPLIT(E1028," - ")</f>
        <v>Telur Ayam</v>
      </c>
      <c r="G1028" s="2" t="str">
        <v>Brand C</v>
      </c>
      <c r="H1028" s="5">
        <v>28000</v>
      </c>
      <c r="I1028" s="2">
        <v>3</v>
      </c>
      <c r="J1028" s="2">
        <v>0</v>
      </c>
      <c r="K1028" s="8">
        <f t="shared" si="96"/>
        <v>84000</v>
      </c>
      <c r="L1028" s="8">
        <f t="shared" si="97"/>
        <v>0</v>
      </c>
      <c r="M1028" s="8">
        <f t="shared" si="98"/>
        <v>84000</v>
      </c>
      <c r="N1028" s="5">
        <v>15000</v>
      </c>
      <c r="O1028" s="8">
        <f t="shared" si="99"/>
        <v>99000</v>
      </c>
      <c r="P1028" s="2" t="s">
        <v>35</v>
      </c>
      <c r="Q1028" s="10" t="str">
        <f>VLOOKUP(A1028,Status!A:B,2,0)</f>
        <v>Completed</v>
      </c>
      <c r="R1028" s="2" t="s">
        <v>46</v>
      </c>
      <c r="S1028" s="2">
        <v>5</v>
      </c>
      <c r="T1028" s="2" t="s">
        <v>37</v>
      </c>
      <c r="U1028" s="10" t="str">
        <f t="shared" si="101"/>
        <v>Jul</v>
      </c>
      <c r="V1028" s="10">
        <f t="shared" si="100"/>
        <v>2025</v>
      </c>
      <c r="W1028" t="e" cm="1">
        <f t="array" ref="W1028">_xlfn.IFS(U1028="January",1,U1028="February",2,U1028="March",3,U1028="April",4,U1028="May",5,U1028="June",6,U1028="July",7,U1028="August",8,U1028="September",9,U1028="October",10,U1028="November",11,U1028="December",12)</f>
        <v>#N/A</v>
      </c>
    </row>
    <row r="1029" spans="1:23" ht="15.75" customHeight="1" x14ac:dyDescent="0.25">
      <c r="A1029" s="2" t="s">
        <v>1968</v>
      </c>
      <c r="B1029" s="3">
        <v>45846.129247685189</v>
      </c>
      <c r="C1029" s="2" t="s">
        <v>109</v>
      </c>
      <c r="D1029" s="2" t="s">
        <v>49</v>
      </c>
      <c r="E1029" s="2" t="s">
        <v>62</v>
      </c>
      <c r="F1029" s="2" t="str" cm="1">
        <f t="array" ref="F1029:G1029">_xlfn.TEXTSPLIT(E1029," - ")</f>
        <v>Susu Bubuk</v>
      </c>
      <c r="G1029" s="2" t="str">
        <v>Brand B</v>
      </c>
      <c r="H1029" s="5">
        <v>50000</v>
      </c>
      <c r="I1029" s="2">
        <v>4</v>
      </c>
      <c r="J1029" s="2">
        <v>15</v>
      </c>
      <c r="K1029" s="8">
        <f t="shared" si="96"/>
        <v>200000</v>
      </c>
      <c r="L1029" s="8">
        <f t="shared" si="97"/>
        <v>30000</v>
      </c>
      <c r="M1029" s="8">
        <f t="shared" si="98"/>
        <v>170000</v>
      </c>
      <c r="N1029" s="5">
        <v>43000</v>
      </c>
      <c r="O1029" s="8">
        <f t="shared" si="99"/>
        <v>213000</v>
      </c>
      <c r="P1029" s="2" t="s">
        <v>22</v>
      </c>
      <c r="Q1029" s="10" t="str">
        <f>VLOOKUP(A1029,Status!A:B,2,0)</f>
        <v>Returned</v>
      </c>
      <c r="R1029" s="2" t="s">
        <v>36</v>
      </c>
      <c r="S1029" s="2">
        <v>1</v>
      </c>
      <c r="T1029" s="2" t="s">
        <v>24</v>
      </c>
      <c r="U1029" s="10" t="str">
        <f t="shared" si="101"/>
        <v>Jul</v>
      </c>
      <c r="V1029" s="10">
        <f t="shared" si="100"/>
        <v>2025</v>
      </c>
      <c r="W1029" t="e" cm="1">
        <f t="array" ref="W1029">_xlfn.IFS(U1029="January",1,U1029="February",2,U1029="March",3,U1029="April",4,U1029="May",5,U1029="June",6,U1029="July",7,U1029="August",8,U1029="September",9,U1029="October",10,U1029="November",11,U1029="December",12)</f>
        <v>#N/A</v>
      </c>
    </row>
    <row r="1030" spans="1:23" ht="15.75" customHeight="1" x14ac:dyDescent="0.25">
      <c r="A1030" s="2" t="s">
        <v>1969</v>
      </c>
      <c r="B1030" s="3">
        <v>45846.359699074077</v>
      </c>
      <c r="C1030" s="2" t="s">
        <v>1970</v>
      </c>
      <c r="D1030" s="2" t="s">
        <v>70</v>
      </c>
      <c r="E1030" s="2" t="s">
        <v>186</v>
      </c>
      <c r="F1030" s="2" t="str" cm="1">
        <f t="array" ref="F1030:G1030">_xlfn.TEXTSPLIT(E1030," - ")</f>
        <v>Susu Bubuk</v>
      </c>
      <c r="G1030" s="2" t="str">
        <v>Brand A</v>
      </c>
      <c r="H1030" s="5">
        <v>45000</v>
      </c>
      <c r="I1030" s="2">
        <v>4</v>
      </c>
      <c r="J1030" s="2">
        <v>5</v>
      </c>
      <c r="K1030" s="8">
        <f t="shared" si="96"/>
        <v>180000</v>
      </c>
      <c r="L1030" s="8">
        <f t="shared" si="97"/>
        <v>9000</v>
      </c>
      <c r="M1030" s="8">
        <f t="shared" si="98"/>
        <v>171000</v>
      </c>
      <c r="N1030" s="5">
        <v>89000</v>
      </c>
      <c r="O1030" s="8">
        <f t="shared" si="99"/>
        <v>260000</v>
      </c>
      <c r="P1030" s="2" t="s">
        <v>29</v>
      </c>
      <c r="Q1030" s="10" t="str">
        <f>VLOOKUP(A1030,Status!A:B,2,0)</f>
        <v>Returned</v>
      </c>
      <c r="R1030" s="2" t="s">
        <v>46</v>
      </c>
      <c r="S1030" s="2">
        <v>4</v>
      </c>
      <c r="T1030" s="2" t="s">
        <v>24</v>
      </c>
      <c r="U1030" s="10" t="str">
        <f t="shared" si="101"/>
        <v>Jul</v>
      </c>
      <c r="V1030" s="10">
        <f t="shared" si="100"/>
        <v>2025</v>
      </c>
      <c r="W1030" t="e" cm="1">
        <f t="array" ref="W1030">_xlfn.IFS(U1030="January",1,U1030="February",2,U1030="March",3,U1030="April",4,U1030="May",5,U1030="June",6,U1030="July",7,U1030="August",8,U1030="September",9,U1030="October",10,U1030="November",11,U1030="December",12)</f>
        <v>#N/A</v>
      </c>
    </row>
    <row r="1031" spans="1:23" ht="15.75" customHeight="1" x14ac:dyDescent="0.25">
      <c r="A1031" s="2" t="s">
        <v>1969</v>
      </c>
      <c r="B1031" s="3">
        <v>45846.359699074077</v>
      </c>
      <c r="C1031" s="2" t="s">
        <v>1970</v>
      </c>
      <c r="D1031" s="2" t="s">
        <v>70</v>
      </c>
      <c r="E1031" s="2" t="s">
        <v>62</v>
      </c>
      <c r="F1031" s="2" t="str" cm="1">
        <f t="array" ref="F1031:G1031">_xlfn.TEXTSPLIT(E1031," - ")</f>
        <v>Susu Bubuk</v>
      </c>
      <c r="G1031" s="2" t="str">
        <v>Brand B</v>
      </c>
      <c r="H1031" s="5">
        <v>50000</v>
      </c>
      <c r="I1031" s="2">
        <v>3</v>
      </c>
      <c r="J1031" s="2">
        <v>15</v>
      </c>
      <c r="K1031" s="8">
        <f t="shared" si="96"/>
        <v>150000</v>
      </c>
      <c r="L1031" s="8">
        <f t="shared" si="97"/>
        <v>22500</v>
      </c>
      <c r="M1031" s="8">
        <f t="shared" si="98"/>
        <v>127500</v>
      </c>
      <c r="N1031" s="5">
        <v>0</v>
      </c>
      <c r="O1031" s="8">
        <f t="shared" si="99"/>
        <v>127500</v>
      </c>
      <c r="P1031" s="2" t="s">
        <v>29</v>
      </c>
      <c r="Q1031" s="10" t="str">
        <f>VLOOKUP(A1031,Status!A:B,2,0)</f>
        <v>Returned</v>
      </c>
      <c r="R1031" s="2" t="s">
        <v>46</v>
      </c>
      <c r="S1031" s="2">
        <v>4</v>
      </c>
      <c r="T1031" s="2" t="s">
        <v>24</v>
      </c>
      <c r="U1031" s="10" t="str">
        <f t="shared" si="101"/>
        <v>Jul</v>
      </c>
      <c r="V1031" s="10">
        <f t="shared" si="100"/>
        <v>2025</v>
      </c>
      <c r="W1031" t="e" cm="1">
        <f t="array" ref="W1031">_xlfn.IFS(U1031="January",1,U1031="February",2,U1031="March",3,U1031="April",4,U1031="May",5,U1031="June",6,U1031="July",7,U1031="August",8,U1031="September",9,U1031="October",10,U1031="November",11,U1031="December",12)</f>
        <v>#N/A</v>
      </c>
    </row>
    <row r="1032" spans="1:23" ht="15.75" customHeight="1" x14ac:dyDescent="0.25">
      <c r="A1032" s="2" t="s">
        <v>1971</v>
      </c>
      <c r="B1032" s="3">
        <v>45846.435439814813</v>
      </c>
      <c r="C1032" s="2" t="s">
        <v>410</v>
      </c>
      <c r="D1032" s="2" t="s">
        <v>151</v>
      </c>
      <c r="E1032" s="2" t="s">
        <v>88</v>
      </c>
      <c r="F1032" s="2" t="str" cm="1">
        <f t="array" ref="F1032:G1032">_xlfn.TEXTSPLIT(E1032," - ")</f>
        <v>Beras</v>
      </c>
      <c r="G1032" s="2" t="str">
        <v>Brand A</v>
      </c>
      <c r="H1032" s="5">
        <v>14000</v>
      </c>
      <c r="I1032" s="2">
        <v>3</v>
      </c>
      <c r="J1032" s="2">
        <v>15</v>
      </c>
      <c r="K1032" s="8">
        <f t="shared" si="96"/>
        <v>42000</v>
      </c>
      <c r="L1032" s="8">
        <f t="shared" si="97"/>
        <v>6300</v>
      </c>
      <c r="M1032" s="8">
        <f t="shared" si="98"/>
        <v>35700</v>
      </c>
      <c r="N1032" s="5">
        <v>55000</v>
      </c>
      <c r="O1032" s="8">
        <f t="shared" si="99"/>
        <v>90700</v>
      </c>
      <c r="P1032" s="2" t="s">
        <v>29</v>
      </c>
      <c r="Q1032" s="10" t="str">
        <f>VLOOKUP(A1032,Status!A:B,2,0)</f>
        <v>Completed</v>
      </c>
      <c r="R1032" s="2" t="s">
        <v>23</v>
      </c>
      <c r="S1032" s="2">
        <v>1</v>
      </c>
      <c r="T1032" s="2" t="s">
        <v>24</v>
      </c>
      <c r="U1032" s="10" t="str">
        <f t="shared" si="101"/>
        <v>Jul</v>
      </c>
      <c r="V1032" s="10">
        <f t="shared" si="100"/>
        <v>2025</v>
      </c>
      <c r="W1032" t="e" cm="1">
        <f t="array" ref="W1032">_xlfn.IFS(U1032="January",1,U1032="February",2,U1032="March",3,U1032="April",4,U1032="May",5,U1032="June",6,U1032="July",7,U1032="August",8,U1032="September",9,U1032="October",10,U1032="November",11,U1032="December",12)</f>
        <v>#N/A</v>
      </c>
    </row>
    <row r="1033" spans="1:23" ht="15.75" customHeight="1" x14ac:dyDescent="0.25">
      <c r="A1033" s="2" t="s">
        <v>1972</v>
      </c>
      <c r="B1033" s="3">
        <v>45846.512372685182</v>
      </c>
      <c r="C1033" s="2" t="s">
        <v>249</v>
      </c>
      <c r="D1033" s="2" t="s">
        <v>49</v>
      </c>
      <c r="E1033" s="2" t="s">
        <v>110</v>
      </c>
      <c r="F1033" s="2" t="str" cm="1">
        <f t="array" ref="F1033:G1033">_xlfn.TEXTSPLIT(E1033," - ")</f>
        <v>Garam</v>
      </c>
      <c r="G1033" s="2" t="str">
        <v>Brand C</v>
      </c>
      <c r="H1033" s="5">
        <v>6000</v>
      </c>
      <c r="I1033" s="2">
        <v>4</v>
      </c>
      <c r="J1033" s="2">
        <v>20</v>
      </c>
      <c r="K1033" s="8">
        <f t="shared" si="96"/>
        <v>24000</v>
      </c>
      <c r="L1033" s="8">
        <f t="shared" si="97"/>
        <v>4800</v>
      </c>
      <c r="M1033" s="8">
        <f t="shared" si="98"/>
        <v>19200</v>
      </c>
      <c r="N1033" s="5">
        <v>43000</v>
      </c>
      <c r="O1033" s="8">
        <f t="shared" si="99"/>
        <v>62200</v>
      </c>
      <c r="P1033" s="2" t="s">
        <v>22</v>
      </c>
      <c r="Q1033" s="10" t="str">
        <f>VLOOKUP(A1033,Status!A:B,2,0)</f>
        <v>Completed</v>
      </c>
      <c r="R1033" s="2" t="s">
        <v>36</v>
      </c>
      <c r="S1033" s="2">
        <v>3</v>
      </c>
      <c r="T1033" s="2" t="s">
        <v>24</v>
      </c>
      <c r="U1033" s="10" t="str">
        <f t="shared" si="101"/>
        <v>Jul</v>
      </c>
      <c r="V1033" s="10">
        <f t="shared" si="100"/>
        <v>2025</v>
      </c>
      <c r="W1033" t="e" cm="1">
        <f t="array" ref="W1033">_xlfn.IFS(U1033="January",1,U1033="February",2,U1033="March",3,U1033="April",4,U1033="May",5,U1033="June",6,U1033="July",7,U1033="August",8,U1033="September",9,U1033="October",10,U1033="November",11,U1033="December",12)</f>
        <v>#N/A</v>
      </c>
    </row>
    <row r="1034" spans="1:23" ht="15.75" customHeight="1" x14ac:dyDescent="0.25">
      <c r="A1034" s="2" t="s">
        <v>1973</v>
      </c>
      <c r="B1034" s="3">
        <v>45846.630798611113</v>
      </c>
      <c r="C1034" s="2" t="s">
        <v>605</v>
      </c>
      <c r="D1034" s="2" t="s">
        <v>151</v>
      </c>
      <c r="E1034" s="2" t="s">
        <v>21</v>
      </c>
      <c r="F1034" s="2" t="str" cm="1">
        <f t="array" ref="F1034:G1034">_xlfn.TEXTSPLIT(E1034," - ")</f>
        <v>Daging Ayam</v>
      </c>
      <c r="G1034" s="2" t="str">
        <v>Brand C</v>
      </c>
      <c r="H1034" s="5">
        <v>45000</v>
      </c>
      <c r="I1034" s="2">
        <v>3</v>
      </c>
      <c r="J1034" s="2">
        <v>5</v>
      </c>
      <c r="K1034" s="8">
        <f t="shared" si="96"/>
        <v>135000</v>
      </c>
      <c r="L1034" s="8">
        <f t="shared" si="97"/>
        <v>6750</v>
      </c>
      <c r="M1034" s="8">
        <f t="shared" si="98"/>
        <v>128250</v>
      </c>
      <c r="N1034" s="5">
        <v>55000</v>
      </c>
      <c r="O1034" s="8">
        <f t="shared" si="99"/>
        <v>183250</v>
      </c>
      <c r="P1034" s="2" t="s">
        <v>35</v>
      </c>
      <c r="Q1034" s="10" t="str">
        <f>VLOOKUP(A1034,Status!A:B,2,0)</f>
        <v>Returned</v>
      </c>
      <c r="R1034" s="2" t="s">
        <v>30</v>
      </c>
      <c r="S1034" s="2">
        <v>3</v>
      </c>
      <c r="T1034" s="2" t="s">
        <v>24</v>
      </c>
      <c r="U1034" s="10" t="str">
        <f t="shared" si="101"/>
        <v>Jul</v>
      </c>
      <c r="V1034" s="10">
        <f t="shared" si="100"/>
        <v>2025</v>
      </c>
      <c r="W1034" t="e" cm="1">
        <f t="array" ref="W1034">_xlfn.IFS(U1034="January",1,U1034="February",2,U1034="March",3,U1034="April",4,U1034="May",5,U1034="June",6,U1034="July",7,U1034="August",8,U1034="September",9,U1034="October",10,U1034="November",11,U1034="December",12)</f>
        <v>#N/A</v>
      </c>
    </row>
    <row r="1035" spans="1:23" ht="15.75" customHeight="1" x14ac:dyDescent="0.25">
      <c r="A1035" s="2" t="s">
        <v>1974</v>
      </c>
      <c r="B1035" s="3">
        <v>45847.043194444443</v>
      </c>
      <c r="C1035" s="2" t="s">
        <v>218</v>
      </c>
      <c r="D1035" s="2" t="s">
        <v>170</v>
      </c>
      <c r="E1035" s="2" t="s">
        <v>75</v>
      </c>
      <c r="F1035" s="2" t="str" cm="1">
        <f t="array" ref="F1035:G1035">_xlfn.TEXTSPLIT(E1035," - ")</f>
        <v>Susu Bubuk</v>
      </c>
      <c r="G1035" s="2" t="str">
        <v>Brand C</v>
      </c>
      <c r="H1035" s="5">
        <v>55000</v>
      </c>
      <c r="I1035" s="2">
        <v>4</v>
      </c>
      <c r="J1035" s="2">
        <v>15</v>
      </c>
      <c r="K1035" s="8">
        <f t="shared" si="96"/>
        <v>220000</v>
      </c>
      <c r="L1035" s="8">
        <f t="shared" si="97"/>
        <v>33000</v>
      </c>
      <c r="M1035" s="8">
        <f t="shared" si="98"/>
        <v>187000</v>
      </c>
      <c r="N1035" s="5">
        <v>46000</v>
      </c>
      <c r="O1035" s="8">
        <f t="shared" si="99"/>
        <v>233000</v>
      </c>
      <c r="P1035" s="2" t="s">
        <v>29</v>
      </c>
      <c r="Q1035" s="10" t="str">
        <f>VLOOKUP(A1035,Status!A:B,2,0)</f>
        <v>Completed</v>
      </c>
      <c r="R1035" s="2" t="s">
        <v>46</v>
      </c>
      <c r="S1035" s="2">
        <v>5</v>
      </c>
      <c r="T1035" s="2" t="s">
        <v>24</v>
      </c>
      <c r="U1035" s="10" t="str">
        <f t="shared" si="101"/>
        <v>Jul</v>
      </c>
      <c r="V1035" s="10">
        <f t="shared" si="100"/>
        <v>2025</v>
      </c>
      <c r="W1035" t="e" cm="1">
        <f t="array" ref="W1035">_xlfn.IFS(U1035="January",1,U1035="February",2,U1035="March",3,U1035="April",4,U1035="May",5,U1035="June",6,U1035="July",7,U1035="August",8,U1035="September",9,U1035="October",10,U1035="November",11,U1035="December",12)</f>
        <v>#N/A</v>
      </c>
    </row>
    <row r="1036" spans="1:23" ht="15.75" customHeight="1" x14ac:dyDescent="0.25">
      <c r="A1036" s="2" t="s">
        <v>1975</v>
      </c>
      <c r="B1036" s="3">
        <v>45847.271192129629</v>
      </c>
      <c r="C1036" s="2" t="s">
        <v>169</v>
      </c>
      <c r="D1036" s="2" t="s">
        <v>170</v>
      </c>
      <c r="E1036" s="2" t="s">
        <v>110</v>
      </c>
      <c r="F1036" s="2" t="str" cm="1">
        <f t="array" ref="F1036:G1036">_xlfn.TEXTSPLIT(E1036," - ")</f>
        <v>Garam</v>
      </c>
      <c r="G1036" s="2" t="str">
        <v>Brand C</v>
      </c>
      <c r="H1036" s="5">
        <v>6000</v>
      </c>
      <c r="I1036" s="2">
        <v>4</v>
      </c>
      <c r="J1036" s="2">
        <v>15</v>
      </c>
      <c r="K1036" s="8">
        <f t="shared" si="96"/>
        <v>24000</v>
      </c>
      <c r="L1036" s="8">
        <f t="shared" si="97"/>
        <v>3600</v>
      </c>
      <c r="M1036" s="8">
        <f t="shared" si="98"/>
        <v>20400</v>
      </c>
      <c r="N1036" s="5">
        <v>46000</v>
      </c>
      <c r="O1036" s="8">
        <f t="shared" si="99"/>
        <v>66400</v>
      </c>
      <c r="P1036" s="2" t="s">
        <v>63</v>
      </c>
      <c r="Q1036" s="10" t="str">
        <f>VLOOKUP(A1036,Status!A:B,2,0)</f>
        <v>Completed</v>
      </c>
      <c r="R1036" s="2" t="s">
        <v>23</v>
      </c>
      <c r="S1036" s="2">
        <v>4</v>
      </c>
      <c r="T1036" s="2" t="s">
        <v>24</v>
      </c>
      <c r="U1036" s="10" t="str">
        <f t="shared" si="101"/>
        <v>Jul</v>
      </c>
      <c r="V1036" s="10">
        <f t="shared" si="100"/>
        <v>2025</v>
      </c>
      <c r="W1036" t="e" cm="1">
        <f t="array" ref="W1036">_xlfn.IFS(U1036="January",1,U1036="February",2,U1036="March",3,U1036="April",4,U1036="May",5,U1036="June",6,U1036="July",7,U1036="August",8,U1036="September",9,U1036="October",10,U1036="November",11,U1036="December",12)</f>
        <v>#N/A</v>
      </c>
    </row>
    <row r="1037" spans="1:23" ht="15.75" customHeight="1" x14ac:dyDescent="0.25">
      <c r="A1037" s="2" t="s">
        <v>1976</v>
      </c>
      <c r="B1037" s="3">
        <v>45847.678333333337</v>
      </c>
      <c r="C1037" s="2" t="s">
        <v>515</v>
      </c>
      <c r="D1037" s="2" t="s">
        <v>182</v>
      </c>
      <c r="E1037" s="2" t="s">
        <v>104</v>
      </c>
      <c r="F1037" s="2" t="str" cm="1">
        <f t="array" ref="F1037:G1037">_xlfn.TEXTSPLIT(E1037," - ")</f>
        <v>Bawang Merah</v>
      </c>
      <c r="G1037" s="2" t="str">
        <v>Brand A</v>
      </c>
      <c r="H1037" s="5">
        <v>30000</v>
      </c>
      <c r="I1037" s="2">
        <v>4</v>
      </c>
      <c r="J1037" s="2">
        <v>0</v>
      </c>
      <c r="K1037" s="8">
        <f t="shared" si="96"/>
        <v>120000</v>
      </c>
      <c r="L1037" s="8">
        <f t="shared" si="97"/>
        <v>0</v>
      </c>
      <c r="M1037" s="8">
        <f t="shared" si="98"/>
        <v>120000</v>
      </c>
      <c r="N1037" s="5">
        <v>48000</v>
      </c>
      <c r="O1037" s="8">
        <f t="shared" si="99"/>
        <v>168000</v>
      </c>
      <c r="P1037" s="2" t="s">
        <v>35</v>
      </c>
      <c r="Q1037" s="10" t="str">
        <f>VLOOKUP(A1037,Status!A:B,2,0)</f>
        <v>Completed</v>
      </c>
      <c r="R1037" s="2" t="s">
        <v>46</v>
      </c>
      <c r="S1037" s="2">
        <v>3</v>
      </c>
      <c r="T1037" s="2" t="s">
        <v>24</v>
      </c>
      <c r="U1037" s="10" t="str">
        <f t="shared" si="101"/>
        <v>Jul</v>
      </c>
      <c r="V1037" s="10">
        <f t="shared" si="100"/>
        <v>2025</v>
      </c>
      <c r="W1037" t="e" cm="1">
        <f t="array" ref="W1037">_xlfn.IFS(U1037="January",1,U1037="February",2,U1037="March",3,U1037="April",4,U1037="May",5,U1037="June",6,U1037="July",7,U1037="August",8,U1037="September",9,U1037="October",10,U1037="November",11,U1037="December",12)</f>
        <v>#N/A</v>
      </c>
    </row>
    <row r="1038" spans="1:23" ht="15.75" customHeight="1" x14ac:dyDescent="0.25">
      <c r="A1038" s="2" t="s">
        <v>1977</v>
      </c>
      <c r="B1038" s="3">
        <v>45847.887870370367</v>
      </c>
      <c r="C1038" s="2" t="s">
        <v>446</v>
      </c>
      <c r="D1038" s="2" t="s">
        <v>296</v>
      </c>
      <c r="E1038" s="2" t="s">
        <v>104</v>
      </c>
      <c r="F1038" s="2" t="str" cm="1">
        <f t="array" ref="F1038:G1038">_xlfn.TEXTSPLIT(E1038," - ")</f>
        <v>Bawang Merah</v>
      </c>
      <c r="G1038" s="2" t="str">
        <v>Brand A</v>
      </c>
      <c r="H1038" s="5">
        <v>30000</v>
      </c>
      <c r="I1038" s="2">
        <v>2</v>
      </c>
      <c r="J1038" s="2">
        <v>15</v>
      </c>
      <c r="K1038" s="8">
        <f t="shared" si="96"/>
        <v>60000</v>
      </c>
      <c r="L1038" s="8">
        <f t="shared" si="97"/>
        <v>9000</v>
      </c>
      <c r="M1038" s="8">
        <f t="shared" si="98"/>
        <v>51000</v>
      </c>
      <c r="N1038" s="5">
        <v>79000</v>
      </c>
      <c r="O1038" s="8">
        <f t="shared" si="99"/>
        <v>130000</v>
      </c>
      <c r="P1038" s="2" t="s">
        <v>63</v>
      </c>
      <c r="Q1038" s="10" t="str">
        <f>VLOOKUP(A1038,Status!A:B,2,0)</f>
        <v>Returned</v>
      </c>
      <c r="R1038" s="2" t="s">
        <v>36</v>
      </c>
      <c r="S1038" s="2">
        <v>4</v>
      </c>
      <c r="T1038" s="2" t="s">
        <v>37</v>
      </c>
      <c r="U1038" s="10" t="str">
        <f t="shared" si="101"/>
        <v>Jul</v>
      </c>
      <c r="V1038" s="10">
        <f t="shared" si="100"/>
        <v>2025</v>
      </c>
      <c r="W1038" t="e" cm="1">
        <f t="array" ref="W1038">_xlfn.IFS(U1038="January",1,U1038="February",2,U1038="March",3,U1038="April",4,U1038="May",5,U1038="June",6,U1038="July",7,U1038="August",8,U1038="September",9,U1038="October",10,U1038="November",11,U1038="December",12)</f>
        <v>#N/A</v>
      </c>
    </row>
    <row r="1039" spans="1:23" ht="15.75" customHeight="1" x14ac:dyDescent="0.25">
      <c r="A1039" s="2" t="s">
        <v>1978</v>
      </c>
      <c r="B1039" s="3">
        <v>45847.898356481477</v>
      </c>
      <c r="C1039" s="2" t="s">
        <v>1979</v>
      </c>
      <c r="D1039" s="2" t="s">
        <v>103</v>
      </c>
      <c r="E1039" s="2" t="s">
        <v>34</v>
      </c>
      <c r="F1039" s="2" t="str" cm="1">
        <f t="array" ref="F1039:G1039">_xlfn.TEXTSPLIT(E1039," - ")</f>
        <v>Minyak Goreng</v>
      </c>
      <c r="G1039" s="2" t="str">
        <v>Brand A</v>
      </c>
      <c r="H1039" s="5">
        <v>16000</v>
      </c>
      <c r="I1039" s="2">
        <v>5</v>
      </c>
      <c r="J1039" s="2">
        <v>5</v>
      </c>
      <c r="K1039" s="8">
        <f t="shared" si="96"/>
        <v>80000</v>
      </c>
      <c r="L1039" s="8">
        <f t="shared" si="97"/>
        <v>4000</v>
      </c>
      <c r="M1039" s="8">
        <f t="shared" si="98"/>
        <v>76000</v>
      </c>
      <c r="N1039" s="5">
        <v>85000</v>
      </c>
      <c r="O1039" s="8">
        <f t="shared" si="99"/>
        <v>161000</v>
      </c>
      <c r="P1039" s="2" t="s">
        <v>63</v>
      </c>
      <c r="Q1039" s="10" t="str">
        <f>VLOOKUP(A1039,Status!A:B,2,0)</f>
        <v>Returned</v>
      </c>
      <c r="R1039" s="2" t="s">
        <v>36</v>
      </c>
      <c r="S1039" s="2">
        <v>5</v>
      </c>
      <c r="T1039" s="2" t="s">
        <v>24</v>
      </c>
      <c r="U1039" s="10" t="str">
        <f t="shared" si="101"/>
        <v>Jul</v>
      </c>
      <c r="V1039" s="10">
        <f t="shared" si="100"/>
        <v>2025</v>
      </c>
      <c r="W1039" t="e" cm="1">
        <f t="array" ref="W1039">_xlfn.IFS(U1039="January",1,U1039="February",2,U1039="March",3,U1039="April",4,U1039="May",5,U1039="June",6,U1039="July",7,U1039="August",8,U1039="September",9,U1039="October",10,U1039="November",11,U1039="December",12)</f>
        <v>#N/A</v>
      </c>
    </row>
    <row r="1040" spans="1:23" ht="15.75" customHeight="1" x14ac:dyDescent="0.25">
      <c r="A1040" s="2" t="s">
        <v>1980</v>
      </c>
      <c r="B1040" s="3">
        <v>45847.992627314823</v>
      </c>
      <c r="C1040" s="2" t="s">
        <v>1981</v>
      </c>
      <c r="D1040" s="2" t="s">
        <v>53</v>
      </c>
      <c r="E1040" s="2" t="s">
        <v>174</v>
      </c>
      <c r="F1040" s="2" t="str" cm="1">
        <f t="array" ref="F1040:G1040">_xlfn.TEXTSPLIT(E1040," - ")</f>
        <v>Tepung Terigu</v>
      </c>
      <c r="G1040" s="2" t="str">
        <v>Brand A</v>
      </c>
      <c r="H1040" s="5">
        <v>10000</v>
      </c>
      <c r="I1040" s="2">
        <v>1</v>
      </c>
      <c r="J1040" s="2">
        <v>5</v>
      </c>
      <c r="K1040" s="8">
        <f t="shared" si="96"/>
        <v>10000</v>
      </c>
      <c r="L1040" s="8">
        <f t="shared" si="97"/>
        <v>500</v>
      </c>
      <c r="M1040" s="8">
        <f t="shared" si="98"/>
        <v>9500</v>
      </c>
      <c r="N1040" s="5">
        <v>18000</v>
      </c>
      <c r="O1040" s="8">
        <f t="shared" si="99"/>
        <v>27500</v>
      </c>
      <c r="P1040" s="2" t="s">
        <v>63</v>
      </c>
      <c r="Q1040" s="10" t="str">
        <f>VLOOKUP(A1040,Status!A:B,2,0)</f>
        <v>Completed</v>
      </c>
      <c r="R1040" s="2" t="s">
        <v>30</v>
      </c>
      <c r="S1040" s="2">
        <v>3</v>
      </c>
      <c r="T1040" s="2" t="s">
        <v>24</v>
      </c>
      <c r="U1040" s="10" t="str">
        <f t="shared" si="101"/>
        <v>Jul</v>
      </c>
      <c r="V1040" s="10">
        <f t="shared" si="100"/>
        <v>2025</v>
      </c>
      <c r="W1040" t="e" cm="1">
        <f t="array" ref="W1040">_xlfn.IFS(U1040="January",1,U1040="February",2,U1040="March",3,U1040="April",4,U1040="May",5,U1040="June",6,U1040="July",7,U1040="August",8,U1040="September",9,U1040="October",10,U1040="November",11,U1040="December",12)</f>
        <v>#N/A</v>
      </c>
    </row>
    <row r="1041" spans="1:23" ht="15.75" customHeight="1" x14ac:dyDescent="0.25">
      <c r="A1041" s="2" t="s">
        <v>1982</v>
      </c>
      <c r="B1041" s="3">
        <v>45848.026932870373</v>
      </c>
      <c r="C1041" s="2" t="s">
        <v>626</v>
      </c>
      <c r="D1041" s="2" t="s">
        <v>296</v>
      </c>
      <c r="E1041" s="2" t="s">
        <v>41</v>
      </c>
      <c r="F1041" s="2" t="str" cm="1">
        <f t="array" ref="F1041:G1041">_xlfn.TEXTSPLIT(E1041," - ")</f>
        <v>Garam</v>
      </c>
      <c r="G1041" s="2" t="str">
        <v>Brand A</v>
      </c>
      <c r="H1041" s="5">
        <v>4000</v>
      </c>
      <c r="I1041" s="2">
        <v>5</v>
      </c>
      <c r="J1041" s="2">
        <v>15</v>
      </c>
      <c r="K1041" s="8">
        <f t="shared" si="96"/>
        <v>20000</v>
      </c>
      <c r="L1041" s="8">
        <f t="shared" si="97"/>
        <v>3000</v>
      </c>
      <c r="M1041" s="8">
        <f t="shared" si="98"/>
        <v>17000</v>
      </c>
      <c r="N1041" s="5">
        <v>79000</v>
      </c>
      <c r="O1041" s="8">
        <f t="shared" si="99"/>
        <v>96000</v>
      </c>
      <c r="P1041" s="2" t="s">
        <v>63</v>
      </c>
      <c r="Q1041" s="10" t="str">
        <f>VLOOKUP(A1041,Status!A:B,2,0)</f>
        <v>Completed</v>
      </c>
      <c r="R1041" s="2" t="s">
        <v>46</v>
      </c>
      <c r="S1041" s="2">
        <v>2</v>
      </c>
      <c r="T1041" s="2" t="s">
        <v>24</v>
      </c>
      <c r="U1041" s="10" t="str">
        <f t="shared" si="101"/>
        <v>Jul</v>
      </c>
      <c r="V1041" s="10">
        <f t="shared" si="100"/>
        <v>2025</v>
      </c>
      <c r="W1041" t="e" cm="1">
        <f t="array" ref="W1041">_xlfn.IFS(U1041="January",1,U1041="February",2,U1041="March",3,U1041="April",4,U1041="May",5,U1041="June",6,U1041="July",7,U1041="August",8,U1041="September",9,U1041="October",10,U1041="November",11,U1041="December",12)</f>
        <v>#N/A</v>
      </c>
    </row>
    <row r="1042" spans="1:23" ht="15.75" customHeight="1" x14ac:dyDescent="0.25">
      <c r="A1042" s="2" t="s">
        <v>1983</v>
      </c>
      <c r="B1042" s="3">
        <v>45848.737233796302</v>
      </c>
      <c r="C1042" s="2" t="s">
        <v>48</v>
      </c>
      <c r="D1042" s="2" t="s">
        <v>49</v>
      </c>
      <c r="E1042" s="2" t="s">
        <v>110</v>
      </c>
      <c r="F1042" s="2" t="str" cm="1">
        <f t="array" ref="F1042:G1042">_xlfn.TEXTSPLIT(E1042," - ")</f>
        <v>Garam</v>
      </c>
      <c r="G1042" s="2" t="str">
        <v>Brand C</v>
      </c>
      <c r="H1042" s="5">
        <v>6000</v>
      </c>
      <c r="I1042" s="2">
        <v>4</v>
      </c>
      <c r="J1042" s="2">
        <v>0</v>
      </c>
      <c r="K1042" s="8">
        <f t="shared" si="96"/>
        <v>24000</v>
      </c>
      <c r="L1042" s="8">
        <f t="shared" si="97"/>
        <v>0</v>
      </c>
      <c r="M1042" s="8">
        <f t="shared" si="98"/>
        <v>24000</v>
      </c>
      <c r="N1042" s="5">
        <v>43000</v>
      </c>
      <c r="O1042" s="8">
        <f t="shared" si="99"/>
        <v>67000</v>
      </c>
      <c r="P1042" s="2" t="s">
        <v>35</v>
      </c>
      <c r="Q1042" s="10" t="str">
        <f>VLOOKUP(A1042,Status!A:B,2,0)</f>
        <v>Completed</v>
      </c>
      <c r="R1042" s="2" t="s">
        <v>36</v>
      </c>
      <c r="S1042" s="2">
        <v>4</v>
      </c>
      <c r="T1042" s="2" t="s">
        <v>24</v>
      </c>
      <c r="U1042" s="10" t="str">
        <f t="shared" si="101"/>
        <v>Jul</v>
      </c>
      <c r="V1042" s="10">
        <f t="shared" si="100"/>
        <v>2025</v>
      </c>
      <c r="W1042" t="e" cm="1">
        <f t="array" ref="W1042">_xlfn.IFS(U1042="January",1,U1042="February",2,U1042="March",3,U1042="April",4,U1042="May",5,U1042="June",6,U1042="July",7,U1042="August",8,U1042="September",9,U1042="October",10,U1042="November",11,U1042="December",12)</f>
        <v>#N/A</v>
      </c>
    </row>
    <row r="1043" spans="1:23" ht="15.75" customHeight="1" x14ac:dyDescent="0.25">
      <c r="A1043" s="2" t="s">
        <v>1984</v>
      </c>
      <c r="B1043" s="3">
        <v>45848.851747685178</v>
      </c>
      <c r="C1043" s="2" t="s">
        <v>1985</v>
      </c>
      <c r="D1043" s="2" t="s">
        <v>20</v>
      </c>
      <c r="E1043" s="2" t="s">
        <v>67</v>
      </c>
      <c r="F1043" s="2" t="str" cm="1">
        <f t="array" ref="F1043:G1043">_xlfn.TEXTSPLIT(E1043," - ")</f>
        <v>Beras</v>
      </c>
      <c r="G1043" s="2" t="str">
        <v>Brand B</v>
      </c>
      <c r="H1043" s="5">
        <v>15000</v>
      </c>
      <c r="I1043" s="2">
        <v>5</v>
      </c>
      <c r="J1043" s="2">
        <v>5</v>
      </c>
      <c r="K1043" s="8">
        <f t="shared" si="96"/>
        <v>75000</v>
      </c>
      <c r="L1043" s="8">
        <f t="shared" si="97"/>
        <v>3750</v>
      </c>
      <c r="M1043" s="8">
        <f t="shared" si="98"/>
        <v>71250</v>
      </c>
      <c r="N1043" s="5">
        <v>15000</v>
      </c>
      <c r="O1043" s="8">
        <f t="shared" si="99"/>
        <v>86250</v>
      </c>
      <c r="P1043" s="2" t="s">
        <v>35</v>
      </c>
      <c r="Q1043" s="10" t="str">
        <f>VLOOKUP(A1043,Status!A:B,2,0)</f>
        <v>Completed</v>
      </c>
      <c r="R1043" s="2" t="s">
        <v>82</v>
      </c>
      <c r="S1043" s="2">
        <v>4</v>
      </c>
      <c r="T1043" s="2" t="s">
        <v>24</v>
      </c>
      <c r="U1043" s="10" t="str">
        <f t="shared" si="101"/>
        <v>Jul</v>
      </c>
      <c r="V1043" s="10">
        <f t="shared" si="100"/>
        <v>2025</v>
      </c>
      <c r="W1043" t="e" cm="1">
        <f t="array" ref="W1043">_xlfn.IFS(U1043="January",1,U1043="February",2,U1043="March",3,U1043="April",4,U1043="May",5,U1043="June",6,U1043="July",7,U1043="August",8,U1043="September",9,U1043="October",10,U1043="November",11,U1043="December",12)</f>
        <v>#N/A</v>
      </c>
    </row>
    <row r="1044" spans="1:23" ht="15.75" customHeight="1" x14ac:dyDescent="0.25">
      <c r="A1044" s="2" t="s">
        <v>1986</v>
      </c>
      <c r="B1044" s="3">
        <v>45848.957627314812</v>
      </c>
      <c r="C1044" s="2" t="s">
        <v>307</v>
      </c>
      <c r="D1044" s="2" t="s">
        <v>70</v>
      </c>
      <c r="E1044" s="2" t="s">
        <v>110</v>
      </c>
      <c r="F1044" s="2" t="str" cm="1">
        <f t="array" ref="F1044:G1044">_xlfn.TEXTSPLIT(E1044," - ")</f>
        <v>Garam</v>
      </c>
      <c r="G1044" s="2" t="str">
        <v>Brand C</v>
      </c>
      <c r="H1044" s="5">
        <v>6000</v>
      </c>
      <c r="I1044" s="2">
        <v>2</v>
      </c>
      <c r="J1044" s="2">
        <v>0</v>
      </c>
      <c r="K1044" s="8">
        <f t="shared" si="96"/>
        <v>12000</v>
      </c>
      <c r="L1044" s="8">
        <f t="shared" si="97"/>
        <v>0</v>
      </c>
      <c r="M1044" s="8">
        <f t="shared" si="98"/>
        <v>12000</v>
      </c>
      <c r="N1044" s="5">
        <v>89000</v>
      </c>
      <c r="O1044" s="8">
        <f t="shared" si="99"/>
        <v>101000</v>
      </c>
      <c r="P1044" s="2" t="s">
        <v>22</v>
      </c>
      <c r="Q1044" s="10" t="str">
        <f>VLOOKUP(A1044,Status!A:B,2,0)</f>
        <v>Completed</v>
      </c>
      <c r="R1044" s="2" t="s">
        <v>82</v>
      </c>
      <c r="S1044" s="2">
        <v>3</v>
      </c>
      <c r="T1044" s="2" t="s">
        <v>24</v>
      </c>
      <c r="U1044" s="10" t="str">
        <f t="shared" si="101"/>
        <v>Jul</v>
      </c>
      <c r="V1044" s="10">
        <f t="shared" si="100"/>
        <v>2025</v>
      </c>
      <c r="W1044" t="e" cm="1">
        <f t="array" ref="W1044">_xlfn.IFS(U1044="January",1,U1044="February",2,U1044="March",3,U1044="April",4,U1044="May",5,U1044="June",6,U1044="July",7,U1044="August",8,U1044="September",9,U1044="October",10,U1044="November",11,U1044="December",12)</f>
        <v>#N/A</v>
      </c>
    </row>
    <row r="1045" spans="1:23" ht="15.75" customHeight="1" x14ac:dyDescent="0.25">
      <c r="A1045" s="2" t="s">
        <v>1987</v>
      </c>
      <c r="B1045" s="3">
        <v>45849.028819444437</v>
      </c>
      <c r="C1045" s="2" t="s">
        <v>1091</v>
      </c>
      <c r="D1045" s="2" t="s">
        <v>160</v>
      </c>
      <c r="E1045" s="2" t="s">
        <v>21</v>
      </c>
      <c r="F1045" s="2" t="str" cm="1">
        <f t="array" ref="F1045:G1045">_xlfn.TEXTSPLIT(E1045," - ")</f>
        <v>Daging Ayam</v>
      </c>
      <c r="G1045" s="2" t="str">
        <v>Brand C</v>
      </c>
      <c r="H1045" s="5">
        <v>45000</v>
      </c>
      <c r="I1045" s="2">
        <v>3</v>
      </c>
      <c r="J1045" s="2">
        <v>10</v>
      </c>
      <c r="K1045" s="8">
        <f t="shared" si="96"/>
        <v>135000</v>
      </c>
      <c r="L1045" s="8">
        <f t="shared" si="97"/>
        <v>13500</v>
      </c>
      <c r="M1045" s="8">
        <f t="shared" si="98"/>
        <v>121500</v>
      </c>
      <c r="N1045" s="5">
        <v>68000</v>
      </c>
      <c r="O1045" s="8">
        <f t="shared" si="99"/>
        <v>189500</v>
      </c>
      <c r="P1045" s="2" t="s">
        <v>29</v>
      </c>
      <c r="Q1045" s="10" t="str">
        <f>VLOOKUP(A1045,Status!A:B,2,0)</f>
        <v>Completed</v>
      </c>
      <c r="R1045" s="2" t="s">
        <v>46</v>
      </c>
      <c r="S1045" s="2">
        <v>2</v>
      </c>
      <c r="T1045" s="2" t="s">
        <v>37</v>
      </c>
      <c r="U1045" s="10" t="str">
        <f t="shared" si="101"/>
        <v>Jul</v>
      </c>
      <c r="V1045" s="10">
        <f t="shared" si="100"/>
        <v>2025</v>
      </c>
      <c r="W1045" t="e" cm="1">
        <f t="array" ref="W1045">_xlfn.IFS(U1045="January",1,U1045="February",2,U1045="March",3,U1045="April",4,U1045="May",5,U1045="June",6,U1045="July",7,U1045="August",8,U1045="September",9,U1045="October",10,U1045="November",11,U1045="December",12)</f>
        <v>#N/A</v>
      </c>
    </row>
    <row r="1046" spans="1:23" ht="15.75" customHeight="1" x14ac:dyDescent="0.25">
      <c r="A1046" s="2" t="s">
        <v>1988</v>
      </c>
      <c r="B1046" s="3">
        <v>45849.034849537027</v>
      </c>
      <c r="C1046" s="2" t="s">
        <v>1033</v>
      </c>
      <c r="D1046" s="2" t="s">
        <v>122</v>
      </c>
      <c r="E1046" s="2" t="s">
        <v>104</v>
      </c>
      <c r="F1046" s="2" t="str" cm="1">
        <f t="array" ref="F1046:G1046">_xlfn.TEXTSPLIT(E1046," - ")</f>
        <v>Bawang Merah</v>
      </c>
      <c r="G1046" s="2" t="str">
        <v>Brand A</v>
      </c>
      <c r="H1046" s="5">
        <v>30000</v>
      </c>
      <c r="I1046" s="2">
        <v>4</v>
      </c>
      <c r="J1046" s="2">
        <v>0</v>
      </c>
      <c r="K1046" s="8">
        <f t="shared" si="96"/>
        <v>120000</v>
      </c>
      <c r="L1046" s="8">
        <f t="shared" si="97"/>
        <v>0</v>
      </c>
      <c r="M1046" s="8">
        <f t="shared" si="98"/>
        <v>120000</v>
      </c>
      <c r="N1046" s="5">
        <v>78000</v>
      </c>
      <c r="O1046" s="8">
        <f t="shared" si="99"/>
        <v>198000</v>
      </c>
      <c r="P1046" s="2" t="s">
        <v>22</v>
      </c>
      <c r="Q1046" s="10" t="str">
        <f>VLOOKUP(A1046,Status!A:B,2,0)</f>
        <v>Completed</v>
      </c>
      <c r="R1046" s="2" t="s">
        <v>23</v>
      </c>
      <c r="S1046" s="2">
        <v>3</v>
      </c>
      <c r="T1046" s="2" t="s">
        <v>24</v>
      </c>
      <c r="U1046" s="10" t="str">
        <f t="shared" si="101"/>
        <v>Jul</v>
      </c>
      <c r="V1046" s="10">
        <f t="shared" si="100"/>
        <v>2025</v>
      </c>
      <c r="W1046" t="e" cm="1">
        <f t="array" ref="W1046">_xlfn.IFS(U1046="January",1,U1046="February",2,U1046="March",3,U1046="April",4,U1046="May",5,U1046="June",6,U1046="July",7,U1046="August",8,U1046="September",9,U1046="October",10,U1046="November",11,U1046="December",12)</f>
        <v>#N/A</v>
      </c>
    </row>
    <row r="1047" spans="1:23" ht="15.75" customHeight="1" x14ac:dyDescent="0.25">
      <c r="A1047" s="2" t="s">
        <v>1989</v>
      </c>
      <c r="B1047" s="3">
        <v>45849.076111111113</v>
      </c>
      <c r="C1047" s="2" t="s">
        <v>582</v>
      </c>
      <c r="D1047" s="2" t="s">
        <v>435</v>
      </c>
      <c r="E1047" s="2" t="s">
        <v>123</v>
      </c>
      <c r="F1047" s="2" t="str" cm="1">
        <f t="array" ref="F1047:G1047">_xlfn.TEXTSPLIT(E1047," - ")</f>
        <v>Telur Ayam</v>
      </c>
      <c r="G1047" s="2" t="str">
        <v>Brand A</v>
      </c>
      <c r="H1047" s="5">
        <v>22000</v>
      </c>
      <c r="I1047" s="2">
        <v>2</v>
      </c>
      <c r="J1047" s="2">
        <v>5</v>
      </c>
      <c r="K1047" s="8">
        <f t="shared" si="96"/>
        <v>44000</v>
      </c>
      <c r="L1047" s="8">
        <f t="shared" si="97"/>
        <v>2200</v>
      </c>
      <c r="M1047" s="8">
        <f t="shared" si="98"/>
        <v>41800</v>
      </c>
      <c r="N1047" s="5">
        <v>67000</v>
      </c>
      <c r="O1047" s="8">
        <f t="shared" si="99"/>
        <v>108800</v>
      </c>
      <c r="P1047" s="2" t="s">
        <v>22</v>
      </c>
      <c r="Q1047" s="10" t="str">
        <f>VLOOKUP(A1047,Status!A:B,2,0)</f>
        <v>Completed</v>
      </c>
      <c r="R1047" s="2" t="s">
        <v>23</v>
      </c>
      <c r="S1047" s="2">
        <v>3</v>
      </c>
      <c r="T1047" s="2" t="s">
        <v>24</v>
      </c>
      <c r="U1047" s="10" t="str">
        <f t="shared" si="101"/>
        <v>Jul</v>
      </c>
      <c r="V1047" s="10">
        <f t="shared" si="100"/>
        <v>2025</v>
      </c>
      <c r="W1047" t="e" cm="1">
        <f t="array" ref="W1047">_xlfn.IFS(U1047="January",1,U1047="February",2,U1047="March",3,U1047="April",4,U1047="May",5,U1047="June",6,U1047="July",7,U1047="August",8,U1047="September",9,U1047="October",10,U1047="November",11,U1047="December",12)</f>
        <v>#N/A</v>
      </c>
    </row>
    <row r="1048" spans="1:23" ht="15.75" customHeight="1" x14ac:dyDescent="0.25">
      <c r="A1048" s="2" t="s">
        <v>1990</v>
      </c>
      <c r="B1048" s="3">
        <v>45849.088379629633</v>
      </c>
      <c r="C1048" s="2" t="s">
        <v>1582</v>
      </c>
      <c r="D1048" s="2" t="s">
        <v>80</v>
      </c>
      <c r="E1048" s="2" t="s">
        <v>110</v>
      </c>
      <c r="F1048" s="2" t="str" cm="1">
        <f t="array" ref="F1048:G1048">_xlfn.TEXTSPLIT(E1048," - ")</f>
        <v>Garam</v>
      </c>
      <c r="G1048" s="2" t="str">
        <v>Brand C</v>
      </c>
      <c r="H1048" s="5">
        <v>6000</v>
      </c>
      <c r="I1048" s="2">
        <v>2</v>
      </c>
      <c r="J1048" s="2">
        <v>10</v>
      </c>
      <c r="K1048" s="8">
        <f t="shared" si="96"/>
        <v>12000</v>
      </c>
      <c r="L1048" s="8">
        <f t="shared" si="97"/>
        <v>1200</v>
      </c>
      <c r="M1048" s="8">
        <f t="shared" si="98"/>
        <v>10800</v>
      </c>
      <c r="N1048" s="5">
        <v>74000</v>
      </c>
      <c r="O1048" s="8">
        <f t="shared" si="99"/>
        <v>84800</v>
      </c>
      <c r="P1048" s="2" t="s">
        <v>29</v>
      </c>
      <c r="Q1048" s="10" t="str">
        <f>VLOOKUP(A1048,Status!A:B,2,0)</f>
        <v>Returned</v>
      </c>
      <c r="R1048" s="2" t="s">
        <v>23</v>
      </c>
      <c r="S1048" s="2">
        <v>4</v>
      </c>
      <c r="T1048" s="2" t="s">
        <v>24</v>
      </c>
      <c r="U1048" s="10" t="str">
        <f t="shared" si="101"/>
        <v>Jul</v>
      </c>
      <c r="V1048" s="10">
        <f t="shared" si="100"/>
        <v>2025</v>
      </c>
      <c r="W1048" t="e" cm="1">
        <f t="array" ref="W1048">_xlfn.IFS(U1048="January",1,U1048="February",2,U1048="March",3,U1048="April",4,U1048="May",5,U1048="June",6,U1048="July",7,U1048="August",8,U1048="September",9,U1048="October",10,U1048="November",11,U1048="December",12)</f>
        <v>#N/A</v>
      </c>
    </row>
    <row r="1049" spans="1:23" ht="15.75" customHeight="1" x14ac:dyDescent="0.25">
      <c r="A1049" s="2" t="s">
        <v>1991</v>
      </c>
      <c r="B1049" s="3">
        <v>45849.123298611114</v>
      </c>
      <c r="C1049" s="2" t="s">
        <v>285</v>
      </c>
      <c r="D1049" s="2" t="s">
        <v>20</v>
      </c>
      <c r="E1049" s="2" t="s">
        <v>75</v>
      </c>
      <c r="F1049" s="2" t="str" cm="1">
        <f t="array" ref="F1049:G1049">_xlfn.TEXTSPLIT(E1049," - ")</f>
        <v>Susu Bubuk</v>
      </c>
      <c r="G1049" s="2" t="str">
        <v>Brand C</v>
      </c>
      <c r="H1049" s="5">
        <v>55000</v>
      </c>
      <c r="I1049" s="2">
        <v>5</v>
      </c>
      <c r="J1049" s="2">
        <v>10</v>
      </c>
      <c r="K1049" s="8">
        <f t="shared" si="96"/>
        <v>275000</v>
      </c>
      <c r="L1049" s="8">
        <f t="shared" si="97"/>
        <v>27500</v>
      </c>
      <c r="M1049" s="8">
        <f t="shared" si="98"/>
        <v>247500</v>
      </c>
      <c r="N1049" s="5">
        <v>15000</v>
      </c>
      <c r="O1049" s="8">
        <f t="shared" si="99"/>
        <v>262500</v>
      </c>
      <c r="P1049" s="2" t="s">
        <v>35</v>
      </c>
      <c r="Q1049" s="10" t="str">
        <f>VLOOKUP(A1049,Status!A:B,2,0)</f>
        <v>Completed</v>
      </c>
      <c r="R1049" s="2" t="s">
        <v>36</v>
      </c>
      <c r="S1049" s="2">
        <v>2</v>
      </c>
      <c r="T1049" s="2" t="s">
        <v>37</v>
      </c>
      <c r="U1049" s="10" t="str">
        <f t="shared" si="101"/>
        <v>Jul</v>
      </c>
      <c r="V1049" s="10">
        <f t="shared" si="100"/>
        <v>2025</v>
      </c>
      <c r="W1049" t="e" cm="1">
        <f t="array" ref="W1049">_xlfn.IFS(U1049="January",1,U1049="February",2,U1049="March",3,U1049="April",4,U1049="May",5,U1049="June",6,U1049="July",7,U1049="August",8,U1049="September",9,U1049="October",10,U1049="November",11,U1049="December",12)</f>
        <v>#N/A</v>
      </c>
    </row>
    <row r="1050" spans="1:23" ht="15.75" customHeight="1" x14ac:dyDescent="0.25">
      <c r="A1050" s="2" t="s">
        <v>1992</v>
      </c>
      <c r="B1050" s="3">
        <v>45849.229178240741</v>
      </c>
      <c r="C1050" s="2" t="s">
        <v>1981</v>
      </c>
      <c r="D1050" s="2" t="s">
        <v>53</v>
      </c>
      <c r="E1050" s="2" t="s">
        <v>28</v>
      </c>
      <c r="F1050" s="2" t="str" cm="1">
        <f t="array" ref="F1050:G1050">_xlfn.TEXTSPLIT(E1050," - ")</f>
        <v>Garam</v>
      </c>
      <c r="G1050" s="2" t="str">
        <v>Brand B</v>
      </c>
      <c r="H1050" s="5">
        <v>5000</v>
      </c>
      <c r="I1050" s="2">
        <v>4</v>
      </c>
      <c r="J1050" s="2">
        <v>0</v>
      </c>
      <c r="K1050" s="8">
        <f t="shared" si="96"/>
        <v>20000</v>
      </c>
      <c r="L1050" s="8">
        <f t="shared" si="97"/>
        <v>0</v>
      </c>
      <c r="M1050" s="8">
        <f t="shared" si="98"/>
        <v>20000</v>
      </c>
      <c r="N1050" s="5">
        <v>18000</v>
      </c>
      <c r="O1050" s="8">
        <f t="shared" si="99"/>
        <v>38000</v>
      </c>
      <c r="P1050" s="2" t="s">
        <v>29</v>
      </c>
      <c r="Q1050" s="10" t="str">
        <f>VLOOKUP(A1050,Status!A:B,2,0)</f>
        <v>Completed</v>
      </c>
      <c r="R1050" s="2" t="s">
        <v>30</v>
      </c>
      <c r="S1050" s="2">
        <v>1</v>
      </c>
      <c r="T1050" s="2" t="s">
        <v>24</v>
      </c>
      <c r="U1050" s="10" t="str">
        <f t="shared" si="101"/>
        <v>Jul</v>
      </c>
      <c r="V1050" s="10">
        <f t="shared" si="100"/>
        <v>2025</v>
      </c>
      <c r="W1050" t="e" cm="1">
        <f t="array" ref="W1050">_xlfn.IFS(U1050="January",1,U1050="February",2,U1050="March",3,U1050="April",4,U1050="May",5,U1050="June",6,U1050="July",7,U1050="August",8,U1050="September",9,U1050="October",10,U1050="November",11,U1050="December",12)</f>
        <v>#N/A</v>
      </c>
    </row>
    <row r="1051" spans="1:23" ht="15.75" customHeight="1" x14ac:dyDescent="0.25">
      <c r="A1051" s="2" t="s">
        <v>1993</v>
      </c>
      <c r="B1051" s="3">
        <v>45849.283321759263</v>
      </c>
      <c r="C1051" s="2" t="s">
        <v>741</v>
      </c>
      <c r="D1051" s="2" t="s">
        <v>189</v>
      </c>
      <c r="E1051" s="2" t="s">
        <v>34</v>
      </c>
      <c r="F1051" s="2" t="str" cm="1">
        <f t="array" ref="F1051:G1051">_xlfn.TEXTSPLIT(E1051," - ")</f>
        <v>Minyak Goreng</v>
      </c>
      <c r="G1051" s="2" t="str">
        <v>Brand A</v>
      </c>
      <c r="H1051" s="5">
        <v>16000</v>
      </c>
      <c r="I1051" s="2">
        <v>3</v>
      </c>
      <c r="J1051" s="2">
        <v>5</v>
      </c>
      <c r="K1051" s="8">
        <f t="shared" si="96"/>
        <v>48000</v>
      </c>
      <c r="L1051" s="8">
        <f t="shared" si="97"/>
        <v>2400</v>
      </c>
      <c r="M1051" s="8">
        <f t="shared" si="98"/>
        <v>45600</v>
      </c>
      <c r="N1051" s="5">
        <v>57000</v>
      </c>
      <c r="O1051" s="8">
        <f t="shared" si="99"/>
        <v>102600</v>
      </c>
      <c r="P1051" s="2" t="s">
        <v>63</v>
      </c>
      <c r="Q1051" s="10" t="str">
        <f>VLOOKUP(A1051,Status!A:B,2,0)</f>
        <v>Completed</v>
      </c>
      <c r="R1051" s="2" t="s">
        <v>36</v>
      </c>
      <c r="S1051" s="2">
        <v>4</v>
      </c>
      <c r="T1051" s="2" t="s">
        <v>24</v>
      </c>
      <c r="U1051" s="10" t="str">
        <f t="shared" si="101"/>
        <v>Jul</v>
      </c>
      <c r="V1051" s="10">
        <f t="shared" si="100"/>
        <v>2025</v>
      </c>
      <c r="W1051" t="e" cm="1">
        <f t="array" ref="W1051">_xlfn.IFS(U1051="January",1,U1051="February",2,U1051="March",3,U1051="April",4,U1051="May",5,U1051="June",6,U1051="July",7,U1051="August",8,U1051="September",9,U1051="October",10,U1051="November",11,U1051="December",12)</f>
        <v>#N/A</v>
      </c>
    </row>
    <row r="1052" spans="1:23" ht="15.75" customHeight="1" x14ac:dyDescent="0.25">
      <c r="A1052" s="2" t="s">
        <v>1994</v>
      </c>
      <c r="B1052" s="3">
        <v>45849.604583333326</v>
      </c>
      <c r="C1052" s="2" t="s">
        <v>443</v>
      </c>
      <c r="D1052" s="2" t="s">
        <v>53</v>
      </c>
      <c r="E1052" s="2" t="s">
        <v>54</v>
      </c>
      <c r="F1052" s="2" t="str" cm="1">
        <f t="array" ref="F1052:G1052">_xlfn.TEXTSPLIT(E1052," - ")</f>
        <v>Beras</v>
      </c>
      <c r="G1052" s="2" t="str">
        <v>Brand C</v>
      </c>
      <c r="H1052" s="5">
        <v>16000</v>
      </c>
      <c r="I1052" s="2">
        <v>1</v>
      </c>
      <c r="J1052" s="2">
        <v>15</v>
      </c>
      <c r="K1052" s="8">
        <f t="shared" si="96"/>
        <v>16000</v>
      </c>
      <c r="L1052" s="8">
        <f t="shared" si="97"/>
        <v>2400</v>
      </c>
      <c r="M1052" s="8">
        <f t="shared" si="98"/>
        <v>13600</v>
      </c>
      <c r="N1052" s="5">
        <v>18000</v>
      </c>
      <c r="O1052" s="8">
        <f t="shared" si="99"/>
        <v>31600</v>
      </c>
      <c r="P1052" s="2" t="s">
        <v>22</v>
      </c>
      <c r="Q1052" s="10" t="str">
        <f>VLOOKUP(A1052,Status!A:B,2,0)</f>
        <v>Completed</v>
      </c>
      <c r="R1052" s="2" t="s">
        <v>36</v>
      </c>
      <c r="S1052" s="2">
        <v>2</v>
      </c>
      <c r="T1052" s="2" t="s">
        <v>24</v>
      </c>
      <c r="U1052" s="10" t="str">
        <f t="shared" si="101"/>
        <v>Jul</v>
      </c>
      <c r="V1052" s="10">
        <f t="shared" si="100"/>
        <v>2025</v>
      </c>
      <c r="W1052" t="e" cm="1">
        <f t="array" ref="W1052">_xlfn.IFS(U1052="January",1,U1052="February",2,U1052="March",3,U1052="April",4,U1052="May",5,U1052="June",6,U1052="July",7,U1052="August",8,U1052="September",9,U1052="October",10,U1052="November",11,U1052="December",12)</f>
        <v>#N/A</v>
      </c>
    </row>
    <row r="1053" spans="1:23" ht="15.75" customHeight="1" x14ac:dyDescent="0.25">
      <c r="A1053" s="2" t="s">
        <v>1995</v>
      </c>
      <c r="B1053" s="3">
        <v>45849.61210648148</v>
      </c>
      <c r="C1053" s="2" t="s">
        <v>1574</v>
      </c>
      <c r="D1053" s="2" t="s">
        <v>33</v>
      </c>
      <c r="E1053" s="2" t="s">
        <v>67</v>
      </c>
      <c r="F1053" s="2" t="str" cm="1">
        <f t="array" ref="F1053:G1053">_xlfn.TEXTSPLIT(E1053," - ")</f>
        <v>Beras</v>
      </c>
      <c r="G1053" s="2" t="str">
        <v>Brand B</v>
      </c>
      <c r="H1053" s="5">
        <v>15000</v>
      </c>
      <c r="I1053" s="2">
        <v>1</v>
      </c>
      <c r="J1053" s="2">
        <v>10</v>
      </c>
      <c r="K1053" s="8">
        <f t="shared" si="96"/>
        <v>15000</v>
      </c>
      <c r="L1053" s="8">
        <f t="shared" si="97"/>
        <v>1500</v>
      </c>
      <c r="M1053" s="8">
        <f t="shared" si="98"/>
        <v>13500</v>
      </c>
      <c r="N1053" s="5">
        <v>76000</v>
      </c>
      <c r="O1053" s="8">
        <f t="shared" si="99"/>
        <v>89500</v>
      </c>
      <c r="P1053" s="2" t="s">
        <v>63</v>
      </c>
      <c r="Q1053" s="10" t="str">
        <f>VLOOKUP(A1053,Status!A:B,2,0)</f>
        <v>Returned</v>
      </c>
      <c r="R1053" s="2" t="s">
        <v>36</v>
      </c>
      <c r="S1053" s="2">
        <v>4</v>
      </c>
      <c r="T1053" s="2" t="s">
        <v>24</v>
      </c>
      <c r="U1053" s="10" t="str">
        <f t="shared" si="101"/>
        <v>Jul</v>
      </c>
      <c r="V1053" s="10">
        <f t="shared" si="100"/>
        <v>2025</v>
      </c>
      <c r="W1053" t="e" cm="1">
        <f t="array" ref="W1053">_xlfn.IFS(U1053="January",1,U1053="February",2,U1053="March",3,U1053="April",4,U1053="May",5,U1053="June",6,U1053="July",7,U1053="August",8,U1053="September",9,U1053="October",10,U1053="November",11,U1053="December",12)</f>
        <v>#N/A</v>
      </c>
    </row>
    <row r="1054" spans="1:23" ht="15.75" customHeight="1" x14ac:dyDescent="0.25">
      <c r="A1054" s="2" t="s">
        <v>1996</v>
      </c>
      <c r="B1054" s="3">
        <v>45849.703344907408</v>
      </c>
      <c r="C1054" s="2" t="s">
        <v>192</v>
      </c>
      <c r="D1054" s="2" t="s">
        <v>107</v>
      </c>
      <c r="E1054" s="2" t="s">
        <v>138</v>
      </c>
      <c r="F1054" s="2" t="str" cm="1">
        <f t="array" ref="F1054:G1054">_xlfn.TEXTSPLIT(E1054," - ")</f>
        <v>Gula Pasir</v>
      </c>
      <c r="G1054" s="2" t="str">
        <v>Brand B</v>
      </c>
      <c r="H1054" s="5">
        <v>17000</v>
      </c>
      <c r="I1054" s="2">
        <v>4</v>
      </c>
      <c r="J1054" s="2">
        <v>20</v>
      </c>
      <c r="K1054" s="8">
        <f t="shared" si="96"/>
        <v>68000</v>
      </c>
      <c r="L1054" s="8">
        <f t="shared" si="97"/>
        <v>13600</v>
      </c>
      <c r="M1054" s="8">
        <f t="shared" si="98"/>
        <v>54400</v>
      </c>
      <c r="N1054" s="5">
        <v>97000</v>
      </c>
      <c r="O1054" s="8">
        <f t="shared" si="99"/>
        <v>151400</v>
      </c>
      <c r="P1054" s="2" t="s">
        <v>29</v>
      </c>
      <c r="Q1054" s="10" t="str">
        <f>VLOOKUP(A1054,Status!A:B,2,0)</f>
        <v>Completed</v>
      </c>
      <c r="R1054" s="2" t="s">
        <v>82</v>
      </c>
      <c r="S1054" s="2">
        <v>1</v>
      </c>
      <c r="T1054" s="2" t="s">
        <v>24</v>
      </c>
      <c r="U1054" s="10" t="str">
        <f t="shared" si="101"/>
        <v>Jul</v>
      </c>
      <c r="V1054" s="10">
        <f t="shared" si="100"/>
        <v>2025</v>
      </c>
      <c r="W1054" t="e" cm="1">
        <f t="array" ref="W1054">_xlfn.IFS(U1054="January",1,U1054="February",2,U1054="March",3,U1054="April",4,U1054="May",5,U1054="June",6,U1054="July",7,U1054="August",8,U1054="September",9,U1054="October",10,U1054="November",11,U1054="December",12)</f>
        <v>#N/A</v>
      </c>
    </row>
    <row r="1055" spans="1:23" ht="15.75" customHeight="1" x14ac:dyDescent="0.25">
      <c r="A1055" s="2" t="s">
        <v>1997</v>
      </c>
      <c r="B1055" s="3">
        <v>45849.777025462958</v>
      </c>
      <c r="C1055" s="2" t="s">
        <v>275</v>
      </c>
      <c r="D1055" s="2" t="s">
        <v>96</v>
      </c>
      <c r="E1055" s="2" t="s">
        <v>190</v>
      </c>
      <c r="F1055" s="2" t="str" cm="1">
        <f t="array" ref="F1055:G1055">_xlfn.TEXTSPLIT(E1055," - ")</f>
        <v>Bawang Merah</v>
      </c>
      <c r="G1055" s="2" t="str">
        <v>Brand B</v>
      </c>
      <c r="H1055" s="5">
        <v>35000</v>
      </c>
      <c r="I1055" s="2">
        <v>2</v>
      </c>
      <c r="J1055" s="2">
        <v>10</v>
      </c>
      <c r="K1055" s="8">
        <f t="shared" si="96"/>
        <v>70000</v>
      </c>
      <c r="L1055" s="8">
        <f t="shared" si="97"/>
        <v>7000</v>
      </c>
      <c r="M1055" s="8">
        <f t="shared" si="98"/>
        <v>63000</v>
      </c>
      <c r="N1055" s="5">
        <v>49000</v>
      </c>
      <c r="O1055" s="8">
        <f t="shared" si="99"/>
        <v>112000</v>
      </c>
      <c r="P1055" s="2" t="s">
        <v>35</v>
      </c>
      <c r="Q1055" s="10" t="str">
        <f>VLOOKUP(A1055,Status!A:B,2,0)</f>
        <v>Completed</v>
      </c>
      <c r="R1055" s="2" t="s">
        <v>23</v>
      </c>
      <c r="S1055" s="2">
        <v>2</v>
      </c>
      <c r="T1055" s="2" t="s">
        <v>24</v>
      </c>
      <c r="U1055" s="10" t="str">
        <f t="shared" si="101"/>
        <v>Jul</v>
      </c>
      <c r="V1055" s="10">
        <f t="shared" si="100"/>
        <v>2025</v>
      </c>
      <c r="W1055" t="e" cm="1">
        <f t="array" ref="W1055">_xlfn.IFS(U1055="January",1,U1055="February",2,U1055="March",3,U1055="April",4,U1055="May",5,U1055="June",6,U1055="July",7,U1055="August",8,U1055="September",9,U1055="October",10,U1055="November",11,U1055="December",12)</f>
        <v>#N/A</v>
      </c>
    </row>
    <row r="1056" spans="1:23" ht="15.75" customHeight="1" x14ac:dyDescent="0.25">
      <c r="A1056" s="2" t="s">
        <v>1997</v>
      </c>
      <c r="B1056" s="3">
        <v>45849.777025462958</v>
      </c>
      <c r="C1056" s="2" t="s">
        <v>275</v>
      </c>
      <c r="D1056" s="2" t="s">
        <v>96</v>
      </c>
      <c r="E1056" s="2" t="s">
        <v>123</v>
      </c>
      <c r="F1056" s="2" t="str" cm="1">
        <f t="array" ref="F1056:G1056">_xlfn.TEXTSPLIT(E1056," - ")</f>
        <v>Telur Ayam</v>
      </c>
      <c r="G1056" s="2" t="str">
        <v>Brand A</v>
      </c>
      <c r="H1056" s="5">
        <v>22000</v>
      </c>
      <c r="I1056" s="2">
        <v>1</v>
      </c>
      <c r="J1056" s="2">
        <v>15</v>
      </c>
      <c r="K1056" s="8">
        <f t="shared" si="96"/>
        <v>22000</v>
      </c>
      <c r="L1056" s="8">
        <f t="shared" si="97"/>
        <v>3300</v>
      </c>
      <c r="M1056" s="8">
        <f t="shared" si="98"/>
        <v>18700</v>
      </c>
      <c r="N1056" s="5">
        <v>0</v>
      </c>
      <c r="O1056" s="8">
        <f t="shared" si="99"/>
        <v>18700</v>
      </c>
      <c r="P1056" s="2" t="s">
        <v>35</v>
      </c>
      <c r="Q1056" s="10" t="str">
        <f>VLOOKUP(A1056,Status!A:B,2,0)</f>
        <v>Completed</v>
      </c>
      <c r="R1056" s="2" t="s">
        <v>23</v>
      </c>
      <c r="S1056" s="2">
        <v>2</v>
      </c>
      <c r="T1056" s="2" t="s">
        <v>24</v>
      </c>
      <c r="U1056" s="10" t="str">
        <f t="shared" si="101"/>
        <v>Jul</v>
      </c>
      <c r="V1056" s="10">
        <f t="shared" si="100"/>
        <v>2025</v>
      </c>
      <c r="W1056" t="e" cm="1">
        <f t="array" ref="W1056">_xlfn.IFS(U1056="January",1,U1056="February",2,U1056="March",3,U1056="April",4,U1056="May",5,U1056="June",6,U1056="July",7,U1056="August",8,U1056="September",9,U1056="October",10,U1056="November",11,U1056="December",12)</f>
        <v>#N/A</v>
      </c>
    </row>
    <row r="1057" spans="1:23" ht="15.75" customHeight="1" x14ac:dyDescent="0.25">
      <c r="A1057" s="2" t="s">
        <v>1998</v>
      </c>
      <c r="B1057" s="3">
        <v>45849.963599537034</v>
      </c>
      <c r="C1057" s="2" t="s">
        <v>1259</v>
      </c>
      <c r="D1057" s="2" t="s">
        <v>107</v>
      </c>
      <c r="E1057" s="2" t="s">
        <v>144</v>
      </c>
      <c r="F1057" s="2" t="str" cm="1">
        <f t="array" ref="F1057:G1057">_xlfn.TEXTSPLIT(E1057," - ")</f>
        <v>Gula Pasir</v>
      </c>
      <c r="G1057" s="2" t="str">
        <v>Brand C</v>
      </c>
      <c r="H1057" s="5">
        <v>18000</v>
      </c>
      <c r="I1057" s="2">
        <v>4</v>
      </c>
      <c r="J1057" s="2">
        <v>5</v>
      </c>
      <c r="K1057" s="8">
        <f t="shared" si="96"/>
        <v>72000</v>
      </c>
      <c r="L1057" s="8">
        <f t="shared" si="97"/>
        <v>3600</v>
      </c>
      <c r="M1057" s="8">
        <f t="shared" si="98"/>
        <v>68400</v>
      </c>
      <c r="N1057" s="5">
        <v>97000</v>
      </c>
      <c r="O1057" s="8">
        <f t="shared" si="99"/>
        <v>165400</v>
      </c>
      <c r="P1057" s="2" t="s">
        <v>29</v>
      </c>
      <c r="Q1057" s="10" t="str">
        <f>VLOOKUP(A1057,Status!A:B,2,0)</f>
        <v>Returned</v>
      </c>
      <c r="R1057" s="2" t="s">
        <v>30</v>
      </c>
      <c r="S1057" s="2">
        <v>2</v>
      </c>
      <c r="T1057" s="2" t="s">
        <v>37</v>
      </c>
      <c r="U1057" s="10" t="str">
        <f t="shared" si="101"/>
        <v>Jul</v>
      </c>
      <c r="V1057" s="10">
        <f t="shared" si="100"/>
        <v>2025</v>
      </c>
      <c r="W1057" t="e" cm="1">
        <f t="array" ref="W1057">_xlfn.IFS(U1057="January",1,U1057="February",2,U1057="March",3,U1057="April",4,U1057="May",5,U1057="June",6,U1057="July",7,U1057="August",8,U1057="September",9,U1057="October",10,U1057="November",11,U1057="December",12)</f>
        <v>#N/A</v>
      </c>
    </row>
    <row r="1058" spans="1:23" ht="15.75" customHeight="1" x14ac:dyDescent="0.25">
      <c r="A1058" s="2" t="s">
        <v>1999</v>
      </c>
      <c r="B1058" s="3">
        <v>45850.207638888889</v>
      </c>
      <c r="C1058" s="2" t="s">
        <v>504</v>
      </c>
      <c r="D1058" s="2" t="s">
        <v>195</v>
      </c>
      <c r="E1058" s="2" t="s">
        <v>54</v>
      </c>
      <c r="F1058" s="2" t="str" cm="1">
        <f t="array" ref="F1058:G1058">_xlfn.TEXTSPLIT(E1058," - ")</f>
        <v>Beras</v>
      </c>
      <c r="G1058" s="2" t="str">
        <v>Brand C</v>
      </c>
      <c r="H1058" s="5">
        <v>16000</v>
      </c>
      <c r="I1058" s="2">
        <v>3</v>
      </c>
      <c r="J1058" s="2">
        <v>5</v>
      </c>
      <c r="K1058" s="8">
        <f t="shared" si="96"/>
        <v>48000</v>
      </c>
      <c r="L1058" s="8">
        <f t="shared" si="97"/>
        <v>2400</v>
      </c>
      <c r="M1058" s="8">
        <f t="shared" si="98"/>
        <v>45600</v>
      </c>
      <c r="N1058" s="5">
        <v>87000</v>
      </c>
      <c r="O1058" s="8">
        <f t="shared" si="99"/>
        <v>132600</v>
      </c>
      <c r="P1058" s="2" t="s">
        <v>22</v>
      </c>
      <c r="Q1058" s="10" t="str">
        <f>VLOOKUP(A1058,Status!A:B,2,0)</f>
        <v>Completed</v>
      </c>
      <c r="R1058" s="2" t="s">
        <v>30</v>
      </c>
      <c r="S1058" s="2">
        <v>1</v>
      </c>
      <c r="T1058" s="2" t="s">
        <v>24</v>
      </c>
      <c r="U1058" s="10" t="str">
        <f t="shared" si="101"/>
        <v>Jul</v>
      </c>
      <c r="V1058" s="10">
        <f t="shared" si="100"/>
        <v>2025</v>
      </c>
      <c r="W1058" t="e" cm="1">
        <f t="array" ref="W1058">_xlfn.IFS(U1058="January",1,U1058="February",2,U1058="March",3,U1058="April",4,U1058="May",5,U1058="June",6,U1058="July",7,U1058="August",8,U1058="September",9,U1058="October",10,U1058="November",11,U1058="December",12)</f>
        <v>#N/A</v>
      </c>
    </row>
    <row r="1059" spans="1:23" ht="15.75" customHeight="1" x14ac:dyDescent="0.25">
      <c r="A1059" s="2" t="s">
        <v>2000</v>
      </c>
      <c r="B1059" s="3">
        <v>45850.254374999997</v>
      </c>
      <c r="C1059" s="2" t="s">
        <v>615</v>
      </c>
      <c r="D1059" s="2" t="s">
        <v>92</v>
      </c>
      <c r="E1059" s="2" t="s">
        <v>250</v>
      </c>
      <c r="F1059" s="2" t="str" cm="1">
        <f t="array" ref="F1059:G1059">_xlfn.TEXTSPLIT(E1059," - ")</f>
        <v>Minyak Goreng</v>
      </c>
      <c r="G1059" s="2" t="str">
        <v>Brand C</v>
      </c>
      <c r="H1059" s="5">
        <v>18000</v>
      </c>
      <c r="I1059" s="2">
        <v>4</v>
      </c>
      <c r="J1059" s="2">
        <v>15</v>
      </c>
      <c r="K1059" s="8">
        <f t="shared" si="96"/>
        <v>72000</v>
      </c>
      <c r="L1059" s="8">
        <f t="shared" si="97"/>
        <v>10800</v>
      </c>
      <c r="M1059" s="8">
        <f t="shared" si="98"/>
        <v>61200</v>
      </c>
      <c r="N1059" s="5">
        <v>30000</v>
      </c>
      <c r="O1059" s="8">
        <f t="shared" si="99"/>
        <v>91200</v>
      </c>
      <c r="P1059" s="2" t="s">
        <v>35</v>
      </c>
      <c r="Q1059" s="10" t="str">
        <f>VLOOKUP(A1059,Status!A:B,2,0)</f>
        <v>Completed</v>
      </c>
      <c r="R1059" s="2" t="s">
        <v>82</v>
      </c>
      <c r="S1059" s="2">
        <v>4</v>
      </c>
      <c r="T1059" s="2" t="s">
        <v>24</v>
      </c>
      <c r="U1059" s="10" t="str">
        <f t="shared" si="101"/>
        <v>Jul</v>
      </c>
      <c r="V1059" s="10">
        <f t="shared" si="100"/>
        <v>2025</v>
      </c>
      <c r="W1059" t="e" cm="1">
        <f t="array" ref="W1059">_xlfn.IFS(U1059="January",1,U1059="February",2,U1059="March",3,U1059="April",4,U1059="May",5,U1059="June",6,U1059="July",7,U1059="August",8,U1059="September",9,U1059="October",10,U1059="November",11,U1059="December",12)</f>
        <v>#N/A</v>
      </c>
    </row>
    <row r="1060" spans="1:23" ht="15.75" customHeight="1" x14ac:dyDescent="0.25">
      <c r="A1060" s="2" t="s">
        <v>2001</v>
      </c>
      <c r="B1060" s="3">
        <v>45850.999803240738</v>
      </c>
      <c r="C1060" s="2" t="s">
        <v>56</v>
      </c>
      <c r="D1060" s="2" t="s">
        <v>57</v>
      </c>
      <c r="E1060" s="2" t="s">
        <v>104</v>
      </c>
      <c r="F1060" s="2" t="str" cm="1">
        <f t="array" ref="F1060:G1060">_xlfn.TEXTSPLIT(E1060," - ")</f>
        <v>Bawang Merah</v>
      </c>
      <c r="G1060" s="2" t="str">
        <v>Brand A</v>
      </c>
      <c r="H1060" s="5">
        <v>30000</v>
      </c>
      <c r="I1060" s="2">
        <v>2</v>
      </c>
      <c r="J1060" s="2">
        <v>15</v>
      </c>
      <c r="K1060" s="8">
        <f t="shared" si="96"/>
        <v>60000</v>
      </c>
      <c r="L1060" s="8">
        <f t="shared" si="97"/>
        <v>9000</v>
      </c>
      <c r="M1060" s="8">
        <f t="shared" si="98"/>
        <v>51000</v>
      </c>
      <c r="N1060" s="5">
        <v>80000</v>
      </c>
      <c r="O1060" s="8">
        <f t="shared" si="99"/>
        <v>131000</v>
      </c>
      <c r="P1060" s="2" t="s">
        <v>63</v>
      </c>
      <c r="Q1060" s="10" t="str">
        <f>VLOOKUP(A1060,Status!A:B,2,0)</f>
        <v>Completed</v>
      </c>
      <c r="R1060" s="2" t="s">
        <v>46</v>
      </c>
      <c r="S1060" s="2">
        <v>4</v>
      </c>
      <c r="T1060" s="2" t="s">
        <v>24</v>
      </c>
      <c r="U1060" s="10" t="str">
        <f t="shared" si="101"/>
        <v>Jul</v>
      </c>
      <c r="V1060" s="10">
        <f t="shared" si="100"/>
        <v>2025</v>
      </c>
      <c r="W1060" t="e" cm="1">
        <f t="array" ref="W1060">_xlfn.IFS(U1060="January",1,U1060="February",2,U1060="March",3,U1060="April",4,U1060="May",5,U1060="June",6,U1060="July",7,U1060="August",8,U1060="September",9,U1060="October",10,U1060="November",11,U1060="December",12)</f>
        <v>#N/A</v>
      </c>
    </row>
    <row r="1061" spans="1:23" ht="15.75" customHeight="1" x14ac:dyDescent="0.25">
      <c r="A1061" s="2" t="s">
        <v>2002</v>
      </c>
      <c r="B1061" s="3">
        <v>45851.378194444442</v>
      </c>
      <c r="C1061" s="2" t="s">
        <v>758</v>
      </c>
      <c r="D1061" s="2" t="s">
        <v>238</v>
      </c>
      <c r="E1061" s="2" t="s">
        <v>67</v>
      </c>
      <c r="F1061" s="2" t="str" cm="1">
        <f t="array" ref="F1061:G1061">_xlfn.TEXTSPLIT(E1061," - ")</f>
        <v>Beras</v>
      </c>
      <c r="G1061" s="2" t="str">
        <v>Brand B</v>
      </c>
      <c r="H1061" s="5">
        <v>15000</v>
      </c>
      <c r="I1061" s="2">
        <v>4</v>
      </c>
      <c r="J1061" s="2">
        <v>5</v>
      </c>
      <c r="K1061" s="8">
        <f t="shared" si="96"/>
        <v>60000</v>
      </c>
      <c r="L1061" s="8">
        <f t="shared" si="97"/>
        <v>3000</v>
      </c>
      <c r="M1061" s="8">
        <f t="shared" si="98"/>
        <v>57000</v>
      </c>
      <c r="N1061" s="5">
        <v>28000</v>
      </c>
      <c r="O1061" s="8">
        <f t="shared" si="99"/>
        <v>85000</v>
      </c>
      <c r="P1061" s="2" t="s">
        <v>35</v>
      </c>
      <c r="Q1061" s="10" t="str">
        <f>VLOOKUP(A1061,Status!A:B,2,0)</f>
        <v>Completed</v>
      </c>
      <c r="R1061" s="2" t="s">
        <v>46</v>
      </c>
      <c r="S1061" s="2">
        <v>2</v>
      </c>
      <c r="T1061" s="2" t="s">
        <v>24</v>
      </c>
      <c r="U1061" s="10" t="str">
        <f t="shared" si="101"/>
        <v>Jul</v>
      </c>
      <c r="V1061" s="10">
        <f t="shared" si="100"/>
        <v>2025</v>
      </c>
      <c r="W1061" t="e" cm="1">
        <f t="array" ref="W1061">_xlfn.IFS(U1061="January",1,U1061="February",2,U1061="March",3,U1061="April",4,U1061="May",5,U1061="June",6,U1061="July",7,U1061="August",8,U1061="September",9,U1061="October",10,U1061="November",11,U1061="December",12)</f>
        <v>#N/A</v>
      </c>
    </row>
    <row r="1062" spans="1:23" ht="15.75" customHeight="1" x14ac:dyDescent="0.25">
      <c r="A1062" s="2" t="s">
        <v>2003</v>
      </c>
      <c r="B1062" s="3">
        <v>45851.78570601852</v>
      </c>
      <c r="C1062" s="2" t="s">
        <v>256</v>
      </c>
      <c r="D1062" s="2" t="s">
        <v>107</v>
      </c>
      <c r="E1062" s="2" t="s">
        <v>45</v>
      </c>
      <c r="F1062" s="2" t="str" cm="1">
        <f t="array" ref="F1062:G1062">_xlfn.TEXTSPLIT(E1062," - ")</f>
        <v>Daging Ayam</v>
      </c>
      <c r="G1062" s="2" t="str">
        <v>Brand B</v>
      </c>
      <c r="H1062" s="5">
        <v>40000</v>
      </c>
      <c r="I1062" s="2">
        <v>5</v>
      </c>
      <c r="J1062" s="2">
        <v>5</v>
      </c>
      <c r="K1062" s="8">
        <f t="shared" si="96"/>
        <v>200000</v>
      </c>
      <c r="L1062" s="8">
        <f t="shared" si="97"/>
        <v>10000</v>
      </c>
      <c r="M1062" s="8">
        <f t="shared" si="98"/>
        <v>190000</v>
      </c>
      <c r="N1062" s="5">
        <v>97000</v>
      </c>
      <c r="O1062" s="8">
        <f t="shared" si="99"/>
        <v>287000</v>
      </c>
      <c r="P1062" s="2" t="s">
        <v>63</v>
      </c>
      <c r="Q1062" s="10" t="str">
        <f>VLOOKUP(A1062,Status!A:B,2,0)</f>
        <v>Completed</v>
      </c>
      <c r="R1062" s="2" t="s">
        <v>30</v>
      </c>
      <c r="S1062" s="2">
        <v>5</v>
      </c>
      <c r="T1062" s="2" t="s">
        <v>24</v>
      </c>
      <c r="U1062" s="10" t="str">
        <f t="shared" si="101"/>
        <v>Jul</v>
      </c>
      <c r="V1062" s="10">
        <f t="shared" si="100"/>
        <v>2025</v>
      </c>
      <c r="W1062" t="e" cm="1">
        <f t="array" ref="W1062">_xlfn.IFS(U1062="January",1,U1062="February",2,U1062="March",3,U1062="April",4,U1062="May",5,U1062="June",6,U1062="July",7,U1062="August",8,U1062="September",9,U1062="October",10,U1062="November",11,U1062="December",12)</f>
        <v>#N/A</v>
      </c>
    </row>
    <row r="1063" spans="1:23" ht="15.75" customHeight="1" x14ac:dyDescent="0.25">
      <c r="A1063" s="2" t="s">
        <v>2004</v>
      </c>
      <c r="B1063" s="3">
        <v>45851.9140625</v>
      </c>
      <c r="C1063" s="2" t="s">
        <v>690</v>
      </c>
      <c r="D1063" s="2" t="s">
        <v>173</v>
      </c>
      <c r="E1063" s="2" t="s">
        <v>41</v>
      </c>
      <c r="F1063" s="2" t="str" cm="1">
        <f t="array" ref="F1063:G1063">_xlfn.TEXTSPLIT(E1063," - ")</f>
        <v>Garam</v>
      </c>
      <c r="G1063" s="2" t="str">
        <v>Brand A</v>
      </c>
      <c r="H1063" s="5">
        <v>4000</v>
      </c>
      <c r="I1063" s="2">
        <v>3</v>
      </c>
      <c r="J1063" s="2">
        <v>15</v>
      </c>
      <c r="K1063" s="8">
        <f t="shared" si="96"/>
        <v>12000</v>
      </c>
      <c r="L1063" s="8">
        <f t="shared" si="97"/>
        <v>1800</v>
      </c>
      <c r="M1063" s="8">
        <f t="shared" si="98"/>
        <v>10200</v>
      </c>
      <c r="N1063" s="5">
        <v>49000</v>
      </c>
      <c r="O1063" s="8">
        <f t="shared" si="99"/>
        <v>59200</v>
      </c>
      <c r="P1063" s="2" t="s">
        <v>29</v>
      </c>
      <c r="Q1063" s="10" t="str">
        <f>VLOOKUP(A1063,Status!A:B,2,0)</f>
        <v>Completed</v>
      </c>
      <c r="R1063" s="2" t="s">
        <v>36</v>
      </c>
      <c r="S1063" s="2">
        <v>1</v>
      </c>
      <c r="T1063" s="2" t="s">
        <v>37</v>
      </c>
      <c r="U1063" s="10" t="str">
        <f t="shared" si="101"/>
        <v>Jul</v>
      </c>
      <c r="V1063" s="10">
        <f t="shared" si="100"/>
        <v>2025</v>
      </c>
      <c r="W1063" t="e" cm="1">
        <f t="array" ref="W1063">_xlfn.IFS(U1063="January",1,U1063="February",2,U1063="March",3,U1063="April",4,U1063="May",5,U1063="June",6,U1063="July",7,U1063="August",8,U1063="September",9,U1063="October",10,U1063="November",11,U1063="December",12)</f>
        <v>#N/A</v>
      </c>
    </row>
    <row r="1064" spans="1:23" ht="15.75" customHeight="1" x14ac:dyDescent="0.25">
      <c r="A1064" s="2" t="s">
        <v>2005</v>
      </c>
      <c r="B1064" s="3">
        <v>45851.981817129628</v>
      </c>
      <c r="C1064" s="2" t="s">
        <v>150</v>
      </c>
      <c r="D1064" s="2" t="s">
        <v>151</v>
      </c>
      <c r="E1064" s="2" t="s">
        <v>45</v>
      </c>
      <c r="F1064" s="2" t="str" cm="1">
        <f t="array" ref="F1064:G1064">_xlfn.TEXTSPLIT(E1064," - ")</f>
        <v>Daging Ayam</v>
      </c>
      <c r="G1064" s="2" t="str">
        <v>Brand B</v>
      </c>
      <c r="H1064" s="5">
        <v>40000</v>
      </c>
      <c r="I1064" s="2">
        <v>3</v>
      </c>
      <c r="J1064" s="2">
        <v>10</v>
      </c>
      <c r="K1064" s="8">
        <f t="shared" si="96"/>
        <v>120000</v>
      </c>
      <c r="L1064" s="8">
        <f t="shared" si="97"/>
        <v>12000</v>
      </c>
      <c r="M1064" s="8">
        <f t="shared" si="98"/>
        <v>108000</v>
      </c>
      <c r="N1064" s="5">
        <v>55000</v>
      </c>
      <c r="O1064" s="8">
        <f t="shared" si="99"/>
        <v>163000</v>
      </c>
      <c r="P1064" s="2" t="s">
        <v>35</v>
      </c>
      <c r="Q1064" s="10" t="str">
        <f>VLOOKUP(A1064,Status!A:B,2,0)</f>
        <v>Completed</v>
      </c>
      <c r="R1064" s="2" t="s">
        <v>23</v>
      </c>
      <c r="S1064" s="2">
        <v>2</v>
      </c>
      <c r="T1064" s="2" t="s">
        <v>37</v>
      </c>
      <c r="U1064" s="10" t="str">
        <f t="shared" si="101"/>
        <v>Jul</v>
      </c>
      <c r="V1064" s="10">
        <f t="shared" si="100"/>
        <v>2025</v>
      </c>
      <c r="W1064" t="e" cm="1">
        <f t="array" ref="W1064">_xlfn.IFS(U1064="January",1,U1064="February",2,U1064="March",3,U1064="April",4,U1064="May",5,U1064="June",6,U1064="July",7,U1064="August",8,U1064="September",9,U1064="October",10,U1064="November",11,U1064="December",12)</f>
        <v>#N/A</v>
      </c>
    </row>
    <row r="1065" spans="1:23" ht="15.75" customHeight="1" x14ac:dyDescent="0.25">
      <c r="A1065" s="2" t="s">
        <v>2006</v>
      </c>
      <c r="B1065" s="3">
        <v>45852.000694444447</v>
      </c>
      <c r="C1065" s="2" t="s">
        <v>256</v>
      </c>
      <c r="D1065" s="2" t="s">
        <v>107</v>
      </c>
      <c r="E1065" s="2" t="s">
        <v>144</v>
      </c>
      <c r="F1065" s="2" t="str" cm="1">
        <f t="array" ref="F1065:G1065">_xlfn.TEXTSPLIT(E1065," - ")</f>
        <v>Gula Pasir</v>
      </c>
      <c r="G1065" s="2" t="str">
        <v>Brand C</v>
      </c>
      <c r="H1065" s="5">
        <v>18000</v>
      </c>
      <c r="I1065" s="2">
        <v>5</v>
      </c>
      <c r="J1065" s="2">
        <v>5</v>
      </c>
      <c r="K1065" s="8">
        <f t="shared" si="96"/>
        <v>90000</v>
      </c>
      <c r="L1065" s="8">
        <f t="shared" si="97"/>
        <v>4500</v>
      </c>
      <c r="M1065" s="8">
        <f t="shared" si="98"/>
        <v>85500</v>
      </c>
      <c r="N1065" s="5">
        <v>97000</v>
      </c>
      <c r="O1065" s="8">
        <f t="shared" si="99"/>
        <v>182500</v>
      </c>
      <c r="P1065" s="2" t="s">
        <v>29</v>
      </c>
      <c r="Q1065" s="10" t="str">
        <f>VLOOKUP(A1065,Status!A:B,2,0)</f>
        <v>Completed</v>
      </c>
      <c r="R1065" s="2" t="s">
        <v>46</v>
      </c>
      <c r="S1065" s="2">
        <v>2</v>
      </c>
      <c r="T1065" s="2" t="s">
        <v>24</v>
      </c>
      <c r="U1065" s="10" t="str">
        <f t="shared" si="101"/>
        <v>Jul</v>
      </c>
      <c r="V1065" s="10">
        <f t="shared" si="100"/>
        <v>2025</v>
      </c>
      <c r="W1065" t="e" cm="1">
        <f t="array" ref="W1065">_xlfn.IFS(U1065="January",1,U1065="February",2,U1065="March",3,U1065="April",4,U1065="May",5,U1065="June",6,U1065="July",7,U1065="August",8,U1065="September",9,U1065="October",10,U1065="November",11,U1065="December",12)</f>
        <v>#N/A</v>
      </c>
    </row>
    <row r="1066" spans="1:23" ht="15.75" customHeight="1" x14ac:dyDescent="0.25">
      <c r="A1066" s="2" t="s">
        <v>2007</v>
      </c>
      <c r="B1066" s="3">
        <v>45852.398240740738</v>
      </c>
      <c r="C1066" s="2" t="s">
        <v>419</v>
      </c>
      <c r="D1066" s="2" t="s">
        <v>103</v>
      </c>
      <c r="E1066" s="2" t="s">
        <v>21</v>
      </c>
      <c r="F1066" s="2" t="str" cm="1">
        <f t="array" ref="F1066:G1066">_xlfn.TEXTSPLIT(E1066," - ")</f>
        <v>Daging Ayam</v>
      </c>
      <c r="G1066" s="2" t="str">
        <v>Brand C</v>
      </c>
      <c r="H1066" s="5">
        <v>45000</v>
      </c>
      <c r="I1066" s="2">
        <v>5</v>
      </c>
      <c r="J1066" s="2">
        <v>5</v>
      </c>
      <c r="K1066" s="8">
        <f t="shared" si="96"/>
        <v>225000</v>
      </c>
      <c r="L1066" s="8">
        <f t="shared" si="97"/>
        <v>11250</v>
      </c>
      <c r="M1066" s="8">
        <f t="shared" si="98"/>
        <v>213750</v>
      </c>
      <c r="N1066" s="5">
        <v>85000</v>
      </c>
      <c r="O1066" s="8">
        <f t="shared" si="99"/>
        <v>298750</v>
      </c>
      <c r="P1066" s="2" t="s">
        <v>29</v>
      </c>
      <c r="Q1066" s="10" t="str">
        <f>VLOOKUP(A1066,Status!A:B,2,0)</f>
        <v>Completed</v>
      </c>
      <c r="R1066" s="2" t="s">
        <v>36</v>
      </c>
      <c r="S1066" s="2">
        <v>3</v>
      </c>
      <c r="T1066" s="2" t="s">
        <v>37</v>
      </c>
      <c r="U1066" s="10" t="str">
        <f t="shared" si="101"/>
        <v>Jul</v>
      </c>
      <c r="V1066" s="10">
        <f t="shared" si="100"/>
        <v>2025</v>
      </c>
      <c r="W1066" t="e" cm="1">
        <f t="array" ref="W1066">_xlfn.IFS(U1066="January",1,U1066="February",2,U1066="March",3,U1066="April",4,U1066="May",5,U1066="June",6,U1066="July",7,U1066="August",8,U1066="September",9,U1066="October",10,U1066="November",11,U1066="December",12)</f>
        <v>#N/A</v>
      </c>
    </row>
    <row r="1067" spans="1:23" ht="15.75" customHeight="1" x14ac:dyDescent="0.25">
      <c r="A1067" s="2" t="s">
        <v>2008</v>
      </c>
      <c r="B1067" s="3">
        <v>45852.491527777784</v>
      </c>
      <c r="C1067" s="2" t="s">
        <v>2009</v>
      </c>
      <c r="D1067" s="2" t="s">
        <v>49</v>
      </c>
      <c r="E1067" s="2" t="s">
        <v>38</v>
      </c>
      <c r="F1067" s="2" t="str" cm="1">
        <f t="array" ref="F1067:G1067">_xlfn.TEXTSPLIT(E1067," - ")</f>
        <v>Telur Ayam</v>
      </c>
      <c r="G1067" s="2" t="str">
        <v>Brand C</v>
      </c>
      <c r="H1067" s="5">
        <v>28000</v>
      </c>
      <c r="I1067" s="2">
        <v>2</v>
      </c>
      <c r="J1067" s="2">
        <v>15</v>
      </c>
      <c r="K1067" s="8">
        <f t="shared" si="96"/>
        <v>56000</v>
      </c>
      <c r="L1067" s="8">
        <f t="shared" si="97"/>
        <v>8400</v>
      </c>
      <c r="M1067" s="8">
        <f t="shared" si="98"/>
        <v>47600</v>
      </c>
      <c r="N1067" s="5">
        <v>43000</v>
      </c>
      <c r="O1067" s="8">
        <f t="shared" si="99"/>
        <v>90600</v>
      </c>
      <c r="P1067" s="2" t="s">
        <v>29</v>
      </c>
      <c r="Q1067" s="10" t="str">
        <f>VLOOKUP(A1067,Status!A:B,2,0)</f>
        <v>Completed</v>
      </c>
      <c r="R1067" s="2" t="s">
        <v>23</v>
      </c>
      <c r="S1067" s="2">
        <v>5</v>
      </c>
      <c r="T1067" s="2" t="s">
        <v>24</v>
      </c>
      <c r="U1067" s="10" t="str">
        <f t="shared" si="101"/>
        <v>Jul</v>
      </c>
      <c r="V1067" s="10">
        <f t="shared" si="100"/>
        <v>2025</v>
      </c>
      <c r="W1067" t="e" cm="1">
        <f t="array" ref="W1067">_xlfn.IFS(U1067="January",1,U1067="February",2,U1067="March",3,U1067="April",4,U1067="May",5,U1067="June",6,U1067="July",7,U1067="August",8,U1067="September",9,U1067="October",10,U1067="November",11,U1067="December",12)</f>
        <v>#N/A</v>
      </c>
    </row>
    <row r="1068" spans="1:23" ht="15.75" customHeight="1" x14ac:dyDescent="0.25">
      <c r="A1068" s="2" t="s">
        <v>2010</v>
      </c>
      <c r="B1068" s="3">
        <v>45852.729560185187</v>
      </c>
      <c r="C1068" s="2" t="s">
        <v>155</v>
      </c>
      <c r="D1068" s="2" t="s">
        <v>92</v>
      </c>
      <c r="E1068" s="2" t="s">
        <v>41</v>
      </c>
      <c r="F1068" s="2" t="str" cm="1">
        <f t="array" ref="F1068:G1068">_xlfn.TEXTSPLIT(E1068," - ")</f>
        <v>Garam</v>
      </c>
      <c r="G1068" s="2" t="str">
        <v>Brand A</v>
      </c>
      <c r="H1068" s="5">
        <v>4000</v>
      </c>
      <c r="I1068" s="2">
        <v>3</v>
      </c>
      <c r="J1068" s="2">
        <v>5</v>
      </c>
      <c r="K1068" s="8">
        <f t="shared" si="96"/>
        <v>12000</v>
      </c>
      <c r="L1068" s="8">
        <f t="shared" si="97"/>
        <v>600</v>
      </c>
      <c r="M1068" s="8">
        <f t="shared" si="98"/>
        <v>11400</v>
      </c>
      <c r="N1068" s="5">
        <v>30000</v>
      </c>
      <c r="O1068" s="8">
        <f t="shared" si="99"/>
        <v>41400</v>
      </c>
      <c r="P1068" s="2" t="s">
        <v>22</v>
      </c>
      <c r="Q1068" s="10" t="str">
        <f>VLOOKUP(A1068,Status!A:B,2,0)</f>
        <v>Completed</v>
      </c>
      <c r="R1068" s="2" t="s">
        <v>46</v>
      </c>
      <c r="S1068" s="2">
        <v>5</v>
      </c>
      <c r="T1068" s="2" t="s">
        <v>24</v>
      </c>
      <c r="U1068" s="10" t="str">
        <f t="shared" si="101"/>
        <v>Jul</v>
      </c>
      <c r="V1068" s="10">
        <f t="shared" si="100"/>
        <v>2025</v>
      </c>
      <c r="W1068" t="e" cm="1">
        <f t="array" ref="W1068">_xlfn.IFS(U1068="January",1,U1068="February",2,U1068="March",3,U1068="April",4,U1068="May",5,U1068="June",6,U1068="July",7,U1068="August",8,U1068="September",9,U1068="October",10,U1068="November",11,U1068="December",12)</f>
        <v>#N/A</v>
      </c>
    </row>
    <row r="1069" spans="1:23" ht="15.75" customHeight="1" x14ac:dyDescent="0.25">
      <c r="A1069" s="2" t="s">
        <v>2011</v>
      </c>
      <c r="B1069" s="3">
        <v>45853.031782407408</v>
      </c>
      <c r="C1069" s="2" t="s">
        <v>140</v>
      </c>
      <c r="D1069" s="2" t="s">
        <v>92</v>
      </c>
      <c r="E1069" s="2" t="s">
        <v>62</v>
      </c>
      <c r="F1069" s="2" t="str" cm="1">
        <f t="array" ref="F1069:G1069">_xlfn.TEXTSPLIT(E1069," - ")</f>
        <v>Susu Bubuk</v>
      </c>
      <c r="G1069" s="2" t="str">
        <v>Brand B</v>
      </c>
      <c r="H1069" s="5">
        <v>50000</v>
      </c>
      <c r="I1069" s="2">
        <v>5</v>
      </c>
      <c r="J1069" s="2">
        <v>10</v>
      </c>
      <c r="K1069" s="8">
        <f t="shared" si="96"/>
        <v>250000</v>
      </c>
      <c r="L1069" s="8">
        <f t="shared" si="97"/>
        <v>25000</v>
      </c>
      <c r="M1069" s="8">
        <f t="shared" si="98"/>
        <v>225000</v>
      </c>
      <c r="N1069" s="5">
        <v>30000</v>
      </c>
      <c r="O1069" s="8">
        <f t="shared" si="99"/>
        <v>255000</v>
      </c>
      <c r="P1069" s="2" t="s">
        <v>22</v>
      </c>
      <c r="Q1069" s="10" t="str">
        <f>VLOOKUP(A1069,Status!A:B,2,0)</f>
        <v>Returned</v>
      </c>
      <c r="R1069" s="2" t="s">
        <v>30</v>
      </c>
      <c r="S1069" s="2">
        <v>5</v>
      </c>
      <c r="T1069" s="2" t="s">
        <v>24</v>
      </c>
      <c r="U1069" s="10" t="str">
        <f t="shared" si="101"/>
        <v>Jul</v>
      </c>
      <c r="V1069" s="10">
        <f t="shared" si="100"/>
        <v>2025</v>
      </c>
      <c r="W1069" t="e" cm="1">
        <f t="array" ref="W1069">_xlfn.IFS(U1069="January",1,U1069="February",2,U1069="March",3,U1069="April",4,U1069="May",5,U1069="June",6,U1069="July",7,U1069="August",8,U1069="September",9,U1069="October",10,U1069="November",11,U1069="December",12)</f>
        <v>#N/A</v>
      </c>
    </row>
    <row r="1070" spans="1:23" ht="15.75" customHeight="1" x14ac:dyDescent="0.25">
      <c r="A1070" s="2" t="s">
        <v>2012</v>
      </c>
      <c r="B1070" s="3">
        <v>45853.048391203702</v>
      </c>
      <c r="C1070" s="2" t="s">
        <v>142</v>
      </c>
      <c r="D1070" s="2" t="s">
        <v>143</v>
      </c>
      <c r="E1070" s="2" t="s">
        <v>41</v>
      </c>
      <c r="F1070" s="2" t="str" cm="1">
        <f t="array" ref="F1070:G1070">_xlfn.TEXTSPLIT(E1070," - ")</f>
        <v>Garam</v>
      </c>
      <c r="G1070" s="2" t="str">
        <v>Brand A</v>
      </c>
      <c r="H1070" s="5">
        <v>4000</v>
      </c>
      <c r="I1070" s="2">
        <v>1</v>
      </c>
      <c r="J1070" s="2">
        <v>20</v>
      </c>
      <c r="K1070" s="8">
        <f t="shared" si="96"/>
        <v>4000</v>
      </c>
      <c r="L1070" s="8">
        <f t="shared" si="97"/>
        <v>800</v>
      </c>
      <c r="M1070" s="8">
        <f t="shared" si="98"/>
        <v>3200</v>
      </c>
      <c r="N1070" s="5">
        <v>50000</v>
      </c>
      <c r="O1070" s="8">
        <f t="shared" si="99"/>
        <v>53200</v>
      </c>
      <c r="P1070" s="2" t="s">
        <v>29</v>
      </c>
      <c r="Q1070" s="10" t="str">
        <f>VLOOKUP(A1070,Status!A:B,2,0)</f>
        <v>Completed</v>
      </c>
      <c r="R1070" s="2" t="s">
        <v>46</v>
      </c>
      <c r="S1070" s="2">
        <v>3</v>
      </c>
      <c r="T1070" s="2" t="s">
        <v>24</v>
      </c>
      <c r="U1070" s="10" t="str">
        <f t="shared" si="101"/>
        <v>Jul</v>
      </c>
      <c r="V1070" s="10">
        <f t="shared" si="100"/>
        <v>2025</v>
      </c>
      <c r="W1070" t="e" cm="1">
        <f t="array" ref="W1070">_xlfn.IFS(U1070="January",1,U1070="February",2,U1070="March",3,U1070="April",4,U1070="May",5,U1070="June",6,U1070="July",7,U1070="August",8,U1070="September",9,U1070="October",10,U1070="November",11,U1070="December",12)</f>
        <v>#N/A</v>
      </c>
    </row>
    <row r="1071" spans="1:23" ht="15.75" customHeight="1" x14ac:dyDescent="0.25">
      <c r="A1071" s="2" t="s">
        <v>2013</v>
      </c>
      <c r="B1071" s="3">
        <v>45853.05872685185</v>
      </c>
      <c r="C1071" s="2" t="s">
        <v>150</v>
      </c>
      <c r="D1071" s="2" t="s">
        <v>151</v>
      </c>
      <c r="E1071" s="2" t="s">
        <v>81</v>
      </c>
      <c r="F1071" s="2" t="str" cm="1">
        <f t="array" ref="F1071:G1071">_xlfn.TEXTSPLIT(E1071," - ")</f>
        <v>Minyak Goreng</v>
      </c>
      <c r="G1071" s="2" t="str">
        <v>Brand B</v>
      </c>
      <c r="H1071" s="5">
        <v>17000</v>
      </c>
      <c r="I1071" s="2">
        <v>3</v>
      </c>
      <c r="J1071" s="2">
        <v>5</v>
      </c>
      <c r="K1071" s="8">
        <f t="shared" si="96"/>
        <v>51000</v>
      </c>
      <c r="L1071" s="8">
        <f t="shared" si="97"/>
        <v>2550</v>
      </c>
      <c r="M1071" s="8">
        <f t="shared" si="98"/>
        <v>48450</v>
      </c>
      <c r="N1071" s="5">
        <v>55000</v>
      </c>
      <c r="O1071" s="8">
        <f t="shared" si="99"/>
        <v>103450</v>
      </c>
      <c r="P1071" s="2" t="s">
        <v>35</v>
      </c>
      <c r="Q1071" s="10" t="str">
        <f>VLOOKUP(A1071,Status!A:B,2,0)</f>
        <v>Completed</v>
      </c>
      <c r="R1071" s="2" t="s">
        <v>36</v>
      </c>
      <c r="S1071" s="2">
        <v>1</v>
      </c>
      <c r="T1071" s="2" t="s">
        <v>37</v>
      </c>
      <c r="U1071" s="10" t="str">
        <f t="shared" si="101"/>
        <v>Jul</v>
      </c>
      <c r="V1071" s="10">
        <f t="shared" si="100"/>
        <v>2025</v>
      </c>
      <c r="W1071" t="e" cm="1">
        <f t="array" ref="W1071">_xlfn.IFS(U1071="January",1,U1071="February",2,U1071="March",3,U1071="April",4,U1071="May",5,U1071="June",6,U1071="July",7,U1071="August",8,U1071="September",9,U1071="October",10,U1071="November",11,U1071="December",12)</f>
        <v>#N/A</v>
      </c>
    </row>
    <row r="1072" spans="1:23" ht="15.75" customHeight="1" x14ac:dyDescent="0.25">
      <c r="A1072" s="2" t="s">
        <v>2014</v>
      </c>
      <c r="B1072" s="3">
        <v>45853.121249999997</v>
      </c>
      <c r="C1072" s="2" t="s">
        <v>656</v>
      </c>
      <c r="D1072" s="2" t="s">
        <v>195</v>
      </c>
      <c r="E1072" s="2" t="s">
        <v>144</v>
      </c>
      <c r="F1072" s="2" t="str" cm="1">
        <f t="array" ref="F1072:G1072">_xlfn.TEXTSPLIT(E1072," - ")</f>
        <v>Gula Pasir</v>
      </c>
      <c r="G1072" s="2" t="str">
        <v>Brand C</v>
      </c>
      <c r="H1072" s="5">
        <v>18000</v>
      </c>
      <c r="I1072" s="2">
        <v>5</v>
      </c>
      <c r="J1072" s="2">
        <v>5</v>
      </c>
      <c r="K1072" s="8">
        <f t="shared" si="96"/>
        <v>90000</v>
      </c>
      <c r="L1072" s="8">
        <f t="shared" si="97"/>
        <v>4500</v>
      </c>
      <c r="M1072" s="8">
        <f t="shared" si="98"/>
        <v>85500</v>
      </c>
      <c r="N1072" s="5">
        <v>87000</v>
      </c>
      <c r="O1072" s="8">
        <f t="shared" si="99"/>
        <v>172500</v>
      </c>
      <c r="P1072" s="2" t="s">
        <v>63</v>
      </c>
      <c r="Q1072" s="10" t="str">
        <f>VLOOKUP(A1072,Status!A:B,2,0)</f>
        <v>Completed</v>
      </c>
      <c r="R1072" s="2" t="s">
        <v>82</v>
      </c>
      <c r="S1072" s="2">
        <v>5</v>
      </c>
      <c r="T1072" s="2" t="s">
        <v>37</v>
      </c>
      <c r="U1072" s="10" t="str">
        <f t="shared" si="101"/>
        <v>Jul</v>
      </c>
      <c r="V1072" s="10">
        <f t="shared" si="100"/>
        <v>2025</v>
      </c>
      <c r="W1072" t="e" cm="1">
        <f t="array" ref="W1072">_xlfn.IFS(U1072="January",1,U1072="February",2,U1072="March",3,U1072="April",4,U1072="May",5,U1072="June",6,U1072="July",7,U1072="August",8,U1072="September",9,U1072="October",10,U1072="November",11,U1072="December",12)</f>
        <v>#N/A</v>
      </c>
    </row>
    <row r="1073" spans="1:23" ht="15.75" customHeight="1" x14ac:dyDescent="0.25">
      <c r="A1073" s="2" t="s">
        <v>2015</v>
      </c>
      <c r="B1073" s="3">
        <v>45853.188425925917</v>
      </c>
      <c r="C1073" s="2" t="s">
        <v>918</v>
      </c>
      <c r="D1073" s="2" t="s">
        <v>296</v>
      </c>
      <c r="E1073" s="2" t="s">
        <v>67</v>
      </c>
      <c r="F1073" s="2" t="str" cm="1">
        <f t="array" ref="F1073:G1073">_xlfn.TEXTSPLIT(E1073," - ")</f>
        <v>Beras</v>
      </c>
      <c r="G1073" s="2" t="str">
        <v>Brand B</v>
      </c>
      <c r="H1073" s="5">
        <v>15000</v>
      </c>
      <c r="I1073" s="2">
        <v>2</v>
      </c>
      <c r="J1073" s="2">
        <v>5</v>
      </c>
      <c r="K1073" s="8">
        <f t="shared" si="96"/>
        <v>30000</v>
      </c>
      <c r="L1073" s="8">
        <f t="shared" si="97"/>
        <v>1500</v>
      </c>
      <c r="M1073" s="8">
        <f t="shared" si="98"/>
        <v>28500</v>
      </c>
      <c r="N1073" s="5">
        <v>79000</v>
      </c>
      <c r="O1073" s="8">
        <f t="shared" si="99"/>
        <v>107500</v>
      </c>
      <c r="P1073" s="2" t="s">
        <v>22</v>
      </c>
      <c r="Q1073" s="10" t="str">
        <f>VLOOKUP(A1073,Status!A:B,2,0)</f>
        <v>Completed</v>
      </c>
      <c r="R1073" s="2" t="s">
        <v>36</v>
      </c>
      <c r="S1073" s="2">
        <v>5</v>
      </c>
      <c r="T1073" s="2" t="s">
        <v>24</v>
      </c>
      <c r="U1073" s="10" t="str">
        <f t="shared" si="101"/>
        <v>Jul</v>
      </c>
      <c r="V1073" s="10">
        <f t="shared" si="100"/>
        <v>2025</v>
      </c>
      <c r="W1073" t="e" cm="1">
        <f t="array" ref="W1073">_xlfn.IFS(U1073="January",1,U1073="February",2,U1073="March",3,U1073="April",4,U1073="May",5,U1073="June",6,U1073="July",7,U1073="August",8,U1073="September",9,U1073="October",10,U1073="November",11,U1073="December",12)</f>
        <v>#N/A</v>
      </c>
    </row>
    <row r="1074" spans="1:23" ht="15.75" customHeight="1" x14ac:dyDescent="0.25">
      <c r="A1074" s="2" t="s">
        <v>2016</v>
      </c>
      <c r="B1074" s="3">
        <v>45853.313946759263</v>
      </c>
      <c r="C1074" s="2" t="s">
        <v>557</v>
      </c>
      <c r="D1074" s="2" t="s">
        <v>173</v>
      </c>
      <c r="E1074" s="2" t="s">
        <v>67</v>
      </c>
      <c r="F1074" s="2" t="str" cm="1">
        <f t="array" ref="F1074:G1074">_xlfn.TEXTSPLIT(E1074," - ")</f>
        <v>Beras</v>
      </c>
      <c r="G1074" s="2" t="str">
        <v>Brand B</v>
      </c>
      <c r="H1074" s="5">
        <v>15000</v>
      </c>
      <c r="I1074" s="2">
        <v>2</v>
      </c>
      <c r="J1074" s="2">
        <v>20</v>
      </c>
      <c r="K1074" s="8">
        <f t="shared" si="96"/>
        <v>30000</v>
      </c>
      <c r="L1074" s="8">
        <f t="shared" si="97"/>
        <v>6000</v>
      </c>
      <c r="M1074" s="8">
        <f t="shared" si="98"/>
        <v>24000</v>
      </c>
      <c r="N1074" s="5">
        <v>49000</v>
      </c>
      <c r="O1074" s="8">
        <f t="shared" si="99"/>
        <v>73000</v>
      </c>
      <c r="P1074" s="2" t="s">
        <v>35</v>
      </c>
      <c r="Q1074" s="10" t="str">
        <f>VLOOKUP(A1074,Status!A:B,2,0)</f>
        <v>Completed</v>
      </c>
      <c r="R1074" s="2" t="s">
        <v>46</v>
      </c>
      <c r="S1074" s="2">
        <v>5</v>
      </c>
      <c r="T1074" s="2" t="s">
        <v>24</v>
      </c>
      <c r="U1074" s="10" t="str">
        <f t="shared" si="101"/>
        <v>Jul</v>
      </c>
      <c r="V1074" s="10">
        <f t="shared" si="100"/>
        <v>2025</v>
      </c>
      <c r="W1074" t="e" cm="1">
        <f t="array" ref="W1074">_xlfn.IFS(U1074="January",1,U1074="February",2,U1074="March",3,U1074="April",4,U1074="May",5,U1074="June",6,U1074="July",7,U1074="August",8,U1074="September",9,U1074="October",10,U1074="November",11,U1074="December",12)</f>
        <v>#N/A</v>
      </c>
    </row>
    <row r="1075" spans="1:23" ht="15.75" customHeight="1" x14ac:dyDescent="0.25">
      <c r="A1075" s="2" t="s">
        <v>2017</v>
      </c>
      <c r="B1075" s="3">
        <v>45853.499895833331</v>
      </c>
      <c r="C1075" s="2" t="s">
        <v>142</v>
      </c>
      <c r="D1075" s="2" t="s">
        <v>143</v>
      </c>
      <c r="E1075" s="2" t="s">
        <v>28</v>
      </c>
      <c r="F1075" s="2" t="str" cm="1">
        <f t="array" ref="F1075:G1075">_xlfn.TEXTSPLIT(E1075," - ")</f>
        <v>Garam</v>
      </c>
      <c r="G1075" s="2" t="str">
        <v>Brand B</v>
      </c>
      <c r="H1075" s="5">
        <v>5000</v>
      </c>
      <c r="I1075" s="2">
        <v>1</v>
      </c>
      <c r="J1075" s="2">
        <v>10</v>
      </c>
      <c r="K1075" s="8">
        <f t="shared" si="96"/>
        <v>5000</v>
      </c>
      <c r="L1075" s="8">
        <f t="shared" si="97"/>
        <v>500</v>
      </c>
      <c r="M1075" s="8">
        <f t="shared" si="98"/>
        <v>4500</v>
      </c>
      <c r="N1075" s="5">
        <v>50000</v>
      </c>
      <c r="O1075" s="8">
        <f t="shared" si="99"/>
        <v>54500</v>
      </c>
      <c r="P1075" s="2" t="s">
        <v>35</v>
      </c>
      <c r="Q1075" s="10" t="str">
        <f>VLOOKUP(A1075,Status!A:B,2,0)</f>
        <v>Returned</v>
      </c>
      <c r="R1075" s="2" t="s">
        <v>82</v>
      </c>
      <c r="S1075" s="2">
        <v>3</v>
      </c>
      <c r="T1075" s="2" t="s">
        <v>24</v>
      </c>
      <c r="U1075" s="10" t="str">
        <f t="shared" si="101"/>
        <v>Jul</v>
      </c>
      <c r="V1075" s="10">
        <f t="shared" si="100"/>
        <v>2025</v>
      </c>
      <c r="W1075" t="e" cm="1">
        <f t="array" ref="W1075">_xlfn.IFS(U1075="January",1,U1075="February",2,U1075="March",3,U1075="April",4,U1075="May",5,U1075="June",6,U1075="July",7,U1075="August",8,U1075="September",9,U1075="October",10,U1075="November",11,U1075="December",12)</f>
        <v>#N/A</v>
      </c>
    </row>
    <row r="1076" spans="1:23" ht="15.75" customHeight="1" x14ac:dyDescent="0.25">
      <c r="A1076" s="2" t="s">
        <v>2018</v>
      </c>
      <c r="B1076" s="3">
        <v>45853.565960648149</v>
      </c>
      <c r="C1076" s="2" t="s">
        <v>784</v>
      </c>
      <c r="D1076" s="2" t="s">
        <v>116</v>
      </c>
      <c r="E1076" s="2" t="s">
        <v>110</v>
      </c>
      <c r="F1076" s="2" t="str" cm="1">
        <f t="array" ref="F1076:G1076">_xlfn.TEXTSPLIT(E1076," - ")</f>
        <v>Garam</v>
      </c>
      <c r="G1076" s="2" t="str">
        <v>Brand C</v>
      </c>
      <c r="H1076" s="5">
        <v>6000</v>
      </c>
      <c r="I1076" s="2">
        <v>2</v>
      </c>
      <c r="J1076" s="2">
        <v>0</v>
      </c>
      <c r="K1076" s="8">
        <f t="shared" si="96"/>
        <v>12000</v>
      </c>
      <c r="L1076" s="8">
        <f t="shared" si="97"/>
        <v>0</v>
      </c>
      <c r="M1076" s="8">
        <f t="shared" si="98"/>
        <v>12000</v>
      </c>
      <c r="N1076" s="5">
        <v>72000</v>
      </c>
      <c r="O1076" s="8">
        <f t="shared" si="99"/>
        <v>84000</v>
      </c>
      <c r="P1076" s="2" t="s">
        <v>35</v>
      </c>
      <c r="Q1076" s="10" t="str">
        <f>VLOOKUP(A1076,Status!A:B,2,0)</f>
        <v>Completed</v>
      </c>
      <c r="R1076" s="2" t="s">
        <v>46</v>
      </c>
      <c r="S1076" s="2">
        <v>3</v>
      </c>
      <c r="T1076" s="2" t="s">
        <v>24</v>
      </c>
      <c r="U1076" s="10" t="str">
        <f t="shared" si="101"/>
        <v>Jul</v>
      </c>
      <c r="V1076" s="10">
        <f t="shared" si="100"/>
        <v>2025</v>
      </c>
      <c r="W1076" t="e" cm="1">
        <f t="array" ref="W1076">_xlfn.IFS(U1076="January",1,U1076="February",2,U1076="March",3,U1076="April",4,U1076="May",5,U1076="June",6,U1076="July",7,U1076="August",8,U1076="September",9,U1076="October",10,U1076="November",11,U1076="December",12)</f>
        <v>#N/A</v>
      </c>
    </row>
    <row r="1077" spans="1:23" ht="15.75" customHeight="1" x14ac:dyDescent="0.25">
      <c r="A1077" s="2" t="s">
        <v>2019</v>
      </c>
      <c r="B1077" s="3">
        <v>45853.582314814812</v>
      </c>
      <c r="C1077" s="2" t="s">
        <v>497</v>
      </c>
      <c r="D1077" s="2" t="s">
        <v>173</v>
      </c>
      <c r="E1077" s="2" t="s">
        <v>174</v>
      </c>
      <c r="F1077" s="2" t="str" cm="1">
        <f t="array" ref="F1077:G1077">_xlfn.TEXTSPLIT(E1077," - ")</f>
        <v>Tepung Terigu</v>
      </c>
      <c r="G1077" s="2" t="str">
        <v>Brand A</v>
      </c>
      <c r="H1077" s="5">
        <v>10000</v>
      </c>
      <c r="I1077" s="2">
        <v>5</v>
      </c>
      <c r="J1077" s="2">
        <v>0</v>
      </c>
      <c r="K1077" s="8">
        <f t="shared" si="96"/>
        <v>50000</v>
      </c>
      <c r="L1077" s="8">
        <f t="shared" si="97"/>
        <v>0</v>
      </c>
      <c r="M1077" s="8">
        <f t="shared" si="98"/>
        <v>50000</v>
      </c>
      <c r="N1077" s="5">
        <v>49000</v>
      </c>
      <c r="O1077" s="8">
        <f t="shared" si="99"/>
        <v>99000</v>
      </c>
      <c r="P1077" s="2" t="s">
        <v>63</v>
      </c>
      <c r="Q1077" s="10" t="str">
        <f>VLOOKUP(A1077,Status!A:B,2,0)</f>
        <v>Completed</v>
      </c>
      <c r="R1077" s="2" t="s">
        <v>30</v>
      </c>
      <c r="S1077" s="2">
        <v>1</v>
      </c>
      <c r="T1077" s="2" t="s">
        <v>37</v>
      </c>
      <c r="U1077" s="10" t="str">
        <f t="shared" si="101"/>
        <v>Jul</v>
      </c>
      <c r="V1077" s="10">
        <f t="shared" si="100"/>
        <v>2025</v>
      </c>
      <c r="W1077" t="e" cm="1">
        <f t="array" ref="W1077">_xlfn.IFS(U1077="January",1,U1077="February",2,U1077="March",3,U1077="April",4,U1077="May",5,U1077="June",6,U1077="July",7,U1077="August",8,U1077="September",9,U1077="October",10,U1077="November",11,U1077="December",12)</f>
        <v>#N/A</v>
      </c>
    </row>
    <row r="1078" spans="1:23" ht="15.75" customHeight="1" x14ac:dyDescent="0.25">
      <c r="A1078" s="2" t="s">
        <v>2020</v>
      </c>
      <c r="B1078" s="3">
        <v>45853.602650462963</v>
      </c>
      <c r="C1078" s="2" t="s">
        <v>1073</v>
      </c>
      <c r="D1078" s="2" t="s">
        <v>27</v>
      </c>
      <c r="E1078" s="2" t="s">
        <v>81</v>
      </c>
      <c r="F1078" s="2" t="str" cm="1">
        <f t="array" ref="F1078:G1078">_xlfn.TEXTSPLIT(E1078," - ")</f>
        <v>Minyak Goreng</v>
      </c>
      <c r="G1078" s="2" t="str">
        <v>Brand B</v>
      </c>
      <c r="H1078" s="5">
        <v>17000</v>
      </c>
      <c r="I1078" s="2">
        <v>3</v>
      </c>
      <c r="J1078" s="2">
        <v>0</v>
      </c>
      <c r="K1078" s="8">
        <f t="shared" si="96"/>
        <v>51000</v>
      </c>
      <c r="L1078" s="8">
        <f t="shared" si="97"/>
        <v>0</v>
      </c>
      <c r="M1078" s="8">
        <f t="shared" si="98"/>
        <v>51000</v>
      </c>
      <c r="N1078" s="5">
        <v>17000</v>
      </c>
      <c r="O1078" s="8">
        <f t="shared" si="99"/>
        <v>68000</v>
      </c>
      <c r="P1078" s="2" t="s">
        <v>63</v>
      </c>
      <c r="Q1078" s="10" t="str">
        <f>VLOOKUP(A1078,Status!A:B,2,0)</f>
        <v>Completed</v>
      </c>
      <c r="R1078" s="2" t="s">
        <v>30</v>
      </c>
      <c r="S1078" s="2">
        <v>5</v>
      </c>
      <c r="T1078" s="2" t="s">
        <v>24</v>
      </c>
      <c r="U1078" s="10" t="str">
        <f t="shared" si="101"/>
        <v>Jul</v>
      </c>
      <c r="V1078" s="10">
        <f t="shared" si="100"/>
        <v>2025</v>
      </c>
      <c r="W1078" t="e" cm="1">
        <f t="array" ref="W1078">_xlfn.IFS(U1078="January",1,U1078="February",2,U1078="March",3,U1078="April",4,U1078="May",5,U1078="June",6,U1078="July",7,U1078="August",8,U1078="September",9,U1078="October",10,U1078="November",11,U1078="December",12)</f>
        <v>#N/A</v>
      </c>
    </row>
    <row r="1079" spans="1:23" ht="15.75" customHeight="1" x14ac:dyDescent="0.25">
      <c r="A1079" s="2" t="s">
        <v>2021</v>
      </c>
      <c r="B1079" s="3">
        <v>45853.613599537042</v>
      </c>
      <c r="C1079" s="2" t="s">
        <v>593</v>
      </c>
      <c r="D1079" s="2" t="s">
        <v>195</v>
      </c>
      <c r="E1079" s="2" t="s">
        <v>85</v>
      </c>
      <c r="F1079" s="2" t="str" cm="1">
        <f t="array" ref="F1079:G1079">_xlfn.TEXTSPLIT(E1079," - ")</f>
        <v>Daging Ayam</v>
      </c>
      <c r="G1079" s="2" t="str">
        <v>Brand A</v>
      </c>
      <c r="H1079" s="5">
        <v>35000</v>
      </c>
      <c r="I1079" s="2">
        <v>4</v>
      </c>
      <c r="J1079" s="2">
        <v>0</v>
      </c>
      <c r="K1079" s="8">
        <f t="shared" si="96"/>
        <v>140000</v>
      </c>
      <c r="L1079" s="8">
        <f t="shared" si="97"/>
        <v>0</v>
      </c>
      <c r="M1079" s="8">
        <f t="shared" si="98"/>
        <v>140000</v>
      </c>
      <c r="N1079" s="5">
        <v>87000</v>
      </c>
      <c r="O1079" s="8">
        <f t="shared" si="99"/>
        <v>227000</v>
      </c>
      <c r="P1079" s="2" t="s">
        <v>35</v>
      </c>
      <c r="Q1079" s="10" t="str">
        <f>VLOOKUP(A1079,Status!A:B,2,0)</f>
        <v>Cancelled</v>
      </c>
      <c r="R1079" s="2" t="s">
        <v>82</v>
      </c>
      <c r="S1079" s="2">
        <v>4</v>
      </c>
      <c r="T1079" s="2" t="s">
        <v>24</v>
      </c>
      <c r="U1079" s="10" t="str">
        <f t="shared" si="101"/>
        <v>Jul</v>
      </c>
      <c r="V1079" s="10">
        <f t="shared" si="100"/>
        <v>2025</v>
      </c>
      <c r="W1079" t="e" cm="1">
        <f t="array" ref="W1079">_xlfn.IFS(U1079="January",1,U1079="February",2,U1079="March",3,U1079="April",4,U1079="May",5,U1079="June",6,U1079="July",7,U1079="August",8,U1079="September",9,U1079="October",10,U1079="November",11,U1079="December",12)</f>
        <v>#N/A</v>
      </c>
    </row>
    <row r="1080" spans="1:23" ht="15.75" customHeight="1" x14ac:dyDescent="0.25">
      <c r="A1080" s="2" t="s">
        <v>2022</v>
      </c>
      <c r="B1080" s="3">
        <v>45853.678819444453</v>
      </c>
      <c r="C1080" s="2" t="s">
        <v>537</v>
      </c>
      <c r="D1080" s="2" t="s">
        <v>57</v>
      </c>
      <c r="E1080" s="2" t="s">
        <v>67</v>
      </c>
      <c r="F1080" s="2" t="str" cm="1">
        <f t="array" ref="F1080:G1080">_xlfn.TEXTSPLIT(E1080," - ")</f>
        <v>Beras</v>
      </c>
      <c r="G1080" s="2" t="str">
        <v>Brand B</v>
      </c>
      <c r="H1080" s="5">
        <v>15000</v>
      </c>
      <c r="I1080" s="2">
        <v>5</v>
      </c>
      <c r="J1080" s="2">
        <v>10</v>
      </c>
      <c r="K1080" s="8">
        <f t="shared" si="96"/>
        <v>75000</v>
      </c>
      <c r="L1080" s="8">
        <f t="shared" si="97"/>
        <v>7500</v>
      </c>
      <c r="M1080" s="8">
        <f t="shared" si="98"/>
        <v>67500</v>
      </c>
      <c r="N1080" s="5">
        <v>80000</v>
      </c>
      <c r="O1080" s="8">
        <f t="shared" si="99"/>
        <v>147500</v>
      </c>
      <c r="P1080" s="2" t="s">
        <v>22</v>
      </c>
      <c r="Q1080" s="10" t="str">
        <f>VLOOKUP(A1080,Status!A:B,2,0)</f>
        <v>Completed</v>
      </c>
      <c r="R1080" s="2" t="s">
        <v>30</v>
      </c>
      <c r="S1080" s="2">
        <v>3</v>
      </c>
      <c r="T1080" s="2" t="s">
        <v>37</v>
      </c>
      <c r="U1080" s="10" t="str">
        <f t="shared" si="101"/>
        <v>Jul</v>
      </c>
      <c r="V1080" s="10">
        <f t="shared" si="100"/>
        <v>2025</v>
      </c>
      <c r="W1080" t="e" cm="1">
        <f t="array" ref="W1080">_xlfn.IFS(U1080="January",1,U1080="February",2,U1080="March",3,U1080="April",4,U1080="May",5,U1080="June",6,U1080="July",7,U1080="August",8,U1080="September",9,U1080="October",10,U1080="November",11,U1080="December",12)</f>
        <v>#N/A</v>
      </c>
    </row>
    <row r="1081" spans="1:23" ht="15.75" customHeight="1" x14ac:dyDescent="0.25">
      <c r="A1081" s="2" t="s">
        <v>2023</v>
      </c>
      <c r="B1081" s="3">
        <v>45854.162187499998</v>
      </c>
      <c r="C1081" s="2" t="s">
        <v>1270</v>
      </c>
      <c r="D1081" s="2" t="s">
        <v>182</v>
      </c>
      <c r="E1081" s="2" t="s">
        <v>110</v>
      </c>
      <c r="F1081" s="2" t="str" cm="1">
        <f t="array" ref="F1081:G1081">_xlfn.TEXTSPLIT(E1081," - ")</f>
        <v>Garam</v>
      </c>
      <c r="G1081" s="2" t="str">
        <v>Brand C</v>
      </c>
      <c r="H1081" s="5">
        <v>6000</v>
      </c>
      <c r="I1081" s="2">
        <v>1</v>
      </c>
      <c r="J1081" s="2">
        <v>20</v>
      </c>
      <c r="K1081" s="8">
        <f t="shared" si="96"/>
        <v>6000</v>
      </c>
      <c r="L1081" s="8">
        <f t="shared" si="97"/>
        <v>1200</v>
      </c>
      <c r="M1081" s="8">
        <f t="shared" si="98"/>
        <v>4800</v>
      </c>
      <c r="N1081" s="5">
        <v>48000</v>
      </c>
      <c r="O1081" s="8">
        <f t="shared" si="99"/>
        <v>52800</v>
      </c>
      <c r="P1081" s="2" t="s">
        <v>63</v>
      </c>
      <c r="Q1081" s="10" t="str">
        <f>VLOOKUP(A1081,Status!A:B,2,0)</f>
        <v>Returned</v>
      </c>
      <c r="R1081" s="2" t="s">
        <v>23</v>
      </c>
      <c r="S1081" s="2">
        <v>1</v>
      </c>
      <c r="T1081" s="2" t="s">
        <v>24</v>
      </c>
      <c r="U1081" s="10" t="str">
        <f t="shared" si="101"/>
        <v>Jul</v>
      </c>
      <c r="V1081" s="10">
        <f t="shared" si="100"/>
        <v>2025</v>
      </c>
      <c r="W1081" t="e" cm="1">
        <f t="array" ref="W1081">_xlfn.IFS(U1081="January",1,U1081="February",2,U1081="March",3,U1081="April",4,U1081="May",5,U1081="June",6,U1081="July",7,U1081="August",8,U1081="September",9,U1081="October",10,U1081="November",11,U1081="December",12)</f>
        <v>#N/A</v>
      </c>
    </row>
    <row r="1082" spans="1:23" ht="15.75" customHeight="1" x14ac:dyDescent="0.25">
      <c r="A1082" s="2" t="s">
        <v>2023</v>
      </c>
      <c r="B1082" s="3">
        <v>45854.162187499998</v>
      </c>
      <c r="C1082" s="2" t="s">
        <v>1270</v>
      </c>
      <c r="D1082" s="2" t="s">
        <v>182</v>
      </c>
      <c r="E1082" s="2" t="s">
        <v>45</v>
      </c>
      <c r="F1082" s="2" t="str" cm="1">
        <f t="array" ref="F1082:G1082">_xlfn.TEXTSPLIT(E1082," - ")</f>
        <v>Daging Ayam</v>
      </c>
      <c r="G1082" s="2" t="str">
        <v>Brand B</v>
      </c>
      <c r="H1082" s="5">
        <v>40000</v>
      </c>
      <c r="I1082" s="2">
        <v>4</v>
      </c>
      <c r="J1082" s="2">
        <v>15</v>
      </c>
      <c r="K1082" s="8">
        <f t="shared" si="96"/>
        <v>160000</v>
      </c>
      <c r="L1082" s="8">
        <f t="shared" si="97"/>
        <v>24000</v>
      </c>
      <c r="M1082" s="8">
        <f t="shared" si="98"/>
        <v>136000</v>
      </c>
      <c r="N1082" s="5">
        <v>0</v>
      </c>
      <c r="O1082" s="8">
        <f t="shared" si="99"/>
        <v>136000</v>
      </c>
      <c r="P1082" s="2" t="s">
        <v>63</v>
      </c>
      <c r="Q1082" s="10" t="str">
        <f>VLOOKUP(A1082,Status!A:B,2,0)</f>
        <v>Returned</v>
      </c>
      <c r="R1082" s="2" t="s">
        <v>23</v>
      </c>
      <c r="S1082" s="2">
        <v>1</v>
      </c>
      <c r="T1082" s="2" t="s">
        <v>24</v>
      </c>
      <c r="U1082" s="10" t="str">
        <f t="shared" si="101"/>
        <v>Jul</v>
      </c>
      <c r="V1082" s="10">
        <f t="shared" si="100"/>
        <v>2025</v>
      </c>
      <c r="W1082" t="e" cm="1">
        <f t="array" ref="W1082">_xlfn.IFS(U1082="January",1,U1082="February",2,U1082="March",3,U1082="April",4,U1082="May",5,U1082="June",6,U1082="July",7,U1082="August",8,U1082="September",9,U1082="October",10,U1082="November",11,U1082="December",12)</f>
        <v>#N/A</v>
      </c>
    </row>
    <row r="1083" spans="1:23" ht="15.75" customHeight="1" x14ac:dyDescent="0.25">
      <c r="A1083" s="2" t="s">
        <v>2024</v>
      </c>
      <c r="B1083" s="3">
        <v>45854.672384259262</v>
      </c>
      <c r="C1083" s="2" t="s">
        <v>626</v>
      </c>
      <c r="D1083" s="2" t="s">
        <v>296</v>
      </c>
      <c r="E1083" s="2" t="s">
        <v>174</v>
      </c>
      <c r="F1083" s="2" t="str" cm="1">
        <f t="array" ref="F1083:G1083">_xlfn.TEXTSPLIT(E1083," - ")</f>
        <v>Tepung Terigu</v>
      </c>
      <c r="G1083" s="2" t="str">
        <v>Brand A</v>
      </c>
      <c r="H1083" s="5">
        <v>10000</v>
      </c>
      <c r="I1083" s="2">
        <v>1</v>
      </c>
      <c r="J1083" s="2">
        <v>0</v>
      </c>
      <c r="K1083" s="8">
        <f t="shared" si="96"/>
        <v>10000</v>
      </c>
      <c r="L1083" s="8">
        <f t="shared" si="97"/>
        <v>0</v>
      </c>
      <c r="M1083" s="8">
        <f t="shared" si="98"/>
        <v>10000</v>
      </c>
      <c r="N1083" s="5">
        <v>79000</v>
      </c>
      <c r="O1083" s="8">
        <f t="shared" si="99"/>
        <v>89000</v>
      </c>
      <c r="P1083" s="2" t="s">
        <v>22</v>
      </c>
      <c r="Q1083" s="10" t="str">
        <f>VLOOKUP(A1083,Status!A:B,2,0)</f>
        <v>Completed</v>
      </c>
      <c r="R1083" s="2" t="s">
        <v>82</v>
      </c>
      <c r="S1083" s="2">
        <v>1</v>
      </c>
      <c r="T1083" s="2" t="s">
        <v>24</v>
      </c>
      <c r="U1083" s="10" t="str">
        <f t="shared" si="101"/>
        <v>Jul</v>
      </c>
      <c r="V1083" s="10">
        <f t="shared" si="100"/>
        <v>2025</v>
      </c>
      <c r="W1083" t="e" cm="1">
        <f t="array" ref="W1083">_xlfn.IFS(U1083="January",1,U1083="February",2,U1083="March",3,U1083="April",4,U1083="May",5,U1083="June",6,U1083="July",7,U1083="August",8,U1083="September",9,U1083="October",10,U1083="November",11,U1083="December",12)</f>
        <v>#N/A</v>
      </c>
    </row>
    <row r="1084" spans="1:23" ht="15.75" customHeight="1" x14ac:dyDescent="0.25">
      <c r="A1084" s="2" t="s">
        <v>2025</v>
      </c>
      <c r="B1084" s="3">
        <v>45855.032141203701</v>
      </c>
      <c r="C1084" s="2" t="s">
        <v>530</v>
      </c>
      <c r="D1084" s="2" t="s">
        <v>151</v>
      </c>
      <c r="E1084" s="2" t="s">
        <v>50</v>
      </c>
      <c r="F1084" s="2" t="str" cm="1">
        <f t="array" ref="F1084:G1084">_xlfn.TEXTSPLIT(E1084," - ")</f>
        <v>Tepung Terigu</v>
      </c>
      <c r="G1084" s="2" t="str">
        <v>Brand C</v>
      </c>
      <c r="H1084" s="5">
        <v>14000</v>
      </c>
      <c r="I1084" s="2">
        <v>1</v>
      </c>
      <c r="J1084" s="2">
        <v>15</v>
      </c>
      <c r="K1084" s="8">
        <f t="shared" si="96"/>
        <v>14000</v>
      </c>
      <c r="L1084" s="8">
        <f t="shared" si="97"/>
        <v>2100</v>
      </c>
      <c r="M1084" s="8">
        <f t="shared" si="98"/>
        <v>11900</v>
      </c>
      <c r="N1084" s="5">
        <v>55000</v>
      </c>
      <c r="O1084" s="8">
        <f t="shared" si="99"/>
        <v>66900</v>
      </c>
      <c r="P1084" s="2" t="s">
        <v>29</v>
      </c>
      <c r="Q1084" s="10" t="str">
        <f>VLOOKUP(A1084,Status!A:B,2,0)</f>
        <v>Completed</v>
      </c>
      <c r="R1084" s="2" t="s">
        <v>30</v>
      </c>
      <c r="S1084" s="2">
        <v>3</v>
      </c>
      <c r="T1084" s="2" t="s">
        <v>24</v>
      </c>
      <c r="U1084" s="10" t="str">
        <f t="shared" si="101"/>
        <v>Jul</v>
      </c>
      <c r="V1084" s="10">
        <f t="shared" si="100"/>
        <v>2025</v>
      </c>
      <c r="W1084" t="e" cm="1">
        <f t="array" ref="W1084">_xlfn.IFS(U1084="January",1,U1084="February",2,U1084="March",3,U1084="April",4,U1084="May",5,U1084="June",6,U1084="July",7,U1084="August",8,U1084="September",9,U1084="October",10,U1084="November",11,U1084="December",12)</f>
        <v>#N/A</v>
      </c>
    </row>
    <row r="1085" spans="1:23" ht="15.75" customHeight="1" x14ac:dyDescent="0.25">
      <c r="A1085" s="2" t="s">
        <v>2026</v>
      </c>
      <c r="B1085" s="3">
        <v>45855.388379629629</v>
      </c>
      <c r="C1085" s="2" t="s">
        <v>1250</v>
      </c>
      <c r="D1085" s="2" t="s">
        <v>195</v>
      </c>
      <c r="E1085" s="2" t="s">
        <v>138</v>
      </c>
      <c r="F1085" s="2" t="str" cm="1">
        <f t="array" ref="F1085:G1085">_xlfn.TEXTSPLIT(E1085," - ")</f>
        <v>Gula Pasir</v>
      </c>
      <c r="G1085" s="2" t="str">
        <v>Brand B</v>
      </c>
      <c r="H1085" s="5">
        <v>17000</v>
      </c>
      <c r="I1085" s="2">
        <v>3</v>
      </c>
      <c r="J1085" s="2">
        <v>15</v>
      </c>
      <c r="K1085" s="8">
        <f t="shared" si="96"/>
        <v>51000</v>
      </c>
      <c r="L1085" s="8">
        <f t="shared" si="97"/>
        <v>7650</v>
      </c>
      <c r="M1085" s="8">
        <f t="shared" si="98"/>
        <v>43350</v>
      </c>
      <c r="N1085" s="5">
        <v>87000</v>
      </c>
      <c r="O1085" s="8">
        <f t="shared" si="99"/>
        <v>130350</v>
      </c>
      <c r="P1085" s="2" t="s">
        <v>63</v>
      </c>
      <c r="Q1085" s="10" t="str">
        <f>VLOOKUP(A1085,Status!A:B,2,0)</f>
        <v>Completed</v>
      </c>
      <c r="R1085" s="2" t="s">
        <v>23</v>
      </c>
      <c r="S1085" s="2">
        <v>2</v>
      </c>
      <c r="T1085" s="2" t="s">
        <v>24</v>
      </c>
      <c r="U1085" s="10" t="str">
        <f t="shared" si="101"/>
        <v>Jul</v>
      </c>
      <c r="V1085" s="10">
        <f t="shared" si="100"/>
        <v>2025</v>
      </c>
      <c r="W1085" t="e" cm="1">
        <f t="array" ref="W1085">_xlfn.IFS(U1085="January",1,U1085="February",2,U1085="March",3,U1085="April",4,U1085="May",5,U1085="June",6,U1085="July",7,U1085="August",8,U1085="September",9,U1085="October",10,U1085="November",11,U1085="December",12)</f>
        <v>#N/A</v>
      </c>
    </row>
    <row r="1086" spans="1:23" ht="15.75" customHeight="1" x14ac:dyDescent="0.25">
      <c r="A1086" s="2" t="s">
        <v>2027</v>
      </c>
      <c r="B1086" s="3">
        <v>45855.430914351848</v>
      </c>
      <c r="C1086" s="2" t="s">
        <v>2028</v>
      </c>
      <c r="D1086" s="2" t="s">
        <v>122</v>
      </c>
      <c r="E1086" s="2" t="s">
        <v>144</v>
      </c>
      <c r="F1086" s="2" t="str" cm="1">
        <f t="array" ref="F1086:G1086">_xlfn.TEXTSPLIT(E1086," - ")</f>
        <v>Gula Pasir</v>
      </c>
      <c r="G1086" s="2" t="str">
        <v>Brand C</v>
      </c>
      <c r="H1086" s="5">
        <v>18000</v>
      </c>
      <c r="I1086" s="2">
        <v>5</v>
      </c>
      <c r="J1086" s="2">
        <v>20</v>
      </c>
      <c r="K1086" s="8">
        <f t="shared" si="96"/>
        <v>90000</v>
      </c>
      <c r="L1086" s="8">
        <f t="shared" si="97"/>
        <v>18000</v>
      </c>
      <c r="M1086" s="8">
        <f t="shared" si="98"/>
        <v>72000</v>
      </c>
      <c r="N1086" s="5">
        <v>78000</v>
      </c>
      <c r="O1086" s="8">
        <f t="shared" si="99"/>
        <v>150000</v>
      </c>
      <c r="P1086" s="2" t="s">
        <v>22</v>
      </c>
      <c r="Q1086" s="10" t="str">
        <f>VLOOKUP(A1086,Status!A:B,2,0)</f>
        <v>Completed</v>
      </c>
      <c r="R1086" s="2" t="s">
        <v>46</v>
      </c>
      <c r="S1086" s="2">
        <v>4</v>
      </c>
      <c r="T1086" s="2" t="s">
        <v>37</v>
      </c>
      <c r="U1086" s="10" t="str">
        <f t="shared" si="101"/>
        <v>Jul</v>
      </c>
      <c r="V1086" s="10">
        <f t="shared" si="100"/>
        <v>2025</v>
      </c>
      <c r="W1086" t="e" cm="1">
        <f t="array" ref="W1086">_xlfn.IFS(U1086="January",1,U1086="February",2,U1086="March",3,U1086="April",4,U1086="May",5,U1086="June",6,U1086="July",7,U1086="August",8,U1086="September",9,U1086="October",10,U1086="November",11,U1086="December",12)</f>
        <v>#N/A</v>
      </c>
    </row>
    <row r="1087" spans="1:23" ht="15.75" customHeight="1" x14ac:dyDescent="0.25">
      <c r="A1087" s="2" t="s">
        <v>2029</v>
      </c>
      <c r="B1087" s="3">
        <v>45855.469814814824</v>
      </c>
      <c r="C1087" s="2" t="s">
        <v>350</v>
      </c>
      <c r="D1087" s="2" t="s">
        <v>195</v>
      </c>
      <c r="E1087" s="2" t="s">
        <v>62</v>
      </c>
      <c r="F1087" s="2" t="str" cm="1">
        <f t="array" ref="F1087:G1087">_xlfn.TEXTSPLIT(E1087," - ")</f>
        <v>Susu Bubuk</v>
      </c>
      <c r="G1087" s="2" t="str">
        <v>Brand B</v>
      </c>
      <c r="H1087" s="5">
        <v>50000</v>
      </c>
      <c r="I1087" s="2">
        <v>3</v>
      </c>
      <c r="J1087" s="2">
        <v>20</v>
      </c>
      <c r="K1087" s="8">
        <f t="shared" si="96"/>
        <v>150000</v>
      </c>
      <c r="L1087" s="8">
        <f t="shared" si="97"/>
        <v>30000</v>
      </c>
      <c r="M1087" s="8">
        <f t="shared" si="98"/>
        <v>120000</v>
      </c>
      <c r="N1087" s="5">
        <v>87000</v>
      </c>
      <c r="O1087" s="8">
        <f t="shared" si="99"/>
        <v>207000</v>
      </c>
      <c r="P1087" s="2" t="s">
        <v>29</v>
      </c>
      <c r="Q1087" s="10" t="str">
        <f>VLOOKUP(A1087,Status!A:B,2,0)</f>
        <v>Completed</v>
      </c>
      <c r="R1087" s="2" t="s">
        <v>23</v>
      </c>
      <c r="S1087" s="2">
        <v>4</v>
      </c>
      <c r="T1087" s="2" t="s">
        <v>37</v>
      </c>
      <c r="U1087" s="10" t="str">
        <f t="shared" si="101"/>
        <v>Jul</v>
      </c>
      <c r="V1087" s="10">
        <f t="shared" si="100"/>
        <v>2025</v>
      </c>
      <c r="W1087" t="e" cm="1">
        <f t="array" ref="W1087">_xlfn.IFS(U1087="January",1,U1087="February",2,U1087="March",3,U1087="April",4,U1087="May",5,U1087="June",6,U1087="July",7,U1087="August",8,U1087="September",9,U1087="October",10,U1087="November",11,U1087="December",12)</f>
        <v>#N/A</v>
      </c>
    </row>
    <row r="1088" spans="1:23" ht="15.75" customHeight="1" x14ac:dyDescent="0.25">
      <c r="A1088" s="2" t="s">
        <v>2030</v>
      </c>
      <c r="B1088" s="3">
        <v>45855.577488425923</v>
      </c>
      <c r="C1088" s="2" t="s">
        <v>716</v>
      </c>
      <c r="D1088" s="2" t="s">
        <v>66</v>
      </c>
      <c r="E1088" s="2" t="s">
        <v>110</v>
      </c>
      <c r="F1088" s="2" t="str" cm="1">
        <f t="array" ref="F1088:G1088">_xlfn.TEXTSPLIT(E1088," - ")</f>
        <v>Garam</v>
      </c>
      <c r="G1088" s="2" t="str">
        <v>Brand C</v>
      </c>
      <c r="H1088" s="5">
        <v>6000</v>
      </c>
      <c r="I1088" s="2">
        <v>2</v>
      </c>
      <c r="J1088" s="2">
        <v>0</v>
      </c>
      <c r="K1088" s="8">
        <f t="shared" si="96"/>
        <v>12000</v>
      </c>
      <c r="L1088" s="8">
        <f t="shared" si="97"/>
        <v>0</v>
      </c>
      <c r="M1088" s="8">
        <f t="shared" si="98"/>
        <v>12000</v>
      </c>
      <c r="N1088" s="5">
        <v>59000</v>
      </c>
      <c r="O1088" s="8">
        <f t="shared" si="99"/>
        <v>71000</v>
      </c>
      <c r="P1088" s="2" t="s">
        <v>35</v>
      </c>
      <c r="Q1088" s="10" t="str">
        <f>VLOOKUP(A1088,Status!A:B,2,0)</f>
        <v>Completed</v>
      </c>
      <c r="R1088" s="2" t="s">
        <v>46</v>
      </c>
      <c r="S1088" s="2">
        <v>2</v>
      </c>
      <c r="T1088" s="2" t="s">
        <v>24</v>
      </c>
      <c r="U1088" s="10" t="str">
        <f t="shared" si="101"/>
        <v>Jul</v>
      </c>
      <c r="V1088" s="10">
        <f t="shared" si="100"/>
        <v>2025</v>
      </c>
      <c r="W1088" t="e" cm="1">
        <f t="array" ref="W1088">_xlfn.IFS(U1088="January",1,U1088="February",2,U1088="March",3,U1088="April",4,U1088="May",5,U1088="June",6,U1088="July",7,U1088="August",8,U1088="September",9,U1088="October",10,U1088="November",11,U1088="December",12)</f>
        <v>#N/A</v>
      </c>
    </row>
    <row r="1089" spans="1:23" ht="15.75" customHeight="1" x14ac:dyDescent="0.25">
      <c r="A1089" s="2" t="s">
        <v>2031</v>
      </c>
      <c r="B1089" s="3">
        <v>45855.61546296296</v>
      </c>
      <c r="C1089" s="2" t="s">
        <v>1136</v>
      </c>
      <c r="D1089" s="2" t="s">
        <v>195</v>
      </c>
      <c r="E1089" s="2" t="s">
        <v>93</v>
      </c>
      <c r="F1089" s="2" t="str" cm="1">
        <f t="array" ref="F1089:G1089">_xlfn.TEXTSPLIT(E1089," - ")</f>
        <v>Telur Ayam</v>
      </c>
      <c r="G1089" s="2" t="str">
        <v>Brand B</v>
      </c>
      <c r="H1089" s="5">
        <v>25000</v>
      </c>
      <c r="I1089" s="2">
        <v>3</v>
      </c>
      <c r="J1089" s="2">
        <v>10</v>
      </c>
      <c r="K1089" s="8">
        <f t="shared" si="96"/>
        <v>75000</v>
      </c>
      <c r="L1089" s="8">
        <f t="shared" si="97"/>
        <v>7500</v>
      </c>
      <c r="M1089" s="8">
        <f t="shared" si="98"/>
        <v>67500</v>
      </c>
      <c r="N1089" s="5">
        <v>87000</v>
      </c>
      <c r="O1089" s="8">
        <f t="shared" si="99"/>
        <v>154500</v>
      </c>
      <c r="P1089" s="2" t="s">
        <v>29</v>
      </c>
      <c r="Q1089" s="10" t="str">
        <f>VLOOKUP(A1089,Status!A:B,2,0)</f>
        <v>Cancelled</v>
      </c>
      <c r="R1089" s="2" t="s">
        <v>36</v>
      </c>
      <c r="S1089" s="2">
        <v>2</v>
      </c>
      <c r="T1089" s="2" t="s">
        <v>24</v>
      </c>
      <c r="U1089" s="10" t="str">
        <f t="shared" si="101"/>
        <v>Jul</v>
      </c>
      <c r="V1089" s="10">
        <f t="shared" si="100"/>
        <v>2025</v>
      </c>
      <c r="W1089" t="e" cm="1">
        <f t="array" ref="W1089">_xlfn.IFS(U1089="January",1,U1089="February",2,U1089="March",3,U1089="April",4,U1089="May",5,U1089="June",6,U1089="July",7,U1089="August",8,U1089="September",9,U1089="October",10,U1089="November",11,U1089="December",12)</f>
        <v>#N/A</v>
      </c>
    </row>
    <row r="1090" spans="1:23" ht="15.75" customHeight="1" x14ac:dyDescent="0.25">
      <c r="A1090" s="2" t="s">
        <v>2032</v>
      </c>
      <c r="B1090" s="3">
        <v>45855.630289351851</v>
      </c>
      <c r="C1090" s="2" t="s">
        <v>729</v>
      </c>
      <c r="D1090" s="2" t="s">
        <v>74</v>
      </c>
      <c r="E1090" s="2" t="s">
        <v>54</v>
      </c>
      <c r="F1090" s="2" t="str" cm="1">
        <f t="array" ref="F1090:G1090">_xlfn.TEXTSPLIT(E1090," - ")</f>
        <v>Beras</v>
      </c>
      <c r="G1090" s="2" t="str">
        <v>Brand C</v>
      </c>
      <c r="H1090" s="5">
        <v>16000</v>
      </c>
      <c r="I1090" s="2">
        <v>5</v>
      </c>
      <c r="J1090" s="2">
        <v>20</v>
      </c>
      <c r="K1090" s="8">
        <f t="shared" ref="K1090:K1153" si="102">H1090*I1090</f>
        <v>80000</v>
      </c>
      <c r="L1090" s="8">
        <f t="shared" ref="L1090:L1153" si="103">K1090*J1090%</f>
        <v>16000</v>
      </c>
      <c r="M1090" s="8">
        <f t="shared" ref="M1090:M1153" si="104">K1090-L1090</f>
        <v>64000</v>
      </c>
      <c r="N1090" s="5">
        <v>87000</v>
      </c>
      <c r="O1090" s="8">
        <f t="shared" ref="O1090:O1153" si="105">M1090+N1090</f>
        <v>151000</v>
      </c>
      <c r="P1090" s="2" t="s">
        <v>29</v>
      </c>
      <c r="Q1090" s="10" t="str">
        <f>VLOOKUP(A1090,Status!A:B,2,0)</f>
        <v>Completed</v>
      </c>
      <c r="R1090" s="2" t="s">
        <v>23</v>
      </c>
      <c r="S1090" s="2">
        <v>3</v>
      </c>
      <c r="T1090" s="2" t="s">
        <v>24</v>
      </c>
      <c r="U1090" s="10" t="str">
        <f t="shared" si="101"/>
        <v>Jul</v>
      </c>
      <c r="V1090" s="10">
        <f t="shared" ref="V1090:V1153" si="106">YEAR(B1090)</f>
        <v>2025</v>
      </c>
      <c r="W1090" t="e" cm="1">
        <f t="array" ref="W1090">_xlfn.IFS(U1090="January",1,U1090="February",2,U1090="March",3,U1090="April",4,U1090="May",5,U1090="June",6,U1090="July",7,U1090="August",8,U1090="September",9,U1090="October",10,U1090="November",11,U1090="December",12)</f>
        <v>#N/A</v>
      </c>
    </row>
    <row r="1091" spans="1:23" ht="15.75" customHeight="1" x14ac:dyDescent="0.25">
      <c r="A1091" s="2" t="s">
        <v>2033</v>
      </c>
      <c r="B1091" s="3">
        <v>45856.031817129631</v>
      </c>
      <c r="C1091" s="2" t="s">
        <v>565</v>
      </c>
      <c r="D1091" s="2" t="s">
        <v>163</v>
      </c>
      <c r="E1091" s="2" t="s">
        <v>110</v>
      </c>
      <c r="F1091" s="2" t="str" cm="1">
        <f t="array" ref="F1091:G1091">_xlfn.TEXTSPLIT(E1091," - ")</f>
        <v>Garam</v>
      </c>
      <c r="G1091" s="2" t="str">
        <v>Brand C</v>
      </c>
      <c r="H1091" s="5">
        <v>6000</v>
      </c>
      <c r="I1091" s="2">
        <v>2</v>
      </c>
      <c r="J1091" s="2">
        <v>15</v>
      </c>
      <c r="K1091" s="8">
        <f t="shared" si="102"/>
        <v>12000</v>
      </c>
      <c r="L1091" s="8">
        <f t="shared" si="103"/>
        <v>1800</v>
      </c>
      <c r="M1091" s="8">
        <f t="shared" si="104"/>
        <v>10200</v>
      </c>
      <c r="N1091" s="5">
        <v>50000</v>
      </c>
      <c r="O1091" s="8">
        <f t="shared" si="105"/>
        <v>60200</v>
      </c>
      <c r="P1091" s="2" t="s">
        <v>22</v>
      </c>
      <c r="Q1091" s="10" t="str">
        <f>VLOOKUP(A1091,Status!A:B,2,0)</f>
        <v>Completed</v>
      </c>
      <c r="R1091" s="2" t="s">
        <v>82</v>
      </c>
      <c r="S1091" s="2">
        <v>2</v>
      </c>
      <c r="T1091" s="2" t="s">
        <v>24</v>
      </c>
      <c r="U1091" s="10" t="str">
        <f t="shared" ref="U1091:U1154" si="107">TEXT(B1091,"MMM")</f>
        <v>Jul</v>
      </c>
      <c r="V1091" s="10">
        <f t="shared" si="106"/>
        <v>2025</v>
      </c>
      <c r="W1091" t="e" cm="1">
        <f t="array" ref="W1091">_xlfn.IFS(U1091="January",1,U1091="February",2,U1091="March",3,U1091="April",4,U1091="May",5,U1091="June",6,U1091="July",7,U1091="August",8,U1091="September",9,U1091="October",10,U1091="November",11,U1091="December",12)</f>
        <v>#N/A</v>
      </c>
    </row>
    <row r="1092" spans="1:23" ht="15.75" customHeight="1" x14ac:dyDescent="0.25">
      <c r="A1092" s="2" t="s">
        <v>2033</v>
      </c>
      <c r="B1092" s="3">
        <v>45856.031817129631</v>
      </c>
      <c r="C1092" s="2" t="s">
        <v>565</v>
      </c>
      <c r="D1092" s="2" t="s">
        <v>163</v>
      </c>
      <c r="E1092" s="2" t="s">
        <v>62</v>
      </c>
      <c r="F1092" s="2" t="str" cm="1">
        <f t="array" ref="F1092:G1092">_xlfn.TEXTSPLIT(E1092," - ")</f>
        <v>Susu Bubuk</v>
      </c>
      <c r="G1092" s="2" t="str">
        <v>Brand B</v>
      </c>
      <c r="H1092" s="5">
        <v>50000</v>
      </c>
      <c r="I1092" s="2">
        <v>5</v>
      </c>
      <c r="J1092" s="2">
        <v>10</v>
      </c>
      <c r="K1092" s="8">
        <f t="shared" si="102"/>
        <v>250000</v>
      </c>
      <c r="L1092" s="8">
        <f t="shared" si="103"/>
        <v>25000</v>
      </c>
      <c r="M1092" s="8">
        <f t="shared" si="104"/>
        <v>225000</v>
      </c>
      <c r="N1092" s="5">
        <v>0</v>
      </c>
      <c r="O1092" s="8">
        <f t="shared" si="105"/>
        <v>225000</v>
      </c>
      <c r="P1092" s="2" t="s">
        <v>22</v>
      </c>
      <c r="Q1092" s="10" t="str">
        <f>VLOOKUP(A1092,Status!A:B,2,0)</f>
        <v>Completed</v>
      </c>
      <c r="R1092" s="2" t="s">
        <v>82</v>
      </c>
      <c r="S1092" s="2">
        <v>2</v>
      </c>
      <c r="T1092" s="2" t="s">
        <v>24</v>
      </c>
      <c r="U1092" s="10" t="str">
        <f t="shared" si="107"/>
        <v>Jul</v>
      </c>
      <c r="V1092" s="10">
        <f t="shared" si="106"/>
        <v>2025</v>
      </c>
      <c r="W1092" t="e" cm="1">
        <f t="array" ref="W1092">_xlfn.IFS(U1092="January",1,U1092="February",2,U1092="March",3,U1092="April",4,U1092="May",5,U1092="June",6,U1092="July",7,U1092="August",8,U1092="September",9,U1092="October",10,U1092="November",11,U1092="December",12)</f>
        <v>#N/A</v>
      </c>
    </row>
    <row r="1093" spans="1:23" ht="15.75" customHeight="1" x14ac:dyDescent="0.25">
      <c r="A1093" s="2" t="s">
        <v>2034</v>
      </c>
      <c r="B1093" s="3">
        <v>45856.179965277777</v>
      </c>
      <c r="C1093" s="2" t="s">
        <v>374</v>
      </c>
      <c r="D1093" s="2" t="s">
        <v>375</v>
      </c>
      <c r="E1093" s="2" t="s">
        <v>41</v>
      </c>
      <c r="F1093" s="2" t="str" cm="1">
        <f t="array" ref="F1093:G1093">_xlfn.TEXTSPLIT(E1093," - ")</f>
        <v>Garam</v>
      </c>
      <c r="G1093" s="2" t="str">
        <v>Brand A</v>
      </c>
      <c r="H1093" s="5">
        <v>4000</v>
      </c>
      <c r="I1093" s="2">
        <v>1</v>
      </c>
      <c r="J1093" s="2">
        <v>0</v>
      </c>
      <c r="K1093" s="8">
        <f t="shared" si="102"/>
        <v>4000</v>
      </c>
      <c r="L1093" s="8">
        <f t="shared" si="103"/>
        <v>0</v>
      </c>
      <c r="M1093" s="8">
        <f t="shared" si="104"/>
        <v>4000</v>
      </c>
      <c r="N1093" s="5">
        <v>21000</v>
      </c>
      <c r="O1093" s="8">
        <f t="shared" si="105"/>
        <v>25000</v>
      </c>
      <c r="P1093" s="2" t="s">
        <v>63</v>
      </c>
      <c r="Q1093" s="10" t="str">
        <f>VLOOKUP(A1093,Status!A:B,2,0)</f>
        <v>Completed</v>
      </c>
      <c r="R1093" s="2" t="s">
        <v>30</v>
      </c>
      <c r="S1093" s="2">
        <v>3</v>
      </c>
      <c r="T1093" s="2" t="s">
        <v>37</v>
      </c>
      <c r="U1093" s="10" t="str">
        <f t="shared" si="107"/>
        <v>Jul</v>
      </c>
      <c r="V1093" s="10">
        <f t="shared" si="106"/>
        <v>2025</v>
      </c>
      <c r="W1093" t="e" cm="1">
        <f t="array" ref="W1093">_xlfn.IFS(U1093="January",1,U1093="February",2,U1093="March",3,U1093="April",4,U1093="May",5,U1093="June",6,U1093="July",7,U1093="August",8,U1093="September",9,U1093="October",10,U1093="November",11,U1093="December",12)</f>
        <v>#N/A</v>
      </c>
    </row>
    <row r="1094" spans="1:23" ht="15.75" customHeight="1" x14ac:dyDescent="0.25">
      <c r="A1094" s="2" t="s">
        <v>2035</v>
      </c>
      <c r="B1094" s="3">
        <v>45856.258298611108</v>
      </c>
      <c r="C1094" s="2" t="s">
        <v>834</v>
      </c>
      <c r="D1094" s="2" t="s">
        <v>177</v>
      </c>
      <c r="E1094" s="2" t="s">
        <v>136</v>
      </c>
      <c r="F1094" s="2" t="str" cm="1">
        <f t="array" ref="F1094:G1094">_xlfn.TEXTSPLIT(E1094," - ")</f>
        <v>Tepung Terigu</v>
      </c>
      <c r="G1094" s="2" t="str">
        <v>Brand B</v>
      </c>
      <c r="H1094" s="5">
        <v>12000</v>
      </c>
      <c r="I1094" s="2">
        <v>1</v>
      </c>
      <c r="J1094" s="2">
        <v>15</v>
      </c>
      <c r="K1094" s="8">
        <f t="shared" si="102"/>
        <v>12000</v>
      </c>
      <c r="L1094" s="8">
        <f t="shared" si="103"/>
        <v>1800</v>
      </c>
      <c r="M1094" s="8">
        <f t="shared" si="104"/>
        <v>10200</v>
      </c>
      <c r="N1094" s="5">
        <v>56000</v>
      </c>
      <c r="O1094" s="8">
        <f t="shared" si="105"/>
        <v>66200</v>
      </c>
      <c r="P1094" s="2" t="s">
        <v>63</v>
      </c>
      <c r="Q1094" s="10" t="str">
        <f>VLOOKUP(A1094,Status!A:B,2,0)</f>
        <v>Completed</v>
      </c>
      <c r="R1094" s="2" t="s">
        <v>30</v>
      </c>
      <c r="S1094" s="2">
        <v>3</v>
      </c>
      <c r="T1094" s="2" t="s">
        <v>37</v>
      </c>
      <c r="U1094" s="10" t="str">
        <f t="shared" si="107"/>
        <v>Jul</v>
      </c>
      <c r="V1094" s="10">
        <f t="shared" si="106"/>
        <v>2025</v>
      </c>
      <c r="W1094" t="e" cm="1">
        <f t="array" ref="W1094">_xlfn.IFS(U1094="January",1,U1094="February",2,U1094="March",3,U1094="April",4,U1094="May",5,U1094="June",6,U1094="July",7,U1094="August",8,U1094="September",9,U1094="October",10,U1094="November",11,U1094="December",12)</f>
        <v>#N/A</v>
      </c>
    </row>
    <row r="1095" spans="1:23" ht="15.75" customHeight="1" x14ac:dyDescent="0.25">
      <c r="A1095" s="2" t="s">
        <v>2036</v>
      </c>
      <c r="B1095" s="3">
        <v>45856.813368055547</v>
      </c>
      <c r="C1095" s="2" t="s">
        <v>1981</v>
      </c>
      <c r="D1095" s="2" t="s">
        <v>53</v>
      </c>
      <c r="E1095" s="2" t="s">
        <v>88</v>
      </c>
      <c r="F1095" s="2" t="str" cm="1">
        <f t="array" ref="F1095:G1095">_xlfn.TEXTSPLIT(E1095," - ")</f>
        <v>Beras</v>
      </c>
      <c r="G1095" s="2" t="str">
        <v>Brand A</v>
      </c>
      <c r="H1095" s="5">
        <v>14000</v>
      </c>
      <c r="I1095" s="2">
        <v>5</v>
      </c>
      <c r="J1095" s="2">
        <v>0</v>
      </c>
      <c r="K1095" s="8">
        <f t="shared" si="102"/>
        <v>70000</v>
      </c>
      <c r="L1095" s="8">
        <f t="shared" si="103"/>
        <v>0</v>
      </c>
      <c r="M1095" s="8">
        <f t="shared" si="104"/>
        <v>70000</v>
      </c>
      <c r="N1095" s="5">
        <v>18000</v>
      </c>
      <c r="O1095" s="8">
        <f t="shared" si="105"/>
        <v>88000</v>
      </c>
      <c r="P1095" s="2" t="s">
        <v>29</v>
      </c>
      <c r="Q1095" s="10" t="str">
        <f>VLOOKUP(A1095,Status!A:B,2,0)</f>
        <v>Completed</v>
      </c>
      <c r="R1095" s="2" t="s">
        <v>23</v>
      </c>
      <c r="S1095" s="2">
        <v>3</v>
      </c>
      <c r="T1095" s="2" t="s">
        <v>24</v>
      </c>
      <c r="U1095" s="10" t="str">
        <f t="shared" si="107"/>
        <v>Jul</v>
      </c>
      <c r="V1095" s="10">
        <f t="shared" si="106"/>
        <v>2025</v>
      </c>
      <c r="W1095" t="e" cm="1">
        <f t="array" ref="W1095">_xlfn.IFS(U1095="January",1,U1095="February",2,U1095="March",3,U1095="April",4,U1095="May",5,U1095="June",6,U1095="July",7,U1095="August",8,U1095="September",9,U1095="October",10,U1095="November",11,U1095="December",12)</f>
        <v>#N/A</v>
      </c>
    </row>
    <row r="1096" spans="1:23" ht="15.75" customHeight="1" x14ac:dyDescent="0.25">
      <c r="A1096" s="2" t="s">
        <v>2036</v>
      </c>
      <c r="B1096" s="3">
        <v>45856.813368055547</v>
      </c>
      <c r="C1096" s="2" t="s">
        <v>1981</v>
      </c>
      <c r="D1096" s="2" t="s">
        <v>53</v>
      </c>
      <c r="E1096" s="2" t="s">
        <v>34</v>
      </c>
      <c r="F1096" s="2" t="str" cm="1">
        <f t="array" ref="F1096:G1096">_xlfn.TEXTSPLIT(E1096," - ")</f>
        <v>Minyak Goreng</v>
      </c>
      <c r="G1096" s="2" t="str">
        <v>Brand A</v>
      </c>
      <c r="H1096" s="5">
        <v>16000</v>
      </c>
      <c r="I1096" s="2">
        <v>2</v>
      </c>
      <c r="J1096" s="2">
        <v>5</v>
      </c>
      <c r="K1096" s="8">
        <f t="shared" si="102"/>
        <v>32000</v>
      </c>
      <c r="L1096" s="8">
        <f t="shared" si="103"/>
        <v>1600</v>
      </c>
      <c r="M1096" s="8">
        <f t="shared" si="104"/>
        <v>30400</v>
      </c>
      <c r="N1096" s="5">
        <v>0</v>
      </c>
      <c r="O1096" s="8">
        <f t="shared" si="105"/>
        <v>30400</v>
      </c>
      <c r="P1096" s="2" t="s">
        <v>29</v>
      </c>
      <c r="Q1096" s="10" t="str">
        <f>VLOOKUP(A1096,Status!A:B,2,0)</f>
        <v>Completed</v>
      </c>
      <c r="R1096" s="2" t="s">
        <v>23</v>
      </c>
      <c r="S1096" s="2">
        <v>3</v>
      </c>
      <c r="T1096" s="2" t="s">
        <v>24</v>
      </c>
      <c r="U1096" s="10" t="str">
        <f t="shared" si="107"/>
        <v>Jul</v>
      </c>
      <c r="V1096" s="10">
        <f t="shared" si="106"/>
        <v>2025</v>
      </c>
      <c r="W1096" t="e" cm="1">
        <f t="array" ref="W1096">_xlfn.IFS(U1096="January",1,U1096="February",2,U1096="March",3,U1096="April",4,U1096="May",5,U1096="June",6,U1096="July",7,U1096="August",8,U1096="September",9,U1096="October",10,U1096="November",11,U1096="December",12)</f>
        <v>#N/A</v>
      </c>
    </row>
    <row r="1097" spans="1:23" ht="15.75" customHeight="1" x14ac:dyDescent="0.25">
      <c r="A1097" s="2" t="s">
        <v>2037</v>
      </c>
      <c r="B1097" s="3">
        <v>45857.095925925933</v>
      </c>
      <c r="C1097" s="2" t="s">
        <v>530</v>
      </c>
      <c r="D1097" s="2" t="s">
        <v>151</v>
      </c>
      <c r="E1097" s="2" t="s">
        <v>81</v>
      </c>
      <c r="F1097" s="2" t="str" cm="1">
        <f t="array" ref="F1097:G1097">_xlfn.TEXTSPLIT(E1097," - ")</f>
        <v>Minyak Goreng</v>
      </c>
      <c r="G1097" s="2" t="str">
        <v>Brand B</v>
      </c>
      <c r="H1097" s="5">
        <v>17000</v>
      </c>
      <c r="I1097" s="2">
        <v>3</v>
      </c>
      <c r="J1097" s="2">
        <v>20</v>
      </c>
      <c r="K1097" s="8">
        <f t="shared" si="102"/>
        <v>51000</v>
      </c>
      <c r="L1097" s="8">
        <f t="shared" si="103"/>
        <v>10200</v>
      </c>
      <c r="M1097" s="8">
        <f t="shared" si="104"/>
        <v>40800</v>
      </c>
      <c r="N1097" s="5">
        <v>55000</v>
      </c>
      <c r="O1097" s="8">
        <f t="shared" si="105"/>
        <v>95800</v>
      </c>
      <c r="P1097" s="2" t="s">
        <v>22</v>
      </c>
      <c r="Q1097" s="10" t="str">
        <f>VLOOKUP(A1097,Status!A:B,2,0)</f>
        <v>Completed</v>
      </c>
      <c r="R1097" s="2" t="s">
        <v>46</v>
      </c>
      <c r="S1097" s="2">
        <v>2</v>
      </c>
      <c r="T1097" s="2" t="s">
        <v>24</v>
      </c>
      <c r="U1097" s="10" t="str">
        <f t="shared" si="107"/>
        <v>Jul</v>
      </c>
      <c r="V1097" s="10">
        <f t="shared" si="106"/>
        <v>2025</v>
      </c>
      <c r="W1097" t="e" cm="1">
        <f t="array" ref="W1097">_xlfn.IFS(U1097="January",1,U1097="February",2,U1097="March",3,U1097="April",4,U1097="May",5,U1097="June",6,U1097="July",7,U1097="August",8,U1097="September",9,U1097="October",10,U1097="November",11,U1097="December",12)</f>
        <v>#N/A</v>
      </c>
    </row>
    <row r="1098" spans="1:23" ht="15.75" customHeight="1" x14ac:dyDescent="0.25">
      <c r="A1098" s="2" t="s">
        <v>2038</v>
      </c>
      <c r="B1098" s="3">
        <v>45857.396944444437</v>
      </c>
      <c r="C1098" s="2" t="s">
        <v>231</v>
      </c>
      <c r="D1098" s="2" t="s">
        <v>66</v>
      </c>
      <c r="E1098" s="2" t="s">
        <v>62</v>
      </c>
      <c r="F1098" s="2" t="str" cm="1">
        <f t="array" ref="F1098:G1098">_xlfn.TEXTSPLIT(E1098," - ")</f>
        <v>Susu Bubuk</v>
      </c>
      <c r="G1098" s="2" t="str">
        <v>Brand B</v>
      </c>
      <c r="H1098" s="5">
        <v>50000</v>
      </c>
      <c r="I1098" s="2">
        <v>5</v>
      </c>
      <c r="J1098" s="2">
        <v>20</v>
      </c>
      <c r="K1098" s="8">
        <f t="shared" si="102"/>
        <v>250000</v>
      </c>
      <c r="L1098" s="8">
        <f t="shared" si="103"/>
        <v>50000</v>
      </c>
      <c r="M1098" s="8">
        <f t="shared" si="104"/>
        <v>200000</v>
      </c>
      <c r="N1098" s="5">
        <v>59000</v>
      </c>
      <c r="O1098" s="8">
        <f t="shared" si="105"/>
        <v>259000</v>
      </c>
      <c r="P1098" s="2" t="s">
        <v>35</v>
      </c>
      <c r="Q1098" s="10" t="str">
        <f>VLOOKUP(A1098,Status!A:B,2,0)</f>
        <v>Completed</v>
      </c>
      <c r="R1098" s="2" t="s">
        <v>46</v>
      </c>
      <c r="S1098" s="2">
        <v>4</v>
      </c>
      <c r="T1098" s="2" t="s">
        <v>24</v>
      </c>
      <c r="U1098" s="10" t="str">
        <f t="shared" si="107"/>
        <v>Jul</v>
      </c>
      <c r="V1098" s="10">
        <f t="shared" si="106"/>
        <v>2025</v>
      </c>
      <c r="W1098" t="e" cm="1">
        <f t="array" ref="W1098">_xlfn.IFS(U1098="January",1,U1098="February",2,U1098="March",3,U1098="April",4,U1098="May",5,U1098="June",6,U1098="July",7,U1098="August",8,U1098="September",9,U1098="October",10,U1098="November",11,U1098="December",12)</f>
        <v>#N/A</v>
      </c>
    </row>
    <row r="1099" spans="1:23" ht="15.75" customHeight="1" x14ac:dyDescent="0.25">
      <c r="A1099" s="2" t="s">
        <v>2039</v>
      </c>
      <c r="B1099" s="3">
        <v>45857.402997685182</v>
      </c>
      <c r="C1099" s="2" t="s">
        <v>205</v>
      </c>
      <c r="D1099" s="2" t="s">
        <v>96</v>
      </c>
      <c r="E1099" s="2" t="s">
        <v>88</v>
      </c>
      <c r="F1099" s="2" t="str" cm="1">
        <f t="array" ref="F1099:G1099">_xlfn.TEXTSPLIT(E1099," - ")</f>
        <v>Beras</v>
      </c>
      <c r="G1099" s="2" t="str">
        <v>Brand A</v>
      </c>
      <c r="H1099" s="5">
        <v>14000</v>
      </c>
      <c r="I1099" s="2">
        <v>5</v>
      </c>
      <c r="J1099" s="2">
        <v>15</v>
      </c>
      <c r="K1099" s="8">
        <f t="shared" si="102"/>
        <v>70000</v>
      </c>
      <c r="L1099" s="8">
        <f t="shared" si="103"/>
        <v>10500</v>
      </c>
      <c r="M1099" s="8">
        <f t="shared" si="104"/>
        <v>59500</v>
      </c>
      <c r="N1099" s="5">
        <v>49000</v>
      </c>
      <c r="O1099" s="8">
        <f t="shared" si="105"/>
        <v>108500</v>
      </c>
      <c r="P1099" s="2" t="s">
        <v>35</v>
      </c>
      <c r="Q1099" s="10" t="str">
        <f>VLOOKUP(A1099,Status!A:B,2,0)</f>
        <v>Returned</v>
      </c>
      <c r="R1099" s="2" t="s">
        <v>36</v>
      </c>
      <c r="S1099" s="2">
        <v>4</v>
      </c>
      <c r="T1099" s="2" t="s">
        <v>24</v>
      </c>
      <c r="U1099" s="10" t="str">
        <f t="shared" si="107"/>
        <v>Jul</v>
      </c>
      <c r="V1099" s="10">
        <f t="shared" si="106"/>
        <v>2025</v>
      </c>
      <c r="W1099" t="e" cm="1">
        <f t="array" ref="W1099">_xlfn.IFS(U1099="January",1,U1099="February",2,U1099="March",3,U1099="April",4,U1099="May",5,U1099="June",6,U1099="July",7,U1099="August",8,U1099="September",9,U1099="October",10,U1099="November",11,U1099="December",12)</f>
        <v>#N/A</v>
      </c>
    </row>
    <row r="1100" spans="1:23" ht="15.75" customHeight="1" x14ac:dyDescent="0.25">
      <c r="A1100" s="2" t="s">
        <v>2040</v>
      </c>
      <c r="B1100" s="3">
        <v>45857.491909722223</v>
      </c>
      <c r="C1100" s="2" t="s">
        <v>233</v>
      </c>
      <c r="D1100" s="2" t="s">
        <v>113</v>
      </c>
      <c r="E1100" s="2" t="s">
        <v>136</v>
      </c>
      <c r="F1100" s="2" t="str" cm="1">
        <f t="array" ref="F1100:G1100">_xlfn.TEXTSPLIT(E1100," - ")</f>
        <v>Tepung Terigu</v>
      </c>
      <c r="G1100" s="2" t="str">
        <v>Brand B</v>
      </c>
      <c r="H1100" s="5">
        <v>12000</v>
      </c>
      <c r="I1100" s="2">
        <v>4</v>
      </c>
      <c r="J1100" s="2">
        <v>5</v>
      </c>
      <c r="K1100" s="8">
        <f t="shared" si="102"/>
        <v>48000</v>
      </c>
      <c r="L1100" s="8">
        <f t="shared" si="103"/>
        <v>2400</v>
      </c>
      <c r="M1100" s="8">
        <f t="shared" si="104"/>
        <v>45600</v>
      </c>
      <c r="N1100" s="5">
        <v>18000</v>
      </c>
      <c r="O1100" s="8">
        <f t="shared" si="105"/>
        <v>63600</v>
      </c>
      <c r="P1100" s="2" t="s">
        <v>22</v>
      </c>
      <c r="Q1100" s="10" t="str">
        <f>VLOOKUP(A1100,Status!A:B,2,0)</f>
        <v>Completed</v>
      </c>
      <c r="R1100" s="2" t="s">
        <v>23</v>
      </c>
      <c r="S1100" s="2">
        <v>1</v>
      </c>
      <c r="T1100" s="2" t="s">
        <v>37</v>
      </c>
      <c r="U1100" s="10" t="str">
        <f t="shared" si="107"/>
        <v>Jul</v>
      </c>
      <c r="V1100" s="10">
        <f t="shared" si="106"/>
        <v>2025</v>
      </c>
      <c r="W1100" t="e" cm="1">
        <f t="array" ref="W1100">_xlfn.IFS(U1100="January",1,U1100="February",2,U1100="March",3,U1100="April",4,U1100="May",5,U1100="June",6,U1100="July",7,U1100="August",8,U1100="September",9,U1100="October",10,U1100="November",11,U1100="December",12)</f>
        <v>#N/A</v>
      </c>
    </row>
    <row r="1101" spans="1:23" ht="15.75" customHeight="1" x14ac:dyDescent="0.25">
      <c r="A1101" s="2" t="s">
        <v>2041</v>
      </c>
      <c r="B1101" s="3">
        <v>45857.549756944441</v>
      </c>
      <c r="C1101" s="2" t="s">
        <v>593</v>
      </c>
      <c r="D1101" s="2" t="s">
        <v>195</v>
      </c>
      <c r="E1101" s="2" t="s">
        <v>93</v>
      </c>
      <c r="F1101" s="2" t="str" cm="1">
        <f t="array" ref="F1101:G1101">_xlfn.TEXTSPLIT(E1101," - ")</f>
        <v>Telur Ayam</v>
      </c>
      <c r="G1101" s="2" t="str">
        <v>Brand B</v>
      </c>
      <c r="H1101" s="5">
        <v>25000</v>
      </c>
      <c r="I1101" s="2">
        <v>3</v>
      </c>
      <c r="J1101" s="2">
        <v>5</v>
      </c>
      <c r="K1101" s="8">
        <f t="shared" si="102"/>
        <v>75000</v>
      </c>
      <c r="L1101" s="8">
        <f t="shared" si="103"/>
        <v>3750</v>
      </c>
      <c r="M1101" s="8">
        <f t="shared" si="104"/>
        <v>71250</v>
      </c>
      <c r="N1101" s="5">
        <v>87000</v>
      </c>
      <c r="O1101" s="8">
        <f t="shared" si="105"/>
        <v>158250</v>
      </c>
      <c r="P1101" s="2" t="s">
        <v>22</v>
      </c>
      <c r="Q1101" s="10" t="str">
        <f>VLOOKUP(A1101,Status!A:B,2,0)</f>
        <v>Completed</v>
      </c>
      <c r="R1101" s="2" t="s">
        <v>36</v>
      </c>
      <c r="S1101" s="2">
        <v>3</v>
      </c>
      <c r="T1101" s="2" t="s">
        <v>24</v>
      </c>
      <c r="U1101" s="10" t="str">
        <f t="shared" si="107"/>
        <v>Jul</v>
      </c>
      <c r="V1101" s="10">
        <f t="shared" si="106"/>
        <v>2025</v>
      </c>
      <c r="W1101" t="e" cm="1">
        <f t="array" ref="W1101">_xlfn.IFS(U1101="January",1,U1101="February",2,U1101="March",3,U1101="April",4,U1101="May",5,U1101="June",6,U1101="July",7,U1101="August",8,U1101="September",9,U1101="October",10,U1101="November",11,U1101="December",12)</f>
        <v>#N/A</v>
      </c>
    </row>
    <row r="1102" spans="1:23" ht="15.75" customHeight="1" x14ac:dyDescent="0.25">
      <c r="A1102" s="2" t="s">
        <v>2042</v>
      </c>
      <c r="B1102" s="3">
        <v>45857.624537037038</v>
      </c>
      <c r="C1102" s="2" t="s">
        <v>589</v>
      </c>
      <c r="D1102" s="2" t="s">
        <v>262</v>
      </c>
      <c r="E1102" s="2" t="s">
        <v>54</v>
      </c>
      <c r="F1102" s="2" t="str" cm="1">
        <f t="array" ref="F1102:G1102">_xlfn.TEXTSPLIT(E1102," - ")</f>
        <v>Beras</v>
      </c>
      <c r="G1102" s="2" t="str">
        <v>Brand C</v>
      </c>
      <c r="H1102" s="5">
        <v>16000</v>
      </c>
      <c r="I1102" s="2">
        <v>2</v>
      </c>
      <c r="J1102" s="2">
        <v>5</v>
      </c>
      <c r="K1102" s="8">
        <f t="shared" si="102"/>
        <v>32000</v>
      </c>
      <c r="L1102" s="8">
        <f t="shared" si="103"/>
        <v>1600</v>
      </c>
      <c r="M1102" s="8">
        <f t="shared" si="104"/>
        <v>30400</v>
      </c>
      <c r="N1102" s="5">
        <v>18000</v>
      </c>
      <c r="O1102" s="8">
        <f t="shared" si="105"/>
        <v>48400</v>
      </c>
      <c r="P1102" s="2" t="s">
        <v>29</v>
      </c>
      <c r="Q1102" s="10" t="str">
        <f>VLOOKUP(A1102,Status!A:B,2,0)</f>
        <v>Completed</v>
      </c>
      <c r="R1102" s="2" t="s">
        <v>36</v>
      </c>
      <c r="S1102" s="2">
        <v>2</v>
      </c>
      <c r="T1102" s="2" t="s">
        <v>37</v>
      </c>
      <c r="U1102" s="10" t="str">
        <f t="shared" si="107"/>
        <v>Jul</v>
      </c>
      <c r="V1102" s="10">
        <f t="shared" si="106"/>
        <v>2025</v>
      </c>
      <c r="W1102" t="e" cm="1">
        <f t="array" ref="W1102">_xlfn.IFS(U1102="January",1,U1102="February",2,U1102="March",3,U1102="April",4,U1102="May",5,U1102="June",6,U1102="July",7,U1102="August",8,U1102="September",9,U1102="October",10,U1102="November",11,U1102="December",12)</f>
        <v>#N/A</v>
      </c>
    </row>
    <row r="1103" spans="1:23" ht="15.75" customHeight="1" x14ac:dyDescent="0.25">
      <c r="A1103" s="2" t="s">
        <v>2042</v>
      </c>
      <c r="B1103" s="3">
        <v>45857.624537037038</v>
      </c>
      <c r="C1103" s="2" t="s">
        <v>589</v>
      </c>
      <c r="D1103" s="2" t="s">
        <v>262</v>
      </c>
      <c r="E1103" s="2" t="s">
        <v>250</v>
      </c>
      <c r="F1103" s="2" t="str" cm="1">
        <f t="array" ref="F1103:G1103">_xlfn.TEXTSPLIT(E1103," - ")</f>
        <v>Minyak Goreng</v>
      </c>
      <c r="G1103" s="2" t="str">
        <v>Brand C</v>
      </c>
      <c r="H1103" s="5">
        <v>18000</v>
      </c>
      <c r="I1103" s="2">
        <v>4</v>
      </c>
      <c r="J1103" s="2">
        <v>10</v>
      </c>
      <c r="K1103" s="8">
        <f t="shared" si="102"/>
        <v>72000</v>
      </c>
      <c r="L1103" s="8">
        <f t="shared" si="103"/>
        <v>7200</v>
      </c>
      <c r="M1103" s="8">
        <f t="shared" si="104"/>
        <v>64800</v>
      </c>
      <c r="N1103" s="5">
        <v>0</v>
      </c>
      <c r="O1103" s="8">
        <f t="shared" si="105"/>
        <v>64800</v>
      </c>
      <c r="P1103" s="2" t="s">
        <v>29</v>
      </c>
      <c r="Q1103" s="10" t="str">
        <f>VLOOKUP(A1103,Status!A:B,2,0)</f>
        <v>Completed</v>
      </c>
      <c r="R1103" s="2" t="s">
        <v>36</v>
      </c>
      <c r="S1103" s="2">
        <v>2</v>
      </c>
      <c r="T1103" s="2" t="s">
        <v>37</v>
      </c>
      <c r="U1103" s="10" t="str">
        <f t="shared" si="107"/>
        <v>Jul</v>
      </c>
      <c r="V1103" s="10">
        <f t="shared" si="106"/>
        <v>2025</v>
      </c>
      <c r="W1103" t="e" cm="1">
        <f t="array" ref="W1103">_xlfn.IFS(U1103="January",1,U1103="February",2,U1103="March",3,U1103="April",4,U1103="May",5,U1103="June",6,U1103="July",7,U1103="August",8,U1103="September",9,U1103="October",10,U1103="November",11,U1103="December",12)</f>
        <v>#N/A</v>
      </c>
    </row>
    <row r="1104" spans="1:23" ht="15.75" customHeight="1" x14ac:dyDescent="0.25">
      <c r="A1104" s="2" t="s">
        <v>2043</v>
      </c>
      <c r="B1104" s="3">
        <v>45857.767280092587</v>
      </c>
      <c r="C1104" s="2" t="s">
        <v>451</v>
      </c>
      <c r="D1104" s="2" t="s">
        <v>116</v>
      </c>
      <c r="E1104" s="2" t="s">
        <v>58</v>
      </c>
      <c r="F1104" s="2" t="str" cm="1">
        <f t="array" ref="F1104:G1104">_xlfn.TEXTSPLIT(E1104," - ")</f>
        <v>Gula Pasir</v>
      </c>
      <c r="G1104" s="2" t="str">
        <v>Brand A</v>
      </c>
      <c r="H1104" s="5">
        <v>16000</v>
      </c>
      <c r="I1104" s="2">
        <v>3</v>
      </c>
      <c r="J1104" s="2">
        <v>10</v>
      </c>
      <c r="K1104" s="8">
        <f t="shared" si="102"/>
        <v>48000</v>
      </c>
      <c r="L1104" s="8">
        <f t="shared" si="103"/>
        <v>4800</v>
      </c>
      <c r="M1104" s="8">
        <f t="shared" si="104"/>
        <v>43200</v>
      </c>
      <c r="N1104" s="5">
        <v>72000</v>
      </c>
      <c r="O1104" s="8">
        <f t="shared" si="105"/>
        <v>115200</v>
      </c>
      <c r="P1104" s="2" t="s">
        <v>63</v>
      </c>
      <c r="Q1104" s="10" t="str">
        <f>VLOOKUP(A1104,Status!A:B,2,0)</f>
        <v>Completed</v>
      </c>
      <c r="R1104" s="2" t="s">
        <v>46</v>
      </c>
      <c r="S1104" s="2">
        <v>4</v>
      </c>
      <c r="T1104" s="2" t="s">
        <v>24</v>
      </c>
      <c r="U1104" s="10" t="str">
        <f t="shared" si="107"/>
        <v>Jul</v>
      </c>
      <c r="V1104" s="10">
        <f t="shared" si="106"/>
        <v>2025</v>
      </c>
      <c r="W1104" t="e" cm="1">
        <f t="array" ref="W1104">_xlfn.IFS(U1104="January",1,U1104="February",2,U1104="March",3,U1104="April",4,U1104="May",5,U1104="June",6,U1104="July",7,U1104="August",8,U1104="September",9,U1104="October",10,U1104="November",11,U1104="December",12)</f>
        <v>#N/A</v>
      </c>
    </row>
    <row r="1105" spans="1:23" ht="15.75" customHeight="1" x14ac:dyDescent="0.25">
      <c r="A1105" s="2" t="s">
        <v>2044</v>
      </c>
      <c r="B1105" s="3">
        <v>45858.306689814817</v>
      </c>
      <c r="C1105" s="2" t="s">
        <v>1259</v>
      </c>
      <c r="D1105" s="2" t="s">
        <v>107</v>
      </c>
      <c r="E1105" s="2" t="s">
        <v>88</v>
      </c>
      <c r="F1105" s="2" t="str" cm="1">
        <f t="array" ref="F1105:G1105">_xlfn.TEXTSPLIT(E1105," - ")</f>
        <v>Beras</v>
      </c>
      <c r="G1105" s="2" t="str">
        <v>Brand A</v>
      </c>
      <c r="H1105" s="5">
        <v>14000</v>
      </c>
      <c r="I1105" s="2">
        <v>2</v>
      </c>
      <c r="J1105" s="2">
        <v>5</v>
      </c>
      <c r="K1105" s="8">
        <f t="shared" si="102"/>
        <v>28000</v>
      </c>
      <c r="L1105" s="8">
        <f t="shared" si="103"/>
        <v>1400</v>
      </c>
      <c r="M1105" s="8">
        <f t="shared" si="104"/>
        <v>26600</v>
      </c>
      <c r="N1105" s="5">
        <v>97000</v>
      </c>
      <c r="O1105" s="8">
        <f t="shared" si="105"/>
        <v>123600</v>
      </c>
      <c r="P1105" s="2" t="s">
        <v>22</v>
      </c>
      <c r="Q1105" s="10" t="str">
        <f>VLOOKUP(A1105,Status!A:B,2,0)</f>
        <v>Completed</v>
      </c>
      <c r="R1105" s="2" t="s">
        <v>23</v>
      </c>
      <c r="S1105" s="2">
        <v>2</v>
      </c>
      <c r="T1105" s="2" t="s">
        <v>37</v>
      </c>
      <c r="U1105" s="10" t="str">
        <f t="shared" si="107"/>
        <v>Jul</v>
      </c>
      <c r="V1105" s="10">
        <f t="shared" si="106"/>
        <v>2025</v>
      </c>
      <c r="W1105" t="e" cm="1">
        <f t="array" ref="W1105">_xlfn.IFS(U1105="January",1,U1105="February",2,U1105="March",3,U1105="April",4,U1105="May",5,U1105="June",6,U1105="July",7,U1105="August",8,U1105="September",9,U1105="October",10,U1105="November",11,U1105="December",12)</f>
        <v>#N/A</v>
      </c>
    </row>
    <row r="1106" spans="1:23" ht="15.75" customHeight="1" x14ac:dyDescent="0.25">
      <c r="A1106" s="2" t="s">
        <v>2044</v>
      </c>
      <c r="B1106" s="3">
        <v>45858.306689814817</v>
      </c>
      <c r="C1106" s="2" t="s">
        <v>1259</v>
      </c>
      <c r="D1106" s="2" t="s">
        <v>107</v>
      </c>
      <c r="E1106" s="2" t="s">
        <v>28</v>
      </c>
      <c r="F1106" s="2" t="str" cm="1">
        <f t="array" ref="F1106:G1106">_xlfn.TEXTSPLIT(E1106," - ")</f>
        <v>Garam</v>
      </c>
      <c r="G1106" s="2" t="str">
        <v>Brand B</v>
      </c>
      <c r="H1106" s="5">
        <v>5000</v>
      </c>
      <c r="I1106" s="2">
        <v>4</v>
      </c>
      <c r="J1106" s="2">
        <v>0</v>
      </c>
      <c r="K1106" s="8">
        <f t="shared" si="102"/>
        <v>20000</v>
      </c>
      <c r="L1106" s="8">
        <f t="shared" si="103"/>
        <v>0</v>
      </c>
      <c r="M1106" s="8">
        <f t="shared" si="104"/>
        <v>20000</v>
      </c>
      <c r="N1106" s="5">
        <v>0</v>
      </c>
      <c r="O1106" s="8">
        <f t="shared" si="105"/>
        <v>20000</v>
      </c>
      <c r="P1106" s="2" t="s">
        <v>22</v>
      </c>
      <c r="Q1106" s="10" t="str">
        <f>VLOOKUP(A1106,Status!A:B,2,0)</f>
        <v>Completed</v>
      </c>
      <c r="R1106" s="2" t="s">
        <v>23</v>
      </c>
      <c r="S1106" s="2">
        <v>2</v>
      </c>
      <c r="T1106" s="2" t="s">
        <v>37</v>
      </c>
      <c r="U1106" s="10" t="str">
        <f t="shared" si="107"/>
        <v>Jul</v>
      </c>
      <c r="V1106" s="10">
        <f t="shared" si="106"/>
        <v>2025</v>
      </c>
      <c r="W1106" t="e" cm="1">
        <f t="array" ref="W1106">_xlfn.IFS(U1106="January",1,U1106="February",2,U1106="March",3,U1106="April",4,U1106="May",5,U1106="June",6,U1106="July",7,U1106="August",8,U1106="September",9,U1106="October",10,U1106="November",11,U1106="December",12)</f>
        <v>#N/A</v>
      </c>
    </row>
    <row r="1107" spans="1:23" ht="15.75" customHeight="1" x14ac:dyDescent="0.25">
      <c r="A1107" s="2" t="s">
        <v>2045</v>
      </c>
      <c r="B1107" s="3">
        <v>45858.482719907413</v>
      </c>
      <c r="C1107" s="2" t="s">
        <v>287</v>
      </c>
      <c r="D1107" s="2" t="s">
        <v>262</v>
      </c>
      <c r="E1107" s="2" t="s">
        <v>138</v>
      </c>
      <c r="F1107" s="2" t="str" cm="1">
        <f t="array" ref="F1107:G1107">_xlfn.TEXTSPLIT(E1107," - ")</f>
        <v>Gula Pasir</v>
      </c>
      <c r="G1107" s="2" t="str">
        <v>Brand B</v>
      </c>
      <c r="H1107" s="5">
        <v>17000</v>
      </c>
      <c r="I1107" s="2">
        <v>5</v>
      </c>
      <c r="J1107" s="2">
        <v>10</v>
      </c>
      <c r="K1107" s="8">
        <f t="shared" si="102"/>
        <v>85000</v>
      </c>
      <c r="L1107" s="8">
        <f t="shared" si="103"/>
        <v>8500</v>
      </c>
      <c r="M1107" s="8">
        <f t="shared" si="104"/>
        <v>76500</v>
      </c>
      <c r="N1107" s="5">
        <v>18000</v>
      </c>
      <c r="O1107" s="8">
        <f t="shared" si="105"/>
        <v>94500</v>
      </c>
      <c r="P1107" s="2" t="s">
        <v>35</v>
      </c>
      <c r="Q1107" s="10" t="str">
        <f>VLOOKUP(A1107,Status!A:B,2,0)</f>
        <v>Completed</v>
      </c>
      <c r="R1107" s="2" t="s">
        <v>36</v>
      </c>
      <c r="S1107" s="2">
        <v>2</v>
      </c>
      <c r="T1107" s="2" t="s">
        <v>24</v>
      </c>
      <c r="U1107" s="10" t="str">
        <f t="shared" si="107"/>
        <v>Jul</v>
      </c>
      <c r="V1107" s="10">
        <f t="shared" si="106"/>
        <v>2025</v>
      </c>
      <c r="W1107" t="e" cm="1">
        <f t="array" ref="W1107">_xlfn.IFS(U1107="January",1,U1107="February",2,U1107="March",3,U1107="April",4,U1107="May",5,U1107="June",6,U1107="July",7,U1107="August",8,U1107="September",9,U1107="October",10,U1107="November",11,U1107="December",12)</f>
        <v>#N/A</v>
      </c>
    </row>
    <row r="1108" spans="1:23" ht="15.75" customHeight="1" x14ac:dyDescent="0.25">
      <c r="A1108" s="2" t="s">
        <v>2046</v>
      </c>
      <c r="B1108" s="3">
        <v>45858.538888888892</v>
      </c>
      <c r="C1108" s="2" t="s">
        <v>1561</v>
      </c>
      <c r="D1108" s="2" t="s">
        <v>160</v>
      </c>
      <c r="E1108" s="2" t="s">
        <v>123</v>
      </c>
      <c r="F1108" s="2" t="str" cm="1">
        <f t="array" ref="F1108:G1108">_xlfn.TEXTSPLIT(E1108," - ")</f>
        <v>Telur Ayam</v>
      </c>
      <c r="G1108" s="2" t="str">
        <v>Brand A</v>
      </c>
      <c r="H1108" s="5">
        <v>22000</v>
      </c>
      <c r="I1108" s="2">
        <v>4</v>
      </c>
      <c r="J1108" s="2">
        <v>0</v>
      </c>
      <c r="K1108" s="8">
        <f t="shared" si="102"/>
        <v>88000</v>
      </c>
      <c r="L1108" s="8">
        <f t="shared" si="103"/>
        <v>0</v>
      </c>
      <c r="M1108" s="8">
        <f t="shared" si="104"/>
        <v>88000</v>
      </c>
      <c r="N1108" s="5">
        <v>68000</v>
      </c>
      <c r="O1108" s="8">
        <f t="shared" si="105"/>
        <v>156000</v>
      </c>
      <c r="P1108" s="2" t="s">
        <v>63</v>
      </c>
      <c r="Q1108" s="10" t="str">
        <f>VLOOKUP(A1108,Status!A:B,2,0)</f>
        <v>Returned</v>
      </c>
      <c r="R1108" s="2" t="s">
        <v>23</v>
      </c>
      <c r="S1108" s="2">
        <v>5</v>
      </c>
      <c r="T1108" s="2" t="s">
        <v>24</v>
      </c>
      <c r="U1108" s="10" t="str">
        <f t="shared" si="107"/>
        <v>Jul</v>
      </c>
      <c r="V1108" s="10">
        <f t="shared" si="106"/>
        <v>2025</v>
      </c>
      <c r="W1108" t="e" cm="1">
        <f t="array" ref="W1108">_xlfn.IFS(U1108="January",1,U1108="February",2,U1108="March",3,U1108="April",4,U1108="May",5,U1108="June",6,U1108="July",7,U1108="August",8,U1108="September",9,U1108="October",10,U1108="November",11,U1108="December",12)</f>
        <v>#N/A</v>
      </c>
    </row>
    <row r="1109" spans="1:23" ht="15.75" customHeight="1" x14ac:dyDescent="0.25">
      <c r="A1109" s="2" t="s">
        <v>2047</v>
      </c>
      <c r="B1109" s="3">
        <v>45858.574756944443</v>
      </c>
      <c r="C1109" s="2" t="s">
        <v>118</v>
      </c>
      <c r="D1109" s="2" t="s">
        <v>119</v>
      </c>
      <c r="E1109" s="2" t="s">
        <v>75</v>
      </c>
      <c r="F1109" s="2" t="str" cm="1">
        <f t="array" ref="F1109:G1109">_xlfn.TEXTSPLIT(E1109," - ")</f>
        <v>Susu Bubuk</v>
      </c>
      <c r="G1109" s="2" t="str">
        <v>Brand C</v>
      </c>
      <c r="H1109" s="5">
        <v>55000</v>
      </c>
      <c r="I1109" s="2">
        <v>3</v>
      </c>
      <c r="J1109" s="2">
        <v>5</v>
      </c>
      <c r="K1109" s="8">
        <f t="shared" si="102"/>
        <v>165000</v>
      </c>
      <c r="L1109" s="8">
        <f t="shared" si="103"/>
        <v>8250</v>
      </c>
      <c r="M1109" s="8">
        <f t="shared" si="104"/>
        <v>156750</v>
      </c>
      <c r="N1109" s="5">
        <v>0</v>
      </c>
      <c r="O1109" s="8">
        <f t="shared" si="105"/>
        <v>156750</v>
      </c>
      <c r="P1109" s="2" t="s">
        <v>29</v>
      </c>
      <c r="Q1109" s="10" t="str">
        <f>VLOOKUP(A1109,Status!A:B,2,0)</f>
        <v>Completed</v>
      </c>
      <c r="R1109" s="2" t="s">
        <v>36</v>
      </c>
      <c r="S1109" s="2">
        <v>4</v>
      </c>
      <c r="T1109" s="2" t="s">
        <v>24</v>
      </c>
      <c r="U1109" s="10" t="str">
        <f t="shared" si="107"/>
        <v>Jul</v>
      </c>
      <c r="V1109" s="10">
        <f t="shared" si="106"/>
        <v>2025</v>
      </c>
      <c r="W1109" t="e" cm="1">
        <f t="array" ref="W1109">_xlfn.IFS(U1109="January",1,U1109="February",2,U1109="March",3,U1109="April",4,U1109="May",5,U1109="June",6,U1109="July",7,U1109="August",8,U1109="September",9,U1109="October",10,U1109="November",11,U1109="December",12)</f>
        <v>#N/A</v>
      </c>
    </row>
    <row r="1110" spans="1:23" ht="15.75" customHeight="1" x14ac:dyDescent="0.25">
      <c r="A1110" s="2" t="s">
        <v>2048</v>
      </c>
      <c r="B1110" s="3">
        <v>45858.871342592603</v>
      </c>
      <c r="C1110" s="2" t="s">
        <v>1005</v>
      </c>
      <c r="D1110" s="2" t="s">
        <v>122</v>
      </c>
      <c r="E1110" s="2" t="s">
        <v>71</v>
      </c>
      <c r="F1110" s="2" t="str" cm="1">
        <f t="array" ref="F1110:G1110">_xlfn.TEXTSPLIT(E1110," - ")</f>
        <v>Bawang Merah</v>
      </c>
      <c r="G1110" s="2" t="str">
        <v>Brand C</v>
      </c>
      <c r="H1110" s="5">
        <v>40000</v>
      </c>
      <c r="I1110" s="2">
        <v>1</v>
      </c>
      <c r="J1110" s="2">
        <v>20</v>
      </c>
      <c r="K1110" s="8">
        <f t="shared" si="102"/>
        <v>40000</v>
      </c>
      <c r="L1110" s="8">
        <f t="shared" si="103"/>
        <v>8000</v>
      </c>
      <c r="M1110" s="8">
        <f t="shared" si="104"/>
        <v>32000</v>
      </c>
      <c r="N1110" s="5">
        <v>78000</v>
      </c>
      <c r="O1110" s="8">
        <f t="shared" si="105"/>
        <v>110000</v>
      </c>
      <c r="P1110" s="2" t="s">
        <v>35</v>
      </c>
      <c r="Q1110" s="10" t="str">
        <f>VLOOKUP(A1110,Status!A:B,2,0)</f>
        <v>Completed</v>
      </c>
      <c r="R1110" s="2" t="s">
        <v>82</v>
      </c>
      <c r="S1110" s="2">
        <v>1</v>
      </c>
      <c r="T1110" s="2" t="s">
        <v>24</v>
      </c>
      <c r="U1110" s="10" t="str">
        <f t="shared" si="107"/>
        <v>Jul</v>
      </c>
      <c r="V1110" s="10">
        <f t="shared" si="106"/>
        <v>2025</v>
      </c>
      <c r="W1110" t="e" cm="1">
        <f t="array" ref="W1110">_xlfn.IFS(U1110="January",1,U1110="February",2,U1110="March",3,U1110="April",4,U1110="May",5,U1110="June",6,U1110="July",7,U1110="August",8,U1110="September",9,U1110="October",10,U1110="November",11,U1110="December",12)</f>
        <v>#N/A</v>
      </c>
    </row>
    <row r="1111" spans="1:23" ht="15.75" customHeight="1" x14ac:dyDescent="0.25">
      <c r="A1111" s="2" t="s">
        <v>2049</v>
      </c>
      <c r="B1111" s="3">
        <v>45858.920138888891</v>
      </c>
      <c r="C1111" s="2" t="s">
        <v>683</v>
      </c>
      <c r="D1111" s="2" t="s">
        <v>27</v>
      </c>
      <c r="E1111" s="2" t="s">
        <v>104</v>
      </c>
      <c r="F1111" s="2" t="str" cm="1">
        <f t="array" ref="F1111:G1111">_xlfn.TEXTSPLIT(E1111," - ")</f>
        <v>Bawang Merah</v>
      </c>
      <c r="G1111" s="2" t="str">
        <v>Brand A</v>
      </c>
      <c r="H1111" s="5">
        <v>30000</v>
      </c>
      <c r="I1111" s="2">
        <v>4</v>
      </c>
      <c r="J1111" s="2">
        <v>5</v>
      </c>
      <c r="K1111" s="8">
        <f t="shared" si="102"/>
        <v>120000</v>
      </c>
      <c r="L1111" s="8">
        <f t="shared" si="103"/>
        <v>6000</v>
      </c>
      <c r="M1111" s="8">
        <f t="shared" si="104"/>
        <v>114000</v>
      </c>
      <c r="N1111" s="5">
        <v>17000</v>
      </c>
      <c r="O1111" s="8">
        <f t="shared" si="105"/>
        <v>131000</v>
      </c>
      <c r="P1111" s="2" t="s">
        <v>63</v>
      </c>
      <c r="Q1111" s="10" t="str">
        <f>VLOOKUP(A1111,Status!A:B,2,0)</f>
        <v>Completed</v>
      </c>
      <c r="R1111" s="2" t="s">
        <v>82</v>
      </c>
      <c r="S1111" s="2">
        <v>2</v>
      </c>
      <c r="T1111" s="2" t="s">
        <v>37</v>
      </c>
      <c r="U1111" s="10" t="str">
        <f t="shared" si="107"/>
        <v>Jul</v>
      </c>
      <c r="V1111" s="10">
        <f t="shared" si="106"/>
        <v>2025</v>
      </c>
      <c r="W1111" t="e" cm="1">
        <f t="array" ref="W1111">_xlfn.IFS(U1111="January",1,U1111="February",2,U1111="March",3,U1111="April",4,U1111="May",5,U1111="June",6,U1111="July",7,U1111="August",8,U1111="September",9,U1111="October",10,U1111="November",11,U1111="December",12)</f>
        <v>#N/A</v>
      </c>
    </row>
    <row r="1112" spans="1:23" ht="15.75" customHeight="1" x14ac:dyDescent="0.25">
      <c r="A1112" s="2" t="s">
        <v>2050</v>
      </c>
      <c r="B1112" s="3">
        <v>45858.955439814818</v>
      </c>
      <c r="C1112" s="2" t="s">
        <v>87</v>
      </c>
      <c r="D1112" s="2" t="s">
        <v>80</v>
      </c>
      <c r="E1112" s="2" t="s">
        <v>110</v>
      </c>
      <c r="F1112" s="2" t="str" cm="1">
        <f t="array" ref="F1112:G1112">_xlfn.TEXTSPLIT(E1112," - ")</f>
        <v>Garam</v>
      </c>
      <c r="G1112" s="2" t="str">
        <v>Brand C</v>
      </c>
      <c r="H1112" s="5">
        <v>6000</v>
      </c>
      <c r="I1112" s="2">
        <v>4</v>
      </c>
      <c r="J1112" s="2">
        <v>20</v>
      </c>
      <c r="K1112" s="8">
        <f t="shared" si="102"/>
        <v>24000</v>
      </c>
      <c r="L1112" s="8">
        <f t="shared" si="103"/>
        <v>4800</v>
      </c>
      <c r="M1112" s="8">
        <f t="shared" si="104"/>
        <v>19200</v>
      </c>
      <c r="N1112" s="5">
        <v>74000</v>
      </c>
      <c r="O1112" s="8">
        <f t="shared" si="105"/>
        <v>93200</v>
      </c>
      <c r="P1112" s="2" t="s">
        <v>35</v>
      </c>
      <c r="Q1112" s="10" t="str">
        <f>VLOOKUP(A1112,Status!A:B,2,0)</f>
        <v>Completed</v>
      </c>
      <c r="R1112" s="2" t="s">
        <v>82</v>
      </c>
      <c r="S1112" s="2">
        <v>4</v>
      </c>
      <c r="T1112" s="2" t="s">
        <v>24</v>
      </c>
      <c r="U1112" s="10" t="str">
        <f t="shared" si="107"/>
        <v>Jul</v>
      </c>
      <c r="V1112" s="10">
        <f t="shared" si="106"/>
        <v>2025</v>
      </c>
      <c r="W1112" t="e" cm="1">
        <f t="array" ref="W1112">_xlfn.IFS(U1112="January",1,U1112="February",2,U1112="March",3,U1112="April",4,U1112="May",5,U1112="June",6,U1112="July",7,U1112="August",8,U1112="September",9,U1112="October",10,U1112="November",11,U1112="December",12)</f>
        <v>#N/A</v>
      </c>
    </row>
    <row r="1113" spans="1:23" ht="15.75" customHeight="1" x14ac:dyDescent="0.25">
      <c r="A1113" s="2" t="s">
        <v>2051</v>
      </c>
      <c r="B1113" s="3">
        <v>45859.043854166674</v>
      </c>
      <c r="C1113" s="2" t="s">
        <v>1055</v>
      </c>
      <c r="D1113" s="2" t="s">
        <v>57</v>
      </c>
      <c r="E1113" s="2" t="s">
        <v>45</v>
      </c>
      <c r="F1113" s="2" t="str" cm="1">
        <f t="array" ref="F1113:G1113">_xlfn.TEXTSPLIT(E1113," - ")</f>
        <v>Daging Ayam</v>
      </c>
      <c r="G1113" s="2" t="str">
        <v>Brand B</v>
      </c>
      <c r="H1113" s="5">
        <v>40000</v>
      </c>
      <c r="I1113" s="2">
        <v>4</v>
      </c>
      <c r="J1113" s="2">
        <v>20</v>
      </c>
      <c r="K1113" s="8">
        <f t="shared" si="102"/>
        <v>160000</v>
      </c>
      <c r="L1113" s="8">
        <f t="shared" si="103"/>
        <v>32000</v>
      </c>
      <c r="M1113" s="8">
        <f t="shared" si="104"/>
        <v>128000</v>
      </c>
      <c r="N1113" s="5">
        <v>80000</v>
      </c>
      <c r="O1113" s="8">
        <f t="shared" si="105"/>
        <v>208000</v>
      </c>
      <c r="P1113" s="2" t="s">
        <v>22</v>
      </c>
      <c r="Q1113" s="10" t="str">
        <f>VLOOKUP(A1113,Status!A:B,2,0)</f>
        <v>Completed</v>
      </c>
      <c r="R1113" s="2" t="s">
        <v>46</v>
      </c>
      <c r="S1113" s="2">
        <v>4</v>
      </c>
      <c r="T1113" s="2" t="s">
        <v>24</v>
      </c>
      <c r="U1113" s="10" t="str">
        <f t="shared" si="107"/>
        <v>Jul</v>
      </c>
      <c r="V1113" s="10">
        <f t="shared" si="106"/>
        <v>2025</v>
      </c>
      <c r="W1113" t="e" cm="1">
        <f t="array" ref="W1113">_xlfn.IFS(U1113="January",1,U1113="February",2,U1113="March",3,U1113="April",4,U1113="May",5,U1113="June",6,U1113="July",7,U1113="August",8,U1113="September",9,U1113="October",10,U1113="November",11,U1113="December",12)</f>
        <v>#N/A</v>
      </c>
    </row>
    <row r="1114" spans="1:23" ht="15.75" customHeight="1" x14ac:dyDescent="0.25">
      <c r="A1114" s="2" t="s">
        <v>2052</v>
      </c>
      <c r="B1114" s="3">
        <v>45859.081643518519</v>
      </c>
      <c r="C1114" s="2" t="s">
        <v>557</v>
      </c>
      <c r="D1114" s="2" t="s">
        <v>173</v>
      </c>
      <c r="E1114" s="2" t="s">
        <v>54</v>
      </c>
      <c r="F1114" s="2" t="str" cm="1">
        <f t="array" ref="F1114:G1114">_xlfn.TEXTSPLIT(E1114," - ")</f>
        <v>Beras</v>
      </c>
      <c r="G1114" s="2" t="str">
        <v>Brand C</v>
      </c>
      <c r="H1114" s="5">
        <v>16000</v>
      </c>
      <c r="I1114" s="2">
        <v>4</v>
      </c>
      <c r="J1114" s="2">
        <v>10</v>
      </c>
      <c r="K1114" s="8">
        <f t="shared" si="102"/>
        <v>64000</v>
      </c>
      <c r="L1114" s="8">
        <f t="shared" si="103"/>
        <v>6400</v>
      </c>
      <c r="M1114" s="8">
        <f t="shared" si="104"/>
        <v>57600</v>
      </c>
      <c r="N1114" s="5">
        <v>49000</v>
      </c>
      <c r="O1114" s="8">
        <f t="shared" si="105"/>
        <v>106600</v>
      </c>
      <c r="P1114" s="2" t="s">
        <v>22</v>
      </c>
      <c r="Q1114" s="10" t="str">
        <f>VLOOKUP(A1114,Status!A:B,2,0)</f>
        <v>Completed</v>
      </c>
      <c r="R1114" s="2" t="s">
        <v>30</v>
      </c>
      <c r="S1114" s="2">
        <v>4</v>
      </c>
      <c r="T1114" s="2" t="s">
        <v>24</v>
      </c>
      <c r="U1114" s="10" t="str">
        <f t="shared" si="107"/>
        <v>Jul</v>
      </c>
      <c r="V1114" s="10">
        <f t="shared" si="106"/>
        <v>2025</v>
      </c>
      <c r="W1114" t="e" cm="1">
        <f t="array" ref="W1114">_xlfn.IFS(U1114="January",1,U1114="February",2,U1114="March",3,U1114="April",4,U1114="May",5,U1114="June",6,U1114="July",7,U1114="August",8,U1114="September",9,U1114="October",10,U1114="November",11,U1114="December",12)</f>
        <v>#N/A</v>
      </c>
    </row>
    <row r="1115" spans="1:23" ht="15.75" customHeight="1" x14ac:dyDescent="0.25">
      <c r="A1115" s="2" t="s">
        <v>2053</v>
      </c>
      <c r="B1115" s="3">
        <v>45859.17732638889</v>
      </c>
      <c r="C1115" s="2" t="s">
        <v>128</v>
      </c>
      <c r="D1115" s="2" t="s">
        <v>103</v>
      </c>
      <c r="E1115" s="2" t="s">
        <v>58</v>
      </c>
      <c r="F1115" s="2" t="str" cm="1">
        <f t="array" ref="F1115:G1115">_xlfn.TEXTSPLIT(E1115," - ")</f>
        <v>Gula Pasir</v>
      </c>
      <c r="G1115" s="2" t="str">
        <v>Brand A</v>
      </c>
      <c r="H1115" s="5">
        <v>16000</v>
      </c>
      <c r="I1115" s="2">
        <v>5</v>
      </c>
      <c r="J1115" s="2">
        <v>20</v>
      </c>
      <c r="K1115" s="8">
        <f t="shared" si="102"/>
        <v>80000</v>
      </c>
      <c r="L1115" s="8">
        <f t="shared" si="103"/>
        <v>16000</v>
      </c>
      <c r="M1115" s="8">
        <f t="shared" si="104"/>
        <v>64000</v>
      </c>
      <c r="N1115" s="5">
        <v>85000</v>
      </c>
      <c r="O1115" s="8">
        <f t="shared" si="105"/>
        <v>149000</v>
      </c>
      <c r="P1115" s="2" t="s">
        <v>29</v>
      </c>
      <c r="Q1115" s="10" t="str">
        <f>VLOOKUP(A1115,Status!A:B,2,0)</f>
        <v>Completed</v>
      </c>
      <c r="R1115" s="2" t="s">
        <v>46</v>
      </c>
      <c r="S1115" s="2">
        <v>3</v>
      </c>
      <c r="T1115" s="2" t="s">
        <v>37</v>
      </c>
      <c r="U1115" s="10" t="str">
        <f t="shared" si="107"/>
        <v>Jul</v>
      </c>
      <c r="V1115" s="10">
        <f t="shared" si="106"/>
        <v>2025</v>
      </c>
      <c r="W1115" t="e" cm="1">
        <f t="array" ref="W1115">_xlfn.IFS(U1115="January",1,U1115="February",2,U1115="March",3,U1115="April",4,U1115="May",5,U1115="June",6,U1115="July",7,U1115="August",8,U1115="September",9,U1115="October",10,U1115="November",11,U1115="December",12)</f>
        <v>#N/A</v>
      </c>
    </row>
    <row r="1116" spans="1:23" ht="15.75" customHeight="1" x14ac:dyDescent="0.25">
      <c r="A1116" s="2" t="s">
        <v>2053</v>
      </c>
      <c r="B1116" s="3">
        <v>45859.17732638889</v>
      </c>
      <c r="C1116" s="2" t="s">
        <v>128</v>
      </c>
      <c r="D1116" s="2" t="s">
        <v>103</v>
      </c>
      <c r="E1116" s="2" t="s">
        <v>21</v>
      </c>
      <c r="F1116" s="2" t="str" cm="1">
        <f t="array" ref="F1116:G1116">_xlfn.TEXTSPLIT(E1116," - ")</f>
        <v>Daging Ayam</v>
      </c>
      <c r="G1116" s="2" t="str">
        <v>Brand C</v>
      </c>
      <c r="H1116" s="5">
        <v>45000</v>
      </c>
      <c r="I1116" s="2">
        <v>1</v>
      </c>
      <c r="J1116" s="2">
        <v>20</v>
      </c>
      <c r="K1116" s="8">
        <f t="shared" si="102"/>
        <v>45000</v>
      </c>
      <c r="L1116" s="8">
        <f t="shared" si="103"/>
        <v>9000</v>
      </c>
      <c r="M1116" s="8">
        <f t="shared" si="104"/>
        <v>36000</v>
      </c>
      <c r="N1116" s="5">
        <v>0</v>
      </c>
      <c r="O1116" s="8">
        <f t="shared" si="105"/>
        <v>36000</v>
      </c>
      <c r="P1116" s="2" t="s">
        <v>29</v>
      </c>
      <c r="Q1116" s="10" t="str">
        <f>VLOOKUP(A1116,Status!A:B,2,0)</f>
        <v>Completed</v>
      </c>
      <c r="R1116" s="2" t="s">
        <v>46</v>
      </c>
      <c r="S1116" s="2">
        <v>3</v>
      </c>
      <c r="T1116" s="2" t="s">
        <v>37</v>
      </c>
      <c r="U1116" s="10" t="str">
        <f t="shared" si="107"/>
        <v>Jul</v>
      </c>
      <c r="V1116" s="10">
        <f t="shared" si="106"/>
        <v>2025</v>
      </c>
      <c r="W1116" t="e" cm="1">
        <f t="array" ref="W1116">_xlfn.IFS(U1116="January",1,U1116="February",2,U1116="March",3,U1116="April",4,U1116="May",5,U1116="June",6,U1116="July",7,U1116="August",8,U1116="September",9,U1116="October",10,U1116="November",11,U1116="December",12)</f>
        <v>#N/A</v>
      </c>
    </row>
    <row r="1117" spans="1:23" ht="15.75" customHeight="1" x14ac:dyDescent="0.25">
      <c r="A1117" s="2" t="s">
        <v>2054</v>
      </c>
      <c r="B1117" s="3">
        <v>45859.227777777778</v>
      </c>
      <c r="C1117" s="2" t="s">
        <v>451</v>
      </c>
      <c r="D1117" s="2" t="s">
        <v>116</v>
      </c>
      <c r="E1117" s="2" t="s">
        <v>144</v>
      </c>
      <c r="F1117" s="2" t="str" cm="1">
        <f t="array" ref="F1117:G1117">_xlfn.TEXTSPLIT(E1117," - ")</f>
        <v>Gula Pasir</v>
      </c>
      <c r="G1117" s="2" t="str">
        <v>Brand C</v>
      </c>
      <c r="H1117" s="5">
        <v>18000</v>
      </c>
      <c r="I1117" s="2">
        <v>2</v>
      </c>
      <c r="J1117" s="2">
        <v>5</v>
      </c>
      <c r="K1117" s="8">
        <f t="shared" si="102"/>
        <v>36000</v>
      </c>
      <c r="L1117" s="8">
        <f t="shared" si="103"/>
        <v>1800</v>
      </c>
      <c r="M1117" s="8">
        <f t="shared" si="104"/>
        <v>34200</v>
      </c>
      <c r="N1117" s="5">
        <v>72000</v>
      </c>
      <c r="O1117" s="8">
        <f t="shared" si="105"/>
        <v>106200</v>
      </c>
      <c r="P1117" s="2" t="s">
        <v>22</v>
      </c>
      <c r="Q1117" s="10" t="str">
        <f>VLOOKUP(A1117,Status!A:B,2,0)</f>
        <v>Completed</v>
      </c>
      <c r="R1117" s="2" t="s">
        <v>36</v>
      </c>
      <c r="S1117" s="2">
        <v>1</v>
      </c>
      <c r="T1117" s="2" t="s">
        <v>24</v>
      </c>
      <c r="U1117" s="10" t="str">
        <f t="shared" si="107"/>
        <v>Jul</v>
      </c>
      <c r="V1117" s="10">
        <f t="shared" si="106"/>
        <v>2025</v>
      </c>
      <c r="W1117" t="e" cm="1">
        <f t="array" ref="W1117">_xlfn.IFS(U1117="January",1,U1117="February",2,U1117="March",3,U1117="April",4,U1117="May",5,U1117="June",6,U1117="July",7,U1117="August",8,U1117="September",9,U1117="October",10,U1117="November",11,U1117="December",12)</f>
        <v>#N/A</v>
      </c>
    </row>
    <row r="1118" spans="1:23" ht="15.75" customHeight="1" x14ac:dyDescent="0.25">
      <c r="A1118" s="2" t="s">
        <v>2055</v>
      </c>
      <c r="B1118" s="3">
        <v>45859.833912037036</v>
      </c>
      <c r="C1118" s="2" t="s">
        <v>311</v>
      </c>
      <c r="D1118" s="2" t="s">
        <v>116</v>
      </c>
      <c r="E1118" s="2" t="s">
        <v>136</v>
      </c>
      <c r="F1118" s="2" t="str" cm="1">
        <f t="array" ref="F1118:G1118">_xlfn.TEXTSPLIT(E1118," - ")</f>
        <v>Tepung Terigu</v>
      </c>
      <c r="G1118" s="2" t="str">
        <v>Brand B</v>
      </c>
      <c r="H1118" s="5">
        <v>12000</v>
      </c>
      <c r="I1118" s="2">
        <v>5</v>
      </c>
      <c r="J1118" s="2">
        <v>10</v>
      </c>
      <c r="K1118" s="8">
        <f t="shared" si="102"/>
        <v>60000</v>
      </c>
      <c r="L1118" s="8">
        <f t="shared" si="103"/>
        <v>6000</v>
      </c>
      <c r="M1118" s="8">
        <f t="shared" si="104"/>
        <v>54000</v>
      </c>
      <c r="N1118" s="5">
        <v>72000</v>
      </c>
      <c r="O1118" s="8">
        <f t="shared" si="105"/>
        <v>126000</v>
      </c>
      <c r="P1118" s="2" t="s">
        <v>22</v>
      </c>
      <c r="Q1118" s="10" t="str">
        <f>VLOOKUP(A1118,Status!A:B,2,0)</f>
        <v>Returned</v>
      </c>
      <c r="R1118" s="2" t="s">
        <v>46</v>
      </c>
      <c r="S1118" s="2">
        <v>4</v>
      </c>
      <c r="T1118" s="2" t="s">
        <v>24</v>
      </c>
      <c r="U1118" s="10" t="str">
        <f t="shared" si="107"/>
        <v>Jul</v>
      </c>
      <c r="V1118" s="10">
        <f t="shared" si="106"/>
        <v>2025</v>
      </c>
      <c r="W1118" t="e" cm="1">
        <f t="array" ref="W1118">_xlfn.IFS(U1118="January",1,U1118="February",2,U1118="March",3,U1118="April",4,U1118="May",5,U1118="June",6,U1118="July",7,U1118="August",8,U1118="September",9,U1118="October",10,U1118="November",11,U1118="December",12)</f>
        <v>#N/A</v>
      </c>
    </row>
    <row r="1119" spans="1:23" ht="15.75" customHeight="1" x14ac:dyDescent="0.25">
      <c r="A1119" s="2" t="s">
        <v>2056</v>
      </c>
      <c r="B1119" s="3">
        <v>45860.616342592592</v>
      </c>
      <c r="C1119" s="2" t="s">
        <v>254</v>
      </c>
      <c r="D1119" s="2" t="s">
        <v>61</v>
      </c>
      <c r="E1119" s="2" t="s">
        <v>62</v>
      </c>
      <c r="F1119" s="2" t="str" cm="1">
        <f t="array" ref="F1119:G1119">_xlfn.TEXTSPLIT(E1119," - ")</f>
        <v>Susu Bubuk</v>
      </c>
      <c r="G1119" s="2" t="str">
        <v>Brand B</v>
      </c>
      <c r="H1119" s="5">
        <v>50000</v>
      </c>
      <c r="I1119" s="2">
        <v>1</v>
      </c>
      <c r="J1119" s="2">
        <v>0</v>
      </c>
      <c r="K1119" s="8">
        <f t="shared" si="102"/>
        <v>50000</v>
      </c>
      <c r="L1119" s="8">
        <f t="shared" si="103"/>
        <v>0</v>
      </c>
      <c r="M1119" s="8">
        <f t="shared" si="104"/>
        <v>50000</v>
      </c>
      <c r="N1119" s="5">
        <v>26000</v>
      </c>
      <c r="O1119" s="8">
        <f t="shared" si="105"/>
        <v>76000</v>
      </c>
      <c r="P1119" s="2" t="s">
        <v>63</v>
      </c>
      <c r="Q1119" s="10" t="str">
        <f>VLOOKUP(A1119,Status!A:B,2,0)</f>
        <v>Completed</v>
      </c>
      <c r="R1119" s="2" t="s">
        <v>82</v>
      </c>
      <c r="S1119" s="2">
        <v>5</v>
      </c>
      <c r="T1119" s="2" t="s">
        <v>24</v>
      </c>
      <c r="U1119" s="10" t="str">
        <f t="shared" si="107"/>
        <v>Jul</v>
      </c>
      <c r="V1119" s="10">
        <f t="shared" si="106"/>
        <v>2025</v>
      </c>
      <c r="W1119" t="e" cm="1">
        <f t="array" ref="W1119">_xlfn.IFS(U1119="January",1,U1119="February",2,U1119="March",3,U1119="April",4,U1119="May",5,U1119="June",6,U1119="July",7,U1119="August",8,U1119="September",9,U1119="October",10,U1119="November",11,U1119="December",12)</f>
        <v>#N/A</v>
      </c>
    </row>
    <row r="1120" spans="1:23" ht="15.75" customHeight="1" x14ac:dyDescent="0.25">
      <c r="A1120" s="2" t="s">
        <v>2057</v>
      </c>
      <c r="B1120" s="3">
        <v>45860.716678240737</v>
      </c>
      <c r="C1120" s="2" t="s">
        <v>466</v>
      </c>
      <c r="D1120" s="2" t="s">
        <v>131</v>
      </c>
      <c r="E1120" s="2" t="s">
        <v>190</v>
      </c>
      <c r="F1120" s="2" t="str" cm="1">
        <f t="array" ref="F1120:G1120">_xlfn.TEXTSPLIT(E1120," - ")</f>
        <v>Bawang Merah</v>
      </c>
      <c r="G1120" s="2" t="str">
        <v>Brand B</v>
      </c>
      <c r="H1120" s="5">
        <v>35000</v>
      </c>
      <c r="I1120" s="2">
        <v>1</v>
      </c>
      <c r="J1120" s="2">
        <v>0</v>
      </c>
      <c r="K1120" s="8">
        <f t="shared" si="102"/>
        <v>35000</v>
      </c>
      <c r="L1120" s="8">
        <f t="shared" si="103"/>
        <v>0</v>
      </c>
      <c r="M1120" s="8">
        <f t="shared" si="104"/>
        <v>35000</v>
      </c>
      <c r="N1120" s="5">
        <v>59000</v>
      </c>
      <c r="O1120" s="8">
        <f t="shared" si="105"/>
        <v>94000</v>
      </c>
      <c r="P1120" s="2" t="s">
        <v>63</v>
      </c>
      <c r="Q1120" s="10" t="str">
        <f>VLOOKUP(A1120,Status!A:B,2,0)</f>
        <v>Completed</v>
      </c>
      <c r="R1120" s="2" t="s">
        <v>36</v>
      </c>
      <c r="S1120" s="2">
        <v>3</v>
      </c>
      <c r="T1120" s="2" t="s">
        <v>24</v>
      </c>
      <c r="U1120" s="10" t="str">
        <f t="shared" si="107"/>
        <v>Jul</v>
      </c>
      <c r="V1120" s="10">
        <f t="shared" si="106"/>
        <v>2025</v>
      </c>
      <c r="W1120" t="e" cm="1">
        <f t="array" ref="W1120">_xlfn.IFS(U1120="January",1,U1120="February",2,U1120="March",3,U1120="April",4,U1120="May",5,U1120="June",6,U1120="July",7,U1120="August",8,U1120="September",9,U1120="October",10,U1120="November",11,U1120="December",12)</f>
        <v>#N/A</v>
      </c>
    </row>
    <row r="1121" spans="1:23" ht="15.75" customHeight="1" x14ac:dyDescent="0.25">
      <c r="A1121" s="2" t="s">
        <v>2058</v>
      </c>
      <c r="B1121" s="3">
        <v>45860.745578703703</v>
      </c>
      <c r="C1121" s="2" t="s">
        <v>130</v>
      </c>
      <c r="D1121" s="2" t="s">
        <v>131</v>
      </c>
      <c r="E1121" s="2" t="s">
        <v>93</v>
      </c>
      <c r="F1121" s="2" t="str" cm="1">
        <f t="array" ref="F1121:G1121">_xlfn.TEXTSPLIT(E1121," - ")</f>
        <v>Telur Ayam</v>
      </c>
      <c r="G1121" s="2" t="str">
        <v>Brand B</v>
      </c>
      <c r="H1121" s="5">
        <v>25000</v>
      </c>
      <c r="I1121" s="2">
        <v>4</v>
      </c>
      <c r="J1121" s="2">
        <v>0</v>
      </c>
      <c r="K1121" s="8">
        <f t="shared" si="102"/>
        <v>100000</v>
      </c>
      <c r="L1121" s="8">
        <f t="shared" si="103"/>
        <v>0</v>
      </c>
      <c r="M1121" s="8">
        <f t="shared" si="104"/>
        <v>100000</v>
      </c>
      <c r="N1121" s="5">
        <v>59000</v>
      </c>
      <c r="O1121" s="8">
        <f t="shared" si="105"/>
        <v>159000</v>
      </c>
      <c r="P1121" s="2" t="s">
        <v>35</v>
      </c>
      <c r="Q1121" s="10" t="str">
        <f>VLOOKUP(A1121,Status!A:B,2,0)</f>
        <v>Cancelled</v>
      </c>
      <c r="R1121" s="2" t="s">
        <v>23</v>
      </c>
      <c r="S1121" s="2">
        <v>1</v>
      </c>
      <c r="T1121" s="2" t="s">
        <v>24</v>
      </c>
      <c r="U1121" s="10" t="str">
        <f t="shared" si="107"/>
        <v>Jul</v>
      </c>
      <c r="V1121" s="10">
        <f t="shared" si="106"/>
        <v>2025</v>
      </c>
      <c r="W1121" t="e" cm="1">
        <f t="array" ref="W1121">_xlfn.IFS(U1121="January",1,U1121="February",2,U1121="March",3,U1121="April",4,U1121="May",5,U1121="June",6,U1121="July",7,U1121="August",8,U1121="September",9,U1121="October",10,U1121="November",11,U1121="December",12)</f>
        <v>#N/A</v>
      </c>
    </row>
    <row r="1122" spans="1:23" ht="15.75" customHeight="1" x14ac:dyDescent="0.25">
      <c r="A1122" s="2" t="s">
        <v>2059</v>
      </c>
      <c r="B1122" s="3">
        <v>45860.891793981478</v>
      </c>
      <c r="C1122" s="2" t="s">
        <v>261</v>
      </c>
      <c r="D1122" s="2" t="s">
        <v>262</v>
      </c>
      <c r="E1122" s="2" t="s">
        <v>71</v>
      </c>
      <c r="F1122" s="2" t="str" cm="1">
        <f t="array" ref="F1122:G1122">_xlfn.TEXTSPLIT(E1122," - ")</f>
        <v>Bawang Merah</v>
      </c>
      <c r="G1122" s="2" t="str">
        <v>Brand C</v>
      </c>
      <c r="H1122" s="5">
        <v>40000</v>
      </c>
      <c r="I1122" s="2">
        <v>1</v>
      </c>
      <c r="J1122" s="2">
        <v>0</v>
      </c>
      <c r="K1122" s="8">
        <f t="shared" si="102"/>
        <v>40000</v>
      </c>
      <c r="L1122" s="8">
        <f t="shared" si="103"/>
        <v>0</v>
      </c>
      <c r="M1122" s="8">
        <f t="shared" si="104"/>
        <v>40000</v>
      </c>
      <c r="N1122" s="5">
        <v>18000</v>
      </c>
      <c r="O1122" s="8">
        <f t="shared" si="105"/>
        <v>58000</v>
      </c>
      <c r="P1122" s="2" t="s">
        <v>63</v>
      </c>
      <c r="Q1122" s="10" t="str">
        <f>VLOOKUP(A1122,Status!A:B,2,0)</f>
        <v>Completed</v>
      </c>
      <c r="R1122" s="2" t="s">
        <v>30</v>
      </c>
      <c r="S1122" s="2">
        <v>5</v>
      </c>
      <c r="T1122" s="2" t="s">
        <v>24</v>
      </c>
      <c r="U1122" s="10" t="str">
        <f t="shared" si="107"/>
        <v>Jul</v>
      </c>
      <c r="V1122" s="10">
        <f t="shared" si="106"/>
        <v>2025</v>
      </c>
      <c r="W1122" t="e" cm="1">
        <f t="array" ref="W1122">_xlfn.IFS(U1122="January",1,U1122="February",2,U1122="March",3,U1122="April",4,U1122="May",5,U1122="June",6,U1122="July",7,U1122="August",8,U1122="September",9,U1122="October",10,U1122="November",11,U1122="December",12)</f>
        <v>#N/A</v>
      </c>
    </row>
    <row r="1123" spans="1:23" ht="15.75" customHeight="1" x14ac:dyDescent="0.25">
      <c r="A1123" s="2" t="s">
        <v>2060</v>
      </c>
      <c r="B1123" s="3">
        <v>45860.957337962973</v>
      </c>
      <c r="C1123" s="2" t="s">
        <v>631</v>
      </c>
      <c r="D1123" s="2" t="s">
        <v>20</v>
      </c>
      <c r="E1123" s="2" t="s">
        <v>186</v>
      </c>
      <c r="F1123" s="2" t="str" cm="1">
        <f t="array" ref="F1123:G1123">_xlfn.TEXTSPLIT(E1123," - ")</f>
        <v>Susu Bubuk</v>
      </c>
      <c r="G1123" s="2" t="str">
        <v>Brand A</v>
      </c>
      <c r="H1123" s="5">
        <v>45000</v>
      </c>
      <c r="I1123" s="2">
        <v>3</v>
      </c>
      <c r="J1123" s="2">
        <v>10</v>
      </c>
      <c r="K1123" s="8">
        <f t="shared" si="102"/>
        <v>135000</v>
      </c>
      <c r="L1123" s="8">
        <f t="shared" si="103"/>
        <v>13500</v>
      </c>
      <c r="M1123" s="8">
        <f t="shared" si="104"/>
        <v>121500</v>
      </c>
      <c r="N1123" s="5">
        <v>15000</v>
      </c>
      <c r="O1123" s="8">
        <f t="shared" si="105"/>
        <v>136500</v>
      </c>
      <c r="P1123" s="2" t="s">
        <v>29</v>
      </c>
      <c r="Q1123" s="10" t="str">
        <f>VLOOKUP(A1123,Status!A:B,2,0)</f>
        <v>Completed</v>
      </c>
      <c r="R1123" s="2" t="s">
        <v>82</v>
      </c>
      <c r="S1123" s="2">
        <v>5</v>
      </c>
      <c r="T1123" s="2" t="s">
        <v>37</v>
      </c>
      <c r="U1123" s="10" t="str">
        <f t="shared" si="107"/>
        <v>Jul</v>
      </c>
      <c r="V1123" s="10">
        <f t="shared" si="106"/>
        <v>2025</v>
      </c>
      <c r="W1123" t="e" cm="1">
        <f t="array" ref="W1123">_xlfn.IFS(U1123="January",1,U1123="February",2,U1123="March",3,U1123="April",4,U1123="May",5,U1123="June",6,U1123="July",7,U1123="August",8,U1123="September",9,U1123="October",10,U1123="November",11,U1123="December",12)</f>
        <v>#N/A</v>
      </c>
    </row>
    <row r="1124" spans="1:23" ht="15.75" customHeight="1" x14ac:dyDescent="0.25">
      <c r="A1124" s="2" t="s">
        <v>2061</v>
      </c>
      <c r="B1124" s="3">
        <v>45861.101261574076</v>
      </c>
      <c r="C1124" s="2" t="s">
        <v>1173</v>
      </c>
      <c r="D1124" s="2" t="s">
        <v>170</v>
      </c>
      <c r="E1124" s="2" t="s">
        <v>110</v>
      </c>
      <c r="F1124" s="2" t="str" cm="1">
        <f t="array" ref="F1124:G1124">_xlfn.TEXTSPLIT(E1124," - ")</f>
        <v>Garam</v>
      </c>
      <c r="G1124" s="2" t="str">
        <v>Brand C</v>
      </c>
      <c r="H1124" s="5">
        <v>6000</v>
      </c>
      <c r="I1124" s="2">
        <v>2</v>
      </c>
      <c r="J1124" s="2">
        <v>0</v>
      </c>
      <c r="K1124" s="8">
        <f t="shared" si="102"/>
        <v>12000</v>
      </c>
      <c r="L1124" s="8">
        <f t="shared" si="103"/>
        <v>0</v>
      </c>
      <c r="M1124" s="8">
        <f t="shared" si="104"/>
        <v>12000</v>
      </c>
      <c r="N1124" s="5">
        <v>46000</v>
      </c>
      <c r="O1124" s="8">
        <f t="shared" si="105"/>
        <v>58000</v>
      </c>
      <c r="P1124" s="2" t="s">
        <v>63</v>
      </c>
      <c r="Q1124" s="10" t="str">
        <f>VLOOKUP(A1124,Status!A:B,2,0)</f>
        <v>Completed</v>
      </c>
      <c r="R1124" s="2" t="s">
        <v>46</v>
      </c>
      <c r="S1124" s="2">
        <v>5</v>
      </c>
      <c r="T1124" s="2" t="s">
        <v>24</v>
      </c>
      <c r="U1124" s="10" t="str">
        <f t="shared" si="107"/>
        <v>Jul</v>
      </c>
      <c r="V1124" s="10">
        <f t="shared" si="106"/>
        <v>2025</v>
      </c>
      <c r="W1124" t="e" cm="1">
        <f t="array" ref="W1124">_xlfn.IFS(U1124="January",1,U1124="February",2,U1124="March",3,U1124="April",4,U1124="May",5,U1124="June",6,U1124="July",7,U1124="August",8,U1124="September",9,U1124="October",10,U1124="November",11,U1124="December",12)</f>
        <v>#N/A</v>
      </c>
    </row>
    <row r="1125" spans="1:23" ht="15.75" customHeight="1" x14ac:dyDescent="0.25">
      <c r="A1125" s="2" t="s">
        <v>2062</v>
      </c>
      <c r="B1125" s="3">
        <v>45861.243611111109</v>
      </c>
      <c r="C1125" s="2" t="s">
        <v>603</v>
      </c>
      <c r="D1125" s="2" t="s">
        <v>53</v>
      </c>
      <c r="E1125" s="2" t="s">
        <v>186</v>
      </c>
      <c r="F1125" s="2" t="str" cm="1">
        <f t="array" ref="F1125:G1125">_xlfn.TEXTSPLIT(E1125," - ")</f>
        <v>Susu Bubuk</v>
      </c>
      <c r="G1125" s="2" t="str">
        <v>Brand A</v>
      </c>
      <c r="H1125" s="5">
        <v>45000</v>
      </c>
      <c r="I1125" s="2">
        <v>1</v>
      </c>
      <c r="J1125" s="2">
        <v>15</v>
      </c>
      <c r="K1125" s="8">
        <f t="shared" si="102"/>
        <v>45000</v>
      </c>
      <c r="L1125" s="8">
        <f t="shared" si="103"/>
        <v>6750</v>
      </c>
      <c r="M1125" s="8">
        <f t="shared" si="104"/>
        <v>38250</v>
      </c>
      <c r="N1125" s="5">
        <v>18000</v>
      </c>
      <c r="O1125" s="8">
        <f t="shared" si="105"/>
        <v>56250</v>
      </c>
      <c r="P1125" s="2" t="s">
        <v>29</v>
      </c>
      <c r="Q1125" s="10" t="str">
        <f>VLOOKUP(A1125,Status!A:B,2,0)</f>
        <v>Completed</v>
      </c>
      <c r="R1125" s="2" t="s">
        <v>36</v>
      </c>
      <c r="S1125" s="2">
        <v>5</v>
      </c>
      <c r="T1125" s="2" t="s">
        <v>24</v>
      </c>
      <c r="U1125" s="10" t="str">
        <f t="shared" si="107"/>
        <v>Jul</v>
      </c>
      <c r="V1125" s="10">
        <f t="shared" si="106"/>
        <v>2025</v>
      </c>
      <c r="W1125" t="e" cm="1">
        <f t="array" ref="W1125">_xlfn.IFS(U1125="January",1,U1125="February",2,U1125="March",3,U1125="April",4,U1125="May",5,U1125="June",6,U1125="July",7,U1125="August",8,U1125="September",9,U1125="October",10,U1125="November",11,U1125="December",12)</f>
        <v>#N/A</v>
      </c>
    </row>
    <row r="1126" spans="1:23" ht="15.75" customHeight="1" x14ac:dyDescent="0.25">
      <c r="A1126" s="2" t="s">
        <v>2063</v>
      </c>
      <c r="B1126" s="3">
        <v>45861.389467592591</v>
      </c>
      <c r="C1126" s="2" t="s">
        <v>275</v>
      </c>
      <c r="D1126" s="2" t="s">
        <v>96</v>
      </c>
      <c r="E1126" s="2" t="s">
        <v>41</v>
      </c>
      <c r="F1126" s="2" t="str" cm="1">
        <f t="array" ref="F1126:G1126">_xlfn.TEXTSPLIT(E1126," - ")</f>
        <v>Garam</v>
      </c>
      <c r="G1126" s="2" t="str">
        <v>Brand A</v>
      </c>
      <c r="H1126" s="5">
        <v>4000</v>
      </c>
      <c r="I1126" s="2">
        <v>2</v>
      </c>
      <c r="J1126" s="2">
        <v>10</v>
      </c>
      <c r="K1126" s="8">
        <f t="shared" si="102"/>
        <v>8000</v>
      </c>
      <c r="L1126" s="8">
        <f t="shared" si="103"/>
        <v>800</v>
      </c>
      <c r="M1126" s="8">
        <f t="shared" si="104"/>
        <v>7200</v>
      </c>
      <c r="N1126" s="5">
        <v>49000</v>
      </c>
      <c r="O1126" s="8">
        <f t="shared" si="105"/>
        <v>56200</v>
      </c>
      <c r="P1126" s="2" t="s">
        <v>35</v>
      </c>
      <c r="Q1126" s="10" t="str">
        <f>VLOOKUP(A1126,Status!A:B,2,0)</f>
        <v>Completed</v>
      </c>
      <c r="R1126" s="2" t="s">
        <v>23</v>
      </c>
      <c r="S1126" s="2">
        <v>3</v>
      </c>
      <c r="T1126" s="2" t="s">
        <v>24</v>
      </c>
      <c r="U1126" s="10" t="str">
        <f t="shared" si="107"/>
        <v>Jul</v>
      </c>
      <c r="V1126" s="10">
        <f t="shared" si="106"/>
        <v>2025</v>
      </c>
      <c r="W1126" t="e" cm="1">
        <f t="array" ref="W1126">_xlfn.IFS(U1126="January",1,U1126="February",2,U1126="March",3,U1126="April",4,U1126="May",5,U1126="June",6,U1126="July",7,U1126="August",8,U1126="September",9,U1126="October",10,U1126="November",11,U1126="December",12)</f>
        <v>#N/A</v>
      </c>
    </row>
    <row r="1127" spans="1:23" ht="15.75" customHeight="1" x14ac:dyDescent="0.25">
      <c r="A1127" s="2" t="s">
        <v>2064</v>
      </c>
      <c r="B1127" s="3">
        <v>45861.496805555558</v>
      </c>
      <c r="C1127" s="2" t="s">
        <v>65</v>
      </c>
      <c r="D1127" s="2" t="s">
        <v>66</v>
      </c>
      <c r="E1127" s="2" t="s">
        <v>75</v>
      </c>
      <c r="F1127" s="2" t="str" cm="1">
        <f t="array" ref="F1127:G1127">_xlfn.TEXTSPLIT(E1127," - ")</f>
        <v>Susu Bubuk</v>
      </c>
      <c r="G1127" s="2" t="str">
        <v>Brand C</v>
      </c>
      <c r="H1127" s="5">
        <v>55000</v>
      </c>
      <c r="I1127" s="2">
        <v>5</v>
      </c>
      <c r="J1127" s="2">
        <v>15</v>
      </c>
      <c r="K1127" s="8">
        <f t="shared" si="102"/>
        <v>275000</v>
      </c>
      <c r="L1127" s="8">
        <f t="shared" si="103"/>
        <v>41250</v>
      </c>
      <c r="M1127" s="8">
        <f t="shared" si="104"/>
        <v>233750</v>
      </c>
      <c r="N1127" s="5">
        <v>59000</v>
      </c>
      <c r="O1127" s="8">
        <f t="shared" si="105"/>
        <v>292750</v>
      </c>
      <c r="P1127" s="2" t="s">
        <v>63</v>
      </c>
      <c r="Q1127" s="10" t="str">
        <f>VLOOKUP(A1127,Status!A:B,2,0)</f>
        <v>Completed</v>
      </c>
      <c r="R1127" s="2" t="s">
        <v>23</v>
      </c>
      <c r="S1127" s="2">
        <v>2</v>
      </c>
      <c r="T1127" s="2" t="s">
        <v>37</v>
      </c>
      <c r="U1127" s="10" t="str">
        <f t="shared" si="107"/>
        <v>Jul</v>
      </c>
      <c r="V1127" s="10">
        <f t="shared" si="106"/>
        <v>2025</v>
      </c>
      <c r="W1127" t="e" cm="1">
        <f t="array" ref="W1127">_xlfn.IFS(U1127="January",1,U1127="February",2,U1127="March",3,U1127="April",4,U1127="May",5,U1127="June",6,U1127="July",7,U1127="August",8,U1127="September",9,U1127="October",10,U1127="November",11,U1127="December",12)</f>
        <v>#N/A</v>
      </c>
    </row>
    <row r="1128" spans="1:23" ht="15.75" customHeight="1" x14ac:dyDescent="0.25">
      <c r="A1128" s="2" t="s">
        <v>2065</v>
      </c>
      <c r="B1128" s="3">
        <v>45861.61309027778</v>
      </c>
      <c r="C1128" s="2" t="s">
        <v>499</v>
      </c>
      <c r="D1128" s="2" t="s">
        <v>131</v>
      </c>
      <c r="E1128" s="2" t="s">
        <v>58</v>
      </c>
      <c r="F1128" s="2" t="str" cm="1">
        <f t="array" ref="F1128:G1128">_xlfn.TEXTSPLIT(E1128," - ")</f>
        <v>Gula Pasir</v>
      </c>
      <c r="G1128" s="2" t="str">
        <v>Brand A</v>
      </c>
      <c r="H1128" s="5">
        <v>16000</v>
      </c>
      <c r="I1128" s="2">
        <v>4</v>
      </c>
      <c r="J1128" s="2">
        <v>15</v>
      </c>
      <c r="K1128" s="8">
        <f t="shared" si="102"/>
        <v>64000</v>
      </c>
      <c r="L1128" s="8">
        <f t="shared" si="103"/>
        <v>9600</v>
      </c>
      <c r="M1128" s="8">
        <f t="shared" si="104"/>
        <v>54400</v>
      </c>
      <c r="N1128" s="5">
        <v>59000</v>
      </c>
      <c r="O1128" s="8">
        <f t="shared" si="105"/>
        <v>113400</v>
      </c>
      <c r="P1128" s="2" t="s">
        <v>22</v>
      </c>
      <c r="Q1128" s="10" t="str">
        <f>VLOOKUP(A1128,Status!A:B,2,0)</f>
        <v>Completed</v>
      </c>
      <c r="R1128" s="2" t="s">
        <v>46</v>
      </c>
      <c r="S1128" s="2">
        <v>4</v>
      </c>
      <c r="T1128" s="2" t="s">
        <v>24</v>
      </c>
      <c r="U1128" s="10" t="str">
        <f t="shared" si="107"/>
        <v>Jul</v>
      </c>
      <c r="V1128" s="10">
        <f t="shared" si="106"/>
        <v>2025</v>
      </c>
      <c r="W1128" t="e" cm="1">
        <f t="array" ref="W1128">_xlfn.IFS(U1128="January",1,U1128="February",2,U1128="March",3,U1128="April",4,U1128="May",5,U1128="June",6,U1128="July",7,U1128="August",8,U1128="September",9,U1128="October",10,U1128="November",11,U1128="December",12)</f>
        <v>#N/A</v>
      </c>
    </row>
    <row r="1129" spans="1:23" ht="15.75" customHeight="1" x14ac:dyDescent="0.25">
      <c r="A1129" s="2" t="s">
        <v>2066</v>
      </c>
      <c r="B1129" s="3">
        <v>45861.652800925927</v>
      </c>
      <c r="C1129" s="2" t="s">
        <v>162</v>
      </c>
      <c r="D1129" s="2" t="s">
        <v>163</v>
      </c>
      <c r="E1129" s="2" t="s">
        <v>34</v>
      </c>
      <c r="F1129" s="2" t="str" cm="1">
        <f t="array" ref="F1129:G1129">_xlfn.TEXTSPLIT(E1129," - ")</f>
        <v>Minyak Goreng</v>
      </c>
      <c r="G1129" s="2" t="str">
        <v>Brand A</v>
      </c>
      <c r="H1129" s="5">
        <v>16000</v>
      </c>
      <c r="I1129" s="2">
        <v>1</v>
      </c>
      <c r="J1129" s="2">
        <v>0</v>
      </c>
      <c r="K1129" s="8">
        <f t="shared" si="102"/>
        <v>16000</v>
      </c>
      <c r="L1129" s="8">
        <f t="shared" si="103"/>
        <v>0</v>
      </c>
      <c r="M1129" s="8">
        <f t="shared" si="104"/>
        <v>16000</v>
      </c>
      <c r="N1129" s="5">
        <v>50000</v>
      </c>
      <c r="O1129" s="8">
        <f t="shared" si="105"/>
        <v>66000</v>
      </c>
      <c r="P1129" s="2" t="s">
        <v>35</v>
      </c>
      <c r="Q1129" s="10" t="str">
        <f>VLOOKUP(A1129,Status!A:B,2,0)</f>
        <v>Completed</v>
      </c>
      <c r="R1129" s="2" t="s">
        <v>30</v>
      </c>
      <c r="S1129" s="2">
        <v>2</v>
      </c>
      <c r="T1129" s="2" t="s">
        <v>24</v>
      </c>
      <c r="U1129" s="10" t="str">
        <f t="shared" si="107"/>
        <v>Jul</v>
      </c>
      <c r="V1129" s="10">
        <f t="shared" si="106"/>
        <v>2025</v>
      </c>
      <c r="W1129" t="e" cm="1">
        <f t="array" ref="W1129">_xlfn.IFS(U1129="January",1,U1129="February",2,U1129="March",3,U1129="April",4,U1129="May",5,U1129="June",6,U1129="July",7,U1129="August",8,U1129="September",9,U1129="October",10,U1129="November",11,U1129="December",12)</f>
        <v>#N/A</v>
      </c>
    </row>
    <row r="1130" spans="1:23" ht="15.75" customHeight="1" x14ac:dyDescent="0.25">
      <c r="A1130" s="2" t="s">
        <v>2067</v>
      </c>
      <c r="B1130" s="3">
        <v>45861.653391203698</v>
      </c>
      <c r="C1130" s="2" t="s">
        <v>772</v>
      </c>
      <c r="D1130" s="2" t="s">
        <v>113</v>
      </c>
      <c r="E1130" s="2" t="s">
        <v>62</v>
      </c>
      <c r="F1130" s="2" t="str" cm="1">
        <f t="array" ref="F1130:G1130">_xlfn.TEXTSPLIT(E1130," - ")</f>
        <v>Susu Bubuk</v>
      </c>
      <c r="G1130" s="2" t="str">
        <v>Brand B</v>
      </c>
      <c r="H1130" s="5">
        <v>50000</v>
      </c>
      <c r="I1130" s="2">
        <v>2</v>
      </c>
      <c r="J1130" s="2">
        <v>10</v>
      </c>
      <c r="K1130" s="8">
        <f t="shared" si="102"/>
        <v>100000</v>
      </c>
      <c r="L1130" s="8">
        <f t="shared" si="103"/>
        <v>10000</v>
      </c>
      <c r="M1130" s="8">
        <f t="shared" si="104"/>
        <v>90000</v>
      </c>
      <c r="N1130" s="5">
        <v>18000</v>
      </c>
      <c r="O1130" s="8">
        <f t="shared" si="105"/>
        <v>108000</v>
      </c>
      <c r="P1130" s="2" t="s">
        <v>35</v>
      </c>
      <c r="Q1130" s="10" t="str">
        <f>VLOOKUP(A1130,Status!A:B,2,0)</f>
        <v>Completed</v>
      </c>
      <c r="R1130" s="2" t="s">
        <v>36</v>
      </c>
      <c r="S1130" s="2">
        <v>2</v>
      </c>
      <c r="T1130" s="2" t="s">
        <v>24</v>
      </c>
      <c r="U1130" s="10" t="str">
        <f t="shared" si="107"/>
        <v>Jul</v>
      </c>
      <c r="V1130" s="10">
        <f t="shared" si="106"/>
        <v>2025</v>
      </c>
      <c r="W1130" t="e" cm="1">
        <f t="array" ref="W1130">_xlfn.IFS(U1130="January",1,U1130="February",2,U1130="March",3,U1130="April",4,U1130="May",5,U1130="June",6,U1130="July",7,U1130="August",8,U1130="September",9,U1130="October",10,U1130="November",11,U1130="December",12)</f>
        <v>#N/A</v>
      </c>
    </row>
    <row r="1131" spans="1:23" ht="15.75" customHeight="1" x14ac:dyDescent="0.25">
      <c r="A1131" s="2" t="s">
        <v>2068</v>
      </c>
      <c r="B1131" s="3">
        <v>45861.747523148151</v>
      </c>
      <c r="C1131" s="2" t="s">
        <v>323</v>
      </c>
      <c r="D1131" s="2" t="s">
        <v>103</v>
      </c>
      <c r="E1131" s="2" t="s">
        <v>104</v>
      </c>
      <c r="F1131" s="2" t="str" cm="1">
        <f t="array" ref="F1131:G1131">_xlfn.TEXTSPLIT(E1131," - ")</f>
        <v>Bawang Merah</v>
      </c>
      <c r="G1131" s="2" t="str">
        <v>Brand A</v>
      </c>
      <c r="H1131" s="5">
        <v>30000</v>
      </c>
      <c r="I1131" s="2">
        <v>4</v>
      </c>
      <c r="J1131" s="2">
        <v>10</v>
      </c>
      <c r="K1131" s="8">
        <f t="shared" si="102"/>
        <v>120000</v>
      </c>
      <c r="L1131" s="8">
        <f t="shared" si="103"/>
        <v>12000</v>
      </c>
      <c r="M1131" s="8">
        <f t="shared" si="104"/>
        <v>108000</v>
      </c>
      <c r="N1131" s="5">
        <v>85000</v>
      </c>
      <c r="O1131" s="8">
        <f t="shared" si="105"/>
        <v>193000</v>
      </c>
      <c r="P1131" s="2" t="s">
        <v>22</v>
      </c>
      <c r="Q1131" s="10" t="str">
        <f>VLOOKUP(A1131,Status!A:B,2,0)</f>
        <v>Completed</v>
      </c>
      <c r="R1131" s="2" t="s">
        <v>82</v>
      </c>
      <c r="S1131" s="2">
        <v>3</v>
      </c>
      <c r="T1131" s="2" t="s">
        <v>24</v>
      </c>
      <c r="U1131" s="10" t="str">
        <f t="shared" si="107"/>
        <v>Jul</v>
      </c>
      <c r="V1131" s="10">
        <f t="shared" si="106"/>
        <v>2025</v>
      </c>
      <c r="W1131" t="e" cm="1">
        <f t="array" ref="W1131">_xlfn.IFS(U1131="January",1,U1131="February",2,U1131="March",3,U1131="April",4,U1131="May",5,U1131="June",6,U1131="July",7,U1131="August",8,U1131="September",9,U1131="October",10,U1131="November",11,U1131="December",12)</f>
        <v>#N/A</v>
      </c>
    </row>
    <row r="1132" spans="1:23" ht="15.75" customHeight="1" x14ac:dyDescent="0.25">
      <c r="A1132" s="2" t="s">
        <v>2069</v>
      </c>
      <c r="B1132" s="3">
        <v>45861.886342592603</v>
      </c>
      <c r="C1132" s="2" t="s">
        <v>649</v>
      </c>
      <c r="D1132" s="2" t="s">
        <v>177</v>
      </c>
      <c r="E1132" s="2" t="s">
        <v>190</v>
      </c>
      <c r="F1132" s="2" t="str" cm="1">
        <f t="array" ref="F1132:G1132">_xlfn.TEXTSPLIT(E1132," - ")</f>
        <v>Bawang Merah</v>
      </c>
      <c r="G1132" s="2" t="str">
        <v>Brand B</v>
      </c>
      <c r="H1132" s="5">
        <v>35000</v>
      </c>
      <c r="I1132" s="2">
        <v>4</v>
      </c>
      <c r="J1132" s="2">
        <v>10</v>
      </c>
      <c r="K1132" s="8">
        <f t="shared" si="102"/>
        <v>140000</v>
      </c>
      <c r="L1132" s="8">
        <f t="shared" si="103"/>
        <v>14000</v>
      </c>
      <c r="M1132" s="8">
        <f t="shared" si="104"/>
        <v>126000</v>
      </c>
      <c r="N1132" s="5">
        <v>56000</v>
      </c>
      <c r="O1132" s="8">
        <f t="shared" si="105"/>
        <v>182000</v>
      </c>
      <c r="P1132" s="2" t="s">
        <v>29</v>
      </c>
      <c r="Q1132" s="10" t="str">
        <f>VLOOKUP(A1132,Status!A:B,2,0)</f>
        <v>Completed</v>
      </c>
      <c r="R1132" s="2" t="s">
        <v>46</v>
      </c>
      <c r="S1132" s="2">
        <v>4</v>
      </c>
      <c r="T1132" s="2" t="s">
        <v>24</v>
      </c>
      <c r="U1132" s="10" t="str">
        <f t="shared" si="107"/>
        <v>Jul</v>
      </c>
      <c r="V1132" s="10">
        <f t="shared" si="106"/>
        <v>2025</v>
      </c>
      <c r="W1132" t="e" cm="1">
        <f t="array" ref="W1132">_xlfn.IFS(U1132="January",1,U1132="February",2,U1132="March",3,U1132="April",4,U1132="May",5,U1132="June",6,U1132="July",7,U1132="August",8,U1132="September",9,U1132="October",10,U1132="November",11,U1132="December",12)</f>
        <v>#N/A</v>
      </c>
    </row>
    <row r="1133" spans="1:23" ht="15.75" customHeight="1" x14ac:dyDescent="0.25">
      <c r="A1133" s="2" t="s">
        <v>2070</v>
      </c>
      <c r="B1133" s="3">
        <v>45862.091469907413</v>
      </c>
      <c r="C1133" s="2" t="s">
        <v>867</v>
      </c>
      <c r="D1133" s="2" t="s">
        <v>20</v>
      </c>
      <c r="E1133" s="2" t="s">
        <v>144</v>
      </c>
      <c r="F1133" s="2" t="str" cm="1">
        <f t="array" ref="F1133:G1133">_xlfn.TEXTSPLIT(E1133," - ")</f>
        <v>Gula Pasir</v>
      </c>
      <c r="G1133" s="2" t="str">
        <v>Brand C</v>
      </c>
      <c r="H1133" s="5">
        <v>18000</v>
      </c>
      <c r="I1133" s="2">
        <v>5</v>
      </c>
      <c r="J1133" s="2">
        <v>20</v>
      </c>
      <c r="K1133" s="8">
        <f t="shared" si="102"/>
        <v>90000</v>
      </c>
      <c r="L1133" s="8">
        <f t="shared" si="103"/>
        <v>18000</v>
      </c>
      <c r="M1133" s="8">
        <f t="shared" si="104"/>
        <v>72000</v>
      </c>
      <c r="N1133" s="5">
        <v>15000</v>
      </c>
      <c r="O1133" s="8">
        <f t="shared" si="105"/>
        <v>87000</v>
      </c>
      <c r="P1133" s="2" t="s">
        <v>63</v>
      </c>
      <c r="Q1133" s="10" t="str">
        <f>VLOOKUP(A1133,Status!A:B,2,0)</f>
        <v>Completed</v>
      </c>
      <c r="R1133" s="2" t="s">
        <v>46</v>
      </c>
      <c r="S1133" s="2">
        <v>2</v>
      </c>
      <c r="T1133" s="2" t="s">
        <v>37</v>
      </c>
      <c r="U1133" s="10" t="str">
        <f t="shared" si="107"/>
        <v>Jul</v>
      </c>
      <c r="V1133" s="10">
        <f t="shared" si="106"/>
        <v>2025</v>
      </c>
      <c r="W1133" t="e" cm="1">
        <f t="array" ref="W1133">_xlfn.IFS(U1133="January",1,U1133="February",2,U1133="March",3,U1133="April",4,U1133="May",5,U1133="June",6,U1133="July",7,U1133="August",8,U1133="September",9,U1133="October",10,U1133="November",11,U1133="December",12)</f>
        <v>#N/A</v>
      </c>
    </row>
    <row r="1134" spans="1:23" ht="15.75" customHeight="1" x14ac:dyDescent="0.25">
      <c r="A1134" s="2" t="s">
        <v>2070</v>
      </c>
      <c r="B1134" s="3">
        <v>45862.091469907413</v>
      </c>
      <c r="C1134" s="2" t="s">
        <v>867</v>
      </c>
      <c r="D1134" s="2" t="s">
        <v>20</v>
      </c>
      <c r="E1134" s="2" t="s">
        <v>85</v>
      </c>
      <c r="F1134" s="2" t="str" cm="1">
        <f t="array" ref="F1134:G1134">_xlfn.TEXTSPLIT(E1134," - ")</f>
        <v>Daging Ayam</v>
      </c>
      <c r="G1134" s="2" t="str">
        <v>Brand A</v>
      </c>
      <c r="H1134" s="5">
        <v>35000</v>
      </c>
      <c r="I1134" s="2">
        <v>5</v>
      </c>
      <c r="J1134" s="2">
        <v>10</v>
      </c>
      <c r="K1134" s="8">
        <f t="shared" si="102"/>
        <v>175000</v>
      </c>
      <c r="L1134" s="8">
        <f t="shared" si="103"/>
        <v>17500</v>
      </c>
      <c r="M1134" s="8">
        <f t="shared" si="104"/>
        <v>157500</v>
      </c>
      <c r="N1134" s="5">
        <v>0</v>
      </c>
      <c r="O1134" s="8">
        <f t="shared" si="105"/>
        <v>157500</v>
      </c>
      <c r="P1134" s="2" t="s">
        <v>63</v>
      </c>
      <c r="Q1134" s="10" t="str">
        <f>VLOOKUP(A1134,Status!A:B,2,0)</f>
        <v>Completed</v>
      </c>
      <c r="R1134" s="2" t="s">
        <v>46</v>
      </c>
      <c r="S1134" s="2">
        <v>2</v>
      </c>
      <c r="T1134" s="2" t="s">
        <v>37</v>
      </c>
      <c r="U1134" s="10" t="str">
        <f t="shared" si="107"/>
        <v>Jul</v>
      </c>
      <c r="V1134" s="10">
        <f t="shared" si="106"/>
        <v>2025</v>
      </c>
      <c r="W1134" t="e" cm="1">
        <f t="array" ref="W1134">_xlfn.IFS(U1134="January",1,U1134="February",2,U1134="March",3,U1134="April",4,U1134="May",5,U1134="June",6,U1134="July",7,U1134="August",8,U1134="September",9,U1134="October",10,U1134="November",11,U1134="December",12)</f>
        <v>#N/A</v>
      </c>
    </row>
    <row r="1135" spans="1:23" ht="15.75" customHeight="1" x14ac:dyDescent="0.25">
      <c r="A1135" s="2" t="s">
        <v>2071</v>
      </c>
      <c r="B1135" s="3">
        <v>45862.118402777778</v>
      </c>
      <c r="C1135" s="2" t="s">
        <v>2072</v>
      </c>
      <c r="D1135" s="2" t="s">
        <v>92</v>
      </c>
      <c r="E1135" s="2" t="s">
        <v>45</v>
      </c>
      <c r="F1135" s="2" t="str" cm="1">
        <f t="array" ref="F1135:G1135">_xlfn.TEXTSPLIT(E1135," - ")</f>
        <v>Daging Ayam</v>
      </c>
      <c r="G1135" s="2" t="str">
        <v>Brand B</v>
      </c>
      <c r="H1135" s="5">
        <v>40000</v>
      </c>
      <c r="I1135" s="2">
        <v>1</v>
      </c>
      <c r="J1135" s="2">
        <v>5</v>
      </c>
      <c r="K1135" s="8">
        <f t="shared" si="102"/>
        <v>40000</v>
      </c>
      <c r="L1135" s="8">
        <f t="shared" si="103"/>
        <v>2000</v>
      </c>
      <c r="M1135" s="8">
        <f t="shared" si="104"/>
        <v>38000</v>
      </c>
      <c r="N1135" s="5">
        <v>30000</v>
      </c>
      <c r="O1135" s="8">
        <f t="shared" si="105"/>
        <v>68000</v>
      </c>
      <c r="P1135" s="2" t="s">
        <v>63</v>
      </c>
      <c r="Q1135" s="10" t="str">
        <f>VLOOKUP(A1135,Status!A:B,2,0)</f>
        <v>Returned</v>
      </c>
      <c r="R1135" s="2" t="s">
        <v>36</v>
      </c>
      <c r="S1135" s="2">
        <v>1</v>
      </c>
      <c r="T1135" s="2" t="s">
        <v>37</v>
      </c>
      <c r="U1135" s="10" t="str">
        <f t="shared" si="107"/>
        <v>Jul</v>
      </c>
      <c r="V1135" s="10">
        <f t="shared" si="106"/>
        <v>2025</v>
      </c>
      <c r="W1135" t="e" cm="1">
        <f t="array" ref="W1135">_xlfn.IFS(U1135="January",1,U1135="February",2,U1135="March",3,U1135="April",4,U1135="May",5,U1135="June",6,U1135="July",7,U1135="August",8,U1135="September",9,U1135="October",10,U1135="November",11,U1135="December",12)</f>
        <v>#N/A</v>
      </c>
    </row>
    <row r="1136" spans="1:23" ht="15.75" customHeight="1" x14ac:dyDescent="0.25">
      <c r="A1136" s="2" t="s">
        <v>2073</v>
      </c>
      <c r="B1136" s="3">
        <v>45862.320011574076</v>
      </c>
      <c r="C1136" s="2" t="s">
        <v>693</v>
      </c>
      <c r="D1136" s="2" t="s">
        <v>119</v>
      </c>
      <c r="E1136" s="2" t="s">
        <v>81</v>
      </c>
      <c r="F1136" s="2" t="str" cm="1">
        <f t="array" ref="F1136:G1136">_xlfn.TEXTSPLIT(E1136," - ")</f>
        <v>Minyak Goreng</v>
      </c>
      <c r="G1136" s="2" t="str">
        <v>Brand B</v>
      </c>
      <c r="H1136" s="5">
        <v>17000</v>
      </c>
      <c r="I1136" s="2">
        <v>4</v>
      </c>
      <c r="J1136" s="2">
        <v>0</v>
      </c>
      <c r="K1136" s="8">
        <f t="shared" si="102"/>
        <v>68000</v>
      </c>
      <c r="L1136" s="8">
        <f t="shared" si="103"/>
        <v>0</v>
      </c>
      <c r="M1136" s="8">
        <f t="shared" si="104"/>
        <v>68000</v>
      </c>
      <c r="N1136" s="5">
        <v>0</v>
      </c>
      <c r="O1136" s="8">
        <f t="shared" si="105"/>
        <v>68000</v>
      </c>
      <c r="P1136" s="2" t="s">
        <v>22</v>
      </c>
      <c r="Q1136" s="10" t="str">
        <f>VLOOKUP(A1136,Status!A:B,2,0)</f>
        <v>Returned</v>
      </c>
      <c r="R1136" s="2" t="s">
        <v>46</v>
      </c>
      <c r="S1136" s="2">
        <v>4</v>
      </c>
      <c r="T1136" s="2" t="s">
        <v>24</v>
      </c>
      <c r="U1136" s="10" t="str">
        <f t="shared" si="107"/>
        <v>Jul</v>
      </c>
      <c r="V1136" s="10">
        <f t="shared" si="106"/>
        <v>2025</v>
      </c>
      <c r="W1136" t="e" cm="1">
        <f t="array" ref="W1136">_xlfn.IFS(U1136="January",1,U1136="February",2,U1136="March",3,U1136="April",4,U1136="May",5,U1136="June",6,U1136="July",7,U1136="August",8,U1136="September",9,U1136="October",10,U1136="November",11,U1136="December",12)</f>
        <v>#N/A</v>
      </c>
    </row>
    <row r="1137" spans="1:23" ht="15.75" customHeight="1" x14ac:dyDescent="0.25">
      <c r="A1137" s="2" t="s">
        <v>2074</v>
      </c>
      <c r="B1137" s="3">
        <v>45862.595254629632</v>
      </c>
      <c r="C1137" s="2" t="s">
        <v>568</v>
      </c>
      <c r="D1137" s="2" t="s">
        <v>435</v>
      </c>
      <c r="E1137" s="2" t="s">
        <v>144</v>
      </c>
      <c r="F1137" s="2" t="str" cm="1">
        <f t="array" ref="F1137:G1137">_xlfn.TEXTSPLIT(E1137," - ")</f>
        <v>Gula Pasir</v>
      </c>
      <c r="G1137" s="2" t="str">
        <v>Brand C</v>
      </c>
      <c r="H1137" s="5">
        <v>18000</v>
      </c>
      <c r="I1137" s="2">
        <v>2</v>
      </c>
      <c r="J1137" s="2">
        <v>0</v>
      </c>
      <c r="K1137" s="8">
        <f t="shared" si="102"/>
        <v>36000</v>
      </c>
      <c r="L1137" s="8">
        <f t="shared" si="103"/>
        <v>0</v>
      </c>
      <c r="M1137" s="8">
        <f t="shared" si="104"/>
        <v>36000</v>
      </c>
      <c r="N1137" s="5">
        <v>67000</v>
      </c>
      <c r="O1137" s="8">
        <f t="shared" si="105"/>
        <v>103000</v>
      </c>
      <c r="P1137" s="2" t="s">
        <v>22</v>
      </c>
      <c r="Q1137" s="10" t="str">
        <f>VLOOKUP(A1137,Status!A:B,2,0)</f>
        <v>Completed</v>
      </c>
      <c r="R1137" s="2" t="s">
        <v>36</v>
      </c>
      <c r="S1137" s="2">
        <v>5</v>
      </c>
      <c r="T1137" s="2" t="s">
        <v>24</v>
      </c>
      <c r="U1137" s="10" t="str">
        <f t="shared" si="107"/>
        <v>Jul</v>
      </c>
      <c r="V1137" s="10">
        <f t="shared" si="106"/>
        <v>2025</v>
      </c>
      <c r="W1137" t="e" cm="1">
        <f t="array" ref="W1137">_xlfn.IFS(U1137="January",1,U1137="February",2,U1137="March",3,U1137="April",4,U1137="May",5,U1137="June",6,U1137="July",7,U1137="August",8,U1137="September",9,U1137="October",10,U1137="November",11,U1137="December",12)</f>
        <v>#N/A</v>
      </c>
    </row>
    <row r="1138" spans="1:23" ht="15.75" customHeight="1" x14ac:dyDescent="0.25">
      <c r="A1138" s="2" t="s">
        <v>2075</v>
      </c>
      <c r="B1138" s="3">
        <v>45862.785856481481</v>
      </c>
      <c r="C1138" s="2" t="s">
        <v>589</v>
      </c>
      <c r="D1138" s="2" t="s">
        <v>262</v>
      </c>
      <c r="E1138" s="2" t="s">
        <v>38</v>
      </c>
      <c r="F1138" s="2" t="str" cm="1">
        <f t="array" ref="F1138:G1138">_xlfn.TEXTSPLIT(E1138," - ")</f>
        <v>Telur Ayam</v>
      </c>
      <c r="G1138" s="2" t="str">
        <v>Brand C</v>
      </c>
      <c r="H1138" s="5">
        <v>28000</v>
      </c>
      <c r="I1138" s="2">
        <v>4</v>
      </c>
      <c r="J1138" s="2">
        <v>10</v>
      </c>
      <c r="K1138" s="8">
        <f t="shared" si="102"/>
        <v>112000</v>
      </c>
      <c r="L1138" s="8">
        <f t="shared" si="103"/>
        <v>11200</v>
      </c>
      <c r="M1138" s="8">
        <f t="shared" si="104"/>
        <v>100800</v>
      </c>
      <c r="N1138" s="5">
        <v>18000</v>
      </c>
      <c r="O1138" s="8">
        <f t="shared" si="105"/>
        <v>118800</v>
      </c>
      <c r="P1138" s="2" t="s">
        <v>63</v>
      </c>
      <c r="Q1138" s="10" t="str">
        <f>VLOOKUP(A1138,Status!A:B,2,0)</f>
        <v>Completed</v>
      </c>
      <c r="R1138" s="2" t="s">
        <v>23</v>
      </c>
      <c r="S1138" s="2">
        <v>2</v>
      </c>
      <c r="T1138" s="2" t="s">
        <v>37</v>
      </c>
      <c r="U1138" s="10" t="str">
        <f t="shared" si="107"/>
        <v>Jul</v>
      </c>
      <c r="V1138" s="10">
        <f t="shared" si="106"/>
        <v>2025</v>
      </c>
      <c r="W1138" t="e" cm="1">
        <f t="array" ref="W1138">_xlfn.IFS(U1138="January",1,U1138="February",2,U1138="March",3,U1138="April",4,U1138="May",5,U1138="June",6,U1138="July",7,U1138="August",8,U1138="September",9,U1138="October",10,U1138="November",11,U1138="December",12)</f>
        <v>#N/A</v>
      </c>
    </row>
    <row r="1139" spans="1:23" ht="15.75" customHeight="1" x14ac:dyDescent="0.25">
      <c r="A1139" s="2" t="s">
        <v>2076</v>
      </c>
      <c r="B1139" s="3">
        <v>45862.850752314807</v>
      </c>
      <c r="C1139" s="2" t="s">
        <v>1173</v>
      </c>
      <c r="D1139" s="2" t="s">
        <v>170</v>
      </c>
      <c r="E1139" s="2" t="s">
        <v>136</v>
      </c>
      <c r="F1139" s="2" t="str" cm="1">
        <f t="array" ref="F1139:G1139">_xlfn.TEXTSPLIT(E1139," - ")</f>
        <v>Tepung Terigu</v>
      </c>
      <c r="G1139" s="2" t="str">
        <v>Brand B</v>
      </c>
      <c r="H1139" s="5">
        <v>12000</v>
      </c>
      <c r="I1139" s="2">
        <v>5</v>
      </c>
      <c r="J1139" s="2">
        <v>10</v>
      </c>
      <c r="K1139" s="8">
        <f t="shared" si="102"/>
        <v>60000</v>
      </c>
      <c r="L1139" s="8">
        <f t="shared" si="103"/>
        <v>6000</v>
      </c>
      <c r="M1139" s="8">
        <f t="shared" si="104"/>
        <v>54000</v>
      </c>
      <c r="N1139" s="5">
        <v>46000</v>
      </c>
      <c r="O1139" s="8">
        <f t="shared" si="105"/>
        <v>100000</v>
      </c>
      <c r="P1139" s="2" t="s">
        <v>22</v>
      </c>
      <c r="Q1139" s="10" t="str">
        <f>VLOOKUP(A1139,Status!A:B,2,0)</f>
        <v>Completed</v>
      </c>
      <c r="R1139" s="2" t="s">
        <v>36</v>
      </c>
      <c r="S1139" s="2">
        <v>3</v>
      </c>
      <c r="T1139" s="2" t="s">
        <v>24</v>
      </c>
      <c r="U1139" s="10" t="str">
        <f t="shared" si="107"/>
        <v>Jul</v>
      </c>
      <c r="V1139" s="10">
        <f t="shared" si="106"/>
        <v>2025</v>
      </c>
      <c r="W1139" t="e" cm="1">
        <f t="array" ref="W1139">_xlfn.IFS(U1139="January",1,U1139="February",2,U1139="March",3,U1139="April",4,U1139="May",5,U1139="June",6,U1139="July",7,U1139="August",8,U1139="September",9,U1139="October",10,U1139="November",11,U1139="December",12)</f>
        <v>#N/A</v>
      </c>
    </row>
    <row r="1140" spans="1:23" ht="15.75" customHeight="1" x14ac:dyDescent="0.25">
      <c r="A1140" s="2" t="s">
        <v>2077</v>
      </c>
      <c r="B1140" s="3">
        <v>45862.964467592603</v>
      </c>
      <c r="C1140" s="2" t="s">
        <v>774</v>
      </c>
      <c r="D1140" s="2" t="s">
        <v>262</v>
      </c>
      <c r="E1140" s="2" t="s">
        <v>58</v>
      </c>
      <c r="F1140" s="2" t="str" cm="1">
        <f t="array" ref="F1140:G1140">_xlfn.TEXTSPLIT(E1140," - ")</f>
        <v>Gula Pasir</v>
      </c>
      <c r="G1140" s="2" t="str">
        <v>Brand A</v>
      </c>
      <c r="H1140" s="5">
        <v>16000</v>
      </c>
      <c r="I1140" s="2">
        <v>4</v>
      </c>
      <c r="J1140" s="2">
        <v>15</v>
      </c>
      <c r="K1140" s="8">
        <f t="shared" si="102"/>
        <v>64000</v>
      </c>
      <c r="L1140" s="8">
        <f t="shared" si="103"/>
        <v>9600</v>
      </c>
      <c r="M1140" s="8">
        <f t="shared" si="104"/>
        <v>54400</v>
      </c>
      <c r="N1140" s="5">
        <v>18000</v>
      </c>
      <c r="O1140" s="8">
        <f t="shared" si="105"/>
        <v>72400</v>
      </c>
      <c r="P1140" s="2" t="s">
        <v>63</v>
      </c>
      <c r="Q1140" s="10" t="str">
        <f>VLOOKUP(A1140,Status!A:B,2,0)</f>
        <v>Completed</v>
      </c>
      <c r="R1140" s="2" t="s">
        <v>36</v>
      </c>
      <c r="S1140" s="2">
        <v>5</v>
      </c>
      <c r="T1140" s="2" t="s">
        <v>24</v>
      </c>
      <c r="U1140" s="10" t="str">
        <f t="shared" si="107"/>
        <v>Jul</v>
      </c>
      <c r="V1140" s="10">
        <f t="shared" si="106"/>
        <v>2025</v>
      </c>
      <c r="W1140" t="e" cm="1">
        <f t="array" ref="W1140">_xlfn.IFS(U1140="January",1,U1140="February",2,U1140="March",3,U1140="April",4,U1140="May",5,U1140="June",6,U1140="July",7,U1140="August",8,U1140="September",9,U1140="October",10,U1140="November",11,U1140="December",12)</f>
        <v>#N/A</v>
      </c>
    </row>
    <row r="1141" spans="1:23" ht="15.75" customHeight="1" x14ac:dyDescent="0.25">
      <c r="A1141" s="2" t="s">
        <v>2078</v>
      </c>
      <c r="B1141" s="3">
        <v>45863.019652777781</v>
      </c>
      <c r="C1141" s="2" t="s">
        <v>273</v>
      </c>
      <c r="D1141" s="2" t="s">
        <v>195</v>
      </c>
      <c r="E1141" s="2" t="s">
        <v>136</v>
      </c>
      <c r="F1141" s="2" t="str" cm="1">
        <f t="array" ref="F1141:G1141">_xlfn.TEXTSPLIT(E1141," - ")</f>
        <v>Tepung Terigu</v>
      </c>
      <c r="G1141" s="2" t="str">
        <v>Brand B</v>
      </c>
      <c r="H1141" s="5">
        <v>12000</v>
      </c>
      <c r="I1141" s="2">
        <v>2</v>
      </c>
      <c r="J1141" s="2">
        <v>10</v>
      </c>
      <c r="K1141" s="8">
        <f t="shared" si="102"/>
        <v>24000</v>
      </c>
      <c r="L1141" s="8">
        <f t="shared" si="103"/>
        <v>2400</v>
      </c>
      <c r="M1141" s="8">
        <f t="shared" si="104"/>
        <v>21600</v>
      </c>
      <c r="N1141" s="5">
        <v>87000</v>
      </c>
      <c r="O1141" s="8">
        <f t="shared" si="105"/>
        <v>108600</v>
      </c>
      <c r="P1141" s="2" t="s">
        <v>35</v>
      </c>
      <c r="Q1141" s="10" t="str">
        <f>VLOOKUP(A1141,Status!A:B,2,0)</f>
        <v>Cancelled</v>
      </c>
      <c r="R1141" s="2" t="s">
        <v>36</v>
      </c>
      <c r="S1141" s="2">
        <v>2</v>
      </c>
      <c r="T1141" s="2" t="s">
        <v>24</v>
      </c>
      <c r="U1141" s="10" t="str">
        <f t="shared" si="107"/>
        <v>Jul</v>
      </c>
      <c r="V1141" s="10">
        <f t="shared" si="106"/>
        <v>2025</v>
      </c>
      <c r="W1141" t="e" cm="1">
        <f t="array" ref="W1141">_xlfn.IFS(U1141="January",1,U1141="February",2,U1141="March",3,U1141="April",4,U1141="May",5,U1141="June",6,U1141="July",7,U1141="August",8,U1141="September",9,U1141="October",10,U1141="November",11,U1141="December",12)</f>
        <v>#N/A</v>
      </c>
    </row>
    <row r="1142" spans="1:23" ht="15.75" customHeight="1" x14ac:dyDescent="0.25">
      <c r="A1142" s="2" t="s">
        <v>2079</v>
      </c>
      <c r="B1142" s="3">
        <v>45863.086631944447</v>
      </c>
      <c r="C1142" s="2" t="s">
        <v>2080</v>
      </c>
      <c r="D1142" s="2" t="s">
        <v>262</v>
      </c>
      <c r="E1142" s="2" t="s">
        <v>75</v>
      </c>
      <c r="F1142" s="2" t="str" cm="1">
        <f t="array" ref="F1142:G1142">_xlfn.TEXTSPLIT(E1142," - ")</f>
        <v>Susu Bubuk</v>
      </c>
      <c r="G1142" s="2" t="str">
        <v>Brand C</v>
      </c>
      <c r="H1142" s="5">
        <v>55000</v>
      </c>
      <c r="I1142" s="2">
        <v>4</v>
      </c>
      <c r="J1142" s="2">
        <v>15</v>
      </c>
      <c r="K1142" s="8">
        <f t="shared" si="102"/>
        <v>220000</v>
      </c>
      <c r="L1142" s="8">
        <f t="shared" si="103"/>
        <v>33000</v>
      </c>
      <c r="M1142" s="8">
        <f t="shared" si="104"/>
        <v>187000</v>
      </c>
      <c r="N1142" s="5">
        <v>18000</v>
      </c>
      <c r="O1142" s="8">
        <f t="shared" si="105"/>
        <v>205000</v>
      </c>
      <c r="P1142" s="2" t="s">
        <v>22</v>
      </c>
      <c r="Q1142" s="10" t="str">
        <f>VLOOKUP(A1142,Status!A:B,2,0)</f>
        <v>Completed</v>
      </c>
      <c r="R1142" s="2" t="s">
        <v>46</v>
      </c>
      <c r="S1142" s="2">
        <v>2</v>
      </c>
      <c r="T1142" s="2" t="s">
        <v>24</v>
      </c>
      <c r="U1142" s="10" t="str">
        <f t="shared" si="107"/>
        <v>Jul</v>
      </c>
      <c r="V1142" s="10">
        <f t="shared" si="106"/>
        <v>2025</v>
      </c>
      <c r="W1142" t="e" cm="1">
        <f t="array" ref="W1142">_xlfn.IFS(U1142="January",1,U1142="February",2,U1142="March",3,U1142="April",4,U1142="May",5,U1142="June",6,U1142="July",7,U1142="August",8,U1142="September",9,U1142="October",10,U1142="November",11,U1142="December",12)</f>
        <v>#N/A</v>
      </c>
    </row>
    <row r="1143" spans="1:23" ht="15.75" customHeight="1" x14ac:dyDescent="0.25">
      <c r="A1143" s="2" t="s">
        <v>2079</v>
      </c>
      <c r="B1143" s="3">
        <v>45863.086631944447</v>
      </c>
      <c r="C1143" s="2" t="s">
        <v>2080</v>
      </c>
      <c r="D1143" s="2" t="s">
        <v>262</v>
      </c>
      <c r="E1143" s="2" t="s">
        <v>85</v>
      </c>
      <c r="F1143" s="2" t="str" cm="1">
        <f t="array" ref="F1143:G1143">_xlfn.TEXTSPLIT(E1143," - ")</f>
        <v>Daging Ayam</v>
      </c>
      <c r="G1143" s="2" t="str">
        <v>Brand A</v>
      </c>
      <c r="H1143" s="5">
        <v>35000</v>
      </c>
      <c r="I1143" s="2">
        <v>3</v>
      </c>
      <c r="J1143" s="2">
        <v>15</v>
      </c>
      <c r="K1143" s="8">
        <f t="shared" si="102"/>
        <v>105000</v>
      </c>
      <c r="L1143" s="8">
        <f t="shared" si="103"/>
        <v>15750</v>
      </c>
      <c r="M1143" s="8">
        <f t="shared" si="104"/>
        <v>89250</v>
      </c>
      <c r="N1143" s="5">
        <v>0</v>
      </c>
      <c r="O1143" s="8">
        <f t="shared" si="105"/>
        <v>89250</v>
      </c>
      <c r="P1143" s="2" t="s">
        <v>22</v>
      </c>
      <c r="Q1143" s="10" t="str">
        <f>VLOOKUP(A1143,Status!A:B,2,0)</f>
        <v>Completed</v>
      </c>
      <c r="R1143" s="2" t="s">
        <v>46</v>
      </c>
      <c r="S1143" s="2">
        <v>2</v>
      </c>
      <c r="T1143" s="2" t="s">
        <v>24</v>
      </c>
      <c r="U1143" s="10" t="str">
        <f t="shared" si="107"/>
        <v>Jul</v>
      </c>
      <c r="V1143" s="10">
        <f t="shared" si="106"/>
        <v>2025</v>
      </c>
      <c r="W1143" t="e" cm="1">
        <f t="array" ref="W1143">_xlfn.IFS(U1143="January",1,U1143="February",2,U1143="March",3,U1143="April",4,U1143="May",5,U1143="June",6,U1143="July",7,U1143="August",8,U1143="September",9,U1143="October",10,U1143="November",11,U1143="December",12)</f>
        <v>#N/A</v>
      </c>
    </row>
    <row r="1144" spans="1:23" ht="15.75" customHeight="1" x14ac:dyDescent="0.25">
      <c r="A1144" s="2" t="s">
        <v>2081</v>
      </c>
      <c r="B1144" s="3">
        <v>45863.151562500003</v>
      </c>
      <c r="C1144" s="2" t="s">
        <v>396</v>
      </c>
      <c r="D1144" s="2" t="s">
        <v>66</v>
      </c>
      <c r="E1144" s="2" t="s">
        <v>104</v>
      </c>
      <c r="F1144" s="2" t="str" cm="1">
        <f t="array" ref="F1144:G1144">_xlfn.TEXTSPLIT(E1144," - ")</f>
        <v>Bawang Merah</v>
      </c>
      <c r="G1144" s="2" t="str">
        <v>Brand A</v>
      </c>
      <c r="H1144" s="5">
        <v>30000</v>
      </c>
      <c r="I1144" s="2">
        <v>2</v>
      </c>
      <c r="J1144" s="2">
        <v>10</v>
      </c>
      <c r="K1144" s="8">
        <f t="shared" si="102"/>
        <v>60000</v>
      </c>
      <c r="L1144" s="8">
        <f t="shared" si="103"/>
        <v>6000</v>
      </c>
      <c r="M1144" s="8">
        <f t="shared" si="104"/>
        <v>54000</v>
      </c>
      <c r="N1144" s="5">
        <v>59000</v>
      </c>
      <c r="O1144" s="8">
        <f t="shared" si="105"/>
        <v>113000</v>
      </c>
      <c r="P1144" s="2" t="s">
        <v>63</v>
      </c>
      <c r="Q1144" s="10" t="str">
        <f>VLOOKUP(A1144,Status!A:B,2,0)</f>
        <v>Completed</v>
      </c>
      <c r="R1144" s="2" t="s">
        <v>46</v>
      </c>
      <c r="S1144" s="2">
        <v>3</v>
      </c>
      <c r="T1144" s="2" t="s">
        <v>37</v>
      </c>
      <c r="U1144" s="10" t="str">
        <f t="shared" si="107"/>
        <v>Jul</v>
      </c>
      <c r="V1144" s="10">
        <f t="shared" si="106"/>
        <v>2025</v>
      </c>
      <c r="W1144" t="e" cm="1">
        <f t="array" ref="W1144">_xlfn.IFS(U1144="January",1,U1144="February",2,U1144="March",3,U1144="April",4,U1144="May",5,U1144="June",6,U1144="July",7,U1144="August",8,U1144="September",9,U1144="October",10,U1144="November",11,U1144="December",12)</f>
        <v>#N/A</v>
      </c>
    </row>
    <row r="1145" spans="1:23" ht="15.75" customHeight="1" x14ac:dyDescent="0.25">
      <c r="A1145" s="2" t="s">
        <v>2082</v>
      </c>
      <c r="B1145" s="3">
        <v>45863.50476851852</v>
      </c>
      <c r="C1145" s="2" t="s">
        <v>827</v>
      </c>
      <c r="D1145" s="2" t="s">
        <v>20</v>
      </c>
      <c r="E1145" s="2" t="s">
        <v>67</v>
      </c>
      <c r="F1145" s="2" t="str" cm="1">
        <f t="array" ref="F1145:G1145">_xlfn.TEXTSPLIT(E1145," - ")</f>
        <v>Beras</v>
      </c>
      <c r="G1145" s="2" t="str">
        <v>Brand B</v>
      </c>
      <c r="H1145" s="5">
        <v>15000</v>
      </c>
      <c r="I1145" s="2">
        <v>4</v>
      </c>
      <c r="J1145" s="2">
        <v>15</v>
      </c>
      <c r="K1145" s="8">
        <f t="shared" si="102"/>
        <v>60000</v>
      </c>
      <c r="L1145" s="8">
        <f t="shared" si="103"/>
        <v>9000</v>
      </c>
      <c r="M1145" s="8">
        <f t="shared" si="104"/>
        <v>51000</v>
      </c>
      <c r="N1145" s="5">
        <v>15000</v>
      </c>
      <c r="O1145" s="8">
        <f t="shared" si="105"/>
        <v>66000</v>
      </c>
      <c r="P1145" s="2" t="s">
        <v>63</v>
      </c>
      <c r="Q1145" s="10" t="str">
        <f>VLOOKUP(A1145,Status!A:B,2,0)</f>
        <v>Completed</v>
      </c>
      <c r="R1145" s="2" t="s">
        <v>46</v>
      </c>
      <c r="S1145" s="2">
        <v>3</v>
      </c>
      <c r="T1145" s="2" t="s">
        <v>24</v>
      </c>
      <c r="U1145" s="10" t="str">
        <f t="shared" si="107"/>
        <v>Jul</v>
      </c>
      <c r="V1145" s="10">
        <f t="shared" si="106"/>
        <v>2025</v>
      </c>
      <c r="W1145" t="e" cm="1">
        <f t="array" ref="W1145">_xlfn.IFS(U1145="January",1,U1145="February",2,U1145="March",3,U1145="April",4,U1145="May",5,U1145="June",6,U1145="July",7,U1145="August",8,U1145="September",9,U1145="October",10,U1145="November",11,U1145="December",12)</f>
        <v>#N/A</v>
      </c>
    </row>
    <row r="1146" spans="1:23" ht="15.75" customHeight="1" x14ac:dyDescent="0.25">
      <c r="A1146" s="2" t="s">
        <v>2083</v>
      </c>
      <c r="B1146" s="3">
        <v>45863.770949074067</v>
      </c>
      <c r="C1146" s="2" t="s">
        <v>269</v>
      </c>
      <c r="D1146" s="2" t="s">
        <v>173</v>
      </c>
      <c r="E1146" s="2" t="s">
        <v>174</v>
      </c>
      <c r="F1146" s="2" t="str" cm="1">
        <f t="array" ref="F1146:G1146">_xlfn.TEXTSPLIT(E1146," - ")</f>
        <v>Tepung Terigu</v>
      </c>
      <c r="G1146" s="2" t="str">
        <v>Brand A</v>
      </c>
      <c r="H1146" s="5">
        <v>10000</v>
      </c>
      <c r="I1146" s="2">
        <v>5</v>
      </c>
      <c r="J1146" s="2">
        <v>20</v>
      </c>
      <c r="K1146" s="8">
        <f t="shared" si="102"/>
        <v>50000</v>
      </c>
      <c r="L1146" s="8">
        <f t="shared" si="103"/>
        <v>10000</v>
      </c>
      <c r="M1146" s="8">
        <f t="shared" si="104"/>
        <v>40000</v>
      </c>
      <c r="N1146" s="5">
        <v>49000</v>
      </c>
      <c r="O1146" s="8">
        <f t="shared" si="105"/>
        <v>89000</v>
      </c>
      <c r="P1146" s="2" t="s">
        <v>29</v>
      </c>
      <c r="Q1146" s="10" t="str">
        <f>VLOOKUP(A1146,Status!A:B,2,0)</f>
        <v>Completed</v>
      </c>
      <c r="R1146" s="2" t="s">
        <v>36</v>
      </c>
      <c r="S1146" s="2">
        <v>1</v>
      </c>
      <c r="T1146" s="2" t="s">
        <v>37</v>
      </c>
      <c r="U1146" s="10" t="str">
        <f t="shared" si="107"/>
        <v>Jul</v>
      </c>
      <c r="V1146" s="10">
        <f t="shared" si="106"/>
        <v>2025</v>
      </c>
      <c r="W1146" t="e" cm="1">
        <f t="array" ref="W1146">_xlfn.IFS(U1146="January",1,U1146="February",2,U1146="March",3,U1146="April",4,U1146="May",5,U1146="June",6,U1146="July",7,U1146="August",8,U1146="September",9,U1146="October",10,U1146="November",11,U1146="December",12)</f>
        <v>#N/A</v>
      </c>
    </row>
    <row r="1147" spans="1:23" ht="15.75" customHeight="1" x14ac:dyDescent="0.25">
      <c r="A1147" s="2" t="s">
        <v>2084</v>
      </c>
      <c r="B1147" s="3">
        <v>45863.798275462963</v>
      </c>
      <c r="C1147" s="2" t="s">
        <v>1122</v>
      </c>
      <c r="D1147" s="2" t="s">
        <v>33</v>
      </c>
      <c r="E1147" s="2" t="s">
        <v>21</v>
      </c>
      <c r="F1147" s="2" t="str" cm="1">
        <f t="array" ref="F1147:G1147">_xlfn.TEXTSPLIT(E1147," - ")</f>
        <v>Daging Ayam</v>
      </c>
      <c r="G1147" s="2" t="str">
        <v>Brand C</v>
      </c>
      <c r="H1147" s="5">
        <v>45000</v>
      </c>
      <c r="I1147" s="2">
        <v>2</v>
      </c>
      <c r="J1147" s="2">
        <v>0</v>
      </c>
      <c r="K1147" s="8">
        <f t="shared" si="102"/>
        <v>90000</v>
      </c>
      <c r="L1147" s="8">
        <f t="shared" si="103"/>
        <v>0</v>
      </c>
      <c r="M1147" s="8">
        <f t="shared" si="104"/>
        <v>90000</v>
      </c>
      <c r="N1147" s="5">
        <v>76000</v>
      </c>
      <c r="O1147" s="8">
        <f t="shared" si="105"/>
        <v>166000</v>
      </c>
      <c r="P1147" s="2" t="s">
        <v>22</v>
      </c>
      <c r="Q1147" s="10" t="str">
        <f>VLOOKUP(A1147,Status!A:B,2,0)</f>
        <v>Completed</v>
      </c>
      <c r="R1147" s="2" t="s">
        <v>36</v>
      </c>
      <c r="S1147" s="2">
        <v>4</v>
      </c>
      <c r="T1147" s="2" t="s">
        <v>24</v>
      </c>
      <c r="U1147" s="10" t="str">
        <f t="shared" si="107"/>
        <v>Jul</v>
      </c>
      <c r="V1147" s="10">
        <f t="shared" si="106"/>
        <v>2025</v>
      </c>
      <c r="W1147" t="e" cm="1">
        <f t="array" ref="W1147">_xlfn.IFS(U1147="January",1,U1147="February",2,U1147="March",3,U1147="April",4,U1147="May",5,U1147="June",6,U1147="July",7,U1147="August",8,U1147="September",9,U1147="October",10,U1147="November",11,U1147="December",12)</f>
        <v>#N/A</v>
      </c>
    </row>
    <row r="1148" spans="1:23" ht="15.75" customHeight="1" x14ac:dyDescent="0.25">
      <c r="A1148" s="2" t="s">
        <v>2085</v>
      </c>
      <c r="B1148" s="3">
        <v>45864.592835648153</v>
      </c>
      <c r="C1148" s="2" t="s">
        <v>515</v>
      </c>
      <c r="D1148" s="2" t="s">
        <v>182</v>
      </c>
      <c r="E1148" s="2" t="s">
        <v>144</v>
      </c>
      <c r="F1148" s="2" t="str" cm="1">
        <f t="array" ref="F1148:G1148">_xlfn.TEXTSPLIT(E1148," - ")</f>
        <v>Gula Pasir</v>
      </c>
      <c r="G1148" s="2" t="str">
        <v>Brand C</v>
      </c>
      <c r="H1148" s="5">
        <v>18000</v>
      </c>
      <c r="I1148" s="2">
        <v>2</v>
      </c>
      <c r="J1148" s="2">
        <v>15</v>
      </c>
      <c r="K1148" s="8">
        <f t="shared" si="102"/>
        <v>36000</v>
      </c>
      <c r="L1148" s="8">
        <f t="shared" si="103"/>
        <v>5400</v>
      </c>
      <c r="M1148" s="8">
        <f t="shared" si="104"/>
        <v>30600</v>
      </c>
      <c r="N1148" s="5">
        <v>48000</v>
      </c>
      <c r="O1148" s="8">
        <f t="shared" si="105"/>
        <v>78600</v>
      </c>
      <c r="P1148" s="2" t="s">
        <v>35</v>
      </c>
      <c r="Q1148" s="10" t="str">
        <f>VLOOKUP(A1148,Status!A:B,2,0)</f>
        <v>Completed</v>
      </c>
      <c r="R1148" s="2" t="s">
        <v>36</v>
      </c>
      <c r="S1148" s="2">
        <v>5</v>
      </c>
      <c r="T1148" s="2" t="s">
        <v>24</v>
      </c>
      <c r="U1148" s="10" t="str">
        <f t="shared" si="107"/>
        <v>Jul</v>
      </c>
      <c r="V1148" s="10">
        <f t="shared" si="106"/>
        <v>2025</v>
      </c>
      <c r="W1148" t="e" cm="1">
        <f t="array" ref="W1148">_xlfn.IFS(U1148="January",1,U1148="February",2,U1148="March",3,U1148="April",4,U1148="May",5,U1148="June",6,U1148="July",7,U1148="August",8,U1148="September",9,U1148="October",10,U1148="November",11,U1148="December",12)</f>
        <v>#N/A</v>
      </c>
    </row>
    <row r="1149" spans="1:23" ht="15.75" customHeight="1" x14ac:dyDescent="0.25">
      <c r="A1149" s="2" t="s">
        <v>2086</v>
      </c>
      <c r="B1149" s="3">
        <v>45864.711539351847</v>
      </c>
      <c r="C1149" s="2" t="s">
        <v>451</v>
      </c>
      <c r="D1149" s="2" t="s">
        <v>116</v>
      </c>
      <c r="E1149" s="2" t="s">
        <v>190</v>
      </c>
      <c r="F1149" s="2" t="str" cm="1">
        <f t="array" ref="F1149:G1149">_xlfn.TEXTSPLIT(E1149," - ")</f>
        <v>Bawang Merah</v>
      </c>
      <c r="G1149" s="2" t="str">
        <v>Brand B</v>
      </c>
      <c r="H1149" s="5">
        <v>35000</v>
      </c>
      <c r="I1149" s="2">
        <v>4</v>
      </c>
      <c r="J1149" s="2">
        <v>10</v>
      </c>
      <c r="K1149" s="8">
        <f t="shared" si="102"/>
        <v>140000</v>
      </c>
      <c r="L1149" s="8">
        <f t="shared" si="103"/>
        <v>14000</v>
      </c>
      <c r="M1149" s="8">
        <f t="shared" si="104"/>
        <v>126000</v>
      </c>
      <c r="N1149" s="5">
        <v>72000</v>
      </c>
      <c r="O1149" s="8">
        <f t="shared" si="105"/>
        <v>198000</v>
      </c>
      <c r="P1149" s="2" t="s">
        <v>22</v>
      </c>
      <c r="Q1149" s="10" t="str">
        <f>VLOOKUP(A1149,Status!A:B,2,0)</f>
        <v>Completed</v>
      </c>
      <c r="R1149" s="2" t="s">
        <v>82</v>
      </c>
      <c r="S1149" s="2">
        <v>3</v>
      </c>
      <c r="T1149" s="2" t="s">
        <v>24</v>
      </c>
      <c r="U1149" s="10" t="str">
        <f t="shared" si="107"/>
        <v>Jul</v>
      </c>
      <c r="V1149" s="10">
        <f t="shared" si="106"/>
        <v>2025</v>
      </c>
      <c r="W1149" t="e" cm="1">
        <f t="array" ref="W1149">_xlfn.IFS(U1149="January",1,U1149="February",2,U1149="March",3,U1149="April",4,U1149="May",5,U1149="June",6,U1149="July",7,U1149="August",8,U1149="September",9,U1149="October",10,U1149="November",11,U1149="December",12)</f>
        <v>#N/A</v>
      </c>
    </row>
    <row r="1150" spans="1:23" ht="15.75" customHeight="1" x14ac:dyDescent="0.25">
      <c r="A1150" s="2" t="s">
        <v>2087</v>
      </c>
      <c r="B1150" s="3">
        <v>45865.085636574076</v>
      </c>
      <c r="C1150" s="2" t="s">
        <v>794</v>
      </c>
      <c r="D1150" s="2" t="s">
        <v>61</v>
      </c>
      <c r="E1150" s="2" t="s">
        <v>93</v>
      </c>
      <c r="F1150" s="2" t="str" cm="1">
        <f t="array" ref="F1150:G1150">_xlfn.TEXTSPLIT(E1150," - ")</f>
        <v>Telur Ayam</v>
      </c>
      <c r="G1150" s="2" t="str">
        <v>Brand B</v>
      </c>
      <c r="H1150" s="5">
        <v>25000</v>
      </c>
      <c r="I1150" s="2">
        <v>5</v>
      </c>
      <c r="J1150" s="2">
        <v>5</v>
      </c>
      <c r="K1150" s="8">
        <f t="shared" si="102"/>
        <v>125000</v>
      </c>
      <c r="L1150" s="8">
        <f t="shared" si="103"/>
        <v>6250</v>
      </c>
      <c r="M1150" s="8">
        <f t="shared" si="104"/>
        <v>118750</v>
      </c>
      <c r="N1150" s="5">
        <v>26000</v>
      </c>
      <c r="O1150" s="8">
        <f t="shared" si="105"/>
        <v>144750</v>
      </c>
      <c r="P1150" s="2" t="s">
        <v>63</v>
      </c>
      <c r="Q1150" s="10" t="str">
        <f>VLOOKUP(A1150,Status!A:B,2,0)</f>
        <v>Completed</v>
      </c>
      <c r="R1150" s="2" t="s">
        <v>23</v>
      </c>
      <c r="S1150" s="2">
        <v>2</v>
      </c>
      <c r="T1150" s="2" t="s">
        <v>37</v>
      </c>
      <c r="U1150" s="10" t="str">
        <f t="shared" si="107"/>
        <v>Jul</v>
      </c>
      <c r="V1150" s="10">
        <f t="shared" si="106"/>
        <v>2025</v>
      </c>
      <c r="W1150" t="e" cm="1">
        <f t="array" ref="W1150">_xlfn.IFS(U1150="January",1,U1150="February",2,U1150="March",3,U1150="April",4,U1150="May",5,U1150="June",6,U1150="July",7,U1150="August",8,U1150="September",9,U1150="October",10,U1150="November",11,U1150="December",12)</f>
        <v>#N/A</v>
      </c>
    </row>
    <row r="1151" spans="1:23" ht="15.75" customHeight="1" x14ac:dyDescent="0.25">
      <c r="A1151" s="2" t="s">
        <v>2088</v>
      </c>
      <c r="B1151" s="3">
        <v>45865.160798611112</v>
      </c>
      <c r="C1151" s="2" t="s">
        <v>142</v>
      </c>
      <c r="D1151" s="2" t="s">
        <v>143</v>
      </c>
      <c r="E1151" s="2" t="s">
        <v>110</v>
      </c>
      <c r="F1151" s="2" t="str" cm="1">
        <f t="array" ref="F1151:G1151">_xlfn.TEXTSPLIT(E1151," - ")</f>
        <v>Garam</v>
      </c>
      <c r="G1151" s="2" t="str">
        <v>Brand C</v>
      </c>
      <c r="H1151" s="5">
        <v>6000</v>
      </c>
      <c r="I1151" s="2">
        <v>5</v>
      </c>
      <c r="J1151" s="2">
        <v>15</v>
      </c>
      <c r="K1151" s="8">
        <f t="shared" si="102"/>
        <v>30000</v>
      </c>
      <c r="L1151" s="8">
        <f t="shared" si="103"/>
        <v>4500</v>
      </c>
      <c r="M1151" s="8">
        <f t="shared" si="104"/>
        <v>25500</v>
      </c>
      <c r="N1151" s="5">
        <v>50000</v>
      </c>
      <c r="O1151" s="8">
        <f t="shared" si="105"/>
        <v>75500</v>
      </c>
      <c r="P1151" s="2" t="s">
        <v>22</v>
      </c>
      <c r="Q1151" s="10" t="str">
        <f>VLOOKUP(A1151,Status!A:B,2,0)</f>
        <v>Completed</v>
      </c>
      <c r="R1151" s="2" t="s">
        <v>46</v>
      </c>
      <c r="S1151" s="2">
        <v>2</v>
      </c>
      <c r="T1151" s="2" t="s">
        <v>24</v>
      </c>
      <c r="U1151" s="10" t="str">
        <f t="shared" si="107"/>
        <v>Jul</v>
      </c>
      <c r="V1151" s="10">
        <f t="shared" si="106"/>
        <v>2025</v>
      </c>
      <c r="W1151" t="e" cm="1">
        <f t="array" ref="W1151">_xlfn.IFS(U1151="January",1,U1151="February",2,U1151="March",3,U1151="April",4,U1151="May",5,U1151="June",6,U1151="July",7,U1151="August",8,U1151="September",9,U1151="October",10,U1151="November",11,U1151="December",12)</f>
        <v>#N/A</v>
      </c>
    </row>
    <row r="1152" spans="1:23" ht="15.75" customHeight="1" x14ac:dyDescent="0.25">
      <c r="A1152" s="2" t="s">
        <v>2089</v>
      </c>
      <c r="B1152" s="3">
        <v>45865.341331018521</v>
      </c>
      <c r="C1152" s="2" t="s">
        <v>751</v>
      </c>
      <c r="D1152" s="2" t="s">
        <v>80</v>
      </c>
      <c r="E1152" s="2" t="s">
        <v>85</v>
      </c>
      <c r="F1152" s="2" t="str" cm="1">
        <f t="array" ref="F1152:G1152">_xlfn.TEXTSPLIT(E1152," - ")</f>
        <v>Daging Ayam</v>
      </c>
      <c r="G1152" s="2" t="str">
        <v>Brand A</v>
      </c>
      <c r="H1152" s="5">
        <v>35000</v>
      </c>
      <c r="I1152" s="2">
        <v>1</v>
      </c>
      <c r="J1152" s="2">
        <v>15</v>
      </c>
      <c r="K1152" s="8">
        <f t="shared" si="102"/>
        <v>35000</v>
      </c>
      <c r="L1152" s="8">
        <f t="shared" si="103"/>
        <v>5250</v>
      </c>
      <c r="M1152" s="8">
        <f t="shared" si="104"/>
        <v>29750</v>
      </c>
      <c r="N1152" s="5">
        <v>74000</v>
      </c>
      <c r="O1152" s="8">
        <f t="shared" si="105"/>
        <v>103750</v>
      </c>
      <c r="P1152" s="2" t="s">
        <v>63</v>
      </c>
      <c r="Q1152" s="10" t="str">
        <f>VLOOKUP(A1152,Status!A:B,2,0)</f>
        <v>Completed</v>
      </c>
      <c r="R1152" s="2" t="s">
        <v>82</v>
      </c>
      <c r="S1152" s="2">
        <v>1</v>
      </c>
      <c r="T1152" s="2" t="s">
        <v>24</v>
      </c>
      <c r="U1152" s="10" t="str">
        <f t="shared" si="107"/>
        <v>Jul</v>
      </c>
      <c r="V1152" s="10">
        <f t="shared" si="106"/>
        <v>2025</v>
      </c>
      <c r="W1152" t="e" cm="1">
        <f t="array" ref="W1152">_xlfn.IFS(U1152="January",1,U1152="February",2,U1152="March",3,U1152="April",4,U1152="May",5,U1152="June",6,U1152="July",7,U1152="August",8,U1152="September",9,U1152="October",10,U1152="November",11,U1152="December",12)</f>
        <v>#N/A</v>
      </c>
    </row>
    <row r="1153" spans="1:23" ht="15.75" customHeight="1" x14ac:dyDescent="0.25">
      <c r="A1153" s="2" t="s">
        <v>2089</v>
      </c>
      <c r="B1153" s="3">
        <v>45865.341331018521</v>
      </c>
      <c r="C1153" s="2" t="s">
        <v>751</v>
      </c>
      <c r="D1153" s="2" t="s">
        <v>80</v>
      </c>
      <c r="E1153" s="2" t="s">
        <v>104</v>
      </c>
      <c r="F1153" s="2" t="str" cm="1">
        <f t="array" ref="F1153:G1153">_xlfn.TEXTSPLIT(E1153," - ")</f>
        <v>Bawang Merah</v>
      </c>
      <c r="G1153" s="2" t="str">
        <v>Brand A</v>
      </c>
      <c r="H1153" s="5">
        <v>30000</v>
      </c>
      <c r="I1153" s="2">
        <v>4</v>
      </c>
      <c r="J1153" s="2">
        <v>0</v>
      </c>
      <c r="K1153" s="8">
        <f t="shared" si="102"/>
        <v>120000</v>
      </c>
      <c r="L1153" s="8">
        <f t="shared" si="103"/>
        <v>0</v>
      </c>
      <c r="M1153" s="8">
        <f t="shared" si="104"/>
        <v>120000</v>
      </c>
      <c r="N1153" s="5">
        <v>0</v>
      </c>
      <c r="O1153" s="8">
        <f t="shared" si="105"/>
        <v>120000</v>
      </c>
      <c r="P1153" s="2" t="s">
        <v>63</v>
      </c>
      <c r="Q1153" s="10" t="str">
        <f>VLOOKUP(A1153,Status!A:B,2,0)</f>
        <v>Completed</v>
      </c>
      <c r="R1153" s="2" t="s">
        <v>82</v>
      </c>
      <c r="S1153" s="2">
        <v>1</v>
      </c>
      <c r="T1153" s="2" t="s">
        <v>24</v>
      </c>
      <c r="U1153" s="10" t="str">
        <f t="shared" si="107"/>
        <v>Jul</v>
      </c>
      <c r="V1153" s="10">
        <f t="shared" si="106"/>
        <v>2025</v>
      </c>
      <c r="W1153" t="e" cm="1">
        <f t="array" ref="W1153">_xlfn.IFS(U1153="January",1,U1153="February",2,U1153="March",3,U1153="April",4,U1153="May",5,U1153="June",6,U1153="July",7,U1153="August",8,U1153="September",9,U1153="October",10,U1153="November",11,U1153="December",12)</f>
        <v>#N/A</v>
      </c>
    </row>
    <row r="1154" spans="1:23" ht="15.75" customHeight="1" x14ac:dyDescent="0.25">
      <c r="A1154" s="2" t="s">
        <v>2090</v>
      </c>
      <c r="B1154" s="3">
        <v>45865.577187499999</v>
      </c>
      <c r="C1154" s="2" t="s">
        <v>2072</v>
      </c>
      <c r="D1154" s="2" t="s">
        <v>92</v>
      </c>
      <c r="E1154" s="2" t="s">
        <v>186</v>
      </c>
      <c r="F1154" s="2" t="str" cm="1">
        <f t="array" ref="F1154:G1154">_xlfn.TEXTSPLIT(E1154," - ")</f>
        <v>Susu Bubuk</v>
      </c>
      <c r="G1154" s="2" t="str">
        <v>Brand A</v>
      </c>
      <c r="H1154" s="5">
        <v>45000</v>
      </c>
      <c r="I1154" s="2">
        <v>5</v>
      </c>
      <c r="J1154" s="2">
        <v>5</v>
      </c>
      <c r="K1154" s="8">
        <f t="shared" ref="K1154:K1217" si="108">H1154*I1154</f>
        <v>225000</v>
      </c>
      <c r="L1154" s="8">
        <f t="shared" ref="L1154:L1217" si="109">K1154*J1154%</f>
        <v>11250</v>
      </c>
      <c r="M1154" s="8">
        <f t="shared" ref="M1154:M1217" si="110">K1154-L1154</f>
        <v>213750</v>
      </c>
      <c r="N1154" s="5">
        <v>30000</v>
      </c>
      <c r="O1154" s="8">
        <f t="shared" ref="O1154:O1217" si="111">M1154+N1154</f>
        <v>243750</v>
      </c>
      <c r="P1154" s="2" t="s">
        <v>35</v>
      </c>
      <c r="Q1154" s="10" t="str">
        <f>VLOOKUP(A1154,Status!A:B,2,0)</f>
        <v>Completed</v>
      </c>
      <c r="R1154" s="2" t="s">
        <v>30</v>
      </c>
      <c r="S1154" s="2">
        <v>4</v>
      </c>
      <c r="T1154" s="2" t="s">
        <v>37</v>
      </c>
      <c r="U1154" s="10" t="str">
        <f t="shared" si="107"/>
        <v>Jul</v>
      </c>
      <c r="V1154" s="10">
        <f t="shared" ref="V1154:V1217" si="112">YEAR(B1154)</f>
        <v>2025</v>
      </c>
      <c r="W1154" t="e" cm="1">
        <f t="array" ref="W1154">_xlfn.IFS(U1154="January",1,U1154="February",2,U1154="March",3,U1154="April",4,U1154="May",5,U1154="June",6,U1154="July",7,U1154="August",8,U1154="September",9,U1154="October",10,U1154="November",11,U1154="December",12)</f>
        <v>#N/A</v>
      </c>
    </row>
    <row r="1155" spans="1:23" ht="15.75" customHeight="1" x14ac:dyDescent="0.25">
      <c r="A1155" s="2" t="s">
        <v>2091</v>
      </c>
      <c r="B1155" s="3">
        <v>45866.054826388892</v>
      </c>
      <c r="C1155" s="2" t="s">
        <v>812</v>
      </c>
      <c r="D1155" s="2" t="s">
        <v>33</v>
      </c>
      <c r="E1155" s="2" t="s">
        <v>186</v>
      </c>
      <c r="F1155" s="2" t="str" cm="1">
        <f t="array" ref="F1155:G1155">_xlfn.TEXTSPLIT(E1155," - ")</f>
        <v>Susu Bubuk</v>
      </c>
      <c r="G1155" s="2" t="str">
        <v>Brand A</v>
      </c>
      <c r="H1155" s="5">
        <v>45000</v>
      </c>
      <c r="I1155" s="2">
        <v>1</v>
      </c>
      <c r="J1155" s="2">
        <v>10</v>
      </c>
      <c r="K1155" s="8">
        <f t="shared" si="108"/>
        <v>45000</v>
      </c>
      <c r="L1155" s="8">
        <f t="shared" si="109"/>
        <v>4500</v>
      </c>
      <c r="M1155" s="8">
        <f t="shared" si="110"/>
        <v>40500</v>
      </c>
      <c r="N1155" s="5">
        <v>76000</v>
      </c>
      <c r="O1155" s="8">
        <f t="shared" si="111"/>
        <v>116500</v>
      </c>
      <c r="P1155" s="2" t="s">
        <v>35</v>
      </c>
      <c r="Q1155" s="10" t="str">
        <f>VLOOKUP(A1155,Status!A:B,2,0)</f>
        <v>Returned</v>
      </c>
      <c r="R1155" s="2" t="s">
        <v>30</v>
      </c>
      <c r="S1155" s="2">
        <v>1</v>
      </c>
      <c r="T1155" s="2" t="s">
        <v>24</v>
      </c>
      <c r="U1155" s="10" t="str">
        <f t="shared" ref="U1155:U1218" si="113">TEXT(B1155,"MMM")</f>
        <v>Jul</v>
      </c>
      <c r="V1155" s="10">
        <f t="shared" si="112"/>
        <v>2025</v>
      </c>
      <c r="W1155" t="e" cm="1">
        <f t="array" ref="W1155">_xlfn.IFS(U1155="January",1,U1155="February",2,U1155="March",3,U1155="April",4,U1155="May",5,U1155="June",6,U1155="July",7,U1155="August",8,U1155="September",9,U1155="October",10,U1155="November",11,U1155="December",12)</f>
        <v>#N/A</v>
      </c>
    </row>
    <row r="1156" spans="1:23" ht="15.75" customHeight="1" x14ac:dyDescent="0.25">
      <c r="A1156" s="2" t="s">
        <v>2092</v>
      </c>
      <c r="B1156" s="3">
        <v>45866.175891203697</v>
      </c>
      <c r="C1156" s="2" t="s">
        <v>1424</v>
      </c>
      <c r="D1156" s="2" t="s">
        <v>296</v>
      </c>
      <c r="E1156" s="2" t="s">
        <v>41</v>
      </c>
      <c r="F1156" s="2" t="str" cm="1">
        <f t="array" ref="F1156:G1156">_xlfn.TEXTSPLIT(E1156," - ")</f>
        <v>Garam</v>
      </c>
      <c r="G1156" s="2" t="str">
        <v>Brand A</v>
      </c>
      <c r="H1156" s="5">
        <v>4000</v>
      </c>
      <c r="I1156" s="2">
        <v>2</v>
      </c>
      <c r="J1156" s="2">
        <v>20</v>
      </c>
      <c r="K1156" s="8">
        <f t="shared" si="108"/>
        <v>8000</v>
      </c>
      <c r="L1156" s="8">
        <f t="shared" si="109"/>
        <v>1600</v>
      </c>
      <c r="M1156" s="8">
        <f t="shared" si="110"/>
        <v>6400</v>
      </c>
      <c r="N1156" s="5">
        <v>79000</v>
      </c>
      <c r="O1156" s="8">
        <f t="shared" si="111"/>
        <v>85400</v>
      </c>
      <c r="P1156" s="2" t="s">
        <v>35</v>
      </c>
      <c r="Q1156" s="10" t="str">
        <f>VLOOKUP(A1156,Status!A:B,2,0)</f>
        <v>Completed</v>
      </c>
      <c r="R1156" s="2" t="s">
        <v>82</v>
      </c>
      <c r="S1156" s="2">
        <v>2</v>
      </c>
      <c r="T1156" s="2" t="s">
        <v>24</v>
      </c>
      <c r="U1156" s="10" t="str">
        <f t="shared" si="113"/>
        <v>Jul</v>
      </c>
      <c r="V1156" s="10">
        <f t="shared" si="112"/>
        <v>2025</v>
      </c>
      <c r="W1156" t="e" cm="1">
        <f t="array" ref="W1156">_xlfn.IFS(U1156="January",1,U1156="February",2,U1156="March",3,U1156="April",4,U1156="May",5,U1156="June",6,U1156="July",7,U1156="August",8,U1156="September",9,U1156="October",10,U1156="November",11,U1156="December",12)</f>
        <v>#N/A</v>
      </c>
    </row>
    <row r="1157" spans="1:23" ht="15.75" customHeight="1" x14ac:dyDescent="0.25">
      <c r="A1157" s="2" t="s">
        <v>2093</v>
      </c>
      <c r="B1157" s="3">
        <v>45866.266261574077</v>
      </c>
      <c r="C1157" s="2" t="s">
        <v>211</v>
      </c>
      <c r="D1157" s="2" t="s">
        <v>49</v>
      </c>
      <c r="E1157" s="2" t="s">
        <v>93</v>
      </c>
      <c r="F1157" s="2" t="str" cm="1">
        <f t="array" ref="F1157:G1157">_xlfn.TEXTSPLIT(E1157," - ")</f>
        <v>Telur Ayam</v>
      </c>
      <c r="G1157" s="2" t="str">
        <v>Brand B</v>
      </c>
      <c r="H1157" s="5">
        <v>25000</v>
      </c>
      <c r="I1157" s="2">
        <v>4</v>
      </c>
      <c r="J1157" s="2">
        <v>10</v>
      </c>
      <c r="K1157" s="8">
        <f t="shared" si="108"/>
        <v>100000</v>
      </c>
      <c r="L1157" s="8">
        <f t="shared" si="109"/>
        <v>10000</v>
      </c>
      <c r="M1157" s="8">
        <f t="shared" si="110"/>
        <v>90000</v>
      </c>
      <c r="N1157" s="5">
        <v>43000</v>
      </c>
      <c r="O1157" s="8">
        <f t="shared" si="111"/>
        <v>133000</v>
      </c>
      <c r="P1157" s="2" t="s">
        <v>29</v>
      </c>
      <c r="Q1157" s="10" t="str">
        <f>VLOOKUP(A1157,Status!A:B,2,0)</f>
        <v>Cancelled</v>
      </c>
      <c r="R1157" s="2" t="s">
        <v>23</v>
      </c>
      <c r="S1157" s="2">
        <v>4</v>
      </c>
      <c r="T1157" s="2" t="s">
        <v>24</v>
      </c>
      <c r="U1157" s="10" t="str">
        <f t="shared" si="113"/>
        <v>Jul</v>
      </c>
      <c r="V1157" s="10">
        <f t="shared" si="112"/>
        <v>2025</v>
      </c>
      <c r="W1157" t="e" cm="1">
        <f t="array" ref="W1157">_xlfn.IFS(U1157="January",1,U1157="February",2,U1157="March",3,U1157="April",4,U1157="May",5,U1157="June",6,U1157="July",7,U1157="August",8,U1157="September",9,U1157="October",10,U1157="November",11,U1157="December",12)</f>
        <v>#N/A</v>
      </c>
    </row>
    <row r="1158" spans="1:23" ht="15.75" customHeight="1" x14ac:dyDescent="0.25">
      <c r="A1158" s="2" t="s">
        <v>2094</v>
      </c>
      <c r="B1158" s="3">
        <v>45866.288958333331</v>
      </c>
      <c r="C1158" s="2" t="s">
        <v>990</v>
      </c>
      <c r="D1158" s="2" t="s">
        <v>173</v>
      </c>
      <c r="E1158" s="2" t="s">
        <v>174</v>
      </c>
      <c r="F1158" s="2" t="str" cm="1">
        <f t="array" ref="F1158:G1158">_xlfn.TEXTSPLIT(E1158," - ")</f>
        <v>Tepung Terigu</v>
      </c>
      <c r="G1158" s="2" t="str">
        <v>Brand A</v>
      </c>
      <c r="H1158" s="5">
        <v>10000</v>
      </c>
      <c r="I1158" s="2">
        <v>2</v>
      </c>
      <c r="J1158" s="2">
        <v>10</v>
      </c>
      <c r="K1158" s="8">
        <f t="shared" si="108"/>
        <v>20000</v>
      </c>
      <c r="L1158" s="8">
        <f t="shared" si="109"/>
        <v>2000</v>
      </c>
      <c r="M1158" s="8">
        <f t="shared" si="110"/>
        <v>18000</v>
      </c>
      <c r="N1158" s="5">
        <v>49000</v>
      </c>
      <c r="O1158" s="8">
        <f t="shared" si="111"/>
        <v>67000</v>
      </c>
      <c r="P1158" s="2" t="s">
        <v>63</v>
      </c>
      <c r="Q1158" s="10" t="str">
        <f>VLOOKUP(A1158,Status!A:B,2,0)</f>
        <v>Completed</v>
      </c>
      <c r="R1158" s="2" t="s">
        <v>82</v>
      </c>
      <c r="S1158" s="2">
        <v>2</v>
      </c>
      <c r="T1158" s="2" t="s">
        <v>24</v>
      </c>
      <c r="U1158" s="10" t="str">
        <f t="shared" si="113"/>
        <v>Jul</v>
      </c>
      <c r="V1158" s="10">
        <f t="shared" si="112"/>
        <v>2025</v>
      </c>
      <c r="W1158" t="e" cm="1">
        <f t="array" ref="W1158">_xlfn.IFS(U1158="January",1,U1158="February",2,U1158="March",3,U1158="April",4,U1158="May",5,U1158="June",6,U1158="July",7,U1158="August",8,U1158="September",9,U1158="October",10,U1158="November",11,U1158="December",12)</f>
        <v>#N/A</v>
      </c>
    </row>
    <row r="1159" spans="1:23" ht="15.75" customHeight="1" x14ac:dyDescent="0.25">
      <c r="A1159" s="2" t="s">
        <v>2095</v>
      </c>
      <c r="B1159" s="3">
        <v>45866.364155092589</v>
      </c>
      <c r="C1159" s="2" t="s">
        <v>326</v>
      </c>
      <c r="D1159" s="2" t="s">
        <v>262</v>
      </c>
      <c r="E1159" s="2" t="s">
        <v>93</v>
      </c>
      <c r="F1159" s="2" t="str" cm="1">
        <f t="array" ref="F1159:G1159">_xlfn.TEXTSPLIT(E1159," - ")</f>
        <v>Telur Ayam</v>
      </c>
      <c r="G1159" s="2" t="str">
        <v>Brand B</v>
      </c>
      <c r="H1159" s="5">
        <v>25000</v>
      </c>
      <c r="I1159" s="2">
        <v>4</v>
      </c>
      <c r="J1159" s="2">
        <v>10</v>
      </c>
      <c r="K1159" s="8">
        <f t="shared" si="108"/>
        <v>100000</v>
      </c>
      <c r="L1159" s="8">
        <f t="shared" si="109"/>
        <v>10000</v>
      </c>
      <c r="M1159" s="8">
        <f t="shared" si="110"/>
        <v>90000</v>
      </c>
      <c r="N1159" s="5">
        <v>18000</v>
      </c>
      <c r="O1159" s="8">
        <f t="shared" si="111"/>
        <v>108000</v>
      </c>
      <c r="P1159" s="2" t="s">
        <v>29</v>
      </c>
      <c r="Q1159" s="10" t="str">
        <f>VLOOKUP(A1159,Status!A:B,2,0)</f>
        <v>Completed</v>
      </c>
      <c r="R1159" s="2" t="s">
        <v>82</v>
      </c>
      <c r="S1159" s="2">
        <v>3</v>
      </c>
      <c r="T1159" s="2" t="s">
        <v>37</v>
      </c>
      <c r="U1159" s="10" t="str">
        <f t="shared" si="113"/>
        <v>Jul</v>
      </c>
      <c r="V1159" s="10">
        <f t="shared" si="112"/>
        <v>2025</v>
      </c>
      <c r="W1159" t="e" cm="1">
        <f t="array" ref="W1159">_xlfn.IFS(U1159="January",1,U1159="February",2,U1159="March",3,U1159="April",4,U1159="May",5,U1159="June",6,U1159="July",7,U1159="August",8,U1159="September",9,U1159="October",10,U1159="November",11,U1159="December",12)</f>
        <v>#N/A</v>
      </c>
    </row>
    <row r="1160" spans="1:23" ht="15.75" customHeight="1" x14ac:dyDescent="0.25">
      <c r="A1160" s="2" t="s">
        <v>2096</v>
      </c>
      <c r="B1160" s="3">
        <v>45866.424317129633</v>
      </c>
      <c r="C1160" s="2" t="s">
        <v>2097</v>
      </c>
      <c r="D1160" s="2" t="s">
        <v>53</v>
      </c>
      <c r="E1160" s="2" t="s">
        <v>81</v>
      </c>
      <c r="F1160" s="2" t="str" cm="1">
        <f t="array" ref="F1160:G1160">_xlfn.TEXTSPLIT(E1160," - ")</f>
        <v>Minyak Goreng</v>
      </c>
      <c r="G1160" s="2" t="str">
        <v>Brand B</v>
      </c>
      <c r="H1160" s="5">
        <v>17000</v>
      </c>
      <c r="I1160" s="2">
        <v>2</v>
      </c>
      <c r="J1160" s="2">
        <v>10</v>
      </c>
      <c r="K1160" s="8">
        <f t="shared" si="108"/>
        <v>34000</v>
      </c>
      <c r="L1160" s="8">
        <f t="shared" si="109"/>
        <v>3400</v>
      </c>
      <c r="M1160" s="8">
        <f t="shared" si="110"/>
        <v>30600</v>
      </c>
      <c r="N1160" s="5">
        <v>18000</v>
      </c>
      <c r="O1160" s="8">
        <f t="shared" si="111"/>
        <v>48600</v>
      </c>
      <c r="P1160" s="2" t="s">
        <v>29</v>
      </c>
      <c r="Q1160" s="10" t="str">
        <f>VLOOKUP(A1160,Status!A:B,2,0)</f>
        <v>Completed</v>
      </c>
      <c r="R1160" s="2" t="s">
        <v>30</v>
      </c>
      <c r="S1160" s="2">
        <v>4</v>
      </c>
      <c r="T1160" s="2" t="s">
        <v>24</v>
      </c>
      <c r="U1160" s="10" t="str">
        <f t="shared" si="113"/>
        <v>Jul</v>
      </c>
      <c r="V1160" s="10">
        <f t="shared" si="112"/>
        <v>2025</v>
      </c>
      <c r="W1160" t="e" cm="1">
        <f t="array" ref="W1160">_xlfn.IFS(U1160="January",1,U1160="February",2,U1160="March",3,U1160="April",4,U1160="May",5,U1160="June",6,U1160="July",7,U1160="August",8,U1160="September",9,U1160="October",10,U1160="November",11,U1160="December",12)</f>
        <v>#N/A</v>
      </c>
    </row>
    <row r="1161" spans="1:23" ht="15.75" customHeight="1" x14ac:dyDescent="0.25">
      <c r="A1161" s="2" t="s">
        <v>2098</v>
      </c>
      <c r="B1161" s="3">
        <v>45866.681296296287</v>
      </c>
      <c r="C1161" s="2" t="s">
        <v>557</v>
      </c>
      <c r="D1161" s="2" t="s">
        <v>173</v>
      </c>
      <c r="E1161" s="2" t="s">
        <v>62</v>
      </c>
      <c r="F1161" s="2" t="str" cm="1">
        <f t="array" ref="F1161:G1161">_xlfn.TEXTSPLIT(E1161," - ")</f>
        <v>Susu Bubuk</v>
      </c>
      <c r="G1161" s="2" t="str">
        <v>Brand B</v>
      </c>
      <c r="H1161" s="5">
        <v>50000</v>
      </c>
      <c r="I1161" s="2">
        <v>1</v>
      </c>
      <c r="J1161" s="2">
        <v>5</v>
      </c>
      <c r="K1161" s="8">
        <f t="shared" si="108"/>
        <v>50000</v>
      </c>
      <c r="L1161" s="8">
        <f t="shared" si="109"/>
        <v>2500</v>
      </c>
      <c r="M1161" s="8">
        <f t="shared" si="110"/>
        <v>47500</v>
      </c>
      <c r="N1161" s="5">
        <v>49000</v>
      </c>
      <c r="O1161" s="8">
        <f t="shared" si="111"/>
        <v>96500</v>
      </c>
      <c r="P1161" s="2" t="s">
        <v>35</v>
      </c>
      <c r="Q1161" s="10" t="str">
        <f>VLOOKUP(A1161,Status!A:B,2,0)</f>
        <v>Completed</v>
      </c>
      <c r="R1161" s="2" t="s">
        <v>36</v>
      </c>
      <c r="S1161" s="2">
        <v>4</v>
      </c>
      <c r="T1161" s="2" t="s">
        <v>24</v>
      </c>
      <c r="U1161" s="10" t="str">
        <f t="shared" si="113"/>
        <v>Jul</v>
      </c>
      <c r="V1161" s="10">
        <f t="shared" si="112"/>
        <v>2025</v>
      </c>
      <c r="W1161" t="e" cm="1">
        <f t="array" ref="W1161">_xlfn.IFS(U1161="January",1,U1161="February",2,U1161="March",3,U1161="April",4,U1161="May",5,U1161="June",6,U1161="July",7,U1161="August",8,U1161="September",9,U1161="October",10,U1161="November",11,U1161="December",12)</f>
        <v>#N/A</v>
      </c>
    </row>
    <row r="1162" spans="1:23" ht="15.75" customHeight="1" x14ac:dyDescent="0.25">
      <c r="A1162" s="2" t="s">
        <v>2099</v>
      </c>
      <c r="B1162" s="3">
        <v>45866.900381944448</v>
      </c>
      <c r="C1162" s="2" t="s">
        <v>359</v>
      </c>
      <c r="D1162" s="2" t="s">
        <v>70</v>
      </c>
      <c r="E1162" s="2" t="s">
        <v>67</v>
      </c>
      <c r="F1162" s="2" t="str" cm="1">
        <f t="array" ref="F1162:G1162">_xlfn.TEXTSPLIT(E1162," - ")</f>
        <v>Beras</v>
      </c>
      <c r="G1162" s="2" t="str">
        <v>Brand B</v>
      </c>
      <c r="H1162" s="5">
        <v>15000</v>
      </c>
      <c r="I1162" s="2">
        <v>1</v>
      </c>
      <c r="J1162" s="2">
        <v>0</v>
      </c>
      <c r="K1162" s="8">
        <f t="shared" si="108"/>
        <v>15000</v>
      </c>
      <c r="L1162" s="8">
        <f t="shared" si="109"/>
        <v>0</v>
      </c>
      <c r="M1162" s="8">
        <f t="shared" si="110"/>
        <v>15000</v>
      </c>
      <c r="N1162" s="5">
        <v>89000</v>
      </c>
      <c r="O1162" s="8">
        <f t="shared" si="111"/>
        <v>104000</v>
      </c>
      <c r="P1162" s="2" t="s">
        <v>35</v>
      </c>
      <c r="Q1162" s="10" t="str">
        <f>VLOOKUP(A1162,Status!A:B,2,0)</f>
        <v>Completed</v>
      </c>
      <c r="R1162" s="2" t="s">
        <v>30</v>
      </c>
      <c r="S1162" s="2">
        <v>3</v>
      </c>
      <c r="T1162" s="2" t="s">
        <v>24</v>
      </c>
      <c r="U1162" s="10" t="str">
        <f t="shared" si="113"/>
        <v>Jul</v>
      </c>
      <c r="V1162" s="10">
        <f t="shared" si="112"/>
        <v>2025</v>
      </c>
      <c r="W1162" t="e" cm="1">
        <f t="array" ref="W1162">_xlfn.IFS(U1162="January",1,U1162="February",2,U1162="March",3,U1162="April",4,U1162="May",5,U1162="June",6,U1162="July",7,U1162="August",8,U1162="September",9,U1162="October",10,U1162="November",11,U1162="December",12)</f>
        <v>#N/A</v>
      </c>
    </row>
    <row r="1163" spans="1:23" ht="15.75" customHeight="1" x14ac:dyDescent="0.25">
      <c r="A1163" s="2" t="s">
        <v>2100</v>
      </c>
      <c r="B1163" s="3">
        <v>45866.901134259257</v>
      </c>
      <c r="C1163" s="2" t="s">
        <v>52</v>
      </c>
      <c r="D1163" s="2" t="s">
        <v>53</v>
      </c>
      <c r="E1163" s="2" t="s">
        <v>93</v>
      </c>
      <c r="F1163" s="2" t="str" cm="1">
        <f t="array" ref="F1163:G1163">_xlfn.TEXTSPLIT(E1163," - ")</f>
        <v>Telur Ayam</v>
      </c>
      <c r="G1163" s="2" t="str">
        <v>Brand B</v>
      </c>
      <c r="H1163" s="5">
        <v>25000</v>
      </c>
      <c r="I1163" s="2">
        <v>1</v>
      </c>
      <c r="J1163" s="2">
        <v>20</v>
      </c>
      <c r="K1163" s="8">
        <f t="shared" si="108"/>
        <v>25000</v>
      </c>
      <c r="L1163" s="8">
        <f t="shared" si="109"/>
        <v>5000</v>
      </c>
      <c r="M1163" s="8">
        <f t="shared" si="110"/>
        <v>20000</v>
      </c>
      <c r="N1163" s="5">
        <v>18000</v>
      </c>
      <c r="O1163" s="8">
        <f t="shared" si="111"/>
        <v>38000</v>
      </c>
      <c r="P1163" s="2" t="s">
        <v>63</v>
      </c>
      <c r="Q1163" s="10" t="str">
        <f>VLOOKUP(A1163,Status!A:B,2,0)</f>
        <v>Completed</v>
      </c>
      <c r="R1163" s="2" t="s">
        <v>23</v>
      </c>
      <c r="S1163" s="2">
        <v>4</v>
      </c>
      <c r="T1163" s="2" t="s">
        <v>24</v>
      </c>
      <c r="U1163" s="10" t="str">
        <f t="shared" si="113"/>
        <v>Jul</v>
      </c>
      <c r="V1163" s="10">
        <f t="shared" si="112"/>
        <v>2025</v>
      </c>
      <c r="W1163" t="e" cm="1">
        <f t="array" ref="W1163">_xlfn.IFS(U1163="January",1,U1163="February",2,U1163="March",3,U1163="April",4,U1163="May",5,U1163="June",6,U1163="July",7,U1163="August",8,U1163="September",9,U1163="October",10,U1163="November",11,U1163="December",12)</f>
        <v>#N/A</v>
      </c>
    </row>
    <row r="1164" spans="1:23" ht="15.75" customHeight="1" x14ac:dyDescent="0.25">
      <c r="A1164" s="2" t="s">
        <v>2101</v>
      </c>
      <c r="B1164" s="3">
        <v>45867.163912037038</v>
      </c>
      <c r="C1164" s="2" t="s">
        <v>157</v>
      </c>
      <c r="D1164" s="2" t="s">
        <v>20</v>
      </c>
      <c r="E1164" s="2" t="s">
        <v>58</v>
      </c>
      <c r="F1164" s="2" t="str" cm="1">
        <f t="array" ref="F1164:G1164">_xlfn.TEXTSPLIT(E1164," - ")</f>
        <v>Gula Pasir</v>
      </c>
      <c r="G1164" s="2" t="str">
        <v>Brand A</v>
      </c>
      <c r="H1164" s="5">
        <v>16000</v>
      </c>
      <c r="I1164" s="2">
        <v>3</v>
      </c>
      <c r="J1164" s="2">
        <v>15</v>
      </c>
      <c r="K1164" s="8">
        <f t="shared" si="108"/>
        <v>48000</v>
      </c>
      <c r="L1164" s="8">
        <f t="shared" si="109"/>
        <v>7200</v>
      </c>
      <c r="M1164" s="8">
        <f t="shared" si="110"/>
        <v>40800</v>
      </c>
      <c r="N1164" s="5">
        <v>15000</v>
      </c>
      <c r="O1164" s="8">
        <f t="shared" si="111"/>
        <v>55800</v>
      </c>
      <c r="P1164" s="2" t="s">
        <v>35</v>
      </c>
      <c r="Q1164" s="10" t="str">
        <f>VLOOKUP(A1164,Status!A:B,2,0)</f>
        <v>Completed</v>
      </c>
      <c r="R1164" s="2" t="s">
        <v>36</v>
      </c>
      <c r="S1164" s="2">
        <v>3</v>
      </c>
      <c r="T1164" s="2" t="s">
        <v>24</v>
      </c>
      <c r="U1164" s="10" t="str">
        <f t="shared" si="113"/>
        <v>Jul</v>
      </c>
      <c r="V1164" s="10">
        <f t="shared" si="112"/>
        <v>2025</v>
      </c>
      <c r="W1164" t="e" cm="1">
        <f t="array" ref="W1164">_xlfn.IFS(U1164="January",1,U1164="February",2,U1164="March",3,U1164="April",4,U1164="May",5,U1164="June",6,U1164="July",7,U1164="August",8,U1164="September",9,U1164="October",10,U1164="November",11,U1164="December",12)</f>
        <v>#N/A</v>
      </c>
    </row>
    <row r="1165" spans="1:23" ht="15.75" customHeight="1" x14ac:dyDescent="0.25">
      <c r="A1165" s="2" t="s">
        <v>2102</v>
      </c>
      <c r="B1165" s="3">
        <v>45867.302395833343</v>
      </c>
      <c r="C1165" s="2" t="s">
        <v>140</v>
      </c>
      <c r="D1165" s="2" t="s">
        <v>92</v>
      </c>
      <c r="E1165" s="2" t="s">
        <v>28</v>
      </c>
      <c r="F1165" s="2" t="str" cm="1">
        <f t="array" ref="F1165:G1165">_xlfn.TEXTSPLIT(E1165," - ")</f>
        <v>Garam</v>
      </c>
      <c r="G1165" s="2" t="str">
        <v>Brand B</v>
      </c>
      <c r="H1165" s="5">
        <v>5000</v>
      </c>
      <c r="I1165" s="2">
        <v>2</v>
      </c>
      <c r="J1165" s="2">
        <v>15</v>
      </c>
      <c r="K1165" s="8">
        <f t="shared" si="108"/>
        <v>10000</v>
      </c>
      <c r="L1165" s="8">
        <f t="shared" si="109"/>
        <v>1500</v>
      </c>
      <c r="M1165" s="8">
        <f t="shared" si="110"/>
        <v>8500</v>
      </c>
      <c r="N1165" s="5">
        <v>30000</v>
      </c>
      <c r="O1165" s="8">
        <f t="shared" si="111"/>
        <v>38500</v>
      </c>
      <c r="P1165" s="2" t="s">
        <v>35</v>
      </c>
      <c r="Q1165" s="10" t="str">
        <f>VLOOKUP(A1165,Status!A:B,2,0)</f>
        <v>Completed</v>
      </c>
      <c r="R1165" s="2" t="s">
        <v>82</v>
      </c>
      <c r="S1165" s="2">
        <v>2</v>
      </c>
      <c r="T1165" s="2" t="s">
        <v>24</v>
      </c>
      <c r="U1165" s="10" t="str">
        <f t="shared" si="113"/>
        <v>Jul</v>
      </c>
      <c r="V1165" s="10">
        <f t="shared" si="112"/>
        <v>2025</v>
      </c>
      <c r="W1165" t="e" cm="1">
        <f t="array" ref="W1165">_xlfn.IFS(U1165="January",1,U1165="February",2,U1165="March",3,U1165="April",4,U1165="May",5,U1165="June",6,U1165="July",7,U1165="August",8,U1165="September",9,U1165="October",10,U1165="November",11,U1165="December",12)</f>
        <v>#N/A</v>
      </c>
    </row>
    <row r="1166" spans="1:23" ht="15.75" customHeight="1" x14ac:dyDescent="0.25">
      <c r="A1166" s="2" t="s">
        <v>2103</v>
      </c>
      <c r="B1166" s="3">
        <v>45867.323414351849</v>
      </c>
      <c r="C1166" s="2" t="s">
        <v>1313</v>
      </c>
      <c r="D1166" s="2" t="s">
        <v>103</v>
      </c>
      <c r="E1166" s="2" t="s">
        <v>110</v>
      </c>
      <c r="F1166" s="2" t="str" cm="1">
        <f t="array" ref="F1166:G1166">_xlfn.TEXTSPLIT(E1166," - ")</f>
        <v>Garam</v>
      </c>
      <c r="G1166" s="2" t="str">
        <v>Brand C</v>
      </c>
      <c r="H1166" s="5">
        <v>6000</v>
      </c>
      <c r="I1166" s="2">
        <v>1</v>
      </c>
      <c r="J1166" s="2">
        <v>20</v>
      </c>
      <c r="K1166" s="8">
        <f t="shared" si="108"/>
        <v>6000</v>
      </c>
      <c r="L1166" s="8">
        <f t="shared" si="109"/>
        <v>1200</v>
      </c>
      <c r="M1166" s="8">
        <f t="shared" si="110"/>
        <v>4800</v>
      </c>
      <c r="N1166" s="5">
        <v>85000</v>
      </c>
      <c r="O1166" s="8">
        <f t="shared" si="111"/>
        <v>89800</v>
      </c>
      <c r="P1166" s="2" t="s">
        <v>22</v>
      </c>
      <c r="Q1166" s="10" t="str">
        <f>VLOOKUP(A1166,Status!A:B,2,0)</f>
        <v>Completed</v>
      </c>
      <c r="R1166" s="2" t="s">
        <v>30</v>
      </c>
      <c r="S1166" s="2">
        <v>1</v>
      </c>
      <c r="T1166" s="2" t="s">
        <v>24</v>
      </c>
      <c r="U1166" s="10" t="str">
        <f t="shared" si="113"/>
        <v>Jul</v>
      </c>
      <c r="V1166" s="10">
        <f t="shared" si="112"/>
        <v>2025</v>
      </c>
      <c r="W1166" t="e" cm="1">
        <f t="array" ref="W1166">_xlfn.IFS(U1166="January",1,U1166="February",2,U1166="March",3,U1166="April",4,U1166="May",5,U1166="June",6,U1166="July",7,U1166="August",8,U1166="September",9,U1166="October",10,U1166="November",11,U1166="December",12)</f>
        <v>#N/A</v>
      </c>
    </row>
    <row r="1167" spans="1:23" ht="15.75" customHeight="1" x14ac:dyDescent="0.25">
      <c r="A1167" s="2" t="s">
        <v>2104</v>
      </c>
      <c r="B1167" s="3">
        <v>45867.372615740736</v>
      </c>
      <c r="C1167" s="2" t="s">
        <v>225</v>
      </c>
      <c r="D1167" s="2" t="s">
        <v>189</v>
      </c>
      <c r="E1167" s="2" t="s">
        <v>81</v>
      </c>
      <c r="F1167" s="2" t="str" cm="1">
        <f t="array" ref="F1167:G1167">_xlfn.TEXTSPLIT(E1167," - ")</f>
        <v>Minyak Goreng</v>
      </c>
      <c r="G1167" s="2" t="str">
        <v>Brand B</v>
      </c>
      <c r="H1167" s="5">
        <v>17000</v>
      </c>
      <c r="I1167" s="2">
        <v>3</v>
      </c>
      <c r="J1167" s="2">
        <v>5</v>
      </c>
      <c r="K1167" s="8">
        <f t="shared" si="108"/>
        <v>51000</v>
      </c>
      <c r="L1167" s="8">
        <f t="shared" si="109"/>
        <v>2550</v>
      </c>
      <c r="M1167" s="8">
        <f t="shared" si="110"/>
        <v>48450</v>
      </c>
      <c r="N1167" s="5">
        <v>57000</v>
      </c>
      <c r="O1167" s="8">
        <f t="shared" si="111"/>
        <v>105450</v>
      </c>
      <c r="P1167" s="2" t="s">
        <v>63</v>
      </c>
      <c r="Q1167" s="10" t="str">
        <f>VLOOKUP(A1167,Status!A:B,2,0)</f>
        <v>Returned</v>
      </c>
      <c r="R1167" s="2" t="s">
        <v>30</v>
      </c>
      <c r="S1167" s="2">
        <v>4</v>
      </c>
      <c r="T1167" s="2" t="s">
        <v>37</v>
      </c>
      <c r="U1167" s="10" t="str">
        <f t="shared" si="113"/>
        <v>Jul</v>
      </c>
      <c r="V1167" s="10">
        <f t="shared" si="112"/>
        <v>2025</v>
      </c>
      <c r="W1167" t="e" cm="1">
        <f t="array" ref="W1167">_xlfn.IFS(U1167="January",1,U1167="February",2,U1167="March",3,U1167="April",4,U1167="May",5,U1167="June",6,U1167="July",7,U1167="August",8,U1167="September",9,U1167="October",10,U1167="November",11,U1167="December",12)</f>
        <v>#N/A</v>
      </c>
    </row>
    <row r="1168" spans="1:23" ht="15.75" customHeight="1" x14ac:dyDescent="0.25">
      <c r="A1168" s="2" t="s">
        <v>2105</v>
      </c>
      <c r="B1168" s="3">
        <v>45867.550405092603</v>
      </c>
      <c r="C1168" s="2" t="s">
        <v>1849</v>
      </c>
      <c r="D1168" s="2" t="s">
        <v>238</v>
      </c>
      <c r="E1168" s="2" t="s">
        <v>136</v>
      </c>
      <c r="F1168" s="2" t="str" cm="1">
        <f t="array" ref="F1168:G1168">_xlfn.TEXTSPLIT(E1168," - ")</f>
        <v>Tepung Terigu</v>
      </c>
      <c r="G1168" s="2" t="str">
        <v>Brand B</v>
      </c>
      <c r="H1168" s="5">
        <v>12000</v>
      </c>
      <c r="I1168" s="2">
        <v>2</v>
      </c>
      <c r="J1168" s="2">
        <v>0</v>
      </c>
      <c r="K1168" s="8">
        <f t="shared" si="108"/>
        <v>24000</v>
      </c>
      <c r="L1168" s="8">
        <f t="shared" si="109"/>
        <v>0</v>
      </c>
      <c r="M1168" s="8">
        <f t="shared" si="110"/>
        <v>24000</v>
      </c>
      <c r="N1168" s="5">
        <v>28000</v>
      </c>
      <c r="O1168" s="8">
        <f t="shared" si="111"/>
        <v>52000</v>
      </c>
      <c r="P1168" s="2" t="s">
        <v>29</v>
      </c>
      <c r="Q1168" s="10" t="str">
        <f>VLOOKUP(A1168,Status!A:B,2,0)</f>
        <v>Completed</v>
      </c>
      <c r="R1168" s="2" t="s">
        <v>30</v>
      </c>
      <c r="S1168" s="2">
        <v>1</v>
      </c>
      <c r="T1168" s="2" t="s">
        <v>24</v>
      </c>
      <c r="U1168" s="10" t="str">
        <f t="shared" si="113"/>
        <v>Jul</v>
      </c>
      <c r="V1168" s="10">
        <f t="shared" si="112"/>
        <v>2025</v>
      </c>
      <c r="W1168" t="e" cm="1">
        <f t="array" ref="W1168">_xlfn.IFS(U1168="January",1,U1168="February",2,U1168="March",3,U1168="April",4,U1168="May",5,U1168="June",6,U1168="July",7,U1168="August",8,U1168="September",9,U1168="October",10,U1168="November",11,U1168="December",12)</f>
        <v>#N/A</v>
      </c>
    </row>
    <row r="1169" spans="1:23" ht="15.75" customHeight="1" x14ac:dyDescent="0.25">
      <c r="A1169" s="2" t="s">
        <v>2106</v>
      </c>
      <c r="B1169" s="3">
        <v>45867.628530092603</v>
      </c>
      <c r="C1169" s="2" t="s">
        <v>389</v>
      </c>
      <c r="D1169" s="2" t="s">
        <v>182</v>
      </c>
      <c r="E1169" s="2" t="s">
        <v>136</v>
      </c>
      <c r="F1169" s="2" t="str" cm="1">
        <f t="array" ref="F1169:G1169">_xlfn.TEXTSPLIT(E1169," - ")</f>
        <v>Tepung Terigu</v>
      </c>
      <c r="G1169" s="2" t="str">
        <v>Brand B</v>
      </c>
      <c r="H1169" s="5">
        <v>12000</v>
      </c>
      <c r="I1169" s="2">
        <v>3</v>
      </c>
      <c r="J1169" s="2">
        <v>0</v>
      </c>
      <c r="K1169" s="8">
        <f t="shared" si="108"/>
        <v>36000</v>
      </c>
      <c r="L1169" s="8">
        <f t="shared" si="109"/>
        <v>0</v>
      </c>
      <c r="M1169" s="8">
        <f t="shared" si="110"/>
        <v>36000</v>
      </c>
      <c r="N1169" s="5">
        <v>48000</v>
      </c>
      <c r="O1169" s="8">
        <f t="shared" si="111"/>
        <v>84000</v>
      </c>
      <c r="P1169" s="2" t="s">
        <v>22</v>
      </c>
      <c r="Q1169" s="10" t="str">
        <f>VLOOKUP(A1169,Status!A:B,2,0)</f>
        <v>Returned</v>
      </c>
      <c r="R1169" s="2" t="s">
        <v>46</v>
      </c>
      <c r="S1169" s="2">
        <v>5</v>
      </c>
      <c r="T1169" s="2" t="s">
        <v>24</v>
      </c>
      <c r="U1169" s="10" t="str">
        <f t="shared" si="113"/>
        <v>Jul</v>
      </c>
      <c r="V1169" s="10">
        <f t="shared" si="112"/>
        <v>2025</v>
      </c>
      <c r="W1169" t="e" cm="1">
        <f t="array" ref="W1169">_xlfn.IFS(U1169="January",1,U1169="February",2,U1169="March",3,U1169="April",4,U1169="May",5,U1169="June",6,U1169="July",7,U1169="August",8,U1169="September",9,U1169="October",10,U1169="November",11,U1169="December",12)</f>
        <v>#N/A</v>
      </c>
    </row>
    <row r="1170" spans="1:23" ht="15.75" customHeight="1" x14ac:dyDescent="0.25">
      <c r="A1170" s="2" t="s">
        <v>2107</v>
      </c>
      <c r="B1170" s="3">
        <v>45867.758287037039</v>
      </c>
      <c r="C1170" s="2" t="s">
        <v>192</v>
      </c>
      <c r="D1170" s="2" t="s">
        <v>107</v>
      </c>
      <c r="E1170" s="2" t="s">
        <v>75</v>
      </c>
      <c r="F1170" s="2" t="str" cm="1">
        <f t="array" ref="F1170:G1170">_xlfn.TEXTSPLIT(E1170," - ")</f>
        <v>Susu Bubuk</v>
      </c>
      <c r="G1170" s="2" t="str">
        <v>Brand C</v>
      </c>
      <c r="H1170" s="5">
        <v>55000</v>
      </c>
      <c r="I1170" s="2">
        <v>3</v>
      </c>
      <c r="J1170" s="2">
        <v>0</v>
      </c>
      <c r="K1170" s="8">
        <f t="shared" si="108"/>
        <v>165000</v>
      </c>
      <c r="L1170" s="8">
        <f t="shared" si="109"/>
        <v>0</v>
      </c>
      <c r="M1170" s="8">
        <f t="shared" si="110"/>
        <v>165000</v>
      </c>
      <c r="N1170" s="5">
        <v>97000</v>
      </c>
      <c r="O1170" s="8">
        <f t="shared" si="111"/>
        <v>262000</v>
      </c>
      <c r="P1170" s="2" t="s">
        <v>35</v>
      </c>
      <c r="Q1170" s="10" t="str">
        <f>VLOOKUP(A1170,Status!A:B,2,0)</f>
        <v>Completed</v>
      </c>
      <c r="R1170" s="2" t="s">
        <v>46</v>
      </c>
      <c r="S1170" s="2">
        <v>1</v>
      </c>
      <c r="T1170" s="2" t="s">
        <v>24</v>
      </c>
      <c r="U1170" s="10" t="str">
        <f t="shared" si="113"/>
        <v>Jul</v>
      </c>
      <c r="V1170" s="10">
        <f t="shared" si="112"/>
        <v>2025</v>
      </c>
      <c r="W1170" t="e" cm="1">
        <f t="array" ref="W1170">_xlfn.IFS(U1170="January",1,U1170="February",2,U1170="March",3,U1170="April",4,U1170="May",5,U1170="June",6,U1170="July",7,U1170="August",8,U1170="September",9,U1170="October",10,U1170="November",11,U1170="December",12)</f>
        <v>#N/A</v>
      </c>
    </row>
    <row r="1171" spans="1:23" ht="15.75" customHeight="1" x14ac:dyDescent="0.25">
      <c r="A1171" s="2" t="s">
        <v>2108</v>
      </c>
      <c r="B1171" s="3">
        <v>45868.071631944447</v>
      </c>
      <c r="C1171" s="2" t="s">
        <v>1098</v>
      </c>
      <c r="D1171" s="2" t="s">
        <v>126</v>
      </c>
      <c r="E1171" s="2" t="s">
        <v>58</v>
      </c>
      <c r="F1171" s="2" t="str" cm="1">
        <f t="array" ref="F1171:G1171">_xlfn.TEXTSPLIT(E1171," - ")</f>
        <v>Gula Pasir</v>
      </c>
      <c r="G1171" s="2" t="str">
        <v>Brand A</v>
      </c>
      <c r="H1171" s="5">
        <v>16000</v>
      </c>
      <c r="I1171" s="2">
        <v>5</v>
      </c>
      <c r="J1171" s="2">
        <v>5</v>
      </c>
      <c r="K1171" s="8">
        <f t="shared" si="108"/>
        <v>80000</v>
      </c>
      <c r="L1171" s="8">
        <f t="shared" si="109"/>
        <v>4000</v>
      </c>
      <c r="M1171" s="8">
        <f t="shared" si="110"/>
        <v>76000</v>
      </c>
      <c r="N1171" s="5">
        <v>84000</v>
      </c>
      <c r="O1171" s="8">
        <f t="shared" si="111"/>
        <v>160000</v>
      </c>
      <c r="P1171" s="2" t="s">
        <v>35</v>
      </c>
      <c r="Q1171" s="10" t="str">
        <f>VLOOKUP(A1171,Status!A:B,2,0)</f>
        <v>Returned</v>
      </c>
      <c r="R1171" s="2" t="s">
        <v>23</v>
      </c>
      <c r="S1171" s="2">
        <v>5</v>
      </c>
      <c r="T1171" s="2" t="s">
        <v>37</v>
      </c>
      <c r="U1171" s="10" t="str">
        <f t="shared" si="113"/>
        <v>Jul</v>
      </c>
      <c r="V1171" s="10">
        <f t="shared" si="112"/>
        <v>2025</v>
      </c>
      <c r="W1171" t="e" cm="1">
        <f t="array" ref="W1171">_xlfn.IFS(U1171="January",1,U1171="February",2,U1171="March",3,U1171="April",4,U1171="May",5,U1171="June",6,U1171="July",7,U1171="August",8,U1171="September",9,U1171="October",10,U1171="November",11,U1171="December",12)</f>
        <v>#N/A</v>
      </c>
    </row>
    <row r="1172" spans="1:23" ht="15.75" customHeight="1" x14ac:dyDescent="0.25">
      <c r="A1172" s="2" t="s">
        <v>2109</v>
      </c>
      <c r="B1172" s="3">
        <v>45868.445451388892</v>
      </c>
      <c r="C1172" s="2" t="s">
        <v>473</v>
      </c>
      <c r="D1172" s="2" t="s">
        <v>122</v>
      </c>
      <c r="E1172" s="2" t="s">
        <v>58</v>
      </c>
      <c r="F1172" s="2" t="str" cm="1">
        <f t="array" ref="F1172:G1172">_xlfn.TEXTSPLIT(E1172," - ")</f>
        <v>Gula Pasir</v>
      </c>
      <c r="G1172" s="2" t="str">
        <v>Brand A</v>
      </c>
      <c r="H1172" s="5">
        <v>16000</v>
      </c>
      <c r="I1172" s="2">
        <v>2</v>
      </c>
      <c r="J1172" s="2">
        <v>15</v>
      </c>
      <c r="K1172" s="8">
        <f t="shared" si="108"/>
        <v>32000</v>
      </c>
      <c r="L1172" s="8">
        <f t="shared" si="109"/>
        <v>4800</v>
      </c>
      <c r="M1172" s="8">
        <f t="shared" si="110"/>
        <v>27200</v>
      </c>
      <c r="N1172" s="5">
        <v>78000</v>
      </c>
      <c r="O1172" s="8">
        <f t="shared" si="111"/>
        <v>105200</v>
      </c>
      <c r="P1172" s="2" t="s">
        <v>35</v>
      </c>
      <c r="Q1172" s="10" t="str">
        <f>VLOOKUP(A1172,Status!A:B,2,0)</f>
        <v>Returned</v>
      </c>
      <c r="R1172" s="2" t="s">
        <v>82</v>
      </c>
      <c r="S1172" s="2">
        <v>5</v>
      </c>
      <c r="T1172" s="2" t="s">
        <v>24</v>
      </c>
      <c r="U1172" s="10" t="str">
        <f t="shared" si="113"/>
        <v>Jul</v>
      </c>
      <c r="V1172" s="10">
        <f t="shared" si="112"/>
        <v>2025</v>
      </c>
      <c r="W1172" t="e" cm="1">
        <f t="array" ref="W1172">_xlfn.IFS(U1172="January",1,U1172="February",2,U1172="March",3,U1172="April",4,U1172="May",5,U1172="June",6,U1172="July",7,U1172="August",8,U1172="September",9,U1172="October",10,U1172="November",11,U1172="December",12)</f>
        <v>#N/A</v>
      </c>
    </row>
    <row r="1173" spans="1:23" ht="15.75" customHeight="1" x14ac:dyDescent="0.25">
      <c r="A1173" s="2" t="s">
        <v>2110</v>
      </c>
      <c r="B1173" s="3">
        <v>45868.843668981477</v>
      </c>
      <c r="C1173" s="2" t="s">
        <v>812</v>
      </c>
      <c r="D1173" s="2" t="s">
        <v>33</v>
      </c>
      <c r="E1173" s="2" t="s">
        <v>50</v>
      </c>
      <c r="F1173" s="2" t="str" cm="1">
        <f t="array" ref="F1173:G1173">_xlfn.TEXTSPLIT(E1173," - ")</f>
        <v>Tepung Terigu</v>
      </c>
      <c r="G1173" s="2" t="str">
        <v>Brand C</v>
      </c>
      <c r="H1173" s="5">
        <v>14000</v>
      </c>
      <c r="I1173" s="2">
        <v>3</v>
      </c>
      <c r="J1173" s="2">
        <v>0</v>
      </c>
      <c r="K1173" s="8">
        <f t="shared" si="108"/>
        <v>42000</v>
      </c>
      <c r="L1173" s="8">
        <f t="shared" si="109"/>
        <v>0</v>
      </c>
      <c r="M1173" s="8">
        <f t="shared" si="110"/>
        <v>42000</v>
      </c>
      <c r="N1173" s="5">
        <v>76000</v>
      </c>
      <c r="O1173" s="8">
        <f t="shared" si="111"/>
        <v>118000</v>
      </c>
      <c r="P1173" s="2" t="s">
        <v>63</v>
      </c>
      <c r="Q1173" s="10" t="str">
        <f>VLOOKUP(A1173,Status!A:B,2,0)</f>
        <v>Returned</v>
      </c>
      <c r="R1173" s="2" t="s">
        <v>82</v>
      </c>
      <c r="S1173" s="2">
        <v>3</v>
      </c>
      <c r="T1173" s="2" t="s">
        <v>24</v>
      </c>
      <c r="U1173" s="10" t="str">
        <f t="shared" si="113"/>
        <v>Jul</v>
      </c>
      <c r="V1173" s="10">
        <f t="shared" si="112"/>
        <v>2025</v>
      </c>
      <c r="W1173" t="e" cm="1">
        <f t="array" ref="W1173">_xlfn.IFS(U1173="January",1,U1173="February",2,U1173="March",3,U1173="April",4,U1173="May",5,U1173="June",6,U1173="July",7,U1173="August",8,U1173="September",9,U1173="October",10,U1173="November",11,U1173="December",12)</f>
        <v>#N/A</v>
      </c>
    </row>
    <row r="1174" spans="1:23" ht="15.75" customHeight="1" x14ac:dyDescent="0.25">
      <c r="A1174" s="2" t="s">
        <v>2111</v>
      </c>
      <c r="B1174" s="3">
        <v>45868.919363425928</v>
      </c>
      <c r="C1174" s="2" t="s">
        <v>19</v>
      </c>
      <c r="D1174" s="2" t="s">
        <v>20</v>
      </c>
      <c r="E1174" s="2" t="s">
        <v>85</v>
      </c>
      <c r="F1174" s="2" t="str" cm="1">
        <f t="array" ref="F1174:G1174">_xlfn.TEXTSPLIT(E1174," - ")</f>
        <v>Daging Ayam</v>
      </c>
      <c r="G1174" s="2" t="str">
        <v>Brand A</v>
      </c>
      <c r="H1174" s="5">
        <v>35000</v>
      </c>
      <c r="I1174" s="2">
        <v>3</v>
      </c>
      <c r="J1174" s="2">
        <v>5</v>
      </c>
      <c r="K1174" s="8">
        <f t="shared" si="108"/>
        <v>105000</v>
      </c>
      <c r="L1174" s="8">
        <f t="shared" si="109"/>
        <v>5250</v>
      </c>
      <c r="M1174" s="8">
        <f t="shared" si="110"/>
        <v>99750</v>
      </c>
      <c r="N1174" s="5">
        <v>15000</v>
      </c>
      <c r="O1174" s="8">
        <f t="shared" si="111"/>
        <v>114750</v>
      </c>
      <c r="P1174" s="2" t="s">
        <v>29</v>
      </c>
      <c r="Q1174" s="10" t="str">
        <f>VLOOKUP(A1174,Status!A:B,2,0)</f>
        <v>Completed</v>
      </c>
      <c r="R1174" s="2" t="s">
        <v>30</v>
      </c>
      <c r="S1174" s="2">
        <v>2</v>
      </c>
      <c r="T1174" s="2" t="s">
        <v>24</v>
      </c>
      <c r="U1174" s="10" t="str">
        <f t="shared" si="113"/>
        <v>Jul</v>
      </c>
      <c r="V1174" s="10">
        <f t="shared" si="112"/>
        <v>2025</v>
      </c>
      <c r="W1174" t="e" cm="1">
        <f t="array" ref="W1174">_xlfn.IFS(U1174="January",1,U1174="February",2,U1174="March",3,U1174="April",4,U1174="May",5,U1174="June",6,U1174="July",7,U1174="August",8,U1174="September",9,U1174="October",10,U1174="November",11,U1174="December",12)</f>
        <v>#N/A</v>
      </c>
    </row>
    <row r="1175" spans="1:23" ht="15.75" customHeight="1" x14ac:dyDescent="0.25">
      <c r="A1175" s="2" t="s">
        <v>2112</v>
      </c>
      <c r="B1175" s="3">
        <v>45869.196898148148</v>
      </c>
      <c r="C1175" s="2" t="s">
        <v>181</v>
      </c>
      <c r="D1175" s="2" t="s">
        <v>182</v>
      </c>
      <c r="E1175" s="2" t="s">
        <v>123</v>
      </c>
      <c r="F1175" s="2" t="str" cm="1">
        <f t="array" ref="F1175:G1175">_xlfn.TEXTSPLIT(E1175," - ")</f>
        <v>Telur Ayam</v>
      </c>
      <c r="G1175" s="2" t="str">
        <v>Brand A</v>
      </c>
      <c r="H1175" s="5">
        <v>22000</v>
      </c>
      <c r="I1175" s="2">
        <v>3</v>
      </c>
      <c r="J1175" s="2">
        <v>5</v>
      </c>
      <c r="K1175" s="8">
        <f t="shared" si="108"/>
        <v>66000</v>
      </c>
      <c r="L1175" s="8">
        <f t="shared" si="109"/>
        <v>3300</v>
      </c>
      <c r="M1175" s="8">
        <f t="shared" si="110"/>
        <v>62700</v>
      </c>
      <c r="N1175" s="5">
        <v>48000</v>
      </c>
      <c r="O1175" s="8">
        <f t="shared" si="111"/>
        <v>110700</v>
      </c>
      <c r="P1175" s="2" t="s">
        <v>22</v>
      </c>
      <c r="Q1175" s="10" t="str">
        <f>VLOOKUP(A1175,Status!A:B,2,0)</f>
        <v>Completed</v>
      </c>
      <c r="R1175" s="2" t="s">
        <v>82</v>
      </c>
      <c r="S1175" s="2">
        <v>2</v>
      </c>
      <c r="T1175" s="2" t="s">
        <v>24</v>
      </c>
      <c r="U1175" s="10" t="str">
        <f t="shared" si="113"/>
        <v>Jul</v>
      </c>
      <c r="V1175" s="10">
        <f t="shared" si="112"/>
        <v>2025</v>
      </c>
      <c r="W1175" t="e" cm="1">
        <f t="array" ref="W1175">_xlfn.IFS(U1175="January",1,U1175="February",2,U1175="March",3,U1175="April",4,U1175="May",5,U1175="June",6,U1175="July",7,U1175="August",8,U1175="September",9,U1175="October",10,U1175="November",11,U1175="December",12)</f>
        <v>#N/A</v>
      </c>
    </row>
    <row r="1176" spans="1:23" ht="15.75" customHeight="1" x14ac:dyDescent="0.25">
      <c r="A1176" s="2" t="s">
        <v>2113</v>
      </c>
      <c r="B1176" s="3">
        <v>45869.816377314812</v>
      </c>
      <c r="C1176" s="2" t="s">
        <v>459</v>
      </c>
      <c r="D1176" s="2" t="s">
        <v>61</v>
      </c>
      <c r="E1176" s="2" t="s">
        <v>186</v>
      </c>
      <c r="F1176" s="2" t="str" cm="1">
        <f t="array" ref="F1176:G1176">_xlfn.TEXTSPLIT(E1176," - ")</f>
        <v>Susu Bubuk</v>
      </c>
      <c r="G1176" s="2" t="str">
        <v>Brand A</v>
      </c>
      <c r="H1176" s="5">
        <v>45000</v>
      </c>
      <c r="I1176" s="2">
        <v>4</v>
      </c>
      <c r="J1176" s="2">
        <v>15</v>
      </c>
      <c r="K1176" s="8">
        <f t="shared" si="108"/>
        <v>180000</v>
      </c>
      <c r="L1176" s="8">
        <f t="shared" si="109"/>
        <v>27000</v>
      </c>
      <c r="M1176" s="8">
        <f t="shared" si="110"/>
        <v>153000</v>
      </c>
      <c r="N1176" s="5">
        <v>26000</v>
      </c>
      <c r="O1176" s="8">
        <f t="shared" si="111"/>
        <v>179000</v>
      </c>
      <c r="P1176" s="2" t="s">
        <v>63</v>
      </c>
      <c r="Q1176" s="10" t="str">
        <f>VLOOKUP(A1176,Status!A:B,2,0)</f>
        <v>Completed</v>
      </c>
      <c r="R1176" s="2" t="s">
        <v>82</v>
      </c>
      <c r="S1176" s="2">
        <v>5</v>
      </c>
      <c r="T1176" s="2" t="s">
        <v>24</v>
      </c>
      <c r="U1176" s="10" t="str">
        <f t="shared" si="113"/>
        <v>Jul</v>
      </c>
      <c r="V1176" s="10">
        <f t="shared" si="112"/>
        <v>2025</v>
      </c>
      <c r="W1176" t="e" cm="1">
        <f t="array" ref="W1176">_xlfn.IFS(U1176="January",1,U1176="February",2,U1176="March",3,U1176="April",4,U1176="May",5,U1176="June",6,U1176="July",7,U1176="August",8,U1176="September",9,U1176="October",10,U1176="November",11,U1176="December",12)</f>
        <v>#N/A</v>
      </c>
    </row>
    <row r="1177" spans="1:23" ht="15.75" customHeight="1" x14ac:dyDescent="0.25">
      <c r="A1177" s="2" t="s">
        <v>2114</v>
      </c>
      <c r="B1177" s="3">
        <v>45869.988287037027</v>
      </c>
      <c r="C1177" s="2" t="s">
        <v>656</v>
      </c>
      <c r="D1177" s="2" t="s">
        <v>195</v>
      </c>
      <c r="E1177" s="2" t="s">
        <v>104</v>
      </c>
      <c r="F1177" s="2" t="str" cm="1">
        <f t="array" ref="F1177:G1177">_xlfn.TEXTSPLIT(E1177," - ")</f>
        <v>Bawang Merah</v>
      </c>
      <c r="G1177" s="2" t="str">
        <v>Brand A</v>
      </c>
      <c r="H1177" s="5">
        <v>30000</v>
      </c>
      <c r="I1177" s="2">
        <v>2</v>
      </c>
      <c r="J1177" s="2">
        <v>10</v>
      </c>
      <c r="K1177" s="8">
        <f t="shared" si="108"/>
        <v>60000</v>
      </c>
      <c r="L1177" s="8">
        <f t="shared" si="109"/>
        <v>6000</v>
      </c>
      <c r="M1177" s="8">
        <f t="shared" si="110"/>
        <v>54000</v>
      </c>
      <c r="N1177" s="5">
        <v>87000</v>
      </c>
      <c r="O1177" s="8">
        <f t="shared" si="111"/>
        <v>141000</v>
      </c>
      <c r="P1177" s="2" t="s">
        <v>63</v>
      </c>
      <c r="Q1177" s="10" t="str">
        <f>VLOOKUP(A1177,Status!A:B,2,0)</f>
        <v>Completed</v>
      </c>
      <c r="R1177" s="2" t="s">
        <v>23</v>
      </c>
      <c r="S1177" s="2">
        <v>4</v>
      </c>
      <c r="T1177" s="2" t="s">
        <v>37</v>
      </c>
      <c r="U1177" s="10" t="str">
        <f t="shared" si="113"/>
        <v>Jul</v>
      </c>
      <c r="V1177" s="10">
        <f t="shared" si="112"/>
        <v>2025</v>
      </c>
      <c r="W1177" t="e" cm="1">
        <f t="array" ref="W1177">_xlfn.IFS(U1177="January",1,U1177="February",2,U1177="March",3,U1177="April",4,U1177="May",5,U1177="June",6,U1177="July",7,U1177="August",8,U1177="September",9,U1177="October",10,U1177="November",11,U1177="December",12)</f>
        <v>#N/A</v>
      </c>
    </row>
    <row r="1178" spans="1:23" ht="15.75" customHeight="1" x14ac:dyDescent="0.25">
      <c r="A1178" s="2" t="s">
        <v>2115</v>
      </c>
      <c r="B1178" s="3">
        <v>45870.3825</v>
      </c>
      <c r="C1178" s="2" t="s">
        <v>1985</v>
      </c>
      <c r="D1178" s="2" t="s">
        <v>20</v>
      </c>
      <c r="E1178" s="2" t="s">
        <v>250</v>
      </c>
      <c r="F1178" s="2" t="str" cm="1">
        <f t="array" ref="F1178:G1178">_xlfn.TEXTSPLIT(E1178," - ")</f>
        <v>Minyak Goreng</v>
      </c>
      <c r="G1178" s="2" t="str">
        <v>Brand C</v>
      </c>
      <c r="H1178" s="5">
        <v>18000</v>
      </c>
      <c r="I1178" s="2">
        <v>3</v>
      </c>
      <c r="J1178" s="2">
        <v>10</v>
      </c>
      <c r="K1178" s="8">
        <f t="shared" si="108"/>
        <v>54000</v>
      </c>
      <c r="L1178" s="8">
        <f t="shared" si="109"/>
        <v>5400</v>
      </c>
      <c r="M1178" s="8">
        <f t="shared" si="110"/>
        <v>48600</v>
      </c>
      <c r="N1178" s="5">
        <v>15000</v>
      </c>
      <c r="O1178" s="8">
        <f t="shared" si="111"/>
        <v>63600</v>
      </c>
      <c r="P1178" s="2" t="s">
        <v>35</v>
      </c>
      <c r="Q1178" s="10" t="str">
        <f>VLOOKUP(A1178,Status!A:B,2,0)</f>
        <v>Completed</v>
      </c>
      <c r="R1178" s="2" t="s">
        <v>82</v>
      </c>
      <c r="S1178" s="2">
        <v>2</v>
      </c>
      <c r="T1178" s="2" t="s">
        <v>24</v>
      </c>
      <c r="U1178" s="10" t="str">
        <f t="shared" si="113"/>
        <v>Aug</v>
      </c>
      <c r="V1178" s="10">
        <f t="shared" si="112"/>
        <v>2025</v>
      </c>
      <c r="W1178" t="e" cm="1">
        <f t="array" ref="W1178">_xlfn.IFS(U1178="January",1,U1178="February",2,U1178="March",3,U1178="April",4,U1178="May",5,U1178="June",6,U1178="July",7,U1178="August",8,U1178="September",9,U1178="October",10,U1178="November",11,U1178="December",12)</f>
        <v>#N/A</v>
      </c>
    </row>
    <row r="1179" spans="1:23" ht="15.75" customHeight="1" x14ac:dyDescent="0.25">
      <c r="A1179" s="2" t="s">
        <v>2116</v>
      </c>
      <c r="B1179" s="3">
        <v>45870.79791666667</v>
      </c>
      <c r="C1179" s="2" t="s">
        <v>1038</v>
      </c>
      <c r="D1179" s="2" t="s">
        <v>53</v>
      </c>
      <c r="E1179" s="2" t="s">
        <v>62</v>
      </c>
      <c r="F1179" s="2" t="str" cm="1">
        <f t="array" ref="F1179:G1179">_xlfn.TEXTSPLIT(E1179," - ")</f>
        <v>Susu Bubuk</v>
      </c>
      <c r="G1179" s="2" t="str">
        <v>Brand B</v>
      </c>
      <c r="H1179" s="5">
        <v>50000</v>
      </c>
      <c r="I1179" s="2">
        <v>3</v>
      </c>
      <c r="J1179" s="2">
        <v>20</v>
      </c>
      <c r="K1179" s="8">
        <f t="shared" si="108"/>
        <v>150000</v>
      </c>
      <c r="L1179" s="8">
        <f t="shared" si="109"/>
        <v>30000</v>
      </c>
      <c r="M1179" s="8">
        <f t="shared" si="110"/>
        <v>120000</v>
      </c>
      <c r="N1179" s="5">
        <v>18000</v>
      </c>
      <c r="O1179" s="8">
        <f t="shared" si="111"/>
        <v>138000</v>
      </c>
      <c r="P1179" s="2" t="s">
        <v>22</v>
      </c>
      <c r="Q1179" s="10" t="str">
        <f>VLOOKUP(A1179,Status!A:B,2,0)</f>
        <v>Shipped</v>
      </c>
      <c r="R1179" s="2" t="s">
        <v>30</v>
      </c>
      <c r="S1179" s="2">
        <v>3</v>
      </c>
      <c r="T1179" s="2" t="s">
        <v>24</v>
      </c>
      <c r="U1179" s="10" t="str">
        <f t="shared" si="113"/>
        <v>Aug</v>
      </c>
      <c r="V1179" s="10">
        <f t="shared" si="112"/>
        <v>2025</v>
      </c>
      <c r="W1179" t="e" cm="1">
        <f t="array" ref="W1179">_xlfn.IFS(U1179="January",1,U1179="February",2,U1179="March",3,U1179="April",4,U1179="May",5,U1179="June",6,U1179="July",7,U1179="August",8,U1179="September",9,U1179="October",10,U1179="November",11,U1179="December",12)</f>
        <v>#N/A</v>
      </c>
    </row>
    <row r="1180" spans="1:23" ht="15.75" customHeight="1" x14ac:dyDescent="0.25">
      <c r="A1180" s="2" t="s">
        <v>2117</v>
      </c>
      <c r="B1180" s="3">
        <v>45871.337280092594</v>
      </c>
      <c r="C1180" s="2" t="s">
        <v>368</v>
      </c>
      <c r="D1180" s="2" t="s">
        <v>113</v>
      </c>
      <c r="E1180" s="2" t="s">
        <v>34</v>
      </c>
      <c r="F1180" s="2" t="str" cm="1">
        <f t="array" ref="F1180:G1180">_xlfn.TEXTSPLIT(E1180," - ")</f>
        <v>Minyak Goreng</v>
      </c>
      <c r="G1180" s="2" t="str">
        <v>Brand A</v>
      </c>
      <c r="H1180" s="5">
        <v>16000</v>
      </c>
      <c r="I1180" s="2">
        <v>4</v>
      </c>
      <c r="J1180" s="2">
        <v>5</v>
      </c>
      <c r="K1180" s="8">
        <f t="shared" si="108"/>
        <v>64000</v>
      </c>
      <c r="L1180" s="8">
        <f t="shared" si="109"/>
        <v>3200</v>
      </c>
      <c r="M1180" s="8">
        <f t="shared" si="110"/>
        <v>60800</v>
      </c>
      <c r="N1180" s="5">
        <v>18000</v>
      </c>
      <c r="O1180" s="8">
        <f t="shared" si="111"/>
        <v>78800</v>
      </c>
      <c r="P1180" s="2" t="s">
        <v>22</v>
      </c>
      <c r="Q1180" s="10" t="str">
        <f>VLOOKUP(A1180,Status!A:B,2,0)</f>
        <v>Shipped</v>
      </c>
      <c r="R1180" s="2" t="s">
        <v>30</v>
      </c>
      <c r="S1180" s="2">
        <v>5</v>
      </c>
      <c r="T1180" s="2" t="s">
        <v>37</v>
      </c>
      <c r="U1180" s="10" t="str">
        <f t="shared" si="113"/>
        <v>Aug</v>
      </c>
      <c r="V1180" s="10">
        <f t="shared" si="112"/>
        <v>2025</v>
      </c>
      <c r="W1180" t="e" cm="1">
        <f t="array" ref="W1180">_xlfn.IFS(U1180="January",1,U1180="February",2,U1180="March",3,U1180="April",4,U1180="May",5,U1180="June",6,U1180="July",7,U1180="August",8,U1180="September",9,U1180="October",10,U1180="November",11,U1180="December",12)</f>
        <v>#N/A</v>
      </c>
    </row>
    <row r="1181" spans="1:23" ht="15.75" customHeight="1" x14ac:dyDescent="0.25">
      <c r="A1181" s="2" t="s">
        <v>2118</v>
      </c>
      <c r="B1181" s="3">
        <v>45871.490358796298</v>
      </c>
      <c r="C1181" s="2" t="s">
        <v>683</v>
      </c>
      <c r="D1181" s="2" t="s">
        <v>27</v>
      </c>
      <c r="E1181" s="2" t="s">
        <v>250</v>
      </c>
      <c r="F1181" s="2" t="str" cm="1">
        <f t="array" ref="F1181:G1181">_xlfn.TEXTSPLIT(E1181," - ")</f>
        <v>Minyak Goreng</v>
      </c>
      <c r="G1181" s="2" t="str">
        <v>Brand C</v>
      </c>
      <c r="H1181" s="5">
        <v>18000</v>
      </c>
      <c r="I1181" s="2">
        <v>3</v>
      </c>
      <c r="J1181" s="2">
        <v>0</v>
      </c>
      <c r="K1181" s="8">
        <f t="shared" si="108"/>
        <v>54000</v>
      </c>
      <c r="L1181" s="8">
        <f t="shared" si="109"/>
        <v>0</v>
      </c>
      <c r="M1181" s="8">
        <f t="shared" si="110"/>
        <v>54000</v>
      </c>
      <c r="N1181" s="5">
        <v>17000</v>
      </c>
      <c r="O1181" s="8">
        <f t="shared" si="111"/>
        <v>71000</v>
      </c>
      <c r="P1181" s="2" t="s">
        <v>35</v>
      </c>
      <c r="Q1181" s="10" t="str">
        <f>VLOOKUP(A1181,Status!A:B,2,0)</f>
        <v>Pending</v>
      </c>
      <c r="R1181" s="2" t="s">
        <v>36</v>
      </c>
      <c r="S1181" s="2">
        <v>4</v>
      </c>
      <c r="T1181" s="2" t="s">
        <v>37</v>
      </c>
      <c r="U1181" s="10" t="str">
        <f t="shared" si="113"/>
        <v>Aug</v>
      </c>
      <c r="V1181" s="10">
        <f t="shared" si="112"/>
        <v>2025</v>
      </c>
      <c r="W1181" t="e" cm="1">
        <f t="array" ref="W1181">_xlfn.IFS(U1181="January",1,U1181="February",2,U1181="March",3,U1181="April",4,U1181="May",5,U1181="June",6,U1181="July",7,U1181="August",8,U1181="September",9,U1181="October",10,U1181="November",11,U1181="December",12)</f>
        <v>#N/A</v>
      </c>
    </row>
    <row r="1182" spans="1:23" ht="15.75" customHeight="1" x14ac:dyDescent="0.25">
      <c r="A1182" s="2" t="s">
        <v>2119</v>
      </c>
      <c r="B1182" s="3">
        <v>45871.750162037039</v>
      </c>
      <c r="C1182" s="2" t="s">
        <v>644</v>
      </c>
      <c r="D1182" s="2" t="s">
        <v>244</v>
      </c>
      <c r="E1182" s="2" t="s">
        <v>104</v>
      </c>
      <c r="F1182" s="2" t="str" cm="1">
        <f t="array" ref="F1182:G1182">_xlfn.TEXTSPLIT(E1182," - ")</f>
        <v>Bawang Merah</v>
      </c>
      <c r="G1182" s="2" t="str">
        <v>Brand A</v>
      </c>
      <c r="H1182" s="5">
        <v>30000</v>
      </c>
      <c r="I1182" s="2">
        <v>4</v>
      </c>
      <c r="J1182" s="2">
        <v>0</v>
      </c>
      <c r="K1182" s="8">
        <f t="shared" si="108"/>
        <v>120000</v>
      </c>
      <c r="L1182" s="8">
        <f t="shared" si="109"/>
        <v>0</v>
      </c>
      <c r="M1182" s="8">
        <f t="shared" si="110"/>
        <v>120000</v>
      </c>
      <c r="N1182" s="5">
        <v>80000</v>
      </c>
      <c r="O1182" s="8">
        <f t="shared" si="111"/>
        <v>200000</v>
      </c>
      <c r="P1182" s="2" t="s">
        <v>63</v>
      </c>
      <c r="Q1182" s="10" t="str">
        <f>VLOOKUP(A1182,Status!A:B,2,0)</f>
        <v>Pending</v>
      </c>
      <c r="R1182" s="2" t="s">
        <v>30</v>
      </c>
      <c r="S1182" s="2">
        <v>5</v>
      </c>
      <c r="T1182" s="2" t="s">
        <v>24</v>
      </c>
      <c r="U1182" s="10" t="str">
        <f t="shared" si="113"/>
        <v>Aug</v>
      </c>
      <c r="V1182" s="10">
        <f t="shared" si="112"/>
        <v>2025</v>
      </c>
      <c r="W1182" t="e" cm="1">
        <f t="array" ref="W1182">_xlfn.IFS(U1182="January",1,U1182="February",2,U1182="March",3,U1182="April",4,U1182="May",5,U1182="June",6,U1182="July",7,U1182="August",8,U1182="September",9,U1182="October",10,U1182="November",11,U1182="December",12)</f>
        <v>#N/A</v>
      </c>
    </row>
    <row r="1183" spans="1:23" ht="15.75" customHeight="1" x14ac:dyDescent="0.25">
      <c r="A1183" s="2" t="s">
        <v>2120</v>
      </c>
      <c r="B1183" s="3">
        <v>45872.077731481477</v>
      </c>
      <c r="C1183" s="2" t="s">
        <v>176</v>
      </c>
      <c r="D1183" s="2" t="s">
        <v>177</v>
      </c>
      <c r="E1183" s="2" t="s">
        <v>93</v>
      </c>
      <c r="F1183" s="2" t="str" cm="1">
        <f t="array" ref="F1183:G1183">_xlfn.TEXTSPLIT(E1183," - ")</f>
        <v>Telur Ayam</v>
      </c>
      <c r="G1183" s="2" t="str">
        <v>Brand B</v>
      </c>
      <c r="H1183" s="5">
        <v>25000</v>
      </c>
      <c r="I1183" s="2">
        <v>1</v>
      </c>
      <c r="J1183" s="2">
        <v>20</v>
      </c>
      <c r="K1183" s="8">
        <f t="shared" si="108"/>
        <v>25000</v>
      </c>
      <c r="L1183" s="8">
        <f t="shared" si="109"/>
        <v>5000</v>
      </c>
      <c r="M1183" s="8">
        <f t="shared" si="110"/>
        <v>20000</v>
      </c>
      <c r="N1183" s="5">
        <v>56000</v>
      </c>
      <c r="O1183" s="8">
        <f t="shared" si="111"/>
        <v>76000</v>
      </c>
      <c r="P1183" s="2" t="s">
        <v>35</v>
      </c>
      <c r="Q1183" s="10" t="str">
        <f>VLOOKUP(A1183,Status!A:B,2,0)</f>
        <v>Pending</v>
      </c>
      <c r="R1183" s="2" t="s">
        <v>46</v>
      </c>
      <c r="S1183" s="2">
        <v>5</v>
      </c>
      <c r="T1183" s="2" t="s">
        <v>24</v>
      </c>
      <c r="U1183" s="10" t="str">
        <f t="shared" si="113"/>
        <v>Aug</v>
      </c>
      <c r="V1183" s="10">
        <f t="shared" si="112"/>
        <v>2025</v>
      </c>
      <c r="W1183" t="e" cm="1">
        <f t="array" ref="W1183">_xlfn.IFS(U1183="January",1,U1183="February",2,U1183="March",3,U1183="April",4,U1183="May",5,U1183="June",6,U1183="July",7,U1183="August",8,U1183="September",9,U1183="October",10,U1183="November",11,U1183="December",12)</f>
        <v>#N/A</v>
      </c>
    </row>
    <row r="1184" spans="1:23" ht="15.75" customHeight="1" x14ac:dyDescent="0.25">
      <c r="A1184" s="2" t="s">
        <v>2121</v>
      </c>
      <c r="B1184" s="3">
        <v>45872.096770833326</v>
      </c>
      <c r="C1184" s="2" t="s">
        <v>311</v>
      </c>
      <c r="D1184" s="2" t="s">
        <v>116</v>
      </c>
      <c r="E1184" s="2" t="s">
        <v>21</v>
      </c>
      <c r="F1184" s="2" t="str" cm="1">
        <f t="array" ref="F1184:G1184">_xlfn.TEXTSPLIT(E1184," - ")</f>
        <v>Daging Ayam</v>
      </c>
      <c r="G1184" s="2" t="str">
        <v>Brand C</v>
      </c>
      <c r="H1184" s="5">
        <v>45000</v>
      </c>
      <c r="I1184" s="2">
        <v>5</v>
      </c>
      <c r="J1184" s="2">
        <v>0</v>
      </c>
      <c r="K1184" s="8">
        <f t="shared" si="108"/>
        <v>225000</v>
      </c>
      <c r="L1184" s="8">
        <f t="shared" si="109"/>
        <v>0</v>
      </c>
      <c r="M1184" s="8">
        <f t="shared" si="110"/>
        <v>225000</v>
      </c>
      <c r="N1184" s="5">
        <v>72000</v>
      </c>
      <c r="O1184" s="8">
        <f t="shared" si="111"/>
        <v>297000</v>
      </c>
      <c r="P1184" s="2" t="s">
        <v>29</v>
      </c>
      <c r="Q1184" s="10" t="str">
        <f>VLOOKUP(A1184,Status!A:B,2,0)</f>
        <v>Returned</v>
      </c>
      <c r="R1184" s="2" t="s">
        <v>30</v>
      </c>
      <c r="S1184" s="2">
        <v>3</v>
      </c>
      <c r="T1184" s="2" t="s">
        <v>24</v>
      </c>
      <c r="U1184" s="10" t="str">
        <f t="shared" si="113"/>
        <v>Aug</v>
      </c>
      <c r="V1184" s="10">
        <f t="shared" si="112"/>
        <v>2025</v>
      </c>
      <c r="W1184" t="e" cm="1">
        <f t="array" ref="W1184">_xlfn.IFS(U1184="January",1,U1184="February",2,U1184="March",3,U1184="April",4,U1184="May",5,U1184="June",6,U1184="July",7,U1184="August",8,U1184="September",9,U1184="October",10,U1184="November",11,U1184="December",12)</f>
        <v>#N/A</v>
      </c>
    </row>
    <row r="1185" spans="1:23" ht="15.75" customHeight="1" x14ac:dyDescent="0.25">
      <c r="A1185" s="2" t="s">
        <v>2122</v>
      </c>
      <c r="B1185" s="3">
        <v>45872.123749999999</v>
      </c>
      <c r="C1185" s="2" t="s">
        <v>118</v>
      </c>
      <c r="D1185" s="2" t="s">
        <v>119</v>
      </c>
      <c r="E1185" s="2" t="s">
        <v>250</v>
      </c>
      <c r="F1185" s="2" t="str" cm="1">
        <f t="array" ref="F1185:G1185">_xlfn.TEXTSPLIT(E1185," - ")</f>
        <v>Minyak Goreng</v>
      </c>
      <c r="G1185" s="2" t="str">
        <v>Brand C</v>
      </c>
      <c r="H1185" s="5">
        <v>18000</v>
      </c>
      <c r="I1185" s="2">
        <v>4</v>
      </c>
      <c r="J1185" s="2">
        <v>5</v>
      </c>
      <c r="K1185" s="8">
        <f t="shared" si="108"/>
        <v>72000</v>
      </c>
      <c r="L1185" s="8">
        <f t="shared" si="109"/>
        <v>3600</v>
      </c>
      <c r="M1185" s="8">
        <f t="shared" si="110"/>
        <v>68400</v>
      </c>
      <c r="N1185" s="5">
        <v>0</v>
      </c>
      <c r="O1185" s="8">
        <f t="shared" si="111"/>
        <v>68400</v>
      </c>
      <c r="P1185" s="2" t="s">
        <v>29</v>
      </c>
      <c r="Q1185" s="10" t="str">
        <f>VLOOKUP(A1185,Status!A:B,2,0)</f>
        <v>Completed</v>
      </c>
      <c r="R1185" s="2" t="s">
        <v>46</v>
      </c>
      <c r="S1185" s="2">
        <v>3</v>
      </c>
      <c r="T1185" s="2" t="s">
        <v>24</v>
      </c>
      <c r="U1185" s="10" t="str">
        <f t="shared" si="113"/>
        <v>Aug</v>
      </c>
      <c r="V1185" s="10">
        <f t="shared" si="112"/>
        <v>2025</v>
      </c>
      <c r="W1185" t="e" cm="1">
        <f t="array" ref="W1185">_xlfn.IFS(U1185="January",1,U1185="February",2,U1185="March",3,U1185="April",4,U1185="May",5,U1185="June",6,U1185="July",7,U1185="August",8,U1185="September",9,U1185="October",10,U1185="November",11,U1185="December",12)</f>
        <v>#N/A</v>
      </c>
    </row>
    <row r="1186" spans="1:23" ht="15.75" customHeight="1" x14ac:dyDescent="0.25">
      <c r="A1186" s="2" t="s">
        <v>2123</v>
      </c>
      <c r="B1186" s="3">
        <v>45872.378136574072</v>
      </c>
      <c r="C1186" s="2" t="s">
        <v>2124</v>
      </c>
      <c r="D1186" s="2" t="s">
        <v>151</v>
      </c>
      <c r="E1186" s="2" t="s">
        <v>186</v>
      </c>
      <c r="F1186" s="2" t="str" cm="1">
        <f t="array" ref="F1186:G1186">_xlfn.TEXTSPLIT(E1186," - ")</f>
        <v>Susu Bubuk</v>
      </c>
      <c r="G1186" s="2" t="str">
        <v>Brand A</v>
      </c>
      <c r="H1186" s="5">
        <v>45000</v>
      </c>
      <c r="I1186" s="2">
        <v>1</v>
      </c>
      <c r="J1186" s="2">
        <v>5</v>
      </c>
      <c r="K1186" s="8">
        <f t="shared" si="108"/>
        <v>45000</v>
      </c>
      <c r="L1186" s="8">
        <f t="shared" si="109"/>
        <v>2250</v>
      </c>
      <c r="M1186" s="8">
        <f t="shared" si="110"/>
        <v>42750</v>
      </c>
      <c r="N1186" s="5">
        <v>55000</v>
      </c>
      <c r="O1186" s="8">
        <f t="shared" si="111"/>
        <v>97750</v>
      </c>
      <c r="P1186" s="2" t="s">
        <v>35</v>
      </c>
      <c r="Q1186" s="10" t="str">
        <f>VLOOKUP(A1186,Status!A:B,2,0)</f>
        <v>Completed</v>
      </c>
      <c r="R1186" s="2" t="s">
        <v>46</v>
      </c>
      <c r="S1186" s="2">
        <v>1</v>
      </c>
      <c r="T1186" s="2" t="s">
        <v>37</v>
      </c>
      <c r="U1186" s="10" t="str">
        <f t="shared" si="113"/>
        <v>Aug</v>
      </c>
      <c r="V1186" s="10">
        <f t="shared" si="112"/>
        <v>2025</v>
      </c>
      <c r="W1186" t="e" cm="1">
        <f t="array" ref="W1186">_xlfn.IFS(U1186="January",1,U1186="February",2,U1186="March",3,U1186="April",4,U1186="May",5,U1186="June",6,U1186="July",7,U1186="August",8,U1186="September",9,U1186="October",10,U1186="November",11,U1186="December",12)</f>
        <v>#N/A</v>
      </c>
    </row>
    <row r="1187" spans="1:23" ht="15.75" customHeight="1" x14ac:dyDescent="0.25">
      <c r="A1187" s="2" t="s">
        <v>2125</v>
      </c>
      <c r="B1187" s="3">
        <v>45872.387523148151</v>
      </c>
      <c r="C1187" s="2" t="s">
        <v>860</v>
      </c>
      <c r="D1187" s="2" t="s">
        <v>44</v>
      </c>
      <c r="E1187" s="2" t="s">
        <v>88</v>
      </c>
      <c r="F1187" s="2" t="str" cm="1">
        <f t="array" ref="F1187:G1187">_xlfn.TEXTSPLIT(E1187," - ")</f>
        <v>Beras</v>
      </c>
      <c r="G1187" s="2" t="str">
        <v>Brand A</v>
      </c>
      <c r="H1187" s="5">
        <v>14000</v>
      </c>
      <c r="I1187" s="2">
        <v>1</v>
      </c>
      <c r="J1187" s="2">
        <v>5</v>
      </c>
      <c r="K1187" s="8">
        <f t="shared" si="108"/>
        <v>14000</v>
      </c>
      <c r="L1187" s="8">
        <f t="shared" si="109"/>
        <v>700</v>
      </c>
      <c r="M1187" s="8">
        <f t="shared" si="110"/>
        <v>13300</v>
      </c>
      <c r="N1187" s="5">
        <v>93000</v>
      </c>
      <c r="O1187" s="8">
        <f t="shared" si="111"/>
        <v>106300</v>
      </c>
      <c r="P1187" s="2" t="s">
        <v>22</v>
      </c>
      <c r="Q1187" s="10" t="str">
        <f>VLOOKUP(A1187,Status!A:B,2,0)</f>
        <v>Returned</v>
      </c>
      <c r="R1187" s="2" t="s">
        <v>36</v>
      </c>
      <c r="S1187" s="2">
        <v>2</v>
      </c>
      <c r="T1187" s="2" t="s">
        <v>37</v>
      </c>
      <c r="U1187" s="10" t="str">
        <f t="shared" si="113"/>
        <v>Aug</v>
      </c>
      <c r="V1187" s="10">
        <f t="shared" si="112"/>
        <v>2025</v>
      </c>
      <c r="W1187" t="e" cm="1">
        <f t="array" ref="W1187">_xlfn.IFS(U1187="January",1,U1187="February",2,U1187="March",3,U1187="April",4,U1187="May",5,U1187="June",6,U1187="July",7,U1187="August",8,U1187="September",9,U1187="October",10,U1187="November",11,U1187="December",12)</f>
        <v>#N/A</v>
      </c>
    </row>
    <row r="1188" spans="1:23" ht="15.75" customHeight="1" x14ac:dyDescent="0.25">
      <c r="A1188" s="2" t="s">
        <v>2126</v>
      </c>
      <c r="B1188" s="3">
        <v>45872.414965277778</v>
      </c>
      <c r="C1188" s="2" t="s">
        <v>570</v>
      </c>
      <c r="D1188" s="2" t="s">
        <v>80</v>
      </c>
      <c r="E1188" s="2" t="s">
        <v>62</v>
      </c>
      <c r="F1188" s="2" t="str" cm="1">
        <f t="array" ref="F1188:G1188">_xlfn.TEXTSPLIT(E1188," - ")</f>
        <v>Susu Bubuk</v>
      </c>
      <c r="G1188" s="2" t="str">
        <v>Brand B</v>
      </c>
      <c r="H1188" s="5">
        <v>50000</v>
      </c>
      <c r="I1188" s="2">
        <v>5</v>
      </c>
      <c r="J1188" s="2">
        <v>10</v>
      </c>
      <c r="K1188" s="8">
        <f t="shared" si="108"/>
        <v>250000</v>
      </c>
      <c r="L1188" s="8">
        <f t="shared" si="109"/>
        <v>25000</v>
      </c>
      <c r="M1188" s="8">
        <f t="shared" si="110"/>
        <v>225000</v>
      </c>
      <c r="N1188" s="5">
        <v>74000</v>
      </c>
      <c r="O1188" s="8">
        <f t="shared" si="111"/>
        <v>299000</v>
      </c>
      <c r="P1188" s="2" t="s">
        <v>63</v>
      </c>
      <c r="Q1188" s="10" t="str">
        <f>VLOOKUP(A1188,Status!A:B,2,0)</f>
        <v>Shipped</v>
      </c>
      <c r="R1188" s="2" t="s">
        <v>30</v>
      </c>
      <c r="S1188" s="2">
        <v>5</v>
      </c>
      <c r="T1188" s="2" t="s">
        <v>24</v>
      </c>
      <c r="U1188" s="10" t="str">
        <f t="shared" si="113"/>
        <v>Aug</v>
      </c>
      <c r="V1188" s="10">
        <f t="shared" si="112"/>
        <v>2025</v>
      </c>
      <c r="W1188" t="e" cm="1">
        <f t="array" ref="W1188">_xlfn.IFS(U1188="January",1,U1188="February",2,U1188="March",3,U1188="April",4,U1188="May",5,U1188="June",6,U1188="July",7,U1188="August",8,U1188="September",9,U1188="October",10,U1188="November",11,U1188="December",12)</f>
        <v>#N/A</v>
      </c>
    </row>
    <row r="1189" spans="1:23" ht="15.75" customHeight="1" x14ac:dyDescent="0.25">
      <c r="A1189" s="2" t="s">
        <v>2126</v>
      </c>
      <c r="B1189" s="3">
        <v>45872.414965277778</v>
      </c>
      <c r="C1189" s="2" t="s">
        <v>570</v>
      </c>
      <c r="D1189" s="2" t="s">
        <v>80</v>
      </c>
      <c r="E1189" s="2" t="s">
        <v>41</v>
      </c>
      <c r="F1189" s="2" t="str" cm="1">
        <f t="array" ref="F1189:G1189">_xlfn.TEXTSPLIT(E1189," - ")</f>
        <v>Garam</v>
      </c>
      <c r="G1189" s="2" t="str">
        <v>Brand A</v>
      </c>
      <c r="H1189" s="5">
        <v>4000</v>
      </c>
      <c r="I1189" s="2">
        <v>2</v>
      </c>
      <c r="J1189" s="2">
        <v>0</v>
      </c>
      <c r="K1189" s="8">
        <f t="shared" si="108"/>
        <v>8000</v>
      </c>
      <c r="L1189" s="8">
        <f t="shared" si="109"/>
        <v>0</v>
      </c>
      <c r="M1189" s="8">
        <f t="shared" si="110"/>
        <v>8000</v>
      </c>
      <c r="N1189" s="5">
        <v>0</v>
      </c>
      <c r="O1189" s="8">
        <f t="shared" si="111"/>
        <v>8000</v>
      </c>
      <c r="P1189" s="2" t="s">
        <v>63</v>
      </c>
      <c r="Q1189" s="10" t="str">
        <f>VLOOKUP(A1189,Status!A:B,2,0)</f>
        <v>Shipped</v>
      </c>
      <c r="R1189" s="2" t="s">
        <v>30</v>
      </c>
      <c r="S1189" s="2">
        <v>5</v>
      </c>
      <c r="T1189" s="2" t="s">
        <v>24</v>
      </c>
      <c r="U1189" s="10" t="str">
        <f t="shared" si="113"/>
        <v>Aug</v>
      </c>
      <c r="V1189" s="10">
        <f t="shared" si="112"/>
        <v>2025</v>
      </c>
      <c r="W1189" t="e" cm="1">
        <f t="array" ref="W1189">_xlfn.IFS(U1189="January",1,U1189="February",2,U1189="March",3,U1189="April",4,U1189="May",5,U1189="June",6,U1189="July",7,U1189="August",8,U1189="September",9,U1189="October",10,U1189="November",11,U1189="December",12)</f>
        <v>#N/A</v>
      </c>
    </row>
    <row r="1190" spans="1:23" ht="15.75" customHeight="1" x14ac:dyDescent="0.25">
      <c r="A1190" s="2" t="s">
        <v>2127</v>
      </c>
      <c r="B1190" s="3">
        <v>45872.512638888889</v>
      </c>
      <c r="C1190" s="2" t="s">
        <v>1263</v>
      </c>
      <c r="D1190" s="2" t="s">
        <v>435</v>
      </c>
      <c r="E1190" s="2" t="s">
        <v>136</v>
      </c>
      <c r="F1190" s="2" t="str" cm="1">
        <f t="array" ref="F1190:G1190">_xlfn.TEXTSPLIT(E1190," - ")</f>
        <v>Tepung Terigu</v>
      </c>
      <c r="G1190" s="2" t="str">
        <v>Brand B</v>
      </c>
      <c r="H1190" s="5">
        <v>12000</v>
      </c>
      <c r="I1190" s="2">
        <v>4</v>
      </c>
      <c r="J1190" s="2">
        <v>20</v>
      </c>
      <c r="K1190" s="8">
        <f t="shared" si="108"/>
        <v>48000</v>
      </c>
      <c r="L1190" s="8">
        <f t="shared" si="109"/>
        <v>9600</v>
      </c>
      <c r="M1190" s="8">
        <f t="shared" si="110"/>
        <v>38400</v>
      </c>
      <c r="N1190" s="5">
        <v>67000</v>
      </c>
      <c r="O1190" s="8">
        <f t="shared" si="111"/>
        <v>105400</v>
      </c>
      <c r="P1190" s="2" t="s">
        <v>63</v>
      </c>
      <c r="Q1190" s="10" t="str">
        <f>VLOOKUP(A1190,Status!A:B,2,0)</f>
        <v>Completed</v>
      </c>
      <c r="R1190" s="2" t="s">
        <v>23</v>
      </c>
      <c r="S1190" s="2">
        <v>1</v>
      </c>
      <c r="T1190" s="2" t="s">
        <v>24</v>
      </c>
      <c r="U1190" s="10" t="str">
        <f t="shared" si="113"/>
        <v>Aug</v>
      </c>
      <c r="V1190" s="10">
        <f t="shared" si="112"/>
        <v>2025</v>
      </c>
      <c r="W1190" t="e" cm="1">
        <f t="array" ref="W1190">_xlfn.IFS(U1190="January",1,U1190="February",2,U1190="March",3,U1190="April",4,U1190="May",5,U1190="June",6,U1190="July",7,U1190="August",8,U1190="September",9,U1190="October",10,U1190="November",11,U1190="December",12)</f>
        <v>#N/A</v>
      </c>
    </row>
    <row r="1191" spans="1:23" ht="15.75" customHeight="1" x14ac:dyDescent="0.25">
      <c r="A1191" s="2" t="s">
        <v>2128</v>
      </c>
      <c r="B1191" s="3">
        <v>45872.690312500003</v>
      </c>
      <c r="C1191" s="2" t="s">
        <v>179</v>
      </c>
      <c r="D1191" s="2" t="s">
        <v>66</v>
      </c>
      <c r="E1191" s="2" t="s">
        <v>67</v>
      </c>
      <c r="F1191" s="2" t="str" cm="1">
        <f t="array" ref="F1191:G1191">_xlfn.TEXTSPLIT(E1191," - ")</f>
        <v>Beras</v>
      </c>
      <c r="G1191" s="2" t="str">
        <v>Brand B</v>
      </c>
      <c r="H1191" s="5">
        <v>15000</v>
      </c>
      <c r="I1191" s="2">
        <v>3</v>
      </c>
      <c r="J1191" s="2">
        <v>15</v>
      </c>
      <c r="K1191" s="8">
        <f t="shared" si="108"/>
        <v>45000</v>
      </c>
      <c r="L1191" s="8">
        <f t="shared" si="109"/>
        <v>6750</v>
      </c>
      <c r="M1191" s="8">
        <f t="shared" si="110"/>
        <v>38250</v>
      </c>
      <c r="N1191" s="5">
        <v>59000</v>
      </c>
      <c r="O1191" s="8">
        <f t="shared" si="111"/>
        <v>97250</v>
      </c>
      <c r="P1191" s="2" t="s">
        <v>22</v>
      </c>
      <c r="Q1191" s="10" t="str">
        <f>VLOOKUP(A1191,Status!A:B,2,0)</f>
        <v>Completed</v>
      </c>
      <c r="R1191" s="2" t="s">
        <v>46</v>
      </c>
      <c r="S1191" s="2">
        <v>2</v>
      </c>
      <c r="T1191" s="2" t="s">
        <v>24</v>
      </c>
      <c r="U1191" s="10" t="str">
        <f t="shared" si="113"/>
        <v>Aug</v>
      </c>
      <c r="V1191" s="10">
        <f t="shared" si="112"/>
        <v>2025</v>
      </c>
      <c r="W1191" t="e" cm="1">
        <f t="array" ref="W1191">_xlfn.IFS(U1191="January",1,U1191="February",2,U1191="March",3,U1191="April",4,U1191="May",5,U1191="June",6,U1191="July",7,U1191="August",8,U1191="September",9,U1191="October",10,U1191="November",11,U1191="December",12)</f>
        <v>#N/A</v>
      </c>
    </row>
    <row r="1192" spans="1:23" ht="15.75" customHeight="1" x14ac:dyDescent="0.25">
      <c r="A1192" s="2" t="s">
        <v>2129</v>
      </c>
      <c r="B1192" s="3">
        <v>45872.704386574071</v>
      </c>
      <c r="C1192" s="2" t="s">
        <v>133</v>
      </c>
      <c r="D1192" s="2" t="s">
        <v>33</v>
      </c>
      <c r="E1192" s="2" t="s">
        <v>88</v>
      </c>
      <c r="F1192" s="2" t="str" cm="1">
        <f t="array" ref="F1192:G1192">_xlfn.TEXTSPLIT(E1192," - ")</f>
        <v>Beras</v>
      </c>
      <c r="G1192" s="2" t="str">
        <v>Brand A</v>
      </c>
      <c r="H1192" s="5">
        <v>14000</v>
      </c>
      <c r="I1192" s="2">
        <v>2</v>
      </c>
      <c r="J1192" s="2">
        <v>0</v>
      </c>
      <c r="K1192" s="8">
        <f t="shared" si="108"/>
        <v>28000</v>
      </c>
      <c r="L1192" s="8">
        <f t="shared" si="109"/>
        <v>0</v>
      </c>
      <c r="M1192" s="8">
        <f t="shared" si="110"/>
        <v>28000</v>
      </c>
      <c r="N1192" s="5">
        <v>76000</v>
      </c>
      <c r="O1192" s="8">
        <f t="shared" si="111"/>
        <v>104000</v>
      </c>
      <c r="P1192" s="2" t="s">
        <v>22</v>
      </c>
      <c r="Q1192" s="10" t="str">
        <f>VLOOKUP(A1192,Status!A:B,2,0)</f>
        <v>Pending</v>
      </c>
      <c r="R1192" s="2" t="s">
        <v>82</v>
      </c>
      <c r="S1192" s="2">
        <v>4</v>
      </c>
      <c r="T1192" s="2" t="s">
        <v>24</v>
      </c>
      <c r="U1192" s="10" t="str">
        <f t="shared" si="113"/>
        <v>Aug</v>
      </c>
      <c r="V1192" s="10">
        <f t="shared" si="112"/>
        <v>2025</v>
      </c>
      <c r="W1192" t="e" cm="1">
        <f t="array" ref="W1192">_xlfn.IFS(U1192="January",1,U1192="February",2,U1192="March",3,U1192="April",4,U1192="May",5,U1192="June",6,U1192="July",7,U1192="August",8,U1192="September",9,U1192="October",10,U1192="November",11,U1192="December",12)</f>
        <v>#N/A</v>
      </c>
    </row>
    <row r="1193" spans="1:23" ht="15.75" customHeight="1" x14ac:dyDescent="0.25">
      <c r="A1193" s="2" t="s">
        <v>2130</v>
      </c>
      <c r="B1193" s="3">
        <v>45873.405289351853</v>
      </c>
      <c r="C1193" s="2" t="s">
        <v>549</v>
      </c>
      <c r="D1193" s="2" t="s">
        <v>107</v>
      </c>
      <c r="E1193" s="2" t="s">
        <v>58</v>
      </c>
      <c r="F1193" s="2" t="str" cm="1">
        <f t="array" ref="F1193:G1193">_xlfn.TEXTSPLIT(E1193," - ")</f>
        <v>Gula Pasir</v>
      </c>
      <c r="G1193" s="2" t="str">
        <v>Brand A</v>
      </c>
      <c r="H1193" s="5">
        <v>16000</v>
      </c>
      <c r="I1193" s="2">
        <v>1</v>
      </c>
      <c r="J1193" s="2">
        <v>5</v>
      </c>
      <c r="K1193" s="8">
        <f t="shared" si="108"/>
        <v>16000</v>
      </c>
      <c r="L1193" s="8">
        <f t="shared" si="109"/>
        <v>800</v>
      </c>
      <c r="M1193" s="8">
        <f t="shared" si="110"/>
        <v>15200</v>
      </c>
      <c r="N1193" s="5">
        <v>97000</v>
      </c>
      <c r="O1193" s="8">
        <f t="shared" si="111"/>
        <v>112200</v>
      </c>
      <c r="P1193" s="2" t="s">
        <v>29</v>
      </c>
      <c r="Q1193" s="10" t="str">
        <f>VLOOKUP(A1193,Status!A:B,2,0)</f>
        <v>Completed</v>
      </c>
      <c r="R1193" s="2" t="s">
        <v>30</v>
      </c>
      <c r="S1193" s="2">
        <v>2</v>
      </c>
      <c r="T1193" s="2" t="s">
        <v>24</v>
      </c>
      <c r="U1193" s="10" t="str">
        <f t="shared" si="113"/>
        <v>Aug</v>
      </c>
      <c r="V1193" s="10">
        <f t="shared" si="112"/>
        <v>2025</v>
      </c>
      <c r="W1193" t="e" cm="1">
        <f t="array" ref="W1193">_xlfn.IFS(U1193="January",1,U1193="February",2,U1193="March",3,U1193="April",4,U1193="May",5,U1193="June",6,U1193="July",7,U1193="August",8,U1193="September",9,U1193="October",10,U1193="November",11,U1193="December",12)</f>
        <v>#N/A</v>
      </c>
    </row>
    <row r="1194" spans="1:23" ht="15.75" customHeight="1" x14ac:dyDescent="0.25">
      <c r="A1194" s="2" t="s">
        <v>2131</v>
      </c>
      <c r="B1194" s="3">
        <v>45873.464270833327</v>
      </c>
      <c r="C1194" s="2" t="s">
        <v>203</v>
      </c>
      <c r="D1194" s="2" t="s">
        <v>20</v>
      </c>
      <c r="E1194" s="2" t="s">
        <v>250</v>
      </c>
      <c r="F1194" s="2" t="str" cm="1">
        <f t="array" ref="F1194:G1194">_xlfn.TEXTSPLIT(E1194," - ")</f>
        <v>Minyak Goreng</v>
      </c>
      <c r="G1194" s="2" t="str">
        <v>Brand C</v>
      </c>
      <c r="H1194" s="5">
        <v>18000</v>
      </c>
      <c r="I1194" s="2">
        <v>4</v>
      </c>
      <c r="J1194" s="2">
        <v>15</v>
      </c>
      <c r="K1194" s="8">
        <f t="shared" si="108"/>
        <v>72000</v>
      </c>
      <c r="L1194" s="8">
        <f t="shared" si="109"/>
        <v>10800</v>
      </c>
      <c r="M1194" s="8">
        <f t="shared" si="110"/>
        <v>61200</v>
      </c>
      <c r="N1194" s="5">
        <v>15000</v>
      </c>
      <c r="O1194" s="8">
        <f t="shared" si="111"/>
        <v>76200</v>
      </c>
      <c r="P1194" s="2" t="s">
        <v>22</v>
      </c>
      <c r="Q1194" s="10" t="str">
        <f>VLOOKUP(A1194,Status!A:B,2,0)</f>
        <v>Completed</v>
      </c>
      <c r="R1194" s="2" t="s">
        <v>82</v>
      </c>
      <c r="S1194" s="2">
        <v>1</v>
      </c>
      <c r="T1194" s="2" t="s">
        <v>24</v>
      </c>
      <c r="U1194" s="10" t="str">
        <f t="shared" si="113"/>
        <v>Aug</v>
      </c>
      <c r="V1194" s="10">
        <f t="shared" si="112"/>
        <v>2025</v>
      </c>
      <c r="W1194" t="e" cm="1">
        <f t="array" ref="W1194">_xlfn.IFS(U1194="January",1,U1194="February",2,U1194="March",3,U1194="April",4,U1194="May",5,U1194="June",6,U1194="July",7,U1194="August",8,U1194="September",9,U1194="October",10,U1194="November",11,U1194="December",12)</f>
        <v>#N/A</v>
      </c>
    </row>
    <row r="1195" spans="1:23" ht="15.75" customHeight="1" x14ac:dyDescent="0.25">
      <c r="A1195" s="2" t="s">
        <v>2132</v>
      </c>
      <c r="B1195" s="3">
        <v>45873.633842592593</v>
      </c>
      <c r="C1195" s="2" t="s">
        <v>394</v>
      </c>
      <c r="D1195" s="2" t="s">
        <v>53</v>
      </c>
      <c r="E1195" s="2" t="s">
        <v>190</v>
      </c>
      <c r="F1195" s="2" t="str" cm="1">
        <f t="array" ref="F1195:G1195">_xlfn.TEXTSPLIT(E1195," - ")</f>
        <v>Bawang Merah</v>
      </c>
      <c r="G1195" s="2" t="str">
        <v>Brand B</v>
      </c>
      <c r="H1195" s="5">
        <v>35000</v>
      </c>
      <c r="I1195" s="2">
        <v>4</v>
      </c>
      <c r="J1195" s="2">
        <v>20</v>
      </c>
      <c r="K1195" s="8">
        <f t="shared" si="108"/>
        <v>140000</v>
      </c>
      <c r="L1195" s="8">
        <f t="shared" si="109"/>
        <v>28000</v>
      </c>
      <c r="M1195" s="8">
        <f t="shared" si="110"/>
        <v>112000</v>
      </c>
      <c r="N1195" s="5">
        <v>18000</v>
      </c>
      <c r="O1195" s="8">
        <f t="shared" si="111"/>
        <v>130000</v>
      </c>
      <c r="P1195" s="2" t="s">
        <v>29</v>
      </c>
      <c r="Q1195" s="10" t="str">
        <f>VLOOKUP(A1195,Status!A:B,2,0)</f>
        <v>Completed</v>
      </c>
      <c r="R1195" s="2" t="s">
        <v>36</v>
      </c>
      <c r="S1195" s="2">
        <v>5</v>
      </c>
      <c r="T1195" s="2" t="s">
        <v>24</v>
      </c>
      <c r="U1195" s="10" t="str">
        <f t="shared" si="113"/>
        <v>Aug</v>
      </c>
      <c r="V1195" s="10">
        <f t="shared" si="112"/>
        <v>2025</v>
      </c>
      <c r="W1195" t="e" cm="1">
        <f t="array" ref="W1195">_xlfn.IFS(U1195="January",1,U1195="February",2,U1195="March",3,U1195="April",4,U1195="May",5,U1195="June",6,U1195="July",7,U1195="August",8,U1195="September",9,U1195="October",10,U1195="November",11,U1195="December",12)</f>
        <v>#N/A</v>
      </c>
    </row>
    <row r="1196" spans="1:23" ht="15.75" customHeight="1" x14ac:dyDescent="0.25">
      <c r="A1196" s="2" t="s">
        <v>2133</v>
      </c>
      <c r="B1196" s="3">
        <v>45873.718784722223</v>
      </c>
      <c r="C1196" s="2" t="s">
        <v>398</v>
      </c>
      <c r="D1196" s="2" t="s">
        <v>182</v>
      </c>
      <c r="E1196" s="2" t="s">
        <v>186</v>
      </c>
      <c r="F1196" s="2" t="str" cm="1">
        <f t="array" ref="F1196:G1196">_xlfn.TEXTSPLIT(E1196," - ")</f>
        <v>Susu Bubuk</v>
      </c>
      <c r="G1196" s="2" t="str">
        <v>Brand A</v>
      </c>
      <c r="H1196" s="5">
        <v>45000</v>
      </c>
      <c r="I1196" s="2">
        <v>4</v>
      </c>
      <c r="J1196" s="2">
        <v>15</v>
      </c>
      <c r="K1196" s="8">
        <f t="shared" si="108"/>
        <v>180000</v>
      </c>
      <c r="L1196" s="8">
        <f t="shared" si="109"/>
        <v>27000</v>
      </c>
      <c r="M1196" s="8">
        <f t="shared" si="110"/>
        <v>153000</v>
      </c>
      <c r="N1196" s="5">
        <v>48000</v>
      </c>
      <c r="O1196" s="8">
        <f t="shared" si="111"/>
        <v>201000</v>
      </c>
      <c r="P1196" s="2" t="s">
        <v>29</v>
      </c>
      <c r="Q1196" s="10" t="str">
        <f>VLOOKUP(A1196,Status!A:B,2,0)</f>
        <v>Completed</v>
      </c>
      <c r="R1196" s="2" t="s">
        <v>82</v>
      </c>
      <c r="S1196" s="2">
        <v>5</v>
      </c>
      <c r="T1196" s="2" t="s">
        <v>24</v>
      </c>
      <c r="U1196" s="10" t="str">
        <f t="shared" si="113"/>
        <v>Aug</v>
      </c>
      <c r="V1196" s="10">
        <f t="shared" si="112"/>
        <v>2025</v>
      </c>
      <c r="W1196" t="e" cm="1">
        <f t="array" ref="W1196">_xlfn.IFS(U1196="January",1,U1196="February",2,U1196="March",3,U1196="April",4,U1196="May",5,U1196="June",6,U1196="July",7,U1196="August",8,U1196="September",9,U1196="October",10,U1196="November",11,U1196="December",12)</f>
        <v>#N/A</v>
      </c>
    </row>
    <row r="1197" spans="1:23" ht="15.75" customHeight="1" x14ac:dyDescent="0.25">
      <c r="A1197" s="2" t="s">
        <v>2134</v>
      </c>
      <c r="B1197" s="3">
        <v>45873.952962962961</v>
      </c>
      <c r="C1197" s="2" t="s">
        <v>431</v>
      </c>
      <c r="D1197" s="2" t="s">
        <v>33</v>
      </c>
      <c r="E1197" s="2" t="s">
        <v>85</v>
      </c>
      <c r="F1197" s="2" t="str" cm="1">
        <f t="array" ref="F1197:G1197">_xlfn.TEXTSPLIT(E1197," - ")</f>
        <v>Daging Ayam</v>
      </c>
      <c r="G1197" s="2" t="str">
        <v>Brand A</v>
      </c>
      <c r="H1197" s="5">
        <v>35000</v>
      </c>
      <c r="I1197" s="2">
        <v>5</v>
      </c>
      <c r="J1197" s="2">
        <v>5</v>
      </c>
      <c r="K1197" s="8">
        <f t="shared" si="108"/>
        <v>175000</v>
      </c>
      <c r="L1197" s="8">
        <f t="shared" si="109"/>
        <v>8750</v>
      </c>
      <c r="M1197" s="8">
        <f t="shared" si="110"/>
        <v>166250</v>
      </c>
      <c r="N1197" s="5">
        <v>76000</v>
      </c>
      <c r="O1197" s="8">
        <f t="shared" si="111"/>
        <v>242250</v>
      </c>
      <c r="P1197" s="2" t="s">
        <v>29</v>
      </c>
      <c r="Q1197" s="10" t="str">
        <f>VLOOKUP(A1197,Status!A:B,2,0)</f>
        <v>Shipped</v>
      </c>
      <c r="R1197" s="2" t="s">
        <v>36</v>
      </c>
      <c r="S1197" s="2">
        <v>5</v>
      </c>
      <c r="T1197" s="2" t="s">
        <v>24</v>
      </c>
      <c r="U1197" s="10" t="str">
        <f t="shared" si="113"/>
        <v>Aug</v>
      </c>
      <c r="V1197" s="10">
        <f t="shared" si="112"/>
        <v>2025</v>
      </c>
      <c r="W1197" t="e" cm="1">
        <f t="array" ref="W1197">_xlfn.IFS(U1197="January",1,U1197="February",2,U1197="March",3,U1197="April",4,U1197="May",5,U1197="June",6,U1197="July",7,U1197="August",8,U1197="September",9,U1197="October",10,U1197="November",11,U1197="December",12)</f>
        <v>#N/A</v>
      </c>
    </row>
    <row r="1198" spans="1:23" ht="15.75" customHeight="1" x14ac:dyDescent="0.25">
      <c r="A1198" s="2" t="s">
        <v>2135</v>
      </c>
      <c r="B1198" s="3">
        <v>45874.015775462962</v>
      </c>
      <c r="C1198" s="2" t="s">
        <v>201</v>
      </c>
      <c r="D1198" s="2" t="s">
        <v>107</v>
      </c>
      <c r="E1198" s="2" t="s">
        <v>28</v>
      </c>
      <c r="F1198" s="2" t="str" cm="1">
        <f t="array" ref="F1198:G1198">_xlfn.TEXTSPLIT(E1198," - ")</f>
        <v>Garam</v>
      </c>
      <c r="G1198" s="2" t="str">
        <v>Brand B</v>
      </c>
      <c r="H1198" s="5">
        <v>5000</v>
      </c>
      <c r="I1198" s="2">
        <v>3</v>
      </c>
      <c r="J1198" s="2">
        <v>10</v>
      </c>
      <c r="K1198" s="8">
        <f t="shared" si="108"/>
        <v>15000</v>
      </c>
      <c r="L1198" s="8">
        <f t="shared" si="109"/>
        <v>1500</v>
      </c>
      <c r="M1198" s="8">
        <f t="shared" si="110"/>
        <v>13500</v>
      </c>
      <c r="N1198" s="5">
        <v>97000</v>
      </c>
      <c r="O1198" s="8">
        <f t="shared" si="111"/>
        <v>110500</v>
      </c>
      <c r="P1198" s="2" t="s">
        <v>35</v>
      </c>
      <c r="Q1198" s="10" t="str">
        <f>VLOOKUP(A1198,Status!A:B,2,0)</f>
        <v>Completed</v>
      </c>
      <c r="R1198" s="2" t="s">
        <v>82</v>
      </c>
      <c r="S1198" s="2">
        <v>5</v>
      </c>
      <c r="T1198" s="2" t="s">
        <v>24</v>
      </c>
      <c r="U1198" s="10" t="str">
        <f t="shared" si="113"/>
        <v>Aug</v>
      </c>
      <c r="V1198" s="10">
        <f t="shared" si="112"/>
        <v>2025</v>
      </c>
      <c r="W1198" t="e" cm="1">
        <f t="array" ref="W1198">_xlfn.IFS(U1198="January",1,U1198="February",2,U1198="March",3,U1198="April",4,U1198="May",5,U1198="June",6,U1198="July",7,U1198="August",8,U1198="September",9,U1198="October",10,U1198="November",11,U1198="December",12)</f>
        <v>#N/A</v>
      </c>
    </row>
    <row r="1199" spans="1:23" ht="15.75" customHeight="1" x14ac:dyDescent="0.25">
      <c r="A1199" s="2" t="s">
        <v>2135</v>
      </c>
      <c r="B1199" s="3">
        <v>45874.015775462962</v>
      </c>
      <c r="C1199" s="2" t="s">
        <v>201</v>
      </c>
      <c r="D1199" s="2" t="s">
        <v>107</v>
      </c>
      <c r="E1199" s="2" t="s">
        <v>136</v>
      </c>
      <c r="F1199" s="2" t="str" cm="1">
        <f t="array" ref="F1199:G1199">_xlfn.TEXTSPLIT(E1199," - ")</f>
        <v>Tepung Terigu</v>
      </c>
      <c r="G1199" s="2" t="str">
        <v>Brand B</v>
      </c>
      <c r="H1199" s="5">
        <v>12000</v>
      </c>
      <c r="I1199" s="2">
        <v>4</v>
      </c>
      <c r="J1199" s="2">
        <v>0</v>
      </c>
      <c r="K1199" s="8">
        <f t="shared" si="108"/>
        <v>48000</v>
      </c>
      <c r="L1199" s="8">
        <f t="shared" si="109"/>
        <v>0</v>
      </c>
      <c r="M1199" s="8">
        <f t="shared" si="110"/>
        <v>48000</v>
      </c>
      <c r="N1199" s="5">
        <v>0</v>
      </c>
      <c r="O1199" s="8">
        <f t="shared" si="111"/>
        <v>48000</v>
      </c>
      <c r="P1199" s="2" t="s">
        <v>35</v>
      </c>
      <c r="Q1199" s="10" t="str">
        <f>VLOOKUP(A1199,Status!A:B,2,0)</f>
        <v>Completed</v>
      </c>
      <c r="R1199" s="2" t="s">
        <v>82</v>
      </c>
      <c r="S1199" s="2">
        <v>5</v>
      </c>
      <c r="T1199" s="2" t="s">
        <v>24</v>
      </c>
      <c r="U1199" s="10" t="str">
        <f t="shared" si="113"/>
        <v>Aug</v>
      </c>
      <c r="V1199" s="10">
        <f t="shared" si="112"/>
        <v>2025</v>
      </c>
      <c r="W1199" t="e" cm="1">
        <f t="array" ref="W1199">_xlfn.IFS(U1199="January",1,U1199="February",2,U1199="March",3,U1199="April",4,U1199="May",5,U1199="June",6,U1199="July",7,U1199="August",8,U1199="September",9,U1199="October",10,U1199="November",11,U1199="December",12)</f>
        <v>#N/A</v>
      </c>
    </row>
    <row r="1200" spans="1:23" ht="15.75" customHeight="1" x14ac:dyDescent="0.25">
      <c r="A1200" s="2" t="s">
        <v>2136</v>
      </c>
      <c r="B1200" s="3">
        <v>45874.054560185177</v>
      </c>
      <c r="C1200" s="2" t="s">
        <v>1259</v>
      </c>
      <c r="D1200" s="2" t="s">
        <v>107</v>
      </c>
      <c r="E1200" s="2" t="s">
        <v>50</v>
      </c>
      <c r="F1200" s="2" t="str" cm="1">
        <f t="array" ref="F1200:G1200">_xlfn.TEXTSPLIT(E1200," - ")</f>
        <v>Tepung Terigu</v>
      </c>
      <c r="G1200" s="2" t="str">
        <v>Brand C</v>
      </c>
      <c r="H1200" s="5">
        <v>14000</v>
      </c>
      <c r="I1200" s="2">
        <v>4</v>
      </c>
      <c r="J1200" s="2">
        <v>5</v>
      </c>
      <c r="K1200" s="8">
        <f t="shared" si="108"/>
        <v>56000</v>
      </c>
      <c r="L1200" s="8">
        <f t="shared" si="109"/>
        <v>2800</v>
      </c>
      <c r="M1200" s="8">
        <f t="shared" si="110"/>
        <v>53200</v>
      </c>
      <c r="N1200" s="5">
        <v>97000</v>
      </c>
      <c r="O1200" s="8">
        <f t="shared" si="111"/>
        <v>150200</v>
      </c>
      <c r="P1200" s="2" t="s">
        <v>22</v>
      </c>
      <c r="Q1200" s="10" t="str">
        <f>VLOOKUP(A1200,Status!A:B,2,0)</f>
        <v>Pending</v>
      </c>
      <c r="R1200" s="2" t="s">
        <v>30</v>
      </c>
      <c r="S1200" s="2">
        <v>5</v>
      </c>
      <c r="T1200" s="2" t="s">
        <v>37</v>
      </c>
      <c r="U1200" s="10" t="str">
        <f t="shared" si="113"/>
        <v>Aug</v>
      </c>
      <c r="V1200" s="10">
        <f t="shared" si="112"/>
        <v>2025</v>
      </c>
      <c r="W1200" t="e" cm="1">
        <f t="array" ref="W1200">_xlfn.IFS(U1200="January",1,U1200="February",2,U1200="March",3,U1200="April",4,U1200="May",5,U1200="June",6,U1200="July",7,U1200="August",8,U1200="September",9,U1200="October",10,U1200="November",11,U1200="December",12)</f>
        <v>#N/A</v>
      </c>
    </row>
    <row r="1201" spans="1:23" ht="15.75" customHeight="1" x14ac:dyDescent="0.25">
      <c r="A1201" s="2" t="s">
        <v>2137</v>
      </c>
      <c r="B1201" s="3">
        <v>45874.185694444437</v>
      </c>
      <c r="C1201" s="2" t="s">
        <v>269</v>
      </c>
      <c r="D1201" s="2" t="s">
        <v>173</v>
      </c>
      <c r="E1201" s="2" t="s">
        <v>21</v>
      </c>
      <c r="F1201" s="2" t="str" cm="1">
        <f t="array" ref="F1201:G1201">_xlfn.TEXTSPLIT(E1201," - ")</f>
        <v>Daging Ayam</v>
      </c>
      <c r="G1201" s="2" t="str">
        <v>Brand C</v>
      </c>
      <c r="H1201" s="5">
        <v>45000</v>
      </c>
      <c r="I1201" s="2">
        <v>3</v>
      </c>
      <c r="J1201" s="2">
        <v>20</v>
      </c>
      <c r="K1201" s="8">
        <f t="shared" si="108"/>
        <v>135000</v>
      </c>
      <c r="L1201" s="8">
        <f t="shared" si="109"/>
        <v>27000</v>
      </c>
      <c r="M1201" s="8">
        <f t="shared" si="110"/>
        <v>108000</v>
      </c>
      <c r="N1201" s="5">
        <v>49000</v>
      </c>
      <c r="O1201" s="8">
        <f t="shared" si="111"/>
        <v>157000</v>
      </c>
      <c r="P1201" s="2" t="s">
        <v>35</v>
      </c>
      <c r="Q1201" s="10" t="str">
        <f>VLOOKUP(A1201,Status!A:B,2,0)</f>
        <v>Pending</v>
      </c>
      <c r="R1201" s="2" t="s">
        <v>46</v>
      </c>
      <c r="S1201" s="2">
        <v>3</v>
      </c>
      <c r="T1201" s="2" t="s">
        <v>37</v>
      </c>
      <c r="U1201" s="10" t="str">
        <f t="shared" si="113"/>
        <v>Aug</v>
      </c>
      <c r="V1201" s="10">
        <f t="shared" si="112"/>
        <v>2025</v>
      </c>
      <c r="W1201" t="e" cm="1">
        <f t="array" ref="W1201">_xlfn.IFS(U1201="January",1,U1201="February",2,U1201="March",3,U1201="April",4,U1201="May",5,U1201="June",6,U1201="July",7,U1201="August",8,U1201="September",9,U1201="October",10,U1201="November",11,U1201="December",12)</f>
        <v>#N/A</v>
      </c>
    </row>
    <row r="1202" spans="1:23" ht="15.75" customHeight="1" x14ac:dyDescent="0.25">
      <c r="A1202" s="2" t="s">
        <v>2138</v>
      </c>
      <c r="B1202" s="3">
        <v>45874.239999999998</v>
      </c>
      <c r="C1202" s="2" t="s">
        <v>812</v>
      </c>
      <c r="D1202" s="2" t="s">
        <v>33</v>
      </c>
      <c r="E1202" s="2" t="s">
        <v>28</v>
      </c>
      <c r="F1202" s="2" t="str" cm="1">
        <f t="array" ref="F1202:G1202">_xlfn.TEXTSPLIT(E1202," - ")</f>
        <v>Garam</v>
      </c>
      <c r="G1202" s="2" t="str">
        <v>Brand B</v>
      </c>
      <c r="H1202" s="5">
        <v>5000</v>
      </c>
      <c r="I1202" s="2">
        <v>3</v>
      </c>
      <c r="J1202" s="2">
        <v>20</v>
      </c>
      <c r="K1202" s="8">
        <f t="shared" si="108"/>
        <v>15000</v>
      </c>
      <c r="L1202" s="8">
        <f t="shared" si="109"/>
        <v>3000</v>
      </c>
      <c r="M1202" s="8">
        <f t="shared" si="110"/>
        <v>12000</v>
      </c>
      <c r="N1202" s="5">
        <v>76000</v>
      </c>
      <c r="O1202" s="8">
        <f t="shared" si="111"/>
        <v>88000</v>
      </c>
      <c r="P1202" s="2" t="s">
        <v>29</v>
      </c>
      <c r="Q1202" s="10" t="str">
        <f>VLOOKUP(A1202,Status!A:B,2,0)</f>
        <v>Pending</v>
      </c>
      <c r="R1202" s="2" t="s">
        <v>46</v>
      </c>
      <c r="S1202" s="2">
        <v>3</v>
      </c>
      <c r="T1202" s="2" t="s">
        <v>24</v>
      </c>
      <c r="U1202" s="10" t="str">
        <f t="shared" si="113"/>
        <v>Aug</v>
      </c>
      <c r="V1202" s="10">
        <f t="shared" si="112"/>
        <v>2025</v>
      </c>
      <c r="W1202" t="e" cm="1">
        <f t="array" ref="W1202">_xlfn.IFS(U1202="January",1,U1202="February",2,U1202="March",3,U1202="April",4,U1202="May",5,U1202="June",6,U1202="July",7,U1202="August",8,U1202="September",9,U1202="October",10,U1202="November",11,U1202="December",12)</f>
        <v>#N/A</v>
      </c>
    </row>
    <row r="1203" spans="1:23" ht="15.75" customHeight="1" x14ac:dyDescent="0.25">
      <c r="A1203" s="2" t="s">
        <v>2139</v>
      </c>
      <c r="B1203" s="3">
        <v>45874.34065972222</v>
      </c>
      <c r="C1203" s="2" t="s">
        <v>853</v>
      </c>
      <c r="D1203" s="2" t="s">
        <v>151</v>
      </c>
      <c r="E1203" s="2" t="s">
        <v>21</v>
      </c>
      <c r="F1203" s="2" t="str" cm="1">
        <f t="array" ref="F1203:G1203">_xlfn.TEXTSPLIT(E1203," - ")</f>
        <v>Daging Ayam</v>
      </c>
      <c r="G1203" s="2" t="str">
        <v>Brand C</v>
      </c>
      <c r="H1203" s="5">
        <v>45000</v>
      </c>
      <c r="I1203" s="2">
        <v>3</v>
      </c>
      <c r="J1203" s="2">
        <v>15</v>
      </c>
      <c r="K1203" s="8">
        <f t="shared" si="108"/>
        <v>135000</v>
      </c>
      <c r="L1203" s="8">
        <f t="shared" si="109"/>
        <v>20250</v>
      </c>
      <c r="M1203" s="8">
        <f t="shared" si="110"/>
        <v>114750</v>
      </c>
      <c r="N1203" s="5">
        <v>55000</v>
      </c>
      <c r="O1203" s="8">
        <f t="shared" si="111"/>
        <v>169750</v>
      </c>
      <c r="P1203" s="2" t="s">
        <v>63</v>
      </c>
      <c r="Q1203" s="10" t="str">
        <f>VLOOKUP(A1203,Status!A:B,2,0)</f>
        <v>Shipped</v>
      </c>
      <c r="R1203" s="2" t="s">
        <v>46</v>
      </c>
      <c r="S1203" s="2">
        <v>2</v>
      </c>
      <c r="T1203" s="2" t="s">
        <v>24</v>
      </c>
      <c r="U1203" s="10" t="str">
        <f t="shared" si="113"/>
        <v>Aug</v>
      </c>
      <c r="V1203" s="10">
        <f t="shared" si="112"/>
        <v>2025</v>
      </c>
      <c r="W1203" t="e" cm="1">
        <f t="array" ref="W1203">_xlfn.IFS(U1203="January",1,U1203="February",2,U1203="March",3,U1203="April",4,U1203="May",5,U1203="June",6,U1203="July",7,U1203="August",8,U1203="September",9,U1203="October",10,U1203="November",11,U1203="December",12)</f>
        <v>#N/A</v>
      </c>
    </row>
    <row r="1204" spans="1:23" ht="15.75" customHeight="1" x14ac:dyDescent="0.25">
      <c r="A1204" s="2" t="s">
        <v>2140</v>
      </c>
      <c r="B1204" s="3">
        <v>45874.576701388891</v>
      </c>
      <c r="C1204" s="2" t="s">
        <v>1053</v>
      </c>
      <c r="D1204" s="2" t="s">
        <v>80</v>
      </c>
      <c r="E1204" s="2" t="s">
        <v>62</v>
      </c>
      <c r="F1204" s="2" t="str" cm="1">
        <f t="array" ref="F1204:G1204">_xlfn.TEXTSPLIT(E1204," - ")</f>
        <v>Susu Bubuk</v>
      </c>
      <c r="G1204" s="2" t="str">
        <v>Brand B</v>
      </c>
      <c r="H1204" s="5">
        <v>50000</v>
      </c>
      <c r="I1204" s="2">
        <v>4</v>
      </c>
      <c r="J1204" s="2">
        <v>0</v>
      </c>
      <c r="K1204" s="8">
        <f t="shared" si="108"/>
        <v>200000</v>
      </c>
      <c r="L1204" s="8">
        <f t="shared" si="109"/>
        <v>0</v>
      </c>
      <c r="M1204" s="8">
        <f t="shared" si="110"/>
        <v>200000</v>
      </c>
      <c r="N1204" s="5">
        <v>74000</v>
      </c>
      <c r="O1204" s="8">
        <f t="shared" si="111"/>
        <v>274000</v>
      </c>
      <c r="P1204" s="2" t="s">
        <v>35</v>
      </c>
      <c r="Q1204" s="10" t="str">
        <f>VLOOKUP(A1204,Status!A:B,2,0)</f>
        <v>Completed</v>
      </c>
      <c r="R1204" s="2" t="s">
        <v>36</v>
      </c>
      <c r="S1204" s="2">
        <v>2</v>
      </c>
      <c r="T1204" s="2" t="s">
        <v>24</v>
      </c>
      <c r="U1204" s="10" t="str">
        <f t="shared" si="113"/>
        <v>Aug</v>
      </c>
      <c r="V1204" s="10">
        <f t="shared" si="112"/>
        <v>2025</v>
      </c>
      <c r="W1204" t="e" cm="1">
        <f t="array" ref="W1204">_xlfn.IFS(U1204="January",1,U1204="February",2,U1204="March",3,U1204="April",4,U1204="May",5,U1204="June",6,U1204="July",7,U1204="August",8,U1204="September",9,U1204="October",10,U1204="November",11,U1204="December",12)</f>
        <v>#N/A</v>
      </c>
    </row>
    <row r="1205" spans="1:23" ht="15.75" customHeight="1" x14ac:dyDescent="0.25">
      <c r="A1205" s="2" t="s">
        <v>2141</v>
      </c>
      <c r="B1205" s="3">
        <v>45874.582118055558</v>
      </c>
      <c r="C1205" s="2" t="s">
        <v>133</v>
      </c>
      <c r="D1205" s="2" t="s">
        <v>33</v>
      </c>
      <c r="E1205" s="2" t="s">
        <v>41</v>
      </c>
      <c r="F1205" s="2" t="str" cm="1">
        <f t="array" ref="F1205:G1205">_xlfn.TEXTSPLIT(E1205," - ")</f>
        <v>Garam</v>
      </c>
      <c r="G1205" s="2" t="str">
        <v>Brand A</v>
      </c>
      <c r="H1205" s="5">
        <v>4000</v>
      </c>
      <c r="I1205" s="2">
        <v>1</v>
      </c>
      <c r="J1205" s="2">
        <v>0</v>
      </c>
      <c r="K1205" s="8">
        <f t="shared" si="108"/>
        <v>4000</v>
      </c>
      <c r="L1205" s="8">
        <f t="shared" si="109"/>
        <v>0</v>
      </c>
      <c r="M1205" s="8">
        <f t="shared" si="110"/>
        <v>4000</v>
      </c>
      <c r="N1205" s="5">
        <v>76000</v>
      </c>
      <c r="O1205" s="8">
        <f t="shared" si="111"/>
        <v>80000</v>
      </c>
      <c r="P1205" s="2" t="s">
        <v>63</v>
      </c>
      <c r="Q1205" s="10" t="str">
        <f>VLOOKUP(A1205,Status!A:B,2,0)</f>
        <v>Pending</v>
      </c>
      <c r="R1205" s="2" t="s">
        <v>46</v>
      </c>
      <c r="S1205" s="2">
        <v>1</v>
      </c>
      <c r="T1205" s="2" t="s">
        <v>24</v>
      </c>
      <c r="U1205" s="10" t="str">
        <f t="shared" si="113"/>
        <v>Aug</v>
      </c>
      <c r="V1205" s="10">
        <f t="shared" si="112"/>
        <v>2025</v>
      </c>
      <c r="W1205" t="e" cm="1">
        <f t="array" ref="W1205">_xlfn.IFS(U1205="January",1,U1205="February",2,U1205="March",3,U1205="April",4,U1205="May",5,U1205="June",6,U1205="July",7,U1205="August",8,U1205="September",9,U1205="October",10,U1205="November",11,U1205="December",12)</f>
        <v>#N/A</v>
      </c>
    </row>
    <row r="1206" spans="1:23" ht="15.75" customHeight="1" x14ac:dyDescent="0.25">
      <c r="A1206" s="2" t="s">
        <v>2142</v>
      </c>
      <c r="B1206" s="3">
        <v>45874.707152777781</v>
      </c>
      <c r="C1206" s="2" t="s">
        <v>1321</v>
      </c>
      <c r="D1206" s="2" t="s">
        <v>113</v>
      </c>
      <c r="E1206" s="2" t="s">
        <v>136</v>
      </c>
      <c r="F1206" s="2" t="str" cm="1">
        <f t="array" ref="F1206:G1206">_xlfn.TEXTSPLIT(E1206," - ")</f>
        <v>Tepung Terigu</v>
      </c>
      <c r="G1206" s="2" t="str">
        <v>Brand B</v>
      </c>
      <c r="H1206" s="5">
        <v>12000</v>
      </c>
      <c r="I1206" s="2">
        <v>2</v>
      </c>
      <c r="J1206" s="2">
        <v>20</v>
      </c>
      <c r="K1206" s="8">
        <f t="shared" si="108"/>
        <v>24000</v>
      </c>
      <c r="L1206" s="8">
        <f t="shared" si="109"/>
        <v>4800</v>
      </c>
      <c r="M1206" s="8">
        <f t="shared" si="110"/>
        <v>19200</v>
      </c>
      <c r="N1206" s="5">
        <v>18000</v>
      </c>
      <c r="O1206" s="8">
        <f t="shared" si="111"/>
        <v>37200</v>
      </c>
      <c r="P1206" s="2" t="s">
        <v>35</v>
      </c>
      <c r="Q1206" s="10" t="str">
        <f>VLOOKUP(A1206,Status!A:B,2,0)</f>
        <v>Shipped</v>
      </c>
      <c r="R1206" s="2" t="s">
        <v>36</v>
      </c>
      <c r="S1206" s="2">
        <v>5</v>
      </c>
      <c r="T1206" s="2" t="s">
        <v>24</v>
      </c>
      <c r="U1206" s="10" t="str">
        <f t="shared" si="113"/>
        <v>Aug</v>
      </c>
      <c r="V1206" s="10">
        <f t="shared" si="112"/>
        <v>2025</v>
      </c>
      <c r="W1206" t="e" cm="1">
        <f t="array" ref="W1206">_xlfn.IFS(U1206="January",1,U1206="February",2,U1206="March",3,U1206="April",4,U1206="May",5,U1206="June",6,U1206="July",7,U1206="August",8,U1206="September",9,U1206="October",10,U1206="November",11,U1206="December",12)</f>
        <v>#N/A</v>
      </c>
    </row>
    <row r="1207" spans="1:23" ht="15.75" customHeight="1" x14ac:dyDescent="0.25">
      <c r="A1207" s="2" t="s">
        <v>2143</v>
      </c>
      <c r="B1207" s="3">
        <v>45875.015324074076</v>
      </c>
      <c r="C1207" s="2" t="s">
        <v>437</v>
      </c>
      <c r="D1207" s="2" t="s">
        <v>375</v>
      </c>
      <c r="E1207" s="2" t="s">
        <v>250</v>
      </c>
      <c r="F1207" s="2" t="str" cm="1">
        <f t="array" ref="F1207:G1207">_xlfn.TEXTSPLIT(E1207," - ")</f>
        <v>Minyak Goreng</v>
      </c>
      <c r="G1207" s="2" t="str">
        <v>Brand C</v>
      </c>
      <c r="H1207" s="5">
        <v>18000</v>
      </c>
      <c r="I1207" s="2">
        <v>2</v>
      </c>
      <c r="J1207" s="2">
        <v>10</v>
      </c>
      <c r="K1207" s="8">
        <f t="shared" si="108"/>
        <v>36000</v>
      </c>
      <c r="L1207" s="8">
        <f t="shared" si="109"/>
        <v>3600</v>
      </c>
      <c r="M1207" s="8">
        <f t="shared" si="110"/>
        <v>32400</v>
      </c>
      <c r="N1207" s="5">
        <v>21000</v>
      </c>
      <c r="O1207" s="8">
        <f t="shared" si="111"/>
        <v>53400</v>
      </c>
      <c r="P1207" s="2" t="s">
        <v>63</v>
      </c>
      <c r="Q1207" s="10" t="str">
        <f>VLOOKUP(A1207,Status!A:B,2,0)</f>
        <v>Shipped</v>
      </c>
      <c r="R1207" s="2" t="s">
        <v>82</v>
      </c>
      <c r="S1207" s="2">
        <v>2</v>
      </c>
      <c r="T1207" s="2" t="s">
        <v>24</v>
      </c>
      <c r="U1207" s="10" t="str">
        <f t="shared" si="113"/>
        <v>Aug</v>
      </c>
      <c r="V1207" s="10">
        <f t="shared" si="112"/>
        <v>2025</v>
      </c>
      <c r="W1207" t="e" cm="1">
        <f t="array" ref="W1207">_xlfn.IFS(U1207="January",1,U1207="February",2,U1207="March",3,U1207="April",4,U1207="May",5,U1207="June",6,U1207="July",7,U1207="August",8,U1207="September",9,U1207="October",10,U1207="November",11,U1207="December",12)</f>
        <v>#N/A</v>
      </c>
    </row>
    <row r="1208" spans="1:23" ht="15.75" customHeight="1" x14ac:dyDescent="0.25">
      <c r="A1208" s="2" t="s">
        <v>2144</v>
      </c>
      <c r="B1208" s="3">
        <v>45875.319328703707</v>
      </c>
      <c r="C1208" s="2" t="s">
        <v>1311</v>
      </c>
      <c r="D1208" s="2" t="s">
        <v>49</v>
      </c>
      <c r="E1208" s="2" t="s">
        <v>81</v>
      </c>
      <c r="F1208" s="2" t="str" cm="1">
        <f t="array" ref="F1208:G1208">_xlfn.TEXTSPLIT(E1208," - ")</f>
        <v>Minyak Goreng</v>
      </c>
      <c r="G1208" s="2" t="str">
        <v>Brand B</v>
      </c>
      <c r="H1208" s="5">
        <v>17000</v>
      </c>
      <c r="I1208" s="2">
        <v>4</v>
      </c>
      <c r="J1208" s="2">
        <v>15</v>
      </c>
      <c r="K1208" s="8">
        <f t="shared" si="108"/>
        <v>68000</v>
      </c>
      <c r="L1208" s="8">
        <f t="shared" si="109"/>
        <v>10200</v>
      </c>
      <c r="M1208" s="8">
        <f t="shared" si="110"/>
        <v>57800</v>
      </c>
      <c r="N1208" s="5">
        <v>43000</v>
      </c>
      <c r="O1208" s="8">
        <f t="shared" si="111"/>
        <v>100800</v>
      </c>
      <c r="P1208" s="2" t="s">
        <v>29</v>
      </c>
      <c r="Q1208" s="10" t="str">
        <f>VLOOKUP(A1208,Status!A:B,2,0)</f>
        <v>Shipped</v>
      </c>
      <c r="R1208" s="2" t="s">
        <v>23</v>
      </c>
      <c r="S1208" s="2">
        <v>5</v>
      </c>
      <c r="T1208" s="2" t="s">
        <v>24</v>
      </c>
      <c r="U1208" s="10" t="str">
        <f t="shared" si="113"/>
        <v>Aug</v>
      </c>
      <c r="V1208" s="10">
        <f t="shared" si="112"/>
        <v>2025</v>
      </c>
      <c r="W1208" t="e" cm="1">
        <f t="array" ref="W1208">_xlfn.IFS(U1208="January",1,U1208="February",2,U1208="March",3,U1208="April",4,U1208="May",5,U1208="June",6,U1208="July",7,U1208="August",8,U1208="September",9,U1208="October",10,U1208="November",11,U1208="December",12)</f>
        <v>#N/A</v>
      </c>
    </row>
    <row r="1209" spans="1:23" ht="15.75" customHeight="1" x14ac:dyDescent="0.25">
      <c r="A1209" s="2" t="s">
        <v>2145</v>
      </c>
      <c r="B1209" s="3">
        <v>45875.344236111108</v>
      </c>
      <c r="C1209" s="2" t="s">
        <v>716</v>
      </c>
      <c r="D1209" s="2" t="s">
        <v>66</v>
      </c>
      <c r="E1209" s="2" t="s">
        <v>85</v>
      </c>
      <c r="F1209" s="2" t="str" cm="1">
        <f t="array" ref="F1209:G1209">_xlfn.TEXTSPLIT(E1209," - ")</f>
        <v>Daging Ayam</v>
      </c>
      <c r="G1209" s="2" t="str">
        <v>Brand A</v>
      </c>
      <c r="H1209" s="5">
        <v>35000</v>
      </c>
      <c r="I1209" s="2">
        <v>1</v>
      </c>
      <c r="J1209" s="2">
        <v>20</v>
      </c>
      <c r="K1209" s="8">
        <f t="shared" si="108"/>
        <v>35000</v>
      </c>
      <c r="L1209" s="8">
        <f t="shared" si="109"/>
        <v>7000</v>
      </c>
      <c r="M1209" s="8">
        <f t="shared" si="110"/>
        <v>28000</v>
      </c>
      <c r="N1209" s="5">
        <v>59000</v>
      </c>
      <c r="O1209" s="8">
        <f t="shared" si="111"/>
        <v>87000</v>
      </c>
      <c r="P1209" s="2" t="s">
        <v>63</v>
      </c>
      <c r="Q1209" s="10" t="str">
        <f>VLOOKUP(A1209,Status!A:B,2,0)</f>
        <v>Shipped</v>
      </c>
      <c r="R1209" s="2" t="s">
        <v>82</v>
      </c>
      <c r="S1209" s="2">
        <v>4</v>
      </c>
      <c r="T1209" s="2" t="s">
        <v>24</v>
      </c>
      <c r="U1209" s="10" t="str">
        <f t="shared" si="113"/>
        <v>Aug</v>
      </c>
      <c r="V1209" s="10">
        <f t="shared" si="112"/>
        <v>2025</v>
      </c>
      <c r="W1209" t="e" cm="1">
        <f t="array" ref="W1209">_xlfn.IFS(U1209="January",1,U1209="February",2,U1209="March",3,U1209="April",4,U1209="May",5,U1209="June",6,U1209="July",7,U1209="August",8,U1209="September",9,U1209="October",10,U1209="November",11,U1209="December",12)</f>
        <v>#N/A</v>
      </c>
    </row>
    <row r="1210" spans="1:23" ht="15.75" customHeight="1" x14ac:dyDescent="0.25">
      <c r="A1210" s="2" t="s">
        <v>2146</v>
      </c>
      <c r="B1210" s="3">
        <v>45875.380266203712</v>
      </c>
      <c r="C1210" s="2" t="s">
        <v>387</v>
      </c>
      <c r="D1210" s="2" t="s">
        <v>49</v>
      </c>
      <c r="E1210" s="2" t="s">
        <v>138</v>
      </c>
      <c r="F1210" s="2" t="str" cm="1">
        <f t="array" ref="F1210:G1210">_xlfn.TEXTSPLIT(E1210," - ")</f>
        <v>Gula Pasir</v>
      </c>
      <c r="G1210" s="2" t="str">
        <v>Brand B</v>
      </c>
      <c r="H1210" s="5">
        <v>17000</v>
      </c>
      <c r="I1210" s="2">
        <v>3</v>
      </c>
      <c r="J1210" s="2">
        <v>0</v>
      </c>
      <c r="K1210" s="8">
        <f t="shared" si="108"/>
        <v>51000</v>
      </c>
      <c r="L1210" s="8">
        <f t="shared" si="109"/>
        <v>0</v>
      </c>
      <c r="M1210" s="8">
        <f t="shared" si="110"/>
        <v>51000</v>
      </c>
      <c r="N1210" s="5">
        <v>43000</v>
      </c>
      <c r="O1210" s="8">
        <f t="shared" si="111"/>
        <v>94000</v>
      </c>
      <c r="P1210" s="2" t="s">
        <v>29</v>
      </c>
      <c r="Q1210" s="10" t="str">
        <f>VLOOKUP(A1210,Status!A:B,2,0)</f>
        <v>Shipped</v>
      </c>
      <c r="R1210" s="2" t="s">
        <v>36</v>
      </c>
      <c r="S1210" s="2">
        <v>1</v>
      </c>
      <c r="T1210" s="2" t="s">
        <v>37</v>
      </c>
      <c r="U1210" s="10" t="str">
        <f t="shared" si="113"/>
        <v>Aug</v>
      </c>
      <c r="V1210" s="10">
        <f t="shared" si="112"/>
        <v>2025</v>
      </c>
      <c r="W1210" t="e" cm="1">
        <f t="array" ref="W1210">_xlfn.IFS(U1210="January",1,U1210="February",2,U1210="March",3,U1210="April",4,U1210="May",5,U1210="June",6,U1210="July",7,U1210="August",8,U1210="September",9,U1210="October",10,U1210="November",11,U1210="December",12)</f>
        <v>#N/A</v>
      </c>
    </row>
    <row r="1211" spans="1:23" ht="15.75" customHeight="1" x14ac:dyDescent="0.25">
      <c r="A1211" s="2" t="s">
        <v>2147</v>
      </c>
      <c r="B1211" s="3">
        <v>45875.524074074077</v>
      </c>
      <c r="C1211" s="2" t="s">
        <v>754</v>
      </c>
      <c r="D1211" s="2" t="s">
        <v>238</v>
      </c>
      <c r="E1211" s="2" t="s">
        <v>186</v>
      </c>
      <c r="F1211" s="2" t="str" cm="1">
        <f t="array" ref="F1211:G1211">_xlfn.TEXTSPLIT(E1211," - ")</f>
        <v>Susu Bubuk</v>
      </c>
      <c r="G1211" s="2" t="str">
        <v>Brand A</v>
      </c>
      <c r="H1211" s="5">
        <v>45000</v>
      </c>
      <c r="I1211" s="2">
        <v>2</v>
      </c>
      <c r="J1211" s="2">
        <v>5</v>
      </c>
      <c r="K1211" s="8">
        <f t="shared" si="108"/>
        <v>90000</v>
      </c>
      <c r="L1211" s="8">
        <f t="shared" si="109"/>
        <v>4500</v>
      </c>
      <c r="M1211" s="8">
        <f t="shared" si="110"/>
        <v>85500</v>
      </c>
      <c r="N1211" s="5">
        <v>28000</v>
      </c>
      <c r="O1211" s="8">
        <f t="shared" si="111"/>
        <v>113500</v>
      </c>
      <c r="P1211" s="2" t="s">
        <v>35</v>
      </c>
      <c r="Q1211" s="10" t="str">
        <f>VLOOKUP(A1211,Status!A:B,2,0)</f>
        <v>Completed</v>
      </c>
      <c r="R1211" s="2" t="s">
        <v>30</v>
      </c>
      <c r="S1211" s="2">
        <v>5</v>
      </c>
      <c r="T1211" s="2" t="s">
        <v>37</v>
      </c>
      <c r="U1211" s="10" t="str">
        <f t="shared" si="113"/>
        <v>Aug</v>
      </c>
      <c r="V1211" s="10">
        <f t="shared" si="112"/>
        <v>2025</v>
      </c>
      <c r="W1211" t="e" cm="1">
        <f t="array" ref="W1211">_xlfn.IFS(U1211="January",1,U1211="February",2,U1211="March",3,U1211="April",4,U1211="May",5,U1211="June",6,U1211="July",7,U1211="August",8,U1211="September",9,U1211="October",10,U1211="November",11,U1211="December",12)</f>
        <v>#N/A</v>
      </c>
    </row>
    <row r="1212" spans="1:23" ht="15.75" customHeight="1" x14ac:dyDescent="0.25">
      <c r="A1212" s="2" t="s">
        <v>2148</v>
      </c>
      <c r="B1212" s="3">
        <v>45875.9299537037</v>
      </c>
      <c r="C1212" s="2" t="s">
        <v>197</v>
      </c>
      <c r="D1212" s="2" t="s">
        <v>119</v>
      </c>
      <c r="E1212" s="2" t="s">
        <v>88</v>
      </c>
      <c r="F1212" s="2" t="str" cm="1">
        <f t="array" ref="F1212:G1212">_xlfn.TEXTSPLIT(E1212," - ")</f>
        <v>Beras</v>
      </c>
      <c r="G1212" s="2" t="str">
        <v>Brand A</v>
      </c>
      <c r="H1212" s="5">
        <v>14000</v>
      </c>
      <c r="I1212" s="2">
        <v>2</v>
      </c>
      <c r="J1212" s="2">
        <v>15</v>
      </c>
      <c r="K1212" s="8">
        <f t="shared" si="108"/>
        <v>28000</v>
      </c>
      <c r="L1212" s="8">
        <f t="shared" si="109"/>
        <v>4200</v>
      </c>
      <c r="M1212" s="8">
        <f t="shared" si="110"/>
        <v>23800</v>
      </c>
      <c r="N1212" s="5">
        <v>0</v>
      </c>
      <c r="O1212" s="8">
        <f t="shared" si="111"/>
        <v>23800</v>
      </c>
      <c r="P1212" s="2" t="s">
        <v>63</v>
      </c>
      <c r="Q1212" s="10" t="str">
        <f>VLOOKUP(A1212,Status!A:B,2,0)</f>
        <v>Completed</v>
      </c>
      <c r="R1212" s="2" t="s">
        <v>23</v>
      </c>
      <c r="S1212" s="2">
        <v>1</v>
      </c>
      <c r="T1212" s="2" t="s">
        <v>37</v>
      </c>
      <c r="U1212" s="10" t="str">
        <f t="shared" si="113"/>
        <v>Aug</v>
      </c>
      <c r="V1212" s="10">
        <f t="shared" si="112"/>
        <v>2025</v>
      </c>
      <c r="W1212" t="e" cm="1">
        <f t="array" ref="W1212">_xlfn.IFS(U1212="January",1,U1212="February",2,U1212="March",3,U1212="April",4,U1212="May",5,U1212="June",6,U1212="July",7,U1212="August",8,U1212="September",9,U1212="October",10,U1212="November",11,U1212="December",12)</f>
        <v>#N/A</v>
      </c>
    </row>
    <row r="1213" spans="1:23" ht="15.75" customHeight="1" x14ac:dyDescent="0.25">
      <c r="A1213" s="2" t="s">
        <v>2149</v>
      </c>
      <c r="B1213" s="3">
        <v>45876.420243055552</v>
      </c>
      <c r="C1213" s="2" t="s">
        <v>1523</v>
      </c>
      <c r="D1213" s="2" t="s">
        <v>96</v>
      </c>
      <c r="E1213" s="2" t="s">
        <v>28</v>
      </c>
      <c r="F1213" s="2" t="str" cm="1">
        <f t="array" ref="F1213:G1213">_xlfn.TEXTSPLIT(E1213," - ")</f>
        <v>Garam</v>
      </c>
      <c r="G1213" s="2" t="str">
        <v>Brand B</v>
      </c>
      <c r="H1213" s="5">
        <v>5000</v>
      </c>
      <c r="I1213" s="2">
        <v>2</v>
      </c>
      <c r="J1213" s="2">
        <v>5</v>
      </c>
      <c r="K1213" s="8">
        <f t="shared" si="108"/>
        <v>10000</v>
      </c>
      <c r="L1213" s="8">
        <f t="shared" si="109"/>
        <v>500</v>
      </c>
      <c r="M1213" s="8">
        <f t="shared" si="110"/>
        <v>9500</v>
      </c>
      <c r="N1213" s="5">
        <v>49000</v>
      </c>
      <c r="O1213" s="8">
        <f t="shared" si="111"/>
        <v>58500</v>
      </c>
      <c r="P1213" s="2" t="s">
        <v>22</v>
      </c>
      <c r="Q1213" s="10" t="str">
        <f>VLOOKUP(A1213,Status!A:B,2,0)</f>
        <v>Completed</v>
      </c>
      <c r="R1213" s="2" t="s">
        <v>46</v>
      </c>
      <c r="S1213" s="2">
        <v>1</v>
      </c>
      <c r="T1213" s="2" t="s">
        <v>24</v>
      </c>
      <c r="U1213" s="10" t="str">
        <f t="shared" si="113"/>
        <v>Aug</v>
      </c>
      <c r="V1213" s="10">
        <f t="shared" si="112"/>
        <v>2025</v>
      </c>
      <c r="W1213" t="e" cm="1">
        <f t="array" ref="W1213">_xlfn.IFS(U1213="January",1,U1213="February",2,U1213="March",3,U1213="April",4,U1213="May",5,U1213="June",6,U1213="July",7,U1213="August",8,U1213="September",9,U1213="October",10,U1213="November",11,U1213="December",12)</f>
        <v>#N/A</v>
      </c>
    </row>
    <row r="1214" spans="1:23" ht="15.75" customHeight="1" x14ac:dyDescent="0.25">
      <c r="A1214" s="2" t="s">
        <v>2149</v>
      </c>
      <c r="B1214" s="3">
        <v>45876.420243055552</v>
      </c>
      <c r="C1214" s="2" t="s">
        <v>1523</v>
      </c>
      <c r="D1214" s="2" t="s">
        <v>96</v>
      </c>
      <c r="E1214" s="2" t="s">
        <v>93</v>
      </c>
      <c r="F1214" s="2" t="str" cm="1">
        <f t="array" ref="F1214:G1214">_xlfn.TEXTSPLIT(E1214," - ")</f>
        <v>Telur Ayam</v>
      </c>
      <c r="G1214" s="2" t="str">
        <v>Brand B</v>
      </c>
      <c r="H1214" s="5">
        <v>25000</v>
      </c>
      <c r="I1214" s="2">
        <v>5</v>
      </c>
      <c r="J1214" s="2">
        <v>5</v>
      </c>
      <c r="K1214" s="8">
        <f t="shared" si="108"/>
        <v>125000</v>
      </c>
      <c r="L1214" s="8">
        <f t="shared" si="109"/>
        <v>6250</v>
      </c>
      <c r="M1214" s="8">
        <f t="shared" si="110"/>
        <v>118750</v>
      </c>
      <c r="N1214" s="5">
        <v>0</v>
      </c>
      <c r="O1214" s="8">
        <f t="shared" si="111"/>
        <v>118750</v>
      </c>
      <c r="P1214" s="2" t="s">
        <v>22</v>
      </c>
      <c r="Q1214" s="10" t="str">
        <f>VLOOKUP(A1214,Status!A:B,2,0)</f>
        <v>Completed</v>
      </c>
      <c r="R1214" s="2" t="s">
        <v>46</v>
      </c>
      <c r="S1214" s="2">
        <v>1</v>
      </c>
      <c r="T1214" s="2" t="s">
        <v>24</v>
      </c>
      <c r="U1214" s="10" t="str">
        <f t="shared" si="113"/>
        <v>Aug</v>
      </c>
      <c r="V1214" s="10">
        <f t="shared" si="112"/>
        <v>2025</v>
      </c>
      <c r="W1214" t="e" cm="1">
        <f t="array" ref="W1214">_xlfn.IFS(U1214="January",1,U1214="February",2,U1214="March",3,U1214="April",4,U1214="May",5,U1214="June",6,U1214="July",7,U1214="August",8,U1214="September",9,U1214="October",10,U1214="November",11,U1214="December",12)</f>
        <v>#N/A</v>
      </c>
    </row>
    <row r="1215" spans="1:23" ht="15.75" customHeight="1" x14ac:dyDescent="0.25">
      <c r="A1215" s="2" t="s">
        <v>2150</v>
      </c>
      <c r="B1215" s="3">
        <v>45876.465196759258</v>
      </c>
      <c r="C1215" s="2" t="s">
        <v>513</v>
      </c>
      <c r="D1215" s="2" t="s">
        <v>182</v>
      </c>
      <c r="E1215" s="2" t="s">
        <v>45</v>
      </c>
      <c r="F1215" s="2" t="str" cm="1">
        <f t="array" ref="F1215:G1215">_xlfn.TEXTSPLIT(E1215," - ")</f>
        <v>Daging Ayam</v>
      </c>
      <c r="G1215" s="2" t="str">
        <v>Brand B</v>
      </c>
      <c r="H1215" s="5">
        <v>40000</v>
      </c>
      <c r="I1215" s="2">
        <v>1</v>
      </c>
      <c r="J1215" s="2">
        <v>5</v>
      </c>
      <c r="K1215" s="8">
        <f t="shared" si="108"/>
        <v>40000</v>
      </c>
      <c r="L1215" s="8">
        <f t="shared" si="109"/>
        <v>2000</v>
      </c>
      <c r="M1215" s="8">
        <f t="shared" si="110"/>
        <v>38000</v>
      </c>
      <c r="N1215" s="5">
        <v>48000</v>
      </c>
      <c r="O1215" s="8">
        <f t="shared" si="111"/>
        <v>86000</v>
      </c>
      <c r="P1215" s="2" t="s">
        <v>35</v>
      </c>
      <c r="Q1215" s="10" t="str">
        <f>VLOOKUP(A1215,Status!A:B,2,0)</f>
        <v>Completed</v>
      </c>
      <c r="R1215" s="2" t="s">
        <v>46</v>
      </c>
      <c r="S1215" s="2">
        <v>4</v>
      </c>
      <c r="T1215" s="2" t="s">
        <v>24</v>
      </c>
      <c r="U1215" s="10" t="str">
        <f t="shared" si="113"/>
        <v>Aug</v>
      </c>
      <c r="V1215" s="10">
        <f t="shared" si="112"/>
        <v>2025</v>
      </c>
      <c r="W1215" t="e" cm="1">
        <f t="array" ref="W1215">_xlfn.IFS(U1215="January",1,U1215="February",2,U1215="March",3,U1215="April",4,U1215="May",5,U1215="June",6,U1215="July",7,U1215="August",8,U1215="September",9,U1215="October",10,U1215="November",11,U1215="December",12)</f>
        <v>#N/A</v>
      </c>
    </row>
    <row r="1216" spans="1:23" ht="15.75" customHeight="1" x14ac:dyDescent="0.25">
      <c r="A1216" s="2" t="s">
        <v>2151</v>
      </c>
      <c r="B1216" s="3">
        <v>45876.647361111107</v>
      </c>
      <c r="C1216" s="2" t="s">
        <v>40</v>
      </c>
      <c r="D1216" s="2" t="s">
        <v>27</v>
      </c>
      <c r="E1216" s="2" t="s">
        <v>21</v>
      </c>
      <c r="F1216" s="2" t="str" cm="1">
        <f t="array" ref="F1216:G1216">_xlfn.TEXTSPLIT(E1216," - ")</f>
        <v>Daging Ayam</v>
      </c>
      <c r="G1216" s="2" t="str">
        <v>Brand C</v>
      </c>
      <c r="H1216" s="5">
        <v>45000</v>
      </c>
      <c r="I1216" s="2">
        <v>2</v>
      </c>
      <c r="J1216" s="2">
        <v>0</v>
      </c>
      <c r="K1216" s="8">
        <f t="shared" si="108"/>
        <v>90000</v>
      </c>
      <c r="L1216" s="8">
        <f t="shared" si="109"/>
        <v>0</v>
      </c>
      <c r="M1216" s="8">
        <f t="shared" si="110"/>
        <v>90000</v>
      </c>
      <c r="N1216" s="5">
        <v>17000</v>
      </c>
      <c r="O1216" s="8">
        <f t="shared" si="111"/>
        <v>107000</v>
      </c>
      <c r="P1216" s="2" t="s">
        <v>63</v>
      </c>
      <c r="Q1216" s="10" t="str">
        <f>VLOOKUP(A1216,Status!A:B,2,0)</f>
        <v>Completed</v>
      </c>
      <c r="R1216" s="2" t="s">
        <v>82</v>
      </c>
      <c r="S1216" s="2">
        <v>3</v>
      </c>
      <c r="T1216" s="2" t="s">
        <v>24</v>
      </c>
      <c r="U1216" s="10" t="str">
        <f t="shared" si="113"/>
        <v>Aug</v>
      </c>
      <c r="V1216" s="10">
        <f t="shared" si="112"/>
        <v>2025</v>
      </c>
      <c r="W1216" t="e" cm="1">
        <f t="array" ref="W1216">_xlfn.IFS(U1216="January",1,U1216="February",2,U1216="March",3,U1216="April",4,U1216="May",5,U1216="June",6,U1216="July",7,U1216="August",8,U1216="September",9,U1216="October",10,U1216="November",11,U1216="December",12)</f>
        <v>#N/A</v>
      </c>
    </row>
    <row r="1217" spans="1:23" ht="15.75" customHeight="1" x14ac:dyDescent="0.25">
      <c r="A1217" s="2" t="s">
        <v>2152</v>
      </c>
      <c r="B1217" s="3">
        <v>45876.78701388889</v>
      </c>
      <c r="C1217" s="2" t="s">
        <v>172</v>
      </c>
      <c r="D1217" s="2" t="s">
        <v>173</v>
      </c>
      <c r="E1217" s="2" t="s">
        <v>174</v>
      </c>
      <c r="F1217" s="2" t="str" cm="1">
        <f t="array" ref="F1217:G1217">_xlfn.TEXTSPLIT(E1217," - ")</f>
        <v>Tepung Terigu</v>
      </c>
      <c r="G1217" s="2" t="str">
        <v>Brand A</v>
      </c>
      <c r="H1217" s="5">
        <v>10000</v>
      </c>
      <c r="I1217" s="2">
        <v>1</v>
      </c>
      <c r="J1217" s="2">
        <v>20</v>
      </c>
      <c r="K1217" s="8">
        <f t="shared" si="108"/>
        <v>10000</v>
      </c>
      <c r="L1217" s="8">
        <f t="shared" si="109"/>
        <v>2000</v>
      </c>
      <c r="M1217" s="8">
        <f t="shared" si="110"/>
        <v>8000</v>
      </c>
      <c r="N1217" s="5">
        <v>49000</v>
      </c>
      <c r="O1217" s="8">
        <f t="shared" si="111"/>
        <v>57000</v>
      </c>
      <c r="P1217" s="2" t="s">
        <v>35</v>
      </c>
      <c r="Q1217" s="10" t="str">
        <f>VLOOKUP(A1217,Status!A:B,2,0)</f>
        <v>Pending</v>
      </c>
      <c r="R1217" s="2" t="s">
        <v>36</v>
      </c>
      <c r="S1217" s="2">
        <v>1</v>
      </c>
      <c r="T1217" s="2" t="s">
        <v>24</v>
      </c>
      <c r="U1217" s="10" t="str">
        <f t="shared" si="113"/>
        <v>Aug</v>
      </c>
      <c r="V1217" s="10">
        <f t="shared" si="112"/>
        <v>2025</v>
      </c>
      <c r="W1217" t="e" cm="1">
        <f t="array" ref="W1217">_xlfn.IFS(U1217="January",1,U1217="February",2,U1217="March",3,U1217="April",4,U1217="May",5,U1217="June",6,U1217="July",7,U1217="August",8,U1217="September",9,U1217="October",10,U1217="November",11,U1217="December",12)</f>
        <v>#N/A</v>
      </c>
    </row>
    <row r="1218" spans="1:23" ht="15.75" customHeight="1" x14ac:dyDescent="0.25">
      <c r="A1218" s="2" t="s">
        <v>2153</v>
      </c>
      <c r="B1218" s="3">
        <v>45876.900497685187</v>
      </c>
      <c r="C1218" s="2" t="s">
        <v>311</v>
      </c>
      <c r="D1218" s="2" t="s">
        <v>116</v>
      </c>
      <c r="E1218" s="2" t="s">
        <v>71</v>
      </c>
      <c r="F1218" s="2" t="str" cm="1">
        <f t="array" ref="F1218:G1218">_xlfn.TEXTSPLIT(E1218," - ")</f>
        <v>Bawang Merah</v>
      </c>
      <c r="G1218" s="2" t="str">
        <v>Brand C</v>
      </c>
      <c r="H1218" s="5">
        <v>40000</v>
      </c>
      <c r="I1218" s="2">
        <v>4</v>
      </c>
      <c r="J1218" s="2">
        <v>10</v>
      </c>
      <c r="K1218" s="8">
        <f t="shared" ref="K1218:K1281" si="114">H1218*I1218</f>
        <v>160000</v>
      </c>
      <c r="L1218" s="8">
        <f t="shared" ref="L1218:L1281" si="115">K1218*J1218%</f>
        <v>16000</v>
      </c>
      <c r="M1218" s="8">
        <f t="shared" ref="M1218:M1281" si="116">K1218-L1218</f>
        <v>144000</v>
      </c>
      <c r="N1218" s="5">
        <v>72000</v>
      </c>
      <c r="O1218" s="8">
        <f t="shared" ref="O1218:O1281" si="117">M1218+N1218</f>
        <v>216000</v>
      </c>
      <c r="P1218" s="2" t="s">
        <v>35</v>
      </c>
      <c r="Q1218" s="10" t="str">
        <f>VLOOKUP(A1218,Status!A:B,2,0)</f>
        <v>Shipped</v>
      </c>
      <c r="R1218" s="2" t="s">
        <v>82</v>
      </c>
      <c r="S1218" s="2">
        <v>5</v>
      </c>
      <c r="T1218" s="2" t="s">
        <v>24</v>
      </c>
      <c r="U1218" s="10" t="str">
        <f t="shared" si="113"/>
        <v>Aug</v>
      </c>
      <c r="V1218" s="10">
        <f t="shared" ref="V1218:V1281" si="118">YEAR(B1218)</f>
        <v>2025</v>
      </c>
      <c r="W1218" t="e" cm="1">
        <f t="array" ref="W1218">_xlfn.IFS(U1218="January",1,U1218="February",2,U1218="March",3,U1218="April",4,U1218="May",5,U1218="June",6,U1218="July",7,U1218="August",8,U1218="September",9,U1218="October",10,U1218="November",11,U1218="December",12)</f>
        <v>#N/A</v>
      </c>
    </row>
    <row r="1219" spans="1:23" ht="15.75" customHeight="1" x14ac:dyDescent="0.25">
      <c r="A1219" s="2" t="s">
        <v>2154</v>
      </c>
      <c r="B1219" s="3">
        <v>45877.313981481479</v>
      </c>
      <c r="C1219" s="2" t="s">
        <v>84</v>
      </c>
      <c r="D1219" s="2" t="s">
        <v>57</v>
      </c>
      <c r="E1219" s="2" t="s">
        <v>190</v>
      </c>
      <c r="F1219" s="2" t="str" cm="1">
        <f t="array" ref="F1219:G1219">_xlfn.TEXTSPLIT(E1219," - ")</f>
        <v>Bawang Merah</v>
      </c>
      <c r="G1219" s="2" t="str">
        <v>Brand B</v>
      </c>
      <c r="H1219" s="5">
        <v>35000</v>
      </c>
      <c r="I1219" s="2">
        <v>4</v>
      </c>
      <c r="J1219" s="2">
        <v>20</v>
      </c>
      <c r="K1219" s="8">
        <f t="shared" si="114"/>
        <v>140000</v>
      </c>
      <c r="L1219" s="8">
        <f t="shared" si="115"/>
        <v>28000</v>
      </c>
      <c r="M1219" s="8">
        <f t="shared" si="116"/>
        <v>112000</v>
      </c>
      <c r="N1219" s="5">
        <v>80000</v>
      </c>
      <c r="O1219" s="8">
        <f t="shared" si="117"/>
        <v>192000</v>
      </c>
      <c r="P1219" s="2" t="s">
        <v>29</v>
      </c>
      <c r="Q1219" s="10" t="str">
        <f>VLOOKUP(A1219,Status!A:B,2,0)</f>
        <v>Pending</v>
      </c>
      <c r="R1219" s="2" t="s">
        <v>30</v>
      </c>
      <c r="S1219" s="2">
        <v>5</v>
      </c>
      <c r="T1219" s="2" t="s">
        <v>37</v>
      </c>
      <c r="U1219" s="10" t="str">
        <f t="shared" ref="U1219:U1282" si="119">TEXT(B1219,"MMM")</f>
        <v>Aug</v>
      </c>
      <c r="V1219" s="10">
        <f t="shared" si="118"/>
        <v>2025</v>
      </c>
      <c r="W1219" t="e" cm="1">
        <f t="array" ref="W1219">_xlfn.IFS(U1219="January",1,U1219="February",2,U1219="March",3,U1219="April",4,U1219="May",5,U1219="June",6,U1219="July",7,U1219="August",8,U1219="September",9,U1219="October",10,U1219="November",11,U1219="December",12)</f>
        <v>#N/A</v>
      </c>
    </row>
    <row r="1220" spans="1:23" ht="15.75" customHeight="1" x14ac:dyDescent="0.25">
      <c r="A1220" s="2" t="s">
        <v>2155</v>
      </c>
      <c r="B1220" s="3">
        <v>45877.703877314823</v>
      </c>
      <c r="C1220" s="2" t="s">
        <v>1083</v>
      </c>
      <c r="D1220" s="2" t="s">
        <v>170</v>
      </c>
      <c r="E1220" s="2" t="s">
        <v>45</v>
      </c>
      <c r="F1220" s="2" t="str" cm="1">
        <f t="array" ref="F1220:G1220">_xlfn.TEXTSPLIT(E1220," - ")</f>
        <v>Daging Ayam</v>
      </c>
      <c r="G1220" s="2" t="str">
        <v>Brand B</v>
      </c>
      <c r="H1220" s="5">
        <v>40000</v>
      </c>
      <c r="I1220" s="2">
        <v>4</v>
      </c>
      <c r="J1220" s="2">
        <v>20</v>
      </c>
      <c r="K1220" s="8">
        <f t="shared" si="114"/>
        <v>160000</v>
      </c>
      <c r="L1220" s="8">
        <f t="shared" si="115"/>
        <v>32000</v>
      </c>
      <c r="M1220" s="8">
        <f t="shared" si="116"/>
        <v>128000</v>
      </c>
      <c r="N1220" s="5">
        <v>46000</v>
      </c>
      <c r="O1220" s="8">
        <f t="shared" si="117"/>
        <v>174000</v>
      </c>
      <c r="P1220" s="2" t="s">
        <v>35</v>
      </c>
      <c r="Q1220" s="10" t="str">
        <f>VLOOKUP(A1220,Status!A:B,2,0)</f>
        <v>Pending</v>
      </c>
      <c r="R1220" s="2" t="s">
        <v>82</v>
      </c>
      <c r="S1220" s="2">
        <v>5</v>
      </c>
      <c r="T1220" s="2" t="s">
        <v>24</v>
      </c>
      <c r="U1220" s="10" t="str">
        <f t="shared" si="119"/>
        <v>Aug</v>
      </c>
      <c r="V1220" s="10">
        <f t="shared" si="118"/>
        <v>2025</v>
      </c>
      <c r="W1220" t="e" cm="1">
        <f t="array" ref="W1220">_xlfn.IFS(U1220="January",1,U1220="February",2,U1220="March",3,U1220="April",4,U1220="May",5,U1220="June",6,U1220="July",7,U1220="August",8,U1220="September",9,U1220="October",10,U1220="November",11,U1220="December",12)</f>
        <v>#N/A</v>
      </c>
    </row>
    <row r="1221" spans="1:23" ht="15.75" customHeight="1" x14ac:dyDescent="0.25">
      <c r="A1221" s="2" t="s">
        <v>2156</v>
      </c>
      <c r="B1221" s="3">
        <v>45877.751006944447</v>
      </c>
      <c r="C1221" s="2" t="s">
        <v>355</v>
      </c>
      <c r="D1221" s="2" t="s">
        <v>116</v>
      </c>
      <c r="E1221" s="2" t="s">
        <v>58</v>
      </c>
      <c r="F1221" s="2" t="str" cm="1">
        <f t="array" ref="F1221:G1221">_xlfn.TEXTSPLIT(E1221," - ")</f>
        <v>Gula Pasir</v>
      </c>
      <c r="G1221" s="2" t="str">
        <v>Brand A</v>
      </c>
      <c r="H1221" s="5">
        <v>16000</v>
      </c>
      <c r="I1221" s="2">
        <v>1</v>
      </c>
      <c r="J1221" s="2">
        <v>20</v>
      </c>
      <c r="K1221" s="8">
        <f t="shared" si="114"/>
        <v>16000</v>
      </c>
      <c r="L1221" s="8">
        <f t="shared" si="115"/>
        <v>3200</v>
      </c>
      <c r="M1221" s="8">
        <f t="shared" si="116"/>
        <v>12800</v>
      </c>
      <c r="N1221" s="5">
        <v>72000</v>
      </c>
      <c r="O1221" s="8">
        <f t="shared" si="117"/>
        <v>84800</v>
      </c>
      <c r="P1221" s="2" t="s">
        <v>22</v>
      </c>
      <c r="Q1221" s="10" t="str">
        <f>VLOOKUP(A1221,Status!A:B,2,0)</f>
        <v>Pending</v>
      </c>
      <c r="R1221" s="2" t="s">
        <v>36</v>
      </c>
      <c r="S1221" s="2">
        <v>5</v>
      </c>
      <c r="T1221" s="2" t="s">
        <v>24</v>
      </c>
      <c r="U1221" s="10" t="str">
        <f t="shared" si="119"/>
        <v>Aug</v>
      </c>
      <c r="V1221" s="10">
        <f t="shared" si="118"/>
        <v>2025</v>
      </c>
      <c r="W1221" t="e" cm="1">
        <f t="array" ref="W1221">_xlfn.IFS(U1221="January",1,U1221="February",2,U1221="March",3,U1221="April",4,U1221="May",5,U1221="June",6,U1221="July",7,U1221="August",8,U1221="September",9,U1221="October",10,U1221="November",11,U1221="December",12)</f>
        <v>#N/A</v>
      </c>
    </row>
    <row r="1222" spans="1:23" ht="15.75" customHeight="1" x14ac:dyDescent="0.25">
      <c r="A1222" s="2" t="s">
        <v>2157</v>
      </c>
      <c r="B1222" s="3">
        <v>45877.798298611109</v>
      </c>
      <c r="C1222" s="2" t="s">
        <v>316</v>
      </c>
      <c r="D1222" s="2" t="s">
        <v>244</v>
      </c>
      <c r="E1222" s="2" t="s">
        <v>123</v>
      </c>
      <c r="F1222" s="2" t="str" cm="1">
        <f t="array" ref="F1222:G1222">_xlfn.TEXTSPLIT(E1222," - ")</f>
        <v>Telur Ayam</v>
      </c>
      <c r="G1222" s="2" t="str">
        <v>Brand A</v>
      </c>
      <c r="H1222" s="5">
        <v>22000</v>
      </c>
      <c r="I1222" s="2">
        <v>5</v>
      </c>
      <c r="J1222" s="2">
        <v>0</v>
      </c>
      <c r="K1222" s="8">
        <f t="shared" si="114"/>
        <v>110000</v>
      </c>
      <c r="L1222" s="8">
        <f t="shared" si="115"/>
        <v>0</v>
      </c>
      <c r="M1222" s="8">
        <f t="shared" si="116"/>
        <v>110000</v>
      </c>
      <c r="N1222" s="5">
        <v>80000</v>
      </c>
      <c r="O1222" s="8">
        <f t="shared" si="117"/>
        <v>190000</v>
      </c>
      <c r="P1222" s="2" t="s">
        <v>29</v>
      </c>
      <c r="Q1222" s="10" t="str">
        <f>VLOOKUP(A1222,Status!A:B,2,0)</f>
        <v>Completed</v>
      </c>
      <c r="R1222" s="2" t="s">
        <v>82</v>
      </c>
      <c r="S1222" s="2">
        <v>1</v>
      </c>
      <c r="T1222" s="2" t="s">
        <v>24</v>
      </c>
      <c r="U1222" s="10" t="str">
        <f t="shared" si="119"/>
        <v>Aug</v>
      </c>
      <c r="V1222" s="10">
        <f t="shared" si="118"/>
        <v>2025</v>
      </c>
      <c r="W1222" t="e" cm="1">
        <f t="array" ref="W1222">_xlfn.IFS(U1222="January",1,U1222="February",2,U1222="March",3,U1222="April",4,U1222="May",5,U1222="June",6,U1222="July",7,U1222="August",8,U1222="September",9,U1222="October",10,U1222="November",11,U1222="December",12)</f>
        <v>#N/A</v>
      </c>
    </row>
    <row r="1223" spans="1:23" ht="15.75" customHeight="1" x14ac:dyDescent="0.25">
      <c r="A1223" s="2" t="s">
        <v>2158</v>
      </c>
      <c r="B1223" s="3">
        <v>45877.870844907397</v>
      </c>
      <c r="C1223" s="2" t="s">
        <v>990</v>
      </c>
      <c r="D1223" s="2" t="s">
        <v>173</v>
      </c>
      <c r="E1223" s="2" t="s">
        <v>62</v>
      </c>
      <c r="F1223" s="2" t="str" cm="1">
        <f t="array" ref="F1223:G1223">_xlfn.TEXTSPLIT(E1223," - ")</f>
        <v>Susu Bubuk</v>
      </c>
      <c r="G1223" s="2" t="str">
        <v>Brand B</v>
      </c>
      <c r="H1223" s="5">
        <v>50000</v>
      </c>
      <c r="I1223" s="2">
        <v>1</v>
      </c>
      <c r="J1223" s="2">
        <v>10</v>
      </c>
      <c r="K1223" s="8">
        <f t="shared" si="114"/>
        <v>50000</v>
      </c>
      <c r="L1223" s="8">
        <f t="shared" si="115"/>
        <v>5000</v>
      </c>
      <c r="M1223" s="8">
        <f t="shared" si="116"/>
        <v>45000</v>
      </c>
      <c r="N1223" s="5">
        <v>49000</v>
      </c>
      <c r="O1223" s="8">
        <f t="shared" si="117"/>
        <v>94000</v>
      </c>
      <c r="P1223" s="2" t="s">
        <v>63</v>
      </c>
      <c r="Q1223" s="10" t="str">
        <f>VLOOKUP(A1223,Status!A:B,2,0)</f>
        <v>Pending</v>
      </c>
      <c r="R1223" s="2" t="s">
        <v>30</v>
      </c>
      <c r="S1223" s="2">
        <v>5</v>
      </c>
      <c r="T1223" s="2" t="s">
        <v>24</v>
      </c>
      <c r="U1223" s="10" t="str">
        <f t="shared" si="119"/>
        <v>Aug</v>
      </c>
      <c r="V1223" s="10">
        <f t="shared" si="118"/>
        <v>2025</v>
      </c>
      <c r="W1223" t="e" cm="1">
        <f t="array" ref="W1223">_xlfn.IFS(U1223="January",1,U1223="February",2,U1223="March",3,U1223="April",4,U1223="May",5,U1223="June",6,U1223="July",7,U1223="August",8,U1223="September",9,U1223="October",10,U1223="November",11,U1223="December",12)</f>
        <v>#N/A</v>
      </c>
    </row>
    <row r="1224" spans="1:23" ht="15.75" customHeight="1" x14ac:dyDescent="0.25">
      <c r="A1224" s="2" t="s">
        <v>2159</v>
      </c>
      <c r="B1224" s="3">
        <v>45877.960509259261</v>
      </c>
      <c r="C1224" s="2" t="s">
        <v>570</v>
      </c>
      <c r="D1224" s="2" t="s">
        <v>80</v>
      </c>
      <c r="E1224" s="2" t="s">
        <v>250</v>
      </c>
      <c r="F1224" s="2" t="str" cm="1">
        <f t="array" ref="F1224:G1224">_xlfn.TEXTSPLIT(E1224," - ")</f>
        <v>Minyak Goreng</v>
      </c>
      <c r="G1224" s="2" t="str">
        <v>Brand C</v>
      </c>
      <c r="H1224" s="5">
        <v>18000</v>
      </c>
      <c r="I1224" s="2">
        <v>3</v>
      </c>
      <c r="J1224" s="2">
        <v>20</v>
      </c>
      <c r="K1224" s="8">
        <f t="shared" si="114"/>
        <v>54000</v>
      </c>
      <c r="L1224" s="8">
        <f t="shared" si="115"/>
        <v>10800</v>
      </c>
      <c r="M1224" s="8">
        <f t="shared" si="116"/>
        <v>43200</v>
      </c>
      <c r="N1224" s="5">
        <v>74000</v>
      </c>
      <c r="O1224" s="8">
        <f t="shared" si="117"/>
        <v>117200</v>
      </c>
      <c r="P1224" s="2" t="s">
        <v>35</v>
      </c>
      <c r="Q1224" s="10" t="str">
        <f>VLOOKUP(A1224,Status!A:B,2,0)</f>
        <v>Pending</v>
      </c>
      <c r="R1224" s="2" t="s">
        <v>82</v>
      </c>
      <c r="S1224" s="2">
        <v>1</v>
      </c>
      <c r="T1224" s="2" t="s">
        <v>24</v>
      </c>
      <c r="U1224" s="10" t="str">
        <f t="shared" si="119"/>
        <v>Aug</v>
      </c>
      <c r="V1224" s="10">
        <f t="shared" si="118"/>
        <v>2025</v>
      </c>
      <c r="W1224" t="e" cm="1">
        <f t="array" ref="W1224">_xlfn.IFS(U1224="January",1,U1224="February",2,U1224="March",3,U1224="April",4,U1224="May",5,U1224="June",6,U1224="July",7,U1224="August",8,U1224="September",9,U1224="October",10,U1224="November",11,U1224="December",12)</f>
        <v>#N/A</v>
      </c>
    </row>
    <row r="1225" spans="1:23" ht="15.75" customHeight="1" x14ac:dyDescent="0.25">
      <c r="A1225" s="2" t="s">
        <v>2160</v>
      </c>
      <c r="B1225" s="3">
        <v>45878.346064814818</v>
      </c>
      <c r="C1225" s="2" t="s">
        <v>1530</v>
      </c>
      <c r="D1225" s="2" t="s">
        <v>122</v>
      </c>
      <c r="E1225" s="2" t="s">
        <v>75</v>
      </c>
      <c r="F1225" s="2" t="str" cm="1">
        <f t="array" ref="F1225:G1225">_xlfn.TEXTSPLIT(E1225," - ")</f>
        <v>Susu Bubuk</v>
      </c>
      <c r="G1225" s="2" t="str">
        <v>Brand C</v>
      </c>
      <c r="H1225" s="5">
        <v>55000</v>
      </c>
      <c r="I1225" s="2">
        <v>4</v>
      </c>
      <c r="J1225" s="2">
        <v>5</v>
      </c>
      <c r="K1225" s="8">
        <f t="shared" si="114"/>
        <v>220000</v>
      </c>
      <c r="L1225" s="8">
        <f t="shared" si="115"/>
        <v>11000</v>
      </c>
      <c r="M1225" s="8">
        <f t="shared" si="116"/>
        <v>209000</v>
      </c>
      <c r="N1225" s="5">
        <v>78000</v>
      </c>
      <c r="O1225" s="8">
        <f t="shared" si="117"/>
        <v>287000</v>
      </c>
      <c r="P1225" s="2" t="s">
        <v>29</v>
      </c>
      <c r="Q1225" s="10" t="str">
        <f>VLOOKUP(A1225,Status!A:B,2,0)</f>
        <v>Completed</v>
      </c>
      <c r="R1225" s="2" t="s">
        <v>23</v>
      </c>
      <c r="S1225" s="2">
        <v>4</v>
      </c>
      <c r="T1225" s="2" t="s">
        <v>24</v>
      </c>
      <c r="U1225" s="10" t="str">
        <f t="shared" si="119"/>
        <v>Aug</v>
      </c>
      <c r="V1225" s="10">
        <f t="shared" si="118"/>
        <v>2025</v>
      </c>
      <c r="W1225" t="e" cm="1">
        <f t="array" ref="W1225">_xlfn.IFS(U1225="January",1,U1225="February",2,U1225="March",3,U1225="April",4,U1225="May",5,U1225="June",6,U1225="July",7,U1225="August",8,U1225="September",9,U1225="October",10,U1225="November",11,U1225="December",12)</f>
        <v>#N/A</v>
      </c>
    </row>
    <row r="1226" spans="1:23" ht="15.75" customHeight="1" x14ac:dyDescent="0.25">
      <c r="A1226" s="2" t="s">
        <v>2161</v>
      </c>
      <c r="B1226" s="3">
        <v>45878.467604166668</v>
      </c>
      <c r="C1226" s="2" t="s">
        <v>353</v>
      </c>
      <c r="D1226" s="2" t="s">
        <v>66</v>
      </c>
      <c r="E1226" s="2" t="s">
        <v>190</v>
      </c>
      <c r="F1226" s="2" t="str" cm="1">
        <f t="array" ref="F1226:G1226">_xlfn.TEXTSPLIT(E1226," - ")</f>
        <v>Bawang Merah</v>
      </c>
      <c r="G1226" s="2" t="str">
        <v>Brand B</v>
      </c>
      <c r="H1226" s="5">
        <v>35000</v>
      </c>
      <c r="I1226" s="2">
        <v>2</v>
      </c>
      <c r="J1226" s="2">
        <v>10</v>
      </c>
      <c r="K1226" s="8">
        <f t="shared" si="114"/>
        <v>70000</v>
      </c>
      <c r="L1226" s="8">
        <f t="shared" si="115"/>
        <v>7000</v>
      </c>
      <c r="M1226" s="8">
        <f t="shared" si="116"/>
        <v>63000</v>
      </c>
      <c r="N1226" s="5">
        <v>59000</v>
      </c>
      <c r="O1226" s="8">
        <f t="shared" si="117"/>
        <v>122000</v>
      </c>
      <c r="P1226" s="2" t="s">
        <v>22</v>
      </c>
      <c r="Q1226" s="10" t="str">
        <f>VLOOKUP(A1226,Status!A:B,2,0)</f>
        <v>Pending</v>
      </c>
      <c r="R1226" s="2" t="s">
        <v>46</v>
      </c>
      <c r="S1226" s="2">
        <v>5</v>
      </c>
      <c r="T1226" s="2" t="s">
        <v>24</v>
      </c>
      <c r="U1226" s="10" t="str">
        <f t="shared" si="119"/>
        <v>Aug</v>
      </c>
      <c r="V1226" s="10">
        <f t="shared" si="118"/>
        <v>2025</v>
      </c>
      <c r="W1226" t="e" cm="1">
        <f t="array" ref="W1226">_xlfn.IFS(U1226="January",1,U1226="February",2,U1226="March",3,U1226="April",4,U1226="May",5,U1226="June",6,U1226="July",7,U1226="August",8,U1226="September",9,U1226="October",10,U1226="November",11,U1226="December",12)</f>
        <v>#N/A</v>
      </c>
    </row>
    <row r="1227" spans="1:23" ht="15.75" customHeight="1" x14ac:dyDescent="0.25">
      <c r="A1227" s="2" t="s">
        <v>2161</v>
      </c>
      <c r="B1227" s="3">
        <v>45878.467604166668</v>
      </c>
      <c r="C1227" s="2" t="s">
        <v>353</v>
      </c>
      <c r="D1227" s="2" t="s">
        <v>66</v>
      </c>
      <c r="E1227" s="2" t="s">
        <v>58</v>
      </c>
      <c r="F1227" s="2" t="str" cm="1">
        <f t="array" ref="F1227:G1227">_xlfn.TEXTSPLIT(E1227," - ")</f>
        <v>Gula Pasir</v>
      </c>
      <c r="G1227" s="2" t="str">
        <v>Brand A</v>
      </c>
      <c r="H1227" s="5">
        <v>16000</v>
      </c>
      <c r="I1227" s="2">
        <v>3</v>
      </c>
      <c r="J1227" s="2">
        <v>10</v>
      </c>
      <c r="K1227" s="8">
        <f t="shared" si="114"/>
        <v>48000</v>
      </c>
      <c r="L1227" s="8">
        <f t="shared" si="115"/>
        <v>4800</v>
      </c>
      <c r="M1227" s="8">
        <f t="shared" si="116"/>
        <v>43200</v>
      </c>
      <c r="N1227" s="5">
        <v>0</v>
      </c>
      <c r="O1227" s="8">
        <f t="shared" si="117"/>
        <v>43200</v>
      </c>
      <c r="P1227" s="2" t="s">
        <v>22</v>
      </c>
      <c r="Q1227" s="10" t="str">
        <f>VLOOKUP(A1227,Status!A:B,2,0)</f>
        <v>Pending</v>
      </c>
      <c r="R1227" s="2" t="s">
        <v>46</v>
      </c>
      <c r="S1227" s="2">
        <v>5</v>
      </c>
      <c r="T1227" s="2" t="s">
        <v>24</v>
      </c>
      <c r="U1227" s="10" t="str">
        <f t="shared" si="119"/>
        <v>Aug</v>
      </c>
      <c r="V1227" s="10">
        <f t="shared" si="118"/>
        <v>2025</v>
      </c>
      <c r="W1227" t="e" cm="1">
        <f t="array" ref="W1227">_xlfn.IFS(U1227="January",1,U1227="February",2,U1227="March",3,U1227="April",4,U1227="May",5,U1227="June",6,U1227="July",7,U1227="August",8,U1227="September",9,U1227="October",10,U1227="November",11,U1227="December",12)</f>
        <v>#N/A</v>
      </c>
    </row>
    <row r="1228" spans="1:23" ht="15.75" customHeight="1" x14ac:dyDescent="0.25">
      <c r="A1228" s="2" t="s">
        <v>2162</v>
      </c>
      <c r="B1228" s="3">
        <v>45878.521331018521</v>
      </c>
      <c r="C1228" s="2" t="s">
        <v>695</v>
      </c>
      <c r="D1228" s="2" t="s">
        <v>119</v>
      </c>
      <c r="E1228" s="2" t="s">
        <v>67</v>
      </c>
      <c r="F1228" s="2" t="str" cm="1">
        <f t="array" ref="F1228:G1228">_xlfn.TEXTSPLIT(E1228," - ")</f>
        <v>Beras</v>
      </c>
      <c r="G1228" s="2" t="str">
        <v>Brand B</v>
      </c>
      <c r="H1228" s="5">
        <v>15000</v>
      </c>
      <c r="I1228" s="2">
        <v>3</v>
      </c>
      <c r="J1228" s="2">
        <v>10</v>
      </c>
      <c r="K1228" s="8">
        <f t="shared" si="114"/>
        <v>45000</v>
      </c>
      <c r="L1228" s="8">
        <f t="shared" si="115"/>
        <v>4500</v>
      </c>
      <c r="M1228" s="8">
        <f t="shared" si="116"/>
        <v>40500</v>
      </c>
      <c r="N1228" s="5">
        <v>0</v>
      </c>
      <c r="O1228" s="8">
        <f t="shared" si="117"/>
        <v>40500</v>
      </c>
      <c r="P1228" s="2" t="s">
        <v>29</v>
      </c>
      <c r="Q1228" s="10" t="str">
        <f>VLOOKUP(A1228,Status!A:B,2,0)</f>
        <v>Completed</v>
      </c>
      <c r="R1228" s="2" t="s">
        <v>36</v>
      </c>
      <c r="S1228" s="2">
        <v>4</v>
      </c>
      <c r="T1228" s="2" t="s">
        <v>24</v>
      </c>
      <c r="U1228" s="10" t="str">
        <f t="shared" si="119"/>
        <v>Aug</v>
      </c>
      <c r="V1228" s="10">
        <f t="shared" si="118"/>
        <v>2025</v>
      </c>
      <c r="W1228" t="e" cm="1">
        <f t="array" ref="W1228">_xlfn.IFS(U1228="January",1,U1228="February",2,U1228="March",3,U1228="April",4,U1228="May",5,U1228="June",6,U1228="July",7,U1228="August",8,U1228="September",9,U1228="October",10,U1228="November",11,U1228="December",12)</f>
        <v>#N/A</v>
      </c>
    </row>
    <row r="1229" spans="1:23" ht="15.75" customHeight="1" x14ac:dyDescent="0.25">
      <c r="A1229" s="2" t="s">
        <v>2163</v>
      </c>
      <c r="B1229" s="3">
        <v>45879.030081018522</v>
      </c>
      <c r="C1229" s="2" t="s">
        <v>246</v>
      </c>
      <c r="D1229" s="2" t="s">
        <v>238</v>
      </c>
      <c r="E1229" s="2" t="s">
        <v>58</v>
      </c>
      <c r="F1229" s="2" t="str" cm="1">
        <f t="array" ref="F1229:G1229">_xlfn.TEXTSPLIT(E1229," - ")</f>
        <v>Gula Pasir</v>
      </c>
      <c r="G1229" s="2" t="str">
        <v>Brand A</v>
      </c>
      <c r="H1229" s="5">
        <v>16000</v>
      </c>
      <c r="I1229" s="2">
        <v>3</v>
      </c>
      <c r="J1229" s="2">
        <v>20</v>
      </c>
      <c r="K1229" s="8">
        <f t="shared" si="114"/>
        <v>48000</v>
      </c>
      <c r="L1229" s="8">
        <f t="shared" si="115"/>
        <v>9600</v>
      </c>
      <c r="M1229" s="8">
        <f t="shared" si="116"/>
        <v>38400</v>
      </c>
      <c r="N1229" s="5">
        <v>28000</v>
      </c>
      <c r="O1229" s="8">
        <f t="shared" si="117"/>
        <v>66400</v>
      </c>
      <c r="P1229" s="2" t="s">
        <v>63</v>
      </c>
      <c r="Q1229" s="10" t="str">
        <f>VLOOKUP(A1229,Status!A:B,2,0)</f>
        <v>Completed</v>
      </c>
      <c r="R1229" s="2" t="s">
        <v>46</v>
      </c>
      <c r="S1229" s="2">
        <v>4</v>
      </c>
      <c r="T1229" s="2" t="s">
        <v>24</v>
      </c>
      <c r="U1229" s="10" t="str">
        <f t="shared" si="119"/>
        <v>Aug</v>
      </c>
      <c r="V1229" s="10">
        <f t="shared" si="118"/>
        <v>2025</v>
      </c>
      <c r="W1229" t="e" cm="1">
        <f t="array" ref="W1229">_xlfn.IFS(U1229="January",1,U1229="February",2,U1229="March",3,U1229="April",4,U1229="May",5,U1229="June",6,U1229="July",7,U1229="August",8,U1229="September",9,U1229="October",10,U1229="November",11,U1229="December",12)</f>
        <v>#N/A</v>
      </c>
    </row>
    <row r="1230" spans="1:23" ht="15.75" customHeight="1" x14ac:dyDescent="0.25">
      <c r="A1230" s="2" t="s">
        <v>2164</v>
      </c>
      <c r="B1230" s="3">
        <v>45879.776076388887</v>
      </c>
      <c r="C1230" s="2" t="s">
        <v>758</v>
      </c>
      <c r="D1230" s="2" t="s">
        <v>238</v>
      </c>
      <c r="E1230" s="2" t="s">
        <v>88</v>
      </c>
      <c r="F1230" s="2" t="str" cm="1">
        <f t="array" ref="F1230:G1230">_xlfn.TEXTSPLIT(E1230," - ")</f>
        <v>Beras</v>
      </c>
      <c r="G1230" s="2" t="str">
        <v>Brand A</v>
      </c>
      <c r="H1230" s="5">
        <v>14000</v>
      </c>
      <c r="I1230" s="2">
        <v>5</v>
      </c>
      <c r="J1230" s="2">
        <v>5</v>
      </c>
      <c r="K1230" s="8">
        <f t="shared" si="114"/>
        <v>70000</v>
      </c>
      <c r="L1230" s="8">
        <f t="shared" si="115"/>
        <v>3500</v>
      </c>
      <c r="M1230" s="8">
        <f t="shared" si="116"/>
        <v>66500</v>
      </c>
      <c r="N1230" s="5">
        <v>28000</v>
      </c>
      <c r="O1230" s="8">
        <f t="shared" si="117"/>
        <v>94500</v>
      </c>
      <c r="P1230" s="2" t="s">
        <v>29</v>
      </c>
      <c r="Q1230" s="10" t="str">
        <f>VLOOKUP(A1230,Status!A:B,2,0)</f>
        <v>Shipped</v>
      </c>
      <c r="R1230" s="2" t="s">
        <v>82</v>
      </c>
      <c r="S1230" s="2">
        <v>2</v>
      </c>
      <c r="T1230" s="2" t="s">
        <v>24</v>
      </c>
      <c r="U1230" s="10" t="str">
        <f t="shared" si="119"/>
        <v>Aug</v>
      </c>
      <c r="V1230" s="10">
        <f t="shared" si="118"/>
        <v>2025</v>
      </c>
      <c r="W1230" t="e" cm="1">
        <f t="array" ref="W1230">_xlfn.IFS(U1230="January",1,U1230="February",2,U1230="March",3,U1230="April",4,U1230="May",5,U1230="June",6,U1230="July",7,U1230="August",8,U1230="September",9,U1230="October",10,U1230="November",11,U1230="December",12)</f>
        <v>#N/A</v>
      </c>
    </row>
    <row r="1231" spans="1:23" ht="15.75" customHeight="1" x14ac:dyDescent="0.25">
      <c r="A1231" s="2" t="s">
        <v>2165</v>
      </c>
      <c r="B1231" s="3">
        <v>45880.23296296296</v>
      </c>
      <c r="C1231" s="2" t="s">
        <v>784</v>
      </c>
      <c r="D1231" s="2" t="s">
        <v>116</v>
      </c>
      <c r="E1231" s="2" t="s">
        <v>34</v>
      </c>
      <c r="F1231" s="2" t="str" cm="1">
        <f t="array" ref="F1231:G1231">_xlfn.TEXTSPLIT(E1231," - ")</f>
        <v>Minyak Goreng</v>
      </c>
      <c r="G1231" s="2" t="str">
        <v>Brand A</v>
      </c>
      <c r="H1231" s="5">
        <v>16000</v>
      </c>
      <c r="I1231" s="2">
        <v>1</v>
      </c>
      <c r="J1231" s="2">
        <v>15</v>
      </c>
      <c r="K1231" s="8">
        <f t="shared" si="114"/>
        <v>16000</v>
      </c>
      <c r="L1231" s="8">
        <f t="shared" si="115"/>
        <v>2400</v>
      </c>
      <c r="M1231" s="8">
        <f t="shared" si="116"/>
        <v>13600</v>
      </c>
      <c r="N1231" s="5">
        <v>72000</v>
      </c>
      <c r="O1231" s="8">
        <f t="shared" si="117"/>
        <v>85600</v>
      </c>
      <c r="P1231" s="2" t="s">
        <v>35</v>
      </c>
      <c r="Q1231" s="10" t="str">
        <f>VLOOKUP(A1231,Status!A:B,2,0)</f>
        <v>Pending</v>
      </c>
      <c r="R1231" s="2" t="s">
        <v>23</v>
      </c>
      <c r="S1231" s="2">
        <v>4</v>
      </c>
      <c r="T1231" s="2" t="s">
        <v>24</v>
      </c>
      <c r="U1231" s="10" t="str">
        <f t="shared" si="119"/>
        <v>Aug</v>
      </c>
      <c r="V1231" s="10">
        <f t="shared" si="118"/>
        <v>2025</v>
      </c>
      <c r="W1231" t="e" cm="1">
        <f t="array" ref="W1231">_xlfn.IFS(U1231="January",1,U1231="February",2,U1231="March",3,U1231="April",4,U1231="May",5,U1231="June",6,U1231="July",7,U1231="August",8,U1231="September",9,U1231="October",10,U1231="November",11,U1231="December",12)</f>
        <v>#N/A</v>
      </c>
    </row>
    <row r="1232" spans="1:23" ht="15.75" customHeight="1" x14ac:dyDescent="0.25">
      <c r="A1232" s="2" t="s">
        <v>2166</v>
      </c>
      <c r="B1232" s="3">
        <v>45880.303738425922</v>
      </c>
      <c r="C1232" s="2" t="s">
        <v>40</v>
      </c>
      <c r="D1232" s="2" t="s">
        <v>27</v>
      </c>
      <c r="E1232" s="2" t="s">
        <v>85</v>
      </c>
      <c r="F1232" s="2" t="str" cm="1">
        <f t="array" ref="F1232:G1232">_xlfn.TEXTSPLIT(E1232," - ")</f>
        <v>Daging Ayam</v>
      </c>
      <c r="G1232" s="2" t="str">
        <v>Brand A</v>
      </c>
      <c r="H1232" s="5">
        <v>35000</v>
      </c>
      <c r="I1232" s="2">
        <v>4</v>
      </c>
      <c r="J1232" s="2">
        <v>20</v>
      </c>
      <c r="K1232" s="8">
        <f t="shared" si="114"/>
        <v>140000</v>
      </c>
      <c r="L1232" s="8">
        <f t="shared" si="115"/>
        <v>28000</v>
      </c>
      <c r="M1232" s="8">
        <f t="shared" si="116"/>
        <v>112000</v>
      </c>
      <c r="N1232" s="5">
        <v>17000</v>
      </c>
      <c r="O1232" s="8">
        <f t="shared" si="117"/>
        <v>129000</v>
      </c>
      <c r="P1232" s="2" t="s">
        <v>29</v>
      </c>
      <c r="Q1232" s="10" t="str">
        <f>VLOOKUP(A1232,Status!A:B,2,0)</f>
        <v>Pending</v>
      </c>
      <c r="R1232" s="2" t="s">
        <v>30</v>
      </c>
      <c r="S1232" s="2">
        <v>5</v>
      </c>
      <c r="T1232" s="2" t="s">
        <v>24</v>
      </c>
      <c r="U1232" s="10" t="str">
        <f t="shared" si="119"/>
        <v>Aug</v>
      </c>
      <c r="V1232" s="10">
        <f t="shared" si="118"/>
        <v>2025</v>
      </c>
      <c r="W1232" t="e" cm="1">
        <f t="array" ref="W1232">_xlfn.IFS(U1232="January",1,U1232="February",2,U1232="March",3,U1232="April",4,U1232="May",5,U1232="June",6,U1232="July",7,U1232="August",8,U1232="September",9,U1232="October",10,U1232="November",11,U1232="December",12)</f>
        <v>#N/A</v>
      </c>
    </row>
    <row r="1233" spans="1:23" ht="15.75" customHeight="1" x14ac:dyDescent="0.25">
      <c r="A1233" s="2" t="s">
        <v>2167</v>
      </c>
      <c r="B1233" s="3">
        <v>45881.002187500002</v>
      </c>
      <c r="C1233" s="2" t="s">
        <v>784</v>
      </c>
      <c r="D1233" s="2" t="s">
        <v>116</v>
      </c>
      <c r="E1233" s="2" t="s">
        <v>88</v>
      </c>
      <c r="F1233" s="2" t="str" cm="1">
        <f t="array" ref="F1233:G1233">_xlfn.TEXTSPLIT(E1233," - ")</f>
        <v>Beras</v>
      </c>
      <c r="G1233" s="2" t="str">
        <v>Brand A</v>
      </c>
      <c r="H1233" s="5">
        <v>14000</v>
      </c>
      <c r="I1233" s="2">
        <v>3</v>
      </c>
      <c r="J1233" s="2">
        <v>10</v>
      </c>
      <c r="K1233" s="8">
        <f t="shared" si="114"/>
        <v>42000</v>
      </c>
      <c r="L1233" s="8">
        <f t="shared" si="115"/>
        <v>4200</v>
      </c>
      <c r="M1233" s="8">
        <f t="shared" si="116"/>
        <v>37800</v>
      </c>
      <c r="N1233" s="5">
        <v>72000</v>
      </c>
      <c r="O1233" s="8">
        <f t="shared" si="117"/>
        <v>109800</v>
      </c>
      <c r="P1233" s="2" t="s">
        <v>22</v>
      </c>
      <c r="Q1233" s="10" t="str">
        <f>VLOOKUP(A1233,Status!A:B,2,0)</f>
        <v>Completed</v>
      </c>
      <c r="R1233" s="2" t="s">
        <v>36</v>
      </c>
      <c r="S1233" s="2">
        <v>4</v>
      </c>
      <c r="T1233" s="2" t="s">
        <v>24</v>
      </c>
      <c r="U1233" s="10" t="str">
        <f t="shared" si="119"/>
        <v>Aug</v>
      </c>
      <c r="V1233" s="10">
        <f t="shared" si="118"/>
        <v>2025</v>
      </c>
      <c r="W1233" t="e" cm="1">
        <f t="array" ref="W1233">_xlfn.IFS(U1233="January",1,U1233="February",2,U1233="March",3,U1233="April",4,U1233="May",5,U1233="June",6,U1233="July",7,U1233="August",8,U1233="September",9,U1233="October",10,U1233="November",11,U1233="December",12)</f>
        <v>#N/A</v>
      </c>
    </row>
    <row r="1234" spans="1:23" ht="15.75" customHeight="1" x14ac:dyDescent="0.25">
      <c r="A1234" s="2" t="s">
        <v>2168</v>
      </c>
      <c r="B1234" s="3">
        <v>45881.182939814818</v>
      </c>
      <c r="C1234" s="2" t="s">
        <v>739</v>
      </c>
      <c r="D1234" s="2" t="s">
        <v>177</v>
      </c>
      <c r="E1234" s="2" t="s">
        <v>144</v>
      </c>
      <c r="F1234" s="2" t="str" cm="1">
        <f t="array" ref="F1234:G1234">_xlfn.TEXTSPLIT(E1234," - ")</f>
        <v>Gula Pasir</v>
      </c>
      <c r="G1234" s="2" t="str">
        <v>Brand C</v>
      </c>
      <c r="H1234" s="5">
        <v>18000</v>
      </c>
      <c r="I1234" s="2">
        <v>5</v>
      </c>
      <c r="J1234" s="2">
        <v>15</v>
      </c>
      <c r="K1234" s="8">
        <f t="shared" si="114"/>
        <v>90000</v>
      </c>
      <c r="L1234" s="8">
        <f t="shared" si="115"/>
        <v>13500</v>
      </c>
      <c r="M1234" s="8">
        <f t="shared" si="116"/>
        <v>76500</v>
      </c>
      <c r="N1234" s="5">
        <v>56000</v>
      </c>
      <c r="O1234" s="8">
        <f t="shared" si="117"/>
        <v>132500</v>
      </c>
      <c r="P1234" s="2" t="s">
        <v>29</v>
      </c>
      <c r="Q1234" s="10" t="str">
        <f>VLOOKUP(A1234,Status!A:B,2,0)</f>
        <v>Completed</v>
      </c>
      <c r="R1234" s="2" t="s">
        <v>23</v>
      </c>
      <c r="S1234" s="2">
        <v>3</v>
      </c>
      <c r="T1234" s="2" t="s">
        <v>24</v>
      </c>
      <c r="U1234" s="10" t="str">
        <f t="shared" si="119"/>
        <v>Aug</v>
      </c>
      <c r="V1234" s="10">
        <f t="shared" si="118"/>
        <v>2025</v>
      </c>
      <c r="W1234" t="e" cm="1">
        <f t="array" ref="W1234">_xlfn.IFS(U1234="January",1,U1234="February",2,U1234="March",3,U1234="April",4,U1234="May",5,U1234="June",6,U1234="July",7,U1234="August",8,U1234="September",9,U1234="October",10,U1234="November",11,U1234="December",12)</f>
        <v>#N/A</v>
      </c>
    </row>
    <row r="1235" spans="1:23" ht="15.75" customHeight="1" x14ac:dyDescent="0.25">
      <c r="A1235" s="2" t="s">
        <v>2169</v>
      </c>
      <c r="B1235" s="3">
        <v>45881.384444444448</v>
      </c>
      <c r="C1235" s="2" t="s">
        <v>121</v>
      </c>
      <c r="D1235" s="2" t="s">
        <v>122</v>
      </c>
      <c r="E1235" s="2" t="s">
        <v>123</v>
      </c>
      <c r="F1235" s="2" t="str" cm="1">
        <f t="array" ref="F1235:G1235">_xlfn.TEXTSPLIT(E1235," - ")</f>
        <v>Telur Ayam</v>
      </c>
      <c r="G1235" s="2" t="str">
        <v>Brand A</v>
      </c>
      <c r="H1235" s="5">
        <v>22000</v>
      </c>
      <c r="I1235" s="2">
        <v>1</v>
      </c>
      <c r="J1235" s="2">
        <v>15</v>
      </c>
      <c r="K1235" s="8">
        <f t="shared" si="114"/>
        <v>22000</v>
      </c>
      <c r="L1235" s="8">
        <f t="shared" si="115"/>
        <v>3300</v>
      </c>
      <c r="M1235" s="8">
        <f t="shared" si="116"/>
        <v>18700</v>
      </c>
      <c r="N1235" s="5">
        <v>78000</v>
      </c>
      <c r="O1235" s="8">
        <f t="shared" si="117"/>
        <v>96700</v>
      </c>
      <c r="P1235" s="2" t="s">
        <v>35</v>
      </c>
      <c r="Q1235" s="10" t="str">
        <f>VLOOKUP(A1235,Status!A:B,2,0)</f>
        <v>Shipped</v>
      </c>
      <c r="R1235" s="2" t="s">
        <v>36</v>
      </c>
      <c r="S1235" s="2">
        <v>2</v>
      </c>
      <c r="T1235" s="2" t="s">
        <v>24</v>
      </c>
      <c r="U1235" s="10" t="str">
        <f t="shared" si="119"/>
        <v>Aug</v>
      </c>
      <c r="V1235" s="10">
        <f t="shared" si="118"/>
        <v>2025</v>
      </c>
      <c r="W1235" t="e" cm="1">
        <f t="array" ref="W1235">_xlfn.IFS(U1235="January",1,U1235="February",2,U1235="March",3,U1235="April",4,U1235="May",5,U1235="June",6,U1235="July",7,U1235="August",8,U1235="September",9,U1235="October",10,U1235="November",11,U1235="December",12)</f>
        <v>#N/A</v>
      </c>
    </row>
    <row r="1236" spans="1:23" ht="15.75" customHeight="1" x14ac:dyDescent="0.25">
      <c r="A1236" s="2" t="s">
        <v>2170</v>
      </c>
      <c r="B1236" s="3">
        <v>45882.316493055558</v>
      </c>
      <c r="C1236" s="2" t="s">
        <v>157</v>
      </c>
      <c r="D1236" s="2" t="s">
        <v>20</v>
      </c>
      <c r="E1236" s="2" t="s">
        <v>93</v>
      </c>
      <c r="F1236" s="2" t="str" cm="1">
        <f t="array" ref="F1236:G1236">_xlfn.TEXTSPLIT(E1236," - ")</f>
        <v>Telur Ayam</v>
      </c>
      <c r="G1236" s="2" t="str">
        <v>Brand B</v>
      </c>
      <c r="H1236" s="5">
        <v>25000</v>
      </c>
      <c r="I1236" s="2">
        <v>4</v>
      </c>
      <c r="J1236" s="2">
        <v>20</v>
      </c>
      <c r="K1236" s="8">
        <f t="shared" si="114"/>
        <v>100000</v>
      </c>
      <c r="L1236" s="8">
        <f t="shared" si="115"/>
        <v>20000</v>
      </c>
      <c r="M1236" s="8">
        <f t="shared" si="116"/>
        <v>80000</v>
      </c>
      <c r="N1236" s="5">
        <v>15000</v>
      </c>
      <c r="O1236" s="8">
        <f t="shared" si="117"/>
        <v>95000</v>
      </c>
      <c r="P1236" s="2" t="s">
        <v>22</v>
      </c>
      <c r="Q1236" s="10" t="str">
        <f>VLOOKUP(A1236,Status!A:B,2,0)</f>
        <v>Completed</v>
      </c>
      <c r="R1236" s="2" t="s">
        <v>36</v>
      </c>
      <c r="S1236" s="2">
        <v>4</v>
      </c>
      <c r="T1236" s="2" t="s">
        <v>24</v>
      </c>
      <c r="U1236" s="10" t="str">
        <f t="shared" si="119"/>
        <v>Aug</v>
      </c>
      <c r="V1236" s="10">
        <f t="shared" si="118"/>
        <v>2025</v>
      </c>
      <c r="W1236" t="e" cm="1">
        <f t="array" ref="W1236">_xlfn.IFS(U1236="January",1,U1236="February",2,U1236="March",3,U1236="April",4,U1236="May",5,U1236="June",6,U1236="July",7,U1236="August",8,U1236="September",9,U1236="October",10,U1236="November",11,U1236="December",12)</f>
        <v>#N/A</v>
      </c>
    </row>
    <row r="1237" spans="1:23" ht="15.75" customHeight="1" x14ac:dyDescent="0.25">
      <c r="A1237" s="2" t="s">
        <v>2171</v>
      </c>
      <c r="B1237" s="3">
        <v>45883.342638888891</v>
      </c>
      <c r="C1237" s="2" t="s">
        <v>557</v>
      </c>
      <c r="D1237" s="2" t="s">
        <v>173</v>
      </c>
      <c r="E1237" s="2" t="s">
        <v>136</v>
      </c>
      <c r="F1237" s="2" t="str" cm="1">
        <f t="array" ref="F1237:G1237">_xlfn.TEXTSPLIT(E1237," - ")</f>
        <v>Tepung Terigu</v>
      </c>
      <c r="G1237" s="2" t="str">
        <v>Brand B</v>
      </c>
      <c r="H1237" s="5">
        <v>12000</v>
      </c>
      <c r="I1237" s="2">
        <v>1</v>
      </c>
      <c r="J1237" s="2">
        <v>15</v>
      </c>
      <c r="K1237" s="8">
        <f t="shared" si="114"/>
        <v>12000</v>
      </c>
      <c r="L1237" s="8">
        <f t="shared" si="115"/>
        <v>1800</v>
      </c>
      <c r="M1237" s="8">
        <f t="shared" si="116"/>
        <v>10200</v>
      </c>
      <c r="N1237" s="5">
        <v>49000</v>
      </c>
      <c r="O1237" s="8">
        <f t="shared" si="117"/>
        <v>59200</v>
      </c>
      <c r="P1237" s="2" t="s">
        <v>29</v>
      </c>
      <c r="Q1237" s="10" t="str">
        <f>VLOOKUP(A1237,Status!A:B,2,0)</f>
        <v>Pending</v>
      </c>
      <c r="R1237" s="2" t="s">
        <v>36</v>
      </c>
      <c r="S1237" s="2">
        <v>2</v>
      </c>
      <c r="T1237" s="2" t="s">
        <v>24</v>
      </c>
      <c r="U1237" s="10" t="str">
        <f t="shared" si="119"/>
        <v>Aug</v>
      </c>
      <c r="V1237" s="10">
        <f t="shared" si="118"/>
        <v>2025</v>
      </c>
      <c r="W1237" t="e" cm="1">
        <f t="array" ref="W1237">_xlfn.IFS(U1237="January",1,U1237="February",2,U1237="March",3,U1237="April",4,U1237="May",5,U1237="June",6,U1237="July",7,U1237="August",8,U1237="September",9,U1237="October",10,U1237="November",11,U1237="December",12)</f>
        <v>#N/A</v>
      </c>
    </row>
    <row r="1238" spans="1:23" ht="15.75" customHeight="1" x14ac:dyDescent="0.25">
      <c r="A1238" s="2" t="s">
        <v>2172</v>
      </c>
      <c r="B1238" s="3">
        <v>45883.39135416667</v>
      </c>
      <c r="C1238" s="2" t="s">
        <v>429</v>
      </c>
      <c r="D1238" s="2" t="s">
        <v>177</v>
      </c>
      <c r="E1238" s="2" t="s">
        <v>104</v>
      </c>
      <c r="F1238" s="2" t="str" cm="1">
        <f t="array" ref="F1238:G1238">_xlfn.TEXTSPLIT(E1238," - ")</f>
        <v>Bawang Merah</v>
      </c>
      <c r="G1238" s="2" t="str">
        <v>Brand A</v>
      </c>
      <c r="H1238" s="5">
        <v>30000</v>
      </c>
      <c r="I1238" s="2">
        <v>5</v>
      </c>
      <c r="J1238" s="2">
        <v>5</v>
      </c>
      <c r="K1238" s="8">
        <f t="shared" si="114"/>
        <v>150000</v>
      </c>
      <c r="L1238" s="8">
        <f t="shared" si="115"/>
        <v>7500</v>
      </c>
      <c r="M1238" s="8">
        <f t="shared" si="116"/>
        <v>142500</v>
      </c>
      <c r="N1238" s="5">
        <v>56000</v>
      </c>
      <c r="O1238" s="8">
        <f t="shared" si="117"/>
        <v>198500</v>
      </c>
      <c r="P1238" s="2" t="s">
        <v>35</v>
      </c>
      <c r="Q1238" s="10" t="str">
        <f>VLOOKUP(A1238,Status!A:B,2,0)</f>
        <v>Pending</v>
      </c>
      <c r="R1238" s="2" t="s">
        <v>30</v>
      </c>
      <c r="S1238" s="2">
        <v>5</v>
      </c>
      <c r="T1238" s="2" t="s">
        <v>37</v>
      </c>
      <c r="U1238" s="10" t="str">
        <f t="shared" si="119"/>
        <v>Aug</v>
      </c>
      <c r="V1238" s="10">
        <f t="shared" si="118"/>
        <v>2025</v>
      </c>
      <c r="W1238" t="e" cm="1">
        <f t="array" ref="W1238">_xlfn.IFS(U1238="January",1,U1238="February",2,U1238="March",3,U1238="April",4,U1238="May",5,U1238="June",6,U1238="July",7,U1238="August",8,U1238="September",9,U1238="October",10,U1238="November",11,U1238="December",12)</f>
        <v>#N/A</v>
      </c>
    </row>
    <row r="1239" spans="1:23" ht="15.75" customHeight="1" x14ac:dyDescent="0.25">
      <c r="A1239" s="2" t="s">
        <v>2173</v>
      </c>
      <c r="B1239" s="3">
        <v>45883.829699074071</v>
      </c>
      <c r="C1239" s="2" t="s">
        <v>603</v>
      </c>
      <c r="D1239" s="2" t="s">
        <v>53</v>
      </c>
      <c r="E1239" s="2" t="s">
        <v>85</v>
      </c>
      <c r="F1239" s="2" t="str" cm="1">
        <f t="array" ref="F1239:G1239">_xlfn.TEXTSPLIT(E1239," - ")</f>
        <v>Daging Ayam</v>
      </c>
      <c r="G1239" s="2" t="str">
        <v>Brand A</v>
      </c>
      <c r="H1239" s="5">
        <v>35000</v>
      </c>
      <c r="I1239" s="2">
        <v>3</v>
      </c>
      <c r="J1239" s="2">
        <v>20</v>
      </c>
      <c r="K1239" s="8">
        <f t="shared" si="114"/>
        <v>105000</v>
      </c>
      <c r="L1239" s="8">
        <f t="shared" si="115"/>
        <v>21000</v>
      </c>
      <c r="M1239" s="8">
        <f t="shared" si="116"/>
        <v>84000</v>
      </c>
      <c r="N1239" s="5">
        <v>18000</v>
      </c>
      <c r="O1239" s="8">
        <f t="shared" si="117"/>
        <v>102000</v>
      </c>
      <c r="P1239" s="2" t="s">
        <v>22</v>
      </c>
      <c r="Q1239" s="10" t="str">
        <f>VLOOKUP(A1239,Status!A:B,2,0)</f>
        <v>Shipped</v>
      </c>
      <c r="R1239" s="2" t="s">
        <v>46</v>
      </c>
      <c r="S1239" s="2">
        <v>4</v>
      </c>
      <c r="T1239" s="2" t="s">
        <v>24</v>
      </c>
      <c r="U1239" s="10" t="str">
        <f t="shared" si="119"/>
        <v>Aug</v>
      </c>
      <c r="V1239" s="10">
        <f t="shared" si="118"/>
        <v>2025</v>
      </c>
      <c r="W1239" t="e" cm="1">
        <f t="array" ref="W1239">_xlfn.IFS(U1239="January",1,U1239="February",2,U1239="March",3,U1239="April",4,U1239="May",5,U1239="June",6,U1239="July",7,U1239="August",8,U1239="September",9,U1239="October",10,U1239="November",11,U1239="December",12)</f>
        <v>#N/A</v>
      </c>
    </row>
    <row r="1240" spans="1:23" ht="15.75" customHeight="1" x14ac:dyDescent="0.25">
      <c r="A1240" s="2" t="s">
        <v>2174</v>
      </c>
      <c r="B1240" s="3">
        <v>45883.929212962961</v>
      </c>
      <c r="C1240" s="2" t="s">
        <v>557</v>
      </c>
      <c r="D1240" s="2" t="s">
        <v>173</v>
      </c>
      <c r="E1240" s="2" t="s">
        <v>88</v>
      </c>
      <c r="F1240" s="2" t="str" cm="1">
        <f t="array" ref="F1240:G1240">_xlfn.TEXTSPLIT(E1240," - ")</f>
        <v>Beras</v>
      </c>
      <c r="G1240" s="2" t="str">
        <v>Brand A</v>
      </c>
      <c r="H1240" s="5">
        <v>14000</v>
      </c>
      <c r="I1240" s="2">
        <v>5</v>
      </c>
      <c r="J1240" s="2">
        <v>15</v>
      </c>
      <c r="K1240" s="8">
        <f t="shared" si="114"/>
        <v>70000</v>
      </c>
      <c r="L1240" s="8">
        <f t="shared" si="115"/>
        <v>10500</v>
      </c>
      <c r="M1240" s="8">
        <f t="shared" si="116"/>
        <v>59500</v>
      </c>
      <c r="N1240" s="5">
        <v>49000</v>
      </c>
      <c r="O1240" s="8">
        <f t="shared" si="117"/>
        <v>108500</v>
      </c>
      <c r="P1240" s="2" t="s">
        <v>35</v>
      </c>
      <c r="Q1240" s="10" t="str">
        <f>VLOOKUP(A1240,Status!A:B,2,0)</f>
        <v>Shipped</v>
      </c>
      <c r="R1240" s="2" t="s">
        <v>30</v>
      </c>
      <c r="S1240" s="2">
        <v>2</v>
      </c>
      <c r="T1240" s="2" t="s">
        <v>24</v>
      </c>
      <c r="U1240" s="10" t="str">
        <f t="shared" si="119"/>
        <v>Aug</v>
      </c>
      <c r="V1240" s="10">
        <f t="shared" si="118"/>
        <v>2025</v>
      </c>
      <c r="W1240" t="e" cm="1">
        <f t="array" ref="W1240">_xlfn.IFS(U1240="January",1,U1240="February",2,U1240="March",3,U1240="April",4,U1240="May",5,U1240="June",6,U1240="July",7,U1240="August",8,U1240="September",9,U1240="October",10,U1240="November",11,U1240="December",12)</f>
        <v>#N/A</v>
      </c>
    </row>
    <row r="1241" spans="1:23" ht="15.75" customHeight="1" x14ac:dyDescent="0.25">
      <c r="A1241" s="2" t="s">
        <v>2175</v>
      </c>
      <c r="B1241" s="3">
        <v>45884.454189814824</v>
      </c>
      <c r="C1241" s="2" t="s">
        <v>661</v>
      </c>
      <c r="D1241" s="2" t="s">
        <v>49</v>
      </c>
      <c r="E1241" s="2" t="s">
        <v>28</v>
      </c>
      <c r="F1241" s="2" t="str" cm="1">
        <f t="array" ref="F1241:G1241">_xlfn.TEXTSPLIT(E1241," - ")</f>
        <v>Garam</v>
      </c>
      <c r="G1241" s="2" t="str">
        <v>Brand B</v>
      </c>
      <c r="H1241" s="5">
        <v>5000</v>
      </c>
      <c r="I1241" s="2">
        <v>1</v>
      </c>
      <c r="J1241" s="2">
        <v>15</v>
      </c>
      <c r="K1241" s="8">
        <f t="shared" si="114"/>
        <v>5000</v>
      </c>
      <c r="L1241" s="8">
        <f t="shared" si="115"/>
        <v>750</v>
      </c>
      <c r="M1241" s="8">
        <f t="shared" si="116"/>
        <v>4250</v>
      </c>
      <c r="N1241" s="5">
        <v>43000</v>
      </c>
      <c r="O1241" s="8">
        <f t="shared" si="117"/>
        <v>47250</v>
      </c>
      <c r="P1241" s="2" t="s">
        <v>35</v>
      </c>
      <c r="Q1241" s="10" t="str">
        <f>VLOOKUP(A1241,Status!A:B,2,0)</f>
        <v>Completed</v>
      </c>
      <c r="R1241" s="2" t="s">
        <v>82</v>
      </c>
      <c r="S1241" s="2">
        <v>4</v>
      </c>
      <c r="T1241" s="2" t="s">
        <v>24</v>
      </c>
      <c r="U1241" s="10" t="str">
        <f t="shared" si="119"/>
        <v>Aug</v>
      </c>
      <c r="V1241" s="10">
        <f t="shared" si="118"/>
        <v>2025</v>
      </c>
      <c r="W1241" t="e" cm="1">
        <f t="array" ref="W1241">_xlfn.IFS(U1241="January",1,U1241="February",2,U1241="March",3,U1241="April",4,U1241="May",5,U1241="June",6,U1241="July",7,U1241="August",8,U1241="September",9,U1241="October",10,U1241="November",11,U1241="December",12)</f>
        <v>#N/A</v>
      </c>
    </row>
    <row r="1242" spans="1:23" ht="15.75" customHeight="1" x14ac:dyDescent="0.25">
      <c r="A1242" s="2" t="s">
        <v>2176</v>
      </c>
      <c r="B1242" s="3">
        <v>45884.779317129629</v>
      </c>
      <c r="C1242" s="2" t="s">
        <v>954</v>
      </c>
      <c r="D1242" s="2" t="s">
        <v>44</v>
      </c>
      <c r="E1242" s="2" t="s">
        <v>88</v>
      </c>
      <c r="F1242" s="2" t="str" cm="1">
        <f t="array" ref="F1242:G1242">_xlfn.TEXTSPLIT(E1242," - ")</f>
        <v>Beras</v>
      </c>
      <c r="G1242" s="2" t="str">
        <v>Brand A</v>
      </c>
      <c r="H1242" s="5">
        <v>14000</v>
      </c>
      <c r="I1242" s="2">
        <v>4</v>
      </c>
      <c r="J1242" s="2">
        <v>0</v>
      </c>
      <c r="K1242" s="8">
        <f t="shared" si="114"/>
        <v>56000</v>
      </c>
      <c r="L1242" s="8">
        <f t="shared" si="115"/>
        <v>0</v>
      </c>
      <c r="M1242" s="8">
        <f t="shared" si="116"/>
        <v>56000</v>
      </c>
      <c r="N1242" s="5">
        <v>93000</v>
      </c>
      <c r="O1242" s="8">
        <f t="shared" si="117"/>
        <v>149000</v>
      </c>
      <c r="P1242" s="2" t="s">
        <v>29</v>
      </c>
      <c r="Q1242" s="10" t="str">
        <f>VLOOKUP(A1242,Status!A:B,2,0)</f>
        <v>Completed</v>
      </c>
      <c r="R1242" s="2" t="s">
        <v>36</v>
      </c>
      <c r="S1242" s="2">
        <v>1</v>
      </c>
      <c r="T1242" s="2" t="s">
        <v>24</v>
      </c>
      <c r="U1242" s="10" t="str">
        <f t="shared" si="119"/>
        <v>Aug</v>
      </c>
      <c r="V1242" s="10">
        <f t="shared" si="118"/>
        <v>2025</v>
      </c>
      <c r="W1242" t="e" cm="1">
        <f t="array" ref="W1242">_xlfn.IFS(U1242="January",1,U1242="February",2,U1242="March",3,U1242="April",4,U1242="May",5,U1242="June",6,U1242="July",7,U1242="August",8,U1242="September",9,U1242="October",10,U1242="November",11,U1242="December",12)</f>
        <v>#N/A</v>
      </c>
    </row>
    <row r="1243" spans="1:23" ht="15.75" customHeight="1" x14ac:dyDescent="0.25">
      <c r="A1243" s="2" t="s">
        <v>2177</v>
      </c>
      <c r="B1243" s="3">
        <v>45884.830428240741</v>
      </c>
      <c r="C1243" s="2" t="s">
        <v>609</v>
      </c>
      <c r="D1243" s="2" t="s">
        <v>80</v>
      </c>
      <c r="E1243" s="2" t="s">
        <v>250</v>
      </c>
      <c r="F1243" s="2" t="str" cm="1">
        <f t="array" ref="F1243:G1243">_xlfn.TEXTSPLIT(E1243," - ")</f>
        <v>Minyak Goreng</v>
      </c>
      <c r="G1243" s="2" t="str">
        <v>Brand C</v>
      </c>
      <c r="H1243" s="5">
        <v>18000</v>
      </c>
      <c r="I1243" s="2">
        <v>1</v>
      </c>
      <c r="J1243" s="2">
        <v>0</v>
      </c>
      <c r="K1243" s="8">
        <f t="shared" si="114"/>
        <v>18000</v>
      </c>
      <c r="L1243" s="8">
        <f t="shared" si="115"/>
        <v>0</v>
      </c>
      <c r="M1243" s="8">
        <f t="shared" si="116"/>
        <v>18000</v>
      </c>
      <c r="N1243" s="5">
        <v>74000</v>
      </c>
      <c r="O1243" s="8">
        <f t="shared" si="117"/>
        <v>92000</v>
      </c>
      <c r="P1243" s="2" t="s">
        <v>29</v>
      </c>
      <c r="Q1243" s="10" t="str">
        <f>VLOOKUP(A1243,Status!A:B,2,0)</f>
        <v>Cancelled</v>
      </c>
      <c r="R1243" s="2" t="s">
        <v>46</v>
      </c>
      <c r="S1243" s="2">
        <v>5</v>
      </c>
      <c r="T1243" s="2" t="s">
        <v>24</v>
      </c>
      <c r="U1243" s="10" t="str">
        <f t="shared" si="119"/>
        <v>Aug</v>
      </c>
      <c r="V1243" s="10">
        <f t="shared" si="118"/>
        <v>2025</v>
      </c>
      <c r="W1243" t="e" cm="1">
        <f t="array" ref="W1243">_xlfn.IFS(U1243="January",1,U1243="February",2,U1243="March",3,U1243="April",4,U1243="May",5,U1243="June",6,U1243="July",7,U1243="August",8,U1243="September",9,U1243="October",10,U1243="November",11,U1243="December",12)</f>
        <v>#N/A</v>
      </c>
    </row>
    <row r="1244" spans="1:23" ht="15.75" customHeight="1" x14ac:dyDescent="0.25">
      <c r="A1244" s="2" t="s">
        <v>2178</v>
      </c>
      <c r="B1244" s="3">
        <v>45884.947256944448</v>
      </c>
      <c r="C1244" s="2" t="s">
        <v>1741</v>
      </c>
      <c r="D1244" s="2" t="s">
        <v>44</v>
      </c>
      <c r="E1244" s="2" t="s">
        <v>81</v>
      </c>
      <c r="F1244" s="2" t="str" cm="1">
        <f t="array" ref="F1244:G1244">_xlfn.TEXTSPLIT(E1244," - ")</f>
        <v>Minyak Goreng</v>
      </c>
      <c r="G1244" s="2" t="str">
        <v>Brand B</v>
      </c>
      <c r="H1244" s="5">
        <v>17000</v>
      </c>
      <c r="I1244" s="2">
        <v>2</v>
      </c>
      <c r="J1244" s="2">
        <v>0</v>
      </c>
      <c r="K1244" s="8">
        <f t="shared" si="114"/>
        <v>34000</v>
      </c>
      <c r="L1244" s="8">
        <f t="shared" si="115"/>
        <v>0</v>
      </c>
      <c r="M1244" s="8">
        <f t="shared" si="116"/>
        <v>34000</v>
      </c>
      <c r="N1244" s="5">
        <v>93000</v>
      </c>
      <c r="O1244" s="8">
        <f t="shared" si="117"/>
        <v>127000</v>
      </c>
      <c r="P1244" s="2" t="s">
        <v>63</v>
      </c>
      <c r="Q1244" s="10" t="str">
        <f>VLOOKUP(A1244,Status!A:B,2,0)</f>
        <v>Shipped</v>
      </c>
      <c r="R1244" s="2" t="s">
        <v>82</v>
      </c>
      <c r="S1244" s="2">
        <v>2</v>
      </c>
      <c r="T1244" s="2" t="s">
        <v>24</v>
      </c>
      <c r="U1244" s="10" t="str">
        <f t="shared" si="119"/>
        <v>Aug</v>
      </c>
      <c r="V1244" s="10">
        <f t="shared" si="118"/>
        <v>2025</v>
      </c>
      <c r="W1244" t="e" cm="1">
        <f t="array" ref="W1244">_xlfn.IFS(U1244="January",1,U1244="February",2,U1244="March",3,U1244="April",4,U1244="May",5,U1244="June",6,U1244="July",7,U1244="August",8,U1244="September",9,U1244="October",10,U1244="November",11,U1244="December",12)</f>
        <v>#N/A</v>
      </c>
    </row>
    <row r="1245" spans="1:23" ht="15.75" customHeight="1" x14ac:dyDescent="0.25">
      <c r="A1245" s="2" t="s">
        <v>2179</v>
      </c>
      <c r="B1245" s="3">
        <v>45885.059756944444</v>
      </c>
      <c r="C1245" s="2" t="s">
        <v>1130</v>
      </c>
      <c r="D1245" s="2" t="s">
        <v>122</v>
      </c>
      <c r="E1245" s="2" t="s">
        <v>123</v>
      </c>
      <c r="F1245" s="2" t="str" cm="1">
        <f t="array" ref="F1245:G1245">_xlfn.TEXTSPLIT(E1245," - ")</f>
        <v>Telur Ayam</v>
      </c>
      <c r="G1245" s="2" t="str">
        <v>Brand A</v>
      </c>
      <c r="H1245" s="5">
        <v>22000</v>
      </c>
      <c r="I1245" s="2">
        <v>5</v>
      </c>
      <c r="J1245" s="2">
        <v>0</v>
      </c>
      <c r="K1245" s="8">
        <f t="shared" si="114"/>
        <v>110000</v>
      </c>
      <c r="L1245" s="8">
        <f t="shared" si="115"/>
        <v>0</v>
      </c>
      <c r="M1245" s="8">
        <f t="shared" si="116"/>
        <v>110000</v>
      </c>
      <c r="N1245" s="5">
        <v>78000</v>
      </c>
      <c r="O1245" s="8">
        <f t="shared" si="117"/>
        <v>188000</v>
      </c>
      <c r="P1245" s="2" t="s">
        <v>22</v>
      </c>
      <c r="Q1245" s="10" t="str">
        <f>VLOOKUP(A1245,Status!A:B,2,0)</f>
        <v>Shipped</v>
      </c>
      <c r="R1245" s="2" t="s">
        <v>23</v>
      </c>
      <c r="S1245" s="2">
        <v>2</v>
      </c>
      <c r="T1245" s="2" t="s">
        <v>24</v>
      </c>
      <c r="U1245" s="10" t="str">
        <f t="shared" si="119"/>
        <v>Aug</v>
      </c>
      <c r="V1245" s="10">
        <f t="shared" si="118"/>
        <v>2025</v>
      </c>
      <c r="W1245" t="e" cm="1">
        <f t="array" ref="W1245">_xlfn.IFS(U1245="January",1,U1245="February",2,U1245="March",3,U1245="April",4,U1245="May",5,U1245="June",6,U1245="July",7,U1245="August",8,U1245="September",9,U1245="October",10,U1245="November",11,U1245="December",12)</f>
        <v>#N/A</v>
      </c>
    </row>
    <row r="1246" spans="1:23" ht="15.75" customHeight="1" x14ac:dyDescent="0.25">
      <c r="A1246" s="2" t="s">
        <v>2180</v>
      </c>
      <c r="B1246" s="3">
        <v>45885.09584490741</v>
      </c>
      <c r="C1246" s="2" t="s">
        <v>1270</v>
      </c>
      <c r="D1246" s="2" t="s">
        <v>182</v>
      </c>
      <c r="E1246" s="2" t="s">
        <v>85</v>
      </c>
      <c r="F1246" s="2" t="str" cm="1">
        <f t="array" ref="F1246:G1246">_xlfn.TEXTSPLIT(E1246," - ")</f>
        <v>Daging Ayam</v>
      </c>
      <c r="G1246" s="2" t="str">
        <v>Brand A</v>
      </c>
      <c r="H1246" s="5">
        <v>35000</v>
      </c>
      <c r="I1246" s="2">
        <v>3</v>
      </c>
      <c r="J1246" s="2">
        <v>15</v>
      </c>
      <c r="K1246" s="8">
        <f t="shared" si="114"/>
        <v>105000</v>
      </c>
      <c r="L1246" s="8">
        <f t="shared" si="115"/>
        <v>15750</v>
      </c>
      <c r="M1246" s="8">
        <f t="shared" si="116"/>
        <v>89250</v>
      </c>
      <c r="N1246" s="5">
        <v>48000</v>
      </c>
      <c r="O1246" s="8">
        <f t="shared" si="117"/>
        <v>137250</v>
      </c>
      <c r="P1246" s="2" t="s">
        <v>63</v>
      </c>
      <c r="Q1246" s="10" t="str">
        <f>VLOOKUP(A1246,Status!A:B,2,0)</f>
        <v>Pending</v>
      </c>
      <c r="R1246" s="2" t="s">
        <v>82</v>
      </c>
      <c r="S1246" s="2">
        <v>5</v>
      </c>
      <c r="T1246" s="2" t="s">
        <v>24</v>
      </c>
      <c r="U1246" s="10" t="str">
        <f t="shared" si="119"/>
        <v>Aug</v>
      </c>
      <c r="V1246" s="10">
        <f t="shared" si="118"/>
        <v>2025</v>
      </c>
      <c r="W1246" t="e" cm="1">
        <f t="array" ref="W1246">_xlfn.IFS(U1246="January",1,U1246="February",2,U1246="March",3,U1246="April",4,U1246="May",5,U1246="June",6,U1246="July",7,U1246="August",8,U1246="September",9,U1246="October",10,U1246="November",11,U1246="December",12)</f>
        <v>#N/A</v>
      </c>
    </row>
    <row r="1247" spans="1:23" ht="15.75" customHeight="1" x14ac:dyDescent="0.25">
      <c r="A1247" s="2" t="s">
        <v>2181</v>
      </c>
      <c r="B1247" s="3">
        <v>45885.577060185176</v>
      </c>
      <c r="C1247" s="2" t="s">
        <v>486</v>
      </c>
      <c r="D1247" s="2" t="s">
        <v>182</v>
      </c>
      <c r="E1247" s="2" t="s">
        <v>45</v>
      </c>
      <c r="F1247" s="2" t="str" cm="1">
        <f t="array" ref="F1247:G1247">_xlfn.TEXTSPLIT(E1247," - ")</f>
        <v>Daging Ayam</v>
      </c>
      <c r="G1247" s="2" t="str">
        <v>Brand B</v>
      </c>
      <c r="H1247" s="5">
        <v>40000</v>
      </c>
      <c r="I1247" s="2">
        <v>2</v>
      </c>
      <c r="J1247" s="2">
        <v>15</v>
      </c>
      <c r="K1247" s="8">
        <f t="shared" si="114"/>
        <v>80000</v>
      </c>
      <c r="L1247" s="8">
        <f t="shared" si="115"/>
        <v>12000</v>
      </c>
      <c r="M1247" s="8">
        <f t="shared" si="116"/>
        <v>68000</v>
      </c>
      <c r="N1247" s="5">
        <v>48000</v>
      </c>
      <c r="O1247" s="8">
        <f t="shared" si="117"/>
        <v>116000</v>
      </c>
      <c r="P1247" s="2" t="s">
        <v>63</v>
      </c>
      <c r="Q1247" s="10" t="str">
        <f>VLOOKUP(A1247,Status!A:B,2,0)</f>
        <v>Pending</v>
      </c>
      <c r="R1247" s="2" t="s">
        <v>46</v>
      </c>
      <c r="S1247" s="2">
        <v>3</v>
      </c>
      <c r="T1247" s="2" t="s">
        <v>24</v>
      </c>
      <c r="U1247" s="10" t="str">
        <f t="shared" si="119"/>
        <v>Aug</v>
      </c>
      <c r="V1247" s="10">
        <f t="shared" si="118"/>
        <v>2025</v>
      </c>
      <c r="W1247" t="e" cm="1">
        <f t="array" ref="W1247">_xlfn.IFS(U1247="January",1,U1247="February",2,U1247="March",3,U1247="April",4,U1247="May",5,U1247="June",6,U1247="July",7,U1247="August",8,U1247="September",9,U1247="October",10,U1247="November",11,U1247="December",12)</f>
        <v>#N/A</v>
      </c>
    </row>
    <row r="1248" spans="1:23" ht="15.75" customHeight="1" x14ac:dyDescent="0.25">
      <c r="A1248" s="2" t="s">
        <v>2182</v>
      </c>
      <c r="B1248" s="3">
        <v>45885.601134259261</v>
      </c>
      <c r="C1248" s="2" t="s">
        <v>499</v>
      </c>
      <c r="D1248" s="2" t="s">
        <v>131</v>
      </c>
      <c r="E1248" s="2" t="s">
        <v>190</v>
      </c>
      <c r="F1248" s="2" t="str" cm="1">
        <f t="array" ref="F1248:G1248">_xlfn.TEXTSPLIT(E1248," - ")</f>
        <v>Bawang Merah</v>
      </c>
      <c r="G1248" s="2" t="str">
        <v>Brand B</v>
      </c>
      <c r="H1248" s="5">
        <v>35000</v>
      </c>
      <c r="I1248" s="2">
        <v>4</v>
      </c>
      <c r="J1248" s="2">
        <v>0</v>
      </c>
      <c r="K1248" s="8">
        <f t="shared" si="114"/>
        <v>140000</v>
      </c>
      <c r="L1248" s="8">
        <f t="shared" si="115"/>
        <v>0</v>
      </c>
      <c r="M1248" s="8">
        <f t="shared" si="116"/>
        <v>140000</v>
      </c>
      <c r="N1248" s="5">
        <v>59000</v>
      </c>
      <c r="O1248" s="8">
        <f t="shared" si="117"/>
        <v>199000</v>
      </c>
      <c r="P1248" s="2" t="s">
        <v>35</v>
      </c>
      <c r="Q1248" s="10" t="str">
        <f>VLOOKUP(A1248,Status!A:B,2,0)</f>
        <v>Completed</v>
      </c>
      <c r="R1248" s="2" t="s">
        <v>30</v>
      </c>
      <c r="S1248" s="2">
        <v>1</v>
      </c>
      <c r="T1248" s="2" t="s">
        <v>24</v>
      </c>
      <c r="U1248" s="10" t="str">
        <f t="shared" si="119"/>
        <v>Aug</v>
      </c>
      <c r="V1248" s="10">
        <f t="shared" si="118"/>
        <v>2025</v>
      </c>
      <c r="W1248" t="e" cm="1">
        <f t="array" ref="W1248">_xlfn.IFS(U1248="January",1,U1248="February",2,U1248="March",3,U1248="April",4,U1248="May",5,U1248="June",6,U1248="July",7,U1248="August",8,U1248="September",9,U1248="October",10,U1248="November",11,U1248="December",12)</f>
        <v>#N/A</v>
      </c>
    </row>
    <row r="1249" spans="1:23" ht="15.75" customHeight="1" x14ac:dyDescent="0.25">
      <c r="A1249" s="2" t="s">
        <v>2183</v>
      </c>
      <c r="B1249" s="3">
        <v>45885.71199074074</v>
      </c>
      <c r="C1249" s="2" t="s">
        <v>1087</v>
      </c>
      <c r="D1249" s="2" t="s">
        <v>143</v>
      </c>
      <c r="E1249" s="2" t="s">
        <v>28</v>
      </c>
      <c r="F1249" s="2" t="str" cm="1">
        <f t="array" ref="F1249:G1249">_xlfn.TEXTSPLIT(E1249," - ")</f>
        <v>Garam</v>
      </c>
      <c r="G1249" s="2" t="str">
        <v>Brand B</v>
      </c>
      <c r="H1249" s="5">
        <v>5000</v>
      </c>
      <c r="I1249" s="2">
        <v>2</v>
      </c>
      <c r="J1249" s="2">
        <v>15</v>
      </c>
      <c r="K1249" s="8">
        <f t="shared" si="114"/>
        <v>10000</v>
      </c>
      <c r="L1249" s="8">
        <f t="shared" si="115"/>
        <v>1500</v>
      </c>
      <c r="M1249" s="8">
        <f t="shared" si="116"/>
        <v>8500</v>
      </c>
      <c r="N1249" s="5">
        <v>50000</v>
      </c>
      <c r="O1249" s="8">
        <f t="shared" si="117"/>
        <v>58500</v>
      </c>
      <c r="P1249" s="2" t="s">
        <v>35</v>
      </c>
      <c r="Q1249" s="10" t="str">
        <f>VLOOKUP(A1249,Status!A:B,2,0)</f>
        <v>Completed</v>
      </c>
      <c r="R1249" s="2" t="s">
        <v>30</v>
      </c>
      <c r="S1249" s="2">
        <v>5</v>
      </c>
      <c r="T1249" s="2" t="s">
        <v>24</v>
      </c>
      <c r="U1249" s="10" t="str">
        <f t="shared" si="119"/>
        <v>Aug</v>
      </c>
      <c r="V1249" s="10">
        <f t="shared" si="118"/>
        <v>2025</v>
      </c>
      <c r="W1249" t="e" cm="1">
        <f t="array" ref="W1249">_xlfn.IFS(U1249="January",1,U1249="February",2,U1249="March",3,U1249="April",4,U1249="May",5,U1249="June",6,U1249="July",7,U1249="August",8,U1249="September",9,U1249="October",10,U1249="November",11,U1249="December",12)</f>
        <v>#N/A</v>
      </c>
    </row>
    <row r="1250" spans="1:23" ht="15.75" customHeight="1" x14ac:dyDescent="0.25">
      <c r="A1250" s="2" t="s">
        <v>2184</v>
      </c>
      <c r="B1250" s="3">
        <v>45885.823240740741</v>
      </c>
      <c r="C1250" s="2" t="s">
        <v>233</v>
      </c>
      <c r="D1250" s="2" t="s">
        <v>113</v>
      </c>
      <c r="E1250" s="2" t="s">
        <v>21</v>
      </c>
      <c r="F1250" s="2" t="str" cm="1">
        <f t="array" ref="F1250:G1250">_xlfn.TEXTSPLIT(E1250," - ")</f>
        <v>Daging Ayam</v>
      </c>
      <c r="G1250" s="2" t="str">
        <v>Brand C</v>
      </c>
      <c r="H1250" s="5">
        <v>45000</v>
      </c>
      <c r="I1250" s="2">
        <v>3</v>
      </c>
      <c r="J1250" s="2">
        <v>0</v>
      </c>
      <c r="K1250" s="8">
        <f t="shared" si="114"/>
        <v>135000</v>
      </c>
      <c r="L1250" s="8">
        <f t="shared" si="115"/>
        <v>0</v>
      </c>
      <c r="M1250" s="8">
        <f t="shared" si="116"/>
        <v>135000</v>
      </c>
      <c r="N1250" s="5">
        <v>18000</v>
      </c>
      <c r="O1250" s="8">
        <f t="shared" si="117"/>
        <v>153000</v>
      </c>
      <c r="P1250" s="2" t="s">
        <v>63</v>
      </c>
      <c r="Q1250" s="10" t="str">
        <f>VLOOKUP(A1250,Status!A:B,2,0)</f>
        <v>Pending</v>
      </c>
      <c r="R1250" s="2" t="s">
        <v>30</v>
      </c>
      <c r="S1250" s="2">
        <v>3</v>
      </c>
      <c r="T1250" s="2" t="s">
        <v>37</v>
      </c>
      <c r="U1250" s="10" t="str">
        <f t="shared" si="119"/>
        <v>Aug</v>
      </c>
      <c r="V1250" s="10">
        <f t="shared" si="118"/>
        <v>2025</v>
      </c>
      <c r="W1250" t="e" cm="1">
        <f t="array" ref="W1250">_xlfn.IFS(U1250="January",1,U1250="February",2,U1250="March",3,U1250="April",4,U1250="May",5,U1250="June",6,U1250="July",7,U1250="August",8,U1250="September",9,U1250="October",10,U1250="November",11,U1250="December",12)</f>
        <v>#N/A</v>
      </c>
    </row>
    <row r="1251" spans="1:23" ht="15.75" customHeight="1" x14ac:dyDescent="0.25">
      <c r="A1251" s="2" t="s">
        <v>2185</v>
      </c>
      <c r="B1251" s="3">
        <v>45885.877523148149</v>
      </c>
      <c r="C1251" s="2" t="s">
        <v>2080</v>
      </c>
      <c r="D1251" s="2" t="s">
        <v>262</v>
      </c>
      <c r="E1251" s="2" t="s">
        <v>110</v>
      </c>
      <c r="F1251" s="2" t="str" cm="1">
        <f t="array" ref="F1251:G1251">_xlfn.TEXTSPLIT(E1251," - ")</f>
        <v>Garam</v>
      </c>
      <c r="G1251" s="2" t="str">
        <v>Brand C</v>
      </c>
      <c r="H1251" s="5">
        <v>6000</v>
      </c>
      <c r="I1251" s="2">
        <v>4</v>
      </c>
      <c r="J1251" s="2">
        <v>20</v>
      </c>
      <c r="K1251" s="8">
        <f t="shared" si="114"/>
        <v>24000</v>
      </c>
      <c r="L1251" s="8">
        <f t="shared" si="115"/>
        <v>4800</v>
      </c>
      <c r="M1251" s="8">
        <f t="shared" si="116"/>
        <v>19200</v>
      </c>
      <c r="N1251" s="5">
        <v>18000</v>
      </c>
      <c r="O1251" s="8">
        <f t="shared" si="117"/>
        <v>37200</v>
      </c>
      <c r="P1251" s="2" t="s">
        <v>22</v>
      </c>
      <c r="Q1251" s="10" t="str">
        <f>VLOOKUP(A1251,Status!A:B,2,0)</f>
        <v>Cancelled</v>
      </c>
      <c r="R1251" s="2" t="s">
        <v>46</v>
      </c>
      <c r="S1251" s="2">
        <v>1</v>
      </c>
      <c r="T1251" s="2" t="s">
        <v>24</v>
      </c>
      <c r="U1251" s="10" t="str">
        <f t="shared" si="119"/>
        <v>Aug</v>
      </c>
      <c r="V1251" s="10">
        <f t="shared" si="118"/>
        <v>2025</v>
      </c>
      <c r="W1251" t="e" cm="1">
        <f t="array" ref="W1251">_xlfn.IFS(U1251="January",1,U1251="February",2,U1251="March",3,U1251="April",4,U1251="May",5,U1251="June",6,U1251="July",7,U1251="August",8,U1251="September",9,U1251="October",10,U1251="November",11,U1251="December",12)</f>
        <v>#N/A</v>
      </c>
    </row>
    <row r="1252" spans="1:23" ht="15.75" customHeight="1" x14ac:dyDescent="0.25">
      <c r="A1252" s="2" t="s">
        <v>2186</v>
      </c>
      <c r="B1252" s="3">
        <v>45886.045578703714</v>
      </c>
      <c r="C1252" s="2" t="s">
        <v>443</v>
      </c>
      <c r="D1252" s="2" t="s">
        <v>53</v>
      </c>
      <c r="E1252" s="2" t="s">
        <v>71</v>
      </c>
      <c r="F1252" s="2" t="str" cm="1">
        <f t="array" ref="F1252:G1252">_xlfn.TEXTSPLIT(E1252," - ")</f>
        <v>Bawang Merah</v>
      </c>
      <c r="G1252" s="2" t="str">
        <v>Brand C</v>
      </c>
      <c r="H1252" s="5">
        <v>40000</v>
      </c>
      <c r="I1252" s="2">
        <v>2</v>
      </c>
      <c r="J1252" s="2">
        <v>15</v>
      </c>
      <c r="K1252" s="8">
        <f t="shared" si="114"/>
        <v>80000</v>
      </c>
      <c r="L1252" s="8">
        <f t="shared" si="115"/>
        <v>12000</v>
      </c>
      <c r="M1252" s="8">
        <f t="shared" si="116"/>
        <v>68000</v>
      </c>
      <c r="N1252" s="5">
        <v>18000</v>
      </c>
      <c r="O1252" s="8">
        <f t="shared" si="117"/>
        <v>86000</v>
      </c>
      <c r="P1252" s="2" t="s">
        <v>29</v>
      </c>
      <c r="Q1252" s="10" t="str">
        <f>VLOOKUP(A1252,Status!A:B,2,0)</f>
        <v>Shipped</v>
      </c>
      <c r="R1252" s="2" t="s">
        <v>30</v>
      </c>
      <c r="S1252" s="2">
        <v>1</v>
      </c>
      <c r="T1252" s="2" t="s">
        <v>24</v>
      </c>
      <c r="U1252" s="10" t="str">
        <f t="shared" si="119"/>
        <v>Aug</v>
      </c>
      <c r="V1252" s="10">
        <f t="shared" si="118"/>
        <v>2025</v>
      </c>
      <c r="W1252" t="e" cm="1">
        <f t="array" ref="W1252">_xlfn.IFS(U1252="January",1,U1252="February",2,U1252="March",3,U1252="April",4,U1252="May",5,U1252="June",6,U1252="July",7,U1252="August",8,U1252="September",9,U1252="October",10,U1252="November",11,U1252="December",12)</f>
        <v>#N/A</v>
      </c>
    </row>
    <row r="1253" spans="1:23" ht="15.75" customHeight="1" x14ac:dyDescent="0.25">
      <c r="A1253" s="2" t="s">
        <v>2187</v>
      </c>
      <c r="B1253" s="3">
        <v>45886.046724537038</v>
      </c>
      <c r="C1253" s="2" t="s">
        <v>464</v>
      </c>
      <c r="D1253" s="2" t="s">
        <v>296</v>
      </c>
      <c r="E1253" s="2" t="s">
        <v>38</v>
      </c>
      <c r="F1253" s="2" t="str" cm="1">
        <f t="array" ref="F1253:G1253">_xlfn.TEXTSPLIT(E1253," - ")</f>
        <v>Telur Ayam</v>
      </c>
      <c r="G1253" s="2" t="str">
        <v>Brand C</v>
      </c>
      <c r="H1253" s="5">
        <v>28000</v>
      </c>
      <c r="I1253" s="2">
        <v>3</v>
      </c>
      <c r="J1253" s="2">
        <v>0</v>
      </c>
      <c r="K1253" s="8">
        <f t="shared" si="114"/>
        <v>84000</v>
      </c>
      <c r="L1253" s="8">
        <f t="shared" si="115"/>
        <v>0</v>
      </c>
      <c r="M1253" s="8">
        <f t="shared" si="116"/>
        <v>84000</v>
      </c>
      <c r="N1253" s="5">
        <v>79000</v>
      </c>
      <c r="O1253" s="8">
        <f t="shared" si="117"/>
        <v>163000</v>
      </c>
      <c r="P1253" s="2" t="s">
        <v>29</v>
      </c>
      <c r="Q1253" s="10" t="str">
        <f>VLOOKUP(A1253,Status!A:B,2,0)</f>
        <v>Returned</v>
      </c>
      <c r="R1253" s="2" t="s">
        <v>46</v>
      </c>
      <c r="S1253" s="2">
        <v>4</v>
      </c>
      <c r="T1253" s="2" t="s">
        <v>37</v>
      </c>
      <c r="U1253" s="10" t="str">
        <f t="shared" si="119"/>
        <v>Aug</v>
      </c>
      <c r="V1253" s="10">
        <f t="shared" si="118"/>
        <v>2025</v>
      </c>
      <c r="W1253" t="e" cm="1">
        <f t="array" ref="W1253">_xlfn.IFS(U1253="January",1,U1253="February",2,U1253="March",3,U1253="April",4,U1253="May",5,U1253="June",6,U1253="July",7,U1253="August",8,U1253="September",9,U1253="October",10,U1253="November",11,U1253="December",12)</f>
        <v>#N/A</v>
      </c>
    </row>
    <row r="1254" spans="1:23" ht="15.75" customHeight="1" x14ac:dyDescent="0.25">
      <c r="A1254" s="2" t="s">
        <v>2188</v>
      </c>
      <c r="B1254" s="3">
        <v>45886.194131944438</v>
      </c>
      <c r="C1254" s="2" t="s">
        <v>283</v>
      </c>
      <c r="D1254" s="2" t="s">
        <v>92</v>
      </c>
      <c r="E1254" s="2" t="s">
        <v>174</v>
      </c>
      <c r="F1254" s="2" t="str" cm="1">
        <f t="array" ref="F1254:G1254">_xlfn.TEXTSPLIT(E1254," - ")</f>
        <v>Tepung Terigu</v>
      </c>
      <c r="G1254" s="2" t="str">
        <v>Brand A</v>
      </c>
      <c r="H1254" s="5">
        <v>10000</v>
      </c>
      <c r="I1254" s="2">
        <v>2</v>
      </c>
      <c r="J1254" s="2">
        <v>5</v>
      </c>
      <c r="K1254" s="8">
        <f t="shared" si="114"/>
        <v>20000</v>
      </c>
      <c r="L1254" s="8">
        <f t="shared" si="115"/>
        <v>1000</v>
      </c>
      <c r="M1254" s="8">
        <f t="shared" si="116"/>
        <v>19000</v>
      </c>
      <c r="N1254" s="5">
        <v>30000</v>
      </c>
      <c r="O1254" s="8">
        <f t="shared" si="117"/>
        <v>49000</v>
      </c>
      <c r="P1254" s="2" t="s">
        <v>63</v>
      </c>
      <c r="Q1254" s="10" t="str">
        <f>VLOOKUP(A1254,Status!A:B,2,0)</f>
        <v>Cancelled</v>
      </c>
      <c r="R1254" s="2" t="s">
        <v>36</v>
      </c>
      <c r="S1254" s="2">
        <v>5</v>
      </c>
      <c r="T1254" s="2" t="s">
        <v>24</v>
      </c>
      <c r="U1254" s="10" t="str">
        <f t="shared" si="119"/>
        <v>Aug</v>
      </c>
      <c r="V1254" s="10">
        <f t="shared" si="118"/>
        <v>2025</v>
      </c>
      <c r="W1254" t="e" cm="1">
        <f t="array" ref="W1254">_xlfn.IFS(U1254="January",1,U1254="February",2,U1254="March",3,U1254="April",4,U1254="May",5,U1254="June",6,U1254="July",7,U1254="August",8,U1254="September",9,U1254="October",10,U1254="November",11,U1254="December",12)</f>
        <v>#N/A</v>
      </c>
    </row>
    <row r="1255" spans="1:23" ht="15.75" customHeight="1" x14ac:dyDescent="0.25">
      <c r="A1255" s="2" t="s">
        <v>2188</v>
      </c>
      <c r="B1255" s="3">
        <v>45886.194131944438</v>
      </c>
      <c r="C1255" s="2" t="s">
        <v>283</v>
      </c>
      <c r="D1255" s="2" t="s">
        <v>92</v>
      </c>
      <c r="E1255" s="2" t="s">
        <v>38</v>
      </c>
      <c r="F1255" s="2" t="str" cm="1">
        <f t="array" ref="F1255:G1255">_xlfn.TEXTSPLIT(E1255," - ")</f>
        <v>Telur Ayam</v>
      </c>
      <c r="G1255" s="2" t="str">
        <v>Brand C</v>
      </c>
      <c r="H1255" s="5">
        <v>28000</v>
      </c>
      <c r="I1255" s="2">
        <v>2</v>
      </c>
      <c r="J1255" s="2">
        <v>0</v>
      </c>
      <c r="K1255" s="8">
        <f t="shared" si="114"/>
        <v>56000</v>
      </c>
      <c r="L1255" s="8">
        <f t="shared" si="115"/>
        <v>0</v>
      </c>
      <c r="M1255" s="8">
        <f t="shared" si="116"/>
        <v>56000</v>
      </c>
      <c r="N1255" s="5">
        <v>0</v>
      </c>
      <c r="O1255" s="8">
        <f t="shared" si="117"/>
        <v>56000</v>
      </c>
      <c r="P1255" s="2" t="s">
        <v>63</v>
      </c>
      <c r="Q1255" s="10" t="str">
        <f>VLOOKUP(A1255,Status!A:B,2,0)</f>
        <v>Cancelled</v>
      </c>
      <c r="R1255" s="2" t="s">
        <v>36</v>
      </c>
      <c r="S1255" s="2">
        <v>5</v>
      </c>
      <c r="T1255" s="2" t="s">
        <v>24</v>
      </c>
      <c r="U1255" s="10" t="str">
        <f t="shared" si="119"/>
        <v>Aug</v>
      </c>
      <c r="V1255" s="10">
        <f t="shared" si="118"/>
        <v>2025</v>
      </c>
      <c r="W1255" t="e" cm="1">
        <f t="array" ref="W1255">_xlfn.IFS(U1255="January",1,U1255="February",2,U1255="March",3,U1255="April",4,U1255="May",5,U1255="June",6,U1255="July",7,U1255="August",8,U1255="September",9,U1255="October",10,U1255="November",11,U1255="December",12)</f>
        <v>#N/A</v>
      </c>
    </row>
    <row r="1256" spans="1:23" ht="15.75" customHeight="1" x14ac:dyDescent="0.25">
      <c r="A1256" s="2" t="s">
        <v>2189</v>
      </c>
      <c r="B1256" s="3">
        <v>45886.232314814813</v>
      </c>
      <c r="C1256" s="2" t="s">
        <v>774</v>
      </c>
      <c r="D1256" s="2" t="s">
        <v>262</v>
      </c>
      <c r="E1256" s="2" t="s">
        <v>50</v>
      </c>
      <c r="F1256" s="2" t="str" cm="1">
        <f t="array" ref="F1256:G1256">_xlfn.TEXTSPLIT(E1256," - ")</f>
        <v>Tepung Terigu</v>
      </c>
      <c r="G1256" s="2" t="str">
        <v>Brand C</v>
      </c>
      <c r="H1256" s="5">
        <v>14000</v>
      </c>
      <c r="I1256" s="2">
        <v>3</v>
      </c>
      <c r="J1256" s="2">
        <v>0</v>
      </c>
      <c r="K1256" s="8">
        <f t="shared" si="114"/>
        <v>42000</v>
      </c>
      <c r="L1256" s="8">
        <f t="shared" si="115"/>
        <v>0</v>
      </c>
      <c r="M1256" s="8">
        <f t="shared" si="116"/>
        <v>42000</v>
      </c>
      <c r="N1256" s="5">
        <v>18000</v>
      </c>
      <c r="O1256" s="8">
        <f t="shared" si="117"/>
        <v>60000</v>
      </c>
      <c r="P1256" s="2" t="s">
        <v>22</v>
      </c>
      <c r="Q1256" s="10" t="str">
        <f>VLOOKUP(A1256,Status!A:B,2,0)</f>
        <v>Completed</v>
      </c>
      <c r="R1256" s="2" t="s">
        <v>36</v>
      </c>
      <c r="S1256" s="2">
        <v>5</v>
      </c>
      <c r="T1256" s="2" t="s">
        <v>24</v>
      </c>
      <c r="U1256" s="10" t="str">
        <f t="shared" si="119"/>
        <v>Aug</v>
      </c>
      <c r="V1256" s="10">
        <f t="shared" si="118"/>
        <v>2025</v>
      </c>
      <c r="W1256" t="e" cm="1">
        <f t="array" ref="W1256">_xlfn.IFS(U1256="January",1,U1256="February",2,U1256="March",3,U1256="April",4,U1256="May",5,U1256="June",6,U1256="July",7,U1256="August",8,U1256="September",9,U1256="October",10,U1256="November",11,U1256="December",12)</f>
        <v>#N/A</v>
      </c>
    </row>
    <row r="1257" spans="1:23" ht="15.75" customHeight="1" x14ac:dyDescent="0.25">
      <c r="A1257" s="2" t="s">
        <v>2190</v>
      </c>
      <c r="B1257" s="3">
        <v>45886.373888888891</v>
      </c>
      <c r="C1257" s="2" t="s">
        <v>1098</v>
      </c>
      <c r="D1257" s="2" t="s">
        <v>126</v>
      </c>
      <c r="E1257" s="2" t="s">
        <v>174</v>
      </c>
      <c r="F1257" s="2" t="str" cm="1">
        <f t="array" ref="F1257:G1257">_xlfn.TEXTSPLIT(E1257," - ")</f>
        <v>Tepung Terigu</v>
      </c>
      <c r="G1257" s="2" t="str">
        <v>Brand A</v>
      </c>
      <c r="H1257" s="5">
        <v>10000</v>
      </c>
      <c r="I1257" s="2">
        <v>4</v>
      </c>
      <c r="J1257" s="2">
        <v>20</v>
      </c>
      <c r="K1257" s="8">
        <f t="shared" si="114"/>
        <v>40000</v>
      </c>
      <c r="L1257" s="8">
        <f t="shared" si="115"/>
        <v>8000</v>
      </c>
      <c r="M1257" s="8">
        <f t="shared" si="116"/>
        <v>32000</v>
      </c>
      <c r="N1257" s="5">
        <v>84000</v>
      </c>
      <c r="O1257" s="8">
        <f t="shared" si="117"/>
        <v>116000</v>
      </c>
      <c r="P1257" s="2" t="s">
        <v>35</v>
      </c>
      <c r="Q1257" s="10" t="str">
        <f>VLOOKUP(A1257,Status!A:B,2,0)</f>
        <v>Completed</v>
      </c>
      <c r="R1257" s="2" t="s">
        <v>30</v>
      </c>
      <c r="S1257" s="2">
        <v>1</v>
      </c>
      <c r="T1257" s="2" t="s">
        <v>37</v>
      </c>
      <c r="U1257" s="10" t="str">
        <f t="shared" si="119"/>
        <v>Aug</v>
      </c>
      <c r="V1257" s="10">
        <f t="shared" si="118"/>
        <v>2025</v>
      </c>
      <c r="W1257" t="e" cm="1">
        <f t="array" ref="W1257">_xlfn.IFS(U1257="January",1,U1257="February",2,U1257="March",3,U1257="April",4,U1257="May",5,U1257="June",6,U1257="July",7,U1257="August",8,U1257="September",9,U1257="October",10,U1257="November",11,U1257="December",12)</f>
        <v>#N/A</v>
      </c>
    </row>
    <row r="1258" spans="1:23" ht="15.75" customHeight="1" x14ac:dyDescent="0.25">
      <c r="A1258" s="2" t="s">
        <v>2191</v>
      </c>
      <c r="B1258" s="3">
        <v>45886.488275462973</v>
      </c>
      <c r="C1258" s="2" t="s">
        <v>1066</v>
      </c>
      <c r="D1258" s="2" t="s">
        <v>113</v>
      </c>
      <c r="E1258" s="2" t="s">
        <v>110</v>
      </c>
      <c r="F1258" s="2" t="str" cm="1">
        <f t="array" ref="F1258:G1258">_xlfn.TEXTSPLIT(E1258," - ")</f>
        <v>Garam</v>
      </c>
      <c r="G1258" s="2" t="str">
        <v>Brand C</v>
      </c>
      <c r="H1258" s="5">
        <v>6000</v>
      </c>
      <c r="I1258" s="2">
        <v>3</v>
      </c>
      <c r="J1258" s="2">
        <v>15</v>
      </c>
      <c r="K1258" s="8">
        <f t="shared" si="114"/>
        <v>18000</v>
      </c>
      <c r="L1258" s="8">
        <f t="shared" si="115"/>
        <v>2700</v>
      </c>
      <c r="M1258" s="8">
        <f t="shared" si="116"/>
        <v>15300</v>
      </c>
      <c r="N1258" s="5">
        <v>18000</v>
      </c>
      <c r="O1258" s="8">
        <f t="shared" si="117"/>
        <v>33300</v>
      </c>
      <c r="P1258" s="2" t="s">
        <v>22</v>
      </c>
      <c r="Q1258" s="10" t="str">
        <f>VLOOKUP(A1258,Status!A:B,2,0)</f>
        <v>Shipped</v>
      </c>
      <c r="R1258" s="2" t="s">
        <v>82</v>
      </c>
      <c r="S1258" s="2">
        <v>4</v>
      </c>
      <c r="T1258" s="2" t="s">
        <v>24</v>
      </c>
      <c r="U1258" s="10" t="str">
        <f t="shared" si="119"/>
        <v>Aug</v>
      </c>
      <c r="V1258" s="10">
        <f t="shared" si="118"/>
        <v>2025</v>
      </c>
      <c r="W1258" t="e" cm="1">
        <f t="array" ref="W1258">_xlfn.IFS(U1258="January",1,U1258="February",2,U1258="March",3,U1258="April",4,U1258="May",5,U1258="June",6,U1258="July",7,U1258="August",8,U1258="September",9,U1258="October",10,U1258="November",11,U1258="December",12)</f>
        <v>#N/A</v>
      </c>
    </row>
    <row r="1259" spans="1:23" ht="15.75" customHeight="1" x14ac:dyDescent="0.25">
      <c r="A1259" s="2" t="s">
        <v>2192</v>
      </c>
      <c r="B1259" s="3">
        <v>45886.649131944447</v>
      </c>
      <c r="C1259" s="2" t="s">
        <v>441</v>
      </c>
      <c r="D1259" s="2" t="s">
        <v>116</v>
      </c>
      <c r="E1259" s="2" t="s">
        <v>110</v>
      </c>
      <c r="F1259" s="2" t="str" cm="1">
        <f t="array" ref="F1259:G1259">_xlfn.TEXTSPLIT(E1259," - ")</f>
        <v>Garam</v>
      </c>
      <c r="G1259" s="2" t="str">
        <v>Brand C</v>
      </c>
      <c r="H1259" s="5">
        <v>6000</v>
      </c>
      <c r="I1259" s="2">
        <v>5</v>
      </c>
      <c r="J1259" s="2">
        <v>0</v>
      </c>
      <c r="K1259" s="8">
        <f t="shared" si="114"/>
        <v>30000</v>
      </c>
      <c r="L1259" s="8">
        <f t="shared" si="115"/>
        <v>0</v>
      </c>
      <c r="M1259" s="8">
        <f t="shared" si="116"/>
        <v>30000</v>
      </c>
      <c r="N1259" s="5">
        <v>72000</v>
      </c>
      <c r="O1259" s="8">
        <f t="shared" si="117"/>
        <v>102000</v>
      </c>
      <c r="P1259" s="2" t="s">
        <v>22</v>
      </c>
      <c r="Q1259" s="10" t="str">
        <f>VLOOKUP(A1259,Status!A:B,2,0)</f>
        <v>Pending</v>
      </c>
      <c r="R1259" s="2" t="s">
        <v>82</v>
      </c>
      <c r="S1259" s="2">
        <v>2</v>
      </c>
      <c r="T1259" s="2" t="s">
        <v>37</v>
      </c>
      <c r="U1259" s="10" t="str">
        <f t="shared" si="119"/>
        <v>Aug</v>
      </c>
      <c r="V1259" s="10">
        <f t="shared" si="118"/>
        <v>2025</v>
      </c>
      <c r="W1259" t="e" cm="1">
        <f t="array" ref="W1259">_xlfn.IFS(U1259="January",1,U1259="February",2,U1259="March",3,U1259="April",4,U1259="May",5,U1259="June",6,U1259="July",7,U1259="August",8,U1259="September",9,U1259="October",10,U1259="November",11,U1259="December",12)</f>
        <v>#N/A</v>
      </c>
    </row>
    <row r="1260" spans="1:23" ht="15.75" customHeight="1" x14ac:dyDescent="0.25">
      <c r="A1260" s="2" t="s">
        <v>2193</v>
      </c>
      <c r="B1260" s="3">
        <v>45886.809108796297</v>
      </c>
      <c r="C1260" s="2" t="s">
        <v>218</v>
      </c>
      <c r="D1260" s="2" t="s">
        <v>170</v>
      </c>
      <c r="E1260" s="2" t="s">
        <v>62</v>
      </c>
      <c r="F1260" s="2" t="str" cm="1">
        <f t="array" ref="F1260:G1260">_xlfn.TEXTSPLIT(E1260," - ")</f>
        <v>Susu Bubuk</v>
      </c>
      <c r="G1260" s="2" t="str">
        <v>Brand B</v>
      </c>
      <c r="H1260" s="5">
        <v>50000</v>
      </c>
      <c r="I1260" s="2">
        <v>3</v>
      </c>
      <c r="J1260" s="2">
        <v>15</v>
      </c>
      <c r="K1260" s="8">
        <f t="shared" si="114"/>
        <v>150000</v>
      </c>
      <c r="L1260" s="8">
        <f t="shared" si="115"/>
        <v>22500</v>
      </c>
      <c r="M1260" s="8">
        <f t="shared" si="116"/>
        <v>127500</v>
      </c>
      <c r="N1260" s="5">
        <v>46000</v>
      </c>
      <c r="O1260" s="8">
        <f t="shared" si="117"/>
        <v>173500</v>
      </c>
      <c r="P1260" s="2" t="s">
        <v>22</v>
      </c>
      <c r="Q1260" s="10" t="str">
        <f>VLOOKUP(A1260,Status!A:B,2,0)</f>
        <v>Completed</v>
      </c>
      <c r="R1260" s="2" t="s">
        <v>30</v>
      </c>
      <c r="S1260" s="2">
        <v>2</v>
      </c>
      <c r="T1260" s="2" t="s">
        <v>24</v>
      </c>
      <c r="U1260" s="10" t="str">
        <f t="shared" si="119"/>
        <v>Aug</v>
      </c>
      <c r="V1260" s="10">
        <f t="shared" si="118"/>
        <v>2025</v>
      </c>
      <c r="W1260" t="e" cm="1">
        <f t="array" ref="W1260">_xlfn.IFS(U1260="January",1,U1260="February",2,U1260="March",3,U1260="April",4,U1260="May",5,U1260="June",6,U1260="July",7,U1260="August",8,U1260="September",9,U1260="October",10,U1260="November",11,U1260="December",12)</f>
        <v>#N/A</v>
      </c>
    </row>
    <row r="1261" spans="1:23" ht="15.75" customHeight="1" x14ac:dyDescent="0.25">
      <c r="A1261" s="2" t="s">
        <v>2194</v>
      </c>
      <c r="B1261" s="3">
        <v>45886.835694444453</v>
      </c>
      <c r="C1261" s="2" t="s">
        <v>2195</v>
      </c>
      <c r="D1261" s="2" t="s">
        <v>238</v>
      </c>
      <c r="E1261" s="2" t="s">
        <v>41</v>
      </c>
      <c r="F1261" s="2" t="str" cm="1">
        <f t="array" ref="F1261:G1261">_xlfn.TEXTSPLIT(E1261," - ")</f>
        <v>Garam</v>
      </c>
      <c r="G1261" s="2" t="str">
        <v>Brand A</v>
      </c>
      <c r="H1261" s="5">
        <v>4000</v>
      </c>
      <c r="I1261" s="2">
        <v>5</v>
      </c>
      <c r="J1261" s="2">
        <v>5</v>
      </c>
      <c r="K1261" s="8">
        <f t="shared" si="114"/>
        <v>20000</v>
      </c>
      <c r="L1261" s="8">
        <f t="shared" si="115"/>
        <v>1000</v>
      </c>
      <c r="M1261" s="8">
        <f t="shared" si="116"/>
        <v>19000</v>
      </c>
      <c r="N1261" s="5">
        <v>28000</v>
      </c>
      <c r="O1261" s="8">
        <f t="shared" si="117"/>
        <v>47000</v>
      </c>
      <c r="P1261" s="2" t="s">
        <v>29</v>
      </c>
      <c r="Q1261" s="10" t="str">
        <f>VLOOKUP(A1261,Status!A:B,2,0)</f>
        <v>Pending</v>
      </c>
      <c r="R1261" s="2" t="s">
        <v>23</v>
      </c>
      <c r="S1261" s="2">
        <v>1</v>
      </c>
      <c r="T1261" s="2" t="s">
        <v>24</v>
      </c>
      <c r="U1261" s="10" t="str">
        <f t="shared" si="119"/>
        <v>Aug</v>
      </c>
      <c r="V1261" s="10">
        <f t="shared" si="118"/>
        <v>2025</v>
      </c>
      <c r="W1261" t="e" cm="1">
        <f t="array" ref="W1261">_xlfn.IFS(U1261="January",1,U1261="February",2,U1261="March",3,U1261="April",4,U1261="May",5,U1261="June",6,U1261="July",7,U1261="August",8,U1261="September",9,U1261="October",10,U1261="November",11,U1261="December",12)</f>
        <v>#N/A</v>
      </c>
    </row>
    <row r="1262" spans="1:23" ht="15.75" customHeight="1" x14ac:dyDescent="0.25">
      <c r="A1262" s="2" t="s">
        <v>2196</v>
      </c>
      <c r="B1262" s="3">
        <v>45887.202337962961</v>
      </c>
      <c r="C1262" s="2" t="s">
        <v>194</v>
      </c>
      <c r="D1262" s="2" t="s">
        <v>195</v>
      </c>
      <c r="E1262" s="2" t="s">
        <v>34</v>
      </c>
      <c r="F1262" s="2" t="str" cm="1">
        <f t="array" ref="F1262:G1262">_xlfn.TEXTSPLIT(E1262," - ")</f>
        <v>Minyak Goreng</v>
      </c>
      <c r="G1262" s="2" t="str">
        <v>Brand A</v>
      </c>
      <c r="H1262" s="5">
        <v>16000</v>
      </c>
      <c r="I1262" s="2">
        <v>4</v>
      </c>
      <c r="J1262" s="2">
        <v>5</v>
      </c>
      <c r="K1262" s="8">
        <f t="shared" si="114"/>
        <v>64000</v>
      </c>
      <c r="L1262" s="8">
        <f t="shared" si="115"/>
        <v>3200</v>
      </c>
      <c r="M1262" s="8">
        <f t="shared" si="116"/>
        <v>60800</v>
      </c>
      <c r="N1262" s="5">
        <v>87000</v>
      </c>
      <c r="O1262" s="8">
        <f t="shared" si="117"/>
        <v>147800</v>
      </c>
      <c r="P1262" s="2" t="s">
        <v>29</v>
      </c>
      <c r="Q1262" s="10" t="str">
        <f>VLOOKUP(A1262,Status!A:B,2,0)</f>
        <v>Pending</v>
      </c>
      <c r="R1262" s="2" t="s">
        <v>23</v>
      </c>
      <c r="S1262" s="2">
        <v>4</v>
      </c>
      <c r="T1262" s="2" t="s">
        <v>24</v>
      </c>
      <c r="U1262" s="10" t="str">
        <f t="shared" si="119"/>
        <v>Aug</v>
      </c>
      <c r="V1262" s="10">
        <f t="shared" si="118"/>
        <v>2025</v>
      </c>
      <c r="W1262" t="e" cm="1">
        <f t="array" ref="W1262">_xlfn.IFS(U1262="January",1,U1262="February",2,U1262="March",3,U1262="April",4,U1262="May",5,U1262="June",6,U1262="July",7,U1262="August",8,U1262="September",9,U1262="October",10,U1262="November",11,U1262="December",12)</f>
        <v>#N/A</v>
      </c>
    </row>
    <row r="1263" spans="1:23" ht="15.75" customHeight="1" x14ac:dyDescent="0.25">
      <c r="A1263" s="2" t="s">
        <v>2197</v>
      </c>
      <c r="B1263" s="3">
        <v>45887.460578703707</v>
      </c>
      <c r="C1263" s="2" t="s">
        <v>331</v>
      </c>
      <c r="D1263" s="2" t="s">
        <v>20</v>
      </c>
      <c r="E1263" s="2" t="s">
        <v>186</v>
      </c>
      <c r="F1263" s="2" t="str" cm="1">
        <f t="array" ref="F1263:G1263">_xlfn.TEXTSPLIT(E1263," - ")</f>
        <v>Susu Bubuk</v>
      </c>
      <c r="G1263" s="2" t="str">
        <v>Brand A</v>
      </c>
      <c r="H1263" s="5">
        <v>45000</v>
      </c>
      <c r="I1263" s="2">
        <v>2</v>
      </c>
      <c r="J1263" s="2">
        <v>10</v>
      </c>
      <c r="K1263" s="8">
        <f t="shared" si="114"/>
        <v>90000</v>
      </c>
      <c r="L1263" s="8">
        <f t="shared" si="115"/>
        <v>9000</v>
      </c>
      <c r="M1263" s="8">
        <f t="shared" si="116"/>
        <v>81000</v>
      </c>
      <c r="N1263" s="5">
        <v>15000</v>
      </c>
      <c r="O1263" s="8">
        <f t="shared" si="117"/>
        <v>96000</v>
      </c>
      <c r="P1263" s="2" t="s">
        <v>35</v>
      </c>
      <c r="Q1263" s="10" t="str">
        <f>VLOOKUP(A1263,Status!A:B,2,0)</f>
        <v>Completed</v>
      </c>
      <c r="R1263" s="2" t="s">
        <v>36</v>
      </c>
      <c r="S1263" s="2">
        <v>5</v>
      </c>
      <c r="T1263" s="2" t="s">
        <v>37</v>
      </c>
      <c r="U1263" s="10" t="str">
        <f t="shared" si="119"/>
        <v>Aug</v>
      </c>
      <c r="V1263" s="10">
        <f t="shared" si="118"/>
        <v>2025</v>
      </c>
      <c r="W1263" t="e" cm="1">
        <f t="array" ref="W1263">_xlfn.IFS(U1263="January",1,U1263="February",2,U1263="March",3,U1263="April",4,U1263="May",5,U1263="June",6,U1263="July",7,U1263="August",8,U1263="September",9,U1263="October",10,U1263="November",11,U1263="December",12)</f>
        <v>#N/A</v>
      </c>
    </row>
    <row r="1264" spans="1:23" ht="15.75" customHeight="1" x14ac:dyDescent="0.25">
      <c r="A1264" s="2" t="s">
        <v>2198</v>
      </c>
      <c r="B1264" s="3">
        <v>45887.619583333333</v>
      </c>
      <c r="C1264" s="2" t="s">
        <v>451</v>
      </c>
      <c r="D1264" s="2" t="s">
        <v>116</v>
      </c>
      <c r="E1264" s="2" t="s">
        <v>75</v>
      </c>
      <c r="F1264" s="2" t="str" cm="1">
        <f t="array" ref="F1264:G1264">_xlfn.TEXTSPLIT(E1264," - ")</f>
        <v>Susu Bubuk</v>
      </c>
      <c r="G1264" s="2" t="str">
        <v>Brand C</v>
      </c>
      <c r="H1264" s="5">
        <v>55000</v>
      </c>
      <c r="I1264" s="2">
        <v>5</v>
      </c>
      <c r="J1264" s="2">
        <v>10</v>
      </c>
      <c r="K1264" s="8">
        <f t="shared" si="114"/>
        <v>275000</v>
      </c>
      <c r="L1264" s="8">
        <f t="shared" si="115"/>
        <v>27500</v>
      </c>
      <c r="M1264" s="8">
        <f t="shared" si="116"/>
        <v>247500</v>
      </c>
      <c r="N1264" s="5">
        <v>72000</v>
      </c>
      <c r="O1264" s="8">
        <f t="shared" si="117"/>
        <v>319500</v>
      </c>
      <c r="P1264" s="2" t="s">
        <v>29</v>
      </c>
      <c r="Q1264" s="10" t="str">
        <f>VLOOKUP(A1264,Status!A:B,2,0)</f>
        <v>Completed</v>
      </c>
      <c r="R1264" s="2" t="s">
        <v>46</v>
      </c>
      <c r="S1264" s="2">
        <v>4</v>
      </c>
      <c r="T1264" s="2" t="s">
        <v>24</v>
      </c>
      <c r="U1264" s="10" t="str">
        <f t="shared" si="119"/>
        <v>Aug</v>
      </c>
      <c r="V1264" s="10">
        <f t="shared" si="118"/>
        <v>2025</v>
      </c>
      <c r="W1264" t="e" cm="1">
        <f t="array" ref="W1264">_xlfn.IFS(U1264="January",1,U1264="February",2,U1264="March",3,U1264="April",4,U1264="May",5,U1264="June",6,U1264="July",7,U1264="August",8,U1264="September",9,U1264="October",10,U1264="November",11,U1264="December",12)</f>
        <v>#N/A</v>
      </c>
    </row>
    <row r="1265" spans="1:23" ht="15.75" customHeight="1" x14ac:dyDescent="0.25">
      <c r="A1265" s="2" t="s">
        <v>2199</v>
      </c>
      <c r="B1265" s="3">
        <v>45887.642928240741</v>
      </c>
      <c r="C1265" s="2" t="s">
        <v>468</v>
      </c>
      <c r="D1265" s="2" t="s">
        <v>163</v>
      </c>
      <c r="E1265" s="2" t="s">
        <v>93</v>
      </c>
      <c r="F1265" s="2" t="str" cm="1">
        <f t="array" ref="F1265:G1265">_xlfn.TEXTSPLIT(E1265," - ")</f>
        <v>Telur Ayam</v>
      </c>
      <c r="G1265" s="2" t="str">
        <v>Brand B</v>
      </c>
      <c r="H1265" s="5">
        <v>25000</v>
      </c>
      <c r="I1265" s="2">
        <v>4</v>
      </c>
      <c r="J1265" s="2">
        <v>20</v>
      </c>
      <c r="K1265" s="8">
        <f t="shared" si="114"/>
        <v>100000</v>
      </c>
      <c r="L1265" s="8">
        <f t="shared" si="115"/>
        <v>20000</v>
      </c>
      <c r="M1265" s="8">
        <f t="shared" si="116"/>
        <v>80000</v>
      </c>
      <c r="N1265" s="5">
        <v>50000</v>
      </c>
      <c r="O1265" s="8">
        <f t="shared" si="117"/>
        <v>130000</v>
      </c>
      <c r="P1265" s="2" t="s">
        <v>63</v>
      </c>
      <c r="Q1265" s="10" t="str">
        <f>VLOOKUP(A1265,Status!A:B,2,0)</f>
        <v>Shipped</v>
      </c>
      <c r="R1265" s="2" t="s">
        <v>30</v>
      </c>
      <c r="S1265" s="2">
        <v>5</v>
      </c>
      <c r="T1265" s="2" t="s">
        <v>24</v>
      </c>
      <c r="U1265" s="10" t="str">
        <f t="shared" si="119"/>
        <v>Aug</v>
      </c>
      <c r="V1265" s="10">
        <f t="shared" si="118"/>
        <v>2025</v>
      </c>
      <c r="W1265" t="e" cm="1">
        <f t="array" ref="W1265">_xlfn.IFS(U1265="January",1,U1265="February",2,U1265="March",3,U1265="April",4,U1265="May",5,U1265="June",6,U1265="July",7,U1265="August",8,U1265="September",9,U1265="October",10,U1265="November",11,U1265="December",12)</f>
        <v>#N/A</v>
      </c>
    </row>
    <row r="1266" spans="1:23" ht="15.75" customHeight="1" x14ac:dyDescent="0.25">
      <c r="A1266" s="2" t="s">
        <v>2200</v>
      </c>
      <c r="B1266" s="3">
        <v>45887.850115740737</v>
      </c>
      <c r="C1266" s="2" t="s">
        <v>985</v>
      </c>
      <c r="D1266" s="2" t="s">
        <v>53</v>
      </c>
      <c r="E1266" s="2" t="s">
        <v>50</v>
      </c>
      <c r="F1266" s="2" t="str" cm="1">
        <f t="array" ref="F1266:G1266">_xlfn.TEXTSPLIT(E1266," - ")</f>
        <v>Tepung Terigu</v>
      </c>
      <c r="G1266" s="2" t="str">
        <v>Brand C</v>
      </c>
      <c r="H1266" s="5">
        <v>14000</v>
      </c>
      <c r="I1266" s="2">
        <v>2</v>
      </c>
      <c r="J1266" s="2">
        <v>10</v>
      </c>
      <c r="K1266" s="8">
        <f t="shared" si="114"/>
        <v>28000</v>
      </c>
      <c r="L1266" s="8">
        <f t="shared" si="115"/>
        <v>2800</v>
      </c>
      <c r="M1266" s="8">
        <f t="shared" si="116"/>
        <v>25200</v>
      </c>
      <c r="N1266" s="5">
        <v>18000</v>
      </c>
      <c r="O1266" s="8">
        <f t="shared" si="117"/>
        <v>43200</v>
      </c>
      <c r="P1266" s="2" t="s">
        <v>29</v>
      </c>
      <c r="Q1266" s="10" t="str">
        <f>VLOOKUP(A1266,Status!A:B,2,0)</f>
        <v>Shipped</v>
      </c>
      <c r="R1266" s="2" t="s">
        <v>46</v>
      </c>
      <c r="S1266" s="2">
        <v>2</v>
      </c>
      <c r="T1266" s="2" t="s">
        <v>24</v>
      </c>
      <c r="U1266" s="10" t="str">
        <f t="shared" si="119"/>
        <v>Aug</v>
      </c>
      <c r="V1266" s="10">
        <f t="shared" si="118"/>
        <v>2025</v>
      </c>
      <c r="W1266" t="e" cm="1">
        <f t="array" ref="W1266">_xlfn.IFS(U1266="January",1,U1266="February",2,U1266="March",3,U1266="April",4,U1266="May",5,U1266="June",6,U1266="July",7,U1266="August",8,U1266="September",9,U1266="October",10,U1266="November",11,U1266="December",12)</f>
        <v>#N/A</v>
      </c>
    </row>
    <row r="1267" spans="1:23" ht="15.75" customHeight="1" x14ac:dyDescent="0.25">
      <c r="A1267" s="2" t="s">
        <v>2201</v>
      </c>
      <c r="B1267" s="3">
        <v>45888.047418981478</v>
      </c>
      <c r="C1267" s="2" t="s">
        <v>1757</v>
      </c>
      <c r="D1267" s="2" t="s">
        <v>74</v>
      </c>
      <c r="E1267" s="2" t="s">
        <v>190</v>
      </c>
      <c r="F1267" s="2" t="str" cm="1">
        <f t="array" ref="F1267:G1267">_xlfn.TEXTSPLIT(E1267," - ")</f>
        <v>Bawang Merah</v>
      </c>
      <c r="G1267" s="2" t="str">
        <v>Brand B</v>
      </c>
      <c r="H1267" s="5">
        <v>35000</v>
      </c>
      <c r="I1267" s="2">
        <v>5</v>
      </c>
      <c r="J1267" s="2">
        <v>0</v>
      </c>
      <c r="K1267" s="8">
        <f t="shared" si="114"/>
        <v>175000</v>
      </c>
      <c r="L1267" s="8">
        <f t="shared" si="115"/>
        <v>0</v>
      </c>
      <c r="M1267" s="8">
        <f t="shared" si="116"/>
        <v>175000</v>
      </c>
      <c r="N1267" s="5">
        <v>87000</v>
      </c>
      <c r="O1267" s="8">
        <f t="shared" si="117"/>
        <v>262000</v>
      </c>
      <c r="P1267" s="2" t="s">
        <v>63</v>
      </c>
      <c r="Q1267" s="10" t="str">
        <f>VLOOKUP(A1267,Status!A:B,2,0)</f>
        <v>Shipped</v>
      </c>
      <c r="R1267" s="2" t="s">
        <v>23</v>
      </c>
      <c r="S1267" s="2">
        <v>4</v>
      </c>
      <c r="T1267" s="2" t="s">
        <v>37</v>
      </c>
      <c r="U1267" s="10" t="str">
        <f t="shared" si="119"/>
        <v>Aug</v>
      </c>
      <c r="V1267" s="10">
        <f t="shared" si="118"/>
        <v>2025</v>
      </c>
      <c r="W1267" t="e" cm="1">
        <f t="array" ref="W1267">_xlfn.IFS(U1267="January",1,U1267="February",2,U1267="March",3,U1267="April",4,U1267="May",5,U1267="June",6,U1267="July",7,U1267="August",8,U1267="September",9,U1267="October",10,U1267="November",11,U1267="December",12)</f>
        <v>#N/A</v>
      </c>
    </row>
    <row r="1268" spans="1:23" ht="15.75" customHeight="1" x14ac:dyDescent="0.25">
      <c r="A1268" s="2" t="s">
        <v>2202</v>
      </c>
      <c r="B1268" s="3">
        <v>45888.12636574074</v>
      </c>
      <c r="C1268" s="2" t="s">
        <v>856</v>
      </c>
      <c r="D1268" s="2" t="s">
        <v>244</v>
      </c>
      <c r="E1268" s="2" t="s">
        <v>136</v>
      </c>
      <c r="F1268" s="2" t="str" cm="1">
        <f t="array" ref="F1268:G1268">_xlfn.TEXTSPLIT(E1268," - ")</f>
        <v>Tepung Terigu</v>
      </c>
      <c r="G1268" s="2" t="str">
        <v>Brand B</v>
      </c>
      <c r="H1268" s="5">
        <v>12000</v>
      </c>
      <c r="I1268" s="2">
        <v>1</v>
      </c>
      <c r="J1268" s="2">
        <v>10</v>
      </c>
      <c r="K1268" s="8">
        <f t="shared" si="114"/>
        <v>12000</v>
      </c>
      <c r="L1268" s="8">
        <f t="shared" si="115"/>
        <v>1200</v>
      </c>
      <c r="M1268" s="8">
        <f t="shared" si="116"/>
        <v>10800</v>
      </c>
      <c r="N1268" s="5">
        <v>80000</v>
      </c>
      <c r="O1268" s="8">
        <f t="shared" si="117"/>
        <v>90800</v>
      </c>
      <c r="P1268" s="2" t="s">
        <v>35</v>
      </c>
      <c r="Q1268" s="10" t="str">
        <f>VLOOKUP(A1268,Status!A:B,2,0)</f>
        <v>Completed</v>
      </c>
      <c r="R1268" s="2" t="s">
        <v>82</v>
      </c>
      <c r="S1268" s="2">
        <v>4</v>
      </c>
      <c r="T1268" s="2" t="s">
        <v>24</v>
      </c>
      <c r="U1268" s="10" t="str">
        <f t="shared" si="119"/>
        <v>Aug</v>
      </c>
      <c r="V1268" s="10">
        <f t="shared" si="118"/>
        <v>2025</v>
      </c>
      <c r="W1268" t="e" cm="1">
        <f t="array" ref="W1268">_xlfn.IFS(U1268="January",1,U1268="February",2,U1268="March",3,U1268="April",4,U1268="May",5,U1268="June",6,U1268="July",7,U1268="August",8,U1268="September",9,U1268="October",10,U1268="November",11,U1268="December",12)</f>
        <v>#N/A</v>
      </c>
    </row>
    <row r="1269" spans="1:23" ht="15.75" customHeight="1" x14ac:dyDescent="0.25">
      <c r="A1269" s="2" t="s">
        <v>2202</v>
      </c>
      <c r="B1269" s="3">
        <v>45888.12636574074</v>
      </c>
      <c r="C1269" s="2" t="s">
        <v>856</v>
      </c>
      <c r="D1269" s="2" t="s">
        <v>244</v>
      </c>
      <c r="E1269" s="2" t="s">
        <v>110</v>
      </c>
      <c r="F1269" s="2" t="str" cm="1">
        <f t="array" ref="F1269:G1269">_xlfn.TEXTSPLIT(E1269," - ")</f>
        <v>Garam</v>
      </c>
      <c r="G1269" s="2" t="str">
        <v>Brand C</v>
      </c>
      <c r="H1269" s="5">
        <v>6000</v>
      </c>
      <c r="I1269" s="2">
        <v>4</v>
      </c>
      <c r="J1269" s="2">
        <v>5</v>
      </c>
      <c r="K1269" s="8">
        <f t="shared" si="114"/>
        <v>24000</v>
      </c>
      <c r="L1269" s="8">
        <f t="shared" si="115"/>
        <v>1200</v>
      </c>
      <c r="M1269" s="8">
        <f t="shared" si="116"/>
        <v>22800</v>
      </c>
      <c r="N1269" s="5">
        <v>0</v>
      </c>
      <c r="O1269" s="8">
        <f t="shared" si="117"/>
        <v>22800</v>
      </c>
      <c r="P1269" s="2" t="s">
        <v>35</v>
      </c>
      <c r="Q1269" s="10" t="str">
        <f>VLOOKUP(A1269,Status!A:B,2,0)</f>
        <v>Completed</v>
      </c>
      <c r="R1269" s="2" t="s">
        <v>82</v>
      </c>
      <c r="S1269" s="2">
        <v>4</v>
      </c>
      <c r="T1269" s="2" t="s">
        <v>24</v>
      </c>
      <c r="U1269" s="10" t="str">
        <f t="shared" si="119"/>
        <v>Aug</v>
      </c>
      <c r="V1269" s="10">
        <f t="shared" si="118"/>
        <v>2025</v>
      </c>
      <c r="W1269" t="e" cm="1">
        <f t="array" ref="W1269">_xlfn.IFS(U1269="January",1,U1269="February",2,U1269="March",3,U1269="April",4,U1269="May",5,U1269="June",6,U1269="July",7,U1269="August",8,U1269="September",9,U1269="October",10,U1269="November",11,U1269="December",12)</f>
        <v>#N/A</v>
      </c>
    </row>
    <row r="1270" spans="1:23" ht="15.75" customHeight="1" x14ac:dyDescent="0.25">
      <c r="A1270" s="2" t="s">
        <v>2203</v>
      </c>
      <c r="B1270" s="3">
        <v>45888.334062499998</v>
      </c>
      <c r="C1270" s="2" t="s">
        <v>311</v>
      </c>
      <c r="D1270" s="2" t="s">
        <v>116</v>
      </c>
      <c r="E1270" s="2" t="s">
        <v>136</v>
      </c>
      <c r="F1270" s="2" t="str" cm="1">
        <f t="array" ref="F1270:G1270">_xlfn.TEXTSPLIT(E1270," - ")</f>
        <v>Tepung Terigu</v>
      </c>
      <c r="G1270" s="2" t="str">
        <v>Brand B</v>
      </c>
      <c r="H1270" s="5">
        <v>12000</v>
      </c>
      <c r="I1270" s="2">
        <v>2</v>
      </c>
      <c r="J1270" s="2">
        <v>20</v>
      </c>
      <c r="K1270" s="8">
        <f t="shared" si="114"/>
        <v>24000</v>
      </c>
      <c r="L1270" s="8">
        <f t="shared" si="115"/>
        <v>4800</v>
      </c>
      <c r="M1270" s="8">
        <f t="shared" si="116"/>
        <v>19200</v>
      </c>
      <c r="N1270" s="5">
        <v>72000</v>
      </c>
      <c r="O1270" s="8">
        <f t="shared" si="117"/>
        <v>91200</v>
      </c>
      <c r="P1270" s="2" t="s">
        <v>63</v>
      </c>
      <c r="Q1270" s="10" t="str">
        <f>VLOOKUP(A1270,Status!A:B,2,0)</f>
        <v>Completed</v>
      </c>
      <c r="R1270" s="2" t="s">
        <v>30</v>
      </c>
      <c r="S1270" s="2">
        <v>1</v>
      </c>
      <c r="T1270" s="2" t="s">
        <v>24</v>
      </c>
      <c r="U1270" s="10" t="str">
        <f t="shared" si="119"/>
        <v>Aug</v>
      </c>
      <c r="V1270" s="10">
        <f t="shared" si="118"/>
        <v>2025</v>
      </c>
      <c r="W1270" t="e" cm="1">
        <f t="array" ref="W1270">_xlfn.IFS(U1270="January",1,U1270="February",2,U1270="March",3,U1270="April",4,U1270="May",5,U1270="June",6,U1270="July",7,U1270="August",8,U1270="September",9,U1270="October",10,U1270="November",11,U1270="December",12)</f>
        <v>#N/A</v>
      </c>
    </row>
    <row r="1271" spans="1:23" ht="15.75" customHeight="1" x14ac:dyDescent="0.25">
      <c r="A1271" s="2" t="s">
        <v>2204</v>
      </c>
      <c r="B1271" s="3">
        <v>45888.621793981481</v>
      </c>
      <c r="C1271" s="2" t="s">
        <v>26</v>
      </c>
      <c r="D1271" s="2" t="s">
        <v>27</v>
      </c>
      <c r="E1271" s="2" t="s">
        <v>93</v>
      </c>
      <c r="F1271" s="2" t="str" cm="1">
        <f t="array" ref="F1271:G1271">_xlfn.TEXTSPLIT(E1271," - ")</f>
        <v>Telur Ayam</v>
      </c>
      <c r="G1271" s="2" t="str">
        <v>Brand B</v>
      </c>
      <c r="H1271" s="5">
        <v>25000</v>
      </c>
      <c r="I1271" s="2">
        <v>4</v>
      </c>
      <c r="J1271" s="2">
        <v>5</v>
      </c>
      <c r="K1271" s="8">
        <f t="shared" si="114"/>
        <v>100000</v>
      </c>
      <c r="L1271" s="8">
        <f t="shared" si="115"/>
        <v>5000</v>
      </c>
      <c r="M1271" s="8">
        <f t="shared" si="116"/>
        <v>95000</v>
      </c>
      <c r="N1271" s="5">
        <v>17000</v>
      </c>
      <c r="O1271" s="8">
        <f t="shared" si="117"/>
        <v>112000</v>
      </c>
      <c r="P1271" s="2" t="s">
        <v>63</v>
      </c>
      <c r="Q1271" s="10" t="str">
        <f>VLOOKUP(A1271,Status!A:B,2,0)</f>
        <v>Completed</v>
      </c>
      <c r="R1271" s="2" t="s">
        <v>23</v>
      </c>
      <c r="S1271" s="2">
        <v>5</v>
      </c>
      <c r="T1271" s="2" t="s">
        <v>24</v>
      </c>
      <c r="U1271" s="10" t="str">
        <f t="shared" si="119"/>
        <v>Aug</v>
      </c>
      <c r="V1271" s="10">
        <f t="shared" si="118"/>
        <v>2025</v>
      </c>
      <c r="W1271" t="e" cm="1">
        <f t="array" ref="W1271">_xlfn.IFS(U1271="January",1,U1271="February",2,U1271="March",3,U1271="April",4,U1271="May",5,U1271="June",6,U1271="July",7,U1271="August",8,U1271="September",9,U1271="October",10,U1271="November",11,U1271="December",12)</f>
        <v>#N/A</v>
      </c>
    </row>
    <row r="1272" spans="1:23" ht="15.75" customHeight="1" x14ac:dyDescent="0.25">
      <c r="A1272" s="2" t="s">
        <v>2205</v>
      </c>
      <c r="B1272" s="3">
        <v>45888.760451388887</v>
      </c>
      <c r="C1272" s="2" t="s">
        <v>1887</v>
      </c>
      <c r="D1272" s="2" t="s">
        <v>238</v>
      </c>
      <c r="E1272" s="2" t="s">
        <v>250</v>
      </c>
      <c r="F1272" s="2" t="str" cm="1">
        <f t="array" ref="F1272:G1272">_xlfn.TEXTSPLIT(E1272," - ")</f>
        <v>Minyak Goreng</v>
      </c>
      <c r="G1272" s="2" t="str">
        <v>Brand C</v>
      </c>
      <c r="H1272" s="5">
        <v>18000</v>
      </c>
      <c r="I1272" s="2">
        <v>2</v>
      </c>
      <c r="J1272" s="2">
        <v>10</v>
      </c>
      <c r="K1272" s="8">
        <f t="shared" si="114"/>
        <v>36000</v>
      </c>
      <c r="L1272" s="8">
        <f t="shared" si="115"/>
        <v>3600</v>
      </c>
      <c r="M1272" s="8">
        <f t="shared" si="116"/>
        <v>32400</v>
      </c>
      <c r="N1272" s="5">
        <v>28000</v>
      </c>
      <c r="O1272" s="8">
        <f t="shared" si="117"/>
        <v>60400</v>
      </c>
      <c r="P1272" s="2" t="s">
        <v>22</v>
      </c>
      <c r="Q1272" s="10" t="str">
        <f>VLOOKUP(A1272,Status!A:B,2,0)</f>
        <v>Completed</v>
      </c>
      <c r="R1272" s="2" t="s">
        <v>30</v>
      </c>
      <c r="S1272" s="2">
        <v>1</v>
      </c>
      <c r="T1272" s="2" t="s">
        <v>24</v>
      </c>
      <c r="U1272" s="10" t="str">
        <f t="shared" si="119"/>
        <v>Aug</v>
      </c>
      <c r="V1272" s="10">
        <f t="shared" si="118"/>
        <v>2025</v>
      </c>
      <c r="W1272" t="e" cm="1">
        <f t="array" ref="W1272">_xlfn.IFS(U1272="January",1,U1272="February",2,U1272="March",3,U1272="April",4,U1272="May",5,U1272="June",6,U1272="July",7,U1272="August",8,U1272="September",9,U1272="October",10,U1272="November",11,U1272="December",12)</f>
        <v>#N/A</v>
      </c>
    </row>
    <row r="1273" spans="1:23" ht="15.75" customHeight="1" x14ac:dyDescent="0.25">
      <c r="A1273" s="2" t="s">
        <v>2206</v>
      </c>
      <c r="B1273" s="3">
        <v>45888.770277777781</v>
      </c>
      <c r="C1273" s="2" t="s">
        <v>155</v>
      </c>
      <c r="D1273" s="2" t="s">
        <v>92</v>
      </c>
      <c r="E1273" s="2" t="s">
        <v>50</v>
      </c>
      <c r="F1273" s="2" t="str" cm="1">
        <f t="array" ref="F1273:G1273">_xlfn.TEXTSPLIT(E1273," - ")</f>
        <v>Tepung Terigu</v>
      </c>
      <c r="G1273" s="2" t="str">
        <v>Brand C</v>
      </c>
      <c r="H1273" s="5">
        <v>14000</v>
      </c>
      <c r="I1273" s="2">
        <v>1</v>
      </c>
      <c r="J1273" s="2">
        <v>10</v>
      </c>
      <c r="K1273" s="8">
        <f t="shared" si="114"/>
        <v>14000</v>
      </c>
      <c r="L1273" s="8">
        <f t="shared" si="115"/>
        <v>1400</v>
      </c>
      <c r="M1273" s="8">
        <f t="shared" si="116"/>
        <v>12600</v>
      </c>
      <c r="N1273" s="5">
        <v>30000</v>
      </c>
      <c r="O1273" s="8">
        <f t="shared" si="117"/>
        <v>42600</v>
      </c>
      <c r="P1273" s="2" t="s">
        <v>63</v>
      </c>
      <c r="Q1273" s="10" t="str">
        <f>VLOOKUP(A1273,Status!A:B,2,0)</f>
        <v>Shipped</v>
      </c>
      <c r="R1273" s="2" t="s">
        <v>36</v>
      </c>
      <c r="S1273" s="2">
        <v>5</v>
      </c>
      <c r="T1273" s="2" t="s">
        <v>24</v>
      </c>
      <c r="U1273" s="10" t="str">
        <f t="shared" si="119"/>
        <v>Aug</v>
      </c>
      <c r="V1273" s="10">
        <f t="shared" si="118"/>
        <v>2025</v>
      </c>
      <c r="W1273" t="e" cm="1">
        <f t="array" ref="W1273">_xlfn.IFS(U1273="January",1,U1273="February",2,U1273="March",3,U1273="April",4,U1273="May",5,U1273="June",6,U1273="July",7,U1273="August",8,U1273="September",9,U1273="October",10,U1273="November",11,U1273="December",12)</f>
        <v>#N/A</v>
      </c>
    </row>
    <row r="1274" spans="1:23" ht="15.75" customHeight="1" x14ac:dyDescent="0.25">
      <c r="A1274" s="2" t="s">
        <v>2207</v>
      </c>
      <c r="B1274" s="3">
        <v>45889.011504629627</v>
      </c>
      <c r="C1274" s="2" t="s">
        <v>218</v>
      </c>
      <c r="D1274" s="2" t="s">
        <v>170</v>
      </c>
      <c r="E1274" s="2" t="s">
        <v>41</v>
      </c>
      <c r="F1274" s="2" t="str" cm="1">
        <f t="array" ref="F1274:G1274">_xlfn.TEXTSPLIT(E1274," - ")</f>
        <v>Garam</v>
      </c>
      <c r="G1274" s="2" t="str">
        <v>Brand A</v>
      </c>
      <c r="H1274" s="5">
        <v>4000</v>
      </c>
      <c r="I1274" s="2">
        <v>4</v>
      </c>
      <c r="J1274" s="2">
        <v>10</v>
      </c>
      <c r="K1274" s="8">
        <f t="shared" si="114"/>
        <v>16000</v>
      </c>
      <c r="L1274" s="8">
        <f t="shared" si="115"/>
        <v>1600</v>
      </c>
      <c r="M1274" s="8">
        <f t="shared" si="116"/>
        <v>14400</v>
      </c>
      <c r="N1274" s="5">
        <v>46000</v>
      </c>
      <c r="O1274" s="8">
        <f t="shared" si="117"/>
        <v>60400</v>
      </c>
      <c r="P1274" s="2" t="s">
        <v>22</v>
      </c>
      <c r="Q1274" s="10" t="str">
        <f>VLOOKUP(A1274,Status!A:B,2,0)</f>
        <v>Completed</v>
      </c>
      <c r="R1274" s="2" t="s">
        <v>46</v>
      </c>
      <c r="S1274" s="2">
        <v>5</v>
      </c>
      <c r="T1274" s="2" t="s">
        <v>24</v>
      </c>
      <c r="U1274" s="10" t="str">
        <f t="shared" si="119"/>
        <v>Aug</v>
      </c>
      <c r="V1274" s="10">
        <f t="shared" si="118"/>
        <v>2025</v>
      </c>
      <c r="W1274" t="e" cm="1">
        <f t="array" ref="W1274">_xlfn.IFS(U1274="January",1,U1274="February",2,U1274="March",3,U1274="April",4,U1274="May",5,U1274="June",6,U1274="July",7,U1274="August",8,U1274="September",9,U1274="October",10,U1274="November",11,U1274="December",12)</f>
        <v>#N/A</v>
      </c>
    </row>
    <row r="1275" spans="1:23" ht="15.75" customHeight="1" x14ac:dyDescent="0.25">
      <c r="A1275" s="2" t="s">
        <v>2208</v>
      </c>
      <c r="B1275" s="3">
        <v>45889.588425925933</v>
      </c>
      <c r="C1275" s="2" t="s">
        <v>79</v>
      </c>
      <c r="D1275" s="2" t="s">
        <v>80</v>
      </c>
      <c r="E1275" s="2" t="s">
        <v>104</v>
      </c>
      <c r="F1275" s="2" t="str" cm="1">
        <f t="array" ref="F1275:G1275">_xlfn.TEXTSPLIT(E1275," - ")</f>
        <v>Bawang Merah</v>
      </c>
      <c r="G1275" s="2" t="str">
        <v>Brand A</v>
      </c>
      <c r="H1275" s="5">
        <v>30000</v>
      </c>
      <c r="I1275" s="2">
        <v>1</v>
      </c>
      <c r="J1275" s="2">
        <v>10</v>
      </c>
      <c r="K1275" s="8">
        <f t="shared" si="114"/>
        <v>30000</v>
      </c>
      <c r="L1275" s="8">
        <f t="shared" si="115"/>
        <v>3000</v>
      </c>
      <c r="M1275" s="8">
        <f t="shared" si="116"/>
        <v>27000</v>
      </c>
      <c r="N1275" s="5">
        <v>74000</v>
      </c>
      <c r="O1275" s="8">
        <f t="shared" si="117"/>
        <v>101000</v>
      </c>
      <c r="P1275" s="2" t="s">
        <v>22</v>
      </c>
      <c r="Q1275" s="10" t="str">
        <f>VLOOKUP(A1275,Status!A:B,2,0)</f>
        <v>Shipped</v>
      </c>
      <c r="R1275" s="2" t="s">
        <v>46</v>
      </c>
      <c r="S1275" s="2">
        <v>1</v>
      </c>
      <c r="T1275" s="2" t="s">
        <v>24</v>
      </c>
      <c r="U1275" s="10" t="str">
        <f t="shared" si="119"/>
        <v>Aug</v>
      </c>
      <c r="V1275" s="10">
        <f t="shared" si="118"/>
        <v>2025</v>
      </c>
      <c r="W1275" t="e" cm="1">
        <f t="array" ref="W1275">_xlfn.IFS(U1275="January",1,U1275="February",2,U1275="March",3,U1275="April",4,U1275="May",5,U1275="June",6,U1275="July",7,U1275="August",8,U1275="September",9,U1275="October",10,U1275="November",11,U1275="December",12)</f>
        <v>#N/A</v>
      </c>
    </row>
    <row r="1276" spans="1:23" ht="15.75" customHeight="1" x14ac:dyDescent="0.25">
      <c r="A1276" s="2" t="s">
        <v>2209</v>
      </c>
      <c r="B1276" s="3">
        <v>45889.622465277767</v>
      </c>
      <c r="C1276" s="2" t="s">
        <v>2210</v>
      </c>
      <c r="D1276" s="2" t="s">
        <v>126</v>
      </c>
      <c r="E1276" s="2" t="s">
        <v>21</v>
      </c>
      <c r="F1276" s="2" t="str" cm="1">
        <f t="array" ref="F1276:G1276">_xlfn.TEXTSPLIT(E1276," - ")</f>
        <v>Daging Ayam</v>
      </c>
      <c r="G1276" s="2" t="str">
        <v>Brand C</v>
      </c>
      <c r="H1276" s="5">
        <v>45000</v>
      </c>
      <c r="I1276" s="2">
        <v>4</v>
      </c>
      <c r="J1276" s="2">
        <v>15</v>
      </c>
      <c r="K1276" s="8">
        <f t="shared" si="114"/>
        <v>180000</v>
      </c>
      <c r="L1276" s="8">
        <f t="shared" si="115"/>
        <v>27000</v>
      </c>
      <c r="M1276" s="8">
        <f t="shared" si="116"/>
        <v>153000</v>
      </c>
      <c r="N1276" s="5">
        <v>84000</v>
      </c>
      <c r="O1276" s="8">
        <f t="shared" si="117"/>
        <v>237000</v>
      </c>
      <c r="P1276" s="2" t="s">
        <v>22</v>
      </c>
      <c r="Q1276" s="10" t="str">
        <f>VLOOKUP(A1276,Status!A:B,2,0)</f>
        <v>Completed</v>
      </c>
      <c r="R1276" s="2" t="s">
        <v>46</v>
      </c>
      <c r="S1276" s="2">
        <v>1</v>
      </c>
      <c r="T1276" s="2" t="s">
        <v>24</v>
      </c>
      <c r="U1276" s="10" t="str">
        <f t="shared" si="119"/>
        <v>Aug</v>
      </c>
      <c r="V1276" s="10">
        <f t="shared" si="118"/>
        <v>2025</v>
      </c>
      <c r="W1276" t="e" cm="1">
        <f t="array" ref="W1276">_xlfn.IFS(U1276="January",1,U1276="February",2,U1276="March",3,U1276="April",4,U1276="May",5,U1276="June",6,U1276="July",7,U1276="August",8,U1276="September",9,U1276="October",10,U1276="November",11,U1276="December",12)</f>
        <v>#N/A</v>
      </c>
    </row>
    <row r="1277" spans="1:23" ht="15.75" customHeight="1" x14ac:dyDescent="0.25">
      <c r="A1277" s="2" t="s">
        <v>2211</v>
      </c>
      <c r="B1277" s="3">
        <v>45889.630648148152</v>
      </c>
      <c r="C1277" s="2" t="s">
        <v>100</v>
      </c>
      <c r="D1277" s="2" t="s">
        <v>66</v>
      </c>
      <c r="E1277" s="2" t="s">
        <v>174</v>
      </c>
      <c r="F1277" s="2" t="str" cm="1">
        <f t="array" ref="F1277:G1277">_xlfn.TEXTSPLIT(E1277," - ")</f>
        <v>Tepung Terigu</v>
      </c>
      <c r="G1277" s="2" t="str">
        <v>Brand A</v>
      </c>
      <c r="H1277" s="5">
        <v>10000</v>
      </c>
      <c r="I1277" s="2">
        <v>3</v>
      </c>
      <c r="J1277" s="2">
        <v>0</v>
      </c>
      <c r="K1277" s="8">
        <f t="shared" si="114"/>
        <v>30000</v>
      </c>
      <c r="L1277" s="8">
        <f t="shared" si="115"/>
        <v>0</v>
      </c>
      <c r="M1277" s="8">
        <f t="shared" si="116"/>
        <v>30000</v>
      </c>
      <c r="N1277" s="5">
        <v>59000</v>
      </c>
      <c r="O1277" s="8">
        <f t="shared" si="117"/>
        <v>89000</v>
      </c>
      <c r="P1277" s="2" t="s">
        <v>35</v>
      </c>
      <c r="Q1277" s="10" t="str">
        <f>VLOOKUP(A1277,Status!A:B,2,0)</f>
        <v>Pending</v>
      </c>
      <c r="R1277" s="2" t="s">
        <v>23</v>
      </c>
      <c r="S1277" s="2">
        <v>1</v>
      </c>
      <c r="T1277" s="2" t="s">
        <v>24</v>
      </c>
      <c r="U1277" s="10" t="str">
        <f t="shared" si="119"/>
        <v>Aug</v>
      </c>
      <c r="V1277" s="10">
        <f t="shared" si="118"/>
        <v>2025</v>
      </c>
      <c r="W1277" t="e" cm="1">
        <f t="array" ref="W1277">_xlfn.IFS(U1277="January",1,U1277="February",2,U1277="March",3,U1277="April",4,U1277="May",5,U1277="June",6,U1277="July",7,U1277="August",8,U1277="September",9,U1277="October",10,U1277="November",11,U1277="December",12)</f>
        <v>#N/A</v>
      </c>
    </row>
    <row r="1278" spans="1:23" ht="15.75" customHeight="1" x14ac:dyDescent="0.25">
      <c r="A1278" s="2" t="s">
        <v>2212</v>
      </c>
      <c r="B1278" s="3">
        <v>45889.908275462964</v>
      </c>
      <c r="C1278" s="2" t="s">
        <v>323</v>
      </c>
      <c r="D1278" s="2" t="s">
        <v>103</v>
      </c>
      <c r="E1278" s="2" t="s">
        <v>62</v>
      </c>
      <c r="F1278" s="2" t="str" cm="1">
        <f t="array" ref="F1278:G1278">_xlfn.TEXTSPLIT(E1278," - ")</f>
        <v>Susu Bubuk</v>
      </c>
      <c r="G1278" s="2" t="str">
        <v>Brand B</v>
      </c>
      <c r="H1278" s="5">
        <v>50000</v>
      </c>
      <c r="I1278" s="2">
        <v>2</v>
      </c>
      <c r="J1278" s="2">
        <v>10</v>
      </c>
      <c r="K1278" s="8">
        <f t="shared" si="114"/>
        <v>100000</v>
      </c>
      <c r="L1278" s="8">
        <f t="shared" si="115"/>
        <v>10000</v>
      </c>
      <c r="M1278" s="8">
        <f t="shared" si="116"/>
        <v>90000</v>
      </c>
      <c r="N1278" s="5">
        <v>85000</v>
      </c>
      <c r="O1278" s="8">
        <f t="shared" si="117"/>
        <v>175000</v>
      </c>
      <c r="P1278" s="2" t="s">
        <v>22</v>
      </c>
      <c r="Q1278" s="10" t="str">
        <f>VLOOKUP(A1278,Status!A:B,2,0)</f>
        <v>Shipped</v>
      </c>
      <c r="R1278" s="2" t="s">
        <v>23</v>
      </c>
      <c r="S1278" s="2">
        <v>2</v>
      </c>
      <c r="T1278" s="2" t="s">
        <v>24</v>
      </c>
      <c r="U1278" s="10" t="str">
        <f t="shared" si="119"/>
        <v>Aug</v>
      </c>
      <c r="V1278" s="10">
        <f t="shared" si="118"/>
        <v>2025</v>
      </c>
      <c r="W1278" t="e" cm="1">
        <f t="array" ref="W1278">_xlfn.IFS(U1278="January",1,U1278="February",2,U1278="March",3,U1278="April",4,U1278="May",5,U1278="June",6,U1278="July",7,U1278="August",8,U1278="September",9,U1278="October",10,U1278="November",11,U1278="December",12)</f>
        <v>#N/A</v>
      </c>
    </row>
    <row r="1279" spans="1:23" ht="15.75" customHeight="1" x14ac:dyDescent="0.25">
      <c r="A1279" s="2" t="s">
        <v>2213</v>
      </c>
      <c r="B1279" s="3">
        <v>45889.971701388888</v>
      </c>
      <c r="C1279" s="2" t="s">
        <v>1293</v>
      </c>
      <c r="D1279" s="2" t="s">
        <v>44</v>
      </c>
      <c r="E1279" s="2" t="s">
        <v>58</v>
      </c>
      <c r="F1279" s="2" t="str" cm="1">
        <f t="array" ref="F1279:G1279">_xlfn.TEXTSPLIT(E1279," - ")</f>
        <v>Gula Pasir</v>
      </c>
      <c r="G1279" s="2" t="str">
        <v>Brand A</v>
      </c>
      <c r="H1279" s="5">
        <v>16000</v>
      </c>
      <c r="I1279" s="2">
        <v>2</v>
      </c>
      <c r="J1279" s="2">
        <v>0</v>
      </c>
      <c r="K1279" s="8">
        <f t="shared" si="114"/>
        <v>32000</v>
      </c>
      <c r="L1279" s="8">
        <f t="shared" si="115"/>
        <v>0</v>
      </c>
      <c r="M1279" s="8">
        <f t="shared" si="116"/>
        <v>32000</v>
      </c>
      <c r="N1279" s="5">
        <v>93000</v>
      </c>
      <c r="O1279" s="8">
        <f t="shared" si="117"/>
        <v>125000</v>
      </c>
      <c r="P1279" s="2" t="s">
        <v>29</v>
      </c>
      <c r="Q1279" s="10" t="str">
        <f>VLOOKUP(A1279,Status!A:B,2,0)</f>
        <v>Completed</v>
      </c>
      <c r="R1279" s="2" t="s">
        <v>36</v>
      </c>
      <c r="S1279" s="2">
        <v>5</v>
      </c>
      <c r="T1279" s="2" t="s">
        <v>24</v>
      </c>
      <c r="U1279" s="10" t="str">
        <f t="shared" si="119"/>
        <v>Aug</v>
      </c>
      <c r="V1279" s="10">
        <f t="shared" si="118"/>
        <v>2025</v>
      </c>
      <c r="W1279" t="e" cm="1">
        <f t="array" ref="W1279">_xlfn.IFS(U1279="January",1,U1279="February",2,U1279="March",3,U1279="April",4,U1279="May",5,U1279="June",6,U1279="July",7,U1279="August",8,U1279="September",9,U1279="October",10,U1279="November",11,U1279="December",12)</f>
        <v>#N/A</v>
      </c>
    </row>
    <row r="1280" spans="1:23" ht="15.75" customHeight="1" x14ac:dyDescent="0.25">
      <c r="A1280" s="2" t="s">
        <v>2214</v>
      </c>
      <c r="B1280" s="3">
        <v>45890.084027777782</v>
      </c>
      <c r="C1280" s="2" t="s">
        <v>483</v>
      </c>
      <c r="D1280" s="2" t="s">
        <v>170</v>
      </c>
      <c r="E1280" s="2" t="s">
        <v>38</v>
      </c>
      <c r="F1280" s="2" t="str" cm="1">
        <f t="array" ref="F1280:G1280">_xlfn.TEXTSPLIT(E1280," - ")</f>
        <v>Telur Ayam</v>
      </c>
      <c r="G1280" s="2" t="str">
        <v>Brand C</v>
      </c>
      <c r="H1280" s="5">
        <v>28000</v>
      </c>
      <c r="I1280" s="2">
        <v>5</v>
      </c>
      <c r="J1280" s="2">
        <v>20</v>
      </c>
      <c r="K1280" s="8">
        <f t="shared" si="114"/>
        <v>140000</v>
      </c>
      <c r="L1280" s="8">
        <f t="shared" si="115"/>
        <v>28000</v>
      </c>
      <c r="M1280" s="8">
        <f t="shared" si="116"/>
        <v>112000</v>
      </c>
      <c r="N1280" s="5">
        <v>46000</v>
      </c>
      <c r="O1280" s="8">
        <f t="shared" si="117"/>
        <v>158000</v>
      </c>
      <c r="P1280" s="2" t="s">
        <v>35</v>
      </c>
      <c r="Q1280" s="10" t="str">
        <f>VLOOKUP(A1280,Status!A:B,2,0)</f>
        <v>Completed</v>
      </c>
      <c r="R1280" s="2" t="s">
        <v>30</v>
      </c>
      <c r="S1280" s="2">
        <v>5</v>
      </c>
      <c r="T1280" s="2" t="s">
        <v>24</v>
      </c>
      <c r="U1280" s="10" t="str">
        <f t="shared" si="119"/>
        <v>Aug</v>
      </c>
      <c r="V1280" s="10">
        <f t="shared" si="118"/>
        <v>2025</v>
      </c>
      <c r="W1280" t="e" cm="1">
        <f t="array" ref="W1280">_xlfn.IFS(U1280="January",1,U1280="February",2,U1280="March",3,U1280="April",4,U1280="May",5,U1280="June",6,U1280="July",7,U1280="August",8,U1280="September",9,U1280="October",10,U1280="November",11,U1280="December",12)</f>
        <v>#N/A</v>
      </c>
    </row>
    <row r="1281" spans="1:23" ht="15.75" customHeight="1" x14ac:dyDescent="0.25">
      <c r="A1281" s="2" t="s">
        <v>2215</v>
      </c>
      <c r="B1281" s="3">
        <v>45890.516875000001</v>
      </c>
      <c r="C1281" s="2" t="s">
        <v>729</v>
      </c>
      <c r="D1281" s="2" t="s">
        <v>74</v>
      </c>
      <c r="E1281" s="2" t="s">
        <v>41</v>
      </c>
      <c r="F1281" s="2" t="str" cm="1">
        <f t="array" ref="F1281:G1281">_xlfn.TEXTSPLIT(E1281," - ")</f>
        <v>Garam</v>
      </c>
      <c r="G1281" s="2" t="str">
        <v>Brand A</v>
      </c>
      <c r="H1281" s="5">
        <v>4000</v>
      </c>
      <c r="I1281" s="2">
        <v>5</v>
      </c>
      <c r="J1281" s="2">
        <v>20</v>
      </c>
      <c r="K1281" s="8">
        <f t="shared" si="114"/>
        <v>20000</v>
      </c>
      <c r="L1281" s="8">
        <f t="shared" si="115"/>
        <v>4000</v>
      </c>
      <c r="M1281" s="8">
        <f t="shared" si="116"/>
        <v>16000</v>
      </c>
      <c r="N1281" s="5">
        <v>87000</v>
      </c>
      <c r="O1281" s="8">
        <f t="shared" si="117"/>
        <v>103000</v>
      </c>
      <c r="P1281" s="2" t="s">
        <v>29</v>
      </c>
      <c r="Q1281" s="10" t="str">
        <f>VLOOKUP(A1281,Status!A:B,2,0)</f>
        <v>Completed</v>
      </c>
      <c r="R1281" s="2" t="s">
        <v>82</v>
      </c>
      <c r="S1281" s="2">
        <v>1</v>
      </c>
      <c r="T1281" s="2" t="s">
        <v>24</v>
      </c>
      <c r="U1281" s="10" t="str">
        <f t="shared" si="119"/>
        <v>Aug</v>
      </c>
      <c r="V1281" s="10">
        <f t="shared" si="118"/>
        <v>2025</v>
      </c>
      <c r="W1281" t="e" cm="1">
        <f t="array" ref="W1281">_xlfn.IFS(U1281="January",1,U1281="February",2,U1281="March",3,U1281="April",4,U1281="May",5,U1281="June",6,U1281="July",7,U1281="August",8,U1281="September",9,U1281="October",10,U1281="November",11,U1281="December",12)</f>
        <v>#N/A</v>
      </c>
    </row>
    <row r="1282" spans="1:23" ht="15.75" customHeight="1" x14ac:dyDescent="0.25">
      <c r="A1282" s="2" t="s">
        <v>2215</v>
      </c>
      <c r="B1282" s="3">
        <v>45890.516875000001</v>
      </c>
      <c r="C1282" s="2" t="s">
        <v>729</v>
      </c>
      <c r="D1282" s="2" t="s">
        <v>74</v>
      </c>
      <c r="E1282" s="2" t="s">
        <v>144</v>
      </c>
      <c r="F1282" s="2" t="str" cm="1">
        <f t="array" ref="F1282:G1282">_xlfn.TEXTSPLIT(E1282," - ")</f>
        <v>Gula Pasir</v>
      </c>
      <c r="G1282" s="2" t="str">
        <v>Brand C</v>
      </c>
      <c r="H1282" s="5">
        <v>18000</v>
      </c>
      <c r="I1282" s="2">
        <v>1</v>
      </c>
      <c r="J1282" s="2">
        <v>15</v>
      </c>
      <c r="K1282" s="8">
        <f t="shared" ref="K1282:K1345" si="120">H1282*I1282</f>
        <v>18000</v>
      </c>
      <c r="L1282" s="8">
        <f t="shared" ref="L1282:L1345" si="121">K1282*J1282%</f>
        <v>2700</v>
      </c>
      <c r="M1282" s="8">
        <f t="shared" ref="M1282:M1345" si="122">K1282-L1282</f>
        <v>15300</v>
      </c>
      <c r="N1282" s="5">
        <v>0</v>
      </c>
      <c r="O1282" s="8">
        <f t="shared" ref="O1282:O1345" si="123">M1282+N1282</f>
        <v>15300</v>
      </c>
      <c r="P1282" s="2" t="s">
        <v>29</v>
      </c>
      <c r="Q1282" s="10" t="str">
        <f>VLOOKUP(A1282,Status!A:B,2,0)</f>
        <v>Completed</v>
      </c>
      <c r="R1282" s="2" t="s">
        <v>82</v>
      </c>
      <c r="S1282" s="2">
        <v>1</v>
      </c>
      <c r="T1282" s="2" t="s">
        <v>24</v>
      </c>
      <c r="U1282" s="10" t="str">
        <f t="shared" si="119"/>
        <v>Aug</v>
      </c>
      <c r="V1282" s="10">
        <f t="shared" ref="V1282:V1345" si="124">YEAR(B1282)</f>
        <v>2025</v>
      </c>
      <c r="W1282" t="e" cm="1">
        <f t="array" ref="W1282">_xlfn.IFS(U1282="January",1,U1282="February",2,U1282="March",3,U1282="April",4,U1282="May",5,U1282="June",6,U1282="July",7,U1282="August",8,U1282="September",9,U1282="October",10,U1282="November",11,U1282="December",12)</f>
        <v>#N/A</v>
      </c>
    </row>
    <row r="1283" spans="1:23" ht="15.75" customHeight="1" x14ac:dyDescent="0.25">
      <c r="A1283" s="2" t="s">
        <v>2216</v>
      </c>
      <c r="B1283" s="3">
        <v>45890.546898148154</v>
      </c>
      <c r="C1283" s="2" t="s">
        <v>184</v>
      </c>
      <c r="D1283" s="2" t="s">
        <v>103</v>
      </c>
      <c r="E1283" s="2" t="s">
        <v>136</v>
      </c>
      <c r="F1283" s="2" t="str" cm="1">
        <f t="array" ref="F1283:G1283">_xlfn.TEXTSPLIT(E1283," - ")</f>
        <v>Tepung Terigu</v>
      </c>
      <c r="G1283" s="2" t="str">
        <v>Brand B</v>
      </c>
      <c r="H1283" s="5">
        <v>12000</v>
      </c>
      <c r="I1283" s="2">
        <v>5</v>
      </c>
      <c r="J1283" s="2">
        <v>10</v>
      </c>
      <c r="K1283" s="8">
        <f t="shared" si="120"/>
        <v>60000</v>
      </c>
      <c r="L1283" s="8">
        <f t="shared" si="121"/>
        <v>6000</v>
      </c>
      <c r="M1283" s="8">
        <f t="shared" si="122"/>
        <v>54000</v>
      </c>
      <c r="N1283" s="5">
        <v>85000</v>
      </c>
      <c r="O1283" s="8">
        <f t="shared" si="123"/>
        <v>139000</v>
      </c>
      <c r="P1283" s="2" t="s">
        <v>63</v>
      </c>
      <c r="Q1283" s="10" t="str">
        <f>VLOOKUP(A1283,Status!A:B,2,0)</f>
        <v>Completed</v>
      </c>
      <c r="R1283" s="2" t="s">
        <v>23</v>
      </c>
      <c r="S1283" s="2">
        <v>3</v>
      </c>
      <c r="T1283" s="2" t="s">
        <v>24</v>
      </c>
      <c r="U1283" s="10" t="str">
        <f t="shared" ref="U1283:U1346" si="125">TEXT(B1283,"MMM")</f>
        <v>Aug</v>
      </c>
      <c r="V1283" s="10">
        <f t="shared" si="124"/>
        <v>2025</v>
      </c>
      <c r="W1283" t="e" cm="1">
        <f t="array" ref="W1283">_xlfn.IFS(U1283="January",1,U1283="February",2,U1283="March",3,U1283="April",4,U1283="May",5,U1283="June",6,U1283="July",7,U1283="August",8,U1283="September",9,U1283="October",10,U1283="November",11,U1283="December",12)</f>
        <v>#N/A</v>
      </c>
    </row>
    <row r="1284" spans="1:23" ht="15.75" customHeight="1" x14ac:dyDescent="0.25">
      <c r="A1284" s="2" t="s">
        <v>2217</v>
      </c>
      <c r="B1284" s="3">
        <v>45890.834965277783</v>
      </c>
      <c r="C1284" s="2" t="s">
        <v>1979</v>
      </c>
      <c r="D1284" s="2" t="s">
        <v>103</v>
      </c>
      <c r="E1284" s="2" t="s">
        <v>45</v>
      </c>
      <c r="F1284" s="2" t="str" cm="1">
        <f t="array" ref="F1284:G1284">_xlfn.TEXTSPLIT(E1284," - ")</f>
        <v>Daging Ayam</v>
      </c>
      <c r="G1284" s="2" t="str">
        <v>Brand B</v>
      </c>
      <c r="H1284" s="5">
        <v>40000</v>
      </c>
      <c r="I1284" s="2">
        <v>2</v>
      </c>
      <c r="J1284" s="2">
        <v>5</v>
      </c>
      <c r="K1284" s="8">
        <f t="shared" si="120"/>
        <v>80000</v>
      </c>
      <c r="L1284" s="8">
        <f t="shared" si="121"/>
        <v>4000</v>
      </c>
      <c r="M1284" s="8">
        <f t="shared" si="122"/>
        <v>76000</v>
      </c>
      <c r="N1284" s="5">
        <v>85000</v>
      </c>
      <c r="O1284" s="8">
        <f t="shared" si="123"/>
        <v>161000</v>
      </c>
      <c r="P1284" s="2" t="s">
        <v>29</v>
      </c>
      <c r="Q1284" s="10" t="str">
        <f>VLOOKUP(A1284,Status!A:B,2,0)</f>
        <v>Pending</v>
      </c>
      <c r="R1284" s="2" t="s">
        <v>46</v>
      </c>
      <c r="S1284" s="2">
        <v>5</v>
      </c>
      <c r="T1284" s="2" t="s">
        <v>24</v>
      </c>
      <c r="U1284" s="10" t="str">
        <f t="shared" si="125"/>
        <v>Aug</v>
      </c>
      <c r="V1284" s="10">
        <f t="shared" si="124"/>
        <v>2025</v>
      </c>
      <c r="W1284" t="e" cm="1">
        <f t="array" ref="W1284">_xlfn.IFS(U1284="January",1,U1284="February",2,U1284="March",3,U1284="April",4,U1284="May",5,U1284="June",6,U1284="July",7,U1284="August",8,U1284="September",9,U1284="October",10,U1284="November",11,U1284="December",12)</f>
        <v>#N/A</v>
      </c>
    </row>
    <row r="1285" spans="1:23" ht="15.75" customHeight="1" x14ac:dyDescent="0.25">
      <c r="A1285" s="2" t="s">
        <v>2218</v>
      </c>
      <c r="B1285" s="3">
        <v>45891.047812500001</v>
      </c>
      <c r="C1285" s="2" t="s">
        <v>918</v>
      </c>
      <c r="D1285" s="2" t="s">
        <v>296</v>
      </c>
      <c r="E1285" s="2" t="s">
        <v>28</v>
      </c>
      <c r="F1285" s="2" t="str" cm="1">
        <f t="array" ref="F1285:G1285">_xlfn.TEXTSPLIT(E1285," - ")</f>
        <v>Garam</v>
      </c>
      <c r="G1285" s="2" t="str">
        <v>Brand B</v>
      </c>
      <c r="H1285" s="5">
        <v>5000</v>
      </c>
      <c r="I1285" s="2">
        <v>3</v>
      </c>
      <c r="J1285" s="2">
        <v>15</v>
      </c>
      <c r="K1285" s="8">
        <f t="shared" si="120"/>
        <v>15000</v>
      </c>
      <c r="L1285" s="8">
        <f t="shared" si="121"/>
        <v>2250</v>
      </c>
      <c r="M1285" s="8">
        <f t="shared" si="122"/>
        <v>12750</v>
      </c>
      <c r="N1285" s="5">
        <v>79000</v>
      </c>
      <c r="O1285" s="8">
        <f t="shared" si="123"/>
        <v>91750</v>
      </c>
      <c r="P1285" s="2" t="s">
        <v>22</v>
      </c>
      <c r="Q1285" s="10" t="str">
        <f>VLOOKUP(A1285,Status!A:B,2,0)</f>
        <v>Completed</v>
      </c>
      <c r="R1285" s="2" t="s">
        <v>30</v>
      </c>
      <c r="S1285" s="2">
        <v>4</v>
      </c>
      <c r="T1285" s="2" t="s">
        <v>24</v>
      </c>
      <c r="U1285" s="10" t="str">
        <f t="shared" si="125"/>
        <v>Aug</v>
      </c>
      <c r="V1285" s="10">
        <f t="shared" si="124"/>
        <v>2025</v>
      </c>
      <c r="W1285" t="e" cm="1">
        <f t="array" ref="W1285">_xlfn.IFS(U1285="January",1,U1285="February",2,U1285="March",3,U1285="April",4,U1285="May",5,U1285="June",6,U1285="July",7,U1285="August",8,U1285="September",9,U1285="October",10,U1285="November",11,U1285="December",12)</f>
        <v>#N/A</v>
      </c>
    </row>
    <row r="1286" spans="1:23" ht="15.75" customHeight="1" x14ac:dyDescent="0.25">
      <c r="A1286" s="2" t="s">
        <v>2219</v>
      </c>
      <c r="B1286" s="3">
        <v>45891.173958333333</v>
      </c>
      <c r="C1286" s="2" t="s">
        <v>128</v>
      </c>
      <c r="D1286" s="2" t="s">
        <v>103</v>
      </c>
      <c r="E1286" s="2" t="s">
        <v>41</v>
      </c>
      <c r="F1286" s="2" t="str" cm="1">
        <f t="array" ref="F1286:G1286">_xlfn.TEXTSPLIT(E1286," - ")</f>
        <v>Garam</v>
      </c>
      <c r="G1286" s="2" t="str">
        <v>Brand A</v>
      </c>
      <c r="H1286" s="5">
        <v>4000</v>
      </c>
      <c r="I1286" s="2">
        <v>4</v>
      </c>
      <c r="J1286" s="2">
        <v>0</v>
      </c>
      <c r="K1286" s="8">
        <f t="shared" si="120"/>
        <v>16000</v>
      </c>
      <c r="L1286" s="8">
        <f t="shared" si="121"/>
        <v>0</v>
      </c>
      <c r="M1286" s="8">
        <f t="shared" si="122"/>
        <v>16000</v>
      </c>
      <c r="N1286" s="5">
        <v>85000</v>
      </c>
      <c r="O1286" s="8">
        <f t="shared" si="123"/>
        <v>101000</v>
      </c>
      <c r="P1286" s="2" t="s">
        <v>29</v>
      </c>
      <c r="Q1286" s="10" t="str">
        <f>VLOOKUP(A1286,Status!A:B,2,0)</f>
        <v>Completed</v>
      </c>
      <c r="R1286" s="2" t="s">
        <v>23</v>
      </c>
      <c r="S1286" s="2">
        <v>4</v>
      </c>
      <c r="T1286" s="2" t="s">
        <v>37</v>
      </c>
      <c r="U1286" s="10" t="str">
        <f t="shared" si="125"/>
        <v>Aug</v>
      </c>
      <c r="V1286" s="10">
        <f t="shared" si="124"/>
        <v>2025</v>
      </c>
      <c r="W1286" t="e" cm="1">
        <f t="array" ref="W1286">_xlfn.IFS(U1286="January",1,U1286="February",2,U1286="March",3,U1286="April",4,U1286="May",5,U1286="June",6,U1286="July",7,U1286="August",8,U1286="September",9,U1286="October",10,U1286="November",11,U1286="December",12)</f>
        <v>#N/A</v>
      </c>
    </row>
    <row r="1287" spans="1:23" ht="15.75" customHeight="1" x14ac:dyDescent="0.25">
      <c r="A1287" s="2" t="s">
        <v>2219</v>
      </c>
      <c r="B1287" s="3">
        <v>45891.173958333333</v>
      </c>
      <c r="C1287" s="2" t="s">
        <v>128</v>
      </c>
      <c r="D1287" s="2" t="s">
        <v>103</v>
      </c>
      <c r="E1287" s="2" t="s">
        <v>190</v>
      </c>
      <c r="F1287" s="2" t="str" cm="1">
        <f t="array" ref="F1287:G1287">_xlfn.TEXTSPLIT(E1287," - ")</f>
        <v>Bawang Merah</v>
      </c>
      <c r="G1287" s="2" t="str">
        <v>Brand B</v>
      </c>
      <c r="H1287" s="5">
        <v>35000</v>
      </c>
      <c r="I1287" s="2">
        <v>3</v>
      </c>
      <c r="J1287" s="2">
        <v>20</v>
      </c>
      <c r="K1287" s="8">
        <f t="shared" si="120"/>
        <v>105000</v>
      </c>
      <c r="L1287" s="8">
        <f t="shared" si="121"/>
        <v>21000</v>
      </c>
      <c r="M1287" s="8">
        <f t="shared" si="122"/>
        <v>84000</v>
      </c>
      <c r="N1287" s="5">
        <v>0</v>
      </c>
      <c r="O1287" s="8">
        <f t="shared" si="123"/>
        <v>84000</v>
      </c>
      <c r="P1287" s="2" t="s">
        <v>29</v>
      </c>
      <c r="Q1287" s="10" t="str">
        <f>VLOOKUP(A1287,Status!A:B,2,0)</f>
        <v>Completed</v>
      </c>
      <c r="R1287" s="2" t="s">
        <v>23</v>
      </c>
      <c r="S1287" s="2">
        <v>4</v>
      </c>
      <c r="T1287" s="2" t="s">
        <v>37</v>
      </c>
      <c r="U1287" s="10" t="str">
        <f t="shared" si="125"/>
        <v>Aug</v>
      </c>
      <c r="V1287" s="10">
        <f t="shared" si="124"/>
        <v>2025</v>
      </c>
      <c r="W1287" t="e" cm="1">
        <f t="array" ref="W1287">_xlfn.IFS(U1287="January",1,U1287="February",2,U1287="March",3,U1287="April",4,U1287="May",5,U1287="June",6,U1287="July",7,U1287="August",8,U1287="September",9,U1287="October",10,U1287="November",11,U1287="December",12)</f>
        <v>#N/A</v>
      </c>
    </row>
    <row r="1288" spans="1:23" ht="15.75" customHeight="1" x14ac:dyDescent="0.25">
      <c r="A1288" s="2" t="s">
        <v>2220</v>
      </c>
      <c r="B1288" s="3">
        <v>45891.207881944443</v>
      </c>
      <c r="C1288" s="2" t="s">
        <v>537</v>
      </c>
      <c r="D1288" s="2" t="s">
        <v>57</v>
      </c>
      <c r="E1288" s="2" t="s">
        <v>41</v>
      </c>
      <c r="F1288" s="2" t="str" cm="1">
        <f t="array" ref="F1288:G1288">_xlfn.TEXTSPLIT(E1288," - ")</f>
        <v>Garam</v>
      </c>
      <c r="G1288" s="2" t="str">
        <v>Brand A</v>
      </c>
      <c r="H1288" s="5">
        <v>4000</v>
      </c>
      <c r="I1288" s="2">
        <v>4</v>
      </c>
      <c r="J1288" s="2">
        <v>0</v>
      </c>
      <c r="K1288" s="8">
        <f t="shared" si="120"/>
        <v>16000</v>
      </c>
      <c r="L1288" s="8">
        <f t="shared" si="121"/>
        <v>0</v>
      </c>
      <c r="M1288" s="8">
        <f t="shared" si="122"/>
        <v>16000</v>
      </c>
      <c r="N1288" s="5">
        <v>80000</v>
      </c>
      <c r="O1288" s="8">
        <f t="shared" si="123"/>
        <v>96000</v>
      </c>
      <c r="P1288" s="2" t="s">
        <v>35</v>
      </c>
      <c r="Q1288" s="10" t="str">
        <f>VLOOKUP(A1288,Status!A:B,2,0)</f>
        <v>Cancelled</v>
      </c>
      <c r="R1288" s="2" t="s">
        <v>30</v>
      </c>
      <c r="S1288" s="2">
        <v>2</v>
      </c>
      <c r="T1288" s="2" t="s">
        <v>37</v>
      </c>
      <c r="U1288" s="10" t="str">
        <f t="shared" si="125"/>
        <v>Aug</v>
      </c>
      <c r="V1288" s="10">
        <f t="shared" si="124"/>
        <v>2025</v>
      </c>
      <c r="W1288" t="e" cm="1">
        <f t="array" ref="W1288">_xlfn.IFS(U1288="January",1,U1288="February",2,U1288="March",3,U1288="April",4,U1288="May",5,U1288="June",6,U1288="July",7,U1288="August",8,U1288="September",9,U1288="October",10,U1288="November",11,U1288="December",12)</f>
        <v>#N/A</v>
      </c>
    </row>
    <row r="1289" spans="1:23" ht="15.75" customHeight="1" x14ac:dyDescent="0.25">
      <c r="A1289" s="2" t="s">
        <v>2221</v>
      </c>
      <c r="B1289" s="3">
        <v>45891.30976851852</v>
      </c>
      <c r="C1289" s="2" t="s">
        <v>464</v>
      </c>
      <c r="D1289" s="2" t="s">
        <v>296</v>
      </c>
      <c r="E1289" s="2" t="s">
        <v>250</v>
      </c>
      <c r="F1289" s="2" t="str" cm="1">
        <f t="array" ref="F1289:G1289">_xlfn.TEXTSPLIT(E1289," - ")</f>
        <v>Minyak Goreng</v>
      </c>
      <c r="G1289" s="2" t="str">
        <v>Brand C</v>
      </c>
      <c r="H1289" s="5">
        <v>18000</v>
      </c>
      <c r="I1289" s="2">
        <v>2</v>
      </c>
      <c r="J1289" s="2">
        <v>15</v>
      </c>
      <c r="K1289" s="8">
        <f t="shared" si="120"/>
        <v>36000</v>
      </c>
      <c r="L1289" s="8">
        <f t="shared" si="121"/>
        <v>5400</v>
      </c>
      <c r="M1289" s="8">
        <f t="shared" si="122"/>
        <v>30600</v>
      </c>
      <c r="N1289" s="5">
        <v>79000</v>
      </c>
      <c r="O1289" s="8">
        <f t="shared" si="123"/>
        <v>109600</v>
      </c>
      <c r="P1289" s="2" t="s">
        <v>63</v>
      </c>
      <c r="Q1289" s="10" t="str">
        <f>VLOOKUP(A1289,Status!A:B,2,0)</f>
        <v>Completed</v>
      </c>
      <c r="R1289" s="2" t="s">
        <v>46</v>
      </c>
      <c r="S1289" s="2">
        <v>3</v>
      </c>
      <c r="T1289" s="2" t="s">
        <v>37</v>
      </c>
      <c r="U1289" s="10" t="str">
        <f t="shared" si="125"/>
        <v>Aug</v>
      </c>
      <c r="V1289" s="10">
        <f t="shared" si="124"/>
        <v>2025</v>
      </c>
      <c r="W1289" t="e" cm="1">
        <f t="array" ref="W1289">_xlfn.IFS(U1289="January",1,U1289="February",2,U1289="March",3,U1289="April",4,U1289="May",5,U1289="June",6,U1289="July",7,U1289="August",8,U1289="September",9,U1289="October",10,U1289="November",11,U1289="December",12)</f>
        <v>#N/A</v>
      </c>
    </row>
    <row r="1290" spans="1:23" ht="15.75" customHeight="1" x14ac:dyDescent="0.25">
      <c r="A1290" s="2" t="s">
        <v>2222</v>
      </c>
      <c r="B1290" s="3">
        <v>45891.37023148148</v>
      </c>
      <c r="C1290" s="2" t="s">
        <v>365</v>
      </c>
      <c r="D1290" s="2" t="s">
        <v>61</v>
      </c>
      <c r="E1290" s="2" t="s">
        <v>174</v>
      </c>
      <c r="F1290" s="2" t="str" cm="1">
        <f t="array" ref="F1290:G1290">_xlfn.TEXTSPLIT(E1290," - ")</f>
        <v>Tepung Terigu</v>
      </c>
      <c r="G1290" s="2" t="str">
        <v>Brand A</v>
      </c>
      <c r="H1290" s="5">
        <v>10000</v>
      </c>
      <c r="I1290" s="2">
        <v>1</v>
      </c>
      <c r="J1290" s="2">
        <v>20</v>
      </c>
      <c r="K1290" s="8">
        <f t="shared" si="120"/>
        <v>10000</v>
      </c>
      <c r="L1290" s="8">
        <f t="shared" si="121"/>
        <v>2000</v>
      </c>
      <c r="M1290" s="8">
        <f t="shared" si="122"/>
        <v>8000</v>
      </c>
      <c r="N1290" s="5">
        <v>26000</v>
      </c>
      <c r="O1290" s="8">
        <f t="shared" si="123"/>
        <v>34000</v>
      </c>
      <c r="P1290" s="2" t="s">
        <v>22</v>
      </c>
      <c r="Q1290" s="10" t="str">
        <f>VLOOKUP(A1290,Status!A:B,2,0)</f>
        <v>Pending</v>
      </c>
      <c r="R1290" s="2" t="s">
        <v>36</v>
      </c>
      <c r="S1290" s="2">
        <v>2</v>
      </c>
      <c r="T1290" s="2" t="s">
        <v>24</v>
      </c>
      <c r="U1290" s="10" t="str">
        <f t="shared" si="125"/>
        <v>Aug</v>
      </c>
      <c r="V1290" s="10">
        <f t="shared" si="124"/>
        <v>2025</v>
      </c>
      <c r="W1290" t="e" cm="1">
        <f t="array" ref="W1290">_xlfn.IFS(U1290="January",1,U1290="February",2,U1290="March",3,U1290="April",4,U1290="May",5,U1290="June",6,U1290="July",7,U1290="August",8,U1290="September",9,U1290="October",10,U1290="November",11,U1290="December",12)</f>
        <v>#N/A</v>
      </c>
    </row>
    <row r="1291" spans="1:23" ht="15.75" customHeight="1" x14ac:dyDescent="0.25">
      <c r="A1291" s="2" t="s">
        <v>2223</v>
      </c>
      <c r="B1291" s="3">
        <v>45891.398877314823</v>
      </c>
      <c r="C1291" s="2" t="s">
        <v>254</v>
      </c>
      <c r="D1291" s="2" t="s">
        <v>61</v>
      </c>
      <c r="E1291" s="2" t="s">
        <v>138</v>
      </c>
      <c r="F1291" s="2" t="str" cm="1">
        <f t="array" ref="F1291:G1291">_xlfn.TEXTSPLIT(E1291," - ")</f>
        <v>Gula Pasir</v>
      </c>
      <c r="G1291" s="2" t="str">
        <v>Brand B</v>
      </c>
      <c r="H1291" s="5">
        <v>17000</v>
      </c>
      <c r="I1291" s="2">
        <v>4</v>
      </c>
      <c r="J1291" s="2">
        <v>0</v>
      </c>
      <c r="K1291" s="8">
        <f t="shared" si="120"/>
        <v>68000</v>
      </c>
      <c r="L1291" s="8">
        <f t="shared" si="121"/>
        <v>0</v>
      </c>
      <c r="M1291" s="8">
        <f t="shared" si="122"/>
        <v>68000</v>
      </c>
      <c r="N1291" s="5">
        <v>26000</v>
      </c>
      <c r="O1291" s="8">
        <f t="shared" si="123"/>
        <v>94000</v>
      </c>
      <c r="P1291" s="2" t="s">
        <v>29</v>
      </c>
      <c r="Q1291" s="10" t="str">
        <f>VLOOKUP(A1291,Status!A:B,2,0)</f>
        <v>Completed</v>
      </c>
      <c r="R1291" s="2" t="s">
        <v>30</v>
      </c>
      <c r="S1291" s="2">
        <v>2</v>
      </c>
      <c r="T1291" s="2" t="s">
        <v>24</v>
      </c>
      <c r="U1291" s="10" t="str">
        <f t="shared" si="125"/>
        <v>Aug</v>
      </c>
      <c r="V1291" s="10">
        <f t="shared" si="124"/>
        <v>2025</v>
      </c>
      <c r="W1291" t="e" cm="1">
        <f t="array" ref="W1291">_xlfn.IFS(U1291="January",1,U1291="February",2,U1291="March",3,U1291="April",4,U1291="May",5,U1291="June",6,U1291="July",7,U1291="August",8,U1291="September",9,U1291="October",10,U1291="November",11,U1291="December",12)</f>
        <v>#N/A</v>
      </c>
    </row>
    <row r="1292" spans="1:23" ht="15.75" customHeight="1" x14ac:dyDescent="0.25">
      <c r="A1292" s="2" t="s">
        <v>2224</v>
      </c>
      <c r="B1292" s="3">
        <v>45891.445173611108</v>
      </c>
      <c r="C1292" s="2" t="s">
        <v>1624</v>
      </c>
      <c r="D1292" s="2" t="s">
        <v>33</v>
      </c>
      <c r="E1292" s="2" t="s">
        <v>88</v>
      </c>
      <c r="F1292" s="2" t="str" cm="1">
        <f t="array" ref="F1292:G1292">_xlfn.TEXTSPLIT(E1292," - ")</f>
        <v>Beras</v>
      </c>
      <c r="G1292" s="2" t="str">
        <v>Brand A</v>
      </c>
      <c r="H1292" s="5">
        <v>14000</v>
      </c>
      <c r="I1292" s="2">
        <v>4</v>
      </c>
      <c r="J1292" s="2">
        <v>0</v>
      </c>
      <c r="K1292" s="8">
        <f t="shared" si="120"/>
        <v>56000</v>
      </c>
      <c r="L1292" s="8">
        <f t="shared" si="121"/>
        <v>0</v>
      </c>
      <c r="M1292" s="8">
        <f t="shared" si="122"/>
        <v>56000</v>
      </c>
      <c r="N1292" s="5">
        <v>76000</v>
      </c>
      <c r="O1292" s="8">
        <f t="shared" si="123"/>
        <v>132000</v>
      </c>
      <c r="P1292" s="2" t="s">
        <v>63</v>
      </c>
      <c r="Q1292" s="10" t="str">
        <f>VLOOKUP(A1292,Status!A:B,2,0)</f>
        <v>Completed</v>
      </c>
      <c r="R1292" s="2" t="s">
        <v>82</v>
      </c>
      <c r="S1292" s="2">
        <v>2</v>
      </c>
      <c r="T1292" s="2" t="s">
        <v>24</v>
      </c>
      <c r="U1292" s="10" t="str">
        <f t="shared" si="125"/>
        <v>Aug</v>
      </c>
      <c r="V1292" s="10">
        <f t="shared" si="124"/>
        <v>2025</v>
      </c>
      <c r="W1292" t="e" cm="1">
        <f t="array" ref="W1292">_xlfn.IFS(U1292="January",1,U1292="February",2,U1292="March",3,U1292="April",4,U1292="May",5,U1292="June",6,U1292="July",7,U1292="August",8,U1292="September",9,U1292="October",10,U1292="November",11,U1292="December",12)</f>
        <v>#N/A</v>
      </c>
    </row>
    <row r="1293" spans="1:23" ht="15.75" customHeight="1" x14ac:dyDescent="0.25">
      <c r="A1293" s="2" t="s">
        <v>2225</v>
      </c>
      <c r="B1293" s="3">
        <v>45891.520486111112</v>
      </c>
      <c r="C1293" s="2" t="s">
        <v>73</v>
      </c>
      <c r="D1293" s="2" t="s">
        <v>74</v>
      </c>
      <c r="E1293" s="2" t="s">
        <v>186</v>
      </c>
      <c r="F1293" s="2" t="str" cm="1">
        <f t="array" ref="F1293:G1293">_xlfn.TEXTSPLIT(E1293," - ")</f>
        <v>Susu Bubuk</v>
      </c>
      <c r="G1293" s="2" t="str">
        <v>Brand A</v>
      </c>
      <c r="H1293" s="5">
        <v>45000</v>
      </c>
      <c r="I1293" s="2">
        <v>3</v>
      </c>
      <c r="J1293" s="2">
        <v>10</v>
      </c>
      <c r="K1293" s="8">
        <f t="shared" si="120"/>
        <v>135000</v>
      </c>
      <c r="L1293" s="8">
        <f t="shared" si="121"/>
        <v>13500</v>
      </c>
      <c r="M1293" s="8">
        <f t="shared" si="122"/>
        <v>121500</v>
      </c>
      <c r="N1293" s="5">
        <v>87000</v>
      </c>
      <c r="O1293" s="8">
        <f t="shared" si="123"/>
        <v>208500</v>
      </c>
      <c r="P1293" s="2" t="s">
        <v>63</v>
      </c>
      <c r="Q1293" s="10" t="str">
        <f>VLOOKUP(A1293,Status!A:B,2,0)</f>
        <v>Pending</v>
      </c>
      <c r="R1293" s="2" t="s">
        <v>30</v>
      </c>
      <c r="S1293" s="2">
        <v>5</v>
      </c>
      <c r="T1293" s="2" t="s">
        <v>24</v>
      </c>
      <c r="U1293" s="10" t="str">
        <f t="shared" si="125"/>
        <v>Aug</v>
      </c>
      <c r="V1293" s="10">
        <f t="shared" si="124"/>
        <v>2025</v>
      </c>
      <c r="W1293" t="e" cm="1">
        <f t="array" ref="W1293">_xlfn.IFS(U1293="January",1,U1293="February",2,U1293="March",3,U1293="April",4,U1293="May",5,U1293="June",6,U1293="July",7,U1293="August",8,U1293="September",9,U1293="October",10,U1293="November",11,U1293="December",12)</f>
        <v>#N/A</v>
      </c>
    </row>
    <row r="1294" spans="1:23" ht="15.75" customHeight="1" x14ac:dyDescent="0.25">
      <c r="A1294" s="2" t="s">
        <v>2226</v>
      </c>
      <c r="B1294" s="3">
        <v>45891.725289351853</v>
      </c>
      <c r="C1294" s="2" t="s">
        <v>333</v>
      </c>
      <c r="D1294" s="2" t="s">
        <v>107</v>
      </c>
      <c r="E1294" s="2" t="s">
        <v>21</v>
      </c>
      <c r="F1294" s="2" t="str" cm="1">
        <f t="array" ref="F1294:G1294">_xlfn.TEXTSPLIT(E1294," - ")</f>
        <v>Daging Ayam</v>
      </c>
      <c r="G1294" s="2" t="str">
        <v>Brand C</v>
      </c>
      <c r="H1294" s="5">
        <v>45000</v>
      </c>
      <c r="I1294" s="2">
        <v>3</v>
      </c>
      <c r="J1294" s="2">
        <v>5</v>
      </c>
      <c r="K1294" s="8">
        <f t="shared" si="120"/>
        <v>135000</v>
      </c>
      <c r="L1294" s="8">
        <f t="shared" si="121"/>
        <v>6750</v>
      </c>
      <c r="M1294" s="8">
        <f t="shared" si="122"/>
        <v>128250</v>
      </c>
      <c r="N1294" s="5">
        <v>97000</v>
      </c>
      <c r="O1294" s="8">
        <f t="shared" si="123"/>
        <v>225250</v>
      </c>
      <c r="P1294" s="2" t="s">
        <v>29</v>
      </c>
      <c r="Q1294" s="10" t="str">
        <f>VLOOKUP(A1294,Status!A:B,2,0)</f>
        <v>Shipped</v>
      </c>
      <c r="R1294" s="2" t="s">
        <v>30</v>
      </c>
      <c r="S1294" s="2">
        <v>4</v>
      </c>
      <c r="T1294" s="2" t="s">
        <v>37</v>
      </c>
      <c r="U1294" s="10" t="str">
        <f t="shared" si="125"/>
        <v>Aug</v>
      </c>
      <c r="V1294" s="10">
        <f t="shared" si="124"/>
        <v>2025</v>
      </c>
      <c r="W1294" t="e" cm="1">
        <f t="array" ref="W1294">_xlfn.IFS(U1294="January",1,U1294="February",2,U1294="March",3,U1294="April",4,U1294="May",5,U1294="June",6,U1294="July",7,U1294="August",8,U1294="September",9,U1294="October",10,U1294="November",11,U1294="December",12)</f>
        <v>#N/A</v>
      </c>
    </row>
    <row r="1295" spans="1:23" ht="15.75" customHeight="1" x14ac:dyDescent="0.25">
      <c r="A1295" s="2" t="s">
        <v>2227</v>
      </c>
      <c r="B1295" s="3">
        <v>45891.908796296288</v>
      </c>
      <c r="C1295" s="2" t="s">
        <v>1530</v>
      </c>
      <c r="D1295" s="2" t="s">
        <v>122</v>
      </c>
      <c r="E1295" s="2" t="s">
        <v>85</v>
      </c>
      <c r="F1295" s="2" t="str" cm="1">
        <f t="array" ref="F1295:G1295">_xlfn.TEXTSPLIT(E1295," - ")</f>
        <v>Daging Ayam</v>
      </c>
      <c r="G1295" s="2" t="str">
        <v>Brand A</v>
      </c>
      <c r="H1295" s="5">
        <v>35000</v>
      </c>
      <c r="I1295" s="2">
        <v>3</v>
      </c>
      <c r="J1295" s="2">
        <v>10</v>
      </c>
      <c r="K1295" s="8">
        <f t="shared" si="120"/>
        <v>105000</v>
      </c>
      <c r="L1295" s="8">
        <f t="shared" si="121"/>
        <v>10500</v>
      </c>
      <c r="M1295" s="8">
        <f t="shared" si="122"/>
        <v>94500</v>
      </c>
      <c r="N1295" s="5">
        <v>78000</v>
      </c>
      <c r="O1295" s="8">
        <f t="shared" si="123"/>
        <v>172500</v>
      </c>
      <c r="P1295" s="2" t="s">
        <v>22</v>
      </c>
      <c r="Q1295" s="10" t="str">
        <f>VLOOKUP(A1295,Status!A:B,2,0)</f>
        <v>Completed</v>
      </c>
      <c r="R1295" s="2" t="s">
        <v>36</v>
      </c>
      <c r="S1295" s="2">
        <v>3</v>
      </c>
      <c r="T1295" s="2" t="s">
        <v>24</v>
      </c>
      <c r="U1295" s="10" t="str">
        <f t="shared" si="125"/>
        <v>Aug</v>
      </c>
      <c r="V1295" s="10">
        <f t="shared" si="124"/>
        <v>2025</v>
      </c>
      <c r="W1295" t="e" cm="1">
        <f t="array" ref="W1295">_xlfn.IFS(U1295="January",1,U1295="February",2,U1295="March",3,U1295="April",4,U1295="May",5,U1295="June",6,U1295="July",7,U1295="August",8,U1295="September",9,U1295="October",10,U1295="November",11,U1295="December",12)</f>
        <v>#N/A</v>
      </c>
    </row>
    <row r="1296" spans="1:23" ht="15.75" customHeight="1" x14ac:dyDescent="0.25">
      <c r="A1296" s="2" t="s">
        <v>2228</v>
      </c>
      <c r="B1296" s="3">
        <v>45891.950671296298</v>
      </c>
      <c r="C1296" s="2" t="s">
        <v>273</v>
      </c>
      <c r="D1296" s="2" t="s">
        <v>195</v>
      </c>
      <c r="E1296" s="2" t="s">
        <v>38</v>
      </c>
      <c r="F1296" s="2" t="str" cm="1">
        <f t="array" ref="F1296:G1296">_xlfn.TEXTSPLIT(E1296," - ")</f>
        <v>Telur Ayam</v>
      </c>
      <c r="G1296" s="2" t="str">
        <v>Brand C</v>
      </c>
      <c r="H1296" s="5">
        <v>28000</v>
      </c>
      <c r="I1296" s="2">
        <v>2</v>
      </c>
      <c r="J1296" s="2">
        <v>15</v>
      </c>
      <c r="K1296" s="8">
        <f t="shared" si="120"/>
        <v>56000</v>
      </c>
      <c r="L1296" s="8">
        <f t="shared" si="121"/>
        <v>8400</v>
      </c>
      <c r="M1296" s="8">
        <f t="shared" si="122"/>
        <v>47600</v>
      </c>
      <c r="N1296" s="5">
        <v>87000</v>
      </c>
      <c r="O1296" s="8">
        <f t="shared" si="123"/>
        <v>134600</v>
      </c>
      <c r="P1296" s="2" t="s">
        <v>35</v>
      </c>
      <c r="Q1296" s="10" t="str">
        <f>VLOOKUP(A1296,Status!A:B,2,0)</f>
        <v>Completed</v>
      </c>
      <c r="R1296" s="2" t="s">
        <v>30</v>
      </c>
      <c r="S1296" s="2">
        <v>5</v>
      </c>
      <c r="T1296" s="2" t="s">
        <v>24</v>
      </c>
      <c r="U1296" s="10" t="str">
        <f t="shared" si="125"/>
        <v>Aug</v>
      </c>
      <c r="V1296" s="10">
        <f t="shared" si="124"/>
        <v>2025</v>
      </c>
      <c r="W1296" t="e" cm="1">
        <f t="array" ref="W1296">_xlfn.IFS(U1296="January",1,U1296="February",2,U1296="March",3,U1296="April",4,U1296="May",5,U1296="June",6,U1296="July",7,U1296="August",8,U1296="September",9,U1296="October",10,U1296="November",11,U1296="December",12)</f>
        <v>#N/A</v>
      </c>
    </row>
    <row r="1297" spans="1:23" ht="15.75" customHeight="1" x14ac:dyDescent="0.25">
      <c r="A1297" s="2" t="s">
        <v>2229</v>
      </c>
      <c r="B1297" s="3">
        <v>45891.95076388889</v>
      </c>
      <c r="C1297" s="2" t="s">
        <v>453</v>
      </c>
      <c r="D1297" s="2" t="s">
        <v>27</v>
      </c>
      <c r="E1297" s="2" t="s">
        <v>174</v>
      </c>
      <c r="F1297" s="2" t="str" cm="1">
        <f t="array" ref="F1297:G1297">_xlfn.TEXTSPLIT(E1297," - ")</f>
        <v>Tepung Terigu</v>
      </c>
      <c r="G1297" s="2" t="str">
        <v>Brand A</v>
      </c>
      <c r="H1297" s="5">
        <v>10000</v>
      </c>
      <c r="I1297" s="2">
        <v>1</v>
      </c>
      <c r="J1297" s="2">
        <v>10</v>
      </c>
      <c r="K1297" s="8">
        <f t="shared" si="120"/>
        <v>10000</v>
      </c>
      <c r="L1297" s="8">
        <f t="shared" si="121"/>
        <v>1000</v>
      </c>
      <c r="M1297" s="8">
        <f t="shared" si="122"/>
        <v>9000</v>
      </c>
      <c r="N1297" s="5">
        <v>17000</v>
      </c>
      <c r="O1297" s="8">
        <f t="shared" si="123"/>
        <v>26000</v>
      </c>
      <c r="P1297" s="2" t="s">
        <v>35</v>
      </c>
      <c r="Q1297" s="10" t="str">
        <f>VLOOKUP(A1297,Status!A:B,2,0)</f>
        <v>Shipped</v>
      </c>
      <c r="R1297" s="2" t="s">
        <v>36</v>
      </c>
      <c r="S1297" s="2">
        <v>1</v>
      </c>
      <c r="T1297" s="2" t="s">
        <v>37</v>
      </c>
      <c r="U1297" s="10" t="str">
        <f t="shared" si="125"/>
        <v>Aug</v>
      </c>
      <c r="V1297" s="10">
        <f t="shared" si="124"/>
        <v>2025</v>
      </c>
      <c r="W1297" t="e" cm="1">
        <f t="array" ref="W1297">_xlfn.IFS(U1297="January",1,U1297="February",2,U1297="March",3,U1297="April",4,U1297="May",5,U1297="June",6,U1297="July",7,U1297="August",8,U1297="September",9,U1297="October",10,U1297="November",11,U1297="December",12)</f>
        <v>#N/A</v>
      </c>
    </row>
    <row r="1298" spans="1:23" ht="15.75" customHeight="1" x14ac:dyDescent="0.25">
      <c r="A1298" s="2" t="s">
        <v>2230</v>
      </c>
      <c r="B1298" s="3">
        <v>45892.011446759258</v>
      </c>
      <c r="C1298" s="2" t="s">
        <v>784</v>
      </c>
      <c r="D1298" s="2" t="s">
        <v>116</v>
      </c>
      <c r="E1298" s="2" t="s">
        <v>104</v>
      </c>
      <c r="F1298" s="2" t="str" cm="1">
        <f t="array" ref="F1298:G1298">_xlfn.TEXTSPLIT(E1298," - ")</f>
        <v>Bawang Merah</v>
      </c>
      <c r="G1298" s="2" t="str">
        <v>Brand A</v>
      </c>
      <c r="H1298" s="5">
        <v>30000</v>
      </c>
      <c r="I1298" s="2">
        <v>2</v>
      </c>
      <c r="J1298" s="2">
        <v>5</v>
      </c>
      <c r="K1298" s="8">
        <f t="shared" si="120"/>
        <v>60000</v>
      </c>
      <c r="L1298" s="8">
        <f t="shared" si="121"/>
        <v>3000</v>
      </c>
      <c r="M1298" s="8">
        <f t="shared" si="122"/>
        <v>57000</v>
      </c>
      <c r="N1298" s="5">
        <v>72000</v>
      </c>
      <c r="O1298" s="8">
        <f t="shared" si="123"/>
        <v>129000</v>
      </c>
      <c r="P1298" s="2" t="s">
        <v>29</v>
      </c>
      <c r="Q1298" s="10" t="str">
        <f>VLOOKUP(A1298,Status!A:B,2,0)</f>
        <v>Shipped</v>
      </c>
      <c r="R1298" s="2" t="s">
        <v>46</v>
      </c>
      <c r="S1298" s="2">
        <v>2</v>
      </c>
      <c r="T1298" s="2" t="s">
        <v>24</v>
      </c>
      <c r="U1298" s="10" t="str">
        <f t="shared" si="125"/>
        <v>Aug</v>
      </c>
      <c r="V1298" s="10">
        <f t="shared" si="124"/>
        <v>2025</v>
      </c>
      <c r="W1298" t="e" cm="1">
        <f t="array" ref="W1298">_xlfn.IFS(U1298="January",1,U1298="February",2,U1298="March",3,U1298="April",4,U1298="May",5,U1298="June",6,U1298="July",7,U1298="August",8,U1298="September",9,U1298="October",10,U1298="November",11,U1298="December",12)</f>
        <v>#N/A</v>
      </c>
    </row>
    <row r="1299" spans="1:23" ht="15.75" customHeight="1" x14ac:dyDescent="0.25">
      <c r="A1299" s="2" t="s">
        <v>2231</v>
      </c>
      <c r="B1299" s="3">
        <v>45892.069085648152</v>
      </c>
      <c r="C1299" s="2" t="s">
        <v>635</v>
      </c>
      <c r="D1299" s="2" t="s">
        <v>103</v>
      </c>
      <c r="E1299" s="2" t="s">
        <v>62</v>
      </c>
      <c r="F1299" s="2" t="str" cm="1">
        <f t="array" ref="F1299:G1299">_xlfn.TEXTSPLIT(E1299," - ")</f>
        <v>Susu Bubuk</v>
      </c>
      <c r="G1299" s="2" t="str">
        <v>Brand B</v>
      </c>
      <c r="H1299" s="5">
        <v>50000</v>
      </c>
      <c r="I1299" s="2">
        <v>3</v>
      </c>
      <c r="J1299" s="2">
        <v>15</v>
      </c>
      <c r="K1299" s="8">
        <f t="shared" si="120"/>
        <v>150000</v>
      </c>
      <c r="L1299" s="8">
        <f t="shared" si="121"/>
        <v>22500</v>
      </c>
      <c r="M1299" s="8">
        <f t="shared" si="122"/>
        <v>127500</v>
      </c>
      <c r="N1299" s="5">
        <v>85000</v>
      </c>
      <c r="O1299" s="8">
        <f t="shared" si="123"/>
        <v>212500</v>
      </c>
      <c r="P1299" s="2" t="s">
        <v>29</v>
      </c>
      <c r="Q1299" s="10" t="str">
        <f>VLOOKUP(A1299,Status!A:B,2,0)</f>
        <v>Pending</v>
      </c>
      <c r="R1299" s="2" t="s">
        <v>30</v>
      </c>
      <c r="S1299" s="2">
        <v>3</v>
      </c>
      <c r="T1299" s="2" t="s">
        <v>24</v>
      </c>
      <c r="U1299" s="10" t="str">
        <f t="shared" si="125"/>
        <v>Aug</v>
      </c>
      <c r="V1299" s="10">
        <f t="shared" si="124"/>
        <v>2025</v>
      </c>
      <c r="W1299" t="e" cm="1">
        <f t="array" ref="W1299">_xlfn.IFS(U1299="January",1,U1299="February",2,U1299="March",3,U1299="April",4,U1299="May",5,U1299="June",6,U1299="July",7,U1299="August",8,U1299="September",9,U1299="October",10,U1299="November",11,U1299="December",12)</f>
        <v>#N/A</v>
      </c>
    </row>
    <row r="1300" spans="1:23" ht="15.75" customHeight="1" x14ac:dyDescent="0.25">
      <c r="A1300" s="2" t="s">
        <v>2232</v>
      </c>
      <c r="B1300" s="3">
        <v>45892.498379629629</v>
      </c>
      <c r="C1300" s="2" t="s">
        <v>1122</v>
      </c>
      <c r="D1300" s="2" t="s">
        <v>33</v>
      </c>
      <c r="E1300" s="2" t="s">
        <v>186</v>
      </c>
      <c r="F1300" s="2" t="str" cm="1">
        <f t="array" ref="F1300:G1300">_xlfn.TEXTSPLIT(E1300," - ")</f>
        <v>Susu Bubuk</v>
      </c>
      <c r="G1300" s="2" t="str">
        <v>Brand A</v>
      </c>
      <c r="H1300" s="5">
        <v>45000</v>
      </c>
      <c r="I1300" s="2">
        <v>3</v>
      </c>
      <c r="J1300" s="2">
        <v>20</v>
      </c>
      <c r="K1300" s="8">
        <f t="shared" si="120"/>
        <v>135000</v>
      </c>
      <c r="L1300" s="8">
        <f t="shared" si="121"/>
        <v>27000</v>
      </c>
      <c r="M1300" s="8">
        <f t="shared" si="122"/>
        <v>108000</v>
      </c>
      <c r="N1300" s="5">
        <v>76000</v>
      </c>
      <c r="O1300" s="8">
        <f t="shared" si="123"/>
        <v>184000</v>
      </c>
      <c r="P1300" s="2" t="s">
        <v>35</v>
      </c>
      <c r="Q1300" s="10" t="str">
        <f>VLOOKUP(A1300,Status!A:B,2,0)</f>
        <v>Cancelled</v>
      </c>
      <c r="R1300" s="2" t="s">
        <v>23</v>
      </c>
      <c r="S1300" s="2">
        <v>5</v>
      </c>
      <c r="T1300" s="2" t="s">
        <v>24</v>
      </c>
      <c r="U1300" s="10" t="str">
        <f t="shared" si="125"/>
        <v>Aug</v>
      </c>
      <c r="V1300" s="10">
        <f t="shared" si="124"/>
        <v>2025</v>
      </c>
      <c r="W1300" t="e" cm="1">
        <f t="array" ref="W1300">_xlfn.IFS(U1300="January",1,U1300="February",2,U1300="March",3,U1300="April",4,U1300="May",5,U1300="June",6,U1300="July",7,U1300="August",8,U1300="September",9,U1300="October",10,U1300="November",11,U1300="December",12)</f>
        <v>#N/A</v>
      </c>
    </row>
    <row r="1301" spans="1:23" ht="15.75" customHeight="1" x14ac:dyDescent="0.25">
      <c r="A1301" s="2" t="s">
        <v>2233</v>
      </c>
      <c r="B1301" s="3">
        <v>45892.708252314813</v>
      </c>
      <c r="C1301" s="2" t="s">
        <v>877</v>
      </c>
      <c r="D1301" s="2" t="s">
        <v>107</v>
      </c>
      <c r="E1301" s="2" t="s">
        <v>50</v>
      </c>
      <c r="F1301" s="2" t="str" cm="1">
        <f t="array" ref="F1301:G1301">_xlfn.TEXTSPLIT(E1301," - ")</f>
        <v>Tepung Terigu</v>
      </c>
      <c r="G1301" s="2" t="str">
        <v>Brand C</v>
      </c>
      <c r="H1301" s="5">
        <v>14000</v>
      </c>
      <c r="I1301" s="2">
        <v>3</v>
      </c>
      <c r="J1301" s="2">
        <v>20</v>
      </c>
      <c r="K1301" s="8">
        <f t="shared" si="120"/>
        <v>42000</v>
      </c>
      <c r="L1301" s="8">
        <f t="shared" si="121"/>
        <v>8400</v>
      </c>
      <c r="M1301" s="8">
        <f t="shared" si="122"/>
        <v>33600</v>
      </c>
      <c r="N1301" s="5">
        <v>97000</v>
      </c>
      <c r="O1301" s="8">
        <f t="shared" si="123"/>
        <v>130600</v>
      </c>
      <c r="P1301" s="2" t="s">
        <v>63</v>
      </c>
      <c r="Q1301" s="10" t="str">
        <f>VLOOKUP(A1301,Status!A:B,2,0)</f>
        <v>Completed</v>
      </c>
      <c r="R1301" s="2" t="s">
        <v>30</v>
      </c>
      <c r="S1301" s="2">
        <v>3</v>
      </c>
      <c r="T1301" s="2" t="s">
        <v>24</v>
      </c>
      <c r="U1301" s="10" t="str">
        <f t="shared" si="125"/>
        <v>Aug</v>
      </c>
      <c r="V1301" s="10">
        <f t="shared" si="124"/>
        <v>2025</v>
      </c>
      <c r="W1301" t="e" cm="1">
        <f t="array" ref="W1301">_xlfn.IFS(U1301="January",1,U1301="February",2,U1301="March",3,U1301="April",4,U1301="May",5,U1301="June",6,U1301="July",7,U1301="August",8,U1301="September",9,U1301="October",10,U1301="November",11,U1301="December",12)</f>
        <v>#N/A</v>
      </c>
    </row>
    <row r="1302" spans="1:23" ht="15.75" customHeight="1" x14ac:dyDescent="0.25">
      <c r="A1302" s="2" t="s">
        <v>2234</v>
      </c>
      <c r="B1302" s="3">
        <v>45892.826863425929</v>
      </c>
      <c r="C1302" s="2" t="s">
        <v>722</v>
      </c>
      <c r="D1302" s="2" t="s">
        <v>57</v>
      </c>
      <c r="E1302" s="2" t="s">
        <v>123</v>
      </c>
      <c r="F1302" s="2" t="str" cm="1">
        <f t="array" ref="F1302:G1302">_xlfn.TEXTSPLIT(E1302," - ")</f>
        <v>Telur Ayam</v>
      </c>
      <c r="G1302" s="2" t="str">
        <v>Brand A</v>
      </c>
      <c r="H1302" s="5">
        <v>22000</v>
      </c>
      <c r="I1302" s="2">
        <v>5</v>
      </c>
      <c r="J1302" s="2">
        <v>5</v>
      </c>
      <c r="K1302" s="8">
        <f t="shared" si="120"/>
        <v>110000</v>
      </c>
      <c r="L1302" s="8">
        <f t="shared" si="121"/>
        <v>5500</v>
      </c>
      <c r="M1302" s="8">
        <f t="shared" si="122"/>
        <v>104500</v>
      </c>
      <c r="N1302" s="5">
        <v>80000</v>
      </c>
      <c r="O1302" s="8">
        <f t="shared" si="123"/>
        <v>184500</v>
      </c>
      <c r="P1302" s="2" t="s">
        <v>35</v>
      </c>
      <c r="Q1302" s="10" t="str">
        <f>VLOOKUP(A1302,Status!A:B,2,0)</f>
        <v>Shipped</v>
      </c>
      <c r="R1302" s="2" t="s">
        <v>30</v>
      </c>
      <c r="S1302" s="2">
        <v>5</v>
      </c>
      <c r="T1302" s="2" t="s">
        <v>24</v>
      </c>
      <c r="U1302" s="10" t="str">
        <f t="shared" si="125"/>
        <v>Aug</v>
      </c>
      <c r="V1302" s="10">
        <f t="shared" si="124"/>
        <v>2025</v>
      </c>
      <c r="W1302" t="e" cm="1">
        <f t="array" ref="W1302">_xlfn.IFS(U1302="January",1,U1302="February",2,U1302="March",3,U1302="April",4,U1302="May",5,U1302="June",6,U1302="July",7,U1302="August",8,U1302="September",9,U1302="October",10,U1302="November",11,U1302="December",12)</f>
        <v>#N/A</v>
      </c>
    </row>
    <row r="1303" spans="1:23" ht="15.75" customHeight="1" x14ac:dyDescent="0.25">
      <c r="A1303" s="2" t="s">
        <v>2235</v>
      </c>
      <c r="B1303" s="3">
        <v>45893.044571759259</v>
      </c>
      <c r="C1303" s="2" t="s">
        <v>19</v>
      </c>
      <c r="D1303" s="2" t="s">
        <v>20</v>
      </c>
      <c r="E1303" s="2" t="s">
        <v>104</v>
      </c>
      <c r="F1303" s="2" t="str" cm="1">
        <f t="array" ref="F1303:G1303">_xlfn.TEXTSPLIT(E1303," - ")</f>
        <v>Bawang Merah</v>
      </c>
      <c r="G1303" s="2" t="str">
        <v>Brand A</v>
      </c>
      <c r="H1303" s="5">
        <v>30000</v>
      </c>
      <c r="I1303" s="2">
        <v>4</v>
      </c>
      <c r="J1303" s="2">
        <v>0</v>
      </c>
      <c r="K1303" s="8">
        <f t="shared" si="120"/>
        <v>120000</v>
      </c>
      <c r="L1303" s="8">
        <f t="shared" si="121"/>
        <v>0</v>
      </c>
      <c r="M1303" s="8">
        <f t="shared" si="122"/>
        <v>120000</v>
      </c>
      <c r="N1303" s="5">
        <v>15000</v>
      </c>
      <c r="O1303" s="8">
        <f t="shared" si="123"/>
        <v>135000</v>
      </c>
      <c r="P1303" s="2" t="s">
        <v>35</v>
      </c>
      <c r="Q1303" s="10" t="str">
        <f>VLOOKUP(A1303,Status!A:B,2,0)</f>
        <v>Pending</v>
      </c>
      <c r="R1303" s="2" t="s">
        <v>82</v>
      </c>
      <c r="S1303" s="2">
        <v>2</v>
      </c>
      <c r="T1303" s="2" t="s">
        <v>24</v>
      </c>
      <c r="U1303" s="10" t="str">
        <f t="shared" si="125"/>
        <v>Aug</v>
      </c>
      <c r="V1303" s="10">
        <f t="shared" si="124"/>
        <v>2025</v>
      </c>
      <c r="W1303" t="e" cm="1">
        <f t="array" ref="W1303">_xlfn.IFS(U1303="January",1,U1303="February",2,U1303="March",3,U1303="April",4,U1303="May",5,U1303="June",6,U1303="July",7,U1303="August",8,U1303="September",9,U1303="October",10,U1303="November",11,U1303="December",12)</f>
        <v>#N/A</v>
      </c>
    </row>
    <row r="1304" spans="1:23" ht="15.75" customHeight="1" x14ac:dyDescent="0.25">
      <c r="A1304" s="2" t="s">
        <v>2236</v>
      </c>
      <c r="B1304" s="3">
        <v>45893.140682870369</v>
      </c>
      <c r="C1304" s="2" t="s">
        <v>335</v>
      </c>
      <c r="D1304" s="2" t="s">
        <v>80</v>
      </c>
      <c r="E1304" s="2" t="s">
        <v>62</v>
      </c>
      <c r="F1304" s="2" t="str" cm="1">
        <f t="array" ref="F1304:G1304">_xlfn.TEXTSPLIT(E1304," - ")</f>
        <v>Susu Bubuk</v>
      </c>
      <c r="G1304" s="2" t="str">
        <v>Brand B</v>
      </c>
      <c r="H1304" s="5">
        <v>50000</v>
      </c>
      <c r="I1304" s="2">
        <v>1</v>
      </c>
      <c r="J1304" s="2">
        <v>15</v>
      </c>
      <c r="K1304" s="8">
        <f t="shared" si="120"/>
        <v>50000</v>
      </c>
      <c r="L1304" s="8">
        <f t="shared" si="121"/>
        <v>7500</v>
      </c>
      <c r="M1304" s="8">
        <f t="shared" si="122"/>
        <v>42500</v>
      </c>
      <c r="N1304" s="5">
        <v>74000</v>
      </c>
      <c r="O1304" s="8">
        <f t="shared" si="123"/>
        <v>116500</v>
      </c>
      <c r="P1304" s="2" t="s">
        <v>29</v>
      </c>
      <c r="Q1304" s="10" t="str">
        <f>VLOOKUP(A1304,Status!A:B,2,0)</f>
        <v>Completed</v>
      </c>
      <c r="R1304" s="2" t="s">
        <v>82</v>
      </c>
      <c r="S1304" s="2">
        <v>1</v>
      </c>
      <c r="T1304" s="2" t="s">
        <v>37</v>
      </c>
      <c r="U1304" s="10" t="str">
        <f t="shared" si="125"/>
        <v>Aug</v>
      </c>
      <c r="V1304" s="10">
        <f t="shared" si="124"/>
        <v>2025</v>
      </c>
      <c r="W1304" t="e" cm="1">
        <f t="array" ref="W1304">_xlfn.IFS(U1304="January",1,U1304="February",2,U1304="March",3,U1304="April",4,U1304="May",5,U1304="June",6,U1304="July",7,U1304="August",8,U1304="September",9,U1304="October",10,U1304="November",11,U1304="December",12)</f>
        <v>#N/A</v>
      </c>
    </row>
    <row r="1305" spans="1:23" ht="15.75" customHeight="1" x14ac:dyDescent="0.25">
      <c r="A1305" s="2" t="s">
        <v>2237</v>
      </c>
      <c r="B1305" s="3">
        <v>45893.148043981477</v>
      </c>
      <c r="C1305" s="2" t="s">
        <v>243</v>
      </c>
      <c r="D1305" s="2" t="s">
        <v>244</v>
      </c>
      <c r="E1305" s="2" t="s">
        <v>67</v>
      </c>
      <c r="F1305" s="2" t="str" cm="1">
        <f t="array" ref="F1305:G1305">_xlfn.TEXTSPLIT(E1305," - ")</f>
        <v>Beras</v>
      </c>
      <c r="G1305" s="2" t="str">
        <v>Brand B</v>
      </c>
      <c r="H1305" s="5">
        <v>15000</v>
      </c>
      <c r="I1305" s="2">
        <v>1</v>
      </c>
      <c r="J1305" s="2">
        <v>20</v>
      </c>
      <c r="K1305" s="8">
        <f t="shared" si="120"/>
        <v>15000</v>
      </c>
      <c r="L1305" s="8">
        <f t="shared" si="121"/>
        <v>3000</v>
      </c>
      <c r="M1305" s="8">
        <f t="shared" si="122"/>
        <v>12000</v>
      </c>
      <c r="N1305" s="5">
        <v>80000</v>
      </c>
      <c r="O1305" s="8">
        <f t="shared" si="123"/>
        <v>92000</v>
      </c>
      <c r="P1305" s="2" t="s">
        <v>22</v>
      </c>
      <c r="Q1305" s="10" t="str">
        <f>VLOOKUP(A1305,Status!A:B,2,0)</f>
        <v>Pending</v>
      </c>
      <c r="R1305" s="2" t="s">
        <v>30</v>
      </c>
      <c r="S1305" s="2">
        <v>1</v>
      </c>
      <c r="T1305" s="2" t="s">
        <v>37</v>
      </c>
      <c r="U1305" s="10" t="str">
        <f t="shared" si="125"/>
        <v>Aug</v>
      </c>
      <c r="V1305" s="10">
        <f t="shared" si="124"/>
        <v>2025</v>
      </c>
      <c r="W1305" t="e" cm="1">
        <f t="array" ref="W1305">_xlfn.IFS(U1305="January",1,U1305="February",2,U1305="March",3,U1305="April",4,U1305="May",5,U1305="June",6,U1305="July",7,U1305="August",8,U1305="September",9,U1305="October",10,U1305="November",11,U1305="December",12)</f>
        <v>#N/A</v>
      </c>
    </row>
    <row r="1306" spans="1:23" ht="15.75" customHeight="1" x14ac:dyDescent="0.25">
      <c r="A1306" s="2" t="s">
        <v>2238</v>
      </c>
      <c r="B1306" s="3">
        <v>45893.550451388888</v>
      </c>
      <c r="C1306" s="2" t="s">
        <v>681</v>
      </c>
      <c r="D1306" s="2" t="s">
        <v>262</v>
      </c>
      <c r="E1306" s="2" t="s">
        <v>88</v>
      </c>
      <c r="F1306" s="2" t="str" cm="1">
        <f t="array" ref="F1306:G1306">_xlfn.TEXTSPLIT(E1306," - ")</f>
        <v>Beras</v>
      </c>
      <c r="G1306" s="2" t="str">
        <v>Brand A</v>
      </c>
      <c r="H1306" s="5">
        <v>14000</v>
      </c>
      <c r="I1306" s="2">
        <v>3</v>
      </c>
      <c r="J1306" s="2">
        <v>15</v>
      </c>
      <c r="K1306" s="8">
        <f t="shared" si="120"/>
        <v>42000</v>
      </c>
      <c r="L1306" s="8">
        <f t="shared" si="121"/>
        <v>6300</v>
      </c>
      <c r="M1306" s="8">
        <f t="shared" si="122"/>
        <v>35700</v>
      </c>
      <c r="N1306" s="5">
        <v>18000</v>
      </c>
      <c r="O1306" s="8">
        <f t="shared" si="123"/>
        <v>53700</v>
      </c>
      <c r="P1306" s="2" t="s">
        <v>63</v>
      </c>
      <c r="Q1306" s="10" t="str">
        <f>VLOOKUP(A1306,Status!A:B,2,0)</f>
        <v>Pending</v>
      </c>
      <c r="R1306" s="2" t="s">
        <v>23</v>
      </c>
      <c r="S1306" s="2">
        <v>1</v>
      </c>
      <c r="T1306" s="2" t="s">
        <v>24</v>
      </c>
      <c r="U1306" s="10" t="str">
        <f t="shared" si="125"/>
        <v>Aug</v>
      </c>
      <c r="V1306" s="10">
        <f t="shared" si="124"/>
        <v>2025</v>
      </c>
      <c r="W1306" t="e" cm="1">
        <f t="array" ref="W1306">_xlfn.IFS(U1306="January",1,U1306="February",2,U1306="March",3,U1306="April",4,U1306="May",5,U1306="June",6,U1306="July",7,U1306="August",8,U1306="September",9,U1306="October",10,U1306="November",11,U1306="December",12)</f>
        <v>#N/A</v>
      </c>
    </row>
    <row r="1307" spans="1:23" ht="15.75" customHeight="1" x14ac:dyDescent="0.25">
      <c r="A1307" s="2" t="s">
        <v>2239</v>
      </c>
      <c r="B1307" s="3">
        <v>45893.728634259263</v>
      </c>
      <c r="C1307" s="2" t="s">
        <v>246</v>
      </c>
      <c r="D1307" s="2" t="s">
        <v>238</v>
      </c>
      <c r="E1307" s="2" t="s">
        <v>123</v>
      </c>
      <c r="F1307" s="2" t="str" cm="1">
        <f t="array" ref="F1307:G1307">_xlfn.TEXTSPLIT(E1307," - ")</f>
        <v>Telur Ayam</v>
      </c>
      <c r="G1307" s="2" t="str">
        <v>Brand A</v>
      </c>
      <c r="H1307" s="5">
        <v>22000</v>
      </c>
      <c r="I1307" s="2">
        <v>5</v>
      </c>
      <c r="J1307" s="2">
        <v>15</v>
      </c>
      <c r="K1307" s="8">
        <f t="shared" si="120"/>
        <v>110000</v>
      </c>
      <c r="L1307" s="8">
        <f t="shared" si="121"/>
        <v>16500</v>
      </c>
      <c r="M1307" s="8">
        <f t="shared" si="122"/>
        <v>93500</v>
      </c>
      <c r="N1307" s="5">
        <v>28000</v>
      </c>
      <c r="O1307" s="8">
        <f t="shared" si="123"/>
        <v>121500</v>
      </c>
      <c r="P1307" s="2" t="s">
        <v>29</v>
      </c>
      <c r="Q1307" s="10" t="str">
        <f>VLOOKUP(A1307,Status!A:B,2,0)</f>
        <v>Completed</v>
      </c>
      <c r="R1307" s="2" t="s">
        <v>36</v>
      </c>
      <c r="S1307" s="2">
        <v>2</v>
      </c>
      <c r="T1307" s="2" t="s">
        <v>24</v>
      </c>
      <c r="U1307" s="10" t="str">
        <f t="shared" si="125"/>
        <v>Aug</v>
      </c>
      <c r="V1307" s="10">
        <f t="shared" si="124"/>
        <v>2025</v>
      </c>
      <c r="W1307" t="e" cm="1">
        <f t="array" ref="W1307">_xlfn.IFS(U1307="January",1,U1307="February",2,U1307="March",3,U1307="April",4,U1307="May",5,U1307="June",6,U1307="July",7,U1307="August",8,U1307="September",9,U1307="October",10,U1307="November",11,U1307="December",12)</f>
        <v>#N/A</v>
      </c>
    </row>
    <row r="1308" spans="1:23" ht="15.75" customHeight="1" x14ac:dyDescent="0.25">
      <c r="A1308" s="2" t="s">
        <v>2240</v>
      </c>
      <c r="B1308" s="3">
        <v>45893.997604166667</v>
      </c>
      <c r="C1308" s="2" t="s">
        <v>1179</v>
      </c>
      <c r="D1308" s="2" t="s">
        <v>170</v>
      </c>
      <c r="E1308" s="2" t="s">
        <v>34</v>
      </c>
      <c r="F1308" s="2" t="str" cm="1">
        <f t="array" ref="F1308:G1308">_xlfn.TEXTSPLIT(E1308," - ")</f>
        <v>Minyak Goreng</v>
      </c>
      <c r="G1308" s="2" t="str">
        <v>Brand A</v>
      </c>
      <c r="H1308" s="5">
        <v>16000</v>
      </c>
      <c r="I1308" s="2">
        <v>3</v>
      </c>
      <c r="J1308" s="2">
        <v>20</v>
      </c>
      <c r="K1308" s="8">
        <f t="shared" si="120"/>
        <v>48000</v>
      </c>
      <c r="L1308" s="8">
        <f t="shared" si="121"/>
        <v>9600</v>
      </c>
      <c r="M1308" s="8">
        <f t="shared" si="122"/>
        <v>38400</v>
      </c>
      <c r="N1308" s="5">
        <v>46000</v>
      </c>
      <c r="O1308" s="8">
        <f t="shared" si="123"/>
        <v>84400</v>
      </c>
      <c r="P1308" s="2" t="s">
        <v>35</v>
      </c>
      <c r="Q1308" s="10" t="str">
        <f>VLOOKUP(A1308,Status!A:B,2,0)</f>
        <v>Pending</v>
      </c>
      <c r="R1308" s="2" t="s">
        <v>82</v>
      </c>
      <c r="S1308" s="2">
        <v>2</v>
      </c>
      <c r="T1308" s="2" t="s">
        <v>24</v>
      </c>
      <c r="U1308" s="10" t="str">
        <f t="shared" si="125"/>
        <v>Aug</v>
      </c>
      <c r="V1308" s="10">
        <f t="shared" si="124"/>
        <v>2025</v>
      </c>
      <c r="W1308" t="e" cm="1">
        <f t="array" ref="W1308">_xlfn.IFS(U1308="January",1,U1308="February",2,U1308="March",3,U1308="April",4,U1308="May",5,U1308="June",6,U1308="July",7,U1308="August",8,U1308="September",9,U1308="October",10,U1308="November",11,U1308="December",12)</f>
        <v>#N/A</v>
      </c>
    </row>
    <row r="1309" spans="1:23" ht="15.75" customHeight="1" x14ac:dyDescent="0.25">
      <c r="A1309" s="2" t="s">
        <v>2241</v>
      </c>
      <c r="B1309" s="3">
        <v>45894.023888888893</v>
      </c>
      <c r="C1309" s="2" t="s">
        <v>389</v>
      </c>
      <c r="D1309" s="2" t="s">
        <v>182</v>
      </c>
      <c r="E1309" s="2" t="s">
        <v>41</v>
      </c>
      <c r="F1309" s="2" t="str" cm="1">
        <f t="array" ref="F1309:G1309">_xlfn.TEXTSPLIT(E1309," - ")</f>
        <v>Garam</v>
      </c>
      <c r="G1309" s="2" t="str">
        <v>Brand A</v>
      </c>
      <c r="H1309" s="5">
        <v>4000</v>
      </c>
      <c r="I1309" s="2">
        <v>4</v>
      </c>
      <c r="J1309" s="2">
        <v>0</v>
      </c>
      <c r="K1309" s="8">
        <f t="shared" si="120"/>
        <v>16000</v>
      </c>
      <c r="L1309" s="8">
        <f t="shared" si="121"/>
        <v>0</v>
      </c>
      <c r="M1309" s="8">
        <f t="shared" si="122"/>
        <v>16000</v>
      </c>
      <c r="N1309" s="5">
        <v>48000</v>
      </c>
      <c r="O1309" s="8">
        <f t="shared" si="123"/>
        <v>64000</v>
      </c>
      <c r="P1309" s="2" t="s">
        <v>35</v>
      </c>
      <c r="Q1309" s="10" t="str">
        <f>VLOOKUP(A1309,Status!A:B,2,0)</f>
        <v>Pending</v>
      </c>
      <c r="R1309" s="2" t="s">
        <v>82</v>
      </c>
      <c r="S1309" s="2">
        <v>1</v>
      </c>
      <c r="T1309" s="2" t="s">
        <v>24</v>
      </c>
      <c r="U1309" s="10" t="str">
        <f t="shared" si="125"/>
        <v>Aug</v>
      </c>
      <c r="V1309" s="10">
        <f t="shared" si="124"/>
        <v>2025</v>
      </c>
      <c r="W1309" t="e" cm="1">
        <f t="array" ref="W1309">_xlfn.IFS(U1309="January",1,U1309="February",2,U1309="March",3,U1309="April",4,U1309="May",5,U1309="June",6,U1309="July",7,U1309="August",8,U1309="September",9,U1309="October",10,U1309="November",11,U1309="December",12)</f>
        <v>#N/A</v>
      </c>
    </row>
    <row r="1310" spans="1:23" ht="15.75" customHeight="1" x14ac:dyDescent="0.25">
      <c r="A1310" s="2" t="s">
        <v>2242</v>
      </c>
      <c r="B1310" s="3">
        <v>45894.120173611111</v>
      </c>
      <c r="C1310" s="2" t="s">
        <v>155</v>
      </c>
      <c r="D1310" s="2" t="s">
        <v>92</v>
      </c>
      <c r="E1310" s="2" t="s">
        <v>41</v>
      </c>
      <c r="F1310" s="2" t="str" cm="1">
        <f t="array" ref="F1310:G1310">_xlfn.TEXTSPLIT(E1310," - ")</f>
        <v>Garam</v>
      </c>
      <c r="G1310" s="2" t="str">
        <v>Brand A</v>
      </c>
      <c r="H1310" s="5">
        <v>4000</v>
      </c>
      <c r="I1310" s="2">
        <v>2</v>
      </c>
      <c r="J1310" s="2">
        <v>0</v>
      </c>
      <c r="K1310" s="8">
        <f t="shared" si="120"/>
        <v>8000</v>
      </c>
      <c r="L1310" s="8">
        <f t="shared" si="121"/>
        <v>0</v>
      </c>
      <c r="M1310" s="8">
        <f t="shared" si="122"/>
        <v>8000</v>
      </c>
      <c r="N1310" s="5">
        <v>30000</v>
      </c>
      <c r="O1310" s="8">
        <f t="shared" si="123"/>
        <v>38000</v>
      </c>
      <c r="P1310" s="2" t="s">
        <v>35</v>
      </c>
      <c r="Q1310" s="10" t="str">
        <f>VLOOKUP(A1310,Status!A:B,2,0)</f>
        <v>Returned</v>
      </c>
      <c r="R1310" s="2" t="s">
        <v>30</v>
      </c>
      <c r="S1310" s="2">
        <v>2</v>
      </c>
      <c r="T1310" s="2" t="s">
        <v>24</v>
      </c>
      <c r="U1310" s="10" t="str">
        <f t="shared" si="125"/>
        <v>Aug</v>
      </c>
      <c r="V1310" s="10">
        <f t="shared" si="124"/>
        <v>2025</v>
      </c>
      <c r="W1310" t="e" cm="1">
        <f t="array" ref="W1310">_xlfn.IFS(U1310="January",1,U1310="February",2,U1310="March",3,U1310="April",4,U1310="May",5,U1310="June",6,U1310="July",7,U1310="August",8,U1310="September",9,U1310="October",10,U1310="November",11,U1310="December",12)</f>
        <v>#N/A</v>
      </c>
    </row>
    <row r="1311" spans="1:23" ht="15.75" customHeight="1" x14ac:dyDescent="0.25">
      <c r="A1311" s="2" t="s">
        <v>2243</v>
      </c>
      <c r="B1311" s="3">
        <v>45894.355023148149</v>
      </c>
      <c r="C1311" s="2" t="s">
        <v>1808</v>
      </c>
      <c r="D1311" s="2" t="s">
        <v>80</v>
      </c>
      <c r="E1311" s="2" t="s">
        <v>62</v>
      </c>
      <c r="F1311" s="2" t="str" cm="1">
        <f t="array" ref="F1311:G1311">_xlfn.TEXTSPLIT(E1311," - ")</f>
        <v>Susu Bubuk</v>
      </c>
      <c r="G1311" s="2" t="str">
        <v>Brand B</v>
      </c>
      <c r="H1311" s="5">
        <v>50000</v>
      </c>
      <c r="I1311" s="2">
        <v>5</v>
      </c>
      <c r="J1311" s="2">
        <v>15</v>
      </c>
      <c r="K1311" s="8">
        <f t="shared" si="120"/>
        <v>250000</v>
      </c>
      <c r="L1311" s="8">
        <f t="shared" si="121"/>
        <v>37500</v>
      </c>
      <c r="M1311" s="8">
        <f t="shared" si="122"/>
        <v>212500</v>
      </c>
      <c r="N1311" s="5">
        <v>74000</v>
      </c>
      <c r="O1311" s="8">
        <f t="shared" si="123"/>
        <v>286500</v>
      </c>
      <c r="P1311" s="2" t="s">
        <v>35</v>
      </c>
      <c r="Q1311" s="10" t="str">
        <f>VLOOKUP(A1311,Status!A:B,2,0)</f>
        <v>Shipped</v>
      </c>
      <c r="R1311" s="2" t="s">
        <v>36</v>
      </c>
      <c r="S1311" s="2">
        <v>3</v>
      </c>
      <c r="T1311" s="2" t="s">
        <v>24</v>
      </c>
      <c r="U1311" s="10" t="str">
        <f t="shared" si="125"/>
        <v>Aug</v>
      </c>
      <c r="V1311" s="10">
        <f t="shared" si="124"/>
        <v>2025</v>
      </c>
      <c r="W1311" t="e" cm="1">
        <f t="array" ref="W1311">_xlfn.IFS(U1311="January",1,U1311="February",2,U1311="March",3,U1311="April",4,U1311="May",5,U1311="June",6,U1311="July",7,U1311="August",8,U1311="September",9,U1311="October",10,U1311="November",11,U1311="December",12)</f>
        <v>#N/A</v>
      </c>
    </row>
    <row r="1312" spans="1:23" ht="15.75" customHeight="1" x14ac:dyDescent="0.25">
      <c r="A1312" s="2" t="s">
        <v>2244</v>
      </c>
      <c r="B1312" s="3">
        <v>45894.400046296287</v>
      </c>
      <c r="C1312" s="2" t="s">
        <v>302</v>
      </c>
      <c r="D1312" s="2" t="s">
        <v>74</v>
      </c>
      <c r="E1312" s="2" t="s">
        <v>45</v>
      </c>
      <c r="F1312" s="2" t="str" cm="1">
        <f t="array" ref="F1312:G1312">_xlfn.TEXTSPLIT(E1312," - ")</f>
        <v>Daging Ayam</v>
      </c>
      <c r="G1312" s="2" t="str">
        <v>Brand B</v>
      </c>
      <c r="H1312" s="5">
        <v>40000</v>
      </c>
      <c r="I1312" s="2">
        <v>4</v>
      </c>
      <c r="J1312" s="2">
        <v>5</v>
      </c>
      <c r="K1312" s="8">
        <f t="shared" si="120"/>
        <v>160000</v>
      </c>
      <c r="L1312" s="8">
        <f t="shared" si="121"/>
        <v>8000</v>
      </c>
      <c r="M1312" s="8">
        <f t="shared" si="122"/>
        <v>152000</v>
      </c>
      <c r="N1312" s="5">
        <v>87000</v>
      </c>
      <c r="O1312" s="8">
        <f t="shared" si="123"/>
        <v>239000</v>
      </c>
      <c r="P1312" s="2" t="s">
        <v>63</v>
      </c>
      <c r="Q1312" s="10" t="str">
        <f>VLOOKUP(A1312,Status!A:B,2,0)</f>
        <v>Shipped</v>
      </c>
      <c r="R1312" s="2" t="s">
        <v>23</v>
      </c>
      <c r="S1312" s="2">
        <v>2</v>
      </c>
      <c r="T1312" s="2" t="s">
        <v>24</v>
      </c>
      <c r="U1312" s="10" t="str">
        <f t="shared" si="125"/>
        <v>Aug</v>
      </c>
      <c r="V1312" s="10">
        <f t="shared" si="124"/>
        <v>2025</v>
      </c>
      <c r="W1312" t="e" cm="1">
        <f t="array" ref="W1312">_xlfn.IFS(U1312="January",1,U1312="February",2,U1312="March",3,U1312="April",4,U1312="May",5,U1312="June",6,U1312="July",7,U1312="August",8,U1312="September",9,U1312="October",10,U1312="November",11,U1312="December",12)</f>
        <v>#N/A</v>
      </c>
    </row>
    <row r="1313" spans="1:23" ht="15.75" customHeight="1" x14ac:dyDescent="0.25">
      <c r="A1313" s="2" t="s">
        <v>2245</v>
      </c>
      <c r="B1313" s="3">
        <v>45894.878587962958</v>
      </c>
      <c r="C1313" s="2" t="s">
        <v>404</v>
      </c>
      <c r="D1313" s="2" t="s">
        <v>177</v>
      </c>
      <c r="E1313" s="2" t="s">
        <v>28</v>
      </c>
      <c r="F1313" s="2" t="str" cm="1">
        <f t="array" ref="F1313:G1313">_xlfn.TEXTSPLIT(E1313," - ")</f>
        <v>Garam</v>
      </c>
      <c r="G1313" s="2" t="str">
        <v>Brand B</v>
      </c>
      <c r="H1313" s="5">
        <v>5000</v>
      </c>
      <c r="I1313" s="2">
        <v>1</v>
      </c>
      <c r="J1313" s="2">
        <v>5</v>
      </c>
      <c r="K1313" s="8">
        <f t="shared" si="120"/>
        <v>5000</v>
      </c>
      <c r="L1313" s="8">
        <f t="shared" si="121"/>
        <v>250</v>
      </c>
      <c r="M1313" s="8">
        <f t="shared" si="122"/>
        <v>4750</v>
      </c>
      <c r="N1313" s="5">
        <v>56000</v>
      </c>
      <c r="O1313" s="8">
        <f t="shared" si="123"/>
        <v>60750</v>
      </c>
      <c r="P1313" s="2" t="s">
        <v>35</v>
      </c>
      <c r="Q1313" s="10" t="str">
        <f>VLOOKUP(A1313,Status!A:B,2,0)</f>
        <v>Returned</v>
      </c>
      <c r="R1313" s="2" t="s">
        <v>36</v>
      </c>
      <c r="S1313" s="2">
        <v>4</v>
      </c>
      <c r="T1313" s="2" t="s">
        <v>37</v>
      </c>
      <c r="U1313" s="10" t="str">
        <f t="shared" si="125"/>
        <v>Aug</v>
      </c>
      <c r="V1313" s="10">
        <f t="shared" si="124"/>
        <v>2025</v>
      </c>
      <c r="W1313" t="e" cm="1">
        <f t="array" ref="W1313">_xlfn.IFS(U1313="January",1,U1313="February",2,U1313="March",3,U1313="April",4,U1313="May",5,U1313="June",6,U1313="July",7,U1313="August",8,U1313="September",9,U1313="October",10,U1313="November",11,U1313="December",12)</f>
        <v>#N/A</v>
      </c>
    </row>
    <row r="1314" spans="1:23" ht="15.75" customHeight="1" x14ac:dyDescent="0.25">
      <c r="A1314" s="2" t="s">
        <v>2245</v>
      </c>
      <c r="B1314" s="3">
        <v>45894.878587962958</v>
      </c>
      <c r="C1314" s="2" t="s">
        <v>404</v>
      </c>
      <c r="D1314" s="2" t="s">
        <v>177</v>
      </c>
      <c r="E1314" s="2" t="s">
        <v>104</v>
      </c>
      <c r="F1314" s="2" t="str" cm="1">
        <f t="array" ref="F1314:G1314">_xlfn.TEXTSPLIT(E1314," - ")</f>
        <v>Bawang Merah</v>
      </c>
      <c r="G1314" s="2" t="str">
        <v>Brand A</v>
      </c>
      <c r="H1314" s="5">
        <v>30000</v>
      </c>
      <c r="I1314" s="2">
        <v>5</v>
      </c>
      <c r="J1314" s="2">
        <v>15</v>
      </c>
      <c r="K1314" s="8">
        <f t="shared" si="120"/>
        <v>150000</v>
      </c>
      <c r="L1314" s="8">
        <f t="shared" si="121"/>
        <v>22500</v>
      </c>
      <c r="M1314" s="8">
        <f t="shared" si="122"/>
        <v>127500</v>
      </c>
      <c r="N1314" s="5">
        <v>0</v>
      </c>
      <c r="O1314" s="8">
        <f t="shared" si="123"/>
        <v>127500</v>
      </c>
      <c r="P1314" s="2" t="s">
        <v>35</v>
      </c>
      <c r="Q1314" s="10" t="str">
        <f>VLOOKUP(A1314,Status!A:B,2,0)</f>
        <v>Returned</v>
      </c>
      <c r="R1314" s="2" t="s">
        <v>36</v>
      </c>
      <c r="S1314" s="2">
        <v>4</v>
      </c>
      <c r="T1314" s="2" t="s">
        <v>37</v>
      </c>
      <c r="U1314" s="10" t="str">
        <f t="shared" si="125"/>
        <v>Aug</v>
      </c>
      <c r="V1314" s="10">
        <f t="shared" si="124"/>
        <v>2025</v>
      </c>
      <c r="W1314" t="e" cm="1">
        <f t="array" ref="W1314">_xlfn.IFS(U1314="January",1,U1314="February",2,U1314="March",3,U1314="April",4,U1314="May",5,U1314="June",6,U1314="July",7,U1314="August",8,U1314="September",9,U1314="October",10,U1314="November",11,U1314="December",12)</f>
        <v>#N/A</v>
      </c>
    </row>
    <row r="1315" spans="1:23" ht="15.75" customHeight="1" x14ac:dyDescent="0.25">
      <c r="A1315" s="2" t="s">
        <v>2246</v>
      </c>
      <c r="B1315" s="3">
        <v>45895.244155092587</v>
      </c>
      <c r="C1315" s="2" t="s">
        <v>381</v>
      </c>
      <c r="D1315" s="2" t="s">
        <v>103</v>
      </c>
      <c r="E1315" s="2" t="s">
        <v>50</v>
      </c>
      <c r="F1315" s="2" t="str" cm="1">
        <f t="array" ref="F1315:G1315">_xlfn.TEXTSPLIT(E1315," - ")</f>
        <v>Tepung Terigu</v>
      </c>
      <c r="G1315" s="2" t="str">
        <v>Brand C</v>
      </c>
      <c r="H1315" s="5">
        <v>14000</v>
      </c>
      <c r="I1315" s="2">
        <v>3</v>
      </c>
      <c r="J1315" s="2">
        <v>0</v>
      </c>
      <c r="K1315" s="8">
        <f t="shared" si="120"/>
        <v>42000</v>
      </c>
      <c r="L1315" s="8">
        <f t="shared" si="121"/>
        <v>0</v>
      </c>
      <c r="M1315" s="8">
        <f t="shared" si="122"/>
        <v>42000</v>
      </c>
      <c r="N1315" s="5">
        <v>85000</v>
      </c>
      <c r="O1315" s="8">
        <f t="shared" si="123"/>
        <v>127000</v>
      </c>
      <c r="P1315" s="2" t="s">
        <v>35</v>
      </c>
      <c r="Q1315" s="10" t="str">
        <f>VLOOKUP(A1315,Status!A:B,2,0)</f>
        <v>Completed</v>
      </c>
      <c r="R1315" s="2" t="s">
        <v>82</v>
      </c>
      <c r="S1315" s="2">
        <v>3</v>
      </c>
      <c r="T1315" s="2" t="s">
        <v>24</v>
      </c>
      <c r="U1315" s="10" t="str">
        <f t="shared" si="125"/>
        <v>Aug</v>
      </c>
      <c r="V1315" s="10">
        <f t="shared" si="124"/>
        <v>2025</v>
      </c>
      <c r="W1315" t="e" cm="1">
        <f t="array" ref="W1315">_xlfn.IFS(U1315="January",1,U1315="February",2,U1315="March",3,U1315="April",4,U1315="May",5,U1315="June",6,U1315="July",7,U1315="August",8,U1315="September",9,U1315="October",10,U1315="November",11,U1315="December",12)</f>
        <v>#N/A</v>
      </c>
    </row>
    <row r="1316" spans="1:23" ht="15.75" customHeight="1" x14ac:dyDescent="0.25">
      <c r="A1316" s="2" t="s">
        <v>2247</v>
      </c>
      <c r="B1316" s="3">
        <v>45895.384351851862</v>
      </c>
      <c r="C1316" s="2" t="s">
        <v>2210</v>
      </c>
      <c r="D1316" s="2" t="s">
        <v>126</v>
      </c>
      <c r="E1316" s="2" t="s">
        <v>75</v>
      </c>
      <c r="F1316" s="2" t="str" cm="1">
        <f t="array" ref="F1316:G1316">_xlfn.TEXTSPLIT(E1316," - ")</f>
        <v>Susu Bubuk</v>
      </c>
      <c r="G1316" s="2" t="str">
        <v>Brand C</v>
      </c>
      <c r="H1316" s="5">
        <v>55000</v>
      </c>
      <c r="I1316" s="2">
        <v>5</v>
      </c>
      <c r="J1316" s="2">
        <v>15</v>
      </c>
      <c r="K1316" s="8">
        <f t="shared" si="120"/>
        <v>275000</v>
      </c>
      <c r="L1316" s="8">
        <f t="shared" si="121"/>
        <v>41250</v>
      </c>
      <c r="M1316" s="8">
        <f t="shared" si="122"/>
        <v>233750</v>
      </c>
      <c r="N1316" s="5">
        <v>84000</v>
      </c>
      <c r="O1316" s="8">
        <f t="shared" si="123"/>
        <v>317750</v>
      </c>
      <c r="P1316" s="2" t="s">
        <v>63</v>
      </c>
      <c r="Q1316" s="10" t="str">
        <f>VLOOKUP(A1316,Status!A:B,2,0)</f>
        <v>Completed</v>
      </c>
      <c r="R1316" s="2" t="s">
        <v>30</v>
      </c>
      <c r="S1316" s="2">
        <v>5</v>
      </c>
      <c r="T1316" s="2" t="s">
        <v>24</v>
      </c>
      <c r="U1316" s="10" t="str">
        <f t="shared" si="125"/>
        <v>Aug</v>
      </c>
      <c r="V1316" s="10">
        <f t="shared" si="124"/>
        <v>2025</v>
      </c>
      <c r="W1316" t="e" cm="1">
        <f t="array" ref="W1316">_xlfn.IFS(U1316="January",1,U1316="February",2,U1316="March",3,U1316="April",4,U1316="May",5,U1316="June",6,U1316="July",7,U1316="August",8,U1316="September",9,U1316="October",10,U1316="November",11,U1316="December",12)</f>
        <v>#N/A</v>
      </c>
    </row>
    <row r="1317" spans="1:23" ht="15.75" customHeight="1" x14ac:dyDescent="0.25">
      <c r="A1317" s="2" t="s">
        <v>2248</v>
      </c>
      <c r="B1317" s="3">
        <v>45895.449733796297</v>
      </c>
      <c r="C1317" s="2" t="s">
        <v>115</v>
      </c>
      <c r="D1317" s="2" t="s">
        <v>116</v>
      </c>
      <c r="E1317" s="2" t="s">
        <v>250</v>
      </c>
      <c r="F1317" s="2" t="str" cm="1">
        <f t="array" ref="F1317:G1317">_xlfn.TEXTSPLIT(E1317," - ")</f>
        <v>Minyak Goreng</v>
      </c>
      <c r="G1317" s="2" t="str">
        <v>Brand C</v>
      </c>
      <c r="H1317" s="5">
        <v>18000</v>
      </c>
      <c r="I1317" s="2">
        <v>1</v>
      </c>
      <c r="J1317" s="2">
        <v>5</v>
      </c>
      <c r="K1317" s="8">
        <f t="shared" si="120"/>
        <v>18000</v>
      </c>
      <c r="L1317" s="8">
        <f t="shared" si="121"/>
        <v>900</v>
      </c>
      <c r="M1317" s="8">
        <f t="shared" si="122"/>
        <v>17100</v>
      </c>
      <c r="N1317" s="5">
        <v>72000</v>
      </c>
      <c r="O1317" s="8">
        <f t="shared" si="123"/>
        <v>89100</v>
      </c>
      <c r="P1317" s="2" t="s">
        <v>63</v>
      </c>
      <c r="Q1317" s="10" t="str">
        <f>VLOOKUP(A1317,Status!A:B,2,0)</f>
        <v>Pending</v>
      </c>
      <c r="R1317" s="2" t="s">
        <v>30</v>
      </c>
      <c r="S1317" s="2">
        <v>2</v>
      </c>
      <c r="T1317" s="2" t="s">
        <v>24</v>
      </c>
      <c r="U1317" s="10" t="str">
        <f t="shared" si="125"/>
        <v>Aug</v>
      </c>
      <c r="V1317" s="10">
        <f t="shared" si="124"/>
        <v>2025</v>
      </c>
      <c r="W1317" t="e" cm="1">
        <f t="array" ref="W1317">_xlfn.IFS(U1317="January",1,U1317="February",2,U1317="March",3,U1317="April",4,U1317="May",5,U1317="June",6,U1317="July",7,U1317="August",8,U1317="September",9,U1317="October",10,U1317="November",11,U1317="December",12)</f>
        <v>#N/A</v>
      </c>
    </row>
    <row r="1318" spans="1:23" ht="15.75" customHeight="1" x14ac:dyDescent="0.25">
      <c r="A1318" s="2" t="s">
        <v>2249</v>
      </c>
      <c r="B1318" s="3">
        <v>45895.510891203703</v>
      </c>
      <c r="C1318" s="2" t="s">
        <v>834</v>
      </c>
      <c r="D1318" s="2" t="s">
        <v>177</v>
      </c>
      <c r="E1318" s="2" t="s">
        <v>250</v>
      </c>
      <c r="F1318" s="2" t="str" cm="1">
        <f t="array" ref="F1318:G1318">_xlfn.TEXTSPLIT(E1318," - ")</f>
        <v>Minyak Goreng</v>
      </c>
      <c r="G1318" s="2" t="str">
        <v>Brand C</v>
      </c>
      <c r="H1318" s="5">
        <v>18000</v>
      </c>
      <c r="I1318" s="2">
        <v>1</v>
      </c>
      <c r="J1318" s="2">
        <v>20</v>
      </c>
      <c r="K1318" s="8">
        <f t="shared" si="120"/>
        <v>18000</v>
      </c>
      <c r="L1318" s="8">
        <f t="shared" si="121"/>
        <v>3600</v>
      </c>
      <c r="M1318" s="8">
        <f t="shared" si="122"/>
        <v>14400</v>
      </c>
      <c r="N1318" s="5">
        <v>56000</v>
      </c>
      <c r="O1318" s="8">
        <f t="shared" si="123"/>
        <v>70400</v>
      </c>
      <c r="P1318" s="2" t="s">
        <v>35</v>
      </c>
      <c r="Q1318" s="10" t="str">
        <f>VLOOKUP(A1318,Status!A:B,2,0)</f>
        <v>Shipped</v>
      </c>
      <c r="R1318" s="2" t="s">
        <v>36</v>
      </c>
      <c r="S1318" s="2">
        <v>4</v>
      </c>
      <c r="T1318" s="2" t="s">
        <v>37</v>
      </c>
      <c r="U1318" s="10" t="str">
        <f t="shared" si="125"/>
        <v>Aug</v>
      </c>
      <c r="V1318" s="10">
        <f t="shared" si="124"/>
        <v>2025</v>
      </c>
      <c r="W1318" t="e" cm="1">
        <f t="array" ref="W1318">_xlfn.IFS(U1318="January",1,U1318="February",2,U1318="March",3,U1318="April",4,U1318="May",5,U1318="June",6,U1318="July",7,U1318="August",8,U1318="September",9,U1318="October",10,U1318="November",11,U1318="December",12)</f>
        <v>#N/A</v>
      </c>
    </row>
    <row r="1319" spans="1:23" ht="15.75" customHeight="1" x14ac:dyDescent="0.25">
      <c r="A1319" s="2" t="s">
        <v>2250</v>
      </c>
      <c r="B1319" s="3">
        <v>45896.552581018521</v>
      </c>
      <c r="C1319" s="2" t="s">
        <v>582</v>
      </c>
      <c r="D1319" s="2" t="s">
        <v>435</v>
      </c>
      <c r="E1319" s="2" t="s">
        <v>110</v>
      </c>
      <c r="F1319" s="2" t="str" cm="1">
        <f t="array" ref="F1319:G1319">_xlfn.TEXTSPLIT(E1319," - ")</f>
        <v>Garam</v>
      </c>
      <c r="G1319" s="2" t="str">
        <v>Brand C</v>
      </c>
      <c r="H1319" s="5">
        <v>6000</v>
      </c>
      <c r="I1319" s="2">
        <v>4</v>
      </c>
      <c r="J1319" s="2">
        <v>20</v>
      </c>
      <c r="K1319" s="8">
        <f t="shared" si="120"/>
        <v>24000</v>
      </c>
      <c r="L1319" s="8">
        <f t="shared" si="121"/>
        <v>4800</v>
      </c>
      <c r="M1319" s="8">
        <f t="shared" si="122"/>
        <v>19200</v>
      </c>
      <c r="N1319" s="5">
        <v>67000</v>
      </c>
      <c r="O1319" s="8">
        <f t="shared" si="123"/>
        <v>86200</v>
      </c>
      <c r="P1319" s="2" t="s">
        <v>63</v>
      </c>
      <c r="Q1319" s="10" t="str">
        <f>VLOOKUP(A1319,Status!A:B,2,0)</f>
        <v>Shipped</v>
      </c>
      <c r="R1319" s="2" t="s">
        <v>46</v>
      </c>
      <c r="S1319" s="2">
        <v>1</v>
      </c>
      <c r="T1319" s="2" t="s">
        <v>24</v>
      </c>
      <c r="U1319" s="10" t="str">
        <f t="shared" si="125"/>
        <v>Aug</v>
      </c>
      <c r="V1319" s="10">
        <f t="shared" si="124"/>
        <v>2025</v>
      </c>
      <c r="W1319" t="e" cm="1">
        <f t="array" ref="W1319">_xlfn.IFS(U1319="January",1,U1319="February",2,U1319="March",3,U1319="April",4,U1319="May",5,U1319="June",6,U1319="July",7,U1319="August",8,U1319="September",9,U1319="October",10,U1319="November",11,U1319="December",12)</f>
        <v>#N/A</v>
      </c>
    </row>
    <row r="1320" spans="1:23" ht="15.75" customHeight="1" x14ac:dyDescent="0.25">
      <c r="A1320" s="2" t="s">
        <v>2251</v>
      </c>
      <c r="B1320" s="3">
        <v>45896.674687500003</v>
      </c>
      <c r="C1320" s="2" t="s">
        <v>570</v>
      </c>
      <c r="D1320" s="2" t="s">
        <v>80</v>
      </c>
      <c r="E1320" s="2" t="s">
        <v>45</v>
      </c>
      <c r="F1320" s="2" t="str" cm="1">
        <f t="array" ref="F1320:G1320">_xlfn.TEXTSPLIT(E1320," - ")</f>
        <v>Daging Ayam</v>
      </c>
      <c r="G1320" s="2" t="str">
        <v>Brand B</v>
      </c>
      <c r="H1320" s="5">
        <v>40000</v>
      </c>
      <c r="I1320" s="2">
        <v>5</v>
      </c>
      <c r="J1320" s="2">
        <v>15</v>
      </c>
      <c r="K1320" s="8">
        <f t="shared" si="120"/>
        <v>200000</v>
      </c>
      <c r="L1320" s="8">
        <f t="shared" si="121"/>
        <v>30000</v>
      </c>
      <c r="M1320" s="8">
        <f t="shared" si="122"/>
        <v>170000</v>
      </c>
      <c r="N1320" s="5">
        <v>74000</v>
      </c>
      <c r="O1320" s="8">
        <f t="shared" si="123"/>
        <v>244000</v>
      </c>
      <c r="P1320" s="2" t="s">
        <v>29</v>
      </c>
      <c r="Q1320" s="10" t="str">
        <f>VLOOKUP(A1320,Status!A:B,2,0)</f>
        <v>Pending</v>
      </c>
      <c r="R1320" s="2" t="s">
        <v>36</v>
      </c>
      <c r="S1320" s="2">
        <v>1</v>
      </c>
      <c r="T1320" s="2" t="s">
        <v>24</v>
      </c>
      <c r="U1320" s="10" t="str">
        <f t="shared" si="125"/>
        <v>Aug</v>
      </c>
      <c r="V1320" s="10">
        <f t="shared" si="124"/>
        <v>2025</v>
      </c>
      <c r="W1320" t="e" cm="1">
        <f t="array" ref="W1320">_xlfn.IFS(U1320="January",1,U1320="February",2,U1320="March",3,U1320="April",4,U1320="May",5,U1320="June",6,U1320="July",7,U1320="August",8,U1320="September",9,U1320="October",10,U1320="November",11,U1320="December",12)</f>
        <v>#N/A</v>
      </c>
    </row>
    <row r="1321" spans="1:23" ht="15.75" customHeight="1" x14ac:dyDescent="0.25">
      <c r="A1321" s="2" t="s">
        <v>2252</v>
      </c>
      <c r="B1321" s="3">
        <v>45897.089432870373</v>
      </c>
      <c r="C1321" s="2" t="s">
        <v>549</v>
      </c>
      <c r="D1321" s="2" t="s">
        <v>107</v>
      </c>
      <c r="E1321" s="2" t="s">
        <v>174</v>
      </c>
      <c r="F1321" s="2" t="str" cm="1">
        <f t="array" ref="F1321:G1321">_xlfn.TEXTSPLIT(E1321," - ")</f>
        <v>Tepung Terigu</v>
      </c>
      <c r="G1321" s="2" t="str">
        <v>Brand A</v>
      </c>
      <c r="H1321" s="5">
        <v>10000</v>
      </c>
      <c r="I1321" s="2">
        <v>3</v>
      </c>
      <c r="J1321" s="2">
        <v>5</v>
      </c>
      <c r="K1321" s="8">
        <f t="shared" si="120"/>
        <v>30000</v>
      </c>
      <c r="L1321" s="8">
        <f t="shared" si="121"/>
        <v>1500</v>
      </c>
      <c r="M1321" s="8">
        <f t="shared" si="122"/>
        <v>28500</v>
      </c>
      <c r="N1321" s="5">
        <v>97000</v>
      </c>
      <c r="O1321" s="8">
        <f t="shared" si="123"/>
        <v>125500</v>
      </c>
      <c r="P1321" s="2" t="s">
        <v>29</v>
      </c>
      <c r="Q1321" s="10" t="str">
        <f>VLOOKUP(A1321,Status!A:B,2,0)</f>
        <v>Completed</v>
      </c>
      <c r="R1321" s="2" t="s">
        <v>30</v>
      </c>
      <c r="S1321" s="2">
        <v>4</v>
      </c>
      <c r="T1321" s="2" t="s">
        <v>24</v>
      </c>
      <c r="U1321" s="10" t="str">
        <f t="shared" si="125"/>
        <v>Aug</v>
      </c>
      <c r="V1321" s="10">
        <f t="shared" si="124"/>
        <v>2025</v>
      </c>
      <c r="W1321" t="e" cm="1">
        <f t="array" ref="W1321">_xlfn.IFS(U1321="January",1,U1321="February",2,U1321="March",3,U1321="April",4,U1321="May",5,U1321="June",6,U1321="July",7,U1321="August",8,U1321="September",9,U1321="October",10,U1321="November",11,U1321="December",12)</f>
        <v>#N/A</v>
      </c>
    </row>
    <row r="1322" spans="1:23" ht="15.75" customHeight="1" x14ac:dyDescent="0.25">
      <c r="A1322" s="2" t="s">
        <v>2253</v>
      </c>
      <c r="B1322" s="3">
        <v>45897.186666666668</v>
      </c>
      <c r="C1322" s="2" t="s">
        <v>184</v>
      </c>
      <c r="D1322" s="2" t="s">
        <v>103</v>
      </c>
      <c r="E1322" s="2" t="s">
        <v>41</v>
      </c>
      <c r="F1322" s="2" t="str" cm="1">
        <f t="array" ref="F1322:G1322">_xlfn.TEXTSPLIT(E1322," - ")</f>
        <v>Garam</v>
      </c>
      <c r="G1322" s="2" t="str">
        <v>Brand A</v>
      </c>
      <c r="H1322" s="5">
        <v>4000</v>
      </c>
      <c r="I1322" s="2">
        <v>1</v>
      </c>
      <c r="J1322" s="2">
        <v>10</v>
      </c>
      <c r="K1322" s="8">
        <f t="shared" si="120"/>
        <v>4000</v>
      </c>
      <c r="L1322" s="8">
        <f t="shared" si="121"/>
        <v>400</v>
      </c>
      <c r="M1322" s="8">
        <f t="shared" si="122"/>
        <v>3600</v>
      </c>
      <c r="N1322" s="5">
        <v>85000</v>
      </c>
      <c r="O1322" s="8">
        <f t="shared" si="123"/>
        <v>88600</v>
      </c>
      <c r="P1322" s="2" t="s">
        <v>29</v>
      </c>
      <c r="Q1322" s="10" t="str">
        <f>VLOOKUP(A1322,Status!A:B,2,0)</f>
        <v>Pending</v>
      </c>
      <c r="R1322" s="2" t="s">
        <v>82</v>
      </c>
      <c r="S1322" s="2">
        <v>1</v>
      </c>
      <c r="T1322" s="2" t="s">
        <v>24</v>
      </c>
      <c r="U1322" s="10" t="str">
        <f t="shared" si="125"/>
        <v>Aug</v>
      </c>
      <c r="V1322" s="10">
        <f t="shared" si="124"/>
        <v>2025</v>
      </c>
      <c r="W1322" t="e" cm="1">
        <f t="array" ref="W1322">_xlfn.IFS(U1322="January",1,U1322="February",2,U1322="March",3,U1322="April",4,U1322="May",5,U1322="June",6,U1322="July",7,U1322="August",8,U1322="September",9,U1322="October",10,U1322="November",11,U1322="December",12)</f>
        <v>#N/A</v>
      </c>
    </row>
    <row r="1323" spans="1:23" ht="15.75" customHeight="1" x14ac:dyDescent="0.25">
      <c r="A1323" s="2" t="s">
        <v>2254</v>
      </c>
      <c r="B1323" s="3">
        <v>45897.537870370368</v>
      </c>
      <c r="C1323" s="2" t="s">
        <v>321</v>
      </c>
      <c r="D1323" s="2" t="s">
        <v>80</v>
      </c>
      <c r="E1323" s="2" t="s">
        <v>21</v>
      </c>
      <c r="F1323" s="2" t="str" cm="1">
        <f t="array" ref="F1323:G1323">_xlfn.TEXTSPLIT(E1323," - ")</f>
        <v>Daging Ayam</v>
      </c>
      <c r="G1323" s="2" t="str">
        <v>Brand C</v>
      </c>
      <c r="H1323" s="5">
        <v>45000</v>
      </c>
      <c r="I1323" s="2">
        <v>2</v>
      </c>
      <c r="J1323" s="2">
        <v>5</v>
      </c>
      <c r="K1323" s="8">
        <f t="shared" si="120"/>
        <v>90000</v>
      </c>
      <c r="L1323" s="8">
        <f t="shared" si="121"/>
        <v>4500</v>
      </c>
      <c r="M1323" s="8">
        <f t="shared" si="122"/>
        <v>85500</v>
      </c>
      <c r="N1323" s="5">
        <v>74000</v>
      </c>
      <c r="O1323" s="8">
        <f t="shared" si="123"/>
        <v>159500</v>
      </c>
      <c r="P1323" s="2" t="s">
        <v>63</v>
      </c>
      <c r="Q1323" s="10" t="str">
        <f>VLOOKUP(A1323,Status!A:B,2,0)</f>
        <v>Pending</v>
      </c>
      <c r="R1323" s="2" t="s">
        <v>23</v>
      </c>
      <c r="S1323" s="2">
        <v>3</v>
      </c>
      <c r="T1323" s="2" t="s">
        <v>24</v>
      </c>
      <c r="U1323" s="10" t="str">
        <f t="shared" si="125"/>
        <v>Aug</v>
      </c>
      <c r="V1323" s="10">
        <f t="shared" si="124"/>
        <v>2025</v>
      </c>
      <c r="W1323" t="e" cm="1">
        <f t="array" ref="W1323">_xlfn.IFS(U1323="January",1,U1323="February",2,U1323="March",3,U1323="April",4,U1323="May",5,U1323="June",6,U1323="July",7,U1323="August",8,U1323="September",9,U1323="October",10,U1323="November",11,U1323="December",12)</f>
        <v>#N/A</v>
      </c>
    </row>
    <row r="1324" spans="1:23" ht="15.75" customHeight="1" x14ac:dyDescent="0.25">
      <c r="A1324" s="2" t="s">
        <v>2255</v>
      </c>
      <c r="B1324" s="3">
        <v>45897.733437499999</v>
      </c>
      <c r="C1324" s="2" t="s">
        <v>1396</v>
      </c>
      <c r="D1324" s="2" t="s">
        <v>435</v>
      </c>
      <c r="E1324" s="2" t="s">
        <v>186</v>
      </c>
      <c r="F1324" s="2" t="str" cm="1">
        <f t="array" ref="F1324:G1324">_xlfn.TEXTSPLIT(E1324," - ")</f>
        <v>Susu Bubuk</v>
      </c>
      <c r="G1324" s="2" t="str">
        <v>Brand A</v>
      </c>
      <c r="H1324" s="5">
        <v>45000</v>
      </c>
      <c r="I1324" s="2">
        <v>2</v>
      </c>
      <c r="J1324" s="2">
        <v>15</v>
      </c>
      <c r="K1324" s="8">
        <f t="shared" si="120"/>
        <v>90000</v>
      </c>
      <c r="L1324" s="8">
        <f t="shared" si="121"/>
        <v>13500</v>
      </c>
      <c r="M1324" s="8">
        <f t="shared" si="122"/>
        <v>76500</v>
      </c>
      <c r="N1324" s="5">
        <v>67000</v>
      </c>
      <c r="O1324" s="8">
        <f t="shared" si="123"/>
        <v>143500</v>
      </c>
      <c r="P1324" s="2" t="s">
        <v>63</v>
      </c>
      <c r="Q1324" s="10" t="str">
        <f>VLOOKUP(A1324,Status!A:B,2,0)</f>
        <v>Completed</v>
      </c>
      <c r="R1324" s="2" t="s">
        <v>23</v>
      </c>
      <c r="S1324" s="2">
        <v>3</v>
      </c>
      <c r="T1324" s="2" t="s">
        <v>24</v>
      </c>
      <c r="U1324" s="10" t="str">
        <f t="shared" si="125"/>
        <v>Aug</v>
      </c>
      <c r="V1324" s="10">
        <f t="shared" si="124"/>
        <v>2025</v>
      </c>
      <c r="W1324" t="e" cm="1">
        <f t="array" ref="W1324">_xlfn.IFS(U1324="January",1,U1324="February",2,U1324="March",3,U1324="April",4,U1324="May",5,U1324="June",6,U1324="July",7,U1324="August",8,U1324="September",9,U1324="October",10,U1324="November",11,U1324="December",12)</f>
        <v>#N/A</v>
      </c>
    </row>
    <row r="1325" spans="1:23" ht="15.75" customHeight="1" x14ac:dyDescent="0.25">
      <c r="A1325" s="2" t="s">
        <v>2256</v>
      </c>
      <c r="B1325" s="3">
        <v>45898.084236111114</v>
      </c>
      <c r="C1325" s="2" t="s">
        <v>153</v>
      </c>
      <c r="D1325" s="2" t="s">
        <v>103</v>
      </c>
      <c r="E1325" s="2" t="s">
        <v>62</v>
      </c>
      <c r="F1325" s="2" t="str" cm="1">
        <f t="array" ref="F1325:G1325">_xlfn.TEXTSPLIT(E1325," - ")</f>
        <v>Susu Bubuk</v>
      </c>
      <c r="G1325" s="2" t="str">
        <v>Brand B</v>
      </c>
      <c r="H1325" s="5">
        <v>50000</v>
      </c>
      <c r="I1325" s="2">
        <v>4</v>
      </c>
      <c r="J1325" s="2">
        <v>5</v>
      </c>
      <c r="K1325" s="8">
        <f t="shared" si="120"/>
        <v>200000</v>
      </c>
      <c r="L1325" s="8">
        <f t="shared" si="121"/>
        <v>10000</v>
      </c>
      <c r="M1325" s="8">
        <f t="shared" si="122"/>
        <v>190000</v>
      </c>
      <c r="N1325" s="5">
        <v>85000</v>
      </c>
      <c r="O1325" s="8">
        <f t="shared" si="123"/>
        <v>275000</v>
      </c>
      <c r="P1325" s="2" t="s">
        <v>35</v>
      </c>
      <c r="Q1325" s="10" t="str">
        <f>VLOOKUP(A1325,Status!A:B,2,0)</f>
        <v>Pending</v>
      </c>
      <c r="R1325" s="2" t="s">
        <v>30</v>
      </c>
      <c r="S1325" s="2">
        <v>4</v>
      </c>
      <c r="T1325" s="2" t="s">
        <v>37</v>
      </c>
      <c r="U1325" s="10" t="str">
        <f t="shared" si="125"/>
        <v>Aug</v>
      </c>
      <c r="V1325" s="10">
        <f t="shared" si="124"/>
        <v>2025</v>
      </c>
      <c r="W1325" t="e" cm="1">
        <f t="array" ref="W1325">_xlfn.IFS(U1325="January",1,U1325="February",2,U1325="March",3,U1325="April",4,U1325="May",5,U1325="June",6,U1325="July",7,U1325="August",8,U1325="September",9,U1325="October",10,U1325="November",11,U1325="December",12)</f>
        <v>#N/A</v>
      </c>
    </row>
    <row r="1326" spans="1:23" ht="15.75" customHeight="1" x14ac:dyDescent="0.25">
      <c r="A1326" s="2" t="s">
        <v>2257</v>
      </c>
      <c r="B1326" s="3">
        <v>45898.097557870373</v>
      </c>
      <c r="C1326" s="2" t="s">
        <v>510</v>
      </c>
      <c r="D1326" s="2" t="s">
        <v>96</v>
      </c>
      <c r="E1326" s="2" t="s">
        <v>110</v>
      </c>
      <c r="F1326" s="2" t="str" cm="1">
        <f t="array" ref="F1326:G1326">_xlfn.TEXTSPLIT(E1326," - ")</f>
        <v>Garam</v>
      </c>
      <c r="G1326" s="2" t="str">
        <v>Brand C</v>
      </c>
      <c r="H1326" s="5">
        <v>6000</v>
      </c>
      <c r="I1326" s="2">
        <v>5</v>
      </c>
      <c r="J1326" s="2">
        <v>10</v>
      </c>
      <c r="K1326" s="8">
        <f t="shared" si="120"/>
        <v>30000</v>
      </c>
      <c r="L1326" s="8">
        <f t="shared" si="121"/>
        <v>3000</v>
      </c>
      <c r="M1326" s="8">
        <f t="shared" si="122"/>
        <v>27000</v>
      </c>
      <c r="N1326" s="5">
        <v>49000</v>
      </c>
      <c r="O1326" s="8">
        <f t="shared" si="123"/>
        <v>76000</v>
      </c>
      <c r="P1326" s="2" t="s">
        <v>29</v>
      </c>
      <c r="Q1326" s="10" t="str">
        <f>VLOOKUP(A1326,Status!A:B,2,0)</f>
        <v>Completed</v>
      </c>
      <c r="R1326" s="2" t="s">
        <v>82</v>
      </c>
      <c r="S1326" s="2">
        <v>5</v>
      </c>
      <c r="T1326" s="2" t="s">
        <v>24</v>
      </c>
      <c r="U1326" s="10" t="str">
        <f t="shared" si="125"/>
        <v>Aug</v>
      </c>
      <c r="V1326" s="10">
        <f t="shared" si="124"/>
        <v>2025</v>
      </c>
      <c r="W1326" t="e" cm="1">
        <f t="array" ref="W1326">_xlfn.IFS(U1326="January",1,U1326="February",2,U1326="March",3,U1326="April",4,U1326="May",5,U1326="June",6,U1326="July",7,U1326="August",8,U1326="September",9,U1326="October",10,U1326="November",11,U1326="December",12)</f>
        <v>#N/A</v>
      </c>
    </row>
    <row r="1327" spans="1:23" ht="15.75" customHeight="1" x14ac:dyDescent="0.25">
      <c r="A1327" s="2" t="s">
        <v>2258</v>
      </c>
      <c r="B1327" s="3">
        <v>45898.221493055556</v>
      </c>
      <c r="C1327" s="2" t="s">
        <v>1323</v>
      </c>
      <c r="D1327" s="2" t="s">
        <v>74</v>
      </c>
      <c r="E1327" s="2" t="s">
        <v>34</v>
      </c>
      <c r="F1327" s="2" t="str" cm="1">
        <f t="array" ref="F1327:G1327">_xlfn.TEXTSPLIT(E1327," - ")</f>
        <v>Minyak Goreng</v>
      </c>
      <c r="G1327" s="2" t="str">
        <v>Brand A</v>
      </c>
      <c r="H1327" s="5">
        <v>16000</v>
      </c>
      <c r="I1327" s="2">
        <v>4</v>
      </c>
      <c r="J1327" s="2">
        <v>20</v>
      </c>
      <c r="K1327" s="8">
        <f t="shared" si="120"/>
        <v>64000</v>
      </c>
      <c r="L1327" s="8">
        <f t="shared" si="121"/>
        <v>12800</v>
      </c>
      <c r="M1327" s="8">
        <f t="shared" si="122"/>
        <v>51200</v>
      </c>
      <c r="N1327" s="5">
        <v>87000</v>
      </c>
      <c r="O1327" s="8">
        <f t="shared" si="123"/>
        <v>138200</v>
      </c>
      <c r="P1327" s="2" t="s">
        <v>29</v>
      </c>
      <c r="Q1327" s="10" t="str">
        <f>VLOOKUP(A1327,Status!A:B,2,0)</f>
        <v>Shipped</v>
      </c>
      <c r="R1327" s="2" t="s">
        <v>82</v>
      </c>
      <c r="S1327" s="2">
        <v>2</v>
      </c>
      <c r="T1327" s="2" t="s">
        <v>24</v>
      </c>
      <c r="U1327" s="10" t="str">
        <f t="shared" si="125"/>
        <v>Aug</v>
      </c>
      <c r="V1327" s="10">
        <f t="shared" si="124"/>
        <v>2025</v>
      </c>
      <c r="W1327" t="e" cm="1">
        <f t="array" ref="W1327">_xlfn.IFS(U1327="January",1,U1327="February",2,U1327="March",3,U1327="April",4,U1327="May",5,U1327="June",6,U1327="July",7,U1327="August",8,U1327="September",9,U1327="October",10,U1327="November",11,U1327="December",12)</f>
        <v>#N/A</v>
      </c>
    </row>
    <row r="1328" spans="1:23" ht="15.75" customHeight="1" x14ac:dyDescent="0.25">
      <c r="A1328" s="2" t="s">
        <v>2259</v>
      </c>
      <c r="B1328" s="3">
        <v>45898.250937500001</v>
      </c>
      <c r="C1328" s="2" t="s">
        <v>95</v>
      </c>
      <c r="D1328" s="2" t="s">
        <v>96</v>
      </c>
      <c r="E1328" s="2" t="s">
        <v>34</v>
      </c>
      <c r="F1328" s="2" t="str" cm="1">
        <f t="array" ref="F1328:G1328">_xlfn.TEXTSPLIT(E1328," - ")</f>
        <v>Minyak Goreng</v>
      </c>
      <c r="G1328" s="2" t="str">
        <v>Brand A</v>
      </c>
      <c r="H1328" s="5">
        <v>16000</v>
      </c>
      <c r="I1328" s="2">
        <v>3</v>
      </c>
      <c r="J1328" s="2">
        <v>20</v>
      </c>
      <c r="K1328" s="8">
        <f t="shared" si="120"/>
        <v>48000</v>
      </c>
      <c r="L1328" s="8">
        <f t="shared" si="121"/>
        <v>9600</v>
      </c>
      <c r="M1328" s="8">
        <f t="shared" si="122"/>
        <v>38400</v>
      </c>
      <c r="N1328" s="5">
        <v>49000</v>
      </c>
      <c r="O1328" s="8">
        <f t="shared" si="123"/>
        <v>87400</v>
      </c>
      <c r="P1328" s="2" t="s">
        <v>29</v>
      </c>
      <c r="Q1328" s="10" t="str">
        <f>VLOOKUP(A1328,Status!A:B,2,0)</f>
        <v>Pending</v>
      </c>
      <c r="R1328" s="2" t="s">
        <v>46</v>
      </c>
      <c r="S1328" s="2">
        <v>2</v>
      </c>
      <c r="T1328" s="2" t="s">
        <v>24</v>
      </c>
      <c r="U1328" s="10" t="str">
        <f t="shared" si="125"/>
        <v>Aug</v>
      </c>
      <c r="V1328" s="10">
        <f t="shared" si="124"/>
        <v>2025</v>
      </c>
      <c r="W1328" t="e" cm="1">
        <f t="array" ref="W1328">_xlfn.IFS(U1328="January",1,U1328="February",2,U1328="March",3,U1328="April",4,U1328="May",5,U1328="June",6,U1328="July",7,U1328="August",8,U1328="September",9,U1328="October",10,U1328="November",11,U1328="December",12)</f>
        <v>#N/A</v>
      </c>
    </row>
    <row r="1329" spans="1:23" ht="15.75" customHeight="1" x14ac:dyDescent="0.25">
      <c r="A1329" s="2" t="s">
        <v>2260</v>
      </c>
      <c r="B1329" s="3">
        <v>45898.28365740741</v>
      </c>
      <c r="C1329" s="2" t="s">
        <v>394</v>
      </c>
      <c r="D1329" s="2" t="s">
        <v>53</v>
      </c>
      <c r="E1329" s="2" t="s">
        <v>136</v>
      </c>
      <c r="F1329" s="2" t="str" cm="1">
        <f t="array" ref="F1329:G1329">_xlfn.TEXTSPLIT(E1329," - ")</f>
        <v>Tepung Terigu</v>
      </c>
      <c r="G1329" s="2" t="str">
        <v>Brand B</v>
      </c>
      <c r="H1329" s="5">
        <v>12000</v>
      </c>
      <c r="I1329" s="2">
        <v>1</v>
      </c>
      <c r="J1329" s="2">
        <v>0</v>
      </c>
      <c r="K1329" s="8">
        <f t="shared" si="120"/>
        <v>12000</v>
      </c>
      <c r="L1329" s="8">
        <f t="shared" si="121"/>
        <v>0</v>
      </c>
      <c r="M1329" s="8">
        <f t="shared" si="122"/>
        <v>12000</v>
      </c>
      <c r="N1329" s="5">
        <v>18000</v>
      </c>
      <c r="O1329" s="8">
        <f t="shared" si="123"/>
        <v>30000</v>
      </c>
      <c r="P1329" s="2" t="s">
        <v>35</v>
      </c>
      <c r="Q1329" s="10" t="str">
        <f>VLOOKUP(A1329,Status!A:B,2,0)</f>
        <v>Completed</v>
      </c>
      <c r="R1329" s="2" t="s">
        <v>82</v>
      </c>
      <c r="S1329" s="2">
        <v>3</v>
      </c>
      <c r="T1329" s="2" t="s">
        <v>24</v>
      </c>
      <c r="U1329" s="10" t="str">
        <f t="shared" si="125"/>
        <v>Aug</v>
      </c>
      <c r="V1329" s="10">
        <f t="shared" si="124"/>
        <v>2025</v>
      </c>
      <c r="W1329" t="e" cm="1">
        <f t="array" ref="W1329">_xlfn.IFS(U1329="January",1,U1329="February",2,U1329="March",3,U1329="April",4,U1329="May",5,U1329="June",6,U1329="July",7,U1329="August",8,U1329="September",9,U1329="October",10,U1329="November",11,U1329="December",12)</f>
        <v>#N/A</v>
      </c>
    </row>
    <row r="1330" spans="1:23" ht="15.75" customHeight="1" x14ac:dyDescent="0.25">
      <c r="A1330" s="2" t="s">
        <v>2261</v>
      </c>
      <c r="B1330" s="3">
        <v>45898.346018518518</v>
      </c>
      <c r="C1330" s="2" t="s">
        <v>985</v>
      </c>
      <c r="D1330" s="2" t="s">
        <v>53</v>
      </c>
      <c r="E1330" s="2" t="s">
        <v>81</v>
      </c>
      <c r="F1330" s="2" t="str" cm="1">
        <f t="array" ref="F1330:G1330">_xlfn.TEXTSPLIT(E1330," - ")</f>
        <v>Minyak Goreng</v>
      </c>
      <c r="G1330" s="2" t="str">
        <v>Brand B</v>
      </c>
      <c r="H1330" s="5">
        <v>17000</v>
      </c>
      <c r="I1330" s="2">
        <v>1</v>
      </c>
      <c r="J1330" s="2">
        <v>5</v>
      </c>
      <c r="K1330" s="8">
        <f t="shared" si="120"/>
        <v>17000</v>
      </c>
      <c r="L1330" s="8">
        <f t="shared" si="121"/>
        <v>850</v>
      </c>
      <c r="M1330" s="8">
        <f t="shared" si="122"/>
        <v>16150</v>
      </c>
      <c r="N1330" s="5">
        <v>18000</v>
      </c>
      <c r="O1330" s="8">
        <f t="shared" si="123"/>
        <v>34150</v>
      </c>
      <c r="P1330" s="2" t="s">
        <v>29</v>
      </c>
      <c r="Q1330" s="10" t="str">
        <f>VLOOKUP(A1330,Status!A:B,2,0)</f>
        <v>Cancelled</v>
      </c>
      <c r="R1330" s="2" t="s">
        <v>23</v>
      </c>
      <c r="S1330" s="2">
        <v>1</v>
      </c>
      <c r="T1330" s="2" t="s">
        <v>24</v>
      </c>
      <c r="U1330" s="10" t="str">
        <f t="shared" si="125"/>
        <v>Aug</v>
      </c>
      <c r="V1330" s="10">
        <f t="shared" si="124"/>
        <v>2025</v>
      </c>
      <c r="W1330" t="e" cm="1">
        <f t="array" ref="W1330">_xlfn.IFS(U1330="January",1,U1330="February",2,U1330="March",3,U1330="April",4,U1330="May",5,U1330="June",6,U1330="July",7,U1330="August",8,U1330="September",9,U1330="October",10,U1330="November",11,U1330="December",12)</f>
        <v>#N/A</v>
      </c>
    </row>
    <row r="1331" spans="1:23" ht="15.75" customHeight="1" x14ac:dyDescent="0.25">
      <c r="A1331" s="2" t="s">
        <v>2262</v>
      </c>
      <c r="B1331" s="3">
        <v>45898.353402777779</v>
      </c>
      <c r="C1331" s="2" t="s">
        <v>425</v>
      </c>
      <c r="D1331" s="2" t="s">
        <v>44</v>
      </c>
      <c r="E1331" s="2" t="s">
        <v>104</v>
      </c>
      <c r="F1331" s="2" t="str" cm="1">
        <f t="array" ref="F1331:G1331">_xlfn.TEXTSPLIT(E1331," - ")</f>
        <v>Bawang Merah</v>
      </c>
      <c r="G1331" s="2" t="str">
        <v>Brand A</v>
      </c>
      <c r="H1331" s="5">
        <v>30000</v>
      </c>
      <c r="I1331" s="2">
        <v>3</v>
      </c>
      <c r="J1331" s="2">
        <v>0</v>
      </c>
      <c r="K1331" s="8">
        <f t="shared" si="120"/>
        <v>90000</v>
      </c>
      <c r="L1331" s="8">
        <f t="shared" si="121"/>
        <v>0</v>
      </c>
      <c r="M1331" s="8">
        <f t="shared" si="122"/>
        <v>90000</v>
      </c>
      <c r="N1331" s="5">
        <v>93000</v>
      </c>
      <c r="O1331" s="8">
        <f t="shared" si="123"/>
        <v>183000</v>
      </c>
      <c r="P1331" s="2" t="s">
        <v>29</v>
      </c>
      <c r="Q1331" s="10" t="str">
        <f>VLOOKUP(A1331,Status!A:B,2,0)</f>
        <v>Completed</v>
      </c>
      <c r="R1331" s="2" t="s">
        <v>82</v>
      </c>
      <c r="S1331" s="2">
        <v>1</v>
      </c>
      <c r="T1331" s="2" t="s">
        <v>37</v>
      </c>
      <c r="U1331" s="10" t="str">
        <f t="shared" si="125"/>
        <v>Aug</v>
      </c>
      <c r="V1331" s="10">
        <f t="shared" si="124"/>
        <v>2025</v>
      </c>
      <c r="W1331" t="e" cm="1">
        <f t="array" ref="W1331">_xlfn.IFS(U1331="January",1,U1331="February",2,U1331="March",3,U1331="April",4,U1331="May",5,U1331="June",6,U1331="July",7,U1331="August",8,U1331="September",9,U1331="October",10,U1331="November",11,U1331="December",12)</f>
        <v>#N/A</v>
      </c>
    </row>
    <row r="1332" spans="1:23" ht="15.75" customHeight="1" x14ac:dyDescent="0.25">
      <c r="A1332" s="2" t="s">
        <v>2263</v>
      </c>
      <c r="B1332" s="3">
        <v>45898.353715277779</v>
      </c>
      <c r="C1332" s="2" t="s">
        <v>192</v>
      </c>
      <c r="D1332" s="2" t="s">
        <v>107</v>
      </c>
      <c r="E1332" s="2" t="s">
        <v>190</v>
      </c>
      <c r="F1332" s="2" t="str" cm="1">
        <f t="array" ref="F1332:G1332">_xlfn.TEXTSPLIT(E1332," - ")</f>
        <v>Bawang Merah</v>
      </c>
      <c r="G1332" s="2" t="str">
        <v>Brand B</v>
      </c>
      <c r="H1332" s="5">
        <v>35000</v>
      </c>
      <c r="I1332" s="2">
        <v>5</v>
      </c>
      <c r="J1332" s="2">
        <v>20</v>
      </c>
      <c r="K1332" s="8">
        <f t="shared" si="120"/>
        <v>175000</v>
      </c>
      <c r="L1332" s="8">
        <f t="shared" si="121"/>
        <v>35000</v>
      </c>
      <c r="M1332" s="8">
        <f t="shared" si="122"/>
        <v>140000</v>
      </c>
      <c r="N1332" s="5">
        <v>97000</v>
      </c>
      <c r="O1332" s="8">
        <f t="shared" si="123"/>
        <v>237000</v>
      </c>
      <c r="P1332" s="2" t="s">
        <v>29</v>
      </c>
      <c r="Q1332" s="10" t="str">
        <f>VLOOKUP(A1332,Status!A:B,2,0)</f>
        <v>Completed</v>
      </c>
      <c r="R1332" s="2" t="s">
        <v>36</v>
      </c>
      <c r="S1332" s="2">
        <v>1</v>
      </c>
      <c r="T1332" s="2" t="s">
        <v>24</v>
      </c>
      <c r="U1332" s="10" t="str">
        <f t="shared" si="125"/>
        <v>Aug</v>
      </c>
      <c r="V1332" s="10">
        <f t="shared" si="124"/>
        <v>2025</v>
      </c>
      <c r="W1332" t="e" cm="1">
        <f t="array" ref="W1332">_xlfn.IFS(U1332="January",1,U1332="February",2,U1332="March",3,U1332="April",4,U1332="May",5,U1332="June",6,U1332="July",7,U1332="August",8,U1332="September",9,U1332="October",10,U1332="November",11,U1332="December",12)</f>
        <v>#N/A</v>
      </c>
    </row>
    <row r="1333" spans="1:23" ht="15.75" customHeight="1" x14ac:dyDescent="0.25">
      <c r="A1333" s="2" t="s">
        <v>2263</v>
      </c>
      <c r="B1333" s="3">
        <v>45898.353715277779</v>
      </c>
      <c r="C1333" s="2" t="s">
        <v>192</v>
      </c>
      <c r="D1333" s="2" t="s">
        <v>107</v>
      </c>
      <c r="E1333" s="2" t="s">
        <v>58</v>
      </c>
      <c r="F1333" s="2" t="str" cm="1">
        <f t="array" ref="F1333:G1333">_xlfn.TEXTSPLIT(E1333," - ")</f>
        <v>Gula Pasir</v>
      </c>
      <c r="G1333" s="2" t="str">
        <v>Brand A</v>
      </c>
      <c r="H1333" s="5">
        <v>16000</v>
      </c>
      <c r="I1333" s="2">
        <v>5</v>
      </c>
      <c r="J1333" s="2">
        <v>5</v>
      </c>
      <c r="K1333" s="8">
        <f t="shared" si="120"/>
        <v>80000</v>
      </c>
      <c r="L1333" s="8">
        <f t="shared" si="121"/>
        <v>4000</v>
      </c>
      <c r="M1333" s="8">
        <f t="shared" si="122"/>
        <v>76000</v>
      </c>
      <c r="N1333" s="5">
        <v>0</v>
      </c>
      <c r="O1333" s="8">
        <f t="shared" si="123"/>
        <v>76000</v>
      </c>
      <c r="P1333" s="2" t="s">
        <v>29</v>
      </c>
      <c r="Q1333" s="10" t="str">
        <f>VLOOKUP(A1333,Status!A:B,2,0)</f>
        <v>Completed</v>
      </c>
      <c r="R1333" s="2" t="s">
        <v>36</v>
      </c>
      <c r="S1333" s="2">
        <v>1</v>
      </c>
      <c r="T1333" s="2" t="s">
        <v>24</v>
      </c>
      <c r="U1333" s="10" t="str">
        <f t="shared" si="125"/>
        <v>Aug</v>
      </c>
      <c r="V1333" s="10">
        <f t="shared" si="124"/>
        <v>2025</v>
      </c>
      <c r="W1333" t="e" cm="1">
        <f t="array" ref="W1333">_xlfn.IFS(U1333="January",1,U1333="February",2,U1333="March",3,U1333="April",4,U1333="May",5,U1333="June",6,U1333="July",7,U1333="August",8,U1333="September",9,U1333="October",10,U1333="November",11,U1333="December",12)</f>
        <v>#N/A</v>
      </c>
    </row>
    <row r="1334" spans="1:23" ht="15.75" customHeight="1" x14ac:dyDescent="0.25">
      <c r="A1334" s="2" t="s">
        <v>2264</v>
      </c>
      <c r="B1334" s="3">
        <v>45898.584236111114</v>
      </c>
      <c r="C1334" s="2" t="s">
        <v>222</v>
      </c>
      <c r="D1334" s="2" t="s">
        <v>49</v>
      </c>
      <c r="E1334" s="2" t="s">
        <v>45</v>
      </c>
      <c r="F1334" s="2" t="str" cm="1">
        <f t="array" ref="F1334:G1334">_xlfn.TEXTSPLIT(E1334," - ")</f>
        <v>Daging Ayam</v>
      </c>
      <c r="G1334" s="2" t="str">
        <v>Brand B</v>
      </c>
      <c r="H1334" s="5">
        <v>40000</v>
      </c>
      <c r="I1334" s="2">
        <v>5</v>
      </c>
      <c r="J1334" s="2">
        <v>0</v>
      </c>
      <c r="K1334" s="8">
        <f t="shared" si="120"/>
        <v>200000</v>
      </c>
      <c r="L1334" s="8">
        <f t="shared" si="121"/>
        <v>0</v>
      </c>
      <c r="M1334" s="8">
        <f t="shared" si="122"/>
        <v>200000</v>
      </c>
      <c r="N1334" s="5">
        <v>43000</v>
      </c>
      <c r="O1334" s="8">
        <f t="shared" si="123"/>
        <v>243000</v>
      </c>
      <c r="P1334" s="2" t="s">
        <v>22</v>
      </c>
      <c r="Q1334" s="10" t="str">
        <f>VLOOKUP(A1334,Status!A:B,2,0)</f>
        <v>Pending</v>
      </c>
      <c r="R1334" s="2" t="s">
        <v>46</v>
      </c>
      <c r="S1334" s="2">
        <v>2</v>
      </c>
      <c r="T1334" s="2" t="s">
        <v>24</v>
      </c>
      <c r="U1334" s="10" t="str">
        <f t="shared" si="125"/>
        <v>Aug</v>
      </c>
      <c r="V1334" s="10">
        <f t="shared" si="124"/>
        <v>2025</v>
      </c>
      <c r="W1334" t="e" cm="1">
        <f t="array" ref="W1334">_xlfn.IFS(U1334="January",1,U1334="February",2,U1334="March",3,U1334="April",4,U1334="May",5,U1334="June",6,U1334="July",7,U1334="August",8,U1334="September",9,U1334="October",10,U1334="November",11,U1334="December",12)</f>
        <v>#N/A</v>
      </c>
    </row>
    <row r="1335" spans="1:23" ht="15.75" customHeight="1" x14ac:dyDescent="0.25">
      <c r="A1335" s="2" t="s">
        <v>2265</v>
      </c>
      <c r="B1335" s="3">
        <v>45898.705682870372</v>
      </c>
      <c r="C1335" s="2" t="s">
        <v>1035</v>
      </c>
      <c r="D1335" s="2" t="s">
        <v>66</v>
      </c>
      <c r="E1335" s="2" t="s">
        <v>136</v>
      </c>
      <c r="F1335" s="2" t="str" cm="1">
        <f t="array" ref="F1335:G1335">_xlfn.TEXTSPLIT(E1335," - ")</f>
        <v>Tepung Terigu</v>
      </c>
      <c r="G1335" s="2" t="str">
        <v>Brand B</v>
      </c>
      <c r="H1335" s="5">
        <v>12000</v>
      </c>
      <c r="I1335" s="2">
        <v>5</v>
      </c>
      <c r="J1335" s="2">
        <v>15</v>
      </c>
      <c r="K1335" s="8">
        <f t="shared" si="120"/>
        <v>60000</v>
      </c>
      <c r="L1335" s="8">
        <f t="shared" si="121"/>
        <v>9000</v>
      </c>
      <c r="M1335" s="8">
        <f t="shared" si="122"/>
        <v>51000</v>
      </c>
      <c r="N1335" s="5">
        <v>59000</v>
      </c>
      <c r="O1335" s="8">
        <f t="shared" si="123"/>
        <v>110000</v>
      </c>
      <c r="P1335" s="2" t="s">
        <v>22</v>
      </c>
      <c r="Q1335" s="10" t="str">
        <f>VLOOKUP(A1335,Status!A:B,2,0)</f>
        <v>Pending</v>
      </c>
      <c r="R1335" s="2" t="s">
        <v>46</v>
      </c>
      <c r="S1335" s="2">
        <v>2</v>
      </c>
      <c r="T1335" s="2" t="s">
        <v>24</v>
      </c>
      <c r="U1335" s="10" t="str">
        <f t="shared" si="125"/>
        <v>Aug</v>
      </c>
      <c r="V1335" s="10">
        <f t="shared" si="124"/>
        <v>2025</v>
      </c>
      <c r="W1335" t="e" cm="1">
        <f t="array" ref="W1335">_xlfn.IFS(U1335="January",1,U1335="February",2,U1335="March",3,U1335="April",4,U1335="May",5,U1335="June",6,U1335="July",7,U1335="August",8,U1335="September",9,U1335="October",10,U1335="November",11,U1335="December",12)</f>
        <v>#N/A</v>
      </c>
    </row>
    <row r="1336" spans="1:23" ht="15.75" customHeight="1" x14ac:dyDescent="0.25">
      <c r="A1336" s="2" t="s">
        <v>2266</v>
      </c>
      <c r="B1336" s="3">
        <v>45898.97152777778</v>
      </c>
      <c r="C1336" s="2" t="s">
        <v>52</v>
      </c>
      <c r="D1336" s="2" t="s">
        <v>53</v>
      </c>
      <c r="E1336" s="2" t="s">
        <v>136</v>
      </c>
      <c r="F1336" s="2" t="str" cm="1">
        <f t="array" ref="F1336:G1336">_xlfn.TEXTSPLIT(E1336," - ")</f>
        <v>Tepung Terigu</v>
      </c>
      <c r="G1336" s="2" t="str">
        <v>Brand B</v>
      </c>
      <c r="H1336" s="5">
        <v>12000</v>
      </c>
      <c r="I1336" s="2">
        <v>4</v>
      </c>
      <c r="J1336" s="2">
        <v>0</v>
      </c>
      <c r="K1336" s="8">
        <f t="shared" si="120"/>
        <v>48000</v>
      </c>
      <c r="L1336" s="8">
        <f t="shared" si="121"/>
        <v>0</v>
      </c>
      <c r="M1336" s="8">
        <f t="shared" si="122"/>
        <v>48000</v>
      </c>
      <c r="N1336" s="5">
        <v>18000</v>
      </c>
      <c r="O1336" s="8">
        <f t="shared" si="123"/>
        <v>66000</v>
      </c>
      <c r="P1336" s="2" t="s">
        <v>22</v>
      </c>
      <c r="Q1336" s="10" t="str">
        <f>VLOOKUP(A1336,Status!A:B,2,0)</f>
        <v>Completed</v>
      </c>
      <c r="R1336" s="2" t="s">
        <v>30</v>
      </c>
      <c r="S1336" s="2">
        <v>5</v>
      </c>
      <c r="T1336" s="2" t="s">
        <v>24</v>
      </c>
      <c r="U1336" s="10" t="str">
        <f t="shared" si="125"/>
        <v>Aug</v>
      </c>
      <c r="V1336" s="10">
        <f t="shared" si="124"/>
        <v>2025</v>
      </c>
      <c r="W1336" t="e" cm="1">
        <f t="array" ref="W1336">_xlfn.IFS(U1336="January",1,U1336="February",2,U1336="March",3,U1336="April",4,U1336="May",5,U1336="June",6,U1336="July",7,U1336="August",8,U1336="September",9,U1336="October",10,U1336="November",11,U1336="December",12)</f>
        <v>#N/A</v>
      </c>
    </row>
    <row r="1337" spans="1:23" ht="15.75" customHeight="1" x14ac:dyDescent="0.25">
      <c r="A1337" s="2" t="s">
        <v>2267</v>
      </c>
      <c r="B1337" s="3">
        <v>45899.024247685193</v>
      </c>
      <c r="C1337" s="2" t="s">
        <v>615</v>
      </c>
      <c r="D1337" s="2" t="s">
        <v>92</v>
      </c>
      <c r="E1337" s="2" t="s">
        <v>250</v>
      </c>
      <c r="F1337" s="2" t="str" cm="1">
        <f t="array" ref="F1337:G1337">_xlfn.TEXTSPLIT(E1337," - ")</f>
        <v>Minyak Goreng</v>
      </c>
      <c r="G1337" s="2" t="str">
        <v>Brand C</v>
      </c>
      <c r="H1337" s="5">
        <v>18000</v>
      </c>
      <c r="I1337" s="2">
        <v>5</v>
      </c>
      <c r="J1337" s="2">
        <v>15</v>
      </c>
      <c r="K1337" s="8">
        <f t="shared" si="120"/>
        <v>90000</v>
      </c>
      <c r="L1337" s="8">
        <f t="shared" si="121"/>
        <v>13500</v>
      </c>
      <c r="M1337" s="8">
        <f t="shared" si="122"/>
        <v>76500</v>
      </c>
      <c r="N1337" s="5">
        <v>30000</v>
      </c>
      <c r="O1337" s="8">
        <f t="shared" si="123"/>
        <v>106500</v>
      </c>
      <c r="P1337" s="2" t="s">
        <v>63</v>
      </c>
      <c r="Q1337" s="10" t="str">
        <f>VLOOKUP(A1337,Status!A:B,2,0)</f>
        <v>Completed</v>
      </c>
      <c r="R1337" s="2" t="s">
        <v>82</v>
      </c>
      <c r="S1337" s="2">
        <v>3</v>
      </c>
      <c r="T1337" s="2" t="s">
        <v>24</v>
      </c>
      <c r="U1337" s="10" t="str">
        <f t="shared" si="125"/>
        <v>Aug</v>
      </c>
      <c r="V1337" s="10">
        <f t="shared" si="124"/>
        <v>2025</v>
      </c>
      <c r="W1337" t="e" cm="1">
        <f t="array" ref="W1337">_xlfn.IFS(U1337="January",1,U1337="February",2,U1337="March",3,U1337="April",4,U1337="May",5,U1337="June",6,U1337="July",7,U1337="August",8,U1337="September",9,U1337="October",10,U1337="November",11,U1337="December",12)</f>
        <v>#N/A</v>
      </c>
    </row>
    <row r="1338" spans="1:23" ht="15.75" customHeight="1" x14ac:dyDescent="0.25">
      <c r="A1338" s="2" t="s">
        <v>2268</v>
      </c>
      <c r="B1338" s="3">
        <v>45899.208912037036</v>
      </c>
      <c r="C1338" s="2" t="s">
        <v>285</v>
      </c>
      <c r="D1338" s="2" t="s">
        <v>20</v>
      </c>
      <c r="E1338" s="2" t="s">
        <v>88</v>
      </c>
      <c r="F1338" s="2" t="str" cm="1">
        <f t="array" ref="F1338:G1338">_xlfn.TEXTSPLIT(E1338," - ")</f>
        <v>Beras</v>
      </c>
      <c r="G1338" s="2" t="str">
        <v>Brand A</v>
      </c>
      <c r="H1338" s="5">
        <v>14000</v>
      </c>
      <c r="I1338" s="2">
        <v>3</v>
      </c>
      <c r="J1338" s="2">
        <v>20</v>
      </c>
      <c r="K1338" s="8">
        <f t="shared" si="120"/>
        <v>42000</v>
      </c>
      <c r="L1338" s="8">
        <f t="shared" si="121"/>
        <v>8400</v>
      </c>
      <c r="M1338" s="8">
        <f t="shared" si="122"/>
        <v>33600</v>
      </c>
      <c r="N1338" s="5">
        <v>15000</v>
      </c>
      <c r="O1338" s="8">
        <f t="shared" si="123"/>
        <v>48600</v>
      </c>
      <c r="P1338" s="2" t="s">
        <v>35</v>
      </c>
      <c r="Q1338" s="10" t="str">
        <f>VLOOKUP(A1338,Status!A:B,2,0)</f>
        <v>Completed</v>
      </c>
      <c r="R1338" s="2" t="s">
        <v>30</v>
      </c>
      <c r="S1338" s="2">
        <v>1</v>
      </c>
      <c r="T1338" s="2" t="s">
        <v>37</v>
      </c>
      <c r="U1338" s="10" t="str">
        <f t="shared" si="125"/>
        <v>Aug</v>
      </c>
      <c r="V1338" s="10">
        <f t="shared" si="124"/>
        <v>2025</v>
      </c>
      <c r="W1338" t="e" cm="1">
        <f t="array" ref="W1338">_xlfn.IFS(U1338="January",1,U1338="February",2,U1338="March",3,U1338="April",4,U1338="May",5,U1338="June",6,U1338="July",7,U1338="August",8,U1338="September",9,U1338="October",10,U1338="November",11,U1338="December",12)</f>
        <v>#N/A</v>
      </c>
    </row>
    <row r="1339" spans="1:23" ht="15.75" customHeight="1" x14ac:dyDescent="0.25">
      <c r="A1339" s="2" t="s">
        <v>2269</v>
      </c>
      <c r="B1339" s="3">
        <v>45899.281759259262</v>
      </c>
      <c r="C1339" s="2" t="s">
        <v>1341</v>
      </c>
      <c r="D1339" s="2" t="s">
        <v>107</v>
      </c>
      <c r="E1339" s="2" t="s">
        <v>45</v>
      </c>
      <c r="F1339" s="2" t="str" cm="1">
        <f t="array" ref="F1339:G1339">_xlfn.TEXTSPLIT(E1339," - ")</f>
        <v>Daging Ayam</v>
      </c>
      <c r="G1339" s="2" t="str">
        <v>Brand B</v>
      </c>
      <c r="H1339" s="5">
        <v>40000</v>
      </c>
      <c r="I1339" s="2">
        <v>4</v>
      </c>
      <c r="J1339" s="2">
        <v>15</v>
      </c>
      <c r="K1339" s="8">
        <f t="shared" si="120"/>
        <v>160000</v>
      </c>
      <c r="L1339" s="8">
        <f t="shared" si="121"/>
        <v>24000</v>
      </c>
      <c r="M1339" s="8">
        <f t="shared" si="122"/>
        <v>136000</v>
      </c>
      <c r="N1339" s="5">
        <v>97000</v>
      </c>
      <c r="O1339" s="8">
        <f t="shared" si="123"/>
        <v>233000</v>
      </c>
      <c r="P1339" s="2" t="s">
        <v>22</v>
      </c>
      <c r="Q1339" s="10" t="str">
        <f>VLOOKUP(A1339,Status!A:B,2,0)</f>
        <v>Shipped</v>
      </c>
      <c r="R1339" s="2" t="s">
        <v>30</v>
      </c>
      <c r="S1339" s="2">
        <v>1</v>
      </c>
      <c r="T1339" s="2" t="s">
        <v>37</v>
      </c>
      <c r="U1339" s="10" t="str">
        <f t="shared" si="125"/>
        <v>Aug</v>
      </c>
      <c r="V1339" s="10">
        <f t="shared" si="124"/>
        <v>2025</v>
      </c>
      <c r="W1339" t="e" cm="1">
        <f t="array" ref="W1339">_xlfn.IFS(U1339="January",1,U1339="February",2,U1339="March",3,U1339="April",4,U1339="May",5,U1339="June",6,U1339="July",7,U1339="August",8,U1339="September",9,U1339="October",10,U1339="November",11,U1339="December",12)</f>
        <v>#N/A</v>
      </c>
    </row>
    <row r="1340" spans="1:23" ht="15.75" customHeight="1" x14ac:dyDescent="0.25">
      <c r="A1340" s="2" t="s">
        <v>2270</v>
      </c>
      <c r="B1340" s="3">
        <v>45899.436759259261</v>
      </c>
      <c r="C1340" s="2" t="s">
        <v>368</v>
      </c>
      <c r="D1340" s="2" t="s">
        <v>113</v>
      </c>
      <c r="E1340" s="2" t="s">
        <v>81</v>
      </c>
      <c r="F1340" s="2" t="str" cm="1">
        <f t="array" ref="F1340:G1340">_xlfn.TEXTSPLIT(E1340," - ")</f>
        <v>Minyak Goreng</v>
      </c>
      <c r="G1340" s="2" t="str">
        <v>Brand B</v>
      </c>
      <c r="H1340" s="5">
        <v>17000</v>
      </c>
      <c r="I1340" s="2">
        <v>3</v>
      </c>
      <c r="J1340" s="2">
        <v>0</v>
      </c>
      <c r="K1340" s="8">
        <f t="shared" si="120"/>
        <v>51000</v>
      </c>
      <c r="L1340" s="8">
        <f t="shared" si="121"/>
        <v>0</v>
      </c>
      <c r="M1340" s="8">
        <f t="shared" si="122"/>
        <v>51000</v>
      </c>
      <c r="N1340" s="5">
        <v>18000</v>
      </c>
      <c r="O1340" s="8">
        <f t="shared" si="123"/>
        <v>69000</v>
      </c>
      <c r="P1340" s="2" t="s">
        <v>29</v>
      </c>
      <c r="Q1340" s="10" t="str">
        <f>VLOOKUP(A1340,Status!A:B,2,0)</f>
        <v>Pending</v>
      </c>
      <c r="R1340" s="2" t="s">
        <v>23</v>
      </c>
      <c r="S1340" s="2">
        <v>1</v>
      </c>
      <c r="T1340" s="2" t="s">
        <v>37</v>
      </c>
      <c r="U1340" s="10" t="str">
        <f t="shared" si="125"/>
        <v>Aug</v>
      </c>
      <c r="V1340" s="10">
        <f t="shared" si="124"/>
        <v>2025</v>
      </c>
      <c r="W1340" t="e" cm="1">
        <f t="array" ref="W1340">_xlfn.IFS(U1340="January",1,U1340="February",2,U1340="March",3,U1340="April",4,U1340="May",5,U1340="June",6,U1340="July",7,U1340="August",8,U1340="September",9,U1340="October",10,U1340="November",11,U1340="December",12)</f>
        <v>#N/A</v>
      </c>
    </row>
    <row r="1341" spans="1:23" ht="15.75" customHeight="1" x14ac:dyDescent="0.25">
      <c r="A1341" s="2" t="s">
        <v>2271</v>
      </c>
      <c r="B1341" s="3">
        <v>45900.304907407408</v>
      </c>
      <c r="C1341" s="2" t="s">
        <v>115</v>
      </c>
      <c r="D1341" s="2" t="s">
        <v>116</v>
      </c>
      <c r="E1341" s="2" t="s">
        <v>110</v>
      </c>
      <c r="F1341" s="2" t="str" cm="1">
        <f t="array" ref="F1341:G1341">_xlfn.TEXTSPLIT(E1341," - ")</f>
        <v>Garam</v>
      </c>
      <c r="G1341" s="2" t="str">
        <v>Brand C</v>
      </c>
      <c r="H1341" s="5">
        <v>6000</v>
      </c>
      <c r="I1341" s="2">
        <v>1</v>
      </c>
      <c r="J1341" s="2">
        <v>15</v>
      </c>
      <c r="K1341" s="8">
        <f t="shared" si="120"/>
        <v>6000</v>
      </c>
      <c r="L1341" s="8">
        <f t="shared" si="121"/>
        <v>900</v>
      </c>
      <c r="M1341" s="8">
        <f t="shared" si="122"/>
        <v>5100</v>
      </c>
      <c r="N1341" s="5">
        <v>72000</v>
      </c>
      <c r="O1341" s="8">
        <f t="shared" si="123"/>
        <v>77100</v>
      </c>
      <c r="P1341" s="2" t="s">
        <v>63</v>
      </c>
      <c r="Q1341" s="10" t="str">
        <f>VLOOKUP(A1341,Status!A:B,2,0)</f>
        <v>Pending</v>
      </c>
      <c r="R1341" s="2" t="s">
        <v>82</v>
      </c>
      <c r="S1341" s="2">
        <v>4</v>
      </c>
      <c r="T1341" s="2" t="s">
        <v>24</v>
      </c>
      <c r="U1341" s="10" t="str">
        <f t="shared" si="125"/>
        <v>Aug</v>
      </c>
      <c r="V1341" s="10">
        <f t="shared" si="124"/>
        <v>2025</v>
      </c>
      <c r="W1341" t="e" cm="1">
        <f t="array" ref="W1341">_xlfn.IFS(U1341="January",1,U1341="February",2,U1341="March",3,U1341="April",4,U1341="May",5,U1341="June",6,U1341="July",7,U1341="August",8,U1341="September",9,U1341="October",10,U1341="November",11,U1341="December",12)</f>
        <v>#N/A</v>
      </c>
    </row>
    <row r="1342" spans="1:23" ht="15.75" customHeight="1" x14ac:dyDescent="0.25">
      <c r="A1342" s="2" t="s">
        <v>2272</v>
      </c>
      <c r="B1342" s="3">
        <v>45900.417118055557</v>
      </c>
      <c r="C1342" s="2" t="s">
        <v>726</v>
      </c>
      <c r="D1342" s="2" t="s">
        <v>53</v>
      </c>
      <c r="E1342" s="2" t="s">
        <v>41</v>
      </c>
      <c r="F1342" s="2" t="str" cm="1">
        <f t="array" ref="F1342:G1342">_xlfn.TEXTSPLIT(E1342," - ")</f>
        <v>Garam</v>
      </c>
      <c r="G1342" s="2" t="str">
        <v>Brand A</v>
      </c>
      <c r="H1342" s="5">
        <v>4000</v>
      </c>
      <c r="I1342" s="2">
        <v>1</v>
      </c>
      <c r="J1342" s="2">
        <v>5</v>
      </c>
      <c r="K1342" s="8">
        <f t="shared" si="120"/>
        <v>4000</v>
      </c>
      <c r="L1342" s="8">
        <f t="shared" si="121"/>
        <v>200</v>
      </c>
      <c r="M1342" s="8">
        <f t="shared" si="122"/>
        <v>3800</v>
      </c>
      <c r="N1342" s="5">
        <v>18000</v>
      </c>
      <c r="O1342" s="8">
        <f t="shared" si="123"/>
        <v>21800</v>
      </c>
      <c r="P1342" s="2" t="s">
        <v>63</v>
      </c>
      <c r="Q1342" s="10" t="str">
        <f>VLOOKUP(A1342,Status!A:B,2,0)</f>
        <v>Pending</v>
      </c>
      <c r="R1342" s="2" t="s">
        <v>23</v>
      </c>
      <c r="S1342" s="2">
        <v>4</v>
      </c>
      <c r="T1342" s="2" t="s">
        <v>37</v>
      </c>
      <c r="U1342" s="10" t="str">
        <f t="shared" si="125"/>
        <v>Aug</v>
      </c>
      <c r="V1342" s="10">
        <f t="shared" si="124"/>
        <v>2025</v>
      </c>
      <c r="W1342" t="e" cm="1">
        <f t="array" ref="W1342">_xlfn.IFS(U1342="January",1,U1342="February",2,U1342="March",3,U1342="April",4,U1342="May",5,U1342="June",6,U1342="July",7,U1342="August",8,U1342="September",9,U1342="October",10,U1342="November",11,U1342="December",12)</f>
        <v>#N/A</v>
      </c>
    </row>
    <row r="1343" spans="1:23" ht="15.75" customHeight="1" x14ac:dyDescent="0.25">
      <c r="A1343" s="2" t="s">
        <v>18</v>
      </c>
      <c r="B1343" s="3">
        <v>45551.015844907408</v>
      </c>
      <c r="C1343" s="2" t="s">
        <v>19</v>
      </c>
      <c r="D1343" s="2" t="s">
        <v>20</v>
      </c>
      <c r="E1343" s="2" t="s">
        <v>21</v>
      </c>
      <c r="F1343" s="2" t="str" cm="1">
        <f t="array" ref="F1343:G1343">_xlfn.TEXTSPLIT(E1343," - ")</f>
        <v>Daging Ayam</v>
      </c>
      <c r="G1343" s="2" t="str">
        <v>Brand C</v>
      </c>
      <c r="H1343" s="5">
        <v>45000</v>
      </c>
      <c r="I1343" s="2">
        <v>4</v>
      </c>
      <c r="J1343" s="2">
        <v>0</v>
      </c>
      <c r="K1343" s="8">
        <f t="shared" si="120"/>
        <v>180000</v>
      </c>
      <c r="L1343" s="8">
        <f t="shared" si="121"/>
        <v>0</v>
      </c>
      <c r="M1343" s="8">
        <f t="shared" si="122"/>
        <v>180000</v>
      </c>
      <c r="N1343" s="5">
        <v>15000</v>
      </c>
      <c r="O1343" s="8">
        <f t="shared" si="123"/>
        <v>195000</v>
      </c>
      <c r="P1343" s="2" t="s">
        <v>22</v>
      </c>
      <c r="Q1343" s="10" t="str">
        <f>VLOOKUP(A1343,Status!A:B,2,0)</f>
        <v>Completed</v>
      </c>
      <c r="R1343" s="2" t="s">
        <v>23</v>
      </c>
      <c r="S1343" s="2">
        <v>3</v>
      </c>
      <c r="T1343" s="2" t="s">
        <v>24</v>
      </c>
      <c r="U1343" s="10" t="str">
        <f t="shared" si="125"/>
        <v>Sep</v>
      </c>
      <c r="V1343" s="10">
        <f t="shared" si="124"/>
        <v>2024</v>
      </c>
      <c r="W1343" t="e" cm="1">
        <f t="array" ref="W1343">_xlfn.IFS(U1343="January",1,U1343="February",2,U1343="March",3,U1343="April",4,U1343="May",5,U1343="June",6,U1343="July",7,U1343="August",8,U1343="September",9,U1343="October",10,U1343="November",11,U1343="December",12)</f>
        <v>#N/A</v>
      </c>
    </row>
    <row r="1344" spans="1:23" ht="15.75" customHeight="1" x14ac:dyDescent="0.25">
      <c r="A1344" s="2" t="s">
        <v>25</v>
      </c>
      <c r="B1344" s="3">
        <v>45551.028368055559</v>
      </c>
      <c r="C1344" s="2" t="s">
        <v>26</v>
      </c>
      <c r="D1344" s="2" t="s">
        <v>27</v>
      </c>
      <c r="E1344" s="2" t="s">
        <v>28</v>
      </c>
      <c r="F1344" s="2" t="str" cm="1">
        <f t="array" ref="F1344:G1344">_xlfn.TEXTSPLIT(E1344," - ")</f>
        <v>Garam</v>
      </c>
      <c r="G1344" s="2" t="str">
        <v>Brand B</v>
      </c>
      <c r="H1344" s="5">
        <v>5000</v>
      </c>
      <c r="I1344" s="2">
        <v>4</v>
      </c>
      <c r="J1344" s="2">
        <v>20</v>
      </c>
      <c r="K1344" s="8">
        <f t="shared" si="120"/>
        <v>20000</v>
      </c>
      <c r="L1344" s="8">
        <f t="shared" si="121"/>
        <v>4000</v>
      </c>
      <c r="M1344" s="8">
        <f t="shared" si="122"/>
        <v>16000</v>
      </c>
      <c r="N1344" s="5">
        <v>17000</v>
      </c>
      <c r="O1344" s="8">
        <f t="shared" si="123"/>
        <v>33000</v>
      </c>
      <c r="P1344" s="2" t="s">
        <v>29</v>
      </c>
      <c r="Q1344" s="10" t="str">
        <f>VLOOKUP(A1344,Status!A:B,2,0)</f>
        <v>Completed</v>
      </c>
      <c r="R1344" s="2" t="s">
        <v>30</v>
      </c>
      <c r="S1344" s="2">
        <v>5</v>
      </c>
      <c r="T1344" s="2" t="s">
        <v>24</v>
      </c>
      <c r="U1344" s="10" t="str">
        <f t="shared" si="125"/>
        <v>Sep</v>
      </c>
      <c r="V1344" s="10">
        <f t="shared" si="124"/>
        <v>2024</v>
      </c>
      <c r="W1344" t="e" cm="1">
        <f t="array" ref="W1344">_xlfn.IFS(U1344="January",1,U1344="February",2,U1344="March",3,U1344="April",4,U1344="May",5,U1344="June",6,U1344="July",7,U1344="August",8,U1344="September",9,U1344="October",10,U1344="November",11,U1344="December",12)</f>
        <v>#N/A</v>
      </c>
    </row>
    <row r="1345" spans="1:23" ht="15.75" customHeight="1" x14ac:dyDescent="0.25">
      <c r="A1345" s="2" t="s">
        <v>31</v>
      </c>
      <c r="B1345" s="3">
        <v>45551.531631944446</v>
      </c>
      <c r="C1345" s="2" t="s">
        <v>32</v>
      </c>
      <c r="D1345" s="2" t="s">
        <v>33</v>
      </c>
      <c r="E1345" s="2" t="s">
        <v>34</v>
      </c>
      <c r="F1345" s="2" t="str" cm="1">
        <f t="array" ref="F1345:G1345">_xlfn.TEXTSPLIT(E1345," - ")</f>
        <v>Minyak Goreng</v>
      </c>
      <c r="G1345" s="2" t="str">
        <v>Brand A</v>
      </c>
      <c r="H1345" s="5">
        <v>16000</v>
      </c>
      <c r="I1345" s="2">
        <v>5</v>
      </c>
      <c r="J1345" s="2">
        <v>5</v>
      </c>
      <c r="K1345" s="8">
        <f t="shared" si="120"/>
        <v>80000</v>
      </c>
      <c r="L1345" s="8">
        <f t="shared" si="121"/>
        <v>4000</v>
      </c>
      <c r="M1345" s="8">
        <f t="shared" si="122"/>
        <v>76000</v>
      </c>
      <c r="N1345" s="5">
        <v>76000</v>
      </c>
      <c r="O1345" s="8">
        <f t="shared" si="123"/>
        <v>152000</v>
      </c>
      <c r="P1345" s="2" t="s">
        <v>35</v>
      </c>
      <c r="Q1345" s="10" t="str">
        <f>VLOOKUP(A1345,Status!A:B,2,0)</f>
        <v>Completed</v>
      </c>
      <c r="R1345" s="2" t="s">
        <v>36</v>
      </c>
      <c r="S1345" s="2">
        <v>1</v>
      </c>
      <c r="T1345" s="2" t="s">
        <v>37</v>
      </c>
      <c r="U1345" s="10" t="str">
        <f t="shared" si="125"/>
        <v>Sep</v>
      </c>
      <c r="V1345" s="10">
        <f t="shared" si="124"/>
        <v>2024</v>
      </c>
      <c r="W1345" t="e" cm="1">
        <f t="array" ref="W1345">_xlfn.IFS(U1345="January",1,U1345="February",2,U1345="March",3,U1345="April",4,U1345="May",5,U1345="June",6,U1345="July",7,U1345="August",8,U1345="September",9,U1345="October",10,U1345="November",11,U1345="December",12)</f>
        <v>#N/A</v>
      </c>
    </row>
    <row r="1346" spans="1:23" ht="15.75" customHeight="1" x14ac:dyDescent="0.25">
      <c r="A1346" s="2" t="s">
        <v>31</v>
      </c>
      <c r="B1346" s="3">
        <v>45551.531631944446</v>
      </c>
      <c r="C1346" s="2" t="s">
        <v>32</v>
      </c>
      <c r="D1346" s="2" t="s">
        <v>33</v>
      </c>
      <c r="E1346" s="2" t="s">
        <v>38</v>
      </c>
      <c r="F1346" s="2" t="str" cm="1">
        <f t="array" ref="F1346:G1346">_xlfn.TEXTSPLIT(E1346," - ")</f>
        <v>Telur Ayam</v>
      </c>
      <c r="G1346" s="2" t="str">
        <v>Brand C</v>
      </c>
      <c r="H1346" s="5">
        <v>28000</v>
      </c>
      <c r="I1346" s="2">
        <v>1</v>
      </c>
      <c r="J1346" s="2">
        <v>10</v>
      </c>
      <c r="K1346" s="8">
        <f t="shared" ref="K1346:K1409" si="126">H1346*I1346</f>
        <v>28000</v>
      </c>
      <c r="L1346" s="8">
        <f t="shared" ref="L1346:L1409" si="127">K1346*J1346%</f>
        <v>2800</v>
      </c>
      <c r="M1346" s="8">
        <f t="shared" ref="M1346:M1409" si="128">K1346-L1346</f>
        <v>25200</v>
      </c>
      <c r="N1346" s="5">
        <v>0</v>
      </c>
      <c r="O1346" s="8">
        <f t="shared" ref="O1346:O1409" si="129">M1346+N1346</f>
        <v>25200</v>
      </c>
      <c r="P1346" s="2" t="s">
        <v>35</v>
      </c>
      <c r="Q1346" s="10" t="str">
        <f>VLOOKUP(A1346,Status!A:B,2,0)</f>
        <v>Completed</v>
      </c>
      <c r="R1346" s="2" t="s">
        <v>36</v>
      </c>
      <c r="S1346" s="2">
        <v>1</v>
      </c>
      <c r="T1346" s="2" t="s">
        <v>37</v>
      </c>
      <c r="U1346" s="10" t="str">
        <f t="shared" si="125"/>
        <v>Sep</v>
      </c>
      <c r="V1346" s="10">
        <f t="shared" ref="V1346:V1409" si="130">YEAR(B1346)</f>
        <v>2024</v>
      </c>
      <c r="W1346" t="e" cm="1">
        <f t="array" ref="W1346">_xlfn.IFS(U1346="January",1,U1346="February",2,U1346="March",3,U1346="April",4,U1346="May",5,U1346="June",6,U1346="July",7,U1346="August",8,U1346="September",9,U1346="October",10,U1346="November",11,U1346="December",12)</f>
        <v>#N/A</v>
      </c>
    </row>
    <row r="1347" spans="1:23" ht="15.75" customHeight="1" x14ac:dyDescent="0.25">
      <c r="A1347" s="2" t="s">
        <v>39</v>
      </c>
      <c r="B1347" s="3">
        <v>45551.573483796303</v>
      </c>
      <c r="C1347" s="2" t="s">
        <v>40</v>
      </c>
      <c r="D1347" s="2" t="s">
        <v>27</v>
      </c>
      <c r="E1347" s="2" t="s">
        <v>41</v>
      </c>
      <c r="F1347" s="2" t="str" cm="1">
        <f t="array" ref="F1347:G1347">_xlfn.TEXTSPLIT(E1347," - ")</f>
        <v>Garam</v>
      </c>
      <c r="G1347" s="2" t="str">
        <v>Brand A</v>
      </c>
      <c r="H1347" s="5">
        <v>4000</v>
      </c>
      <c r="I1347" s="2">
        <v>3</v>
      </c>
      <c r="J1347" s="2">
        <v>0</v>
      </c>
      <c r="K1347" s="8">
        <f t="shared" si="126"/>
        <v>12000</v>
      </c>
      <c r="L1347" s="8">
        <f t="shared" si="127"/>
        <v>0</v>
      </c>
      <c r="M1347" s="8">
        <f t="shared" si="128"/>
        <v>12000</v>
      </c>
      <c r="N1347" s="5">
        <v>17000</v>
      </c>
      <c r="O1347" s="8">
        <f t="shared" si="129"/>
        <v>29000</v>
      </c>
      <c r="P1347" s="2" t="s">
        <v>29</v>
      </c>
      <c r="Q1347" s="10" t="str">
        <f>VLOOKUP(A1347,Status!A:B,2,0)</f>
        <v>Completed</v>
      </c>
      <c r="R1347" s="2" t="s">
        <v>30</v>
      </c>
      <c r="S1347" s="2">
        <v>2</v>
      </c>
      <c r="T1347" s="2" t="s">
        <v>24</v>
      </c>
      <c r="U1347" s="10" t="str">
        <f t="shared" ref="U1347:U1410" si="131">TEXT(B1347,"MMM")</f>
        <v>Sep</v>
      </c>
      <c r="V1347" s="10">
        <f t="shared" si="130"/>
        <v>2024</v>
      </c>
      <c r="W1347" t="e" cm="1">
        <f t="array" ref="W1347">_xlfn.IFS(U1347="January",1,U1347="February",2,U1347="March",3,U1347="April",4,U1347="May",5,U1347="June",6,U1347="July",7,U1347="August",8,U1347="September",9,U1347="October",10,U1347="November",11,U1347="December",12)</f>
        <v>#N/A</v>
      </c>
    </row>
    <row r="1348" spans="1:23" ht="15.75" customHeight="1" x14ac:dyDescent="0.25">
      <c r="A1348" s="2" t="s">
        <v>42</v>
      </c>
      <c r="B1348" s="3">
        <v>45551.633425925917</v>
      </c>
      <c r="C1348" s="2" t="s">
        <v>43</v>
      </c>
      <c r="D1348" s="2" t="s">
        <v>44</v>
      </c>
      <c r="E1348" s="2" t="s">
        <v>45</v>
      </c>
      <c r="F1348" s="2" t="str" cm="1">
        <f t="array" ref="F1348:G1348">_xlfn.TEXTSPLIT(E1348," - ")</f>
        <v>Daging Ayam</v>
      </c>
      <c r="G1348" s="2" t="str">
        <v>Brand B</v>
      </c>
      <c r="H1348" s="5">
        <v>40000</v>
      </c>
      <c r="I1348" s="2">
        <v>1</v>
      </c>
      <c r="J1348" s="2">
        <v>0</v>
      </c>
      <c r="K1348" s="8">
        <f t="shared" si="126"/>
        <v>40000</v>
      </c>
      <c r="L1348" s="8">
        <f t="shared" si="127"/>
        <v>0</v>
      </c>
      <c r="M1348" s="8">
        <f t="shared" si="128"/>
        <v>40000</v>
      </c>
      <c r="N1348" s="5">
        <v>93000</v>
      </c>
      <c r="O1348" s="8">
        <f t="shared" si="129"/>
        <v>133000</v>
      </c>
      <c r="P1348" s="2" t="s">
        <v>35</v>
      </c>
      <c r="Q1348" s="10" t="str">
        <f>VLOOKUP(A1348,Status!A:B,2,0)</f>
        <v>Completed</v>
      </c>
      <c r="R1348" s="2" t="s">
        <v>46</v>
      </c>
      <c r="S1348" s="2">
        <v>2</v>
      </c>
      <c r="T1348" s="2" t="s">
        <v>24</v>
      </c>
      <c r="U1348" s="10" t="str">
        <f t="shared" si="131"/>
        <v>Sep</v>
      </c>
      <c r="V1348" s="10">
        <f t="shared" si="130"/>
        <v>2024</v>
      </c>
      <c r="W1348" t="e" cm="1">
        <f t="array" ref="W1348">_xlfn.IFS(U1348="January",1,U1348="February",2,U1348="March",3,U1348="April",4,U1348="May",5,U1348="June",6,U1348="July",7,U1348="August",8,U1348="September",9,U1348="October",10,U1348="November",11,U1348="December",12)</f>
        <v>#N/A</v>
      </c>
    </row>
    <row r="1349" spans="1:23" ht="15.75" customHeight="1" x14ac:dyDescent="0.25">
      <c r="A1349" s="2" t="s">
        <v>47</v>
      </c>
      <c r="B1349" s="3">
        <v>45552.008842592593</v>
      </c>
      <c r="C1349" s="2" t="s">
        <v>48</v>
      </c>
      <c r="D1349" s="2" t="s">
        <v>49</v>
      </c>
      <c r="E1349" s="2" t="s">
        <v>50</v>
      </c>
      <c r="F1349" s="2" t="str" cm="1">
        <f t="array" ref="F1349:G1349">_xlfn.TEXTSPLIT(E1349," - ")</f>
        <v>Tepung Terigu</v>
      </c>
      <c r="G1349" s="2" t="str">
        <v>Brand C</v>
      </c>
      <c r="H1349" s="5">
        <v>14000</v>
      </c>
      <c r="I1349" s="2">
        <v>4</v>
      </c>
      <c r="J1349" s="2">
        <v>0</v>
      </c>
      <c r="K1349" s="8">
        <f t="shared" si="126"/>
        <v>56000</v>
      </c>
      <c r="L1349" s="8">
        <f t="shared" si="127"/>
        <v>0</v>
      </c>
      <c r="M1349" s="8">
        <f t="shared" si="128"/>
        <v>56000</v>
      </c>
      <c r="N1349" s="5">
        <v>43000</v>
      </c>
      <c r="O1349" s="8">
        <f t="shared" si="129"/>
        <v>99000</v>
      </c>
      <c r="P1349" s="2" t="s">
        <v>22</v>
      </c>
      <c r="Q1349" s="10" t="str">
        <f>VLOOKUP(A1349,Status!A:B,2,0)</f>
        <v>Completed</v>
      </c>
      <c r="R1349" s="2" t="s">
        <v>30</v>
      </c>
      <c r="S1349" s="2">
        <v>4</v>
      </c>
      <c r="T1349" s="2" t="s">
        <v>24</v>
      </c>
      <c r="U1349" s="10" t="str">
        <f t="shared" si="131"/>
        <v>Sep</v>
      </c>
      <c r="V1349" s="10">
        <f t="shared" si="130"/>
        <v>2024</v>
      </c>
      <c r="W1349" t="e" cm="1">
        <f t="array" ref="W1349">_xlfn.IFS(U1349="January",1,U1349="February",2,U1349="March",3,U1349="April",4,U1349="May",5,U1349="June",6,U1349="July",7,U1349="August",8,U1349="September",9,U1349="October",10,U1349="November",11,U1349="December",12)</f>
        <v>#N/A</v>
      </c>
    </row>
    <row r="1350" spans="1:23" ht="15.75" customHeight="1" x14ac:dyDescent="0.25">
      <c r="A1350" s="2" t="s">
        <v>51</v>
      </c>
      <c r="B1350" s="3">
        <v>45552.077418981477</v>
      </c>
      <c r="C1350" s="2" t="s">
        <v>52</v>
      </c>
      <c r="D1350" s="2" t="s">
        <v>53</v>
      </c>
      <c r="E1350" s="2" t="s">
        <v>54</v>
      </c>
      <c r="F1350" s="2" t="str" cm="1">
        <f t="array" ref="F1350:G1350">_xlfn.TEXTSPLIT(E1350," - ")</f>
        <v>Beras</v>
      </c>
      <c r="G1350" s="2" t="str">
        <v>Brand C</v>
      </c>
      <c r="H1350" s="5">
        <v>16000</v>
      </c>
      <c r="I1350" s="2">
        <v>2</v>
      </c>
      <c r="J1350" s="2">
        <v>0</v>
      </c>
      <c r="K1350" s="8">
        <f t="shared" si="126"/>
        <v>32000</v>
      </c>
      <c r="L1350" s="8">
        <f t="shared" si="127"/>
        <v>0</v>
      </c>
      <c r="M1350" s="8">
        <f t="shared" si="128"/>
        <v>32000</v>
      </c>
      <c r="N1350" s="5">
        <v>18000</v>
      </c>
      <c r="O1350" s="8">
        <f t="shared" si="129"/>
        <v>50000</v>
      </c>
      <c r="P1350" s="2" t="s">
        <v>29</v>
      </c>
      <c r="Q1350" s="10" t="str">
        <f>VLOOKUP(A1350,Status!A:B,2,0)</f>
        <v>Completed</v>
      </c>
      <c r="R1350" s="2" t="s">
        <v>30</v>
      </c>
      <c r="S1350" s="2">
        <v>5</v>
      </c>
      <c r="T1350" s="2" t="s">
        <v>24</v>
      </c>
      <c r="U1350" s="10" t="str">
        <f t="shared" si="131"/>
        <v>Sep</v>
      </c>
      <c r="V1350" s="10">
        <f t="shared" si="130"/>
        <v>2024</v>
      </c>
      <c r="W1350" t="e" cm="1">
        <f t="array" ref="W1350">_xlfn.IFS(U1350="January",1,U1350="February",2,U1350="March",3,U1350="April",4,U1350="May",5,U1350="June",6,U1350="July",7,U1350="August",8,U1350="September",9,U1350="October",10,U1350="November",11,U1350="December",12)</f>
        <v>#N/A</v>
      </c>
    </row>
    <row r="1351" spans="1:23" ht="15.75" customHeight="1" x14ac:dyDescent="0.25">
      <c r="A1351" s="2" t="s">
        <v>55</v>
      </c>
      <c r="B1351" s="3">
        <v>45552.108449074083</v>
      </c>
      <c r="C1351" s="2" t="s">
        <v>56</v>
      </c>
      <c r="D1351" s="2" t="s">
        <v>57</v>
      </c>
      <c r="E1351" s="2" t="s">
        <v>58</v>
      </c>
      <c r="F1351" s="2" t="str" cm="1">
        <f t="array" ref="F1351:G1351">_xlfn.TEXTSPLIT(E1351," - ")</f>
        <v>Gula Pasir</v>
      </c>
      <c r="G1351" s="2" t="str">
        <v>Brand A</v>
      </c>
      <c r="H1351" s="5">
        <v>16000</v>
      </c>
      <c r="I1351" s="2">
        <v>1</v>
      </c>
      <c r="J1351" s="2">
        <v>0</v>
      </c>
      <c r="K1351" s="8">
        <f t="shared" si="126"/>
        <v>16000</v>
      </c>
      <c r="L1351" s="8">
        <f t="shared" si="127"/>
        <v>0</v>
      </c>
      <c r="M1351" s="8">
        <f t="shared" si="128"/>
        <v>16000</v>
      </c>
      <c r="N1351" s="5">
        <v>80000</v>
      </c>
      <c r="O1351" s="8">
        <f t="shared" si="129"/>
        <v>96000</v>
      </c>
      <c r="P1351" s="2" t="s">
        <v>35</v>
      </c>
      <c r="Q1351" s="10" t="str">
        <f>VLOOKUP(A1351,Status!A:B,2,0)</f>
        <v>Completed</v>
      </c>
      <c r="R1351" s="2" t="s">
        <v>36</v>
      </c>
      <c r="S1351" s="2">
        <v>5</v>
      </c>
      <c r="T1351" s="2" t="s">
        <v>24</v>
      </c>
      <c r="U1351" s="10" t="str">
        <f t="shared" si="131"/>
        <v>Sep</v>
      </c>
      <c r="V1351" s="10">
        <f t="shared" si="130"/>
        <v>2024</v>
      </c>
      <c r="W1351" t="e" cm="1">
        <f t="array" ref="W1351">_xlfn.IFS(U1351="January",1,U1351="February",2,U1351="March",3,U1351="April",4,U1351="May",5,U1351="June",6,U1351="July",7,U1351="August",8,U1351="September",9,U1351="October",10,U1351="November",11,U1351="December",12)</f>
        <v>#N/A</v>
      </c>
    </row>
    <row r="1352" spans="1:23" ht="15.75" customHeight="1" x14ac:dyDescent="0.25">
      <c r="A1352" s="2" t="s">
        <v>59</v>
      </c>
      <c r="B1352" s="3">
        <v>45552.464247685188</v>
      </c>
      <c r="C1352" s="2" t="s">
        <v>60</v>
      </c>
      <c r="D1352" s="2" t="s">
        <v>61</v>
      </c>
      <c r="E1352" s="2" t="s">
        <v>62</v>
      </c>
      <c r="F1352" s="2" t="str" cm="1">
        <f t="array" ref="F1352:G1352">_xlfn.TEXTSPLIT(E1352," - ")</f>
        <v>Susu Bubuk</v>
      </c>
      <c r="G1352" s="2" t="str">
        <v>Brand B</v>
      </c>
      <c r="H1352" s="5">
        <v>50000</v>
      </c>
      <c r="I1352" s="2">
        <v>2</v>
      </c>
      <c r="J1352" s="2">
        <v>10</v>
      </c>
      <c r="K1352" s="8">
        <f t="shared" si="126"/>
        <v>100000</v>
      </c>
      <c r="L1352" s="8">
        <f t="shared" si="127"/>
        <v>10000</v>
      </c>
      <c r="M1352" s="8">
        <f t="shared" si="128"/>
        <v>90000</v>
      </c>
      <c r="N1352" s="5">
        <v>26000</v>
      </c>
      <c r="O1352" s="8">
        <f t="shared" si="129"/>
        <v>116000</v>
      </c>
      <c r="P1352" s="2" t="s">
        <v>63</v>
      </c>
      <c r="Q1352" s="10" t="str">
        <f>VLOOKUP(A1352,Status!A:B,2,0)</f>
        <v>Completed</v>
      </c>
      <c r="R1352" s="2" t="s">
        <v>36</v>
      </c>
      <c r="S1352" s="2">
        <v>2</v>
      </c>
      <c r="T1352" s="2" t="s">
        <v>24</v>
      </c>
      <c r="U1352" s="10" t="str">
        <f t="shared" si="131"/>
        <v>Sep</v>
      </c>
      <c r="V1352" s="10">
        <f t="shared" si="130"/>
        <v>2024</v>
      </c>
      <c r="W1352" t="e" cm="1">
        <f t="array" ref="W1352">_xlfn.IFS(U1352="January",1,U1352="February",2,U1352="March",3,U1352="April",4,U1352="May",5,U1352="June",6,U1352="July",7,U1352="August",8,U1352="September",9,U1352="October",10,U1352="November",11,U1352="December",12)</f>
        <v>#N/A</v>
      </c>
    </row>
    <row r="1353" spans="1:23" ht="15.75" customHeight="1" x14ac:dyDescent="0.25">
      <c r="A1353" s="2" t="s">
        <v>64</v>
      </c>
      <c r="B1353" s="3">
        <v>45552.563796296286</v>
      </c>
      <c r="C1353" s="2" t="s">
        <v>65</v>
      </c>
      <c r="D1353" s="2" t="s">
        <v>66</v>
      </c>
      <c r="E1353" s="2" t="s">
        <v>67</v>
      </c>
      <c r="F1353" s="2" t="str" cm="1">
        <f t="array" ref="F1353:G1353">_xlfn.TEXTSPLIT(E1353," - ")</f>
        <v>Beras</v>
      </c>
      <c r="G1353" s="2" t="str">
        <v>Brand B</v>
      </c>
      <c r="H1353" s="5">
        <v>15000</v>
      </c>
      <c r="I1353" s="2">
        <v>1</v>
      </c>
      <c r="J1353" s="2">
        <v>20</v>
      </c>
      <c r="K1353" s="8">
        <f t="shared" si="126"/>
        <v>15000</v>
      </c>
      <c r="L1353" s="8">
        <f t="shared" si="127"/>
        <v>3000</v>
      </c>
      <c r="M1353" s="8">
        <f t="shared" si="128"/>
        <v>12000</v>
      </c>
      <c r="N1353" s="5">
        <v>59000</v>
      </c>
      <c r="O1353" s="8">
        <f t="shared" si="129"/>
        <v>71000</v>
      </c>
      <c r="P1353" s="2" t="s">
        <v>63</v>
      </c>
      <c r="Q1353" s="10" t="str">
        <f>VLOOKUP(A1353,Status!A:B,2,0)</f>
        <v>Completed</v>
      </c>
      <c r="R1353" s="2" t="s">
        <v>36</v>
      </c>
      <c r="S1353" s="2">
        <v>1</v>
      </c>
      <c r="T1353" s="2" t="s">
        <v>37</v>
      </c>
      <c r="U1353" s="10" t="str">
        <f t="shared" si="131"/>
        <v>Sep</v>
      </c>
      <c r="V1353" s="10">
        <f t="shared" si="130"/>
        <v>2024</v>
      </c>
      <c r="W1353" t="e" cm="1">
        <f t="array" ref="W1353">_xlfn.IFS(U1353="January",1,U1353="February",2,U1353="March",3,U1353="April",4,U1353="May",5,U1353="June",6,U1353="July",7,U1353="August",8,U1353="September",9,U1353="October",10,U1353="November",11,U1353="December",12)</f>
        <v>#N/A</v>
      </c>
    </row>
    <row r="1354" spans="1:23" ht="15.75" customHeight="1" x14ac:dyDescent="0.25">
      <c r="A1354" s="2" t="s">
        <v>68</v>
      </c>
      <c r="B1354" s="3">
        <v>45552.791898148149</v>
      </c>
      <c r="C1354" s="2" t="s">
        <v>69</v>
      </c>
      <c r="D1354" s="2" t="s">
        <v>70</v>
      </c>
      <c r="E1354" s="2" t="s">
        <v>71</v>
      </c>
      <c r="F1354" s="2" t="str" cm="1">
        <f t="array" ref="F1354:G1354">_xlfn.TEXTSPLIT(E1354," - ")</f>
        <v>Bawang Merah</v>
      </c>
      <c r="G1354" s="2" t="str">
        <v>Brand C</v>
      </c>
      <c r="H1354" s="5">
        <v>40000</v>
      </c>
      <c r="I1354" s="2">
        <v>4</v>
      </c>
      <c r="J1354" s="2">
        <v>5</v>
      </c>
      <c r="K1354" s="8">
        <f t="shared" si="126"/>
        <v>160000</v>
      </c>
      <c r="L1354" s="8">
        <f t="shared" si="127"/>
        <v>8000</v>
      </c>
      <c r="M1354" s="8">
        <f t="shared" si="128"/>
        <v>152000</v>
      </c>
      <c r="N1354" s="5">
        <v>89000</v>
      </c>
      <c r="O1354" s="8">
        <f t="shared" si="129"/>
        <v>241000</v>
      </c>
      <c r="P1354" s="2" t="s">
        <v>35</v>
      </c>
      <c r="Q1354" s="10" t="str">
        <f>VLOOKUP(A1354,Status!A:B,2,0)</f>
        <v>Completed</v>
      </c>
      <c r="R1354" s="2" t="s">
        <v>46</v>
      </c>
      <c r="S1354" s="2">
        <v>1</v>
      </c>
      <c r="T1354" s="2" t="s">
        <v>37</v>
      </c>
      <c r="U1354" s="10" t="str">
        <f t="shared" si="131"/>
        <v>Sep</v>
      </c>
      <c r="V1354" s="10">
        <f t="shared" si="130"/>
        <v>2024</v>
      </c>
      <c r="W1354" t="e" cm="1">
        <f t="array" ref="W1354">_xlfn.IFS(U1354="January",1,U1354="February",2,U1354="March",3,U1354="April",4,U1354="May",5,U1354="June",6,U1354="July",7,U1354="August",8,U1354="September",9,U1354="October",10,U1354="November",11,U1354="December",12)</f>
        <v>#N/A</v>
      </c>
    </row>
    <row r="1355" spans="1:23" ht="15.75" customHeight="1" x14ac:dyDescent="0.25">
      <c r="A1355" s="2" t="s">
        <v>72</v>
      </c>
      <c r="B1355" s="3">
        <v>45552.937326388892</v>
      </c>
      <c r="C1355" s="2" t="s">
        <v>73</v>
      </c>
      <c r="D1355" s="2" t="s">
        <v>74</v>
      </c>
      <c r="E1355" s="2" t="s">
        <v>75</v>
      </c>
      <c r="F1355" s="2" t="str" cm="1">
        <f t="array" ref="F1355:G1355">_xlfn.TEXTSPLIT(E1355," - ")</f>
        <v>Susu Bubuk</v>
      </c>
      <c r="G1355" s="2" t="str">
        <v>Brand C</v>
      </c>
      <c r="H1355" s="5">
        <v>55000</v>
      </c>
      <c r="I1355" s="2">
        <v>3</v>
      </c>
      <c r="J1355" s="2">
        <v>15</v>
      </c>
      <c r="K1355" s="8">
        <f t="shared" si="126"/>
        <v>165000</v>
      </c>
      <c r="L1355" s="8">
        <f t="shared" si="127"/>
        <v>24750</v>
      </c>
      <c r="M1355" s="8">
        <f t="shared" si="128"/>
        <v>140250</v>
      </c>
      <c r="N1355" s="5">
        <v>87000</v>
      </c>
      <c r="O1355" s="8">
        <f t="shared" si="129"/>
        <v>227250</v>
      </c>
      <c r="P1355" s="2" t="s">
        <v>35</v>
      </c>
      <c r="Q1355" s="10" t="str">
        <f>VLOOKUP(A1355,Status!A:B,2,0)</f>
        <v>Returned</v>
      </c>
      <c r="R1355" s="2" t="s">
        <v>30</v>
      </c>
      <c r="S1355" s="2">
        <v>4</v>
      </c>
      <c r="T1355" s="2" t="s">
        <v>24</v>
      </c>
      <c r="U1355" s="10" t="str">
        <f t="shared" si="131"/>
        <v>Sep</v>
      </c>
      <c r="V1355" s="10">
        <f t="shared" si="130"/>
        <v>2024</v>
      </c>
      <c r="W1355" t="e" cm="1">
        <f t="array" ref="W1355">_xlfn.IFS(U1355="January",1,U1355="February",2,U1355="March",3,U1355="April",4,U1355="May",5,U1355="June",6,U1355="July",7,U1355="August",8,U1355="September",9,U1355="October",10,U1355="November",11,U1355="December",12)</f>
        <v>#N/A</v>
      </c>
    </row>
    <row r="1356" spans="1:23" ht="15.75" customHeight="1" x14ac:dyDescent="0.25">
      <c r="A1356" s="2" t="s">
        <v>76</v>
      </c>
      <c r="B1356" s="3">
        <v>45552.939884259264</v>
      </c>
      <c r="C1356" s="2" t="s">
        <v>77</v>
      </c>
      <c r="D1356" s="2" t="s">
        <v>61</v>
      </c>
      <c r="E1356" s="2" t="s">
        <v>54</v>
      </c>
      <c r="F1356" s="2" t="str" cm="1">
        <f t="array" ref="F1356:G1356">_xlfn.TEXTSPLIT(E1356," - ")</f>
        <v>Beras</v>
      </c>
      <c r="G1356" s="2" t="str">
        <v>Brand C</v>
      </c>
      <c r="H1356" s="5">
        <v>16000</v>
      </c>
      <c r="I1356" s="2">
        <v>3</v>
      </c>
      <c r="J1356" s="2">
        <v>0</v>
      </c>
      <c r="K1356" s="8">
        <f t="shared" si="126"/>
        <v>48000</v>
      </c>
      <c r="L1356" s="8">
        <f t="shared" si="127"/>
        <v>0</v>
      </c>
      <c r="M1356" s="8">
        <f t="shared" si="128"/>
        <v>48000</v>
      </c>
      <c r="N1356" s="5">
        <v>26000</v>
      </c>
      <c r="O1356" s="8">
        <f t="shared" si="129"/>
        <v>74000</v>
      </c>
      <c r="P1356" s="2" t="s">
        <v>35</v>
      </c>
      <c r="Q1356" s="10" t="str">
        <f>VLOOKUP(A1356,Status!A:B,2,0)</f>
        <v>Completed</v>
      </c>
      <c r="R1356" s="2" t="s">
        <v>46</v>
      </c>
      <c r="S1356" s="2">
        <v>4</v>
      </c>
      <c r="T1356" s="2" t="s">
        <v>24</v>
      </c>
      <c r="U1356" s="10" t="str">
        <f t="shared" si="131"/>
        <v>Sep</v>
      </c>
      <c r="V1356" s="10">
        <f t="shared" si="130"/>
        <v>2024</v>
      </c>
      <c r="W1356" t="e" cm="1">
        <f t="array" ref="W1356">_xlfn.IFS(U1356="January",1,U1356="February",2,U1356="March",3,U1356="April",4,U1356="May",5,U1356="June",6,U1356="July",7,U1356="August",8,U1356="September",9,U1356="October",10,U1356="November",11,U1356="December",12)</f>
        <v>#N/A</v>
      </c>
    </row>
    <row r="1357" spans="1:23" ht="15.75" customHeight="1" x14ac:dyDescent="0.25">
      <c r="A1357" s="2" t="s">
        <v>78</v>
      </c>
      <c r="B1357" s="3">
        <v>45552.946944444448</v>
      </c>
      <c r="C1357" s="2" t="s">
        <v>79</v>
      </c>
      <c r="D1357" s="2" t="s">
        <v>80</v>
      </c>
      <c r="E1357" s="2" t="s">
        <v>81</v>
      </c>
      <c r="F1357" s="2" t="str" cm="1">
        <f t="array" ref="F1357:G1357">_xlfn.TEXTSPLIT(E1357," - ")</f>
        <v>Minyak Goreng</v>
      </c>
      <c r="G1357" s="2" t="str">
        <v>Brand B</v>
      </c>
      <c r="H1357" s="5">
        <v>17000</v>
      </c>
      <c r="I1357" s="2">
        <v>5</v>
      </c>
      <c r="J1357" s="2">
        <v>20</v>
      </c>
      <c r="K1357" s="8">
        <f t="shared" si="126"/>
        <v>85000</v>
      </c>
      <c r="L1357" s="8">
        <f t="shared" si="127"/>
        <v>17000</v>
      </c>
      <c r="M1357" s="8">
        <f t="shared" si="128"/>
        <v>68000</v>
      </c>
      <c r="N1357" s="5">
        <v>74000</v>
      </c>
      <c r="O1357" s="8">
        <f t="shared" si="129"/>
        <v>142000</v>
      </c>
      <c r="P1357" s="2" t="s">
        <v>29</v>
      </c>
      <c r="Q1357" s="10" t="str">
        <f>VLOOKUP(A1357,Status!A:B,2,0)</f>
        <v>Completed</v>
      </c>
      <c r="R1357" s="2" t="s">
        <v>82</v>
      </c>
      <c r="S1357" s="2">
        <v>2</v>
      </c>
      <c r="T1357" s="2" t="s">
        <v>24</v>
      </c>
      <c r="U1357" s="10" t="str">
        <f t="shared" si="131"/>
        <v>Sep</v>
      </c>
      <c r="V1357" s="10">
        <f t="shared" si="130"/>
        <v>2024</v>
      </c>
      <c r="W1357" t="e" cm="1">
        <f t="array" ref="W1357">_xlfn.IFS(U1357="January",1,U1357="February",2,U1357="March",3,U1357="April",4,U1357="May",5,U1357="June",6,U1357="July",7,U1357="August",8,U1357="September",9,U1357="October",10,U1357="November",11,U1357="December",12)</f>
        <v>#N/A</v>
      </c>
    </row>
    <row r="1358" spans="1:23" ht="15.75" customHeight="1" x14ac:dyDescent="0.25">
      <c r="A1358" s="2" t="s">
        <v>83</v>
      </c>
      <c r="B1358" s="3">
        <v>45553.174039351848</v>
      </c>
      <c r="C1358" s="2" t="s">
        <v>84</v>
      </c>
      <c r="D1358" s="2" t="s">
        <v>57</v>
      </c>
      <c r="E1358" s="2" t="s">
        <v>85</v>
      </c>
      <c r="F1358" s="2" t="str" cm="1">
        <f t="array" ref="F1358:G1358">_xlfn.TEXTSPLIT(E1358," - ")</f>
        <v>Daging Ayam</v>
      </c>
      <c r="G1358" s="2" t="str">
        <v>Brand A</v>
      </c>
      <c r="H1358" s="5">
        <v>35000</v>
      </c>
      <c r="I1358" s="2">
        <v>4</v>
      </c>
      <c r="J1358" s="2">
        <v>20</v>
      </c>
      <c r="K1358" s="8">
        <f t="shared" si="126"/>
        <v>140000</v>
      </c>
      <c r="L1358" s="8">
        <f t="shared" si="127"/>
        <v>28000</v>
      </c>
      <c r="M1358" s="8">
        <f t="shared" si="128"/>
        <v>112000</v>
      </c>
      <c r="N1358" s="5">
        <v>80000</v>
      </c>
      <c r="O1358" s="8">
        <f t="shared" si="129"/>
        <v>192000</v>
      </c>
      <c r="P1358" s="2" t="s">
        <v>22</v>
      </c>
      <c r="Q1358" s="10" t="str">
        <f>VLOOKUP(A1358,Status!A:B,2,0)</f>
        <v>Completed</v>
      </c>
      <c r="R1358" s="2" t="s">
        <v>30</v>
      </c>
      <c r="S1358" s="2">
        <v>2</v>
      </c>
      <c r="T1358" s="2" t="s">
        <v>37</v>
      </c>
      <c r="U1358" s="10" t="str">
        <f t="shared" si="131"/>
        <v>Sep</v>
      </c>
      <c r="V1358" s="10">
        <f t="shared" si="130"/>
        <v>2024</v>
      </c>
      <c r="W1358" t="e" cm="1">
        <f t="array" ref="W1358">_xlfn.IFS(U1358="January",1,U1358="February",2,U1358="March",3,U1358="April",4,U1358="May",5,U1358="June",6,U1358="July",7,U1358="August",8,U1358="September",9,U1358="October",10,U1358="November",11,U1358="December",12)</f>
        <v>#N/A</v>
      </c>
    </row>
    <row r="1359" spans="1:23" ht="15.75" customHeight="1" x14ac:dyDescent="0.25">
      <c r="A1359" s="2" t="s">
        <v>86</v>
      </c>
      <c r="B1359" s="3">
        <v>45553.610069444447</v>
      </c>
      <c r="C1359" s="2" t="s">
        <v>87</v>
      </c>
      <c r="D1359" s="2" t="s">
        <v>80</v>
      </c>
      <c r="E1359" s="2" t="s">
        <v>88</v>
      </c>
      <c r="F1359" s="2" t="str" cm="1">
        <f t="array" ref="F1359:G1359">_xlfn.TEXTSPLIT(E1359," - ")</f>
        <v>Beras</v>
      </c>
      <c r="G1359" s="2" t="str">
        <v>Brand A</v>
      </c>
      <c r="H1359" s="5">
        <v>14000</v>
      </c>
      <c r="I1359" s="2">
        <v>3</v>
      </c>
      <c r="J1359" s="2">
        <v>0</v>
      </c>
      <c r="K1359" s="8">
        <f t="shared" si="126"/>
        <v>42000</v>
      </c>
      <c r="L1359" s="8">
        <f t="shared" si="127"/>
        <v>0</v>
      </c>
      <c r="M1359" s="8">
        <f t="shared" si="128"/>
        <v>42000</v>
      </c>
      <c r="N1359" s="5">
        <v>74000</v>
      </c>
      <c r="O1359" s="8">
        <f t="shared" si="129"/>
        <v>116000</v>
      </c>
      <c r="P1359" s="2" t="s">
        <v>35</v>
      </c>
      <c r="Q1359" s="10" t="str">
        <f>VLOOKUP(A1359,Status!A:B,2,0)</f>
        <v>Completed</v>
      </c>
      <c r="R1359" s="2" t="s">
        <v>82</v>
      </c>
      <c r="S1359" s="2">
        <v>4</v>
      </c>
      <c r="T1359" s="2" t="s">
        <v>24</v>
      </c>
      <c r="U1359" s="10" t="str">
        <f t="shared" si="131"/>
        <v>Sep</v>
      </c>
      <c r="V1359" s="10">
        <f t="shared" si="130"/>
        <v>2024</v>
      </c>
      <c r="W1359" t="e" cm="1">
        <f t="array" ref="W1359">_xlfn.IFS(U1359="January",1,U1359="February",2,U1359="March",3,U1359="April",4,U1359="May",5,U1359="June",6,U1359="July",7,U1359="August",8,U1359="September",9,U1359="October",10,U1359="November",11,U1359="December",12)</f>
        <v>#N/A</v>
      </c>
    </row>
    <row r="1360" spans="1:23" ht="15.75" customHeight="1" x14ac:dyDescent="0.25">
      <c r="A1360" s="2" t="s">
        <v>89</v>
      </c>
      <c r="B1360" s="3">
        <v>45553.80846064815</v>
      </c>
      <c r="C1360" s="2" t="s">
        <v>77</v>
      </c>
      <c r="D1360" s="2" t="s">
        <v>61</v>
      </c>
      <c r="E1360" s="2" t="s">
        <v>41</v>
      </c>
      <c r="F1360" s="2" t="str" cm="1">
        <f t="array" ref="F1360:G1360">_xlfn.TEXTSPLIT(E1360," - ")</f>
        <v>Garam</v>
      </c>
      <c r="G1360" s="2" t="str">
        <v>Brand A</v>
      </c>
      <c r="H1360" s="5">
        <v>4000</v>
      </c>
      <c r="I1360" s="2">
        <v>4</v>
      </c>
      <c r="J1360" s="2">
        <v>20</v>
      </c>
      <c r="K1360" s="8">
        <f t="shared" si="126"/>
        <v>16000</v>
      </c>
      <c r="L1360" s="8">
        <f t="shared" si="127"/>
        <v>3200</v>
      </c>
      <c r="M1360" s="8">
        <f t="shared" si="128"/>
        <v>12800</v>
      </c>
      <c r="N1360" s="5">
        <v>26000</v>
      </c>
      <c r="O1360" s="8">
        <f t="shared" si="129"/>
        <v>38800</v>
      </c>
      <c r="P1360" s="2" t="s">
        <v>29</v>
      </c>
      <c r="Q1360" s="10" t="str">
        <f>VLOOKUP(A1360,Status!A:B,2,0)</f>
        <v>Completed</v>
      </c>
      <c r="R1360" s="2" t="s">
        <v>36</v>
      </c>
      <c r="S1360" s="2">
        <v>4</v>
      </c>
      <c r="T1360" s="2" t="s">
        <v>24</v>
      </c>
      <c r="U1360" s="10" t="str">
        <f t="shared" si="131"/>
        <v>Sep</v>
      </c>
      <c r="V1360" s="10">
        <f t="shared" si="130"/>
        <v>2024</v>
      </c>
      <c r="W1360" t="e" cm="1">
        <f t="array" ref="W1360">_xlfn.IFS(U1360="January",1,U1360="February",2,U1360="March",3,U1360="April",4,U1360="May",5,U1360="June",6,U1360="July",7,U1360="August",8,U1360="September",9,U1360="October",10,U1360="November",11,U1360="December",12)</f>
        <v>#N/A</v>
      </c>
    </row>
    <row r="1361" spans="1:23" ht="15.75" customHeight="1" x14ac:dyDescent="0.25">
      <c r="A1361" s="2" t="s">
        <v>90</v>
      </c>
      <c r="B1361" s="3">
        <v>45553.897916666669</v>
      </c>
      <c r="C1361" s="2" t="s">
        <v>91</v>
      </c>
      <c r="D1361" s="2" t="s">
        <v>92</v>
      </c>
      <c r="E1361" s="2" t="s">
        <v>93</v>
      </c>
      <c r="F1361" s="2" t="str" cm="1">
        <f t="array" ref="F1361:G1361">_xlfn.TEXTSPLIT(E1361," - ")</f>
        <v>Telur Ayam</v>
      </c>
      <c r="G1361" s="2" t="str">
        <v>Brand B</v>
      </c>
      <c r="H1361" s="5">
        <v>25000</v>
      </c>
      <c r="I1361" s="2">
        <v>5</v>
      </c>
      <c r="J1361" s="2">
        <v>10</v>
      </c>
      <c r="K1361" s="8">
        <f t="shared" si="126"/>
        <v>125000</v>
      </c>
      <c r="L1361" s="8">
        <f t="shared" si="127"/>
        <v>12500</v>
      </c>
      <c r="M1361" s="8">
        <f t="shared" si="128"/>
        <v>112500</v>
      </c>
      <c r="N1361" s="5">
        <v>30000</v>
      </c>
      <c r="O1361" s="8">
        <f t="shared" si="129"/>
        <v>142500</v>
      </c>
      <c r="P1361" s="2" t="s">
        <v>63</v>
      </c>
      <c r="Q1361" s="10" t="str">
        <f>VLOOKUP(A1361,Status!A:B,2,0)</f>
        <v>Completed</v>
      </c>
      <c r="R1361" s="2" t="s">
        <v>82</v>
      </c>
      <c r="S1361" s="2">
        <v>2</v>
      </c>
      <c r="T1361" s="2" t="s">
        <v>24</v>
      </c>
      <c r="U1361" s="10" t="str">
        <f t="shared" si="131"/>
        <v>Sep</v>
      </c>
      <c r="V1361" s="10">
        <f t="shared" si="130"/>
        <v>2024</v>
      </c>
      <c r="W1361" t="e" cm="1">
        <f t="array" ref="W1361">_xlfn.IFS(U1361="January",1,U1361="February",2,U1361="March",3,U1361="April",4,U1361="May",5,U1361="June",6,U1361="July",7,U1361="August",8,U1361="September",9,U1361="October",10,U1361="November",11,U1361="December",12)</f>
        <v>#N/A</v>
      </c>
    </row>
    <row r="1362" spans="1:23" ht="15.75" customHeight="1" x14ac:dyDescent="0.25">
      <c r="A1362" s="2" t="s">
        <v>94</v>
      </c>
      <c r="B1362" s="3">
        <v>45554.347511574073</v>
      </c>
      <c r="C1362" s="2" t="s">
        <v>95</v>
      </c>
      <c r="D1362" s="2" t="s">
        <v>96</v>
      </c>
      <c r="E1362" s="2" t="s">
        <v>58</v>
      </c>
      <c r="F1362" s="2" t="str" cm="1">
        <f t="array" ref="F1362:G1362">_xlfn.TEXTSPLIT(E1362," - ")</f>
        <v>Gula Pasir</v>
      </c>
      <c r="G1362" s="2" t="str">
        <v>Brand A</v>
      </c>
      <c r="H1362" s="5">
        <v>16000</v>
      </c>
      <c r="I1362" s="2">
        <v>2</v>
      </c>
      <c r="J1362" s="2">
        <v>20</v>
      </c>
      <c r="K1362" s="8">
        <f t="shared" si="126"/>
        <v>32000</v>
      </c>
      <c r="L1362" s="8">
        <f t="shared" si="127"/>
        <v>6400</v>
      </c>
      <c r="M1362" s="8">
        <f t="shared" si="128"/>
        <v>25600</v>
      </c>
      <c r="N1362" s="5">
        <v>49000</v>
      </c>
      <c r="O1362" s="8">
        <f t="shared" si="129"/>
        <v>74600</v>
      </c>
      <c r="P1362" s="2" t="s">
        <v>22</v>
      </c>
      <c r="Q1362" s="10" t="str">
        <f>VLOOKUP(A1362,Status!A:B,2,0)</f>
        <v>Completed</v>
      </c>
      <c r="R1362" s="2" t="s">
        <v>30</v>
      </c>
      <c r="S1362" s="2">
        <v>1</v>
      </c>
      <c r="T1362" s="2" t="s">
        <v>24</v>
      </c>
      <c r="U1362" s="10" t="str">
        <f t="shared" si="131"/>
        <v>Sep</v>
      </c>
      <c r="V1362" s="10">
        <f t="shared" si="130"/>
        <v>2024</v>
      </c>
      <c r="W1362" t="e" cm="1">
        <f t="array" ref="W1362">_xlfn.IFS(U1362="January",1,U1362="February",2,U1362="March",3,U1362="April",4,U1362="May",5,U1362="June",6,U1362="July",7,U1362="August",8,U1362="September",9,U1362="October",10,U1362="November",11,U1362="December",12)</f>
        <v>#N/A</v>
      </c>
    </row>
    <row r="1363" spans="1:23" ht="15.75" customHeight="1" x14ac:dyDescent="0.25">
      <c r="A1363" s="2" t="s">
        <v>97</v>
      </c>
      <c r="B1363" s="3">
        <v>45554.548981481479</v>
      </c>
      <c r="C1363" s="2" t="s">
        <v>98</v>
      </c>
      <c r="D1363" s="2" t="s">
        <v>92</v>
      </c>
      <c r="E1363" s="2" t="s">
        <v>45</v>
      </c>
      <c r="F1363" s="2" t="str" cm="1">
        <f t="array" ref="F1363:G1363">_xlfn.TEXTSPLIT(E1363," - ")</f>
        <v>Daging Ayam</v>
      </c>
      <c r="G1363" s="2" t="str">
        <v>Brand B</v>
      </c>
      <c r="H1363" s="5">
        <v>40000</v>
      </c>
      <c r="I1363" s="2">
        <v>4</v>
      </c>
      <c r="J1363" s="2">
        <v>10</v>
      </c>
      <c r="K1363" s="8">
        <f t="shared" si="126"/>
        <v>160000</v>
      </c>
      <c r="L1363" s="8">
        <f t="shared" si="127"/>
        <v>16000</v>
      </c>
      <c r="M1363" s="8">
        <f t="shared" si="128"/>
        <v>144000</v>
      </c>
      <c r="N1363" s="5">
        <v>30000</v>
      </c>
      <c r="O1363" s="8">
        <f t="shared" si="129"/>
        <v>174000</v>
      </c>
      <c r="P1363" s="2" t="s">
        <v>29</v>
      </c>
      <c r="Q1363" s="10" t="str">
        <f>VLOOKUP(A1363,Status!A:B,2,0)</f>
        <v>Completed</v>
      </c>
      <c r="R1363" s="2" t="s">
        <v>30</v>
      </c>
      <c r="S1363" s="2">
        <v>5</v>
      </c>
      <c r="T1363" s="2" t="s">
        <v>24</v>
      </c>
      <c r="U1363" s="10" t="str">
        <f t="shared" si="131"/>
        <v>Sep</v>
      </c>
      <c r="V1363" s="10">
        <f t="shared" si="130"/>
        <v>2024</v>
      </c>
      <c r="W1363" t="e" cm="1">
        <f t="array" ref="W1363">_xlfn.IFS(U1363="January",1,U1363="February",2,U1363="March",3,U1363="April",4,U1363="May",5,U1363="June",6,U1363="July",7,U1363="August",8,U1363="September",9,U1363="October",10,U1363="November",11,U1363="December",12)</f>
        <v>#N/A</v>
      </c>
    </row>
    <row r="1364" spans="1:23" ht="15.75" customHeight="1" x14ac:dyDescent="0.25">
      <c r="A1364" s="2" t="s">
        <v>99</v>
      </c>
      <c r="B1364" s="3">
        <v>45554.584305555552</v>
      </c>
      <c r="C1364" s="2" t="s">
        <v>100</v>
      </c>
      <c r="D1364" s="2" t="s">
        <v>66</v>
      </c>
      <c r="E1364" s="2" t="s">
        <v>71</v>
      </c>
      <c r="F1364" s="2" t="str" cm="1">
        <f t="array" ref="F1364:G1364">_xlfn.TEXTSPLIT(E1364," - ")</f>
        <v>Bawang Merah</v>
      </c>
      <c r="G1364" s="2" t="str">
        <v>Brand C</v>
      </c>
      <c r="H1364" s="5">
        <v>40000</v>
      </c>
      <c r="I1364" s="2">
        <v>3</v>
      </c>
      <c r="J1364" s="2">
        <v>15</v>
      </c>
      <c r="K1364" s="8">
        <f t="shared" si="126"/>
        <v>120000</v>
      </c>
      <c r="L1364" s="8">
        <f t="shared" si="127"/>
        <v>18000</v>
      </c>
      <c r="M1364" s="8">
        <f t="shared" si="128"/>
        <v>102000</v>
      </c>
      <c r="N1364" s="5">
        <v>59000</v>
      </c>
      <c r="O1364" s="8">
        <f t="shared" si="129"/>
        <v>161000</v>
      </c>
      <c r="P1364" s="2" t="s">
        <v>29</v>
      </c>
      <c r="Q1364" s="10" t="str">
        <f>VLOOKUP(A1364,Status!A:B,2,0)</f>
        <v>Returned</v>
      </c>
      <c r="R1364" s="2" t="s">
        <v>46</v>
      </c>
      <c r="S1364" s="2">
        <v>3</v>
      </c>
      <c r="T1364" s="2" t="s">
        <v>24</v>
      </c>
      <c r="U1364" s="10" t="str">
        <f t="shared" si="131"/>
        <v>Sep</v>
      </c>
      <c r="V1364" s="10">
        <f t="shared" si="130"/>
        <v>2024</v>
      </c>
      <c r="W1364" t="e" cm="1">
        <f t="array" ref="W1364">_xlfn.IFS(U1364="January",1,U1364="February",2,U1364="March",3,U1364="April",4,U1364="May",5,U1364="June",6,U1364="July",7,U1364="August",8,U1364="September",9,U1364="October",10,U1364="November",11,U1364="December",12)</f>
        <v>#N/A</v>
      </c>
    </row>
    <row r="1365" spans="1:23" ht="15.75" customHeight="1" x14ac:dyDescent="0.25">
      <c r="A1365" s="2" t="s">
        <v>101</v>
      </c>
      <c r="B1365" s="3">
        <v>45554.589224537027</v>
      </c>
      <c r="C1365" s="2" t="s">
        <v>102</v>
      </c>
      <c r="D1365" s="2" t="s">
        <v>103</v>
      </c>
      <c r="E1365" s="2" t="s">
        <v>104</v>
      </c>
      <c r="F1365" s="2" t="str" cm="1">
        <f t="array" ref="F1365:G1365">_xlfn.TEXTSPLIT(E1365," - ")</f>
        <v>Bawang Merah</v>
      </c>
      <c r="G1365" s="2" t="str">
        <v>Brand A</v>
      </c>
      <c r="H1365" s="5">
        <v>30000</v>
      </c>
      <c r="I1365" s="2">
        <v>1</v>
      </c>
      <c r="J1365" s="2">
        <v>10</v>
      </c>
      <c r="K1365" s="8">
        <f t="shared" si="126"/>
        <v>30000</v>
      </c>
      <c r="L1365" s="8">
        <f t="shared" si="127"/>
        <v>3000</v>
      </c>
      <c r="M1365" s="8">
        <f t="shared" si="128"/>
        <v>27000</v>
      </c>
      <c r="N1365" s="5">
        <v>85000</v>
      </c>
      <c r="O1365" s="8">
        <f t="shared" si="129"/>
        <v>112000</v>
      </c>
      <c r="P1365" s="2" t="s">
        <v>22</v>
      </c>
      <c r="Q1365" s="10" t="str">
        <f>VLOOKUP(A1365,Status!A:B,2,0)</f>
        <v>Completed</v>
      </c>
      <c r="R1365" s="2" t="s">
        <v>23</v>
      </c>
      <c r="S1365" s="2">
        <v>5</v>
      </c>
      <c r="T1365" s="2" t="s">
        <v>24</v>
      </c>
      <c r="U1365" s="10" t="str">
        <f t="shared" si="131"/>
        <v>Sep</v>
      </c>
      <c r="V1365" s="10">
        <f t="shared" si="130"/>
        <v>2024</v>
      </c>
      <c r="W1365" t="e" cm="1">
        <f t="array" ref="W1365">_xlfn.IFS(U1365="January",1,U1365="February",2,U1365="March",3,U1365="April",4,U1365="May",5,U1365="June",6,U1365="July",7,U1365="August",8,U1365="September",9,U1365="October",10,U1365="November",11,U1365="December",12)</f>
        <v>#N/A</v>
      </c>
    </row>
    <row r="1366" spans="1:23" ht="15.75" customHeight="1" x14ac:dyDescent="0.25">
      <c r="A1366" s="2" t="s">
        <v>105</v>
      </c>
      <c r="B1366" s="3">
        <v>45554.928298611107</v>
      </c>
      <c r="C1366" s="2" t="s">
        <v>106</v>
      </c>
      <c r="D1366" s="2" t="s">
        <v>107</v>
      </c>
      <c r="E1366" s="2" t="s">
        <v>58</v>
      </c>
      <c r="F1366" s="2" t="str" cm="1">
        <f t="array" ref="F1366:G1366">_xlfn.TEXTSPLIT(E1366," - ")</f>
        <v>Gula Pasir</v>
      </c>
      <c r="G1366" s="2" t="str">
        <v>Brand A</v>
      </c>
      <c r="H1366" s="5">
        <v>16000</v>
      </c>
      <c r="I1366" s="2">
        <v>4</v>
      </c>
      <c r="J1366" s="2">
        <v>5</v>
      </c>
      <c r="K1366" s="8">
        <f t="shared" si="126"/>
        <v>64000</v>
      </c>
      <c r="L1366" s="8">
        <f t="shared" si="127"/>
        <v>3200</v>
      </c>
      <c r="M1366" s="8">
        <f t="shared" si="128"/>
        <v>60800</v>
      </c>
      <c r="N1366" s="5">
        <v>97000</v>
      </c>
      <c r="O1366" s="8">
        <f t="shared" si="129"/>
        <v>157800</v>
      </c>
      <c r="P1366" s="2" t="s">
        <v>63</v>
      </c>
      <c r="Q1366" s="10" t="str">
        <f>VLOOKUP(A1366,Status!A:B,2,0)</f>
        <v>Completed</v>
      </c>
      <c r="R1366" s="2" t="s">
        <v>36</v>
      </c>
      <c r="S1366" s="2">
        <v>1</v>
      </c>
      <c r="T1366" s="2" t="s">
        <v>24</v>
      </c>
      <c r="U1366" s="10" t="str">
        <f t="shared" si="131"/>
        <v>Sep</v>
      </c>
      <c r="V1366" s="10">
        <f t="shared" si="130"/>
        <v>2024</v>
      </c>
      <c r="W1366" t="e" cm="1">
        <f t="array" ref="W1366">_xlfn.IFS(U1366="January",1,U1366="February",2,U1366="March",3,U1366="April",4,U1366="May",5,U1366="June",6,U1366="July",7,U1366="August",8,U1366="September",9,U1366="October",10,U1366="November",11,U1366="December",12)</f>
        <v>#N/A</v>
      </c>
    </row>
    <row r="1367" spans="1:23" ht="15.75" customHeight="1" x14ac:dyDescent="0.25">
      <c r="A1367" s="2" t="s">
        <v>108</v>
      </c>
      <c r="B1367" s="3">
        <v>45555.373101851852</v>
      </c>
      <c r="C1367" s="2" t="s">
        <v>109</v>
      </c>
      <c r="D1367" s="2" t="s">
        <v>49</v>
      </c>
      <c r="E1367" s="2" t="s">
        <v>110</v>
      </c>
      <c r="F1367" s="2" t="str" cm="1">
        <f t="array" ref="F1367:G1367">_xlfn.TEXTSPLIT(E1367," - ")</f>
        <v>Garam</v>
      </c>
      <c r="G1367" s="2" t="str">
        <v>Brand C</v>
      </c>
      <c r="H1367" s="5">
        <v>6000</v>
      </c>
      <c r="I1367" s="2">
        <v>4</v>
      </c>
      <c r="J1367" s="2">
        <v>5</v>
      </c>
      <c r="K1367" s="8">
        <f t="shared" si="126"/>
        <v>24000</v>
      </c>
      <c r="L1367" s="8">
        <f t="shared" si="127"/>
        <v>1200</v>
      </c>
      <c r="M1367" s="8">
        <f t="shared" si="128"/>
        <v>22800</v>
      </c>
      <c r="N1367" s="5">
        <v>43000</v>
      </c>
      <c r="O1367" s="8">
        <f t="shared" si="129"/>
        <v>65800</v>
      </c>
      <c r="P1367" s="2" t="s">
        <v>22</v>
      </c>
      <c r="Q1367" s="10" t="str">
        <f>VLOOKUP(A1367,Status!A:B,2,0)</f>
        <v>Completed</v>
      </c>
      <c r="R1367" s="2" t="s">
        <v>82</v>
      </c>
      <c r="S1367" s="2">
        <v>4</v>
      </c>
      <c r="T1367" s="2" t="s">
        <v>24</v>
      </c>
      <c r="U1367" s="10" t="str">
        <f t="shared" si="131"/>
        <v>Sep</v>
      </c>
      <c r="V1367" s="10">
        <f t="shared" si="130"/>
        <v>2024</v>
      </c>
      <c r="W1367" t="e" cm="1">
        <f t="array" ref="W1367">_xlfn.IFS(U1367="January",1,U1367="February",2,U1367="March",3,U1367="April",4,U1367="May",5,U1367="June",6,U1367="July",7,U1367="August",8,U1367="September",9,U1367="October",10,U1367="November",11,U1367="December",12)</f>
        <v>#N/A</v>
      </c>
    </row>
    <row r="1368" spans="1:23" ht="15.75" customHeight="1" x14ac:dyDescent="0.25">
      <c r="A1368" s="2" t="s">
        <v>111</v>
      </c>
      <c r="B1368" s="3">
        <v>45555.482685185183</v>
      </c>
      <c r="C1368" s="2" t="s">
        <v>112</v>
      </c>
      <c r="D1368" s="2" t="s">
        <v>113</v>
      </c>
      <c r="E1368" s="2" t="s">
        <v>21</v>
      </c>
      <c r="F1368" s="2" t="str" cm="1">
        <f t="array" ref="F1368:G1368">_xlfn.TEXTSPLIT(E1368," - ")</f>
        <v>Daging Ayam</v>
      </c>
      <c r="G1368" s="2" t="str">
        <v>Brand C</v>
      </c>
      <c r="H1368" s="5">
        <v>45000</v>
      </c>
      <c r="I1368" s="2">
        <v>3</v>
      </c>
      <c r="J1368" s="2">
        <v>0</v>
      </c>
      <c r="K1368" s="8">
        <f t="shared" si="126"/>
        <v>135000</v>
      </c>
      <c r="L1368" s="8">
        <f t="shared" si="127"/>
        <v>0</v>
      </c>
      <c r="M1368" s="8">
        <f t="shared" si="128"/>
        <v>135000</v>
      </c>
      <c r="N1368" s="5">
        <v>18000</v>
      </c>
      <c r="O1368" s="8">
        <f t="shared" si="129"/>
        <v>153000</v>
      </c>
      <c r="P1368" s="2" t="s">
        <v>29</v>
      </c>
      <c r="Q1368" s="10" t="str">
        <f>VLOOKUP(A1368,Status!A:B,2,0)</f>
        <v>Completed</v>
      </c>
      <c r="R1368" s="2" t="s">
        <v>46</v>
      </c>
      <c r="S1368" s="2">
        <v>1</v>
      </c>
      <c r="T1368" s="2" t="s">
        <v>24</v>
      </c>
      <c r="U1368" s="10" t="str">
        <f t="shared" si="131"/>
        <v>Sep</v>
      </c>
      <c r="V1368" s="10">
        <f t="shared" si="130"/>
        <v>2024</v>
      </c>
      <c r="W1368" t="e" cm="1">
        <f t="array" ref="W1368">_xlfn.IFS(U1368="January",1,U1368="February",2,U1368="March",3,U1368="April",4,U1368="May",5,U1368="June",6,U1368="July",7,U1368="August",8,U1368="September",9,U1368="October",10,U1368="November",11,U1368="December",12)</f>
        <v>#N/A</v>
      </c>
    </row>
    <row r="1369" spans="1:23" ht="15.75" customHeight="1" x14ac:dyDescent="0.25">
      <c r="A1369" s="2" t="s">
        <v>114</v>
      </c>
      <c r="B1369" s="3">
        <v>45555.563715277778</v>
      </c>
      <c r="C1369" s="2" t="s">
        <v>115</v>
      </c>
      <c r="D1369" s="2" t="s">
        <v>116</v>
      </c>
      <c r="E1369" s="2" t="s">
        <v>50</v>
      </c>
      <c r="F1369" s="2" t="str" cm="1">
        <f t="array" ref="F1369:G1369">_xlfn.TEXTSPLIT(E1369," - ")</f>
        <v>Tepung Terigu</v>
      </c>
      <c r="G1369" s="2" t="str">
        <v>Brand C</v>
      </c>
      <c r="H1369" s="5">
        <v>14000</v>
      </c>
      <c r="I1369" s="2">
        <v>3</v>
      </c>
      <c r="J1369" s="2">
        <v>15</v>
      </c>
      <c r="K1369" s="8">
        <f t="shared" si="126"/>
        <v>42000</v>
      </c>
      <c r="L1369" s="8">
        <f t="shared" si="127"/>
        <v>6300</v>
      </c>
      <c r="M1369" s="8">
        <f t="shared" si="128"/>
        <v>35700</v>
      </c>
      <c r="N1369" s="5">
        <v>72000</v>
      </c>
      <c r="O1369" s="8">
        <f t="shared" si="129"/>
        <v>107700</v>
      </c>
      <c r="P1369" s="2" t="s">
        <v>63</v>
      </c>
      <c r="Q1369" s="10" t="str">
        <f>VLOOKUP(A1369,Status!A:B,2,0)</f>
        <v>Completed</v>
      </c>
      <c r="R1369" s="2" t="s">
        <v>23</v>
      </c>
      <c r="S1369" s="2">
        <v>4</v>
      </c>
      <c r="T1369" s="2" t="s">
        <v>24</v>
      </c>
      <c r="U1369" s="10" t="str">
        <f t="shared" si="131"/>
        <v>Sep</v>
      </c>
      <c r="V1369" s="10">
        <f t="shared" si="130"/>
        <v>2024</v>
      </c>
      <c r="W1369" t="e" cm="1">
        <f t="array" ref="W1369">_xlfn.IFS(U1369="January",1,U1369="February",2,U1369="March",3,U1369="April",4,U1369="May",5,U1369="June",6,U1369="July",7,U1369="August",8,U1369="September",9,U1369="October",10,U1369="November",11,U1369="December",12)</f>
        <v>#N/A</v>
      </c>
    </row>
    <row r="1370" spans="1:23" ht="15.75" customHeight="1" x14ac:dyDescent="0.25">
      <c r="A1370" s="2" t="s">
        <v>117</v>
      </c>
      <c r="B1370" s="3">
        <v>45555.596180555563</v>
      </c>
      <c r="C1370" s="2" t="s">
        <v>118</v>
      </c>
      <c r="D1370" s="2" t="s">
        <v>119</v>
      </c>
      <c r="E1370" s="2" t="s">
        <v>75</v>
      </c>
      <c r="F1370" s="2" t="str" cm="1">
        <f t="array" ref="F1370:G1370">_xlfn.TEXTSPLIT(E1370," - ")</f>
        <v>Susu Bubuk</v>
      </c>
      <c r="G1370" s="2" t="str">
        <v>Brand C</v>
      </c>
      <c r="H1370" s="5">
        <v>55000</v>
      </c>
      <c r="I1370" s="2">
        <v>2</v>
      </c>
      <c r="J1370" s="2">
        <v>0</v>
      </c>
      <c r="K1370" s="8">
        <f t="shared" si="126"/>
        <v>110000</v>
      </c>
      <c r="L1370" s="8">
        <f t="shared" si="127"/>
        <v>0</v>
      </c>
      <c r="M1370" s="8">
        <f t="shared" si="128"/>
        <v>110000</v>
      </c>
      <c r="N1370" s="5">
        <v>0</v>
      </c>
      <c r="O1370" s="8">
        <f t="shared" si="129"/>
        <v>110000</v>
      </c>
      <c r="P1370" s="2" t="s">
        <v>22</v>
      </c>
      <c r="Q1370" s="10" t="str">
        <f>VLOOKUP(A1370,Status!A:B,2,0)</f>
        <v>Completed</v>
      </c>
      <c r="R1370" s="2" t="s">
        <v>46</v>
      </c>
      <c r="S1370" s="2">
        <v>2</v>
      </c>
      <c r="T1370" s="2" t="s">
        <v>24</v>
      </c>
      <c r="U1370" s="10" t="str">
        <f t="shared" si="131"/>
        <v>Sep</v>
      </c>
      <c r="V1370" s="10">
        <f t="shared" si="130"/>
        <v>2024</v>
      </c>
      <c r="W1370" t="e" cm="1">
        <f t="array" ref="W1370">_xlfn.IFS(U1370="January",1,U1370="February",2,U1370="March",3,U1370="April",4,U1370="May",5,U1370="June",6,U1370="July",7,U1370="August",8,U1370="September",9,U1370="October",10,U1370="November",11,U1370="December",12)</f>
        <v>#N/A</v>
      </c>
    </row>
    <row r="1371" spans="1:23" ht="15.75" customHeight="1" x14ac:dyDescent="0.25">
      <c r="A1371" s="2" t="s">
        <v>120</v>
      </c>
      <c r="B1371" s="3">
        <v>45555.805532407408</v>
      </c>
      <c r="C1371" s="2" t="s">
        <v>121</v>
      </c>
      <c r="D1371" s="2" t="s">
        <v>122</v>
      </c>
      <c r="E1371" s="2" t="s">
        <v>123</v>
      </c>
      <c r="F1371" s="2" t="str" cm="1">
        <f t="array" ref="F1371:G1371">_xlfn.TEXTSPLIT(E1371," - ")</f>
        <v>Telur Ayam</v>
      </c>
      <c r="G1371" s="2" t="str">
        <v>Brand A</v>
      </c>
      <c r="H1371" s="5">
        <v>22000</v>
      </c>
      <c r="I1371" s="2">
        <v>4</v>
      </c>
      <c r="J1371" s="2">
        <v>10</v>
      </c>
      <c r="K1371" s="8">
        <f t="shared" si="126"/>
        <v>88000</v>
      </c>
      <c r="L1371" s="8">
        <f t="shared" si="127"/>
        <v>8800</v>
      </c>
      <c r="M1371" s="8">
        <f t="shared" si="128"/>
        <v>79200</v>
      </c>
      <c r="N1371" s="5">
        <v>78000</v>
      </c>
      <c r="O1371" s="8">
        <f t="shared" si="129"/>
        <v>157200</v>
      </c>
      <c r="P1371" s="2" t="s">
        <v>29</v>
      </c>
      <c r="Q1371" s="10" t="str">
        <f>VLOOKUP(A1371,Status!A:B,2,0)</f>
        <v>Cancelled</v>
      </c>
      <c r="R1371" s="2" t="s">
        <v>23</v>
      </c>
      <c r="S1371" s="2">
        <v>3</v>
      </c>
      <c r="T1371" s="2" t="s">
        <v>24</v>
      </c>
      <c r="U1371" s="10" t="str">
        <f t="shared" si="131"/>
        <v>Sep</v>
      </c>
      <c r="V1371" s="10">
        <f t="shared" si="130"/>
        <v>2024</v>
      </c>
      <c r="W1371" t="e" cm="1">
        <f t="array" ref="W1371">_xlfn.IFS(U1371="January",1,U1371="February",2,U1371="March",3,U1371="April",4,U1371="May",5,U1371="June",6,U1371="July",7,U1371="August",8,U1371="September",9,U1371="October",10,U1371="November",11,U1371="December",12)</f>
        <v>#N/A</v>
      </c>
    </row>
    <row r="1372" spans="1:23" ht="15.75" customHeight="1" x14ac:dyDescent="0.25">
      <c r="A1372" s="2" t="s">
        <v>124</v>
      </c>
      <c r="B1372" s="3">
        <v>45555.886944444443</v>
      </c>
      <c r="C1372" s="2" t="s">
        <v>125</v>
      </c>
      <c r="D1372" s="2" t="s">
        <v>126</v>
      </c>
      <c r="E1372" s="2" t="s">
        <v>50</v>
      </c>
      <c r="F1372" s="2" t="str" cm="1">
        <f t="array" ref="F1372:G1372">_xlfn.TEXTSPLIT(E1372," - ")</f>
        <v>Tepung Terigu</v>
      </c>
      <c r="G1372" s="2" t="str">
        <v>Brand C</v>
      </c>
      <c r="H1372" s="5">
        <v>14000</v>
      </c>
      <c r="I1372" s="2">
        <v>1</v>
      </c>
      <c r="J1372" s="2">
        <v>0</v>
      </c>
      <c r="K1372" s="8">
        <f t="shared" si="126"/>
        <v>14000</v>
      </c>
      <c r="L1372" s="8">
        <f t="shared" si="127"/>
        <v>0</v>
      </c>
      <c r="M1372" s="8">
        <f t="shared" si="128"/>
        <v>14000</v>
      </c>
      <c r="N1372" s="5">
        <v>84000</v>
      </c>
      <c r="O1372" s="8">
        <f t="shared" si="129"/>
        <v>98000</v>
      </c>
      <c r="P1372" s="2" t="s">
        <v>29</v>
      </c>
      <c r="Q1372" s="10" t="str">
        <f>VLOOKUP(A1372,Status!A:B,2,0)</f>
        <v>Completed</v>
      </c>
      <c r="R1372" s="2" t="s">
        <v>46</v>
      </c>
      <c r="S1372" s="2">
        <v>1</v>
      </c>
      <c r="T1372" s="2" t="s">
        <v>24</v>
      </c>
      <c r="U1372" s="10" t="str">
        <f t="shared" si="131"/>
        <v>Sep</v>
      </c>
      <c r="V1372" s="10">
        <f t="shared" si="130"/>
        <v>2024</v>
      </c>
      <c r="W1372" t="e" cm="1">
        <f t="array" ref="W1372">_xlfn.IFS(U1372="January",1,U1372="February",2,U1372="March",3,U1372="April",4,U1372="May",5,U1372="June",6,U1372="July",7,U1372="August",8,U1372="September",9,U1372="October",10,U1372="November",11,U1372="December",12)</f>
        <v>#N/A</v>
      </c>
    </row>
    <row r="1373" spans="1:23" ht="15.75" customHeight="1" x14ac:dyDescent="0.25">
      <c r="A1373" s="2" t="s">
        <v>127</v>
      </c>
      <c r="B1373" s="3">
        <v>45555.912546296298</v>
      </c>
      <c r="C1373" s="2" t="s">
        <v>128</v>
      </c>
      <c r="D1373" s="2" t="s">
        <v>103</v>
      </c>
      <c r="E1373" s="2" t="s">
        <v>21</v>
      </c>
      <c r="F1373" s="2" t="str" cm="1">
        <f t="array" ref="F1373:G1373">_xlfn.TEXTSPLIT(E1373," - ")</f>
        <v>Daging Ayam</v>
      </c>
      <c r="G1373" s="2" t="str">
        <v>Brand C</v>
      </c>
      <c r="H1373" s="5">
        <v>45000</v>
      </c>
      <c r="I1373" s="2">
        <v>5</v>
      </c>
      <c r="J1373" s="2">
        <v>10</v>
      </c>
      <c r="K1373" s="8">
        <f t="shared" si="126"/>
        <v>225000</v>
      </c>
      <c r="L1373" s="8">
        <f t="shared" si="127"/>
        <v>22500</v>
      </c>
      <c r="M1373" s="8">
        <f t="shared" si="128"/>
        <v>202500</v>
      </c>
      <c r="N1373" s="5">
        <v>85000</v>
      </c>
      <c r="O1373" s="8">
        <f t="shared" si="129"/>
        <v>287500</v>
      </c>
      <c r="P1373" s="2" t="s">
        <v>35</v>
      </c>
      <c r="Q1373" s="10" t="str">
        <f>VLOOKUP(A1373,Status!A:B,2,0)</f>
        <v>Completed</v>
      </c>
      <c r="R1373" s="2" t="s">
        <v>23</v>
      </c>
      <c r="S1373" s="2">
        <v>4</v>
      </c>
      <c r="T1373" s="2" t="s">
        <v>37</v>
      </c>
      <c r="U1373" s="10" t="str">
        <f t="shared" si="131"/>
        <v>Sep</v>
      </c>
      <c r="V1373" s="10">
        <f t="shared" si="130"/>
        <v>2024</v>
      </c>
      <c r="W1373" t="e" cm="1">
        <f t="array" ref="W1373">_xlfn.IFS(U1373="January",1,U1373="February",2,U1373="March",3,U1373="April",4,U1373="May",5,U1373="June",6,U1373="July",7,U1373="August",8,U1373="September",9,U1373="October",10,U1373="November",11,U1373="December",12)</f>
        <v>#N/A</v>
      </c>
    </row>
    <row r="1374" spans="1:23" ht="15.75" customHeight="1" x14ac:dyDescent="0.25">
      <c r="A1374" s="2" t="s">
        <v>129</v>
      </c>
      <c r="B1374" s="3">
        <v>45555.930231481478</v>
      </c>
      <c r="C1374" s="2" t="s">
        <v>130</v>
      </c>
      <c r="D1374" s="2" t="s">
        <v>131</v>
      </c>
      <c r="E1374" s="2" t="s">
        <v>41</v>
      </c>
      <c r="F1374" s="2" t="str" cm="1">
        <f t="array" ref="F1374:G1374">_xlfn.TEXTSPLIT(E1374," - ")</f>
        <v>Garam</v>
      </c>
      <c r="G1374" s="2" t="str">
        <v>Brand A</v>
      </c>
      <c r="H1374" s="5">
        <v>4000</v>
      </c>
      <c r="I1374" s="2">
        <v>3</v>
      </c>
      <c r="J1374" s="2">
        <v>10</v>
      </c>
      <c r="K1374" s="8">
        <f t="shared" si="126"/>
        <v>12000</v>
      </c>
      <c r="L1374" s="8">
        <f t="shared" si="127"/>
        <v>1200</v>
      </c>
      <c r="M1374" s="8">
        <f t="shared" si="128"/>
        <v>10800</v>
      </c>
      <c r="N1374" s="5">
        <v>59000</v>
      </c>
      <c r="O1374" s="8">
        <f t="shared" si="129"/>
        <v>69800</v>
      </c>
      <c r="P1374" s="2" t="s">
        <v>29</v>
      </c>
      <c r="Q1374" s="10" t="str">
        <f>VLOOKUP(A1374,Status!A:B,2,0)</f>
        <v>Completed</v>
      </c>
      <c r="R1374" s="2" t="s">
        <v>23</v>
      </c>
      <c r="S1374" s="2">
        <v>2</v>
      </c>
      <c r="T1374" s="2" t="s">
        <v>24</v>
      </c>
      <c r="U1374" s="10" t="str">
        <f t="shared" si="131"/>
        <v>Sep</v>
      </c>
      <c r="V1374" s="10">
        <f t="shared" si="130"/>
        <v>2024</v>
      </c>
      <c r="W1374" t="e" cm="1">
        <f t="array" ref="W1374">_xlfn.IFS(U1374="January",1,U1374="February",2,U1374="March",3,U1374="April",4,U1374="May",5,U1374="June",6,U1374="July",7,U1374="August",8,U1374="September",9,U1374="October",10,U1374="November",11,U1374="December",12)</f>
        <v>#N/A</v>
      </c>
    </row>
    <row r="1375" spans="1:23" ht="15.75" customHeight="1" x14ac:dyDescent="0.25">
      <c r="A1375" s="2" t="s">
        <v>132</v>
      </c>
      <c r="B1375" s="3">
        <v>45556.104629629634</v>
      </c>
      <c r="C1375" s="2" t="s">
        <v>133</v>
      </c>
      <c r="D1375" s="2" t="s">
        <v>33</v>
      </c>
      <c r="E1375" s="2" t="s">
        <v>104</v>
      </c>
      <c r="F1375" s="2" t="str" cm="1">
        <f t="array" ref="F1375:G1375">_xlfn.TEXTSPLIT(E1375," - ")</f>
        <v>Bawang Merah</v>
      </c>
      <c r="G1375" s="2" t="str">
        <v>Brand A</v>
      </c>
      <c r="H1375" s="5">
        <v>30000</v>
      </c>
      <c r="I1375" s="2">
        <v>2</v>
      </c>
      <c r="J1375" s="2">
        <v>10</v>
      </c>
      <c r="K1375" s="8">
        <f t="shared" si="126"/>
        <v>60000</v>
      </c>
      <c r="L1375" s="8">
        <f t="shared" si="127"/>
        <v>6000</v>
      </c>
      <c r="M1375" s="8">
        <f t="shared" si="128"/>
        <v>54000</v>
      </c>
      <c r="N1375" s="5">
        <v>76000</v>
      </c>
      <c r="O1375" s="8">
        <f t="shared" si="129"/>
        <v>130000</v>
      </c>
      <c r="P1375" s="2" t="s">
        <v>22</v>
      </c>
      <c r="Q1375" s="10" t="str">
        <f>VLOOKUP(A1375,Status!A:B,2,0)</f>
        <v>Completed</v>
      </c>
      <c r="R1375" s="2" t="s">
        <v>36</v>
      </c>
      <c r="S1375" s="2">
        <v>5</v>
      </c>
      <c r="T1375" s="2" t="s">
        <v>24</v>
      </c>
      <c r="U1375" s="10" t="str">
        <f t="shared" si="131"/>
        <v>Sep</v>
      </c>
      <c r="V1375" s="10">
        <f t="shared" si="130"/>
        <v>2024</v>
      </c>
      <c r="W1375" t="e" cm="1">
        <f t="array" ref="W1375">_xlfn.IFS(U1375="January",1,U1375="February",2,U1375="March",3,U1375="April",4,U1375="May",5,U1375="June",6,U1375="July",7,U1375="August",8,U1375="September",9,U1375="October",10,U1375="November",11,U1375="December",12)</f>
        <v>#N/A</v>
      </c>
    </row>
    <row r="1376" spans="1:23" ht="15.75" customHeight="1" x14ac:dyDescent="0.25">
      <c r="A1376" s="2" t="s">
        <v>132</v>
      </c>
      <c r="B1376" s="3">
        <v>45556.104629629634</v>
      </c>
      <c r="C1376" s="2" t="s">
        <v>133</v>
      </c>
      <c r="D1376" s="2" t="s">
        <v>33</v>
      </c>
      <c r="E1376" s="2" t="s">
        <v>104</v>
      </c>
      <c r="F1376" s="2" t="str" cm="1">
        <f t="array" ref="F1376:G1376">_xlfn.TEXTSPLIT(E1376," - ")</f>
        <v>Bawang Merah</v>
      </c>
      <c r="G1376" s="2" t="str">
        <v>Brand A</v>
      </c>
      <c r="H1376" s="5">
        <v>30000</v>
      </c>
      <c r="I1376" s="2">
        <v>5</v>
      </c>
      <c r="J1376" s="2">
        <v>10</v>
      </c>
      <c r="K1376" s="8">
        <f t="shared" si="126"/>
        <v>150000</v>
      </c>
      <c r="L1376" s="8">
        <f t="shared" si="127"/>
        <v>15000</v>
      </c>
      <c r="M1376" s="8">
        <f t="shared" si="128"/>
        <v>135000</v>
      </c>
      <c r="N1376" s="5">
        <v>0</v>
      </c>
      <c r="O1376" s="8">
        <f t="shared" si="129"/>
        <v>135000</v>
      </c>
      <c r="P1376" s="2" t="s">
        <v>22</v>
      </c>
      <c r="Q1376" s="10" t="str">
        <f>VLOOKUP(A1376,Status!A:B,2,0)</f>
        <v>Completed</v>
      </c>
      <c r="R1376" s="2" t="s">
        <v>36</v>
      </c>
      <c r="S1376" s="2">
        <v>5</v>
      </c>
      <c r="T1376" s="2" t="s">
        <v>24</v>
      </c>
      <c r="U1376" s="10" t="str">
        <f t="shared" si="131"/>
        <v>Sep</v>
      </c>
      <c r="V1376" s="10">
        <f t="shared" si="130"/>
        <v>2024</v>
      </c>
      <c r="W1376" t="e" cm="1">
        <f t="array" ref="W1376">_xlfn.IFS(U1376="January",1,U1376="February",2,U1376="March",3,U1376="April",4,U1376="May",5,U1376="June",6,U1376="July",7,U1376="August",8,U1376="September",9,U1376="October",10,U1376="November",11,U1376="December",12)</f>
        <v>#N/A</v>
      </c>
    </row>
    <row r="1377" spans="1:23" ht="15.75" customHeight="1" x14ac:dyDescent="0.25">
      <c r="A1377" s="2" t="s">
        <v>134</v>
      </c>
      <c r="B1377" s="3">
        <v>45556.107581018521</v>
      </c>
      <c r="C1377" s="2" t="s">
        <v>135</v>
      </c>
      <c r="D1377" s="2" t="s">
        <v>27</v>
      </c>
      <c r="E1377" s="2" t="s">
        <v>136</v>
      </c>
      <c r="F1377" s="2" t="str" cm="1">
        <f t="array" ref="F1377:G1377">_xlfn.TEXTSPLIT(E1377," - ")</f>
        <v>Tepung Terigu</v>
      </c>
      <c r="G1377" s="2" t="str">
        <v>Brand B</v>
      </c>
      <c r="H1377" s="5">
        <v>12000</v>
      </c>
      <c r="I1377" s="2">
        <v>5</v>
      </c>
      <c r="J1377" s="2">
        <v>15</v>
      </c>
      <c r="K1377" s="8">
        <f t="shared" si="126"/>
        <v>60000</v>
      </c>
      <c r="L1377" s="8">
        <f t="shared" si="127"/>
        <v>9000</v>
      </c>
      <c r="M1377" s="8">
        <f t="shared" si="128"/>
        <v>51000</v>
      </c>
      <c r="N1377" s="5">
        <v>17000</v>
      </c>
      <c r="O1377" s="8">
        <f t="shared" si="129"/>
        <v>68000</v>
      </c>
      <c r="P1377" s="2" t="s">
        <v>22</v>
      </c>
      <c r="Q1377" s="10" t="str">
        <f>VLOOKUP(A1377,Status!A:B,2,0)</f>
        <v>Completed</v>
      </c>
      <c r="R1377" s="2" t="s">
        <v>30</v>
      </c>
      <c r="S1377" s="2">
        <v>1</v>
      </c>
      <c r="T1377" s="2" t="s">
        <v>24</v>
      </c>
      <c r="U1377" s="10" t="str">
        <f t="shared" si="131"/>
        <v>Sep</v>
      </c>
      <c r="V1377" s="10">
        <f t="shared" si="130"/>
        <v>2024</v>
      </c>
      <c r="W1377" t="e" cm="1">
        <f t="array" ref="W1377">_xlfn.IFS(U1377="January",1,U1377="February",2,U1377="March",3,U1377="April",4,U1377="May",5,U1377="June",6,U1377="July",7,U1377="August",8,U1377="September",9,U1377="October",10,U1377="November",11,U1377="December",12)</f>
        <v>#N/A</v>
      </c>
    </row>
    <row r="1378" spans="1:23" ht="15.75" customHeight="1" x14ac:dyDescent="0.25">
      <c r="A1378" s="2" t="s">
        <v>137</v>
      </c>
      <c r="B1378" s="3">
        <v>45556.2421875</v>
      </c>
      <c r="C1378" s="2" t="s">
        <v>133</v>
      </c>
      <c r="D1378" s="2" t="s">
        <v>33</v>
      </c>
      <c r="E1378" s="2" t="s">
        <v>93</v>
      </c>
      <c r="F1378" s="2" t="str" cm="1">
        <f t="array" ref="F1378:G1378">_xlfn.TEXTSPLIT(E1378," - ")</f>
        <v>Telur Ayam</v>
      </c>
      <c r="G1378" s="2" t="str">
        <v>Brand B</v>
      </c>
      <c r="H1378" s="5">
        <v>25000</v>
      </c>
      <c r="I1378" s="2">
        <v>5</v>
      </c>
      <c r="J1378" s="2">
        <v>20</v>
      </c>
      <c r="K1378" s="8">
        <f t="shared" si="126"/>
        <v>125000</v>
      </c>
      <c r="L1378" s="8">
        <f t="shared" si="127"/>
        <v>25000</v>
      </c>
      <c r="M1378" s="8">
        <f t="shared" si="128"/>
        <v>100000</v>
      </c>
      <c r="N1378" s="5">
        <v>76000</v>
      </c>
      <c r="O1378" s="8">
        <f t="shared" si="129"/>
        <v>176000</v>
      </c>
      <c r="P1378" s="2" t="s">
        <v>35</v>
      </c>
      <c r="Q1378" s="10" t="str">
        <f>VLOOKUP(A1378,Status!A:B,2,0)</f>
        <v>Returned</v>
      </c>
      <c r="R1378" s="2" t="s">
        <v>46</v>
      </c>
      <c r="S1378" s="2">
        <v>4</v>
      </c>
      <c r="T1378" s="2" t="s">
        <v>24</v>
      </c>
      <c r="U1378" s="10" t="str">
        <f t="shared" si="131"/>
        <v>Sep</v>
      </c>
      <c r="V1378" s="10">
        <f t="shared" si="130"/>
        <v>2024</v>
      </c>
      <c r="W1378" t="e" cm="1">
        <f t="array" ref="W1378">_xlfn.IFS(U1378="January",1,U1378="February",2,U1378="March",3,U1378="April",4,U1378="May",5,U1378="June",6,U1378="July",7,U1378="August",8,U1378="September",9,U1378="October",10,U1378="November",11,U1378="December",12)</f>
        <v>#N/A</v>
      </c>
    </row>
    <row r="1379" spans="1:23" ht="15.75" customHeight="1" x14ac:dyDescent="0.25">
      <c r="A1379" s="2" t="s">
        <v>137</v>
      </c>
      <c r="B1379" s="3">
        <v>45556.2421875</v>
      </c>
      <c r="C1379" s="2" t="s">
        <v>133</v>
      </c>
      <c r="D1379" s="2" t="s">
        <v>33</v>
      </c>
      <c r="E1379" s="2" t="s">
        <v>138</v>
      </c>
      <c r="F1379" s="2" t="str" cm="1">
        <f t="array" ref="F1379:G1379">_xlfn.TEXTSPLIT(E1379," - ")</f>
        <v>Gula Pasir</v>
      </c>
      <c r="G1379" s="2" t="str">
        <v>Brand B</v>
      </c>
      <c r="H1379" s="5">
        <v>17000</v>
      </c>
      <c r="I1379" s="2">
        <v>2</v>
      </c>
      <c r="J1379" s="2">
        <v>5</v>
      </c>
      <c r="K1379" s="8">
        <f t="shared" si="126"/>
        <v>34000</v>
      </c>
      <c r="L1379" s="8">
        <f t="shared" si="127"/>
        <v>1700</v>
      </c>
      <c r="M1379" s="8">
        <f t="shared" si="128"/>
        <v>32300</v>
      </c>
      <c r="N1379" s="5">
        <v>0</v>
      </c>
      <c r="O1379" s="8">
        <f t="shared" si="129"/>
        <v>32300</v>
      </c>
      <c r="P1379" s="2" t="s">
        <v>35</v>
      </c>
      <c r="Q1379" s="10" t="str">
        <f>VLOOKUP(A1379,Status!A:B,2,0)</f>
        <v>Returned</v>
      </c>
      <c r="R1379" s="2" t="s">
        <v>46</v>
      </c>
      <c r="S1379" s="2">
        <v>4</v>
      </c>
      <c r="T1379" s="2" t="s">
        <v>24</v>
      </c>
      <c r="U1379" s="10" t="str">
        <f t="shared" si="131"/>
        <v>Sep</v>
      </c>
      <c r="V1379" s="10">
        <f t="shared" si="130"/>
        <v>2024</v>
      </c>
      <c r="W1379" t="e" cm="1">
        <f t="array" ref="W1379">_xlfn.IFS(U1379="January",1,U1379="February",2,U1379="March",3,U1379="April",4,U1379="May",5,U1379="June",6,U1379="July",7,U1379="August",8,U1379="September",9,U1379="October",10,U1379="November",11,U1379="December",12)</f>
        <v>#N/A</v>
      </c>
    </row>
    <row r="1380" spans="1:23" ht="15.75" customHeight="1" x14ac:dyDescent="0.25">
      <c r="A1380" s="2" t="s">
        <v>139</v>
      </c>
      <c r="B1380" s="3">
        <v>45556.450289351851</v>
      </c>
      <c r="C1380" s="2" t="s">
        <v>140</v>
      </c>
      <c r="D1380" s="2" t="s">
        <v>92</v>
      </c>
      <c r="E1380" s="2" t="s">
        <v>110</v>
      </c>
      <c r="F1380" s="2" t="str" cm="1">
        <f t="array" ref="F1380:G1380">_xlfn.TEXTSPLIT(E1380," - ")</f>
        <v>Garam</v>
      </c>
      <c r="G1380" s="2" t="str">
        <v>Brand C</v>
      </c>
      <c r="H1380" s="5">
        <v>6000</v>
      </c>
      <c r="I1380" s="2">
        <v>5</v>
      </c>
      <c r="J1380" s="2">
        <v>15</v>
      </c>
      <c r="K1380" s="8">
        <f t="shared" si="126"/>
        <v>30000</v>
      </c>
      <c r="L1380" s="8">
        <f t="shared" si="127"/>
        <v>4500</v>
      </c>
      <c r="M1380" s="8">
        <f t="shared" si="128"/>
        <v>25500</v>
      </c>
      <c r="N1380" s="5">
        <v>30000</v>
      </c>
      <c r="O1380" s="8">
        <f t="shared" si="129"/>
        <v>55500</v>
      </c>
      <c r="P1380" s="2" t="s">
        <v>63</v>
      </c>
      <c r="Q1380" s="10" t="str">
        <f>VLOOKUP(A1380,Status!A:B,2,0)</f>
        <v>Returned</v>
      </c>
      <c r="R1380" s="2" t="s">
        <v>23</v>
      </c>
      <c r="S1380" s="2">
        <v>2</v>
      </c>
      <c r="T1380" s="2" t="s">
        <v>24</v>
      </c>
      <c r="U1380" s="10" t="str">
        <f t="shared" si="131"/>
        <v>Sep</v>
      </c>
      <c r="V1380" s="10">
        <f t="shared" si="130"/>
        <v>2024</v>
      </c>
      <c r="W1380" t="e" cm="1">
        <f t="array" ref="W1380">_xlfn.IFS(U1380="January",1,U1380="February",2,U1380="March",3,U1380="April",4,U1380="May",5,U1380="June",6,U1380="July",7,U1380="August",8,U1380="September",9,U1380="October",10,U1380="November",11,U1380="December",12)</f>
        <v>#N/A</v>
      </c>
    </row>
    <row r="1381" spans="1:23" ht="15.75" customHeight="1" x14ac:dyDescent="0.25">
      <c r="A1381" s="2" t="s">
        <v>141</v>
      </c>
      <c r="B1381" s="3">
        <v>45556.505023148151</v>
      </c>
      <c r="C1381" s="2" t="s">
        <v>142</v>
      </c>
      <c r="D1381" s="2" t="s">
        <v>143</v>
      </c>
      <c r="E1381" s="2" t="s">
        <v>144</v>
      </c>
      <c r="F1381" s="2" t="str" cm="1">
        <f t="array" ref="F1381:G1381">_xlfn.TEXTSPLIT(E1381," - ")</f>
        <v>Gula Pasir</v>
      </c>
      <c r="G1381" s="2" t="str">
        <v>Brand C</v>
      </c>
      <c r="H1381" s="5">
        <v>18000</v>
      </c>
      <c r="I1381" s="2">
        <v>1</v>
      </c>
      <c r="J1381" s="2">
        <v>5</v>
      </c>
      <c r="K1381" s="8">
        <f t="shared" si="126"/>
        <v>18000</v>
      </c>
      <c r="L1381" s="8">
        <f t="shared" si="127"/>
        <v>900</v>
      </c>
      <c r="M1381" s="8">
        <f t="shared" si="128"/>
        <v>17100</v>
      </c>
      <c r="N1381" s="5">
        <v>50000</v>
      </c>
      <c r="O1381" s="8">
        <f t="shared" si="129"/>
        <v>67100</v>
      </c>
      <c r="P1381" s="2" t="s">
        <v>22</v>
      </c>
      <c r="Q1381" s="10" t="str">
        <f>VLOOKUP(A1381,Status!A:B,2,0)</f>
        <v>Returned</v>
      </c>
      <c r="R1381" s="2" t="s">
        <v>30</v>
      </c>
      <c r="S1381" s="2">
        <v>4</v>
      </c>
      <c r="T1381" s="2" t="s">
        <v>24</v>
      </c>
      <c r="U1381" s="10" t="str">
        <f t="shared" si="131"/>
        <v>Sep</v>
      </c>
      <c r="V1381" s="10">
        <f t="shared" si="130"/>
        <v>2024</v>
      </c>
      <c r="W1381" t="e" cm="1">
        <f t="array" ref="W1381">_xlfn.IFS(U1381="January",1,U1381="February",2,U1381="March",3,U1381="April",4,U1381="May",5,U1381="June",6,U1381="July",7,U1381="August",8,U1381="September",9,U1381="October",10,U1381="November",11,U1381="December",12)</f>
        <v>#N/A</v>
      </c>
    </row>
    <row r="1382" spans="1:23" ht="15.75" customHeight="1" x14ac:dyDescent="0.25">
      <c r="A1382" s="2" t="s">
        <v>145</v>
      </c>
      <c r="B1382" s="3">
        <v>45556.59302083333</v>
      </c>
      <c r="C1382" s="2" t="s">
        <v>146</v>
      </c>
      <c r="D1382" s="2" t="s">
        <v>92</v>
      </c>
      <c r="E1382" s="2" t="s">
        <v>75</v>
      </c>
      <c r="F1382" s="2" t="str" cm="1">
        <f t="array" ref="F1382:G1382">_xlfn.TEXTSPLIT(E1382," - ")</f>
        <v>Susu Bubuk</v>
      </c>
      <c r="G1382" s="2" t="str">
        <v>Brand C</v>
      </c>
      <c r="H1382" s="5">
        <v>55000</v>
      </c>
      <c r="I1382" s="2">
        <v>4</v>
      </c>
      <c r="J1382" s="2">
        <v>5</v>
      </c>
      <c r="K1382" s="8">
        <f t="shared" si="126"/>
        <v>220000</v>
      </c>
      <c r="L1382" s="8">
        <f t="shared" si="127"/>
        <v>11000</v>
      </c>
      <c r="M1382" s="8">
        <f t="shared" si="128"/>
        <v>209000</v>
      </c>
      <c r="N1382" s="5">
        <v>30000</v>
      </c>
      <c r="O1382" s="8">
        <f t="shared" si="129"/>
        <v>239000</v>
      </c>
      <c r="P1382" s="2" t="s">
        <v>35</v>
      </c>
      <c r="Q1382" s="10" t="str">
        <f>VLOOKUP(A1382,Status!A:B,2,0)</f>
        <v>Completed</v>
      </c>
      <c r="R1382" s="2" t="s">
        <v>30</v>
      </c>
      <c r="S1382" s="2">
        <v>5</v>
      </c>
      <c r="T1382" s="2" t="s">
        <v>37</v>
      </c>
      <c r="U1382" s="10" t="str">
        <f t="shared" si="131"/>
        <v>Sep</v>
      </c>
      <c r="V1382" s="10">
        <f t="shared" si="130"/>
        <v>2024</v>
      </c>
      <c r="W1382" t="e" cm="1">
        <f t="array" ref="W1382">_xlfn.IFS(U1382="January",1,U1382="February",2,U1382="March",3,U1382="April",4,U1382="May",5,U1382="June",6,U1382="July",7,U1382="August",8,U1382="September",9,U1382="October",10,U1382="November",11,U1382="December",12)</f>
        <v>#N/A</v>
      </c>
    </row>
    <row r="1383" spans="1:23" ht="15.75" customHeight="1" x14ac:dyDescent="0.25">
      <c r="A1383" s="2" t="s">
        <v>147</v>
      </c>
      <c r="B1383" s="3">
        <v>45556.667488425926</v>
      </c>
      <c r="C1383" s="2" t="s">
        <v>148</v>
      </c>
      <c r="D1383" s="2" t="s">
        <v>74</v>
      </c>
      <c r="E1383" s="2" t="s">
        <v>62</v>
      </c>
      <c r="F1383" s="2" t="str" cm="1">
        <f t="array" ref="F1383:G1383">_xlfn.TEXTSPLIT(E1383," - ")</f>
        <v>Susu Bubuk</v>
      </c>
      <c r="G1383" s="2" t="str">
        <v>Brand B</v>
      </c>
      <c r="H1383" s="5">
        <v>50000</v>
      </c>
      <c r="I1383" s="2">
        <v>5</v>
      </c>
      <c r="J1383" s="2">
        <v>15</v>
      </c>
      <c r="K1383" s="8">
        <f t="shared" si="126"/>
        <v>250000</v>
      </c>
      <c r="L1383" s="8">
        <f t="shared" si="127"/>
        <v>37500</v>
      </c>
      <c r="M1383" s="8">
        <f t="shared" si="128"/>
        <v>212500</v>
      </c>
      <c r="N1383" s="5">
        <v>87000</v>
      </c>
      <c r="O1383" s="8">
        <f t="shared" si="129"/>
        <v>299500</v>
      </c>
      <c r="P1383" s="2" t="s">
        <v>63</v>
      </c>
      <c r="Q1383" s="10" t="str">
        <f>VLOOKUP(A1383,Status!A:B,2,0)</f>
        <v>Returned</v>
      </c>
      <c r="R1383" s="2" t="s">
        <v>82</v>
      </c>
      <c r="S1383" s="2">
        <v>2</v>
      </c>
      <c r="T1383" s="2" t="s">
        <v>24</v>
      </c>
      <c r="U1383" s="10" t="str">
        <f t="shared" si="131"/>
        <v>Sep</v>
      </c>
      <c r="V1383" s="10">
        <f t="shared" si="130"/>
        <v>2024</v>
      </c>
      <c r="W1383" t="e" cm="1">
        <f t="array" ref="W1383">_xlfn.IFS(U1383="January",1,U1383="February",2,U1383="March",3,U1383="April",4,U1383="May",5,U1383="June",6,U1383="July",7,U1383="August",8,U1383="September",9,U1383="October",10,U1383="November",11,U1383="December",12)</f>
        <v>#N/A</v>
      </c>
    </row>
    <row r="1384" spans="1:23" ht="15.75" customHeight="1" x14ac:dyDescent="0.25">
      <c r="A1384" s="2" t="s">
        <v>149</v>
      </c>
      <c r="B1384" s="3">
        <v>45557.366747685177</v>
      </c>
      <c r="C1384" s="2" t="s">
        <v>150</v>
      </c>
      <c r="D1384" s="2" t="s">
        <v>151</v>
      </c>
      <c r="E1384" s="2" t="s">
        <v>93</v>
      </c>
      <c r="F1384" s="2" t="str" cm="1">
        <f t="array" ref="F1384:G1384">_xlfn.TEXTSPLIT(E1384," - ")</f>
        <v>Telur Ayam</v>
      </c>
      <c r="G1384" s="2" t="str">
        <v>Brand B</v>
      </c>
      <c r="H1384" s="5">
        <v>25000</v>
      </c>
      <c r="I1384" s="2">
        <v>5</v>
      </c>
      <c r="J1384" s="2">
        <v>0</v>
      </c>
      <c r="K1384" s="8">
        <f t="shared" si="126"/>
        <v>125000</v>
      </c>
      <c r="L1384" s="8">
        <f t="shared" si="127"/>
        <v>0</v>
      </c>
      <c r="M1384" s="8">
        <f t="shared" si="128"/>
        <v>125000</v>
      </c>
      <c r="N1384" s="5">
        <v>55000</v>
      </c>
      <c r="O1384" s="8">
        <f t="shared" si="129"/>
        <v>180000</v>
      </c>
      <c r="P1384" s="2" t="s">
        <v>29</v>
      </c>
      <c r="Q1384" s="10" t="str">
        <f>VLOOKUP(A1384,Status!A:B,2,0)</f>
        <v>Returned</v>
      </c>
      <c r="R1384" s="2" t="s">
        <v>36</v>
      </c>
      <c r="S1384" s="2">
        <v>3</v>
      </c>
      <c r="T1384" s="2" t="s">
        <v>37</v>
      </c>
      <c r="U1384" s="10" t="str">
        <f t="shared" si="131"/>
        <v>Sep</v>
      </c>
      <c r="V1384" s="10">
        <f t="shared" si="130"/>
        <v>2024</v>
      </c>
      <c r="W1384" t="e" cm="1">
        <f t="array" ref="W1384">_xlfn.IFS(U1384="January",1,U1384="February",2,U1384="March",3,U1384="April",4,U1384="May",5,U1384="June",6,U1384="July",7,U1384="August",8,U1384="September",9,U1384="October",10,U1384="November",11,U1384="December",12)</f>
        <v>#N/A</v>
      </c>
    </row>
    <row r="1385" spans="1:23" ht="15.75" customHeight="1" x14ac:dyDescent="0.25">
      <c r="A1385" s="2" t="s">
        <v>152</v>
      </c>
      <c r="B1385" s="3">
        <v>45557.435624999998</v>
      </c>
      <c r="C1385" s="2" t="s">
        <v>153</v>
      </c>
      <c r="D1385" s="2" t="s">
        <v>103</v>
      </c>
      <c r="E1385" s="2" t="s">
        <v>62</v>
      </c>
      <c r="F1385" s="2" t="str" cm="1">
        <f t="array" ref="F1385:G1385">_xlfn.TEXTSPLIT(E1385," - ")</f>
        <v>Susu Bubuk</v>
      </c>
      <c r="G1385" s="2" t="str">
        <v>Brand B</v>
      </c>
      <c r="H1385" s="5">
        <v>50000</v>
      </c>
      <c r="I1385" s="2">
        <v>1</v>
      </c>
      <c r="J1385" s="2">
        <v>10</v>
      </c>
      <c r="K1385" s="8">
        <f t="shared" si="126"/>
        <v>50000</v>
      </c>
      <c r="L1385" s="8">
        <f t="shared" si="127"/>
        <v>5000</v>
      </c>
      <c r="M1385" s="8">
        <f t="shared" si="128"/>
        <v>45000</v>
      </c>
      <c r="N1385" s="5">
        <v>85000</v>
      </c>
      <c r="O1385" s="8">
        <f t="shared" si="129"/>
        <v>130000</v>
      </c>
      <c r="P1385" s="2" t="s">
        <v>29</v>
      </c>
      <c r="Q1385" s="10" t="str">
        <f>VLOOKUP(A1385,Status!A:B,2,0)</f>
        <v>Completed</v>
      </c>
      <c r="R1385" s="2" t="s">
        <v>36</v>
      </c>
      <c r="S1385" s="2">
        <v>2</v>
      </c>
      <c r="T1385" s="2" t="s">
        <v>37</v>
      </c>
      <c r="U1385" s="10" t="str">
        <f t="shared" si="131"/>
        <v>Sep</v>
      </c>
      <c r="V1385" s="10">
        <f t="shared" si="130"/>
        <v>2024</v>
      </c>
      <c r="W1385" t="e" cm="1">
        <f t="array" ref="W1385">_xlfn.IFS(U1385="January",1,U1385="February",2,U1385="March",3,U1385="April",4,U1385="May",5,U1385="June",6,U1385="July",7,U1385="August",8,U1385="September",9,U1385="October",10,U1385="November",11,U1385="December",12)</f>
        <v>#N/A</v>
      </c>
    </row>
    <row r="1386" spans="1:23" ht="15.75" customHeight="1" x14ac:dyDescent="0.25">
      <c r="A1386" s="2" t="s">
        <v>154</v>
      </c>
      <c r="B1386" s="3">
        <v>45557.904618055552</v>
      </c>
      <c r="C1386" s="2" t="s">
        <v>155</v>
      </c>
      <c r="D1386" s="2" t="s">
        <v>92</v>
      </c>
      <c r="E1386" s="2" t="s">
        <v>54</v>
      </c>
      <c r="F1386" s="2" t="str" cm="1">
        <f t="array" ref="F1386:G1386">_xlfn.TEXTSPLIT(E1386," - ")</f>
        <v>Beras</v>
      </c>
      <c r="G1386" s="2" t="str">
        <v>Brand C</v>
      </c>
      <c r="H1386" s="5">
        <v>16000</v>
      </c>
      <c r="I1386" s="2">
        <v>5</v>
      </c>
      <c r="J1386" s="2">
        <v>10</v>
      </c>
      <c r="K1386" s="8">
        <f t="shared" si="126"/>
        <v>80000</v>
      </c>
      <c r="L1386" s="8">
        <f t="shared" si="127"/>
        <v>8000</v>
      </c>
      <c r="M1386" s="8">
        <f t="shared" si="128"/>
        <v>72000</v>
      </c>
      <c r="N1386" s="5">
        <v>30000</v>
      </c>
      <c r="O1386" s="8">
        <f t="shared" si="129"/>
        <v>102000</v>
      </c>
      <c r="P1386" s="2" t="s">
        <v>22</v>
      </c>
      <c r="Q1386" s="10" t="str">
        <f>VLOOKUP(A1386,Status!A:B,2,0)</f>
        <v>Completed</v>
      </c>
      <c r="R1386" s="2" t="s">
        <v>82</v>
      </c>
      <c r="S1386" s="2">
        <v>3</v>
      </c>
      <c r="T1386" s="2" t="s">
        <v>24</v>
      </c>
      <c r="U1386" s="10" t="str">
        <f t="shared" si="131"/>
        <v>Sep</v>
      </c>
      <c r="V1386" s="10">
        <f t="shared" si="130"/>
        <v>2024</v>
      </c>
      <c r="W1386" t="e" cm="1">
        <f t="array" ref="W1386">_xlfn.IFS(U1386="January",1,U1386="February",2,U1386="March",3,U1386="April",4,U1386="May",5,U1386="June",6,U1386="July",7,U1386="August",8,U1386="September",9,U1386="October",10,U1386="November",11,U1386="December",12)</f>
        <v>#N/A</v>
      </c>
    </row>
    <row r="1387" spans="1:23" ht="15.75" customHeight="1" x14ac:dyDescent="0.25">
      <c r="A1387" s="2" t="s">
        <v>156</v>
      </c>
      <c r="B1387" s="3">
        <v>45557.948622685188</v>
      </c>
      <c r="C1387" s="2" t="s">
        <v>157</v>
      </c>
      <c r="D1387" s="2" t="s">
        <v>20</v>
      </c>
      <c r="E1387" s="2" t="s">
        <v>54</v>
      </c>
      <c r="F1387" s="2" t="str" cm="1">
        <f t="array" ref="F1387:G1387">_xlfn.TEXTSPLIT(E1387," - ")</f>
        <v>Beras</v>
      </c>
      <c r="G1387" s="2" t="str">
        <v>Brand C</v>
      </c>
      <c r="H1387" s="5">
        <v>16000</v>
      </c>
      <c r="I1387" s="2">
        <v>3</v>
      </c>
      <c r="J1387" s="2">
        <v>0</v>
      </c>
      <c r="K1387" s="8">
        <f t="shared" si="126"/>
        <v>48000</v>
      </c>
      <c r="L1387" s="8">
        <f t="shared" si="127"/>
        <v>0</v>
      </c>
      <c r="M1387" s="8">
        <f t="shared" si="128"/>
        <v>48000</v>
      </c>
      <c r="N1387" s="5">
        <v>15000</v>
      </c>
      <c r="O1387" s="8">
        <f t="shared" si="129"/>
        <v>63000</v>
      </c>
      <c r="P1387" s="2" t="s">
        <v>35</v>
      </c>
      <c r="Q1387" s="10" t="str">
        <f>VLOOKUP(A1387,Status!A:B,2,0)</f>
        <v>Completed</v>
      </c>
      <c r="R1387" s="2" t="s">
        <v>36</v>
      </c>
      <c r="S1387" s="2">
        <v>4</v>
      </c>
      <c r="T1387" s="2" t="s">
        <v>24</v>
      </c>
      <c r="U1387" s="10" t="str">
        <f t="shared" si="131"/>
        <v>Sep</v>
      </c>
      <c r="V1387" s="10">
        <f t="shared" si="130"/>
        <v>2024</v>
      </c>
      <c r="W1387" t="e" cm="1">
        <f t="array" ref="W1387">_xlfn.IFS(U1387="January",1,U1387="February",2,U1387="March",3,U1387="April",4,U1387="May",5,U1387="June",6,U1387="July",7,U1387="August",8,U1387="September",9,U1387="October",10,U1387="November",11,U1387="December",12)</f>
        <v>#N/A</v>
      </c>
    </row>
    <row r="1388" spans="1:23" ht="15.75" customHeight="1" x14ac:dyDescent="0.25">
      <c r="A1388" s="2" t="s">
        <v>158</v>
      </c>
      <c r="B1388" s="3">
        <v>45558.191782407397</v>
      </c>
      <c r="C1388" s="2" t="s">
        <v>159</v>
      </c>
      <c r="D1388" s="2" t="s">
        <v>160</v>
      </c>
      <c r="E1388" s="2" t="s">
        <v>41</v>
      </c>
      <c r="F1388" s="2" t="str" cm="1">
        <f t="array" ref="F1388:G1388">_xlfn.TEXTSPLIT(E1388," - ")</f>
        <v>Garam</v>
      </c>
      <c r="G1388" s="2" t="str">
        <v>Brand A</v>
      </c>
      <c r="H1388" s="5">
        <v>4000</v>
      </c>
      <c r="I1388" s="2">
        <v>1</v>
      </c>
      <c r="J1388" s="2">
        <v>5</v>
      </c>
      <c r="K1388" s="8">
        <f t="shared" si="126"/>
        <v>4000</v>
      </c>
      <c r="L1388" s="8">
        <f t="shared" si="127"/>
        <v>200</v>
      </c>
      <c r="M1388" s="8">
        <f t="shared" si="128"/>
        <v>3800</v>
      </c>
      <c r="N1388" s="5">
        <v>68000</v>
      </c>
      <c r="O1388" s="8">
        <f t="shared" si="129"/>
        <v>71800</v>
      </c>
      <c r="P1388" s="2" t="s">
        <v>63</v>
      </c>
      <c r="Q1388" s="10" t="str">
        <f>VLOOKUP(A1388,Status!A:B,2,0)</f>
        <v>Completed</v>
      </c>
      <c r="R1388" s="2" t="s">
        <v>82</v>
      </c>
      <c r="S1388" s="2">
        <v>1</v>
      </c>
      <c r="T1388" s="2" t="s">
        <v>24</v>
      </c>
      <c r="U1388" s="10" t="str">
        <f t="shared" si="131"/>
        <v>Sep</v>
      </c>
      <c r="V1388" s="10">
        <f t="shared" si="130"/>
        <v>2024</v>
      </c>
      <c r="W1388" t="e" cm="1">
        <f t="array" ref="W1388">_xlfn.IFS(U1388="January",1,U1388="February",2,U1388="March",3,U1388="April",4,U1388="May",5,U1388="June",6,U1388="July",7,U1388="August",8,U1388="September",9,U1388="October",10,U1388="November",11,U1388="December",12)</f>
        <v>#N/A</v>
      </c>
    </row>
    <row r="1389" spans="1:23" ht="15.75" customHeight="1" x14ac:dyDescent="0.25">
      <c r="A1389" s="2" t="s">
        <v>161</v>
      </c>
      <c r="B1389" s="3">
        <v>45558.467662037037</v>
      </c>
      <c r="C1389" s="2" t="s">
        <v>162</v>
      </c>
      <c r="D1389" s="2" t="s">
        <v>163</v>
      </c>
      <c r="E1389" s="2" t="s">
        <v>54</v>
      </c>
      <c r="F1389" s="2" t="str" cm="1">
        <f t="array" ref="F1389:G1389">_xlfn.TEXTSPLIT(E1389," - ")</f>
        <v>Beras</v>
      </c>
      <c r="G1389" s="2" t="str">
        <v>Brand C</v>
      </c>
      <c r="H1389" s="5">
        <v>16000</v>
      </c>
      <c r="I1389" s="2">
        <v>3</v>
      </c>
      <c r="J1389" s="2">
        <v>5</v>
      </c>
      <c r="K1389" s="8">
        <f t="shared" si="126"/>
        <v>48000</v>
      </c>
      <c r="L1389" s="8">
        <f t="shared" si="127"/>
        <v>2400</v>
      </c>
      <c r="M1389" s="8">
        <f t="shared" si="128"/>
        <v>45600</v>
      </c>
      <c r="N1389" s="5">
        <v>50000</v>
      </c>
      <c r="O1389" s="8">
        <f t="shared" si="129"/>
        <v>95600</v>
      </c>
      <c r="P1389" s="2" t="s">
        <v>63</v>
      </c>
      <c r="Q1389" s="10" t="str">
        <f>VLOOKUP(A1389,Status!A:B,2,0)</f>
        <v>Completed</v>
      </c>
      <c r="R1389" s="2" t="s">
        <v>23</v>
      </c>
      <c r="S1389" s="2">
        <v>4</v>
      </c>
      <c r="T1389" s="2" t="s">
        <v>24</v>
      </c>
      <c r="U1389" s="10" t="str">
        <f t="shared" si="131"/>
        <v>Sep</v>
      </c>
      <c r="V1389" s="10">
        <f t="shared" si="130"/>
        <v>2024</v>
      </c>
      <c r="W1389" t="e" cm="1">
        <f t="array" ref="W1389">_xlfn.IFS(U1389="January",1,U1389="February",2,U1389="March",3,U1389="April",4,U1389="May",5,U1389="June",6,U1389="July",7,U1389="August",8,U1389="September",9,U1389="October",10,U1389="November",11,U1389="December",12)</f>
        <v>#N/A</v>
      </c>
    </row>
    <row r="1390" spans="1:23" ht="15.75" customHeight="1" x14ac:dyDescent="0.25">
      <c r="A1390" s="2" t="s">
        <v>164</v>
      </c>
      <c r="B1390" s="3">
        <v>45558.671018518522</v>
      </c>
      <c r="C1390" s="2" t="s">
        <v>165</v>
      </c>
      <c r="D1390" s="2" t="s">
        <v>143</v>
      </c>
      <c r="E1390" s="2" t="s">
        <v>45</v>
      </c>
      <c r="F1390" s="2" t="str" cm="1">
        <f t="array" ref="F1390:G1390">_xlfn.TEXTSPLIT(E1390," - ")</f>
        <v>Daging Ayam</v>
      </c>
      <c r="G1390" s="2" t="str">
        <v>Brand B</v>
      </c>
      <c r="H1390" s="5">
        <v>40000</v>
      </c>
      <c r="I1390" s="2">
        <v>3</v>
      </c>
      <c r="J1390" s="2">
        <v>0</v>
      </c>
      <c r="K1390" s="8">
        <f t="shared" si="126"/>
        <v>120000</v>
      </c>
      <c r="L1390" s="8">
        <f t="shared" si="127"/>
        <v>0</v>
      </c>
      <c r="M1390" s="8">
        <f t="shared" si="128"/>
        <v>120000</v>
      </c>
      <c r="N1390" s="5">
        <v>50000</v>
      </c>
      <c r="O1390" s="8">
        <f t="shared" si="129"/>
        <v>170000</v>
      </c>
      <c r="P1390" s="2" t="s">
        <v>22</v>
      </c>
      <c r="Q1390" s="10" t="str">
        <f>VLOOKUP(A1390,Status!A:B,2,0)</f>
        <v>Completed</v>
      </c>
      <c r="R1390" s="2" t="s">
        <v>46</v>
      </c>
      <c r="S1390" s="2">
        <v>5</v>
      </c>
      <c r="T1390" s="2" t="s">
        <v>24</v>
      </c>
      <c r="U1390" s="10" t="str">
        <f t="shared" si="131"/>
        <v>Sep</v>
      </c>
      <c r="V1390" s="10">
        <f t="shared" si="130"/>
        <v>2024</v>
      </c>
      <c r="W1390" t="e" cm="1">
        <f t="array" ref="W1390">_xlfn.IFS(U1390="January",1,U1390="February",2,U1390="March",3,U1390="April",4,U1390="May",5,U1390="June",6,U1390="July",7,U1390="August",8,U1390="September",9,U1390="October",10,U1390="November",11,U1390="December",12)</f>
        <v>#N/A</v>
      </c>
    </row>
    <row r="1391" spans="1:23" ht="15.75" customHeight="1" x14ac:dyDescent="0.25">
      <c r="A1391" s="2" t="s">
        <v>166</v>
      </c>
      <c r="B1391" s="3">
        <v>45558.775856481479</v>
      </c>
      <c r="C1391" s="2" t="s">
        <v>167</v>
      </c>
      <c r="D1391" s="2" t="s">
        <v>44</v>
      </c>
      <c r="E1391" s="2" t="s">
        <v>34</v>
      </c>
      <c r="F1391" s="2" t="str" cm="1">
        <f t="array" ref="F1391:G1391">_xlfn.TEXTSPLIT(E1391," - ")</f>
        <v>Minyak Goreng</v>
      </c>
      <c r="G1391" s="2" t="str">
        <v>Brand A</v>
      </c>
      <c r="H1391" s="5">
        <v>16000</v>
      </c>
      <c r="I1391" s="2">
        <v>5</v>
      </c>
      <c r="J1391" s="2">
        <v>5</v>
      </c>
      <c r="K1391" s="8">
        <f t="shared" si="126"/>
        <v>80000</v>
      </c>
      <c r="L1391" s="8">
        <f t="shared" si="127"/>
        <v>4000</v>
      </c>
      <c r="M1391" s="8">
        <f t="shared" si="128"/>
        <v>76000</v>
      </c>
      <c r="N1391" s="5">
        <v>93000</v>
      </c>
      <c r="O1391" s="8">
        <f t="shared" si="129"/>
        <v>169000</v>
      </c>
      <c r="P1391" s="2" t="s">
        <v>63</v>
      </c>
      <c r="Q1391" s="10" t="str">
        <f>VLOOKUP(A1391,Status!A:B,2,0)</f>
        <v>Cancelled</v>
      </c>
      <c r="R1391" s="2" t="s">
        <v>82</v>
      </c>
      <c r="S1391" s="2">
        <v>4</v>
      </c>
      <c r="T1391" s="2" t="s">
        <v>24</v>
      </c>
      <c r="U1391" s="10" t="str">
        <f t="shared" si="131"/>
        <v>Sep</v>
      </c>
      <c r="V1391" s="10">
        <f t="shared" si="130"/>
        <v>2024</v>
      </c>
      <c r="W1391" t="e" cm="1">
        <f t="array" ref="W1391">_xlfn.IFS(U1391="January",1,U1391="February",2,U1391="March",3,U1391="April",4,U1391="May",5,U1391="June",6,U1391="July",7,U1391="August",8,U1391="September",9,U1391="October",10,U1391="November",11,U1391="December",12)</f>
        <v>#N/A</v>
      </c>
    </row>
    <row r="1392" spans="1:23" ht="15.75" customHeight="1" x14ac:dyDescent="0.25">
      <c r="A1392" s="2" t="s">
        <v>168</v>
      </c>
      <c r="B1392" s="3">
        <v>45559.000520833331</v>
      </c>
      <c r="C1392" s="2" t="s">
        <v>169</v>
      </c>
      <c r="D1392" s="2" t="s">
        <v>170</v>
      </c>
      <c r="E1392" s="2" t="s">
        <v>71</v>
      </c>
      <c r="F1392" s="2" t="str" cm="1">
        <f t="array" ref="F1392:G1392">_xlfn.TEXTSPLIT(E1392," - ")</f>
        <v>Bawang Merah</v>
      </c>
      <c r="G1392" s="2" t="str">
        <v>Brand C</v>
      </c>
      <c r="H1392" s="5">
        <v>40000</v>
      </c>
      <c r="I1392" s="2">
        <v>4</v>
      </c>
      <c r="J1392" s="2">
        <v>10</v>
      </c>
      <c r="K1392" s="8">
        <f t="shared" si="126"/>
        <v>160000</v>
      </c>
      <c r="L1392" s="8">
        <f t="shared" si="127"/>
        <v>16000</v>
      </c>
      <c r="M1392" s="8">
        <f t="shared" si="128"/>
        <v>144000</v>
      </c>
      <c r="N1392" s="5">
        <v>46000</v>
      </c>
      <c r="O1392" s="8">
        <f t="shared" si="129"/>
        <v>190000</v>
      </c>
      <c r="P1392" s="2" t="s">
        <v>63</v>
      </c>
      <c r="Q1392" s="10" t="str">
        <f>VLOOKUP(A1392,Status!A:B,2,0)</f>
        <v>Completed</v>
      </c>
      <c r="R1392" s="2" t="s">
        <v>82</v>
      </c>
      <c r="S1392" s="2">
        <v>4</v>
      </c>
      <c r="T1392" s="2" t="s">
        <v>24</v>
      </c>
      <c r="U1392" s="10" t="str">
        <f t="shared" si="131"/>
        <v>Sep</v>
      </c>
      <c r="V1392" s="10">
        <f t="shared" si="130"/>
        <v>2024</v>
      </c>
      <c r="W1392" t="e" cm="1">
        <f t="array" ref="W1392">_xlfn.IFS(U1392="January",1,U1392="February",2,U1392="March",3,U1392="April",4,U1392="May",5,U1392="June",6,U1392="July",7,U1392="August",8,U1392="September",9,U1392="October",10,U1392="November",11,U1392="December",12)</f>
        <v>#N/A</v>
      </c>
    </row>
    <row r="1393" spans="1:23" ht="15.75" customHeight="1" x14ac:dyDescent="0.25">
      <c r="A1393" s="2" t="s">
        <v>171</v>
      </c>
      <c r="B1393" s="3">
        <v>45559.017048611109</v>
      </c>
      <c r="C1393" s="2" t="s">
        <v>172</v>
      </c>
      <c r="D1393" s="2" t="s">
        <v>173</v>
      </c>
      <c r="E1393" s="2" t="s">
        <v>41</v>
      </c>
      <c r="F1393" s="2" t="str" cm="1">
        <f t="array" ref="F1393:G1393">_xlfn.TEXTSPLIT(E1393," - ")</f>
        <v>Garam</v>
      </c>
      <c r="G1393" s="2" t="str">
        <v>Brand A</v>
      </c>
      <c r="H1393" s="5">
        <v>4000</v>
      </c>
      <c r="I1393" s="2">
        <v>3</v>
      </c>
      <c r="J1393" s="2">
        <v>10</v>
      </c>
      <c r="K1393" s="8">
        <f t="shared" si="126"/>
        <v>12000</v>
      </c>
      <c r="L1393" s="8">
        <f t="shared" si="127"/>
        <v>1200</v>
      </c>
      <c r="M1393" s="8">
        <f t="shared" si="128"/>
        <v>10800</v>
      </c>
      <c r="N1393" s="5">
        <v>49000</v>
      </c>
      <c r="O1393" s="8">
        <f t="shared" si="129"/>
        <v>59800</v>
      </c>
      <c r="P1393" s="2" t="s">
        <v>22</v>
      </c>
      <c r="Q1393" s="10" t="str">
        <f>VLOOKUP(A1393,Status!A:B,2,0)</f>
        <v>Completed</v>
      </c>
      <c r="R1393" s="2" t="s">
        <v>82</v>
      </c>
      <c r="S1393" s="2">
        <v>1</v>
      </c>
      <c r="T1393" s="2" t="s">
        <v>24</v>
      </c>
      <c r="U1393" s="10" t="str">
        <f t="shared" si="131"/>
        <v>Sep</v>
      </c>
      <c r="V1393" s="10">
        <f t="shared" si="130"/>
        <v>2024</v>
      </c>
      <c r="W1393" t="e" cm="1">
        <f t="array" ref="W1393">_xlfn.IFS(U1393="January",1,U1393="February",2,U1393="March",3,U1393="April",4,U1393="May",5,U1393="June",6,U1393="July",7,U1393="August",8,U1393="September",9,U1393="October",10,U1393="November",11,U1393="December",12)</f>
        <v>#N/A</v>
      </c>
    </row>
    <row r="1394" spans="1:23" ht="15.75" customHeight="1" x14ac:dyDescent="0.25">
      <c r="A1394" s="2" t="s">
        <v>171</v>
      </c>
      <c r="B1394" s="3">
        <v>45559.017048611109</v>
      </c>
      <c r="C1394" s="2" t="s">
        <v>172</v>
      </c>
      <c r="D1394" s="2" t="s">
        <v>173</v>
      </c>
      <c r="E1394" s="2" t="s">
        <v>174</v>
      </c>
      <c r="F1394" s="2" t="str" cm="1">
        <f t="array" ref="F1394:G1394">_xlfn.TEXTSPLIT(E1394," - ")</f>
        <v>Tepung Terigu</v>
      </c>
      <c r="G1394" s="2" t="str">
        <v>Brand A</v>
      </c>
      <c r="H1394" s="5">
        <v>10000</v>
      </c>
      <c r="I1394" s="2">
        <v>4</v>
      </c>
      <c r="J1394" s="2">
        <v>5</v>
      </c>
      <c r="K1394" s="8">
        <f t="shared" si="126"/>
        <v>40000</v>
      </c>
      <c r="L1394" s="8">
        <f t="shared" si="127"/>
        <v>2000</v>
      </c>
      <c r="M1394" s="8">
        <f t="shared" si="128"/>
        <v>38000</v>
      </c>
      <c r="N1394" s="5">
        <v>0</v>
      </c>
      <c r="O1394" s="8">
        <f t="shared" si="129"/>
        <v>38000</v>
      </c>
      <c r="P1394" s="2" t="s">
        <v>22</v>
      </c>
      <c r="Q1394" s="10" t="str">
        <f>VLOOKUP(A1394,Status!A:B,2,0)</f>
        <v>Completed</v>
      </c>
      <c r="R1394" s="2" t="s">
        <v>82</v>
      </c>
      <c r="S1394" s="2">
        <v>1</v>
      </c>
      <c r="T1394" s="2" t="s">
        <v>24</v>
      </c>
      <c r="U1394" s="10" t="str">
        <f t="shared" si="131"/>
        <v>Sep</v>
      </c>
      <c r="V1394" s="10">
        <f t="shared" si="130"/>
        <v>2024</v>
      </c>
      <c r="W1394" t="e" cm="1">
        <f t="array" ref="W1394">_xlfn.IFS(U1394="January",1,U1394="February",2,U1394="March",3,U1394="April",4,U1394="May",5,U1394="June",6,U1394="July",7,U1394="August",8,U1394="September",9,U1394="October",10,U1394="November",11,U1394="December",12)</f>
        <v>#N/A</v>
      </c>
    </row>
    <row r="1395" spans="1:23" ht="15.75" customHeight="1" x14ac:dyDescent="0.25">
      <c r="A1395" s="2" t="s">
        <v>175</v>
      </c>
      <c r="B1395" s="3">
        <v>45559.020509259259</v>
      </c>
      <c r="C1395" s="2" t="s">
        <v>176</v>
      </c>
      <c r="D1395" s="2" t="s">
        <v>177</v>
      </c>
      <c r="E1395" s="2" t="s">
        <v>58</v>
      </c>
      <c r="F1395" s="2" t="str" cm="1">
        <f t="array" ref="F1395:G1395">_xlfn.TEXTSPLIT(E1395," - ")</f>
        <v>Gula Pasir</v>
      </c>
      <c r="G1395" s="2" t="str">
        <v>Brand A</v>
      </c>
      <c r="H1395" s="5">
        <v>16000</v>
      </c>
      <c r="I1395" s="2">
        <v>5</v>
      </c>
      <c r="J1395" s="2">
        <v>15</v>
      </c>
      <c r="K1395" s="8">
        <f t="shared" si="126"/>
        <v>80000</v>
      </c>
      <c r="L1395" s="8">
        <f t="shared" si="127"/>
        <v>12000</v>
      </c>
      <c r="M1395" s="8">
        <f t="shared" si="128"/>
        <v>68000</v>
      </c>
      <c r="N1395" s="5">
        <v>56000</v>
      </c>
      <c r="O1395" s="8">
        <f t="shared" si="129"/>
        <v>124000</v>
      </c>
      <c r="P1395" s="2" t="s">
        <v>22</v>
      </c>
      <c r="Q1395" s="10" t="str">
        <f>VLOOKUP(A1395,Status!A:B,2,0)</f>
        <v>Completed</v>
      </c>
      <c r="R1395" s="2" t="s">
        <v>82</v>
      </c>
      <c r="S1395" s="2">
        <v>2</v>
      </c>
      <c r="T1395" s="2" t="s">
        <v>24</v>
      </c>
      <c r="U1395" s="10" t="str">
        <f t="shared" si="131"/>
        <v>Sep</v>
      </c>
      <c r="V1395" s="10">
        <f t="shared" si="130"/>
        <v>2024</v>
      </c>
      <c r="W1395" t="e" cm="1">
        <f t="array" ref="W1395">_xlfn.IFS(U1395="January",1,U1395="February",2,U1395="March",3,U1395="April",4,U1395="May",5,U1395="June",6,U1395="July",7,U1395="August",8,U1395="September",9,U1395="October",10,U1395="November",11,U1395="December",12)</f>
        <v>#N/A</v>
      </c>
    </row>
    <row r="1396" spans="1:23" ht="15.75" customHeight="1" x14ac:dyDescent="0.25">
      <c r="A1396" s="2" t="s">
        <v>178</v>
      </c>
      <c r="B1396" s="3">
        <v>45559.04047453704</v>
      </c>
      <c r="C1396" s="2" t="s">
        <v>179</v>
      </c>
      <c r="D1396" s="2" t="s">
        <v>66</v>
      </c>
      <c r="E1396" s="2" t="s">
        <v>75</v>
      </c>
      <c r="F1396" s="2" t="str" cm="1">
        <f t="array" ref="F1396:G1396">_xlfn.TEXTSPLIT(E1396," - ")</f>
        <v>Susu Bubuk</v>
      </c>
      <c r="G1396" s="2" t="str">
        <v>Brand C</v>
      </c>
      <c r="H1396" s="5">
        <v>55000</v>
      </c>
      <c r="I1396" s="2">
        <v>5</v>
      </c>
      <c r="J1396" s="2">
        <v>10</v>
      </c>
      <c r="K1396" s="8">
        <f t="shared" si="126"/>
        <v>275000</v>
      </c>
      <c r="L1396" s="8">
        <f t="shared" si="127"/>
        <v>27500</v>
      </c>
      <c r="M1396" s="8">
        <f t="shared" si="128"/>
        <v>247500</v>
      </c>
      <c r="N1396" s="5">
        <v>59000</v>
      </c>
      <c r="O1396" s="8">
        <f t="shared" si="129"/>
        <v>306500</v>
      </c>
      <c r="P1396" s="2" t="s">
        <v>35</v>
      </c>
      <c r="Q1396" s="10" t="str">
        <f>VLOOKUP(A1396,Status!A:B,2,0)</f>
        <v>Completed</v>
      </c>
      <c r="R1396" s="2" t="s">
        <v>82</v>
      </c>
      <c r="S1396" s="2">
        <v>4</v>
      </c>
      <c r="T1396" s="2" t="s">
        <v>24</v>
      </c>
      <c r="U1396" s="10" t="str">
        <f t="shared" si="131"/>
        <v>Sep</v>
      </c>
      <c r="V1396" s="10">
        <f t="shared" si="130"/>
        <v>2024</v>
      </c>
      <c r="W1396" t="e" cm="1">
        <f t="array" ref="W1396">_xlfn.IFS(U1396="January",1,U1396="February",2,U1396="March",3,U1396="April",4,U1396="May",5,U1396="June",6,U1396="July",7,U1396="August",8,U1396="September",9,U1396="October",10,U1396="November",11,U1396="December",12)</f>
        <v>#N/A</v>
      </c>
    </row>
    <row r="1397" spans="1:23" ht="15.75" customHeight="1" x14ac:dyDescent="0.25">
      <c r="A1397" s="2" t="s">
        <v>180</v>
      </c>
      <c r="B1397" s="3">
        <v>45559.32298611111</v>
      </c>
      <c r="C1397" s="2" t="s">
        <v>181</v>
      </c>
      <c r="D1397" s="2" t="s">
        <v>182</v>
      </c>
      <c r="E1397" s="2" t="s">
        <v>71</v>
      </c>
      <c r="F1397" s="2" t="str" cm="1">
        <f t="array" ref="F1397:G1397">_xlfn.TEXTSPLIT(E1397," - ")</f>
        <v>Bawang Merah</v>
      </c>
      <c r="G1397" s="2" t="str">
        <v>Brand C</v>
      </c>
      <c r="H1397" s="5">
        <v>40000</v>
      </c>
      <c r="I1397" s="2">
        <v>1</v>
      </c>
      <c r="J1397" s="2">
        <v>10</v>
      </c>
      <c r="K1397" s="8">
        <f t="shared" si="126"/>
        <v>40000</v>
      </c>
      <c r="L1397" s="8">
        <f t="shared" si="127"/>
        <v>4000</v>
      </c>
      <c r="M1397" s="8">
        <f t="shared" si="128"/>
        <v>36000</v>
      </c>
      <c r="N1397" s="5">
        <v>48000</v>
      </c>
      <c r="O1397" s="8">
        <f t="shared" si="129"/>
        <v>84000</v>
      </c>
      <c r="P1397" s="2" t="s">
        <v>29</v>
      </c>
      <c r="Q1397" s="10" t="str">
        <f>VLOOKUP(A1397,Status!A:B,2,0)</f>
        <v>Completed</v>
      </c>
      <c r="R1397" s="2" t="s">
        <v>82</v>
      </c>
      <c r="S1397" s="2">
        <v>2</v>
      </c>
      <c r="T1397" s="2" t="s">
        <v>24</v>
      </c>
      <c r="U1397" s="10" t="str">
        <f t="shared" si="131"/>
        <v>Sep</v>
      </c>
      <c r="V1397" s="10">
        <f t="shared" si="130"/>
        <v>2024</v>
      </c>
      <c r="W1397" t="e" cm="1">
        <f t="array" ref="W1397">_xlfn.IFS(U1397="January",1,U1397="February",2,U1397="March",3,U1397="April",4,U1397="May",5,U1397="June",6,U1397="July",7,U1397="August",8,U1397="September",9,U1397="October",10,U1397="November",11,U1397="December",12)</f>
        <v>#N/A</v>
      </c>
    </row>
    <row r="1398" spans="1:23" ht="15.75" customHeight="1" x14ac:dyDescent="0.25">
      <c r="A1398" s="2" t="s">
        <v>183</v>
      </c>
      <c r="B1398" s="3">
        <v>45559.340555555558</v>
      </c>
      <c r="C1398" s="2" t="s">
        <v>184</v>
      </c>
      <c r="D1398" s="2" t="s">
        <v>103</v>
      </c>
      <c r="E1398" s="2" t="s">
        <v>75</v>
      </c>
      <c r="F1398" s="2" t="str" cm="1">
        <f t="array" ref="F1398:G1398">_xlfn.TEXTSPLIT(E1398," - ")</f>
        <v>Susu Bubuk</v>
      </c>
      <c r="G1398" s="2" t="str">
        <v>Brand C</v>
      </c>
      <c r="H1398" s="5">
        <v>55000</v>
      </c>
      <c r="I1398" s="2">
        <v>1</v>
      </c>
      <c r="J1398" s="2">
        <v>15</v>
      </c>
      <c r="K1398" s="8">
        <f t="shared" si="126"/>
        <v>55000</v>
      </c>
      <c r="L1398" s="8">
        <f t="shared" si="127"/>
        <v>8250</v>
      </c>
      <c r="M1398" s="8">
        <f t="shared" si="128"/>
        <v>46750</v>
      </c>
      <c r="N1398" s="5">
        <v>85000</v>
      </c>
      <c r="O1398" s="8">
        <f t="shared" si="129"/>
        <v>131750</v>
      </c>
      <c r="P1398" s="2" t="s">
        <v>22</v>
      </c>
      <c r="Q1398" s="10" t="str">
        <f>VLOOKUP(A1398,Status!A:B,2,0)</f>
        <v>Completed</v>
      </c>
      <c r="R1398" s="2" t="s">
        <v>46</v>
      </c>
      <c r="S1398" s="2">
        <v>2</v>
      </c>
      <c r="T1398" s="2" t="s">
        <v>24</v>
      </c>
      <c r="U1398" s="10" t="str">
        <f t="shared" si="131"/>
        <v>Sep</v>
      </c>
      <c r="V1398" s="10">
        <f t="shared" si="130"/>
        <v>2024</v>
      </c>
      <c r="W1398" t="e" cm="1">
        <f t="array" ref="W1398">_xlfn.IFS(U1398="January",1,U1398="February",2,U1398="March",3,U1398="April",4,U1398="May",5,U1398="June",6,U1398="July",7,U1398="August",8,U1398="September",9,U1398="October",10,U1398="November",11,U1398="December",12)</f>
        <v>#N/A</v>
      </c>
    </row>
    <row r="1399" spans="1:23" ht="15.75" customHeight="1" x14ac:dyDescent="0.25">
      <c r="A1399" s="2" t="s">
        <v>185</v>
      </c>
      <c r="B1399" s="3">
        <v>45559.478229166663</v>
      </c>
      <c r="C1399" s="2" t="s">
        <v>95</v>
      </c>
      <c r="D1399" s="2" t="s">
        <v>96</v>
      </c>
      <c r="E1399" s="2" t="s">
        <v>186</v>
      </c>
      <c r="F1399" s="2" t="str" cm="1">
        <f t="array" ref="F1399:G1399">_xlfn.TEXTSPLIT(E1399," - ")</f>
        <v>Susu Bubuk</v>
      </c>
      <c r="G1399" s="2" t="str">
        <v>Brand A</v>
      </c>
      <c r="H1399" s="5">
        <v>45000</v>
      </c>
      <c r="I1399" s="2">
        <v>1</v>
      </c>
      <c r="J1399" s="2">
        <v>15</v>
      </c>
      <c r="K1399" s="8">
        <f t="shared" si="126"/>
        <v>45000</v>
      </c>
      <c r="L1399" s="8">
        <f t="shared" si="127"/>
        <v>6750</v>
      </c>
      <c r="M1399" s="8">
        <f t="shared" si="128"/>
        <v>38250</v>
      </c>
      <c r="N1399" s="5">
        <v>49000</v>
      </c>
      <c r="O1399" s="8">
        <f t="shared" si="129"/>
        <v>87250</v>
      </c>
      <c r="P1399" s="2" t="s">
        <v>63</v>
      </c>
      <c r="Q1399" s="10" t="str">
        <f>VLOOKUP(A1399,Status!A:B,2,0)</f>
        <v>Returned</v>
      </c>
      <c r="R1399" s="2" t="s">
        <v>82</v>
      </c>
      <c r="S1399" s="2">
        <v>5</v>
      </c>
      <c r="T1399" s="2" t="s">
        <v>24</v>
      </c>
      <c r="U1399" s="10" t="str">
        <f t="shared" si="131"/>
        <v>Sep</v>
      </c>
      <c r="V1399" s="10">
        <f t="shared" si="130"/>
        <v>2024</v>
      </c>
      <c r="W1399" t="e" cm="1">
        <f t="array" ref="W1399">_xlfn.IFS(U1399="January",1,U1399="February",2,U1399="March",3,U1399="April",4,U1399="May",5,U1399="June",6,U1399="July",7,U1399="August",8,U1399="September",9,U1399="October",10,U1399="November",11,U1399="December",12)</f>
        <v>#N/A</v>
      </c>
    </row>
    <row r="1400" spans="1:23" ht="15.75" customHeight="1" x14ac:dyDescent="0.25">
      <c r="A1400" s="2" t="s">
        <v>187</v>
      </c>
      <c r="B1400" s="3">
        <v>45559.683819444443</v>
      </c>
      <c r="C1400" s="2" t="s">
        <v>188</v>
      </c>
      <c r="D1400" s="2" t="s">
        <v>189</v>
      </c>
      <c r="E1400" s="2" t="s">
        <v>190</v>
      </c>
      <c r="F1400" s="2" t="str" cm="1">
        <f t="array" ref="F1400:G1400">_xlfn.TEXTSPLIT(E1400," - ")</f>
        <v>Bawang Merah</v>
      </c>
      <c r="G1400" s="2" t="str">
        <v>Brand B</v>
      </c>
      <c r="H1400" s="5">
        <v>35000</v>
      </c>
      <c r="I1400" s="2">
        <v>5</v>
      </c>
      <c r="J1400" s="2">
        <v>5</v>
      </c>
      <c r="K1400" s="8">
        <f t="shared" si="126"/>
        <v>175000</v>
      </c>
      <c r="L1400" s="8">
        <f t="shared" si="127"/>
        <v>8750</v>
      </c>
      <c r="M1400" s="8">
        <f t="shared" si="128"/>
        <v>166250</v>
      </c>
      <c r="N1400" s="5">
        <v>57000</v>
      </c>
      <c r="O1400" s="8">
        <f t="shared" si="129"/>
        <v>223250</v>
      </c>
      <c r="P1400" s="2" t="s">
        <v>29</v>
      </c>
      <c r="Q1400" s="10" t="str">
        <f>VLOOKUP(A1400,Status!A:B,2,0)</f>
        <v>Returned</v>
      </c>
      <c r="R1400" s="2" t="s">
        <v>23</v>
      </c>
      <c r="S1400" s="2">
        <v>2</v>
      </c>
      <c r="T1400" s="2" t="s">
        <v>24</v>
      </c>
      <c r="U1400" s="10" t="str">
        <f t="shared" si="131"/>
        <v>Sep</v>
      </c>
      <c r="V1400" s="10">
        <f t="shared" si="130"/>
        <v>2024</v>
      </c>
      <c r="W1400" t="e" cm="1">
        <f t="array" ref="W1400">_xlfn.IFS(U1400="January",1,U1400="February",2,U1400="March",3,U1400="April",4,U1400="May",5,U1400="June",6,U1400="July",7,U1400="August",8,U1400="September",9,U1400="October",10,U1400="November",11,U1400="December",12)</f>
        <v>#N/A</v>
      </c>
    </row>
    <row r="1401" spans="1:23" ht="15.75" customHeight="1" x14ac:dyDescent="0.25">
      <c r="A1401" s="2" t="s">
        <v>191</v>
      </c>
      <c r="B1401" s="3">
        <v>45559.714965277781</v>
      </c>
      <c r="C1401" s="2" t="s">
        <v>192</v>
      </c>
      <c r="D1401" s="2" t="s">
        <v>107</v>
      </c>
      <c r="E1401" s="2" t="s">
        <v>28</v>
      </c>
      <c r="F1401" s="2" t="str" cm="1">
        <f t="array" ref="F1401:G1401">_xlfn.TEXTSPLIT(E1401," - ")</f>
        <v>Garam</v>
      </c>
      <c r="G1401" s="2" t="str">
        <v>Brand B</v>
      </c>
      <c r="H1401" s="5">
        <v>5000</v>
      </c>
      <c r="I1401" s="2">
        <v>2</v>
      </c>
      <c r="J1401" s="2">
        <v>20</v>
      </c>
      <c r="K1401" s="8">
        <f t="shared" si="126"/>
        <v>10000</v>
      </c>
      <c r="L1401" s="8">
        <f t="shared" si="127"/>
        <v>2000</v>
      </c>
      <c r="M1401" s="8">
        <f t="shared" si="128"/>
        <v>8000</v>
      </c>
      <c r="N1401" s="5">
        <v>97000</v>
      </c>
      <c r="O1401" s="8">
        <f t="shared" si="129"/>
        <v>105000</v>
      </c>
      <c r="P1401" s="2" t="s">
        <v>63</v>
      </c>
      <c r="Q1401" s="10" t="str">
        <f>VLOOKUP(A1401,Status!A:B,2,0)</f>
        <v>Completed</v>
      </c>
      <c r="R1401" s="2" t="s">
        <v>46</v>
      </c>
      <c r="S1401" s="2">
        <v>2</v>
      </c>
      <c r="T1401" s="2" t="s">
        <v>24</v>
      </c>
      <c r="U1401" s="10" t="str">
        <f t="shared" si="131"/>
        <v>Sep</v>
      </c>
      <c r="V1401" s="10">
        <f t="shared" si="130"/>
        <v>2024</v>
      </c>
      <c r="W1401" t="e" cm="1">
        <f t="array" ref="W1401">_xlfn.IFS(U1401="January",1,U1401="February",2,U1401="March",3,U1401="April",4,U1401="May",5,U1401="June",6,U1401="July",7,U1401="August",8,U1401="September",9,U1401="October",10,U1401="November",11,U1401="December",12)</f>
        <v>#N/A</v>
      </c>
    </row>
    <row r="1402" spans="1:23" ht="15.75" customHeight="1" x14ac:dyDescent="0.25">
      <c r="A1402" s="2" t="s">
        <v>193</v>
      </c>
      <c r="B1402" s="3">
        <v>45559.922812500001</v>
      </c>
      <c r="C1402" s="2" t="s">
        <v>194</v>
      </c>
      <c r="D1402" s="2" t="s">
        <v>195</v>
      </c>
      <c r="E1402" s="2" t="s">
        <v>58</v>
      </c>
      <c r="F1402" s="2" t="str" cm="1">
        <f t="array" ref="F1402:G1402">_xlfn.TEXTSPLIT(E1402," - ")</f>
        <v>Gula Pasir</v>
      </c>
      <c r="G1402" s="2" t="str">
        <v>Brand A</v>
      </c>
      <c r="H1402" s="5">
        <v>16000</v>
      </c>
      <c r="I1402" s="2">
        <v>4</v>
      </c>
      <c r="J1402" s="2">
        <v>20</v>
      </c>
      <c r="K1402" s="8">
        <f t="shared" si="126"/>
        <v>64000</v>
      </c>
      <c r="L1402" s="8">
        <f t="shared" si="127"/>
        <v>12800</v>
      </c>
      <c r="M1402" s="8">
        <f t="shared" si="128"/>
        <v>51200</v>
      </c>
      <c r="N1402" s="5">
        <v>87000</v>
      </c>
      <c r="O1402" s="8">
        <f t="shared" si="129"/>
        <v>138200</v>
      </c>
      <c r="P1402" s="2" t="s">
        <v>22</v>
      </c>
      <c r="Q1402" s="10" t="str">
        <f>VLOOKUP(A1402,Status!A:B,2,0)</f>
        <v>Returned</v>
      </c>
      <c r="R1402" s="2" t="s">
        <v>23</v>
      </c>
      <c r="S1402" s="2">
        <v>1</v>
      </c>
      <c r="T1402" s="2" t="s">
        <v>24</v>
      </c>
      <c r="U1402" s="10" t="str">
        <f t="shared" si="131"/>
        <v>Sep</v>
      </c>
      <c r="V1402" s="10">
        <f t="shared" si="130"/>
        <v>2024</v>
      </c>
      <c r="W1402" t="e" cm="1">
        <f t="array" ref="W1402">_xlfn.IFS(U1402="January",1,U1402="February",2,U1402="March",3,U1402="April",4,U1402="May",5,U1402="June",6,U1402="July",7,U1402="August",8,U1402="September",9,U1402="October",10,U1402="November",11,U1402="December",12)</f>
        <v>#N/A</v>
      </c>
    </row>
    <row r="1403" spans="1:23" ht="15.75" customHeight="1" x14ac:dyDescent="0.25">
      <c r="A1403" s="2" t="s">
        <v>196</v>
      </c>
      <c r="B1403" s="3">
        <v>45559.960763888892</v>
      </c>
      <c r="C1403" s="2" t="s">
        <v>197</v>
      </c>
      <c r="D1403" s="2" t="s">
        <v>119</v>
      </c>
      <c r="E1403" s="2" t="s">
        <v>104</v>
      </c>
      <c r="F1403" s="2" t="str" cm="1">
        <f t="array" ref="F1403:G1403">_xlfn.TEXTSPLIT(E1403," - ")</f>
        <v>Bawang Merah</v>
      </c>
      <c r="G1403" s="2" t="str">
        <v>Brand A</v>
      </c>
      <c r="H1403" s="5">
        <v>30000</v>
      </c>
      <c r="I1403" s="2">
        <v>1</v>
      </c>
      <c r="J1403" s="2">
        <v>5</v>
      </c>
      <c r="K1403" s="8">
        <f t="shared" si="126"/>
        <v>30000</v>
      </c>
      <c r="L1403" s="8">
        <f t="shared" si="127"/>
        <v>1500</v>
      </c>
      <c r="M1403" s="8">
        <f t="shared" si="128"/>
        <v>28500</v>
      </c>
      <c r="N1403" s="5">
        <v>0</v>
      </c>
      <c r="O1403" s="8">
        <f t="shared" si="129"/>
        <v>28500</v>
      </c>
      <c r="P1403" s="2" t="s">
        <v>63</v>
      </c>
      <c r="Q1403" s="10" t="str">
        <f>VLOOKUP(A1403,Status!A:B,2,0)</f>
        <v>Cancelled</v>
      </c>
      <c r="R1403" s="2" t="s">
        <v>46</v>
      </c>
      <c r="S1403" s="2">
        <v>3</v>
      </c>
      <c r="T1403" s="2" t="s">
        <v>37</v>
      </c>
      <c r="U1403" s="10" t="str">
        <f t="shared" si="131"/>
        <v>Sep</v>
      </c>
      <c r="V1403" s="10">
        <f t="shared" si="130"/>
        <v>2024</v>
      </c>
      <c r="W1403" t="e" cm="1">
        <f t="array" ref="W1403">_xlfn.IFS(U1403="January",1,U1403="February",2,U1403="March",3,U1403="April",4,U1403="May",5,U1403="June",6,U1403="July",7,U1403="August",8,U1403="September",9,U1403="October",10,U1403="November",11,U1403="December",12)</f>
        <v>#N/A</v>
      </c>
    </row>
    <row r="1404" spans="1:23" ht="15.75" customHeight="1" x14ac:dyDescent="0.25">
      <c r="A1404" s="2" t="s">
        <v>198</v>
      </c>
      <c r="B1404" s="3">
        <v>45560.015497685177</v>
      </c>
      <c r="C1404" s="2" t="s">
        <v>199</v>
      </c>
      <c r="D1404" s="2" t="s">
        <v>143</v>
      </c>
      <c r="E1404" s="2" t="s">
        <v>71</v>
      </c>
      <c r="F1404" s="2" t="str" cm="1">
        <f t="array" ref="F1404:G1404">_xlfn.TEXTSPLIT(E1404," - ")</f>
        <v>Bawang Merah</v>
      </c>
      <c r="G1404" s="2" t="str">
        <v>Brand C</v>
      </c>
      <c r="H1404" s="5">
        <v>40000</v>
      </c>
      <c r="I1404" s="2">
        <v>2</v>
      </c>
      <c r="J1404" s="2">
        <v>20</v>
      </c>
      <c r="K1404" s="8">
        <f t="shared" si="126"/>
        <v>80000</v>
      </c>
      <c r="L1404" s="8">
        <f t="shared" si="127"/>
        <v>16000</v>
      </c>
      <c r="M1404" s="8">
        <f t="shared" si="128"/>
        <v>64000</v>
      </c>
      <c r="N1404" s="5">
        <v>50000</v>
      </c>
      <c r="O1404" s="8">
        <f t="shared" si="129"/>
        <v>114000</v>
      </c>
      <c r="P1404" s="2" t="s">
        <v>29</v>
      </c>
      <c r="Q1404" s="10" t="str">
        <f>VLOOKUP(A1404,Status!A:B,2,0)</f>
        <v>Completed</v>
      </c>
      <c r="R1404" s="2" t="s">
        <v>82</v>
      </c>
      <c r="S1404" s="2">
        <v>3</v>
      </c>
      <c r="T1404" s="2" t="s">
        <v>24</v>
      </c>
      <c r="U1404" s="10" t="str">
        <f t="shared" si="131"/>
        <v>Sep</v>
      </c>
      <c r="V1404" s="10">
        <f t="shared" si="130"/>
        <v>2024</v>
      </c>
      <c r="W1404" t="e" cm="1">
        <f t="array" ref="W1404">_xlfn.IFS(U1404="January",1,U1404="February",2,U1404="March",3,U1404="April",4,U1404="May",5,U1404="June",6,U1404="July",7,U1404="August",8,U1404="September",9,U1404="October",10,U1404="November",11,U1404="December",12)</f>
        <v>#N/A</v>
      </c>
    </row>
    <row r="1405" spans="1:23" ht="15.75" customHeight="1" x14ac:dyDescent="0.25">
      <c r="A1405" s="2" t="s">
        <v>200</v>
      </c>
      <c r="B1405" s="3">
        <v>45560.139421296299</v>
      </c>
      <c r="C1405" s="2" t="s">
        <v>201</v>
      </c>
      <c r="D1405" s="2" t="s">
        <v>107</v>
      </c>
      <c r="E1405" s="2" t="s">
        <v>45</v>
      </c>
      <c r="F1405" s="2" t="str" cm="1">
        <f t="array" ref="F1405:G1405">_xlfn.TEXTSPLIT(E1405," - ")</f>
        <v>Daging Ayam</v>
      </c>
      <c r="G1405" s="2" t="str">
        <v>Brand B</v>
      </c>
      <c r="H1405" s="5">
        <v>40000</v>
      </c>
      <c r="I1405" s="2">
        <v>1</v>
      </c>
      <c r="J1405" s="2">
        <v>15</v>
      </c>
      <c r="K1405" s="8">
        <f t="shared" si="126"/>
        <v>40000</v>
      </c>
      <c r="L1405" s="8">
        <f t="shared" si="127"/>
        <v>6000</v>
      </c>
      <c r="M1405" s="8">
        <f t="shared" si="128"/>
        <v>34000</v>
      </c>
      <c r="N1405" s="5">
        <v>97000</v>
      </c>
      <c r="O1405" s="8">
        <f t="shared" si="129"/>
        <v>131000</v>
      </c>
      <c r="P1405" s="2" t="s">
        <v>29</v>
      </c>
      <c r="Q1405" s="10" t="str">
        <f>VLOOKUP(A1405,Status!A:B,2,0)</f>
        <v>Completed</v>
      </c>
      <c r="R1405" s="2" t="s">
        <v>82</v>
      </c>
      <c r="S1405" s="2">
        <v>3</v>
      </c>
      <c r="T1405" s="2" t="s">
        <v>24</v>
      </c>
      <c r="U1405" s="10" t="str">
        <f t="shared" si="131"/>
        <v>Sep</v>
      </c>
      <c r="V1405" s="10">
        <f t="shared" si="130"/>
        <v>2024</v>
      </c>
      <c r="W1405" t="e" cm="1">
        <f t="array" ref="W1405">_xlfn.IFS(U1405="January",1,U1405="February",2,U1405="March",3,U1405="April",4,U1405="May",5,U1405="June",6,U1405="July",7,U1405="August",8,U1405="September",9,U1405="October",10,U1405="November",11,U1405="December",12)</f>
        <v>#N/A</v>
      </c>
    </row>
    <row r="1406" spans="1:23" ht="15.75" customHeight="1" x14ac:dyDescent="0.25">
      <c r="A1406" s="2" t="s">
        <v>202</v>
      </c>
      <c r="B1406" s="3">
        <v>45560.274340277778</v>
      </c>
      <c r="C1406" s="2" t="s">
        <v>203</v>
      </c>
      <c r="D1406" s="2" t="s">
        <v>20</v>
      </c>
      <c r="E1406" s="2" t="s">
        <v>38</v>
      </c>
      <c r="F1406" s="2" t="str" cm="1">
        <f t="array" ref="F1406:G1406">_xlfn.TEXTSPLIT(E1406," - ")</f>
        <v>Telur Ayam</v>
      </c>
      <c r="G1406" s="2" t="str">
        <v>Brand C</v>
      </c>
      <c r="H1406" s="5">
        <v>28000</v>
      </c>
      <c r="I1406" s="2">
        <v>3</v>
      </c>
      <c r="J1406" s="2">
        <v>15</v>
      </c>
      <c r="K1406" s="8">
        <f t="shared" si="126"/>
        <v>84000</v>
      </c>
      <c r="L1406" s="8">
        <f t="shared" si="127"/>
        <v>12600</v>
      </c>
      <c r="M1406" s="8">
        <f t="shared" si="128"/>
        <v>71400</v>
      </c>
      <c r="N1406" s="5">
        <v>15000</v>
      </c>
      <c r="O1406" s="8">
        <f t="shared" si="129"/>
        <v>86400</v>
      </c>
      <c r="P1406" s="2" t="s">
        <v>29</v>
      </c>
      <c r="Q1406" s="10" t="str">
        <f>VLOOKUP(A1406,Status!A:B,2,0)</f>
        <v>Completed</v>
      </c>
      <c r="R1406" s="2" t="s">
        <v>23</v>
      </c>
      <c r="S1406" s="2">
        <v>3</v>
      </c>
      <c r="T1406" s="2" t="s">
        <v>24</v>
      </c>
      <c r="U1406" s="10" t="str">
        <f t="shared" si="131"/>
        <v>Sep</v>
      </c>
      <c r="V1406" s="10">
        <f t="shared" si="130"/>
        <v>2024</v>
      </c>
      <c r="W1406" t="e" cm="1">
        <f t="array" ref="W1406">_xlfn.IFS(U1406="January",1,U1406="February",2,U1406="March",3,U1406="April",4,U1406="May",5,U1406="June",6,U1406="July",7,U1406="August",8,U1406="September",9,U1406="October",10,U1406="November",11,U1406="December",12)</f>
        <v>#N/A</v>
      </c>
    </row>
    <row r="1407" spans="1:23" ht="15.75" customHeight="1" x14ac:dyDescent="0.25">
      <c r="A1407" s="2" t="s">
        <v>204</v>
      </c>
      <c r="B1407" s="3">
        <v>45560.374374999999</v>
      </c>
      <c r="C1407" s="2" t="s">
        <v>205</v>
      </c>
      <c r="D1407" s="2" t="s">
        <v>96</v>
      </c>
      <c r="E1407" s="2" t="s">
        <v>62</v>
      </c>
      <c r="F1407" s="2" t="str" cm="1">
        <f t="array" ref="F1407:G1407">_xlfn.TEXTSPLIT(E1407," - ")</f>
        <v>Susu Bubuk</v>
      </c>
      <c r="G1407" s="2" t="str">
        <v>Brand B</v>
      </c>
      <c r="H1407" s="5">
        <v>50000</v>
      </c>
      <c r="I1407" s="2">
        <v>5</v>
      </c>
      <c r="J1407" s="2">
        <v>10</v>
      </c>
      <c r="K1407" s="8">
        <f t="shared" si="126"/>
        <v>250000</v>
      </c>
      <c r="L1407" s="8">
        <f t="shared" si="127"/>
        <v>25000</v>
      </c>
      <c r="M1407" s="8">
        <f t="shared" si="128"/>
        <v>225000</v>
      </c>
      <c r="N1407" s="5">
        <v>49000</v>
      </c>
      <c r="O1407" s="8">
        <f t="shared" si="129"/>
        <v>274000</v>
      </c>
      <c r="P1407" s="2" t="s">
        <v>63</v>
      </c>
      <c r="Q1407" s="10" t="str">
        <f>VLOOKUP(A1407,Status!A:B,2,0)</f>
        <v>Completed</v>
      </c>
      <c r="R1407" s="2" t="s">
        <v>82</v>
      </c>
      <c r="S1407" s="2">
        <v>4</v>
      </c>
      <c r="T1407" s="2" t="s">
        <v>24</v>
      </c>
      <c r="U1407" s="10" t="str">
        <f t="shared" si="131"/>
        <v>Sep</v>
      </c>
      <c r="V1407" s="10">
        <f t="shared" si="130"/>
        <v>2024</v>
      </c>
      <c r="W1407" t="e" cm="1">
        <f t="array" ref="W1407">_xlfn.IFS(U1407="January",1,U1407="February",2,U1407="March",3,U1407="April",4,U1407="May",5,U1407="June",6,U1407="July",7,U1407="August",8,U1407="September",9,U1407="October",10,U1407="November",11,U1407="December",12)</f>
        <v>#N/A</v>
      </c>
    </row>
    <row r="1408" spans="1:23" ht="15.75" customHeight="1" x14ac:dyDescent="0.25">
      <c r="A1408" s="2" t="s">
        <v>206</v>
      </c>
      <c r="B1408" s="3">
        <v>45560.518657407411</v>
      </c>
      <c r="C1408" s="2" t="s">
        <v>207</v>
      </c>
      <c r="D1408" s="2" t="s">
        <v>96</v>
      </c>
      <c r="E1408" s="2" t="s">
        <v>34</v>
      </c>
      <c r="F1408" s="2" t="str" cm="1">
        <f t="array" ref="F1408:G1408">_xlfn.TEXTSPLIT(E1408," - ")</f>
        <v>Minyak Goreng</v>
      </c>
      <c r="G1408" s="2" t="str">
        <v>Brand A</v>
      </c>
      <c r="H1408" s="5">
        <v>16000</v>
      </c>
      <c r="I1408" s="2">
        <v>3</v>
      </c>
      <c r="J1408" s="2">
        <v>10</v>
      </c>
      <c r="K1408" s="8">
        <f t="shared" si="126"/>
        <v>48000</v>
      </c>
      <c r="L1408" s="8">
        <f t="shared" si="127"/>
        <v>4800</v>
      </c>
      <c r="M1408" s="8">
        <f t="shared" si="128"/>
        <v>43200</v>
      </c>
      <c r="N1408" s="5">
        <v>49000</v>
      </c>
      <c r="O1408" s="8">
        <f t="shared" si="129"/>
        <v>92200</v>
      </c>
      <c r="P1408" s="2" t="s">
        <v>29</v>
      </c>
      <c r="Q1408" s="10" t="str">
        <f>VLOOKUP(A1408,Status!A:B,2,0)</f>
        <v>Completed</v>
      </c>
      <c r="R1408" s="2" t="s">
        <v>30</v>
      </c>
      <c r="S1408" s="2">
        <v>2</v>
      </c>
      <c r="T1408" s="2" t="s">
        <v>24</v>
      </c>
      <c r="U1408" s="10" t="str">
        <f t="shared" si="131"/>
        <v>Sep</v>
      </c>
      <c r="V1408" s="10">
        <f t="shared" si="130"/>
        <v>2024</v>
      </c>
      <c r="W1408" t="e" cm="1">
        <f t="array" ref="W1408">_xlfn.IFS(U1408="January",1,U1408="February",2,U1408="March",3,U1408="April",4,U1408="May",5,U1408="June",6,U1408="July",7,U1408="August",8,U1408="September",9,U1408="October",10,U1408="November",11,U1408="December",12)</f>
        <v>#N/A</v>
      </c>
    </row>
    <row r="1409" spans="1:23" ht="15.75" customHeight="1" x14ac:dyDescent="0.25">
      <c r="A1409" s="2" t="s">
        <v>208</v>
      </c>
      <c r="B1409" s="3">
        <v>45560.683599537027</v>
      </c>
      <c r="C1409" s="2" t="s">
        <v>209</v>
      </c>
      <c r="D1409" s="2" t="s">
        <v>143</v>
      </c>
      <c r="E1409" s="2" t="s">
        <v>28</v>
      </c>
      <c r="F1409" s="2" t="str" cm="1">
        <f t="array" ref="F1409:G1409">_xlfn.TEXTSPLIT(E1409," - ")</f>
        <v>Garam</v>
      </c>
      <c r="G1409" s="2" t="str">
        <v>Brand B</v>
      </c>
      <c r="H1409" s="5">
        <v>5000</v>
      </c>
      <c r="I1409" s="2">
        <v>3</v>
      </c>
      <c r="J1409" s="2">
        <v>15</v>
      </c>
      <c r="K1409" s="8">
        <f t="shared" si="126"/>
        <v>15000</v>
      </c>
      <c r="L1409" s="8">
        <f t="shared" si="127"/>
        <v>2250</v>
      </c>
      <c r="M1409" s="8">
        <f t="shared" si="128"/>
        <v>12750</v>
      </c>
      <c r="N1409" s="5">
        <v>50000</v>
      </c>
      <c r="O1409" s="8">
        <f t="shared" si="129"/>
        <v>62750</v>
      </c>
      <c r="P1409" s="2" t="s">
        <v>29</v>
      </c>
      <c r="Q1409" s="10" t="str">
        <f>VLOOKUP(A1409,Status!A:B,2,0)</f>
        <v>Completed</v>
      </c>
      <c r="R1409" s="2" t="s">
        <v>30</v>
      </c>
      <c r="S1409" s="2">
        <v>4</v>
      </c>
      <c r="T1409" s="2" t="s">
        <v>37</v>
      </c>
      <c r="U1409" s="10" t="str">
        <f t="shared" si="131"/>
        <v>Sep</v>
      </c>
      <c r="V1409" s="10">
        <f t="shared" si="130"/>
        <v>2024</v>
      </c>
      <c r="W1409" t="e" cm="1">
        <f t="array" ref="W1409">_xlfn.IFS(U1409="January",1,U1409="February",2,U1409="March",3,U1409="April",4,U1409="May",5,U1409="June",6,U1409="July",7,U1409="August",8,U1409="September",9,U1409="October",10,U1409="November",11,U1409="December",12)</f>
        <v>#N/A</v>
      </c>
    </row>
    <row r="1410" spans="1:23" ht="15.75" customHeight="1" x14ac:dyDescent="0.25">
      <c r="A1410" s="2" t="s">
        <v>210</v>
      </c>
      <c r="B1410" s="3">
        <v>45560.827361111107</v>
      </c>
      <c r="C1410" s="2" t="s">
        <v>211</v>
      </c>
      <c r="D1410" s="2" t="s">
        <v>49</v>
      </c>
      <c r="E1410" s="2" t="s">
        <v>67</v>
      </c>
      <c r="F1410" s="2" t="str" cm="1">
        <f t="array" ref="F1410:G1410">_xlfn.TEXTSPLIT(E1410," - ")</f>
        <v>Beras</v>
      </c>
      <c r="G1410" s="2" t="str">
        <v>Brand B</v>
      </c>
      <c r="H1410" s="5">
        <v>15000</v>
      </c>
      <c r="I1410" s="2">
        <v>1</v>
      </c>
      <c r="J1410" s="2">
        <v>20</v>
      </c>
      <c r="K1410" s="8">
        <f t="shared" ref="K1410:K1473" si="132">H1410*I1410</f>
        <v>15000</v>
      </c>
      <c r="L1410" s="8">
        <f t="shared" ref="L1410:L1473" si="133">K1410*J1410%</f>
        <v>3000</v>
      </c>
      <c r="M1410" s="8">
        <f t="shared" ref="M1410:M1473" si="134">K1410-L1410</f>
        <v>12000</v>
      </c>
      <c r="N1410" s="5">
        <v>43000</v>
      </c>
      <c r="O1410" s="8">
        <f t="shared" ref="O1410:O1473" si="135">M1410+N1410</f>
        <v>55000</v>
      </c>
      <c r="P1410" s="2" t="s">
        <v>29</v>
      </c>
      <c r="Q1410" s="10" t="str">
        <f>VLOOKUP(A1410,Status!A:B,2,0)</f>
        <v>Completed</v>
      </c>
      <c r="R1410" s="2" t="s">
        <v>82</v>
      </c>
      <c r="S1410" s="2">
        <v>3</v>
      </c>
      <c r="T1410" s="2" t="s">
        <v>24</v>
      </c>
      <c r="U1410" s="10" t="str">
        <f t="shared" si="131"/>
        <v>Sep</v>
      </c>
      <c r="V1410" s="10">
        <f t="shared" ref="V1410:V1473" si="136">YEAR(B1410)</f>
        <v>2024</v>
      </c>
      <c r="W1410" t="e" cm="1">
        <f t="array" ref="W1410">_xlfn.IFS(U1410="January",1,U1410="February",2,U1410="March",3,U1410="April",4,U1410="May",5,U1410="June",6,U1410="July",7,U1410="August",8,U1410="September",9,U1410="October",10,U1410="November",11,U1410="December",12)</f>
        <v>#N/A</v>
      </c>
    </row>
    <row r="1411" spans="1:23" ht="15.75" customHeight="1" x14ac:dyDescent="0.25">
      <c r="A1411" s="2" t="s">
        <v>212</v>
      </c>
      <c r="B1411" s="3">
        <v>45561.91914351852</v>
      </c>
      <c r="C1411" s="2" t="s">
        <v>102</v>
      </c>
      <c r="D1411" s="2" t="s">
        <v>103</v>
      </c>
      <c r="E1411" s="2" t="s">
        <v>71</v>
      </c>
      <c r="F1411" s="2" t="str" cm="1">
        <f t="array" ref="F1411:G1411">_xlfn.TEXTSPLIT(E1411," - ")</f>
        <v>Bawang Merah</v>
      </c>
      <c r="G1411" s="2" t="str">
        <v>Brand C</v>
      </c>
      <c r="H1411" s="5">
        <v>40000</v>
      </c>
      <c r="I1411" s="2">
        <v>4</v>
      </c>
      <c r="J1411" s="2">
        <v>10</v>
      </c>
      <c r="K1411" s="8">
        <f t="shared" si="132"/>
        <v>160000</v>
      </c>
      <c r="L1411" s="8">
        <f t="shared" si="133"/>
        <v>16000</v>
      </c>
      <c r="M1411" s="8">
        <f t="shared" si="134"/>
        <v>144000</v>
      </c>
      <c r="N1411" s="5">
        <v>85000</v>
      </c>
      <c r="O1411" s="8">
        <f t="shared" si="135"/>
        <v>229000</v>
      </c>
      <c r="P1411" s="2" t="s">
        <v>22</v>
      </c>
      <c r="Q1411" s="10" t="str">
        <f>VLOOKUP(A1411,Status!A:B,2,0)</f>
        <v>Completed</v>
      </c>
      <c r="R1411" s="2" t="s">
        <v>30</v>
      </c>
      <c r="S1411" s="2">
        <v>3</v>
      </c>
      <c r="T1411" s="2" t="s">
        <v>24</v>
      </c>
      <c r="U1411" s="10" t="str">
        <f t="shared" ref="U1411:U1474" si="137">TEXT(B1411,"MMM")</f>
        <v>Sep</v>
      </c>
      <c r="V1411" s="10">
        <f t="shared" si="136"/>
        <v>2024</v>
      </c>
      <c r="W1411" t="e" cm="1">
        <f t="array" ref="W1411">_xlfn.IFS(U1411="January",1,U1411="February",2,U1411="March",3,U1411="April",4,U1411="May",5,U1411="June",6,U1411="July",7,U1411="August",8,U1411="September",9,U1411="October",10,U1411="November",11,U1411="December",12)</f>
        <v>#N/A</v>
      </c>
    </row>
    <row r="1412" spans="1:23" ht="15.75" customHeight="1" x14ac:dyDescent="0.25">
      <c r="A1412" s="2" t="s">
        <v>213</v>
      </c>
      <c r="B1412" s="3">
        <v>45562.322916666657</v>
      </c>
      <c r="C1412" s="2" t="s">
        <v>214</v>
      </c>
      <c r="D1412" s="2" t="s">
        <v>131</v>
      </c>
      <c r="E1412" s="2" t="s">
        <v>50</v>
      </c>
      <c r="F1412" s="2" t="str" cm="1">
        <f t="array" ref="F1412:G1412">_xlfn.TEXTSPLIT(E1412," - ")</f>
        <v>Tepung Terigu</v>
      </c>
      <c r="G1412" s="2" t="str">
        <v>Brand C</v>
      </c>
      <c r="H1412" s="5">
        <v>14000</v>
      </c>
      <c r="I1412" s="2">
        <v>4</v>
      </c>
      <c r="J1412" s="2">
        <v>20</v>
      </c>
      <c r="K1412" s="8">
        <f t="shared" si="132"/>
        <v>56000</v>
      </c>
      <c r="L1412" s="8">
        <f t="shared" si="133"/>
        <v>11200</v>
      </c>
      <c r="M1412" s="8">
        <f t="shared" si="134"/>
        <v>44800</v>
      </c>
      <c r="N1412" s="5">
        <v>59000</v>
      </c>
      <c r="O1412" s="8">
        <f t="shared" si="135"/>
        <v>103800</v>
      </c>
      <c r="P1412" s="2" t="s">
        <v>35</v>
      </c>
      <c r="Q1412" s="10" t="str">
        <f>VLOOKUP(A1412,Status!A:B,2,0)</f>
        <v>Completed</v>
      </c>
      <c r="R1412" s="2" t="s">
        <v>23</v>
      </c>
      <c r="S1412" s="2">
        <v>4</v>
      </c>
      <c r="T1412" s="2" t="s">
        <v>24</v>
      </c>
      <c r="U1412" s="10" t="str">
        <f t="shared" si="137"/>
        <v>Sep</v>
      </c>
      <c r="V1412" s="10">
        <f t="shared" si="136"/>
        <v>2024</v>
      </c>
      <c r="W1412" t="e" cm="1">
        <f t="array" ref="W1412">_xlfn.IFS(U1412="January",1,U1412="February",2,U1412="March",3,U1412="April",4,U1412="May",5,U1412="June",6,U1412="July",7,U1412="August",8,U1412="September",9,U1412="October",10,U1412="November",11,U1412="December",12)</f>
        <v>#N/A</v>
      </c>
    </row>
    <row r="1413" spans="1:23" ht="15.75" customHeight="1" x14ac:dyDescent="0.25">
      <c r="A1413" s="2" t="s">
        <v>215</v>
      </c>
      <c r="B1413" s="3">
        <v>45562.441701388889</v>
      </c>
      <c r="C1413" s="2" t="s">
        <v>216</v>
      </c>
      <c r="D1413" s="2" t="s">
        <v>143</v>
      </c>
      <c r="E1413" s="2" t="s">
        <v>34</v>
      </c>
      <c r="F1413" s="2" t="str" cm="1">
        <f t="array" ref="F1413:G1413">_xlfn.TEXTSPLIT(E1413," - ")</f>
        <v>Minyak Goreng</v>
      </c>
      <c r="G1413" s="2" t="str">
        <v>Brand A</v>
      </c>
      <c r="H1413" s="5">
        <v>16000</v>
      </c>
      <c r="I1413" s="2">
        <v>2</v>
      </c>
      <c r="J1413" s="2">
        <v>20</v>
      </c>
      <c r="K1413" s="8">
        <f t="shared" si="132"/>
        <v>32000</v>
      </c>
      <c r="L1413" s="8">
        <f t="shared" si="133"/>
        <v>6400</v>
      </c>
      <c r="M1413" s="8">
        <f t="shared" si="134"/>
        <v>25600</v>
      </c>
      <c r="N1413" s="5">
        <v>50000</v>
      </c>
      <c r="O1413" s="8">
        <f t="shared" si="135"/>
        <v>75600</v>
      </c>
      <c r="P1413" s="2" t="s">
        <v>29</v>
      </c>
      <c r="Q1413" s="10" t="str">
        <f>VLOOKUP(A1413,Status!A:B,2,0)</f>
        <v>Completed</v>
      </c>
      <c r="R1413" s="2" t="s">
        <v>30</v>
      </c>
      <c r="S1413" s="2">
        <v>4</v>
      </c>
      <c r="T1413" s="2" t="s">
        <v>24</v>
      </c>
      <c r="U1413" s="10" t="str">
        <f t="shared" si="137"/>
        <v>Sep</v>
      </c>
      <c r="V1413" s="10">
        <f t="shared" si="136"/>
        <v>2024</v>
      </c>
      <c r="W1413" t="e" cm="1">
        <f t="array" ref="W1413">_xlfn.IFS(U1413="January",1,U1413="February",2,U1413="March",3,U1413="April",4,U1413="May",5,U1413="June",6,U1413="July",7,U1413="August",8,U1413="September",9,U1413="October",10,U1413="November",11,U1413="December",12)</f>
        <v>#N/A</v>
      </c>
    </row>
    <row r="1414" spans="1:23" ht="15.75" customHeight="1" x14ac:dyDescent="0.25">
      <c r="A1414" s="2" t="s">
        <v>217</v>
      </c>
      <c r="B1414" s="3">
        <v>45562.555601851847</v>
      </c>
      <c r="C1414" s="2" t="s">
        <v>218</v>
      </c>
      <c r="D1414" s="2" t="s">
        <v>170</v>
      </c>
      <c r="E1414" s="2" t="s">
        <v>186</v>
      </c>
      <c r="F1414" s="2" t="str" cm="1">
        <f t="array" ref="F1414:G1414">_xlfn.TEXTSPLIT(E1414," - ")</f>
        <v>Susu Bubuk</v>
      </c>
      <c r="G1414" s="2" t="str">
        <v>Brand A</v>
      </c>
      <c r="H1414" s="5">
        <v>45000</v>
      </c>
      <c r="I1414" s="2">
        <v>1</v>
      </c>
      <c r="J1414" s="2">
        <v>15</v>
      </c>
      <c r="K1414" s="8">
        <f t="shared" si="132"/>
        <v>45000</v>
      </c>
      <c r="L1414" s="8">
        <f t="shared" si="133"/>
        <v>6750</v>
      </c>
      <c r="M1414" s="8">
        <f t="shared" si="134"/>
        <v>38250</v>
      </c>
      <c r="N1414" s="5">
        <v>46000</v>
      </c>
      <c r="O1414" s="8">
        <f t="shared" si="135"/>
        <v>84250</v>
      </c>
      <c r="P1414" s="2" t="s">
        <v>63</v>
      </c>
      <c r="Q1414" s="10" t="str">
        <f>VLOOKUP(A1414,Status!A:B,2,0)</f>
        <v>Completed</v>
      </c>
      <c r="R1414" s="2" t="s">
        <v>23</v>
      </c>
      <c r="S1414" s="2">
        <v>4</v>
      </c>
      <c r="T1414" s="2" t="s">
        <v>24</v>
      </c>
      <c r="U1414" s="10" t="str">
        <f t="shared" si="137"/>
        <v>Sep</v>
      </c>
      <c r="V1414" s="10">
        <f t="shared" si="136"/>
        <v>2024</v>
      </c>
      <c r="W1414" t="e" cm="1">
        <f t="array" ref="W1414">_xlfn.IFS(U1414="January",1,U1414="February",2,U1414="March",3,U1414="April",4,U1414="May",5,U1414="June",6,U1414="July",7,U1414="August",8,U1414="September",9,U1414="October",10,U1414="November",11,U1414="December",12)</f>
        <v>#N/A</v>
      </c>
    </row>
    <row r="1415" spans="1:23" ht="15.75" customHeight="1" x14ac:dyDescent="0.25">
      <c r="A1415" s="2" t="s">
        <v>219</v>
      </c>
      <c r="B1415" s="3">
        <v>45562.663055555553</v>
      </c>
      <c r="C1415" s="2" t="s">
        <v>220</v>
      </c>
      <c r="D1415" s="2" t="s">
        <v>53</v>
      </c>
      <c r="E1415" s="2" t="s">
        <v>85</v>
      </c>
      <c r="F1415" s="2" t="str" cm="1">
        <f t="array" ref="F1415:G1415">_xlfn.TEXTSPLIT(E1415," - ")</f>
        <v>Daging Ayam</v>
      </c>
      <c r="G1415" s="2" t="str">
        <v>Brand A</v>
      </c>
      <c r="H1415" s="5">
        <v>35000</v>
      </c>
      <c r="I1415" s="2">
        <v>5</v>
      </c>
      <c r="J1415" s="2">
        <v>10</v>
      </c>
      <c r="K1415" s="8">
        <f t="shared" si="132"/>
        <v>175000</v>
      </c>
      <c r="L1415" s="8">
        <f t="shared" si="133"/>
        <v>17500</v>
      </c>
      <c r="M1415" s="8">
        <f t="shared" si="134"/>
        <v>157500</v>
      </c>
      <c r="N1415" s="5">
        <v>18000</v>
      </c>
      <c r="O1415" s="8">
        <f t="shared" si="135"/>
        <v>175500</v>
      </c>
      <c r="P1415" s="2" t="s">
        <v>35</v>
      </c>
      <c r="Q1415" s="10" t="str">
        <f>VLOOKUP(A1415,Status!A:B,2,0)</f>
        <v>Completed</v>
      </c>
      <c r="R1415" s="2" t="s">
        <v>30</v>
      </c>
      <c r="S1415" s="2">
        <v>2</v>
      </c>
      <c r="T1415" s="2" t="s">
        <v>24</v>
      </c>
      <c r="U1415" s="10" t="str">
        <f t="shared" si="137"/>
        <v>Sep</v>
      </c>
      <c r="V1415" s="10">
        <f t="shared" si="136"/>
        <v>2024</v>
      </c>
      <c r="W1415" t="e" cm="1">
        <f t="array" ref="W1415">_xlfn.IFS(U1415="January",1,U1415="February",2,U1415="March",3,U1415="April",4,U1415="May",5,U1415="June",6,U1415="July",7,U1415="August",8,U1415="September",9,U1415="October",10,U1415="November",11,U1415="December",12)</f>
        <v>#N/A</v>
      </c>
    </row>
    <row r="1416" spans="1:23" ht="15.75" customHeight="1" x14ac:dyDescent="0.25">
      <c r="A1416" s="2" t="s">
        <v>221</v>
      </c>
      <c r="B1416" s="3">
        <v>45562.669733796298</v>
      </c>
      <c r="C1416" s="2" t="s">
        <v>222</v>
      </c>
      <c r="D1416" s="2" t="s">
        <v>49</v>
      </c>
      <c r="E1416" s="2" t="s">
        <v>190</v>
      </c>
      <c r="F1416" s="2" t="str" cm="1">
        <f t="array" ref="F1416:G1416">_xlfn.TEXTSPLIT(E1416," - ")</f>
        <v>Bawang Merah</v>
      </c>
      <c r="G1416" s="2" t="str">
        <v>Brand B</v>
      </c>
      <c r="H1416" s="5">
        <v>35000</v>
      </c>
      <c r="I1416" s="2">
        <v>5</v>
      </c>
      <c r="J1416" s="2">
        <v>10</v>
      </c>
      <c r="K1416" s="8">
        <f t="shared" si="132"/>
        <v>175000</v>
      </c>
      <c r="L1416" s="8">
        <f t="shared" si="133"/>
        <v>17500</v>
      </c>
      <c r="M1416" s="8">
        <f t="shared" si="134"/>
        <v>157500</v>
      </c>
      <c r="N1416" s="5">
        <v>43000</v>
      </c>
      <c r="O1416" s="8">
        <f t="shared" si="135"/>
        <v>200500</v>
      </c>
      <c r="P1416" s="2" t="s">
        <v>35</v>
      </c>
      <c r="Q1416" s="10" t="str">
        <f>VLOOKUP(A1416,Status!A:B,2,0)</f>
        <v>Completed</v>
      </c>
      <c r="R1416" s="2" t="s">
        <v>46</v>
      </c>
      <c r="S1416" s="2">
        <v>2</v>
      </c>
      <c r="T1416" s="2" t="s">
        <v>24</v>
      </c>
      <c r="U1416" s="10" t="str">
        <f t="shared" si="137"/>
        <v>Sep</v>
      </c>
      <c r="V1416" s="10">
        <f t="shared" si="136"/>
        <v>2024</v>
      </c>
      <c r="W1416" t="e" cm="1">
        <f t="array" ref="W1416">_xlfn.IFS(U1416="January",1,U1416="February",2,U1416="March",3,U1416="April",4,U1416="May",5,U1416="June",6,U1416="July",7,U1416="August",8,U1416="September",9,U1416="October",10,U1416="November",11,U1416="December",12)</f>
        <v>#N/A</v>
      </c>
    </row>
    <row r="1417" spans="1:23" ht="15.75" customHeight="1" x14ac:dyDescent="0.25">
      <c r="A1417" s="2" t="s">
        <v>223</v>
      </c>
      <c r="B1417" s="3">
        <v>45563.093090277784</v>
      </c>
      <c r="C1417" s="2" t="s">
        <v>79</v>
      </c>
      <c r="D1417" s="2" t="s">
        <v>80</v>
      </c>
      <c r="E1417" s="2" t="s">
        <v>88</v>
      </c>
      <c r="F1417" s="2" t="str" cm="1">
        <f t="array" ref="F1417:G1417">_xlfn.TEXTSPLIT(E1417," - ")</f>
        <v>Beras</v>
      </c>
      <c r="G1417" s="2" t="str">
        <v>Brand A</v>
      </c>
      <c r="H1417" s="5">
        <v>14000</v>
      </c>
      <c r="I1417" s="2">
        <v>4</v>
      </c>
      <c r="J1417" s="2">
        <v>20</v>
      </c>
      <c r="K1417" s="8">
        <f t="shared" si="132"/>
        <v>56000</v>
      </c>
      <c r="L1417" s="8">
        <f t="shared" si="133"/>
        <v>11200</v>
      </c>
      <c r="M1417" s="8">
        <f t="shared" si="134"/>
        <v>44800</v>
      </c>
      <c r="N1417" s="5">
        <v>74000</v>
      </c>
      <c r="O1417" s="8">
        <f t="shared" si="135"/>
        <v>118800</v>
      </c>
      <c r="P1417" s="2" t="s">
        <v>22</v>
      </c>
      <c r="Q1417" s="10" t="str">
        <f>VLOOKUP(A1417,Status!A:B,2,0)</f>
        <v>Completed</v>
      </c>
      <c r="R1417" s="2" t="s">
        <v>30</v>
      </c>
      <c r="S1417" s="2">
        <v>1</v>
      </c>
      <c r="T1417" s="2" t="s">
        <v>24</v>
      </c>
      <c r="U1417" s="10" t="str">
        <f t="shared" si="137"/>
        <v>Sep</v>
      </c>
      <c r="V1417" s="10">
        <f t="shared" si="136"/>
        <v>2024</v>
      </c>
      <c r="W1417" t="e" cm="1">
        <f t="array" ref="W1417">_xlfn.IFS(U1417="January",1,U1417="February",2,U1417="March",3,U1417="April",4,U1417="May",5,U1417="June",6,U1417="July",7,U1417="August",8,U1417="September",9,U1417="October",10,U1417="November",11,U1417="December",12)</f>
        <v>#N/A</v>
      </c>
    </row>
    <row r="1418" spans="1:23" ht="15.75" customHeight="1" x14ac:dyDescent="0.25">
      <c r="A1418" s="2" t="s">
        <v>223</v>
      </c>
      <c r="B1418" s="3">
        <v>45563.093090277784</v>
      </c>
      <c r="C1418" s="2" t="s">
        <v>79</v>
      </c>
      <c r="D1418" s="2" t="s">
        <v>80</v>
      </c>
      <c r="E1418" s="2" t="s">
        <v>58</v>
      </c>
      <c r="F1418" s="2" t="str" cm="1">
        <f t="array" ref="F1418:G1418">_xlfn.TEXTSPLIT(E1418," - ")</f>
        <v>Gula Pasir</v>
      </c>
      <c r="G1418" s="2" t="str">
        <v>Brand A</v>
      </c>
      <c r="H1418" s="5">
        <v>16000</v>
      </c>
      <c r="I1418" s="2">
        <v>4</v>
      </c>
      <c r="J1418" s="2">
        <v>15</v>
      </c>
      <c r="K1418" s="8">
        <f t="shared" si="132"/>
        <v>64000</v>
      </c>
      <c r="L1418" s="8">
        <f t="shared" si="133"/>
        <v>9600</v>
      </c>
      <c r="M1418" s="8">
        <f t="shared" si="134"/>
        <v>54400</v>
      </c>
      <c r="N1418" s="5">
        <v>0</v>
      </c>
      <c r="O1418" s="8">
        <f t="shared" si="135"/>
        <v>54400</v>
      </c>
      <c r="P1418" s="2" t="s">
        <v>22</v>
      </c>
      <c r="Q1418" s="10" t="str">
        <f>VLOOKUP(A1418,Status!A:B,2,0)</f>
        <v>Completed</v>
      </c>
      <c r="R1418" s="2" t="s">
        <v>30</v>
      </c>
      <c r="S1418" s="2">
        <v>1</v>
      </c>
      <c r="T1418" s="2" t="s">
        <v>24</v>
      </c>
      <c r="U1418" s="10" t="str">
        <f t="shared" si="137"/>
        <v>Sep</v>
      </c>
      <c r="V1418" s="10">
        <f t="shared" si="136"/>
        <v>2024</v>
      </c>
      <c r="W1418" t="e" cm="1">
        <f t="array" ref="W1418">_xlfn.IFS(U1418="January",1,U1418="February",2,U1418="March",3,U1418="April",4,U1418="May",5,U1418="June",6,U1418="July",7,U1418="August",8,U1418="September",9,U1418="October",10,U1418="November",11,U1418="December",12)</f>
        <v>#N/A</v>
      </c>
    </row>
    <row r="1419" spans="1:23" ht="15.75" customHeight="1" x14ac:dyDescent="0.25">
      <c r="A1419" s="2" t="s">
        <v>224</v>
      </c>
      <c r="B1419" s="3">
        <v>45563.223182870373</v>
      </c>
      <c r="C1419" s="2" t="s">
        <v>225</v>
      </c>
      <c r="D1419" s="2" t="s">
        <v>189</v>
      </c>
      <c r="E1419" s="2" t="s">
        <v>88</v>
      </c>
      <c r="F1419" s="2" t="str" cm="1">
        <f t="array" ref="F1419:G1419">_xlfn.TEXTSPLIT(E1419," - ")</f>
        <v>Beras</v>
      </c>
      <c r="G1419" s="2" t="str">
        <v>Brand A</v>
      </c>
      <c r="H1419" s="5">
        <v>14000</v>
      </c>
      <c r="I1419" s="2">
        <v>4</v>
      </c>
      <c r="J1419" s="2">
        <v>10</v>
      </c>
      <c r="K1419" s="8">
        <f t="shared" si="132"/>
        <v>56000</v>
      </c>
      <c r="L1419" s="8">
        <f t="shared" si="133"/>
        <v>5600</v>
      </c>
      <c r="M1419" s="8">
        <f t="shared" si="134"/>
        <v>50400</v>
      </c>
      <c r="N1419" s="5">
        <v>57000</v>
      </c>
      <c r="O1419" s="8">
        <f t="shared" si="135"/>
        <v>107400</v>
      </c>
      <c r="P1419" s="2" t="s">
        <v>22</v>
      </c>
      <c r="Q1419" s="10" t="str">
        <f>VLOOKUP(A1419,Status!A:B,2,0)</f>
        <v>Completed</v>
      </c>
      <c r="R1419" s="2" t="s">
        <v>46</v>
      </c>
      <c r="S1419" s="2">
        <v>4</v>
      </c>
      <c r="T1419" s="2" t="s">
        <v>37</v>
      </c>
      <c r="U1419" s="10" t="str">
        <f t="shared" si="137"/>
        <v>Sep</v>
      </c>
      <c r="V1419" s="10">
        <f t="shared" si="136"/>
        <v>2024</v>
      </c>
      <c r="W1419" t="e" cm="1">
        <f t="array" ref="W1419">_xlfn.IFS(U1419="January",1,U1419="February",2,U1419="March",3,U1419="April",4,U1419="May",5,U1419="June",6,U1419="July",7,U1419="August",8,U1419="September",9,U1419="October",10,U1419="November",11,U1419="December",12)</f>
        <v>#N/A</v>
      </c>
    </row>
    <row r="1420" spans="1:23" ht="15.75" customHeight="1" x14ac:dyDescent="0.25">
      <c r="A1420" s="2" t="s">
        <v>226</v>
      </c>
      <c r="B1420" s="3">
        <v>45563.252222222232</v>
      </c>
      <c r="C1420" s="2" t="s">
        <v>227</v>
      </c>
      <c r="D1420" s="2" t="s">
        <v>70</v>
      </c>
      <c r="E1420" s="2" t="s">
        <v>41</v>
      </c>
      <c r="F1420" s="2" t="str" cm="1">
        <f t="array" ref="F1420:G1420">_xlfn.TEXTSPLIT(E1420," - ")</f>
        <v>Garam</v>
      </c>
      <c r="G1420" s="2" t="str">
        <v>Brand A</v>
      </c>
      <c r="H1420" s="5">
        <v>4000</v>
      </c>
      <c r="I1420" s="2">
        <v>3</v>
      </c>
      <c r="J1420" s="2">
        <v>10</v>
      </c>
      <c r="K1420" s="8">
        <f t="shared" si="132"/>
        <v>12000</v>
      </c>
      <c r="L1420" s="8">
        <f t="shared" si="133"/>
        <v>1200</v>
      </c>
      <c r="M1420" s="8">
        <f t="shared" si="134"/>
        <v>10800</v>
      </c>
      <c r="N1420" s="5">
        <v>89000</v>
      </c>
      <c r="O1420" s="8">
        <f t="shared" si="135"/>
        <v>99800</v>
      </c>
      <c r="P1420" s="2" t="s">
        <v>35</v>
      </c>
      <c r="Q1420" s="10" t="str">
        <f>VLOOKUP(A1420,Status!A:B,2,0)</f>
        <v>Returned</v>
      </c>
      <c r="R1420" s="2" t="s">
        <v>30</v>
      </c>
      <c r="S1420" s="2">
        <v>4</v>
      </c>
      <c r="T1420" s="2" t="s">
        <v>24</v>
      </c>
      <c r="U1420" s="10" t="str">
        <f t="shared" si="137"/>
        <v>Sep</v>
      </c>
      <c r="V1420" s="10">
        <f t="shared" si="136"/>
        <v>2024</v>
      </c>
      <c r="W1420" t="e" cm="1">
        <f t="array" ref="W1420">_xlfn.IFS(U1420="January",1,U1420="February",2,U1420="March",3,U1420="April",4,U1420="May",5,U1420="June",6,U1420="July",7,U1420="August",8,U1420="September",9,U1420="October",10,U1420="November",11,U1420="December",12)</f>
        <v>#N/A</v>
      </c>
    </row>
    <row r="1421" spans="1:23" ht="15.75" customHeight="1" x14ac:dyDescent="0.25">
      <c r="A1421" s="2" t="s">
        <v>228</v>
      </c>
      <c r="B1421" s="3">
        <v>45563.307650462957</v>
      </c>
      <c r="C1421" s="2" t="s">
        <v>229</v>
      </c>
      <c r="D1421" s="2" t="s">
        <v>195</v>
      </c>
      <c r="E1421" s="2" t="s">
        <v>174</v>
      </c>
      <c r="F1421" s="2" t="str" cm="1">
        <f t="array" ref="F1421:G1421">_xlfn.TEXTSPLIT(E1421," - ")</f>
        <v>Tepung Terigu</v>
      </c>
      <c r="G1421" s="2" t="str">
        <v>Brand A</v>
      </c>
      <c r="H1421" s="5">
        <v>10000</v>
      </c>
      <c r="I1421" s="2">
        <v>3</v>
      </c>
      <c r="J1421" s="2">
        <v>5</v>
      </c>
      <c r="K1421" s="8">
        <f t="shared" si="132"/>
        <v>30000</v>
      </c>
      <c r="L1421" s="8">
        <f t="shared" si="133"/>
        <v>1500</v>
      </c>
      <c r="M1421" s="8">
        <f t="shared" si="134"/>
        <v>28500</v>
      </c>
      <c r="N1421" s="5">
        <v>87000</v>
      </c>
      <c r="O1421" s="8">
        <f t="shared" si="135"/>
        <v>115500</v>
      </c>
      <c r="P1421" s="2" t="s">
        <v>35</v>
      </c>
      <c r="Q1421" s="10" t="str">
        <f>VLOOKUP(A1421,Status!A:B,2,0)</f>
        <v>Cancelled</v>
      </c>
      <c r="R1421" s="2" t="s">
        <v>30</v>
      </c>
      <c r="S1421" s="2">
        <v>2</v>
      </c>
      <c r="T1421" s="2" t="s">
        <v>24</v>
      </c>
      <c r="U1421" s="10" t="str">
        <f t="shared" si="137"/>
        <v>Sep</v>
      </c>
      <c r="V1421" s="10">
        <f t="shared" si="136"/>
        <v>2024</v>
      </c>
      <c r="W1421" t="e" cm="1">
        <f t="array" ref="W1421">_xlfn.IFS(U1421="January",1,U1421="February",2,U1421="March",3,U1421="April",4,U1421="May",5,U1421="June",6,U1421="July",7,U1421="August",8,U1421="September",9,U1421="October",10,U1421="November",11,U1421="December",12)</f>
        <v>#N/A</v>
      </c>
    </row>
    <row r="1422" spans="1:23" ht="15.75" customHeight="1" x14ac:dyDescent="0.25">
      <c r="A1422" s="2" t="s">
        <v>230</v>
      </c>
      <c r="B1422" s="3">
        <v>45563.360196759262</v>
      </c>
      <c r="C1422" s="2" t="s">
        <v>231</v>
      </c>
      <c r="D1422" s="2" t="s">
        <v>66</v>
      </c>
      <c r="E1422" s="2" t="s">
        <v>138</v>
      </c>
      <c r="F1422" s="2" t="str" cm="1">
        <f t="array" ref="F1422:G1422">_xlfn.TEXTSPLIT(E1422," - ")</f>
        <v>Gula Pasir</v>
      </c>
      <c r="G1422" s="2" t="str">
        <v>Brand B</v>
      </c>
      <c r="H1422" s="5">
        <v>17000</v>
      </c>
      <c r="I1422" s="2">
        <v>4</v>
      </c>
      <c r="J1422" s="2">
        <v>5</v>
      </c>
      <c r="K1422" s="8">
        <f t="shared" si="132"/>
        <v>68000</v>
      </c>
      <c r="L1422" s="8">
        <f t="shared" si="133"/>
        <v>3400</v>
      </c>
      <c r="M1422" s="8">
        <f t="shared" si="134"/>
        <v>64600</v>
      </c>
      <c r="N1422" s="5">
        <v>59000</v>
      </c>
      <c r="O1422" s="8">
        <f t="shared" si="135"/>
        <v>123600</v>
      </c>
      <c r="P1422" s="2" t="s">
        <v>29</v>
      </c>
      <c r="Q1422" s="10" t="str">
        <f>VLOOKUP(A1422,Status!A:B,2,0)</f>
        <v>Completed</v>
      </c>
      <c r="R1422" s="2" t="s">
        <v>36</v>
      </c>
      <c r="S1422" s="2">
        <v>1</v>
      </c>
      <c r="T1422" s="2" t="s">
        <v>24</v>
      </c>
      <c r="U1422" s="10" t="str">
        <f t="shared" si="137"/>
        <v>Sep</v>
      </c>
      <c r="V1422" s="10">
        <f t="shared" si="136"/>
        <v>2024</v>
      </c>
      <c r="W1422" t="e" cm="1">
        <f t="array" ref="W1422">_xlfn.IFS(U1422="January",1,U1422="February",2,U1422="March",3,U1422="April",4,U1422="May",5,U1422="June",6,U1422="July",7,U1422="August",8,U1422="September",9,U1422="October",10,U1422="November",11,U1422="December",12)</f>
        <v>#N/A</v>
      </c>
    </row>
    <row r="1423" spans="1:23" ht="15.75" customHeight="1" x14ac:dyDescent="0.25">
      <c r="A1423" s="2" t="s">
        <v>232</v>
      </c>
      <c r="B1423" s="3">
        <v>45563.714907407397</v>
      </c>
      <c r="C1423" s="2" t="s">
        <v>233</v>
      </c>
      <c r="D1423" s="2" t="s">
        <v>113</v>
      </c>
      <c r="E1423" s="2" t="s">
        <v>41</v>
      </c>
      <c r="F1423" s="2" t="str" cm="1">
        <f t="array" ref="F1423:G1423">_xlfn.TEXTSPLIT(E1423," - ")</f>
        <v>Garam</v>
      </c>
      <c r="G1423" s="2" t="str">
        <v>Brand A</v>
      </c>
      <c r="H1423" s="5">
        <v>4000</v>
      </c>
      <c r="I1423" s="2">
        <v>4</v>
      </c>
      <c r="J1423" s="2">
        <v>15</v>
      </c>
      <c r="K1423" s="8">
        <f t="shared" si="132"/>
        <v>16000</v>
      </c>
      <c r="L1423" s="8">
        <f t="shared" si="133"/>
        <v>2400</v>
      </c>
      <c r="M1423" s="8">
        <f t="shared" si="134"/>
        <v>13600</v>
      </c>
      <c r="N1423" s="5">
        <v>18000</v>
      </c>
      <c r="O1423" s="8">
        <f t="shared" si="135"/>
        <v>31600</v>
      </c>
      <c r="P1423" s="2" t="s">
        <v>29</v>
      </c>
      <c r="Q1423" s="10" t="str">
        <f>VLOOKUP(A1423,Status!A:B,2,0)</f>
        <v>Completed</v>
      </c>
      <c r="R1423" s="2" t="s">
        <v>36</v>
      </c>
      <c r="S1423" s="2">
        <v>1</v>
      </c>
      <c r="T1423" s="2" t="s">
        <v>37</v>
      </c>
      <c r="U1423" s="10" t="str">
        <f t="shared" si="137"/>
        <v>Sep</v>
      </c>
      <c r="V1423" s="10">
        <f t="shared" si="136"/>
        <v>2024</v>
      </c>
      <c r="W1423" t="e" cm="1">
        <f t="array" ref="W1423">_xlfn.IFS(U1423="January",1,U1423="February",2,U1423="March",3,U1423="April",4,U1423="May",5,U1423="June",6,U1423="July",7,U1423="August",8,U1423="September",9,U1423="October",10,U1423="November",11,U1423="December",12)</f>
        <v>#N/A</v>
      </c>
    </row>
    <row r="1424" spans="1:23" ht="15.75" customHeight="1" x14ac:dyDescent="0.25">
      <c r="A1424" s="2" t="s">
        <v>234</v>
      </c>
      <c r="B1424" s="3">
        <v>45564.279097222221</v>
      </c>
      <c r="C1424" s="2" t="s">
        <v>235</v>
      </c>
      <c r="D1424" s="2" t="s">
        <v>189</v>
      </c>
      <c r="E1424" s="2" t="s">
        <v>75</v>
      </c>
      <c r="F1424" s="2" t="str" cm="1">
        <f t="array" ref="F1424:G1424">_xlfn.TEXTSPLIT(E1424," - ")</f>
        <v>Susu Bubuk</v>
      </c>
      <c r="G1424" s="2" t="str">
        <v>Brand C</v>
      </c>
      <c r="H1424" s="5">
        <v>55000</v>
      </c>
      <c r="I1424" s="2">
        <v>4</v>
      </c>
      <c r="J1424" s="2">
        <v>0</v>
      </c>
      <c r="K1424" s="8">
        <f t="shared" si="132"/>
        <v>220000</v>
      </c>
      <c r="L1424" s="8">
        <f t="shared" si="133"/>
        <v>0</v>
      </c>
      <c r="M1424" s="8">
        <f t="shared" si="134"/>
        <v>220000</v>
      </c>
      <c r="N1424" s="5">
        <v>57000</v>
      </c>
      <c r="O1424" s="8">
        <f t="shared" si="135"/>
        <v>277000</v>
      </c>
      <c r="P1424" s="2" t="s">
        <v>35</v>
      </c>
      <c r="Q1424" s="10" t="str">
        <f>VLOOKUP(A1424,Status!A:B,2,0)</f>
        <v>Completed</v>
      </c>
      <c r="R1424" s="2" t="s">
        <v>36</v>
      </c>
      <c r="S1424" s="2">
        <v>4</v>
      </c>
      <c r="T1424" s="2" t="s">
        <v>37</v>
      </c>
      <c r="U1424" s="10" t="str">
        <f t="shared" si="137"/>
        <v>Sep</v>
      </c>
      <c r="V1424" s="10">
        <f t="shared" si="136"/>
        <v>2024</v>
      </c>
      <c r="W1424" t="e" cm="1">
        <f t="array" ref="W1424">_xlfn.IFS(U1424="January",1,U1424="February",2,U1424="March",3,U1424="April",4,U1424="May",5,U1424="June",6,U1424="July",7,U1424="August",8,U1424="September",9,U1424="October",10,U1424="November",11,U1424="December",12)</f>
        <v>#N/A</v>
      </c>
    </row>
    <row r="1425" spans="1:23" ht="15.75" customHeight="1" x14ac:dyDescent="0.25">
      <c r="A1425" s="2" t="s">
        <v>236</v>
      </c>
      <c r="B1425" s="3">
        <v>45564.352638888893</v>
      </c>
      <c r="C1425" s="2" t="s">
        <v>237</v>
      </c>
      <c r="D1425" s="2" t="s">
        <v>238</v>
      </c>
      <c r="E1425" s="2" t="s">
        <v>93</v>
      </c>
      <c r="F1425" s="2" t="str" cm="1">
        <f t="array" ref="F1425:G1425">_xlfn.TEXTSPLIT(E1425," - ")</f>
        <v>Telur Ayam</v>
      </c>
      <c r="G1425" s="2" t="str">
        <v>Brand B</v>
      </c>
      <c r="H1425" s="5">
        <v>25000</v>
      </c>
      <c r="I1425" s="2">
        <v>2</v>
      </c>
      <c r="J1425" s="2">
        <v>15</v>
      </c>
      <c r="K1425" s="8">
        <f t="shared" si="132"/>
        <v>50000</v>
      </c>
      <c r="L1425" s="8">
        <f t="shared" si="133"/>
        <v>7500</v>
      </c>
      <c r="M1425" s="8">
        <f t="shared" si="134"/>
        <v>42500</v>
      </c>
      <c r="N1425" s="5">
        <v>28000</v>
      </c>
      <c r="O1425" s="8">
        <f t="shared" si="135"/>
        <v>70500</v>
      </c>
      <c r="P1425" s="2" t="s">
        <v>29</v>
      </c>
      <c r="Q1425" s="10" t="str">
        <f>VLOOKUP(A1425,Status!A:B,2,0)</f>
        <v>Completed</v>
      </c>
      <c r="R1425" s="2" t="s">
        <v>82</v>
      </c>
      <c r="S1425" s="2">
        <v>3</v>
      </c>
      <c r="T1425" s="2" t="s">
        <v>24</v>
      </c>
      <c r="U1425" s="10" t="str">
        <f t="shared" si="137"/>
        <v>Sep</v>
      </c>
      <c r="V1425" s="10">
        <f t="shared" si="136"/>
        <v>2024</v>
      </c>
      <c r="W1425" t="e" cm="1">
        <f t="array" ref="W1425">_xlfn.IFS(U1425="January",1,U1425="February",2,U1425="March",3,U1425="April",4,U1425="May",5,U1425="June",6,U1425="July",7,U1425="August",8,U1425="September",9,U1425="October",10,U1425="November",11,U1425="December",12)</f>
        <v>#N/A</v>
      </c>
    </row>
    <row r="1426" spans="1:23" ht="15.75" customHeight="1" x14ac:dyDescent="0.25">
      <c r="A1426" s="2" t="s">
        <v>239</v>
      </c>
      <c r="B1426" s="3">
        <v>45564.403865740736</v>
      </c>
      <c r="C1426" s="2" t="s">
        <v>240</v>
      </c>
      <c r="D1426" s="2" t="s">
        <v>189</v>
      </c>
      <c r="E1426" s="2" t="s">
        <v>110</v>
      </c>
      <c r="F1426" s="2" t="str" cm="1">
        <f t="array" ref="F1426:G1426">_xlfn.TEXTSPLIT(E1426," - ")</f>
        <v>Garam</v>
      </c>
      <c r="G1426" s="2" t="str">
        <v>Brand C</v>
      </c>
      <c r="H1426" s="5">
        <v>6000</v>
      </c>
      <c r="I1426" s="2">
        <v>5</v>
      </c>
      <c r="J1426" s="2">
        <v>20</v>
      </c>
      <c r="K1426" s="8">
        <f t="shared" si="132"/>
        <v>30000</v>
      </c>
      <c r="L1426" s="8">
        <f t="shared" si="133"/>
        <v>6000</v>
      </c>
      <c r="M1426" s="8">
        <f t="shared" si="134"/>
        <v>24000</v>
      </c>
      <c r="N1426" s="5">
        <v>57000</v>
      </c>
      <c r="O1426" s="8">
        <f t="shared" si="135"/>
        <v>81000</v>
      </c>
      <c r="P1426" s="2" t="s">
        <v>35</v>
      </c>
      <c r="Q1426" s="10" t="str">
        <f>VLOOKUP(A1426,Status!A:B,2,0)</f>
        <v>Completed</v>
      </c>
      <c r="R1426" s="2" t="s">
        <v>23</v>
      </c>
      <c r="S1426" s="2">
        <v>5</v>
      </c>
      <c r="T1426" s="2" t="s">
        <v>37</v>
      </c>
      <c r="U1426" s="10" t="str">
        <f t="shared" si="137"/>
        <v>Sep</v>
      </c>
      <c r="V1426" s="10">
        <f t="shared" si="136"/>
        <v>2024</v>
      </c>
      <c r="W1426" t="e" cm="1">
        <f t="array" ref="W1426">_xlfn.IFS(U1426="January",1,U1426="February",2,U1426="March",3,U1426="April",4,U1426="May",5,U1426="June",6,U1426="July",7,U1426="August",8,U1426="September",9,U1426="October",10,U1426="November",11,U1426="December",12)</f>
        <v>#N/A</v>
      </c>
    </row>
    <row r="1427" spans="1:23" ht="15.75" customHeight="1" x14ac:dyDescent="0.25">
      <c r="A1427" s="2" t="s">
        <v>241</v>
      </c>
      <c r="B1427" s="3">
        <v>45564.440324074072</v>
      </c>
      <c r="C1427" s="2" t="s">
        <v>146</v>
      </c>
      <c r="D1427" s="2" t="s">
        <v>92</v>
      </c>
      <c r="E1427" s="2" t="s">
        <v>21</v>
      </c>
      <c r="F1427" s="2" t="str" cm="1">
        <f t="array" ref="F1427:G1427">_xlfn.TEXTSPLIT(E1427," - ")</f>
        <v>Daging Ayam</v>
      </c>
      <c r="G1427" s="2" t="str">
        <v>Brand C</v>
      </c>
      <c r="H1427" s="5">
        <v>45000</v>
      </c>
      <c r="I1427" s="2">
        <v>2</v>
      </c>
      <c r="J1427" s="2">
        <v>15</v>
      </c>
      <c r="K1427" s="8">
        <f t="shared" si="132"/>
        <v>90000</v>
      </c>
      <c r="L1427" s="8">
        <f t="shared" si="133"/>
        <v>13500</v>
      </c>
      <c r="M1427" s="8">
        <f t="shared" si="134"/>
        <v>76500</v>
      </c>
      <c r="N1427" s="5">
        <v>30000</v>
      </c>
      <c r="O1427" s="8">
        <f t="shared" si="135"/>
        <v>106500</v>
      </c>
      <c r="P1427" s="2" t="s">
        <v>22</v>
      </c>
      <c r="Q1427" s="10" t="str">
        <f>VLOOKUP(A1427,Status!A:B,2,0)</f>
        <v>Cancelled</v>
      </c>
      <c r="R1427" s="2" t="s">
        <v>36</v>
      </c>
      <c r="S1427" s="2">
        <v>5</v>
      </c>
      <c r="T1427" s="2" t="s">
        <v>37</v>
      </c>
      <c r="U1427" s="10" t="str">
        <f t="shared" si="137"/>
        <v>Sep</v>
      </c>
      <c r="V1427" s="10">
        <f t="shared" si="136"/>
        <v>2024</v>
      </c>
      <c r="W1427" t="e" cm="1">
        <f t="array" ref="W1427">_xlfn.IFS(U1427="January",1,U1427="February",2,U1427="March",3,U1427="April",4,U1427="May",5,U1427="June",6,U1427="July",7,U1427="August",8,U1427="September",9,U1427="October",10,U1427="November",11,U1427="December",12)</f>
        <v>#N/A</v>
      </c>
    </row>
    <row r="1428" spans="1:23" ht="15.75" customHeight="1" x14ac:dyDescent="0.25">
      <c r="A1428" s="2" t="s">
        <v>242</v>
      </c>
      <c r="B1428" s="3">
        <v>45564.51357638889</v>
      </c>
      <c r="C1428" s="2" t="s">
        <v>243</v>
      </c>
      <c r="D1428" s="2" t="s">
        <v>244</v>
      </c>
      <c r="E1428" s="2" t="s">
        <v>190</v>
      </c>
      <c r="F1428" s="2" t="str" cm="1">
        <f t="array" ref="F1428:G1428">_xlfn.TEXTSPLIT(E1428," - ")</f>
        <v>Bawang Merah</v>
      </c>
      <c r="G1428" s="2" t="str">
        <v>Brand B</v>
      </c>
      <c r="H1428" s="5">
        <v>35000</v>
      </c>
      <c r="I1428" s="2">
        <v>1</v>
      </c>
      <c r="J1428" s="2">
        <v>15</v>
      </c>
      <c r="K1428" s="8">
        <f t="shared" si="132"/>
        <v>35000</v>
      </c>
      <c r="L1428" s="8">
        <f t="shared" si="133"/>
        <v>5250</v>
      </c>
      <c r="M1428" s="8">
        <f t="shared" si="134"/>
        <v>29750</v>
      </c>
      <c r="N1428" s="5">
        <v>80000</v>
      </c>
      <c r="O1428" s="8">
        <f t="shared" si="135"/>
        <v>109750</v>
      </c>
      <c r="P1428" s="2" t="s">
        <v>63</v>
      </c>
      <c r="Q1428" s="10" t="str">
        <f>VLOOKUP(A1428,Status!A:B,2,0)</f>
        <v>Completed</v>
      </c>
      <c r="R1428" s="2" t="s">
        <v>36</v>
      </c>
      <c r="S1428" s="2">
        <v>5</v>
      </c>
      <c r="T1428" s="2" t="s">
        <v>37</v>
      </c>
      <c r="U1428" s="10" t="str">
        <f t="shared" si="137"/>
        <v>Sep</v>
      </c>
      <c r="V1428" s="10">
        <f t="shared" si="136"/>
        <v>2024</v>
      </c>
      <c r="W1428" t="e" cm="1">
        <f t="array" ref="W1428">_xlfn.IFS(U1428="January",1,U1428="February",2,U1428="March",3,U1428="April",4,U1428="May",5,U1428="June",6,U1428="July",7,U1428="August",8,U1428="September",9,U1428="October",10,U1428="November",11,U1428="December",12)</f>
        <v>#N/A</v>
      </c>
    </row>
    <row r="1429" spans="1:23" ht="15.75" customHeight="1" x14ac:dyDescent="0.25">
      <c r="A1429" s="2" t="s">
        <v>245</v>
      </c>
      <c r="B1429" s="3">
        <v>45564.906493055547</v>
      </c>
      <c r="C1429" s="2" t="s">
        <v>246</v>
      </c>
      <c r="D1429" s="2" t="s">
        <v>238</v>
      </c>
      <c r="E1429" s="2" t="s">
        <v>88</v>
      </c>
      <c r="F1429" s="2" t="str" cm="1">
        <f t="array" ref="F1429:G1429">_xlfn.TEXTSPLIT(E1429," - ")</f>
        <v>Beras</v>
      </c>
      <c r="G1429" s="2" t="str">
        <v>Brand A</v>
      </c>
      <c r="H1429" s="5">
        <v>14000</v>
      </c>
      <c r="I1429" s="2">
        <v>5</v>
      </c>
      <c r="J1429" s="2">
        <v>5</v>
      </c>
      <c r="K1429" s="8">
        <f t="shared" si="132"/>
        <v>70000</v>
      </c>
      <c r="L1429" s="8">
        <f t="shared" si="133"/>
        <v>3500</v>
      </c>
      <c r="M1429" s="8">
        <f t="shared" si="134"/>
        <v>66500</v>
      </c>
      <c r="N1429" s="5">
        <v>28000</v>
      </c>
      <c r="O1429" s="8">
        <f t="shared" si="135"/>
        <v>94500</v>
      </c>
      <c r="P1429" s="2" t="s">
        <v>63</v>
      </c>
      <c r="Q1429" s="10" t="str">
        <f>VLOOKUP(A1429,Status!A:B,2,0)</f>
        <v>Completed</v>
      </c>
      <c r="R1429" s="2" t="s">
        <v>46</v>
      </c>
      <c r="S1429" s="2">
        <v>3</v>
      </c>
      <c r="T1429" s="2" t="s">
        <v>24</v>
      </c>
      <c r="U1429" s="10" t="str">
        <f t="shared" si="137"/>
        <v>Sep</v>
      </c>
      <c r="V1429" s="10">
        <f t="shared" si="136"/>
        <v>2024</v>
      </c>
      <c r="W1429" t="e" cm="1">
        <f t="array" ref="W1429">_xlfn.IFS(U1429="January",1,U1429="February",2,U1429="March",3,U1429="April",4,U1429="May",5,U1429="June",6,U1429="July",7,U1429="August",8,U1429="September",9,U1429="October",10,U1429="November",11,U1429="December",12)</f>
        <v>#N/A</v>
      </c>
    </row>
    <row r="1430" spans="1:23" ht="15.75" customHeight="1" x14ac:dyDescent="0.25">
      <c r="A1430" s="2" t="s">
        <v>247</v>
      </c>
      <c r="B1430" s="3">
        <v>45565.106886574067</v>
      </c>
      <c r="C1430" s="2" t="s">
        <v>240</v>
      </c>
      <c r="D1430" s="2" t="s">
        <v>189</v>
      </c>
      <c r="E1430" s="2" t="s">
        <v>88</v>
      </c>
      <c r="F1430" s="2" t="str" cm="1">
        <f t="array" ref="F1430:G1430">_xlfn.TEXTSPLIT(E1430," - ")</f>
        <v>Beras</v>
      </c>
      <c r="G1430" s="2" t="str">
        <v>Brand A</v>
      </c>
      <c r="H1430" s="5">
        <v>14000</v>
      </c>
      <c r="I1430" s="2">
        <v>5</v>
      </c>
      <c r="J1430" s="2">
        <v>20</v>
      </c>
      <c r="K1430" s="8">
        <f t="shared" si="132"/>
        <v>70000</v>
      </c>
      <c r="L1430" s="8">
        <f t="shared" si="133"/>
        <v>14000</v>
      </c>
      <c r="M1430" s="8">
        <f t="shared" si="134"/>
        <v>56000</v>
      </c>
      <c r="N1430" s="5">
        <v>57000</v>
      </c>
      <c r="O1430" s="8">
        <f t="shared" si="135"/>
        <v>113000</v>
      </c>
      <c r="P1430" s="2" t="s">
        <v>35</v>
      </c>
      <c r="Q1430" s="10" t="str">
        <f>VLOOKUP(A1430,Status!A:B,2,0)</f>
        <v>Completed</v>
      </c>
      <c r="R1430" s="2" t="s">
        <v>30</v>
      </c>
      <c r="S1430" s="2">
        <v>1</v>
      </c>
      <c r="T1430" s="2" t="s">
        <v>37</v>
      </c>
      <c r="U1430" s="10" t="str">
        <f t="shared" si="137"/>
        <v>Sep</v>
      </c>
      <c r="V1430" s="10">
        <f t="shared" si="136"/>
        <v>2024</v>
      </c>
      <c r="W1430" t="e" cm="1">
        <f t="array" ref="W1430">_xlfn.IFS(U1430="January",1,U1430="February",2,U1430="March",3,U1430="April",4,U1430="May",5,U1430="June",6,U1430="July",7,U1430="August",8,U1430="September",9,U1430="October",10,U1430="November",11,U1430="December",12)</f>
        <v>#N/A</v>
      </c>
    </row>
    <row r="1431" spans="1:23" ht="15.75" customHeight="1" x14ac:dyDescent="0.25">
      <c r="A1431" s="2" t="s">
        <v>248</v>
      </c>
      <c r="B1431" s="3">
        <v>45565.178935185177</v>
      </c>
      <c r="C1431" s="2" t="s">
        <v>249</v>
      </c>
      <c r="D1431" s="2" t="s">
        <v>49</v>
      </c>
      <c r="E1431" s="2" t="s">
        <v>250</v>
      </c>
      <c r="F1431" s="2" t="str" cm="1">
        <f t="array" ref="F1431:G1431">_xlfn.TEXTSPLIT(E1431," - ")</f>
        <v>Minyak Goreng</v>
      </c>
      <c r="G1431" s="2" t="str">
        <v>Brand C</v>
      </c>
      <c r="H1431" s="5">
        <v>18000</v>
      </c>
      <c r="I1431" s="2">
        <v>1</v>
      </c>
      <c r="J1431" s="2">
        <v>5</v>
      </c>
      <c r="K1431" s="8">
        <f t="shared" si="132"/>
        <v>18000</v>
      </c>
      <c r="L1431" s="8">
        <f t="shared" si="133"/>
        <v>900</v>
      </c>
      <c r="M1431" s="8">
        <f t="shared" si="134"/>
        <v>17100</v>
      </c>
      <c r="N1431" s="5">
        <v>43000</v>
      </c>
      <c r="O1431" s="8">
        <f t="shared" si="135"/>
        <v>60100</v>
      </c>
      <c r="P1431" s="2" t="s">
        <v>63</v>
      </c>
      <c r="Q1431" s="10" t="str">
        <f>VLOOKUP(A1431,Status!A:B,2,0)</f>
        <v>Completed</v>
      </c>
      <c r="R1431" s="2" t="s">
        <v>30</v>
      </c>
      <c r="S1431" s="2">
        <v>4</v>
      </c>
      <c r="T1431" s="2" t="s">
        <v>24</v>
      </c>
      <c r="U1431" s="10" t="str">
        <f t="shared" si="137"/>
        <v>Sep</v>
      </c>
      <c r="V1431" s="10">
        <f t="shared" si="136"/>
        <v>2024</v>
      </c>
      <c r="W1431" t="e" cm="1">
        <f t="array" ref="W1431">_xlfn.IFS(U1431="January",1,U1431="February",2,U1431="March",3,U1431="April",4,U1431="May",5,U1431="June",6,U1431="July",7,U1431="August",8,U1431="September",9,U1431="October",10,U1431="November",11,U1431="December",12)</f>
        <v>#N/A</v>
      </c>
    </row>
    <row r="1432" spans="1:23" ht="15.75" customHeight="1" x14ac:dyDescent="0.25">
      <c r="A1432" s="2" t="s">
        <v>251</v>
      </c>
      <c r="B1432" s="3">
        <v>45565.258020833331</v>
      </c>
      <c r="C1432" s="2" t="s">
        <v>252</v>
      </c>
      <c r="D1432" s="2" t="s">
        <v>131</v>
      </c>
      <c r="E1432" s="2" t="s">
        <v>88</v>
      </c>
      <c r="F1432" s="2" t="str" cm="1">
        <f t="array" ref="F1432:G1432">_xlfn.TEXTSPLIT(E1432," - ")</f>
        <v>Beras</v>
      </c>
      <c r="G1432" s="2" t="str">
        <v>Brand A</v>
      </c>
      <c r="H1432" s="5">
        <v>14000</v>
      </c>
      <c r="I1432" s="2">
        <v>3</v>
      </c>
      <c r="J1432" s="2">
        <v>15</v>
      </c>
      <c r="K1432" s="8">
        <f t="shared" si="132"/>
        <v>42000</v>
      </c>
      <c r="L1432" s="8">
        <f t="shared" si="133"/>
        <v>6300</v>
      </c>
      <c r="M1432" s="8">
        <f t="shared" si="134"/>
        <v>35700</v>
      </c>
      <c r="N1432" s="5">
        <v>59000</v>
      </c>
      <c r="O1432" s="8">
        <f t="shared" si="135"/>
        <v>94700</v>
      </c>
      <c r="P1432" s="2" t="s">
        <v>29</v>
      </c>
      <c r="Q1432" s="10" t="str">
        <f>VLOOKUP(A1432,Status!A:B,2,0)</f>
        <v>Returned</v>
      </c>
      <c r="R1432" s="2" t="s">
        <v>36</v>
      </c>
      <c r="S1432" s="2">
        <v>2</v>
      </c>
      <c r="T1432" s="2" t="s">
        <v>24</v>
      </c>
      <c r="U1432" s="10" t="str">
        <f t="shared" si="137"/>
        <v>Sep</v>
      </c>
      <c r="V1432" s="10">
        <f t="shared" si="136"/>
        <v>2024</v>
      </c>
      <c r="W1432" t="e" cm="1">
        <f t="array" ref="W1432">_xlfn.IFS(U1432="January",1,U1432="February",2,U1432="March",3,U1432="April",4,U1432="May",5,U1432="June",6,U1432="July",7,U1432="August",8,U1432="September",9,U1432="October",10,U1432="November",11,U1432="December",12)</f>
        <v>#N/A</v>
      </c>
    </row>
    <row r="1433" spans="1:23" ht="15.75" customHeight="1" x14ac:dyDescent="0.25">
      <c r="A1433" s="2" t="s">
        <v>251</v>
      </c>
      <c r="B1433" s="3">
        <v>45565.258020833331</v>
      </c>
      <c r="C1433" s="2" t="s">
        <v>252</v>
      </c>
      <c r="D1433" s="2" t="s">
        <v>131</v>
      </c>
      <c r="E1433" s="2" t="s">
        <v>41</v>
      </c>
      <c r="F1433" s="2" t="str" cm="1">
        <f t="array" ref="F1433:G1433">_xlfn.TEXTSPLIT(E1433," - ")</f>
        <v>Garam</v>
      </c>
      <c r="G1433" s="2" t="str">
        <v>Brand A</v>
      </c>
      <c r="H1433" s="5">
        <v>4000</v>
      </c>
      <c r="I1433" s="2">
        <v>2</v>
      </c>
      <c r="J1433" s="2">
        <v>15</v>
      </c>
      <c r="K1433" s="8">
        <f t="shared" si="132"/>
        <v>8000</v>
      </c>
      <c r="L1433" s="8">
        <f t="shared" si="133"/>
        <v>1200</v>
      </c>
      <c r="M1433" s="8">
        <f t="shared" si="134"/>
        <v>6800</v>
      </c>
      <c r="N1433" s="5">
        <v>0</v>
      </c>
      <c r="O1433" s="8">
        <f t="shared" si="135"/>
        <v>6800</v>
      </c>
      <c r="P1433" s="2" t="s">
        <v>29</v>
      </c>
      <c r="Q1433" s="10" t="str">
        <f>VLOOKUP(A1433,Status!A:B,2,0)</f>
        <v>Returned</v>
      </c>
      <c r="R1433" s="2" t="s">
        <v>36</v>
      </c>
      <c r="S1433" s="2">
        <v>2</v>
      </c>
      <c r="T1433" s="2" t="s">
        <v>24</v>
      </c>
      <c r="U1433" s="10" t="str">
        <f t="shared" si="137"/>
        <v>Sep</v>
      </c>
      <c r="V1433" s="10">
        <f t="shared" si="136"/>
        <v>2024</v>
      </c>
      <c r="W1433" t="e" cm="1">
        <f t="array" ref="W1433">_xlfn.IFS(U1433="January",1,U1433="February",2,U1433="March",3,U1433="April",4,U1433="May",5,U1433="June",6,U1433="July",7,U1433="August",8,U1433="September",9,U1433="October",10,U1433="November",11,U1433="December",12)</f>
        <v>#N/A</v>
      </c>
    </row>
    <row r="1434" spans="1:23" ht="15.75" customHeight="1" x14ac:dyDescent="0.25">
      <c r="A1434" s="2" t="s">
        <v>253</v>
      </c>
      <c r="B1434" s="3">
        <v>45565.288680555554</v>
      </c>
      <c r="C1434" s="2" t="s">
        <v>254</v>
      </c>
      <c r="D1434" s="2" t="s">
        <v>61</v>
      </c>
      <c r="E1434" s="2" t="s">
        <v>38</v>
      </c>
      <c r="F1434" s="2" t="str" cm="1">
        <f t="array" ref="F1434:G1434">_xlfn.TEXTSPLIT(E1434," - ")</f>
        <v>Telur Ayam</v>
      </c>
      <c r="G1434" s="2" t="str">
        <v>Brand C</v>
      </c>
      <c r="H1434" s="5">
        <v>28000</v>
      </c>
      <c r="I1434" s="2">
        <v>3</v>
      </c>
      <c r="J1434" s="2">
        <v>20</v>
      </c>
      <c r="K1434" s="8">
        <f t="shared" si="132"/>
        <v>84000</v>
      </c>
      <c r="L1434" s="8">
        <f t="shared" si="133"/>
        <v>16800</v>
      </c>
      <c r="M1434" s="8">
        <f t="shared" si="134"/>
        <v>67200</v>
      </c>
      <c r="N1434" s="5">
        <v>26000</v>
      </c>
      <c r="O1434" s="8">
        <f t="shared" si="135"/>
        <v>93200</v>
      </c>
      <c r="P1434" s="2" t="s">
        <v>35</v>
      </c>
      <c r="Q1434" s="10" t="str">
        <f>VLOOKUP(A1434,Status!A:B,2,0)</f>
        <v>Completed</v>
      </c>
      <c r="R1434" s="2" t="s">
        <v>46</v>
      </c>
      <c r="S1434" s="2">
        <v>1</v>
      </c>
      <c r="T1434" s="2" t="s">
        <v>24</v>
      </c>
      <c r="U1434" s="10" t="str">
        <f t="shared" si="137"/>
        <v>Sep</v>
      </c>
      <c r="V1434" s="10">
        <f t="shared" si="136"/>
        <v>2024</v>
      </c>
      <c r="W1434" t="e" cm="1">
        <f t="array" ref="W1434">_xlfn.IFS(U1434="January",1,U1434="February",2,U1434="March",3,U1434="April",4,U1434="May",5,U1434="June",6,U1434="July",7,U1434="August",8,U1434="September",9,U1434="October",10,U1434="November",11,U1434="December",12)</f>
        <v>#N/A</v>
      </c>
    </row>
    <row r="1435" spans="1:23" ht="15.75" customHeight="1" x14ac:dyDescent="0.25">
      <c r="A1435" s="2" t="s">
        <v>255</v>
      </c>
      <c r="B1435" s="3">
        <v>45565.642199074071</v>
      </c>
      <c r="C1435" s="2" t="s">
        <v>256</v>
      </c>
      <c r="D1435" s="2" t="s">
        <v>107</v>
      </c>
      <c r="E1435" s="2" t="s">
        <v>54</v>
      </c>
      <c r="F1435" s="2" t="str" cm="1">
        <f t="array" ref="F1435:G1435">_xlfn.TEXTSPLIT(E1435," - ")</f>
        <v>Beras</v>
      </c>
      <c r="G1435" s="2" t="str">
        <v>Brand C</v>
      </c>
      <c r="H1435" s="5">
        <v>16000</v>
      </c>
      <c r="I1435" s="2">
        <v>4</v>
      </c>
      <c r="J1435" s="2">
        <v>20</v>
      </c>
      <c r="K1435" s="8">
        <f t="shared" si="132"/>
        <v>64000</v>
      </c>
      <c r="L1435" s="8">
        <f t="shared" si="133"/>
        <v>12800</v>
      </c>
      <c r="M1435" s="8">
        <f t="shared" si="134"/>
        <v>51200</v>
      </c>
      <c r="N1435" s="5">
        <v>97000</v>
      </c>
      <c r="O1435" s="8">
        <f t="shared" si="135"/>
        <v>148200</v>
      </c>
      <c r="P1435" s="2" t="s">
        <v>29</v>
      </c>
      <c r="Q1435" s="10" t="str">
        <f>VLOOKUP(A1435,Status!A:B,2,0)</f>
        <v>Completed</v>
      </c>
      <c r="R1435" s="2" t="s">
        <v>30</v>
      </c>
      <c r="S1435" s="2">
        <v>2</v>
      </c>
      <c r="T1435" s="2" t="s">
        <v>24</v>
      </c>
      <c r="U1435" s="10" t="str">
        <f t="shared" si="137"/>
        <v>Sep</v>
      </c>
      <c r="V1435" s="10">
        <f t="shared" si="136"/>
        <v>2024</v>
      </c>
      <c r="W1435" t="e" cm="1">
        <f t="array" ref="W1435">_xlfn.IFS(U1435="January",1,U1435="February",2,U1435="March",3,U1435="April",4,U1435="May",5,U1435="June",6,U1435="July",7,U1435="August",8,U1435="September",9,U1435="October",10,U1435="November",11,U1435="December",12)</f>
        <v>#N/A</v>
      </c>
    </row>
    <row r="1436" spans="1:23" ht="15.75" customHeight="1" x14ac:dyDescent="0.25">
      <c r="A1436" s="2" t="s">
        <v>257</v>
      </c>
      <c r="B1436" s="3">
        <v>45565.775868055563</v>
      </c>
      <c r="C1436" s="2" t="s">
        <v>258</v>
      </c>
      <c r="D1436" s="2" t="s">
        <v>44</v>
      </c>
      <c r="E1436" s="2" t="s">
        <v>93</v>
      </c>
      <c r="F1436" s="2" t="str" cm="1">
        <f t="array" ref="F1436:G1436">_xlfn.TEXTSPLIT(E1436," - ")</f>
        <v>Telur Ayam</v>
      </c>
      <c r="G1436" s="2" t="str">
        <v>Brand B</v>
      </c>
      <c r="H1436" s="5">
        <v>25000</v>
      </c>
      <c r="I1436" s="2">
        <v>2</v>
      </c>
      <c r="J1436" s="2">
        <v>5</v>
      </c>
      <c r="K1436" s="8">
        <f t="shared" si="132"/>
        <v>50000</v>
      </c>
      <c r="L1436" s="8">
        <f t="shared" si="133"/>
        <v>2500</v>
      </c>
      <c r="M1436" s="8">
        <f t="shared" si="134"/>
        <v>47500</v>
      </c>
      <c r="N1436" s="5">
        <v>93000</v>
      </c>
      <c r="O1436" s="8">
        <f t="shared" si="135"/>
        <v>140500</v>
      </c>
      <c r="P1436" s="2" t="s">
        <v>29</v>
      </c>
      <c r="Q1436" s="10" t="str">
        <f>VLOOKUP(A1436,Status!A:B,2,0)</f>
        <v>Completed</v>
      </c>
      <c r="R1436" s="2" t="s">
        <v>36</v>
      </c>
      <c r="S1436" s="2">
        <v>3</v>
      </c>
      <c r="T1436" s="2" t="s">
        <v>24</v>
      </c>
      <c r="U1436" s="10" t="str">
        <f t="shared" si="137"/>
        <v>Sep</v>
      </c>
      <c r="V1436" s="10">
        <f t="shared" si="136"/>
        <v>2024</v>
      </c>
      <c r="W1436" t="e" cm="1">
        <f t="array" ref="W1436">_xlfn.IFS(U1436="January",1,U1436="February",2,U1436="March",3,U1436="April",4,U1436="May",5,U1436="June",6,U1436="July",7,U1436="August",8,U1436="September",9,U1436="October",10,U1436="November",11,U1436="December",12)</f>
        <v>#N/A</v>
      </c>
    </row>
    <row r="1437" spans="1:23" ht="15.75" customHeight="1" x14ac:dyDescent="0.25">
      <c r="A1437" s="2" t="s">
        <v>259</v>
      </c>
      <c r="B1437" s="3">
        <v>45565.845833333333</v>
      </c>
      <c r="C1437" s="2" t="s">
        <v>240</v>
      </c>
      <c r="D1437" s="2" t="s">
        <v>189</v>
      </c>
      <c r="E1437" s="2" t="s">
        <v>45</v>
      </c>
      <c r="F1437" s="2" t="str" cm="1">
        <f t="array" ref="F1437:G1437">_xlfn.TEXTSPLIT(E1437," - ")</f>
        <v>Daging Ayam</v>
      </c>
      <c r="G1437" s="2" t="str">
        <v>Brand B</v>
      </c>
      <c r="H1437" s="5">
        <v>40000</v>
      </c>
      <c r="I1437" s="2">
        <v>4</v>
      </c>
      <c r="J1437" s="2">
        <v>10</v>
      </c>
      <c r="K1437" s="8">
        <f t="shared" si="132"/>
        <v>160000</v>
      </c>
      <c r="L1437" s="8">
        <f t="shared" si="133"/>
        <v>16000</v>
      </c>
      <c r="M1437" s="8">
        <f t="shared" si="134"/>
        <v>144000</v>
      </c>
      <c r="N1437" s="5">
        <v>57000</v>
      </c>
      <c r="O1437" s="8">
        <f t="shared" si="135"/>
        <v>201000</v>
      </c>
      <c r="P1437" s="2" t="s">
        <v>22</v>
      </c>
      <c r="Q1437" s="10" t="str">
        <f>VLOOKUP(A1437,Status!A:B,2,0)</f>
        <v>Completed</v>
      </c>
      <c r="R1437" s="2" t="s">
        <v>46</v>
      </c>
      <c r="S1437" s="2">
        <v>1</v>
      </c>
      <c r="T1437" s="2" t="s">
        <v>37</v>
      </c>
      <c r="U1437" s="10" t="str">
        <f t="shared" si="137"/>
        <v>Sep</v>
      </c>
      <c r="V1437" s="10">
        <f t="shared" si="136"/>
        <v>2024</v>
      </c>
      <c r="W1437" t="e" cm="1">
        <f t="array" ref="W1437">_xlfn.IFS(U1437="January",1,U1437="February",2,U1437="March",3,U1437="April",4,U1437="May",5,U1437="June",6,U1437="July",7,U1437="August",8,U1437="September",9,U1437="October",10,U1437="November",11,U1437="December",12)</f>
        <v>#N/A</v>
      </c>
    </row>
    <row r="1438" spans="1:23" ht="15.75" customHeight="1" x14ac:dyDescent="0.25">
      <c r="A1438" s="2" t="s">
        <v>260</v>
      </c>
      <c r="B1438" s="3">
        <v>45565.901932870373</v>
      </c>
      <c r="C1438" s="2" t="s">
        <v>261</v>
      </c>
      <c r="D1438" s="2" t="s">
        <v>262</v>
      </c>
      <c r="E1438" s="2" t="s">
        <v>93</v>
      </c>
      <c r="F1438" s="2" t="str" cm="1">
        <f t="array" ref="F1438:G1438">_xlfn.TEXTSPLIT(E1438," - ")</f>
        <v>Telur Ayam</v>
      </c>
      <c r="G1438" s="2" t="str">
        <v>Brand B</v>
      </c>
      <c r="H1438" s="5">
        <v>25000</v>
      </c>
      <c r="I1438" s="2">
        <v>5</v>
      </c>
      <c r="J1438" s="2">
        <v>5</v>
      </c>
      <c r="K1438" s="8">
        <f t="shared" si="132"/>
        <v>125000</v>
      </c>
      <c r="L1438" s="8">
        <f t="shared" si="133"/>
        <v>6250</v>
      </c>
      <c r="M1438" s="8">
        <f t="shared" si="134"/>
        <v>118750</v>
      </c>
      <c r="N1438" s="5">
        <v>18000</v>
      </c>
      <c r="O1438" s="8">
        <f t="shared" si="135"/>
        <v>136750</v>
      </c>
      <c r="P1438" s="2" t="s">
        <v>35</v>
      </c>
      <c r="Q1438" s="10" t="str">
        <f>VLOOKUP(A1438,Status!A:B,2,0)</f>
        <v>Completed</v>
      </c>
      <c r="R1438" s="2" t="s">
        <v>30</v>
      </c>
      <c r="S1438" s="2">
        <v>3</v>
      </c>
      <c r="T1438" s="2" t="s">
        <v>24</v>
      </c>
      <c r="U1438" s="10" t="str">
        <f t="shared" si="137"/>
        <v>Sep</v>
      </c>
      <c r="V1438" s="10">
        <f t="shared" si="136"/>
        <v>2024</v>
      </c>
      <c r="W1438" t="e" cm="1">
        <f t="array" ref="W1438">_xlfn.IFS(U1438="January",1,U1438="February",2,U1438="March",3,U1438="April",4,U1438="May",5,U1438="June",6,U1438="July",7,U1438="August",8,U1438="September",9,U1438="October",10,U1438="November",11,U1438="December",12)</f>
        <v>#N/A</v>
      </c>
    </row>
    <row r="1439" spans="1:23" ht="15.75" customHeight="1" x14ac:dyDescent="0.25">
      <c r="A1439" s="2" t="s">
        <v>263</v>
      </c>
      <c r="B1439" s="3">
        <v>45565.920231481483</v>
      </c>
      <c r="C1439" s="2" t="s">
        <v>181</v>
      </c>
      <c r="D1439" s="2" t="s">
        <v>182</v>
      </c>
      <c r="E1439" s="2" t="s">
        <v>71</v>
      </c>
      <c r="F1439" s="2" t="str" cm="1">
        <f t="array" ref="F1439:G1439">_xlfn.TEXTSPLIT(E1439," - ")</f>
        <v>Bawang Merah</v>
      </c>
      <c r="G1439" s="2" t="str">
        <v>Brand C</v>
      </c>
      <c r="H1439" s="5">
        <v>40000</v>
      </c>
      <c r="I1439" s="2">
        <v>5</v>
      </c>
      <c r="J1439" s="2">
        <v>5</v>
      </c>
      <c r="K1439" s="8">
        <f t="shared" si="132"/>
        <v>200000</v>
      </c>
      <c r="L1439" s="8">
        <f t="shared" si="133"/>
        <v>10000</v>
      </c>
      <c r="M1439" s="8">
        <f t="shared" si="134"/>
        <v>190000</v>
      </c>
      <c r="N1439" s="5">
        <v>48000</v>
      </c>
      <c r="O1439" s="8">
        <f t="shared" si="135"/>
        <v>238000</v>
      </c>
      <c r="P1439" s="2" t="s">
        <v>22</v>
      </c>
      <c r="Q1439" s="10" t="str">
        <f>VLOOKUP(A1439,Status!A:B,2,0)</f>
        <v>Completed</v>
      </c>
      <c r="R1439" s="2" t="s">
        <v>46</v>
      </c>
      <c r="S1439" s="2">
        <v>4</v>
      </c>
      <c r="T1439" s="2" t="s">
        <v>24</v>
      </c>
      <c r="U1439" s="10" t="str">
        <f t="shared" si="137"/>
        <v>Sep</v>
      </c>
      <c r="V1439" s="10">
        <f t="shared" si="136"/>
        <v>2024</v>
      </c>
      <c r="W1439" t="e" cm="1">
        <f t="array" ref="W1439">_xlfn.IFS(U1439="January",1,U1439="February",2,U1439="March",3,U1439="April",4,U1439="May",5,U1439="June",6,U1439="July",7,U1439="August",8,U1439="September",9,U1439="October",10,U1439="November",11,U1439="December",12)</f>
        <v>#N/A</v>
      </c>
    </row>
    <row r="1440" spans="1:23" ht="15.75" customHeight="1" x14ac:dyDescent="0.25">
      <c r="A1440" s="2" t="s">
        <v>2273</v>
      </c>
      <c r="B1440" s="3">
        <v>45901.082326388889</v>
      </c>
      <c r="C1440" s="2" t="s">
        <v>711</v>
      </c>
      <c r="D1440" s="2" t="s">
        <v>177</v>
      </c>
      <c r="E1440" s="2" t="s">
        <v>45</v>
      </c>
      <c r="F1440" s="2" t="str" cm="1">
        <f t="array" ref="F1440:G1440">_xlfn.TEXTSPLIT(E1440," - ")</f>
        <v>Daging Ayam</v>
      </c>
      <c r="G1440" s="2" t="str">
        <v>Brand B</v>
      </c>
      <c r="H1440" s="5">
        <v>40000</v>
      </c>
      <c r="I1440" s="2">
        <v>2</v>
      </c>
      <c r="J1440" s="2">
        <v>15</v>
      </c>
      <c r="K1440" s="8">
        <f t="shared" si="132"/>
        <v>80000</v>
      </c>
      <c r="L1440" s="8">
        <f t="shared" si="133"/>
        <v>12000</v>
      </c>
      <c r="M1440" s="8">
        <f t="shared" si="134"/>
        <v>68000</v>
      </c>
      <c r="N1440" s="5">
        <v>56000</v>
      </c>
      <c r="O1440" s="8">
        <f t="shared" si="135"/>
        <v>124000</v>
      </c>
      <c r="P1440" s="2" t="s">
        <v>35</v>
      </c>
      <c r="Q1440" s="10" t="str">
        <f>VLOOKUP(A1440,Status!A:B,2,0)</f>
        <v>Pending</v>
      </c>
      <c r="R1440" s="2" t="s">
        <v>23</v>
      </c>
      <c r="S1440" s="2">
        <v>5</v>
      </c>
      <c r="T1440" s="2" t="s">
        <v>24</v>
      </c>
      <c r="U1440" s="10" t="str">
        <f t="shared" si="137"/>
        <v>Sep</v>
      </c>
      <c r="V1440" s="10">
        <f t="shared" si="136"/>
        <v>2025</v>
      </c>
      <c r="W1440" t="e" cm="1">
        <f t="array" ref="W1440">_xlfn.IFS(U1440="January",1,U1440="February",2,U1440="March",3,U1440="April",4,U1440="May",5,U1440="June",6,U1440="July",7,U1440="August",8,U1440="September",9,U1440="October",10,U1440="November",11,U1440="December",12)</f>
        <v>#N/A</v>
      </c>
    </row>
    <row r="1441" spans="1:23" ht="15.75" customHeight="1" x14ac:dyDescent="0.25">
      <c r="A1441" s="2" t="s">
        <v>2274</v>
      </c>
      <c r="B1441" s="3">
        <v>45901.183159722219</v>
      </c>
      <c r="C1441" s="2" t="s">
        <v>547</v>
      </c>
      <c r="D1441" s="2" t="s">
        <v>119</v>
      </c>
      <c r="E1441" s="2" t="s">
        <v>58</v>
      </c>
      <c r="F1441" s="2" t="str" cm="1">
        <f t="array" ref="F1441:G1441">_xlfn.TEXTSPLIT(E1441," - ")</f>
        <v>Gula Pasir</v>
      </c>
      <c r="G1441" s="2" t="str">
        <v>Brand A</v>
      </c>
      <c r="H1441" s="5">
        <v>16000</v>
      </c>
      <c r="I1441" s="2">
        <v>3</v>
      </c>
      <c r="J1441" s="2">
        <v>0</v>
      </c>
      <c r="K1441" s="8">
        <f t="shared" si="132"/>
        <v>48000</v>
      </c>
      <c r="L1441" s="8">
        <f t="shared" si="133"/>
        <v>0</v>
      </c>
      <c r="M1441" s="8">
        <f t="shared" si="134"/>
        <v>48000</v>
      </c>
      <c r="N1441" s="5">
        <v>0</v>
      </c>
      <c r="O1441" s="8">
        <f t="shared" si="135"/>
        <v>48000</v>
      </c>
      <c r="P1441" s="2" t="s">
        <v>29</v>
      </c>
      <c r="Q1441" s="10" t="str">
        <f>VLOOKUP(A1441,Status!A:B,2,0)</f>
        <v>Shipped</v>
      </c>
      <c r="R1441" s="2" t="s">
        <v>82</v>
      </c>
      <c r="S1441" s="2">
        <v>3</v>
      </c>
      <c r="T1441" s="2" t="s">
        <v>37</v>
      </c>
      <c r="U1441" s="10" t="str">
        <f t="shared" si="137"/>
        <v>Sep</v>
      </c>
      <c r="V1441" s="10">
        <f t="shared" si="136"/>
        <v>2025</v>
      </c>
      <c r="W1441" t="e" cm="1">
        <f t="array" ref="W1441">_xlfn.IFS(U1441="January",1,U1441="February",2,U1441="March",3,U1441="April",4,U1441="May",5,U1441="June",6,U1441="July",7,U1441="August",8,U1441="September",9,U1441="October",10,U1441="November",11,U1441="December",12)</f>
        <v>#N/A</v>
      </c>
    </row>
    <row r="1442" spans="1:23" ht="15.75" customHeight="1" x14ac:dyDescent="0.25">
      <c r="A1442" s="2" t="s">
        <v>2275</v>
      </c>
      <c r="B1442" s="3">
        <v>45901.198425925933</v>
      </c>
      <c r="C1442" s="2" t="s">
        <v>459</v>
      </c>
      <c r="D1442" s="2" t="s">
        <v>61</v>
      </c>
      <c r="E1442" s="2" t="s">
        <v>93</v>
      </c>
      <c r="F1442" s="2" t="str" cm="1">
        <f t="array" ref="F1442:G1442">_xlfn.TEXTSPLIT(E1442," - ")</f>
        <v>Telur Ayam</v>
      </c>
      <c r="G1442" s="2" t="str">
        <v>Brand B</v>
      </c>
      <c r="H1442" s="5">
        <v>25000</v>
      </c>
      <c r="I1442" s="2">
        <v>2</v>
      </c>
      <c r="J1442" s="2">
        <v>10</v>
      </c>
      <c r="K1442" s="8">
        <f t="shared" si="132"/>
        <v>50000</v>
      </c>
      <c r="L1442" s="8">
        <f t="shared" si="133"/>
        <v>5000</v>
      </c>
      <c r="M1442" s="8">
        <f t="shared" si="134"/>
        <v>45000</v>
      </c>
      <c r="N1442" s="5">
        <v>26000</v>
      </c>
      <c r="O1442" s="8">
        <f t="shared" si="135"/>
        <v>71000</v>
      </c>
      <c r="P1442" s="2" t="s">
        <v>63</v>
      </c>
      <c r="Q1442" s="10" t="str">
        <f>VLOOKUP(A1442,Status!A:B,2,0)</f>
        <v>Returned</v>
      </c>
      <c r="R1442" s="2" t="s">
        <v>46</v>
      </c>
      <c r="S1442" s="2">
        <v>4</v>
      </c>
      <c r="T1442" s="2" t="s">
        <v>24</v>
      </c>
      <c r="U1442" s="10" t="str">
        <f t="shared" si="137"/>
        <v>Sep</v>
      </c>
      <c r="V1442" s="10">
        <f t="shared" si="136"/>
        <v>2025</v>
      </c>
      <c r="W1442" t="e" cm="1">
        <f t="array" ref="W1442">_xlfn.IFS(U1442="January",1,U1442="February",2,U1442="March",3,U1442="April",4,U1442="May",5,U1442="June",6,U1442="July",7,U1442="August",8,U1442="September",9,U1442="October",10,U1442="November",11,U1442="December",12)</f>
        <v>#N/A</v>
      </c>
    </row>
    <row r="1443" spans="1:23" ht="15.75" customHeight="1" x14ac:dyDescent="0.25">
      <c r="A1443" s="2" t="s">
        <v>2276</v>
      </c>
      <c r="B1443" s="3">
        <v>45901.202060185176</v>
      </c>
      <c r="C1443" s="2" t="s">
        <v>159</v>
      </c>
      <c r="D1443" s="2" t="s">
        <v>160</v>
      </c>
      <c r="E1443" s="2" t="s">
        <v>67</v>
      </c>
      <c r="F1443" s="2" t="str" cm="1">
        <f t="array" ref="F1443:G1443">_xlfn.TEXTSPLIT(E1443," - ")</f>
        <v>Beras</v>
      </c>
      <c r="G1443" s="2" t="str">
        <v>Brand B</v>
      </c>
      <c r="H1443" s="5">
        <v>15000</v>
      </c>
      <c r="I1443" s="2">
        <v>3</v>
      </c>
      <c r="J1443" s="2">
        <v>15</v>
      </c>
      <c r="K1443" s="8">
        <f t="shared" si="132"/>
        <v>45000</v>
      </c>
      <c r="L1443" s="8">
        <f t="shared" si="133"/>
        <v>6750</v>
      </c>
      <c r="M1443" s="8">
        <f t="shared" si="134"/>
        <v>38250</v>
      </c>
      <c r="N1443" s="5">
        <v>68000</v>
      </c>
      <c r="O1443" s="8">
        <f t="shared" si="135"/>
        <v>106250</v>
      </c>
      <c r="P1443" s="2" t="s">
        <v>29</v>
      </c>
      <c r="Q1443" s="10" t="str">
        <f>VLOOKUP(A1443,Status!A:B,2,0)</f>
        <v>Completed</v>
      </c>
      <c r="R1443" s="2" t="s">
        <v>30</v>
      </c>
      <c r="S1443" s="2">
        <v>2</v>
      </c>
      <c r="T1443" s="2" t="s">
        <v>24</v>
      </c>
      <c r="U1443" s="10" t="str">
        <f t="shared" si="137"/>
        <v>Sep</v>
      </c>
      <c r="V1443" s="10">
        <f t="shared" si="136"/>
        <v>2025</v>
      </c>
      <c r="W1443" t="e" cm="1">
        <f t="array" ref="W1443">_xlfn.IFS(U1443="January",1,U1443="February",2,U1443="March",3,U1443="April",4,U1443="May",5,U1443="June",6,U1443="July",7,U1443="August",8,U1443="September",9,U1443="October",10,U1443="November",11,U1443="December",12)</f>
        <v>#N/A</v>
      </c>
    </row>
    <row r="1444" spans="1:23" ht="15.75" customHeight="1" x14ac:dyDescent="0.25">
      <c r="A1444" s="2" t="s">
        <v>2277</v>
      </c>
      <c r="B1444" s="3">
        <v>45901.210173611107</v>
      </c>
      <c r="C1444" s="2" t="s">
        <v>150</v>
      </c>
      <c r="D1444" s="2" t="s">
        <v>151</v>
      </c>
      <c r="E1444" s="2" t="s">
        <v>62</v>
      </c>
      <c r="F1444" s="2" t="str" cm="1">
        <f t="array" ref="F1444:G1444">_xlfn.TEXTSPLIT(E1444," - ")</f>
        <v>Susu Bubuk</v>
      </c>
      <c r="G1444" s="2" t="str">
        <v>Brand B</v>
      </c>
      <c r="H1444" s="5">
        <v>50000</v>
      </c>
      <c r="I1444" s="2">
        <v>1</v>
      </c>
      <c r="J1444" s="2">
        <v>20</v>
      </c>
      <c r="K1444" s="8">
        <f t="shared" si="132"/>
        <v>50000</v>
      </c>
      <c r="L1444" s="8">
        <f t="shared" si="133"/>
        <v>10000</v>
      </c>
      <c r="M1444" s="8">
        <f t="shared" si="134"/>
        <v>40000</v>
      </c>
      <c r="N1444" s="5">
        <v>55000</v>
      </c>
      <c r="O1444" s="8">
        <f t="shared" si="135"/>
        <v>95000</v>
      </c>
      <c r="P1444" s="2" t="s">
        <v>35</v>
      </c>
      <c r="Q1444" s="10" t="str">
        <f>VLOOKUP(A1444,Status!A:B,2,0)</f>
        <v>Pending</v>
      </c>
      <c r="R1444" s="2" t="s">
        <v>82</v>
      </c>
      <c r="S1444" s="2">
        <v>1</v>
      </c>
      <c r="T1444" s="2" t="s">
        <v>37</v>
      </c>
      <c r="U1444" s="10" t="str">
        <f t="shared" si="137"/>
        <v>Sep</v>
      </c>
      <c r="V1444" s="10">
        <f t="shared" si="136"/>
        <v>2025</v>
      </c>
      <c r="W1444" t="e" cm="1">
        <f t="array" ref="W1444">_xlfn.IFS(U1444="January",1,U1444="February",2,U1444="March",3,U1444="April",4,U1444="May",5,U1444="June",6,U1444="July",7,U1444="August",8,U1444="September",9,U1444="October",10,U1444="November",11,U1444="December",12)</f>
        <v>#N/A</v>
      </c>
    </row>
    <row r="1445" spans="1:23" ht="15.75" customHeight="1" x14ac:dyDescent="0.25">
      <c r="A1445" s="2" t="s">
        <v>2278</v>
      </c>
      <c r="B1445" s="3">
        <v>45901.214085648149</v>
      </c>
      <c r="C1445" s="2" t="s">
        <v>1146</v>
      </c>
      <c r="D1445" s="2" t="s">
        <v>116</v>
      </c>
      <c r="E1445" s="2" t="s">
        <v>58</v>
      </c>
      <c r="F1445" s="2" t="str" cm="1">
        <f t="array" ref="F1445:G1445">_xlfn.TEXTSPLIT(E1445," - ")</f>
        <v>Gula Pasir</v>
      </c>
      <c r="G1445" s="2" t="str">
        <v>Brand A</v>
      </c>
      <c r="H1445" s="5">
        <v>16000</v>
      </c>
      <c r="I1445" s="2">
        <v>1</v>
      </c>
      <c r="J1445" s="2">
        <v>15</v>
      </c>
      <c r="K1445" s="8">
        <f t="shared" si="132"/>
        <v>16000</v>
      </c>
      <c r="L1445" s="8">
        <f t="shared" si="133"/>
        <v>2400</v>
      </c>
      <c r="M1445" s="8">
        <f t="shared" si="134"/>
        <v>13600</v>
      </c>
      <c r="N1445" s="5">
        <v>72000</v>
      </c>
      <c r="O1445" s="8">
        <f t="shared" si="135"/>
        <v>85600</v>
      </c>
      <c r="P1445" s="2" t="s">
        <v>35</v>
      </c>
      <c r="Q1445" s="10" t="str">
        <f>VLOOKUP(A1445,Status!A:B,2,0)</f>
        <v>Cancelled</v>
      </c>
      <c r="R1445" s="2" t="s">
        <v>23</v>
      </c>
      <c r="S1445" s="2">
        <v>4</v>
      </c>
      <c r="T1445" s="2" t="s">
        <v>24</v>
      </c>
      <c r="U1445" s="10" t="str">
        <f t="shared" si="137"/>
        <v>Sep</v>
      </c>
      <c r="V1445" s="10">
        <f t="shared" si="136"/>
        <v>2025</v>
      </c>
      <c r="W1445" t="e" cm="1">
        <f t="array" ref="W1445">_xlfn.IFS(U1445="January",1,U1445="February",2,U1445="March",3,U1445="April",4,U1445="May",5,U1445="June",6,U1445="July",7,U1445="August",8,U1445="September",9,U1445="October",10,U1445="November",11,U1445="December",12)</f>
        <v>#N/A</v>
      </c>
    </row>
    <row r="1446" spans="1:23" ht="15.75" customHeight="1" x14ac:dyDescent="0.25">
      <c r="A1446" s="2" t="s">
        <v>2279</v>
      </c>
      <c r="B1446" s="3">
        <v>45901.378113425933</v>
      </c>
      <c r="C1446" s="2" t="s">
        <v>466</v>
      </c>
      <c r="D1446" s="2" t="s">
        <v>131</v>
      </c>
      <c r="E1446" s="2" t="s">
        <v>138</v>
      </c>
      <c r="F1446" s="2" t="str" cm="1">
        <f t="array" ref="F1446:G1446">_xlfn.TEXTSPLIT(E1446," - ")</f>
        <v>Gula Pasir</v>
      </c>
      <c r="G1446" s="2" t="str">
        <v>Brand B</v>
      </c>
      <c r="H1446" s="5">
        <v>17000</v>
      </c>
      <c r="I1446" s="2">
        <v>4</v>
      </c>
      <c r="J1446" s="2">
        <v>15</v>
      </c>
      <c r="K1446" s="8">
        <f t="shared" si="132"/>
        <v>68000</v>
      </c>
      <c r="L1446" s="8">
        <f t="shared" si="133"/>
        <v>10200</v>
      </c>
      <c r="M1446" s="8">
        <f t="shared" si="134"/>
        <v>57800</v>
      </c>
      <c r="N1446" s="5">
        <v>59000</v>
      </c>
      <c r="O1446" s="8">
        <f t="shared" si="135"/>
        <v>116800</v>
      </c>
      <c r="P1446" s="2" t="s">
        <v>29</v>
      </c>
      <c r="Q1446" s="10" t="str">
        <f>VLOOKUP(A1446,Status!A:B,2,0)</f>
        <v>Pending</v>
      </c>
      <c r="R1446" s="2" t="s">
        <v>82</v>
      </c>
      <c r="S1446" s="2">
        <v>3</v>
      </c>
      <c r="T1446" s="2" t="s">
        <v>24</v>
      </c>
      <c r="U1446" s="10" t="str">
        <f t="shared" si="137"/>
        <v>Sep</v>
      </c>
      <c r="V1446" s="10">
        <f t="shared" si="136"/>
        <v>2025</v>
      </c>
      <c r="W1446" t="e" cm="1">
        <f t="array" ref="W1446">_xlfn.IFS(U1446="January",1,U1446="February",2,U1446="March",3,U1446="April",4,U1446="May",5,U1446="June",6,U1446="July",7,U1446="August",8,U1446="September",9,U1446="October",10,U1446="November",11,U1446="December",12)</f>
        <v>#N/A</v>
      </c>
    </row>
    <row r="1447" spans="1:23" ht="15.75" customHeight="1" x14ac:dyDescent="0.25">
      <c r="A1447" s="2" t="s">
        <v>2280</v>
      </c>
      <c r="B1447" s="3">
        <v>45901.889374999999</v>
      </c>
      <c r="C1447" s="2" t="s">
        <v>582</v>
      </c>
      <c r="D1447" s="2" t="s">
        <v>435</v>
      </c>
      <c r="E1447" s="2" t="s">
        <v>174</v>
      </c>
      <c r="F1447" s="2" t="str" cm="1">
        <f t="array" ref="F1447:G1447">_xlfn.TEXTSPLIT(E1447," - ")</f>
        <v>Tepung Terigu</v>
      </c>
      <c r="G1447" s="2" t="str">
        <v>Brand A</v>
      </c>
      <c r="H1447" s="5">
        <v>10000</v>
      </c>
      <c r="I1447" s="2">
        <v>1</v>
      </c>
      <c r="J1447" s="2">
        <v>15</v>
      </c>
      <c r="K1447" s="8">
        <f t="shared" si="132"/>
        <v>10000</v>
      </c>
      <c r="L1447" s="8">
        <f t="shared" si="133"/>
        <v>1500</v>
      </c>
      <c r="M1447" s="8">
        <f t="shared" si="134"/>
        <v>8500</v>
      </c>
      <c r="N1447" s="5">
        <v>67000</v>
      </c>
      <c r="O1447" s="8">
        <f t="shared" si="135"/>
        <v>75500</v>
      </c>
      <c r="P1447" s="2" t="s">
        <v>29</v>
      </c>
      <c r="Q1447" s="10" t="str">
        <f>VLOOKUP(A1447,Status!A:B,2,0)</f>
        <v>Cancelled</v>
      </c>
      <c r="R1447" s="2" t="s">
        <v>82</v>
      </c>
      <c r="S1447" s="2">
        <v>3</v>
      </c>
      <c r="T1447" s="2" t="s">
        <v>24</v>
      </c>
      <c r="U1447" s="10" t="str">
        <f t="shared" si="137"/>
        <v>Sep</v>
      </c>
      <c r="V1447" s="10">
        <f t="shared" si="136"/>
        <v>2025</v>
      </c>
      <c r="W1447" t="e" cm="1">
        <f t="array" ref="W1447">_xlfn.IFS(U1447="January",1,U1447="February",2,U1447="March",3,U1447="April",4,U1447="May",5,U1447="June",6,U1447="July",7,U1447="August",8,U1447="September",9,U1447="October",10,U1447="November",11,U1447="December",12)</f>
        <v>#N/A</v>
      </c>
    </row>
    <row r="1448" spans="1:23" ht="15.75" customHeight="1" x14ac:dyDescent="0.25">
      <c r="A1448" s="2" t="s">
        <v>2281</v>
      </c>
      <c r="B1448" s="3">
        <v>45901.962511574071</v>
      </c>
      <c r="C1448" s="2" t="s">
        <v>287</v>
      </c>
      <c r="D1448" s="2" t="s">
        <v>262</v>
      </c>
      <c r="E1448" s="2" t="s">
        <v>123</v>
      </c>
      <c r="F1448" s="2" t="str" cm="1">
        <f t="array" ref="F1448:G1448">_xlfn.TEXTSPLIT(E1448," - ")</f>
        <v>Telur Ayam</v>
      </c>
      <c r="G1448" s="2" t="str">
        <v>Brand A</v>
      </c>
      <c r="H1448" s="5">
        <v>22000</v>
      </c>
      <c r="I1448" s="2">
        <v>2</v>
      </c>
      <c r="J1448" s="2">
        <v>20</v>
      </c>
      <c r="K1448" s="8">
        <f t="shared" si="132"/>
        <v>44000</v>
      </c>
      <c r="L1448" s="8">
        <f t="shared" si="133"/>
        <v>8800</v>
      </c>
      <c r="M1448" s="8">
        <f t="shared" si="134"/>
        <v>35200</v>
      </c>
      <c r="N1448" s="5">
        <v>18000</v>
      </c>
      <c r="O1448" s="8">
        <f t="shared" si="135"/>
        <v>53200</v>
      </c>
      <c r="P1448" s="2" t="s">
        <v>35</v>
      </c>
      <c r="Q1448" s="10" t="str">
        <f>VLOOKUP(A1448,Status!A:B,2,0)</f>
        <v>Pending</v>
      </c>
      <c r="R1448" s="2" t="s">
        <v>46</v>
      </c>
      <c r="S1448" s="2">
        <v>5</v>
      </c>
      <c r="T1448" s="2" t="s">
        <v>24</v>
      </c>
      <c r="U1448" s="10" t="str">
        <f t="shared" si="137"/>
        <v>Sep</v>
      </c>
      <c r="V1448" s="10">
        <f t="shared" si="136"/>
        <v>2025</v>
      </c>
      <c r="W1448" t="e" cm="1">
        <f t="array" ref="W1448">_xlfn.IFS(U1448="January",1,U1448="February",2,U1448="March",3,U1448="April",4,U1448="May",5,U1448="June",6,U1448="July",7,U1448="August",8,U1448="September",9,U1448="October",10,U1448="November",11,U1448="December",12)</f>
        <v>#N/A</v>
      </c>
    </row>
    <row r="1449" spans="1:23" ht="15.75" customHeight="1" x14ac:dyDescent="0.25">
      <c r="A1449" s="2" t="s">
        <v>2282</v>
      </c>
      <c r="B1449" s="3">
        <v>45902.057638888888</v>
      </c>
      <c r="C1449" s="2" t="s">
        <v>772</v>
      </c>
      <c r="D1449" s="2" t="s">
        <v>113</v>
      </c>
      <c r="E1449" s="2" t="s">
        <v>110</v>
      </c>
      <c r="F1449" s="2" t="str" cm="1">
        <f t="array" ref="F1449:G1449">_xlfn.TEXTSPLIT(E1449," - ")</f>
        <v>Garam</v>
      </c>
      <c r="G1449" s="2" t="str">
        <v>Brand C</v>
      </c>
      <c r="H1449" s="5">
        <v>6000</v>
      </c>
      <c r="I1449" s="2">
        <v>4</v>
      </c>
      <c r="J1449" s="2">
        <v>20</v>
      </c>
      <c r="K1449" s="8">
        <f t="shared" si="132"/>
        <v>24000</v>
      </c>
      <c r="L1449" s="8">
        <f t="shared" si="133"/>
        <v>4800</v>
      </c>
      <c r="M1449" s="8">
        <f t="shared" si="134"/>
        <v>19200</v>
      </c>
      <c r="N1449" s="5">
        <v>18000</v>
      </c>
      <c r="O1449" s="8">
        <f t="shared" si="135"/>
        <v>37200</v>
      </c>
      <c r="P1449" s="2" t="s">
        <v>29</v>
      </c>
      <c r="Q1449" s="10" t="str">
        <f>VLOOKUP(A1449,Status!A:B,2,0)</f>
        <v>Completed</v>
      </c>
      <c r="R1449" s="2" t="s">
        <v>82</v>
      </c>
      <c r="S1449" s="2">
        <v>4</v>
      </c>
      <c r="T1449" s="2" t="s">
        <v>24</v>
      </c>
      <c r="U1449" s="10" t="str">
        <f t="shared" si="137"/>
        <v>Sep</v>
      </c>
      <c r="V1449" s="10">
        <f t="shared" si="136"/>
        <v>2025</v>
      </c>
      <c r="W1449" t="e" cm="1">
        <f t="array" ref="W1449">_xlfn.IFS(U1449="January",1,U1449="February",2,U1449="March",3,U1449="April",4,U1449="May",5,U1449="June",6,U1449="July",7,U1449="August",8,U1449="September",9,U1449="October",10,U1449="November",11,U1449="December",12)</f>
        <v>#N/A</v>
      </c>
    </row>
    <row r="1450" spans="1:23" ht="15.75" customHeight="1" x14ac:dyDescent="0.25">
      <c r="A1450" s="2" t="s">
        <v>2283</v>
      </c>
      <c r="B1450" s="3">
        <v>45902.448449074072</v>
      </c>
      <c r="C1450" s="2" t="s">
        <v>258</v>
      </c>
      <c r="D1450" s="2" t="s">
        <v>44</v>
      </c>
      <c r="E1450" s="2" t="s">
        <v>45</v>
      </c>
      <c r="F1450" s="2" t="str" cm="1">
        <f t="array" ref="F1450:G1450">_xlfn.TEXTSPLIT(E1450," - ")</f>
        <v>Daging Ayam</v>
      </c>
      <c r="G1450" s="2" t="str">
        <v>Brand B</v>
      </c>
      <c r="H1450" s="5">
        <v>40000</v>
      </c>
      <c r="I1450" s="2">
        <v>3</v>
      </c>
      <c r="J1450" s="2">
        <v>0</v>
      </c>
      <c r="K1450" s="8">
        <f t="shared" si="132"/>
        <v>120000</v>
      </c>
      <c r="L1450" s="8">
        <f t="shared" si="133"/>
        <v>0</v>
      </c>
      <c r="M1450" s="8">
        <f t="shared" si="134"/>
        <v>120000</v>
      </c>
      <c r="N1450" s="5">
        <v>93000</v>
      </c>
      <c r="O1450" s="8">
        <f t="shared" si="135"/>
        <v>213000</v>
      </c>
      <c r="P1450" s="2" t="s">
        <v>63</v>
      </c>
      <c r="Q1450" s="10" t="str">
        <f>VLOOKUP(A1450,Status!A:B,2,0)</f>
        <v>Shipped</v>
      </c>
      <c r="R1450" s="2" t="s">
        <v>30</v>
      </c>
      <c r="S1450" s="2">
        <v>4</v>
      </c>
      <c r="T1450" s="2" t="s">
        <v>24</v>
      </c>
      <c r="U1450" s="10" t="str">
        <f t="shared" si="137"/>
        <v>Sep</v>
      </c>
      <c r="V1450" s="10">
        <f t="shared" si="136"/>
        <v>2025</v>
      </c>
      <c r="W1450" t="e" cm="1">
        <f t="array" ref="W1450">_xlfn.IFS(U1450="January",1,U1450="February",2,U1450="March",3,U1450="April",4,U1450="May",5,U1450="June",6,U1450="July",7,U1450="August",8,U1450="September",9,U1450="October",10,U1450="November",11,U1450="December",12)</f>
        <v>#N/A</v>
      </c>
    </row>
    <row r="1451" spans="1:23" ht="15.75" customHeight="1" x14ac:dyDescent="0.25">
      <c r="A1451" s="2" t="s">
        <v>2284</v>
      </c>
      <c r="B1451" s="3">
        <v>45902.546354166669</v>
      </c>
      <c r="C1451" s="2" t="s">
        <v>1321</v>
      </c>
      <c r="D1451" s="2" t="s">
        <v>113</v>
      </c>
      <c r="E1451" s="2" t="s">
        <v>45</v>
      </c>
      <c r="F1451" s="2" t="str" cm="1">
        <f t="array" ref="F1451:G1451">_xlfn.TEXTSPLIT(E1451," - ")</f>
        <v>Daging Ayam</v>
      </c>
      <c r="G1451" s="2" t="str">
        <v>Brand B</v>
      </c>
      <c r="H1451" s="5">
        <v>40000</v>
      </c>
      <c r="I1451" s="2">
        <v>1</v>
      </c>
      <c r="J1451" s="2">
        <v>5</v>
      </c>
      <c r="K1451" s="8">
        <f t="shared" si="132"/>
        <v>40000</v>
      </c>
      <c r="L1451" s="8">
        <f t="shared" si="133"/>
        <v>2000</v>
      </c>
      <c r="M1451" s="8">
        <f t="shared" si="134"/>
        <v>38000</v>
      </c>
      <c r="N1451" s="5">
        <v>18000</v>
      </c>
      <c r="O1451" s="8">
        <f t="shared" si="135"/>
        <v>56000</v>
      </c>
      <c r="P1451" s="2" t="s">
        <v>63</v>
      </c>
      <c r="Q1451" s="10" t="str">
        <f>VLOOKUP(A1451,Status!A:B,2,0)</f>
        <v>Completed</v>
      </c>
      <c r="R1451" s="2" t="s">
        <v>23</v>
      </c>
      <c r="S1451" s="2">
        <v>1</v>
      </c>
      <c r="T1451" s="2" t="s">
        <v>24</v>
      </c>
      <c r="U1451" s="10" t="str">
        <f t="shared" si="137"/>
        <v>Sep</v>
      </c>
      <c r="V1451" s="10">
        <f t="shared" si="136"/>
        <v>2025</v>
      </c>
      <c r="W1451" t="e" cm="1">
        <f t="array" ref="W1451">_xlfn.IFS(U1451="January",1,U1451="February",2,U1451="March",3,U1451="April",4,U1451="May",5,U1451="June",6,U1451="July",7,U1451="August",8,U1451="September",9,U1451="October",10,U1451="November",11,U1451="December",12)</f>
        <v>#N/A</v>
      </c>
    </row>
    <row r="1452" spans="1:23" ht="15.75" customHeight="1" x14ac:dyDescent="0.25">
      <c r="A1452" s="2" t="s">
        <v>2285</v>
      </c>
      <c r="B1452" s="3">
        <v>45902.616435185177</v>
      </c>
      <c r="C1452" s="2" t="s">
        <v>118</v>
      </c>
      <c r="D1452" s="2" t="s">
        <v>119</v>
      </c>
      <c r="E1452" s="2" t="s">
        <v>123</v>
      </c>
      <c r="F1452" s="2" t="str" cm="1">
        <f t="array" ref="F1452:G1452">_xlfn.TEXTSPLIT(E1452," - ")</f>
        <v>Telur Ayam</v>
      </c>
      <c r="G1452" s="2" t="str">
        <v>Brand A</v>
      </c>
      <c r="H1452" s="5">
        <v>22000</v>
      </c>
      <c r="I1452" s="2">
        <v>3</v>
      </c>
      <c r="J1452" s="2">
        <v>0</v>
      </c>
      <c r="K1452" s="8">
        <f t="shared" si="132"/>
        <v>66000</v>
      </c>
      <c r="L1452" s="8">
        <f t="shared" si="133"/>
        <v>0</v>
      </c>
      <c r="M1452" s="8">
        <f t="shared" si="134"/>
        <v>66000</v>
      </c>
      <c r="N1452" s="5">
        <v>0</v>
      </c>
      <c r="O1452" s="8">
        <f t="shared" si="135"/>
        <v>66000</v>
      </c>
      <c r="P1452" s="2" t="s">
        <v>29</v>
      </c>
      <c r="Q1452" s="10" t="str">
        <f>VLOOKUP(A1452,Status!A:B,2,0)</f>
        <v>Pending</v>
      </c>
      <c r="R1452" s="2" t="s">
        <v>46</v>
      </c>
      <c r="S1452" s="2">
        <v>1</v>
      </c>
      <c r="T1452" s="2" t="s">
        <v>24</v>
      </c>
      <c r="U1452" s="10" t="str">
        <f t="shared" si="137"/>
        <v>Sep</v>
      </c>
      <c r="V1452" s="10">
        <f t="shared" si="136"/>
        <v>2025</v>
      </c>
      <c r="W1452" t="e" cm="1">
        <f t="array" ref="W1452">_xlfn.IFS(U1452="January",1,U1452="February",2,U1452="March",3,U1452="April",4,U1452="May",5,U1452="June",6,U1452="July",7,U1452="August",8,U1452="September",9,U1452="October",10,U1452="November",11,U1452="December",12)</f>
        <v>#N/A</v>
      </c>
    </row>
    <row r="1453" spans="1:23" ht="15.75" customHeight="1" x14ac:dyDescent="0.25">
      <c r="A1453" s="2" t="s">
        <v>2286</v>
      </c>
      <c r="B1453" s="3">
        <v>45902.798379629632</v>
      </c>
      <c r="C1453" s="2" t="s">
        <v>763</v>
      </c>
      <c r="D1453" s="2" t="s">
        <v>74</v>
      </c>
      <c r="E1453" s="2" t="s">
        <v>104</v>
      </c>
      <c r="F1453" s="2" t="str" cm="1">
        <f t="array" ref="F1453:G1453">_xlfn.TEXTSPLIT(E1453," - ")</f>
        <v>Bawang Merah</v>
      </c>
      <c r="G1453" s="2" t="str">
        <v>Brand A</v>
      </c>
      <c r="H1453" s="5">
        <v>30000</v>
      </c>
      <c r="I1453" s="2">
        <v>1</v>
      </c>
      <c r="J1453" s="2">
        <v>20</v>
      </c>
      <c r="K1453" s="8">
        <f t="shared" si="132"/>
        <v>30000</v>
      </c>
      <c r="L1453" s="8">
        <f t="shared" si="133"/>
        <v>6000</v>
      </c>
      <c r="M1453" s="8">
        <f t="shared" si="134"/>
        <v>24000</v>
      </c>
      <c r="N1453" s="5">
        <v>87000</v>
      </c>
      <c r="O1453" s="8">
        <f t="shared" si="135"/>
        <v>111000</v>
      </c>
      <c r="P1453" s="2" t="s">
        <v>29</v>
      </c>
      <c r="Q1453" s="10" t="str">
        <f>VLOOKUP(A1453,Status!A:B,2,0)</f>
        <v>Completed</v>
      </c>
      <c r="R1453" s="2" t="s">
        <v>23</v>
      </c>
      <c r="S1453" s="2">
        <v>3</v>
      </c>
      <c r="T1453" s="2" t="s">
        <v>24</v>
      </c>
      <c r="U1453" s="10" t="str">
        <f t="shared" si="137"/>
        <v>Sep</v>
      </c>
      <c r="V1453" s="10">
        <f t="shared" si="136"/>
        <v>2025</v>
      </c>
      <c r="W1453" t="e" cm="1">
        <f t="array" ref="W1453">_xlfn.IFS(U1453="January",1,U1453="February",2,U1453="March",3,U1453="April",4,U1453="May",5,U1453="June",6,U1453="July",7,U1453="August",8,U1453="September",9,U1453="October",10,U1453="November",11,U1453="December",12)</f>
        <v>#N/A</v>
      </c>
    </row>
    <row r="1454" spans="1:23" ht="15.75" customHeight="1" x14ac:dyDescent="0.25">
      <c r="A1454" s="2" t="s">
        <v>2287</v>
      </c>
      <c r="B1454" s="3">
        <v>45902.852962962963</v>
      </c>
      <c r="C1454" s="2" t="s">
        <v>626</v>
      </c>
      <c r="D1454" s="2" t="s">
        <v>296</v>
      </c>
      <c r="E1454" s="2" t="s">
        <v>85</v>
      </c>
      <c r="F1454" s="2" t="str" cm="1">
        <f t="array" ref="F1454:G1454">_xlfn.TEXTSPLIT(E1454," - ")</f>
        <v>Daging Ayam</v>
      </c>
      <c r="G1454" s="2" t="str">
        <v>Brand A</v>
      </c>
      <c r="H1454" s="5">
        <v>35000</v>
      </c>
      <c r="I1454" s="2">
        <v>4</v>
      </c>
      <c r="J1454" s="2">
        <v>20</v>
      </c>
      <c r="K1454" s="8">
        <f t="shared" si="132"/>
        <v>140000</v>
      </c>
      <c r="L1454" s="8">
        <f t="shared" si="133"/>
        <v>28000</v>
      </c>
      <c r="M1454" s="8">
        <f t="shared" si="134"/>
        <v>112000</v>
      </c>
      <c r="N1454" s="5">
        <v>79000</v>
      </c>
      <c r="O1454" s="8">
        <f t="shared" si="135"/>
        <v>191000</v>
      </c>
      <c r="P1454" s="2" t="s">
        <v>22</v>
      </c>
      <c r="Q1454" s="10" t="str">
        <f>VLOOKUP(A1454,Status!A:B,2,0)</f>
        <v>Pending</v>
      </c>
      <c r="R1454" s="2" t="s">
        <v>23</v>
      </c>
      <c r="S1454" s="2">
        <v>5</v>
      </c>
      <c r="T1454" s="2" t="s">
        <v>24</v>
      </c>
      <c r="U1454" s="10" t="str">
        <f t="shared" si="137"/>
        <v>Sep</v>
      </c>
      <c r="V1454" s="10">
        <f t="shared" si="136"/>
        <v>2025</v>
      </c>
      <c r="W1454" t="e" cm="1">
        <f t="array" ref="W1454">_xlfn.IFS(U1454="January",1,U1454="February",2,U1454="March",3,U1454="April",4,U1454="May",5,U1454="June",6,U1454="July",7,U1454="August",8,U1454="September",9,U1454="October",10,U1454="November",11,U1454="December",12)</f>
        <v>#N/A</v>
      </c>
    </row>
    <row r="1455" spans="1:23" ht="15.75" customHeight="1" x14ac:dyDescent="0.25">
      <c r="A1455" s="2" t="s">
        <v>2288</v>
      </c>
      <c r="B1455" s="3">
        <v>45902.913171296299</v>
      </c>
      <c r="C1455" s="2" t="s">
        <v>404</v>
      </c>
      <c r="D1455" s="2" t="s">
        <v>177</v>
      </c>
      <c r="E1455" s="2" t="s">
        <v>75</v>
      </c>
      <c r="F1455" s="2" t="str" cm="1">
        <f t="array" ref="F1455:G1455">_xlfn.TEXTSPLIT(E1455," - ")</f>
        <v>Susu Bubuk</v>
      </c>
      <c r="G1455" s="2" t="str">
        <v>Brand C</v>
      </c>
      <c r="H1455" s="5">
        <v>55000</v>
      </c>
      <c r="I1455" s="2">
        <v>2</v>
      </c>
      <c r="J1455" s="2">
        <v>0</v>
      </c>
      <c r="K1455" s="8">
        <f t="shared" si="132"/>
        <v>110000</v>
      </c>
      <c r="L1455" s="8">
        <f t="shared" si="133"/>
        <v>0</v>
      </c>
      <c r="M1455" s="8">
        <f t="shared" si="134"/>
        <v>110000</v>
      </c>
      <c r="N1455" s="5">
        <v>56000</v>
      </c>
      <c r="O1455" s="8">
        <f t="shared" si="135"/>
        <v>166000</v>
      </c>
      <c r="P1455" s="2" t="s">
        <v>22</v>
      </c>
      <c r="Q1455" s="10" t="str">
        <f>VLOOKUP(A1455,Status!A:B,2,0)</f>
        <v>Completed</v>
      </c>
      <c r="R1455" s="2" t="s">
        <v>82</v>
      </c>
      <c r="S1455" s="2">
        <v>4</v>
      </c>
      <c r="T1455" s="2" t="s">
        <v>37</v>
      </c>
      <c r="U1455" s="10" t="str">
        <f t="shared" si="137"/>
        <v>Sep</v>
      </c>
      <c r="V1455" s="10">
        <f t="shared" si="136"/>
        <v>2025</v>
      </c>
      <c r="W1455" t="e" cm="1">
        <f t="array" ref="W1455">_xlfn.IFS(U1455="January",1,U1455="February",2,U1455="March",3,U1455="April",4,U1455="May",5,U1455="June",6,U1455="July",7,U1455="August",8,U1455="September",9,U1455="October",10,U1455="November",11,U1455="December",12)</f>
        <v>#N/A</v>
      </c>
    </row>
    <row r="1456" spans="1:23" ht="15.75" customHeight="1" x14ac:dyDescent="0.25">
      <c r="A1456" s="2" t="s">
        <v>2289</v>
      </c>
      <c r="B1456" s="3">
        <v>45902.965671296297</v>
      </c>
      <c r="C1456" s="2" t="s">
        <v>615</v>
      </c>
      <c r="D1456" s="2" t="s">
        <v>92</v>
      </c>
      <c r="E1456" s="2" t="s">
        <v>21</v>
      </c>
      <c r="F1456" s="2" t="str" cm="1">
        <f t="array" ref="F1456:G1456">_xlfn.TEXTSPLIT(E1456," - ")</f>
        <v>Daging Ayam</v>
      </c>
      <c r="G1456" s="2" t="str">
        <v>Brand C</v>
      </c>
      <c r="H1456" s="5">
        <v>45000</v>
      </c>
      <c r="I1456" s="2">
        <v>1</v>
      </c>
      <c r="J1456" s="2">
        <v>5</v>
      </c>
      <c r="K1456" s="8">
        <f t="shared" si="132"/>
        <v>45000</v>
      </c>
      <c r="L1456" s="8">
        <f t="shared" si="133"/>
        <v>2250</v>
      </c>
      <c r="M1456" s="8">
        <f t="shared" si="134"/>
        <v>42750</v>
      </c>
      <c r="N1456" s="5">
        <v>30000</v>
      </c>
      <c r="O1456" s="8">
        <f t="shared" si="135"/>
        <v>72750</v>
      </c>
      <c r="P1456" s="2" t="s">
        <v>29</v>
      </c>
      <c r="Q1456" s="10" t="str">
        <f>VLOOKUP(A1456,Status!A:B,2,0)</f>
        <v>Completed</v>
      </c>
      <c r="R1456" s="2" t="s">
        <v>36</v>
      </c>
      <c r="S1456" s="2">
        <v>4</v>
      </c>
      <c r="T1456" s="2" t="s">
        <v>24</v>
      </c>
      <c r="U1456" s="10" t="str">
        <f t="shared" si="137"/>
        <v>Sep</v>
      </c>
      <c r="V1456" s="10">
        <f t="shared" si="136"/>
        <v>2025</v>
      </c>
      <c r="W1456" t="e" cm="1">
        <f t="array" ref="W1456">_xlfn.IFS(U1456="January",1,U1456="February",2,U1456="March",3,U1456="April",4,U1456="May",5,U1456="June",6,U1456="July",7,U1456="August",8,U1456="September",9,U1456="October",10,U1456="November",11,U1456="December",12)</f>
        <v>#N/A</v>
      </c>
    </row>
    <row r="1457" spans="1:23" ht="15.75" customHeight="1" x14ac:dyDescent="0.25">
      <c r="A1457" s="2" t="s">
        <v>2290</v>
      </c>
      <c r="B1457" s="3">
        <v>45902.976076388892</v>
      </c>
      <c r="C1457" s="2" t="s">
        <v>553</v>
      </c>
      <c r="D1457" s="2" t="s">
        <v>107</v>
      </c>
      <c r="E1457" s="2" t="s">
        <v>21</v>
      </c>
      <c r="F1457" s="2" t="str" cm="1">
        <f t="array" ref="F1457:G1457">_xlfn.TEXTSPLIT(E1457," - ")</f>
        <v>Daging Ayam</v>
      </c>
      <c r="G1457" s="2" t="str">
        <v>Brand C</v>
      </c>
      <c r="H1457" s="5">
        <v>45000</v>
      </c>
      <c r="I1457" s="2">
        <v>5</v>
      </c>
      <c r="J1457" s="2">
        <v>20</v>
      </c>
      <c r="K1457" s="8">
        <f t="shared" si="132"/>
        <v>225000</v>
      </c>
      <c r="L1457" s="8">
        <f t="shared" si="133"/>
        <v>45000</v>
      </c>
      <c r="M1457" s="8">
        <f t="shared" si="134"/>
        <v>180000</v>
      </c>
      <c r="N1457" s="5">
        <v>97000</v>
      </c>
      <c r="O1457" s="8">
        <f t="shared" si="135"/>
        <v>277000</v>
      </c>
      <c r="P1457" s="2" t="s">
        <v>29</v>
      </c>
      <c r="Q1457" s="10" t="str">
        <f>VLOOKUP(A1457,Status!A:B,2,0)</f>
        <v>Cancelled</v>
      </c>
      <c r="R1457" s="2" t="s">
        <v>46</v>
      </c>
      <c r="S1457" s="2">
        <v>1</v>
      </c>
      <c r="T1457" s="2" t="s">
        <v>24</v>
      </c>
      <c r="U1457" s="10" t="str">
        <f t="shared" si="137"/>
        <v>Sep</v>
      </c>
      <c r="V1457" s="10">
        <f t="shared" si="136"/>
        <v>2025</v>
      </c>
      <c r="W1457" t="e" cm="1">
        <f t="array" ref="W1457">_xlfn.IFS(U1457="January",1,U1457="February",2,U1457="March",3,U1457="April",4,U1457="May",5,U1457="June",6,U1457="July",7,U1457="August",8,U1457="September",9,U1457="October",10,U1457="November",11,U1457="December",12)</f>
        <v>#N/A</v>
      </c>
    </row>
    <row r="1458" spans="1:23" ht="15.75" customHeight="1" x14ac:dyDescent="0.25">
      <c r="A1458" s="2" t="s">
        <v>2291</v>
      </c>
      <c r="B1458" s="3">
        <v>45903.04824074074</v>
      </c>
      <c r="C1458" s="2" t="s">
        <v>525</v>
      </c>
      <c r="D1458" s="2" t="s">
        <v>96</v>
      </c>
      <c r="E1458" s="2" t="s">
        <v>144</v>
      </c>
      <c r="F1458" s="2" t="str" cm="1">
        <f t="array" ref="F1458:G1458">_xlfn.TEXTSPLIT(E1458," - ")</f>
        <v>Gula Pasir</v>
      </c>
      <c r="G1458" s="2" t="str">
        <v>Brand C</v>
      </c>
      <c r="H1458" s="5">
        <v>18000</v>
      </c>
      <c r="I1458" s="2">
        <v>2</v>
      </c>
      <c r="J1458" s="2">
        <v>10</v>
      </c>
      <c r="K1458" s="8">
        <f t="shared" si="132"/>
        <v>36000</v>
      </c>
      <c r="L1458" s="8">
        <f t="shared" si="133"/>
        <v>3600</v>
      </c>
      <c r="M1458" s="8">
        <f t="shared" si="134"/>
        <v>32400</v>
      </c>
      <c r="N1458" s="5">
        <v>49000</v>
      </c>
      <c r="O1458" s="8">
        <f t="shared" si="135"/>
        <v>81400</v>
      </c>
      <c r="P1458" s="2" t="s">
        <v>63</v>
      </c>
      <c r="Q1458" s="10" t="str">
        <f>VLOOKUP(A1458,Status!A:B,2,0)</f>
        <v>Completed</v>
      </c>
      <c r="R1458" s="2" t="s">
        <v>23</v>
      </c>
      <c r="S1458" s="2">
        <v>1</v>
      </c>
      <c r="T1458" s="2" t="s">
        <v>24</v>
      </c>
      <c r="U1458" s="10" t="str">
        <f t="shared" si="137"/>
        <v>Sep</v>
      </c>
      <c r="V1458" s="10">
        <f t="shared" si="136"/>
        <v>2025</v>
      </c>
      <c r="W1458" t="e" cm="1">
        <f t="array" ref="W1458">_xlfn.IFS(U1458="January",1,U1458="February",2,U1458="March",3,U1458="April",4,U1458="May",5,U1458="June",6,U1458="July",7,U1458="August",8,U1458="September",9,U1458="October",10,U1458="November",11,U1458="December",12)</f>
        <v>#N/A</v>
      </c>
    </row>
    <row r="1459" spans="1:23" ht="15.75" customHeight="1" x14ac:dyDescent="0.25">
      <c r="A1459" s="2" t="s">
        <v>2292</v>
      </c>
      <c r="B1459" s="3">
        <v>45903.053576388891</v>
      </c>
      <c r="C1459" s="2" t="s">
        <v>802</v>
      </c>
      <c r="D1459" s="2" t="s">
        <v>126</v>
      </c>
      <c r="E1459" s="2" t="s">
        <v>85</v>
      </c>
      <c r="F1459" s="2" t="str" cm="1">
        <f t="array" ref="F1459:G1459">_xlfn.TEXTSPLIT(E1459," - ")</f>
        <v>Daging Ayam</v>
      </c>
      <c r="G1459" s="2" t="str">
        <v>Brand A</v>
      </c>
      <c r="H1459" s="5">
        <v>35000</v>
      </c>
      <c r="I1459" s="2">
        <v>1</v>
      </c>
      <c r="J1459" s="2">
        <v>10</v>
      </c>
      <c r="K1459" s="8">
        <f t="shared" si="132"/>
        <v>35000</v>
      </c>
      <c r="L1459" s="8">
        <f t="shared" si="133"/>
        <v>3500</v>
      </c>
      <c r="M1459" s="8">
        <f t="shared" si="134"/>
        <v>31500</v>
      </c>
      <c r="N1459" s="5">
        <v>84000</v>
      </c>
      <c r="O1459" s="8">
        <f t="shared" si="135"/>
        <v>115500</v>
      </c>
      <c r="P1459" s="2" t="s">
        <v>29</v>
      </c>
      <c r="Q1459" s="10" t="str">
        <f>VLOOKUP(A1459,Status!A:B,2,0)</f>
        <v>Pending</v>
      </c>
      <c r="R1459" s="2" t="s">
        <v>23</v>
      </c>
      <c r="S1459" s="2">
        <v>2</v>
      </c>
      <c r="T1459" s="2" t="s">
        <v>24</v>
      </c>
      <c r="U1459" s="10" t="str">
        <f t="shared" si="137"/>
        <v>Sep</v>
      </c>
      <c r="V1459" s="10">
        <f t="shared" si="136"/>
        <v>2025</v>
      </c>
      <c r="W1459" t="e" cm="1">
        <f t="array" ref="W1459">_xlfn.IFS(U1459="January",1,U1459="February",2,U1459="March",3,U1459="April",4,U1459="May",5,U1459="June",6,U1459="July",7,U1459="August",8,U1459="September",9,U1459="October",10,U1459="November",11,U1459="December",12)</f>
        <v>#N/A</v>
      </c>
    </row>
    <row r="1460" spans="1:23" ht="15.75" customHeight="1" x14ac:dyDescent="0.25">
      <c r="A1460" s="2" t="s">
        <v>2293</v>
      </c>
      <c r="B1460" s="3">
        <v>45903.475706018522</v>
      </c>
      <c r="C1460" s="2" t="s">
        <v>457</v>
      </c>
      <c r="D1460" s="2" t="s">
        <v>80</v>
      </c>
      <c r="E1460" s="2" t="s">
        <v>174</v>
      </c>
      <c r="F1460" s="2" t="str" cm="1">
        <f t="array" ref="F1460:G1460">_xlfn.TEXTSPLIT(E1460," - ")</f>
        <v>Tepung Terigu</v>
      </c>
      <c r="G1460" s="2" t="str">
        <v>Brand A</v>
      </c>
      <c r="H1460" s="5">
        <v>10000</v>
      </c>
      <c r="I1460" s="2">
        <v>2</v>
      </c>
      <c r="J1460" s="2">
        <v>5</v>
      </c>
      <c r="K1460" s="8">
        <f t="shared" si="132"/>
        <v>20000</v>
      </c>
      <c r="L1460" s="8">
        <f t="shared" si="133"/>
        <v>1000</v>
      </c>
      <c r="M1460" s="8">
        <f t="shared" si="134"/>
        <v>19000</v>
      </c>
      <c r="N1460" s="5">
        <v>74000</v>
      </c>
      <c r="O1460" s="8">
        <f t="shared" si="135"/>
        <v>93000</v>
      </c>
      <c r="P1460" s="2" t="s">
        <v>22</v>
      </c>
      <c r="Q1460" s="10" t="str">
        <f>VLOOKUP(A1460,Status!A:B,2,0)</f>
        <v>Completed</v>
      </c>
      <c r="R1460" s="2" t="s">
        <v>23</v>
      </c>
      <c r="S1460" s="2">
        <v>2</v>
      </c>
      <c r="T1460" s="2" t="s">
        <v>24</v>
      </c>
      <c r="U1460" s="10" t="str">
        <f t="shared" si="137"/>
        <v>Sep</v>
      </c>
      <c r="V1460" s="10">
        <f t="shared" si="136"/>
        <v>2025</v>
      </c>
      <c r="W1460" t="e" cm="1">
        <f t="array" ref="W1460">_xlfn.IFS(U1460="January",1,U1460="February",2,U1460="March",3,U1460="April",4,U1460="May",5,U1460="June",6,U1460="July",7,U1460="August",8,U1460="September",9,U1460="October",10,U1460="November",11,U1460="December",12)</f>
        <v>#N/A</v>
      </c>
    </row>
    <row r="1461" spans="1:23" ht="15.75" customHeight="1" x14ac:dyDescent="0.25">
      <c r="A1461" s="2" t="s">
        <v>2294</v>
      </c>
      <c r="B1461" s="3">
        <v>45903.693055555559</v>
      </c>
      <c r="C1461" s="2" t="s">
        <v>1509</v>
      </c>
      <c r="D1461" s="2" t="s">
        <v>122</v>
      </c>
      <c r="E1461" s="2" t="s">
        <v>21</v>
      </c>
      <c r="F1461" s="2" t="str" cm="1">
        <f t="array" ref="F1461:G1461">_xlfn.TEXTSPLIT(E1461," - ")</f>
        <v>Daging Ayam</v>
      </c>
      <c r="G1461" s="2" t="str">
        <v>Brand C</v>
      </c>
      <c r="H1461" s="5">
        <v>45000</v>
      </c>
      <c r="I1461" s="2">
        <v>1</v>
      </c>
      <c r="J1461" s="2">
        <v>10</v>
      </c>
      <c r="K1461" s="8">
        <f t="shared" si="132"/>
        <v>45000</v>
      </c>
      <c r="L1461" s="8">
        <f t="shared" si="133"/>
        <v>4500</v>
      </c>
      <c r="M1461" s="8">
        <f t="shared" si="134"/>
        <v>40500</v>
      </c>
      <c r="N1461" s="5">
        <v>78000</v>
      </c>
      <c r="O1461" s="8">
        <f t="shared" si="135"/>
        <v>118500</v>
      </c>
      <c r="P1461" s="2" t="s">
        <v>63</v>
      </c>
      <c r="Q1461" s="10" t="str">
        <f>VLOOKUP(A1461,Status!A:B,2,0)</f>
        <v>Shipped</v>
      </c>
      <c r="R1461" s="2" t="s">
        <v>36</v>
      </c>
      <c r="S1461" s="2">
        <v>2</v>
      </c>
      <c r="T1461" s="2" t="s">
        <v>24</v>
      </c>
      <c r="U1461" s="10" t="str">
        <f t="shared" si="137"/>
        <v>Sep</v>
      </c>
      <c r="V1461" s="10">
        <f t="shared" si="136"/>
        <v>2025</v>
      </c>
      <c r="W1461" t="e" cm="1">
        <f t="array" ref="W1461">_xlfn.IFS(U1461="January",1,U1461="February",2,U1461="March",3,U1461="April",4,U1461="May",5,U1461="June",6,U1461="July",7,U1461="August",8,U1461="September",9,U1461="October",10,U1461="November",11,U1461="December",12)</f>
        <v>#N/A</v>
      </c>
    </row>
    <row r="1462" spans="1:23" ht="15.75" customHeight="1" x14ac:dyDescent="0.25">
      <c r="A1462" s="2" t="s">
        <v>2295</v>
      </c>
      <c r="B1462" s="3">
        <v>45903.831736111111</v>
      </c>
      <c r="C1462" s="2" t="s">
        <v>140</v>
      </c>
      <c r="D1462" s="2" t="s">
        <v>92</v>
      </c>
      <c r="E1462" s="2" t="s">
        <v>28</v>
      </c>
      <c r="F1462" s="2" t="str" cm="1">
        <f t="array" ref="F1462:G1462">_xlfn.TEXTSPLIT(E1462," - ")</f>
        <v>Garam</v>
      </c>
      <c r="G1462" s="2" t="str">
        <v>Brand B</v>
      </c>
      <c r="H1462" s="5">
        <v>5000</v>
      </c>
      <c r="I1462" s="2">
        <v>5</v>
      </c>
      <c r="J1462" s="2">
        <v>20</v>
      </c>
      <c r="K1462" s="8">
        <f t="shared" si="132"/>
        <v>25000</v>
      </c>
      <c r="L1462" s="8">
        <f t="shared" si="133"/>
        <v>5000</v>
      </c>
      <c r="M1462" s="8">
        <f t="shared" si="134"/>
        <v>20000</v>
      </c>
      <c r="N1462" s="5">
        <v>30000</v>
      </c>
      <c r="O1462" s="8">
        <f t="shared" si="135"/>
        <v>50000</v>
      </c>
      <c r="P1462" s="2" t="s">
        <v>63</v>
      </c>
      <c r="Q1462" s="10" t="str">
        <f>VLOOKUP(A1462,Status!A:B,2,0)</f>
        <v>Completed</v>
      </c>
      <c r="R1462" s="2" t="s">
        <v>82</v>
      </c>
      <c r="S1462" s="2">
        <v>3</v>
      </c>
      <c r="T1462" s="2" t="s">
        <v>24</v>
      </c>
      <c r="U1462" s="10" t="str">
        <f t="shared" si="137"/>
        <v>Sep</v>
      </c>
      <c r="V1462" s="10">
        <f t="shared" si="136"/>
        <v>2025</v>
      </c>
      <c r="W1462" t="e" cm="1">
        <f t="array" ref="W1462">_xlfn.IFS(U1462="January",1,U1462="February",2,U1462="March",3,U1462="April",4,U1462="May",5,U1462="June",6,U1462="July",7,U1462="August",8,U1462="September",9,U1462="October",10,U1462="November",11,U1462="December",12)</f>
        <v>#N/A</v>
      </c>
    </row>
    <row r="1463" spans="1:23" ht="15.75" customHeight="1" x14ac:dyDescent="0.25">
      <c r="A1463" s="2" t="s">
        <v>2296</v>
      </c>
      <c r="B1463" s="3">
        <v>45903.947222222218</v>
      </c>
      <c r="C1463" s="2" t="s">
        <v>56</v>
      </c>
      <c r="D1463" s="2" t="s">
        <v>57</v>
      </c>
      <c r="E1463" s="2" t="s">
        <v>54</v>
      </c>
      <c r="F1463" s="2" t="str" cm="1">
        <f t="array" ref="F1463:G1463">_xlfn.TEXTSPLIT(E1463," - ")</f>
        <v>Beras</v>
      </c>
      <c r="G1463" s="2" t="str">
        <v>Brand C</v>
      </c>
      <c r="H1463" s="5">
        <v>16000</v>
      </c>
      <c r="I1463" s="2">
        <v>1</v>
      </c>
      <c r="J1463" s="2">
        <v>10</v>
      </c>
      <c r="K1463" s="8">
        <f t="shared" si="132"/>
        <v>16000</v>
      </c>
      <c r="L1463" s="8">
        <f t="shared" si="133"/>
        <v>1600</v>
      </c>
      <c r="M1463" s="8">
        <f t="shared" si="134"/>
        <v>14400</v>
      </c>
      <c r="N1463" s="5">
        <v>80000</v>
      </c>
      <c r="O1463" s="8">
        <f t="shared" si="135"/>
        <v>94400</v>
      </c>
      <c r="P1463" s="2" t="s">
        <v>35</v>
      </c>
      <c r="Q1463" s="10" t="str">
        <f>VLOOKUP(A1463,Status!A:B,2,0)</f>
        <v>Shipped</v>
      </c>
      <c r="R1463" s="2" t="s">
        <v>82</v>
      </c>
      <c r="S1463" s="2">
        <v>2</v>
      </c>
      <c r="T1463" s="2" t="s">
        <v>24</v>
      </c>
      <c r="U1463" s="10" t="str">
        <f t="shared" si="137"/>
        <v>Sep</v>
      </c>
      <c r="V1463" s="10">
        <f t="shared" si="136"/>
        <v>2025</v>
      </c>
      <c r="W1463" t="e" cm="1">
        <f t="array" ref="W1463">_xlfn.IFS(U1463="January",1,U1463="February",2,U1463="March",3,U1463="April",4,U1463="May",5,U1463="June",6,U1463="July",7,U1463="August",8,U1463="September",9,U1463="October",10,U1463="November",11,U1463="December",12)</f>
        <v>#N/A</v>
      </c>
    </row>
    <row r="1464" spans="1:23" ht="15.75" customHeight="1" x14ac:dyDescent="0.25">
      <c r="A1464" s="2" t="s">
        <v>2297</v>
      </c>
      <c r="B1464" s="3">
        <v>45904.083923611113</v>
      </c>
      <c r="C1464" s="2" t="s">
        <v>1053</v>
      </c>
      <c r="D1464" s="2" t="s">
        <v>80</v>
      </c>
      <c r="E1464" s="2" t="s">
        <v>186</v>
      </c>
      <c r="F1464" s="2" t="str" cm="1">
        <f t="array" ref="F1464:G1464">_xlfn.TEXTSPLIT(E1464," - ")</f>
        <v>Susu Bubuk</v>
      </c>
      <c r="G1464" s="2" t="str">
        <v>Brand A</v>
      </c>
      <c r="H1464" s="5">
        <v>45000</v>
      </c>
      <c r="I1464" s="2">
        <v>2</v>
      </c>
      <c r="J1464" s="2">
        <v>5</v>
      </c>
      <c r="K1464" s="8">
        <f t="shared" si="132"/>
        <v>90000</v>
      </c>
      <c r="L1464" s="8">
        <f t="shared" si="133"/>
        <v>4500</v>
      </c>
      <c r="M1464" s="8">
        <f t="shared" si="134"/>
        <v>85500</v>
      </c>
      <c r="N1464" s="5">
        <v>74000</v>
      </c>
      <c r="O1464" s="8">
        <f t="shared" si="135"/>
        <v>159500</v>
      </c>
      <c r="P1464" s="2" t="s">
        <v>63</v>
      </c>
      <c r="Q1464" s="10" t="str">
        <f>VLOOKUP(A1464,Status!A:B,2,0)</f>
        <v>Pending</v>
      </c>
      <c r="R1464" s="2" t="s">
        <v>82</v>
      </c>
      <c r="S1464" s="2">
        <v>3</v>
      </c>
      <c r="T1464" s="2" t="s">
        <v>24</v>
      </c>
      <c r="U1464" s="10" t="str">
        <f t="shared" si="137"/>
        <v>Sep</v>
      </c>
      <c r="V1464" s="10">
        <f t="shared" si="136"/>
        <v>2025</v>
      </c>
      <c r="W1464" t="e" cm="1">
        <f t="array" ref="W1464">_xlfn.IFS(U1464="January",1,U1464="February",2,U1464="March",3,U1464="April",4,U1464="May",5,U1464="June",6,U1464="July",7,U1464="August",8,U1464="September",9,U1464="October",10,U1464="November",11,U1464="December",12)</f>
        <v>#N/A</v>
      </c>
    </row>
    <row r="1465" spans="1:23" ht="15.75" customHeight="1" x14ac:dyDescent="0.25">
      <c r="A1465" s="2" t="s">
        <v>2298</v>
      </c>
      <c r="B1465" s="3">
        <v>45904.106585648151</v>
      </c>
      <c r="C1465" s="2" t="s">
        <v>468</v>
      </c>
      <c r="D1465" s="2" t="s">
        <v>163</v>
      </c>
      <c r="E1465" s="2" t="s">
        <v>110</v>
      </c>
      <c r="F1465" s="2" t="str" cm="1">
        <f t="array" ref="F1465:G1465">_xlfn.TEXTSPLIT(E1465," - ")</f>
        <v>Garam</v>
      </c>
      <c r="G1465" s="2" t="str">
        <v>Brand C</v>
      </c>
      <c r="H1465" s="5">
        <v>6000</v>
      </c>
      <c r="I1465" s="2">
        <v>1</v>
      </c>
      <c r="J1465" s="2">
        <v>5</v>
      </c>
      <c r="K1465" s="8">
        <f t="shared" si="132"/>
        <v>6000</v>
      </c>
      <c r="L1465" s="8">
        <f t="shared" si="133"/>
        <v>300</v>
      </c>
      <c r="M1465" s="8">
        <f t="shared" si="134"/>
        <v>5700</v>
      </c>
      <c r="N1465" s="5">
        <v>50000</v>
      </c>
      <c r="O1465" s="8">
        <f t="shared" si="135"/>
        <v>55700</v>
      </c>
      <c r="P1465" s="2" t="s">
        <v>22</v>
      </c>
      <c r="Q1465" s="10" t="str">
        <f>VLOOKUP(A1465,Status!A:B,2,0)</f>
        <v>Completed</v>
      </c>
      <c r="R1465" s="2" t="s">
        <v>36</v>
      </c>
      <c r="S1465" s="2">
        <v>1</v>
      </c>
      <c r="T1465" s="2" t="s">
        <v>24</v>
      </c>
      <c r="U1465" s="10" t="str">
        <f t="shared" si="137"/>
        <v>Sep</v>
      </c>
      <c r="V1465" s="10">
        <f t="shared" si="136"/>
        <v>2025</v>
      </c>
      <c r="W1465" t="e" cm="1">
        <f t="array" ref="W1465">_xlfn.IFS(U1465="January",1,U1465="February",2,U1465="March",3,U1465="April",4,U1465="May",5,U1465="June",6,U1465="July",7,U1465="August",8,U1465="September",9,U1465="October",10,U1465="November",11,U1465="December",12)</f>
        <v>#N/A</v>
      </c>
    </row>
    <row r="1466" spans="1:23" ht="15.75" customHeight="1" x14ac:dyDescent="0.25">
      <c r="A1466" s="2" t="s">
        <v>2299</v>
      </c>
      <c r="B1466" s="3">
        <v>45904.359710648147</v>
      </c>
      <c r="C1466" s="2" t="s">
        <v>1979</v>
      </c>
      <c r="D1466" s="2" t="s">
        <v>103</v>
      </c>
      <c r="E1466" s="2" t="s">
        <v>85</v>
      </c>
      <c r="F1466" s="2" t="str" cm="1">
        <f t="array" ref="F1466:G1466">_xlfn.TEXTSPLIT(E1466," - ")</f>
        <v>Daging Ayam</v>
      </c>
      <c r="G1466" s="2" t="str">
        <v>Brand A</v>
      </c>
      <c r="H1466" s="5">
        <v>35000</v>
      </c>
      <c r="I1466" s="2">
        <v>4</v>
      </c>
      <c r="J1466" s="2">
        <v>5</v>
      </c>
      <c r="K1466" s="8">
        <f t="shared" si="132"/>
        <v>140000</v>
      </c>
      <c r="L1466" s="8">
        <f t="shared" si="133"/>
        <v>7000</v>
      </c>
      <c r="M1466" s="8">
        <f t="shared" si="134"/>
        <v>133000</v>
      </c>
      <c r="N1466" s="5">
        <v>85000</v>
      </c>
      <c r="O1466" s="8">
        <f t="shared" si="135"/>
        <v>218000</v>
      </c>
      <c r="P1466" s="2" t="s">
        <v>63</v>
      </c>
      <c r="Q1466" s="10" t="str">
        <f>VLOOKUP(A1466,Status!A:B,2,0)</f>
        <v>Completed</v>
      </c>
      <c r="R1466" s="2" t="s">
        <v>36</v>
      </c>
      <c r="S1466" s="2">
        <v>1</v>
      </c>
      <c r="T1466" s="2" t="s">
        <v>24</v>
      </c>
      <c r="U1466" s="10" t="str">
        <f t="shared" si="137"/>
        <v>Sep</v>
      </c>
      <c r="V1466" s="10">
        <f t="shared" si="136"/>
        <v>2025</v>
      </c>
      <c r="W1466" t="e" cm="1">
        <f t="array" ref="W1466">_xlfn.IFS(U1466="January",1,U1466="February",2,U1466="March",3,U1466="April",4,U1466="May",5,U1466="June",6,U1466="July",7,U1466="August",8,U1466="September",9,U1466="October",10,U1466="November",11,U1466="December",12)</f>
        <v>#N/A</v>
      </c>
    </row>
    <row r="1467" spans="1:23" ht="15.75" customHeight="1" x14ac:dyDescent="0.25">
      <c r="A1467" s="2" t="s">
        <v>2300</v>
      </c>
      <c r="B1467" s="3">
        <v>45904.632847222223</v>
      </c>
      <c r="C1467" s="2" t="s">
        <v>192</v>
      </c>
      <c r="D1467" s="2" t="s">
        <v>107</v>
      </c>
      <c r="E1467" s="2" t="s">
        <v>93</v>
      </c>
      <c r="F1467" s="2" t="str" cm="1">
        <f t="array" ref="F1467:G1467">_xlfn.TEXTSPLIT(E1467," - ")</f>
        <v>Telur Ayam</v>
      </c>
      <c r="G1467" s="2" t="str">
        <v>Brand B</v>
      </c>
      <c r="H1467" s="5">
        <v>25000</v>
      </c>
      <c r="I1467" s="2">
        <v>1</v>
      </c>
      <c r="J1467" s="2">
        <v>0</v>
      </c>
      <c r="K1467" s="8">
        <f t="shared" si="132"/>
        <v>25000</v>
      </c>
      <c r="L1467" s="8">
        <f t="shared" si="133"/>
        <v>0</v>
      </c>
      <c r="M1467" s="8">
        <f t="shared" si="134"/>
        <v>25000</v>
      </c>
      <c r="N1467" s="5">
        <v>97000</v>
      </c>
      <c r="O1467" s="8">
        <f t="shared" si="135"/>
        <v>122000</v>
      </c>
      <c r="P1467" s="2" t="s">
        <v>22</v>
      </c>
      <c r="Q1467" s="10" t="str">
        <f>VLOOKUP(A1467,Status!A:B,2,0)</f>
        <v>Completed</v>
      </c>
      <c r="R1467" s="2" t="s">
        <v>36</v>
      </c>
      <c r="S1467" s="2">
        <v>1</v>
      </c>
      <c r="T1467" s="2" t="s">
        <v>24</v>
      </c>
      <c r="U1467" s="10" t="str">
        <f t="shared" si="137"/>
        <v>Sep</v>
      </c>
      <c r="V1467" s="10">
        <f t="shared" si="136"/>
        <v>2025</v>
      </c>
      <c r="W1467" t="e" cm="1">
        <f t="array" ref="W1467">_xlfn.IFS(U1467="January",1,U1467="February",2,U1467="March",3,U1467="April",4,U1467="May",5,U1467="June",6,U1467="July",7,U1467="August",8,U1467="September",9,U1467="October",10,U1467="November",11,U1467="December",12)</f>
        <v>#N/A</v>
      </c>
    </row>
    <row r="1468" spans="1:23" ht="15.75" customHeight="1" x14ac:dyDescent="0.25">
      <c r="A1468" s="2" t="s">
        <v>2301</v>
      </c>
      <c r="B1468" s="3">
        <v>45905.050254629627</v>
      </c>
      <c r="C1468" s="2" t="s">
        <v>772</v>
      </c>
      <c r="D1468" s="2" t="s">
        <v>113</v>
      </c>
      <c r="E1468" s="2" t="s">
        <v>67</v>
      </c>
      <c r="F1468" s="2" t="str" cm="1">
        <f t="array" ref="F1468:G1468">_xlfn.TEXTSPLIT(E1468," - ")</f>
        <v>Beras</v>
      </c>
      <c r="G1468" s="2" t="str">
        <v>Brand B</v>
      </c>
      <c r="H1468" s="5">
        <v>15000</v>
      </c>
      <c r="I1468" s="2">
        <v>2</v>
      </c>
      <c r="J1468" s="2">
        <v>15</v>
      </c>
      <c r="K1468" s="8">
        <f t="shared" si="132"/>
        <v>30000</v>
      </c>
      <c r="L1468" s="8">
        <f t="shared" si="133"/>
        <v>4500</v>
      </c>
      <c r="M1468" s="8">
        <f t="shared" si="134"/>
        <v>25500</v>
      </c>
      <c r="N1468" s="5">
        <v>18000</v>
      </c>
      <c r="O1468" s="8">
        <f t="shared" si="135"/>
        <v>43500</v>
      </c>
      <c r="P1468" s="2" t="s">
        <v>22</v>
      </c>
      <c r="Q1468" s="10" t="str">
        <f>VLOOKUP(A1468,Status!A:B,2,0)</f>
        <v>Shipped</v>
      </c>
      <c r="R1468" s="2" t="s">
        <v>30</v>
      </c>
      <c r="S1468" s="2">
        <v>2</v>
      </c>
      <c r="T1468" s="2" t="s">
        <v>24</v>
      </c>
      <c r="U1468" s="10" t="str">
        <f t="shared" si="137"/>
        <v>Sep</v>
      </c>
      <c r="V1468" s="10">
        <f t="shared" si="136"/>
        <v>2025</v>
      </c>
      <c r="W1468" t="e" cm="1">
        <f t="array" ref="W1468">_xlfn.IFS(U1468="January",1,U1468="February",2,U1468="March",3,U1468="April",4,U1468="May",5,U1468="June",6,U1468="July",7,U1468="August",8,U1468="September",9,U1468="October",10,U1468="November",11,U1468="December",12)</f>
        <v>#N/A</v>
      </c>
    </row>
    <row r="1469" spans="1:23" ht="15.75" customHeight="1" x14ac:dyDescent="0.25">
      <c r="A1469" s="2" t="s">
        <v>2302</v>
      </c>
      <c r="B1469" s="3">
        <v>45905.062800925924</v>
      </c>
      <c r="C1469" s="2" t="s">
        <v>412</v>
      </c>
      <c r="D1469" s="2" t="s">
        <v>70</v>
      </c>
      <c r="E1469" s="2" t="s">
        <v>50</v>
      </c>
      <c r="F1469" s="2" t="str" cm="1">
        <f t="array" ref="F1469:G1469">_xlfn.TEXTSPLIT(E1469," - ")</f>
        <v>Tepung Terigu</v>
      </c>
      <c r="G1469" s="2" t="str">
        <v>Brand C</v>
      </c>
      <c r="H1469" s="5">
        <v>14000</v>
      </c>
      <c r="I1469" s="2">
        <v>1</v>
      </c>
      <c r="J1469" s="2">
        <v>15</v>
      </c>
      <c r="K1469" s="8">
        <f t="shared" si="132"/>
        <v>14000</v>
      </c>
      <c r="L1469" s="8">
        <f t="shared" si="133"/>
        <v>2100</v>
      </c>
      <c r="M1469" s="8">
        <f t="shared" si="134"/>
        <v>11900</v>
      </c>
      <c r="N1469" s="5">
        <v>89000</v>
      </c>
      <c r="O1469" s="8">
        <f t="shared" si="135"/>
        <v>100900</v>
      </c>
      <c r="P1469" s="2" t="s">
        <v>22</v>
      </c>
      <c r="Q1469" s="10" t="str">
        <f>VLOOKUP(A1469,Status!A:B,2,0)</f>
        <v>Completed</v>
      </c>
      <c r="R1469" s="2" t="s">
        <v>46</v>
      </c>
      <c r="S1469" s="2">
        <v>4</v>
      </c>
      <c r="T1469" s="2" t="s">
        <v>24</v>
      </c>
      <c r="U1469" s="10" t="str">
        <f t="shared" si="137"/>
        <v>Sep</v>
      </c>
      <c r="V1469" s="10">
        <f t="shared" si="136"/>
        <v>2025</v>
      </c>
      <c r="W1469" t="e" cm="1">
        <f t="array" ref="W1469">_xlfn.IFS(U1469="January",1,U1469="February",2,U1469="March",3,U1469="April",4,U1469="May",5,U1469="June",6,U1469="July",7,U1469="August",8,U1469="September",9,U1469="October",10,U1469="November",11,U1469="December",12)</f>
        <v>#N/A</v>
      </c>
    </row>
    <row r="1470" spans="1:23" ht="15.75" customHeight="1" x14ac:dyDescent="0.25">
      <c r="A1470" s="2" t="s">
        <v>2303</v>
      </c>
      <c r="B1470" s="3">
        <v>45905.075659722221</v>
      </c>
      <c r="C1470" s="2" t="s">
        <v>40</v>
      </c>
      <c r="D1470" s="2" t="s">
        <v>27</v>
      </c>
      <c r="E1470" s="2" t="s">
        <v>250</v>
      </c>
      <c r="F1470" s="2" t="str" cm="1">
        <f t="array" ref="F1470:G1470">_xlfn.TEXTSPLIT(E1470," - ")</f>
        <v>Minyak Goreng</v>
      </c>
      <c r="G1470" s="2" t="str">
        <v>Brand C</v>
      </c>
      <c r="H1470" s="5">
        <v>18000</v>
      </c>
      <c r="I1470" s="2">
        <v>4</v>
      </c>
      <c r="J1470" s="2">
        <v>15</v>
      </c>
      <c r="K1470" s="8">
        <f t="shared" si="132"/>
        <v>72000</v>
      </c>
      <c r="L1470" s="8">
        <f t="shared" si="133"/>
        <v>10800</v>
      </c>
      <c r="M1470" s="8">
        <f t="shared" si="134"/>
        <v>61200</v>
      </c>
      <c r="N1470" s="5">
        <v>17000</v>
      </c>
      <c r="O1470" s="8">
        <f t="shared" si="135"/>
        <v>78200</v>
      </c>
      <c r="P1470" s="2" t="s">
        <v>35</v>
      </c>
      <c r="Q1470" s="10" t="str">
        <f>VLOOKUP(A1470,Status!A:B,2,0)</f>
        <v>Completed</v>
      </c>
      <c r="R1470" s="2" t="s">
        <v>23</v>
      </c>
      <c r="S1470" s="2">
        <v>2</v>
      </c>
      <c r="T1470" s="2" t="s">
        <v>24</v>
      </c>
      <c r="U1470" s="10" t="str">
        <f t="shared" si="137"/>
        <v>Sep</v>
      </c>
      <c r="V1470" s="10">
        <f t="shared" si="136"/>
        <v>2025</v>
      </c>
      <c r="W1470" t="e" cm="1">
        <f t="array" ref="W1470">_xlfn.IFS(U1470="January",1,U1470="February",2,U1470="March",3,U1470="April",4,U1470="May",5,U1470="June",6,U1470="July",7,U1470="August",8,U1470="September",9,U1470="October",10,U1470="November",11,U1470="December",12)</f>
        <v>#N/A</v>
      </c>
    </row>
    <row r="1471" spans="1:23" ht="15.75" customHeight="1" x14ac:dyDescent="0.25">
      <c r="A1471" s="2" t="s">
        <v>2304</v>
      </c>
      <c r="B1471" s="3">
        <v>45905.135451388887</v>
      </c>
      <c r="C1471" s="2" t="s">
        <v>48</v>
      </c>
      <c r="D1471" s="2" t="s">
        <v>49</v>
      </c>
      <c r="E1471" s="2" t="s">
        <v>28</v>
      </c>
      <c r="F1471" s="2" t="str" cm="1">
        <f t="array" ref="F1471:G1471">_xlfn.TEXTSPLIT(E1471," - ")</f>
        <v>Garam</v>
      </c>
      <c r="G1471" s="2" t="str">
        <v>Brand B</v>
      </c>
      <c r="H1471" s="5">
        <v>5000</v>
      </c>
      <c r="I1471" s="2">
        <v>3</v>
      </c>
      <c r="J1471" s="2">
        <v>10</v>
      </c>
      <c r="K1471" s="8">
        <f t="shared" si="132"/>
        <v>15000</v>
      </c>
      <c r="L1471" s="8">
        <f t="shared" si="133"/>
        <v>1500</v>
      </c>
      <c r="M1471" s="8">
        <f t="shared" si="134"/>
        <v>13500</v>
      </c>
      <c r="N1471" s="5">
        <v>43000</v>
      </c>
      <c r="O1471" s="8">
        <f t="shared" si="135"/>
        <v>56500</v>
      </c>
      <c r="P1471" s="2" t="s">
        <v>63</v>
      </c>
      <c r="Q1471" s="10" t="str">
        <f>VLOOKUP(A1471,Status!A:B,2,0)</f>
        <v>Completed</v>
      </c>
      <c r="R1471" s="2" t="s">
        <v>36</v>
      </c>
      <c r="S1471" s="2">
        <v>1</v>
      </c>
      <c r="T1471" s="2" t="s">
        <v>24</v>
      </c>
      <c r="U1471" s="10" t="str">
        <f t="shared" si="137"/>
        <v>Sep</v>
      </c>
      <c r="V1471" s="10">
        <f t="shared" si="136"/>
        <v>2025</v>
      </c>
      <c r="W1471" t="e" cm="1">
        <f t="array" ref="W1471">_xlfn.IFS(U1471="January",1,U1471="February",2,U1471="March",3,U1471="April",4,U1471="May",5,U1471="June",6,U1471="July",7,U1471="August",8,U1471="September",9,U1471="October",10,U1471="November",11,U1471="December",12)</f>
        <v>#N/A</v>
      </c>
    </row>
    <row r="1472" spans="1:23" ht="15.75" customHeight="1" x14ac:dyDescent="0.25">
      <c r="A1472" s="2" t="s">
        <v>2305</v>
      </c>
      <c r="B1472" s="3">
        <v>45905.21371527778</v>
      </c>
      <c r="C1472" s="2" t="s">
        <v>155</v>
      </c>
      <c r="D1472" s="2" t="s">
        <v>92</v>
      </c>
      <c r="E1472" s="2" t="s">
        <v>85</v>
      </c>
      <c r="F1472" s="2" t="str" cm="1">
        <f t="array" ref="F1472:G1472">_xlfn.TEXTSPLIT(E1472," - ")</f>
        <v>Daging Ayam</v>
      </c>
      <c r="G1472" s="2" t="str">
        <v>Brand A</v>
      </c>
      <c r="H1472" s="5">
        <v>35000</v>
      </c>
      <c r="I1472" s="2">
        <v>1</v>
      </c>
      <c r="J1472" s="2">
        <v>10</v>
      </c>
      <c r="K1472" s="8">
        <f t="shared" si="132"/>
        <v>35000</v>
      </c>
      <c r="L1472" s="8">
        <f t="shared" si="133"/>
        <v>3500</v>
      </c>
      <c r="M1472" s="8">
        <f t="shared" si="134"/>
        <v>31500</v>
      </c>
      <c r="N1472" s="5">
        <v>30000</v>
      </c>
      <c r="O1472" s="8">
        <f t="shared" si="135"/>
        <v>61500</v>
      </c>
      <c r="P1472" s="2" t="s">
        <v>29</v>
      </c>
      <c r="Q1472" s="10" t="str">
        <f>VLOOKUP(A1472,Status!A:B,2,0)</f>
        <v>Completed</v>
      </c>
      <c r="R1472" s="2" t="s">
        <v>82</v>
      </c>
      <c r="S1472" s="2">
        <v>4</v>
      </c>
      <c r="T1472" s="2" t="s">
        <v>24</v>
      </c>
      <c r="U1472" s="10" t="str">
        <f t="shared" si="137"/>
        <v>Sep</v>
      </c>
      <c r="V1472" s="10">
        <f t="shared" si="136"/>
        <v>2025</v>
      </c>
      <c r="W1472" t="e" cm="1">
        <f t="array" ref="W1472">_xlfn.IFS(U1472="January",1,U1472="February",2,U1472="March",3,U1472="April",4,U1472="May",5,U1472="June",6,U1472="July",7,U1472="August",8,U1472="September",9,U1472="October",10,U1472="November",11,U1472="December",12)</f>
        <v>#N/A</v>
      </c>
    </row>
    <row r="1473" spans="1:23" ht="15.75" customHeight="1" x14ac:dyDescent="0.25">
      <c r="A1473" s="2" t="s">
        <v>2306</v>
      </c>
      <c r="B1473" s="3">
        <v>45905.256689814807</v>
      </c>
      <c r="C1473" s="2" t="s">
        <v>626</v>
      </c>
      <c r="D1473" s="2" t="s">
        <v>296</v>
      </c>
      <c r="E1473" s="2" t="s">
        <v>123</v>
      </c>
      <c r="F1473" s="2" t="str" cm="1">
        <f t="array" ref="F1473:G1473">_xlfn.TEXTSPLIT(E1473," - ")</f>
        <v>Telur Ayam</v>
      </c>
      <c r="G1473" s="2" t="str">
        <v>Brand A</v>
      </c>
      <c r="H1473" s="5">
        <v>22000</v>
      </c>
      <c r="I1473" s="2">
        <v>4</v>
      </c>
      <c r="J1473" s="2">
        <v>15</v>
      </c>
      <c r="K1473" s="8">
        <f t="shared" si="132"/>
        <v>88000</v>
      </c>
      <c r="L1473" s="8">
        <f t="shared" si="133"/>
        <v>13200</v>
      </c>
      <c r="M1473" s="8">
        <f t="shared" si="134"/>
        <v>74800</v>
      </c>
      <c r="N1473" s="5">
        <v>79000</v>
      </c>
      <c r="O1473" s="8">
        <f t="shared" si="135"/>
        <v>153800</v>
      </c>
      <c r="P1473" s="2" t="s">
        <v>22</v>
      </c>
      <c r="Q1473" s="10" t="str">
        <f>VLOOKUP(A1473,Status!A:B,2,0)</f>
        <v>Shipped</v>
      </c>
      <c r="R1473" s="2" t="s">
        <v>30</v>
      </c>
      <c r="S1473" s="2">
        <v>4</v>
      </c>
      <c r="T1473" s="2" t="s">
        <v>24</v>
      </c>
      <c r="U1473" s="10" t="str">
        <f t="shared" si="137"/>
        <v>Sep</v>
      </c>
      <c r="V1473" s="10">
        <f t="shared" si="136"/>
        <v>2025</v>
      </c>
      <c r="W1473" t="e" cm="1">
        <f t="array" ref="W1473">_xlfn.IFS(U1473="January",1,U1473="February",2,U1473="March",3,U1473="April",4,U1473="May",5,U1473="June",6,U1473="July",7,U1473="August",8,U1473="September",9,U1473="October",10,U1473="November",11,U1473="December",12)</f>
        <v>#N/A</v>
      </c>
    </row>
    <row r="1474" spans="1:23" ht="15.75" customHeight="1" x14ac:dyDescent="0.25">
      <c r="A1474" s="2" t="s">
        <v>2307</v>
      </c>
      <c r="B1474" s="3">
        <v>45905.417534722219</v>
      </c>
      <c r="C1474" s="2" t="s">
        <v>1199</v>
      </c>
      <c r="D1474" s="2" t="s">
        <v>375</v>
      </c>
      <c r="E1474" s="2" t="s">
        <v>186</v>
      </c>
      <c r="F1474" s="2" t="str" cm="1">
        <f t="array" ref="F1474:G1474">_xlfn.TEXTSPLIT(E1474," - ")</f>
        <v>Susu Bubuk</v>
      </c>
      <c r="G1474" s="2" t="str">
        <v>Brand A</v>
      </c>
      <c r="H1474" s="5">
        <v>45000</v>
      </c>
      <c r="I1474" s="2">
        <v>3</v>
      </c>
      <c r="J1474" s="2">
        <v>15</v>
      </c>
      <c r="K1474" s="8">
        <f t="shared" ref="K1474:K1537" si="138">H1474*I1474</f>
        <v>135000</v>
      </c>
      <c r="L1474" s="8">
        <f t="shared" ref="L1474:L1537" si="139">K1474*J1474%</f>
        <v>20250</v>
      </c>
      <c r="M1474" s="8">
        <f t="shared" ref="M1474:M1537" si="140">K1474-L1474</f>
        <v>114750</v>
      </c>
      <c r="N1474" s="5">
        <v>21000</v>
      </c>
      <c r="O1474" s="8">
        <f t="shared" ref="O1474:O1537" si="141">M1474+N1474</f>
        <v>135750</v>
      </c>
      <c r="P1474" s="2" t="s">
        <v>22</v>
      </c>
      <c r="Q1474" s="10" t="str">
        <f>VLOOKUP(A1474,Status!A:B,2,0)</f>
        <v>Shipped</v>
      </c>
      <c r="R1474" s="2" t="s">
        <v>82</v>
      </c>
      <c r="S1474" s="2">
        <v>4</v>
      </c>
      <c r="T1474" s="2" t="s">
        <v>24</v>
      </c>
      <c r="U1474" s="10" t="str">
        <f t="shared" si="137"/>
        <v>Sep</v>
      </c>
      <c r="V1474" s="10">
        <f t="shared" ref="V1474:V1537" si="142">YEAR(B1474)</f>
        <v>2025</v>
      </c>
      <c r="W1474" t="e" cm="1">
        <f t="array" ref="W1474">_xlfn.IFS(U1474="January",1,U1474="February",2,U1474="March",3,U1474="April",4,U1474="May",5,U1474="June",6,U1474="July",7,U1474="August",8,U1474="September",9,U1474="October",10,U1474="November",11,U1474="December",12)</f>
        <v>#N/A</v>
      </c>
    </row>
    <row r="1475" spans="1:23" ht="15.75" customHeight="1" x14ac:dyDescent="0.25">
      <c r="A1475" s="2" t="s">
        <v>2308</v>
      </c>
      <c r="B1475" s="3">
        <v>45905.498310185183</v>
      </c>
      <c r="C1475" s="2" t="s">
        <v>515</v>
      </c>
      <c r="D1475" s="2" t="s">
        <v>182</v>
      </c>
      <c r="E1475" s="2" t="s">
        <v>93</v>
      </c>
      <c r="F1475" s="2" t="str" cm="1">
        <f t="array" ref="F1475:G1475">_xlfn.TEXTSPLIT(E1475," - ")</f>
        <v>Telur Ayam</v>
      </c>
      <c r="G1475" s="2" t="str">
        <v>Brand B</v>
      </c>
      <c r="H1475" s="5">
        <v>25000</v>
      </c>
      <c r="I1475" s="2">
        <v>2</v>
      </c>
      <c r="J1475" s="2">
        <v>20</v>
      </c>
      <c r="K1475" s="8">
        <f t="shared" si="138"/>
        <v>50000</v>
      </c>
      <c r="L1475" s="8">
        <f t="shared" si="139"/>
        <v>10000</v>
      </c>
      <c r="M1475" s="8">
        <f t="shared" si="140"/>
        <v>40000</v>
      </c>
      <c r="N1475" s="5">
        <v>48000</v>
      </c>
      <c r="O1475" s="8">
        <f t="shared" si="141"/>
        <v>88000</v>
      </c>
      <c r="P1475" s="2" t="s">
        <v>22</v>
      </c>
      <c r="Q1475" s="10" t="str">
        <f>VLOOKUP(A1475,Status!A:B,2,0)</f>
        <v>Shipped</v>
      </c>
      <c r="R1475" s="2" t="s">
        <v>46</v>
      </c>
      <c r="S1475" s="2">
        <v>3</v>
      </c>
      <c r="T1475" s="2" t="s">
        <v>24</v>
      </c>
      <c r="U1475" s="10" t="str">
        <f t="shared" ref="U1475:U1538" si="143">TEXT(B1475,"MMM")</f>
        <v>Sep</v>
      </c>
      <c r="V1475" s="10">
        <f t="shared" si="142"/>
        <v>2025</v>
      </c>
      <c r="W1475" t="e" cm="1">
        <f t="array" ref="W1475">_xlfn.IFS(U1475="January",1,U1475="February",2,U1475="March",3,U1475="April",4,U1475="May",5,U1475="June",6,U1475="July",7,U1475="August",8,U1475="September",9,U1475="October",10,U1475="November",11,U1475="December",12)</f>
        <v>#N/A</v>
      </c>
    </row>
    <row r="1476" spans="1:23" ht="15.75" customHeight="1" x14ac:dyDescent="0.25">
      <c r="A1476" s="2" t="s">
        <v>2308</v>
      </c>
      <c r="B1476" s="3">
        <v>45905.498310185183</v>
      </c>
      <c r="C1476" s="2" t="s">
        <v>515</v>
      </c>
      <c r="D1476" s="2" t="s">
        <v>182</v>
      </c>
      <c r="E1476" s="2" t="s">
        <v>54</v>
      </c>
      <c r="F1476" s="2" t="str" cm="1">
        <f t="array" ref="F1476:G1476">_xlfn.TEXTSPLIT(E1476," - ")</f>
        <v>Beras</v>
      </c>
      <c r="G1476" s="2" t="str">
        <v>Brand C</v>
      </c>
      <c r="H1476" s="5">
        <v>16000</v>
      </c>
      <c r="I1476" s="2">
        <v>1</v>
      </c>
      <c r="J1476" s="2">
        <v>15</v>
      </c>
      <c r="K1476" s="8">
        <f t="shared" si="138"/>
        <v>16000</v>
      </c>
      <c r="L1476" s="8">
        <f t="shared" si="139"/>
        <v>2400</v>
      </c>
      <c r="M1476" s="8">
        <f t="shared" si="140"/>
        <v>13600</v>
      </c>
      <c r="N1476" s="5">
        <v>0</v>
      </c>
      <c r="O1476" s="8">
        <f t="shared" si="141"/>
        <v>13600</v>
      </c>
      <c r="P1476" s="2" t="s">
        <v>22</v>
      </c>
      <c r="Q1476" s="10" t="str">
        <f>VLOOKUP(A1476,Status!A:B,2,0)</f>
        <v>Shipped</v>
      </c>
      <c r="R1476" s="2" t="s">
        <v>46</v>
      </c>
      <c r="S1476" s="2">
        <v>3</v>
      </c>
      <c r="T1476" s="2" t="s">
        <v>24</v>
      </c>
      <c r="U1476" s="10" t="str">
        <f t="shared" si="143"/>
        <v>Sep</v>
      </c>
      <c r="V1476" s="10">
        <f t="shared" si="142"/>
        <v>2025</v>
      </c>
      <c r="W1476" t="e" cm="1">
        <f t="array" ref="W1476">_xlfn.IFS(U1476="January",1,U1476="February",2,U1476="March",3,U1476="April",4,U1476="May",5,U1476="June",6,U1476="July",7,U1476="August",8,U1476="September",9,U1476="October",10,U1476="November",11,U1476="December",12)</f>
        <v>#N/A</v>
      </c>
    </row>
    <row r="1477" spans="1:23" ht="15.75" customHeight="1" x14ac:dyDescent="0.25">
      <c r="A1477" s="2" t="s">
        <v>2309</v>
      </c>
      <c r="B1477" s="3">
        <v>45905.600358796299</v>
      </c>
      <c r="C1477" s="2" t="s">
        <v>2097</v>
      </c>
      <c r="D1477" s="2" t="s">
        <v>53</v>
      </c>
      <c r="E1477" s="2" t="s">
        <v>28</v>
      </c>
      <c r="F1477" s="2" t="str" cm="1">
        <f t="array" ref="F1477:G1477">_xlfn.TEXTSPLIT(E1477," - ")</f>
        <v>Garam</v>
      </c>
      <c r="G1477" s="2" t="str">
        <v>Brand B</v>
      </c>
      <c r="H1477" s="5">
        <v>5000</v>
      </c>
      <c r="I1477" s="2">
        <v>5</v>
      </c>
      <c r="J1477" s="2">
        <v>20</v>
      </c>
      <c r="K1477" s="8">
        <f t="shared" si="138"/>
        <v>25000</v>
      </c>
      <c r="L1477" s="8">
        <f t="shared" si="139"/>
        <v>5000</v>
      </c>
      <c r="M1477" s="8">
        <f t="shared" si="140"/>
        <v>20000</v>
      </c>
      <c r="N1477" s="5">
        <v>18000</v>
      </c>
      <c r="O1477" s="8">
        <f t="shared" si="141"/>
        <v>38000</v>
      </c>
      <c r="P1477" s="2" t="s">
        <v>63</v>
      </c>
      <c r="Q1477" s="10" t="str">
        <f>VLOOKUP(A1477,Status!A:B,2,0)</f>
        <v>Completed</v>
      </c>
      <c r="R1477" s="2" t="s">
        <v>82</v>
      </c>
      <c r="S1477" s="2">
        <v>4</v>
      </c>
      <c r="T1477" s="2" t="s">
        <v>24</v>
      </c>
      <c r="U1477" s="10" t="str">
        <f t="shared" si="143"/>
        <v>Sep</v>
      </c>
      <c r="V1477" s="10">
        <f t="shared" si="142"/>
        <v>2025</v>
      </c>
      <c r="W1477" t="e" cm="1">
        <f t="array" ref="W1477">_xlfn.IFS(U1477="January",1,U1477="February",2,U1477="March",3,U1477="April",4,U1477="May",5,U1477="June",6,U1477="July",7,U1477="August",8,U1477="September",9,U1477="October",10,U1477="November",11,U1477="December",12)</f>
        <v>#N/A</v>
      </c>
    </row>
    <row r="1478" spans="1:23" ht="15.75" customHeight="1" x14ac:dyDescent="0.25">
      <c r="A1478" s="2" t="s">
        <v>2310</v>
      </c>
      <c r="B1478" s="3">
        <v>45905.7890625</v>
      </c>
      <c r="C1478" s="2" t="s">
        <v>314</v>
      </c>
      <c r="D1478" s="2" t="s">
        <v>113</v>
      </c>
      <c r="E1478" s="2" t="s">
        <v>250</v>
      </c>
      <c r="F1478" s="2" t="str" cm="1">
        <f t="array" ref="F1478:G1478">_xlfn.TEXTSPLIT(E1478," - ")</f>
        <v>Minyak Goreng</v>
      </c>
      <c r="G1478" s="2" t="str">
        <v>Brand C</v>
      </c>
      <c r="H1478" s="5">
        <v>18000</v>
      </c>
      <c r="I1478" s="2">
        <v>2</v>
      </c>
      <c r="J1478" s="2">
        <v>15</v>
      </c>
      <c r="K1478" s="8">
        <f t="shared" si="138"/>
        <v>36000</v>
      </c>
      <c r="L1478" s="8">
        <f t="shared" si="139"/>
        <v>5400</v>
      </c>
      <c r="M1478" s="8">
        <f t="shared" si="140"/>
        <v>30600</v>
      </c>
      <c r="N1478" s="5">
        <v>18000</v>
      </c>
      <c r="O1478" s="8">
        <f t="shared" si="141"/>
        <v>48600</v>
      </c>
      <c r="P1478" s="2" t="s">
        <v>29</v>
      </c>
      <c r="Q1478" s="10" t="str">
        <f>VLOOKUP(A1478,Status!A:B,2,0)</f>
        <v>Completed</v>
      </c>
      <c r="R1478" s="2" t="s">
        <v>30</v>
      </c>
      <c r="S1478" s="2">
        <v>1</v>
      </c>
      <c r="T1478" s="2" t="s">
        <v>24</v>
      </c>
      <c r="U1478" s="10" t="str">
        <f t="shared" si="143"/>
        <v>Sep</v>
      </c>
      <c r="V1478" s="10">
        <f t="shared" si="142"/>
        <v>2025</v>
      </c>
      <c r="W1478" t="e" cm="1">
        <f t="array" ref="W1478">_xlfn.IFS(U1478="January",1,U1478="February",2,U1478="March",3,U1478="April",4,U1478="May",5,U1478="June",6,U1478="July",7,U1478="August",8,U1478="September",9,U1478="October",10,U1478="November",11,U1478="December",12)</f>
        <v>#N/A</v>
      </c>
    </row>
    <row r="1479" spans="1:23" ht="15.75" customHeight="1" x14ac:dyDescent="0.25">
      <c r="A1479" s="2" t="s">
        <v>2311</v>
      </c>
      <c r="B1479" s="3">
        <v>45905.909791666672</v>
      </c>
      <c r="C1479" s="2" t="s">
        <v>167</v>
      </c>
      <c r="D1479" s="2" t="s">
        <v>44</v>
      </c>
      <c r="E1479" s="2" t="s">
        <v>174</v>
      </c>
      <c r="F1479" s="2" t="str" cm="1">
        <f t="array" ref="F1479:G1479">_xlfn.TEXTSPLIT(E1479," - ")</f>
        <v>Tepung Terigu</v>
      </c>
      <c r="G1479" s="2" t="str">
        <v>Brand A</v>
      </c>
      <c r="H1479" s="5">
        <v>10000</v>
      </c>
      <c r="I1479" s="2">
        <v>1</v>
      </c>
      <c r="J1479" s="2">
        <v>15</v>
      </c>
      <c r="K1479" s="8">
        <f t="shared" si="138"/>
        <v>10000</v>
      </c>
      <c r="L1479" s="8">
        <f t="shared" si="139"/>
        <v>1500</v>
      </c>
      <c r="M1479" s="8">
        <f t="shared" si="140"/>
        <v>8500</v>
      </c>
      <c r="N1479" s="5">
        <v>93000</v>
      </c>
      <c r="O1479" s="8">
        <f t="shared" si="141"/>
        <v>101500</v>
      </c>
      <c r="P1479" s="2" t="s">
        <v>63</v>
      </c>
      <c r="Q1479" s="10" t="str">
        <f>VLOOKUP(A1479,Status!A:B,2,0)</f>
        <v>Shipped</v>
      </c>
      <c r="R1479" s="2" t="s">
        <v>30</v>
      </c>
      <c r="S1479" s="2">
        <v>3</v>
      </c>
      <c r="T1479" s="2" t="s">
        <v>24</v>
      </c>
      <c r="U1479" s="10" t="str">
        <f t="shared" si="143"/>
        <v>Sep</v>
      </c>
      <c r="V1479" s="10">
        <f t="shared" si="142"/>
        <v>2025</v>
      </c>
      <c r="W1479" t="e" cm="1">
        <f t="array" ref="W1479">_xlfn.IFS(U1479="January",1,U1479="February",2,U1479="March",3,U1479="April",4,U1479="May",5,U1479="June",6,U1479="July",7,U1479="August",8,U1479="September",9,U1479="October",10,U1479="November",11,U1479="December",12)</f>
        <v>#N/A</v>
      </c>
    </row>
    <row r="1480" spans="1:23" ht="15.75" customHeight="1" x14ac:dyDescent="0.25">
      <c r="A1480" s="2" t="s">
        <v>2312</v>
      </c>
      <c r="B1480" s="3">
        <v>45906.208703703713</v>
      </c>
      <c r="C1480" s="2" t="s">
        <v>1887</v>
      </c>
      <c r="D1480" s="2" t="s">
        <v>238</v>
      </c>
      <c r="E1480" s="2" t="s">
        <v>144</v>
      </c>
      <c r="F1480" s="2" t="str" cm="1">
        <f t="array" ref="F1480:G1480">_xlfn.TEXTSPLIT(E1480," - ")</f>
        <v>Gula Pasir</v>
      </c>
      <c r="G1480" s="2" t="str">
        <v>Brand C</v>
      </c>
      <c r="H1480" s="5">
        <v>18000</v>
      </c>
      <c r="I1480" s="2">
        <v>4</v>
      </c>
      <c r="J1480" s="2">
        <v>15</v>
      </c>
      <c r="K1480" s="8">
        <f t="shared" si="138"/>
        <v>72000</v>
      </c>
      <c r="L1480" s="8">
        <f t="shared" si="139"/>
        <v>10800</v>
      </c>
      <c r="M1480" s="8">
        <f t="shared" si="140"/>
        <v>61200</v>
      </c>
      <c r="N1480" s="5">
        <v>28000</v>
      </c>
      <c r="O1480" s="8">
        <f t="shared" si="141"/>
        <v>89200</v>
      </c>
      <c r="P1480" s="2" t="s">
        <v>35</v>
      </c>
      <c r="Q1480" s="10" t="str">
        <f>VLOOKUP(A1480,Status!A:B,2,0)</f>
        <v>Shipped</v>
      </c>
      <c r="R1480" s="2" t="s">
        <v>23</v>
      </c>
      <c r="S1480" s="2">
        <v>3</v>
      </c>
      <c r="T1480" s="2" t="s">
        <v>24</v>
      </c>
      <c r="U1480" s="10" t="str">
        <f t="shared" si="143"/>
        <v>Sep</v>
      </c>
      <c r="V1480" s="10">
        <f t="shared" si="142"/>
        <v>2025</v>
      </c>
      <c r="W1480" t="e" cm="1">
        <f t="array" ref="W1480">_xlfn.IFS(U1480="January",1,U1480="February",2,U1480="March",3,U1480="April",4,U1480="May",5,U1480="June",6,U1480="July",7,U1480="August",8,U1480="September",9,U1480="October",10,U1480="November",11,U1480="December",12)</f>
        <v>#N/A</v>
      </c>
    </row>
    <row r="1481" spans="1:23" ht="15.75" customHeight="1" x14ac:dyDescent="0.25">
      <c r="A1481" s="2" t="s">
        <v>2313</v>
      </c>
      <c r="B1481" s="3">
        <v>45906.4375462963</v>
      </c>
      <c r="C1481" s="2" t="s">
        <v>483</v>
      </c>
      <c r="D1481" s="2" t="s">
        <v>170</v>
      </c>
      <c r="E1481" s="2" t="s">
        <v>144</v>
      </c>
      <c r="F1481" s="2" t="str" cm="1">
        <f t="array" ref="F1481:G1481">_xlfn.TEXTSPLIT(E1481," - ")</f>
        <v>Gula Pasir</v>
      </c>
      <c r="G1481" s="2" t="str">
        <v>Brand C</v>
      </c>
      <c r="H1481" s="5">
        <v>18000</v>
      </c>
      <c r="I1481" s="2">
        <v>5</v>
      </c>
      <c r="J1481" s="2">
        <v>0</v>
      </c>
      <c r="K1481" s="8">
        <f t="shared" si="138"/>
        <v>90000</v>
      </c>
      <c r="L1481" s="8">
        <f t="shared" si="139"/>
        <v>0</v>
      </c>
      <c r="M1481" s="8">
        <f t="shared" si="140"/>
        <v>90000</v>
      </c>
      <c r="N1481" s="5">
        <v>46000</v>
      </c>
      <c r="O1481" s="8">
        <f t="shared" si="141"/>
        <v>136000</v>
      </c>
      <c r="P1481" s="2" t="s">
        <v>29</v>
      </c>
      <c r="Q1481" s="10" t="str">
        <f>VLOOKUP(A1481,Status!A:B,2,0)</f>
        <v>Pending</v>
      </c>
      <c r="R1481" s="2" t="s">
        <v>82</v>
      </c>
      <c r="S1481" s="2">
        <v>1</v>
      </c>
      <c r="T1481" s="2" t="s">
        <v>24</v>
      </c>
      <c r="U1481" s="10" t="str">
        <f t="shared" si="143"/>
        <v>Sep</v>
      </c>
      <c r="V1481" s="10">
        <f t="shared" si="142"/>
        <v>2025</v>
      </c>
      <c r="W1481" t="e" cm="1">
        <f t="array" ref="W1481">_xlfn.IFS(U1481="January",1,U1481="February",2,U1481="March",3,U1481="April",4,U1481="May",5,U1481="June",6,U1481="July",7,U1481="August",8,U1481="September",9,U1481="October",10,U1481="November",11,U1481="December",12)</f>
        <v>#N/A</v>
      </c>
    </row>
    <row r="1482" spans="1:23" ht="15.75" customHeight="1" x14ac:dyDescent="0.25">
      <c r="A1482" s="2" t="s">
        <v>2314</v>
      </c>
      <c r="B1482" s="3">
        <v>45907.025393518517</v>
      </c>
      <c r="C1482" s="2" t="s">
        <v>473</v>
      </c>
      <c r="D1482" s="2" t="s">
        <v>122</v>
      </c>
      <c r="E1482" s="2" t="s">
        <v>58</v>
      </c>
      <c r="F1482" s="2" t="str" cm="1">
        <f t="array" ref="F1482:G1482">_xlfn.TEXTSPLIT(E1482," - ")</f>
        <v>Gula Pasir</v>
      </c>
      <c r="G1482" s="2" t="str">
        <v>Brand A</v>
      </c>
      <c r="H1482" s="5">
        <v>16000</v>
      </c>
      <c r="I1482" s="2">
        <v>4</v>
      </c>
      <c r="J1482" s="2">
        <v>15</v>
      </c>
      <c r="K1482" s="8">
        <f t="shared" si="138"/>
        <v>64000</v>
      </c>
      <c r="L1482" s="8">
        <f t="shared" si="139"/>
        <v>9600</v>
      </c>
      <c r="M1482" s="8">
        <f t="shared" si="140"/>
        <v>54400</v>
      </c>
      <c r="N1482" s="5">
        <v>78000</v>
      </c>
      <c r="O1482" s="8">
        <f t="shared" si="141"/>
        <v>132400</v>
      </c>
      <c r="P1482" s="2" t="s">
        <v>29</v>
      </c>
      <c r="Q1482" s="10" t="str">
        <f>VLOOKUP(A1482,Status!A:B,2,0)</f>
        <v>Completed</v>
      </c>
      <c r="R1482" s="2" t="s">
        <v>36</v>
      </c>
      <c r="S1482" s="2">
        <v>3</v>
      </c>
      <c r="T1482" s="2" t="s">
        <v>24</v>
      </c>
      <c r="U1482" s="10" t="str">
        <f t="shared" si="143"/>
        <v>Sep</v>
      </c>
      <c r="V1482" s="10">
        <f t="shared" si="142"/>
        <v>2025</v>
      </c>
      <c r="W1482" t="e" cm="1">
        <f t="array" ref="W1482">_xlfn.IFS(U1482="January",1,U1482="February",2,U1482="March",3,U1482="April",4,U1482="May",5,U1482="June",6,U1482="July",7,U1482="August",8,U1482="September",9,U1482="October",10,U1482="November",11,U1482="December",12)</f>
        <v>#N/A</v>
      </c>
    </row>
    <row r="1483" spans="1:23" ht="15.75" customHeight="1" x14ac:dyDescent="0.25">
      <c r="A1483" s="2" t="s">
        <v>2315</v>
      </c>
      <c r="B1483" s="3">
        <v>45907.163194444453</v>
      </c>
      <c r="C1483" s="2" t="s">
        <v>1237</v>
      </c>
      <c r="D1483" s="2" t="s">
        <v>92</v>
      </c>
      <c r="E1483" s="2" t="s">
        <v>71</v>
      </c>
      <c r="F1483" s="2" t="str" cm="1">
        <f t="array" ref="F1483:G1483">_xlfn.TEXTSPLIT(E1483," - ")</f>
        <v>Bawang Merah</v>
      </c>
      <c r="G1483" s="2" t="str">
        <v>Brand C</v>
      </c>
      <c r="H1483" s="5">
        <v>40000</v>
      </c>
      <c r="I1483" s="2">
        <v>1</v>
      </c>
      <c r="J1483" s="2">
        <v>5</v>
      </c>
      <c r="K1483" s="8">
        <f t="shared" si="138"/>
        <v>40000</v>
      </c>
      <c r="L1483" s="8">
        <f t="shared" si="139"/>
        <v>2000</v>
      </c>
      <c r="M1483" s="8">
        <f t="shared" si="140"/>
        <v>38000</v>
      </c>
      <c r="N1483" s="5">
        <v>30000</v>
      </c>
      <c r="O1483" s="8">
        <f t="shared" si="141"/>
        <v>68000</v>
      </c>
      <c r="P1483" s="2" t="s">
        <v>29</v>
      </c>
      <c r="Q1483" s="10" t="str">
        <f>VLOOKUP(A1483,Status!A:B,2,0)</f>
        <v>Pending</v>
      </c>
      <c r="R1483" s="2" t="s">
        <v>46</v>
      </c>
      <c r="S1483" s="2">
        <v>5</v>
      </c>
      <c r="T1483" s="2" t="s">
        <v>24</v>
      </c>
      <c r="U1483" s="10" t="str">
        <f t="shared" si="143"/>
        <v>Sep</v>
      </c>
      <c r="V1483" s="10">
        <f t="shared" si="142"/>
        <v>2025</v>
      </c>
      <c r="W1483" t="e" cm="1">
        <f t="array" ref="W1483">_xlfn.IFS(U1483="January",1,U1483="February",2,U1483="March",3,U1483="April",4,U1483="May",5,U1483="June",6,U1483="July",7,U1483="August",8,U1483="September",9,U1483="October",10,U1483="November",11,U1483="December",12)</f>
        <v>#N/A</v>
      </c>
    </row>
    <row r="1484" spans="1:23" ht="15.75" customHeight="1" x14ac:dyDescent="0.25">
      <c r="A1484" s="2" t="s">
        <v>2316</v>
      </c>
      <c r="B1484" s="3">
        <v>45907.29928240741</v>
      </c>
      <c r="C1484" s="2" t="s">
        <v>976</v>
      </c>
      <c r="D1484" s="2" t="s">
        <v>182</v>
      </c>
      <c r="E1484" s="2" t="s">
        <v>21</v>
      </c>
      <c r="F1484" s="2" t="str" cm="1">
        <f t="array" ref="F1484:G1484">_xlfn.TEXTSPLIT(E1484," - ")</f>
        <v>Daging Ayam</v>
      </c>
      <c r="G1484" s="2" t="str">
        <v>Brand C</v>
      </c>
      <c r="H1484" s="5">
        <v>45000</v>
      </c>
      <c r="I1484" s="2">
        <v>3</v>
      </c>
      <c r="J1484" s="2">
        <v>0</v>
      </c>
      <c r="K1484" s="8">
        <f t="shared" si="138"/>
        <v>135000</v>
      </c>
      <c r="L1484" s="8">
        <f t="shared" si="139"/>
        <v>0</v>
      </c>
      <c r="M1484" s="8">
        <f t="shared" si="140"/>
        <v>135000</v>
      </c>
      <c r="N1484" s="5">
        <v>48000</v>
      </c>
      <c r="O1484" s="8">
        <f t="shared" si="141"/>
        <v>183000</v>
      </c>
      <c r="P1484" s="2" t="s">
        <v>63</v>
      </c>
      <c r="Q1484" s="10" t="str">
        <f>VLOOKUP(A1484,Status!A:B,2,0)</f>
        <v>Completed</v>
      </c>
      <c r="R1484" s="2" t="s">
        <v>46</v>
      </c>
      <c r="S1484" s="2">
        <v>1</v>
      </c>
      <c r="T1484" s="2" t="s">
        <v>24</v>
      </c>
      <c r="U1484" s="10" t="str">
        <f t="shared" si="143"/>
        <v>Sep</v>
      </c>
      <c r="V1484" s="10">
        <f t="shared" si="142"/>
        <v>2025</v>
      </c>
      <c r="W1484" t="e" cm="1">
        <f t="array" ref="W1484">_xlfn.IFS(U1484="January",1,U1484="February",2,U1484="March",3,U1484="April",4,U1484="May",5,U1484="June",6,U1484="July",7,U1484="August",8,U1484="September",9,U1484="October",10,U1484="November",11,U1484="December",12)</f>
        <v>#N/A</v>
      </c>
    </row>
    <row r="1485" spans="1:23" ht="15.75" customHeight="1" x14ac:dyDescent="0.25">
      <c r="A1485" s="2" t="s">
        <v>2317</v>
      </c>
      <c r="B1485" s="3">
        <v>45907.406712962962</v>
      </c>
      <c r="C1485" s="2" t="s">
        <v>794</v>
      </c>
      <c r="D1485" s="2" t="s">
        <v>61</v>
      </c>
      <c r="E1485" s="2" t="s">
        <v>138</v>
      </c>
      <c r="F1485" s="2" t="str" cm="1">
        <f t="array" ref="F1485:G1485">_xlfn.TEXTSPLIT(E1485," - ")</f>
        <v>Gula Pasir</v>
      </c>
      <c r="G1485" s="2" t="str">
        <v>Brand B</v>
      </c>
      <c r="H1485" s="5">
        <v>17000</v>
      </c>
      <c r="I1485" s="2">
        <v>3</v>
      </c>
      <c r="J1485" s="2">
        <v>10</v>
      </c>
      <c r="K1485" s="8">
        <f t="shared" si="138"/>
        <v>51000</v>
      </c>
      <c r="L1485" s="8">
        <f t="shared" si="139"/>
        <v>5100</v>
      </c>
      <c r="M1485" s="8">
        <f t="shared" si="140"/>
        <v>45900</v>
      </c>
      <c r="N1485" s="5">
        <v>26000</v>
      </c>
      <c r="O1485" s="8">
        <f t="shared" si="141"/>
        <v>71900</v>
      </c>
      <c r="P1485" s="2" t="s">
        <v>22</v>
      </c>
      <c r="Q1485" s="10" t="str">
        <f>VLOOKUP(A1485,Status!A:B,2,0)</f>
        <v>Shipped</v>
      </c>
      <c r="R1485" s="2" t="s">
        <v>36</v>
      </c>
      <c r="S1485" s="2">
        <v>4</v>
      </c>
      <c r="T1485" s="2" t="s">
        <v>37</v>
      </c>
      <c r="U1485" s="10" t="str">
        <f t="shared" si="143"/>
        <v>Sep</v>
      </c>
      <c r="V1485" s="10">
        <f t="shared" si="142"/>
        <v>2025</v>
      </c>
      <c r="W1485" t="e" cm="1">
        <f t="array" ref="W1485">_xlfn.IFS(U1485="January",1,U1485="February",2,U1485="March",3,U1485="April",4,U1485="May",5,U1485="June",6,U1485="July",7,U1485="August",8,U1485="September",9,U1485="October",10,U1485="November",11,U1485="December",12)</f>
        <v>#N/A</v>
      </c>
    </row>
    <row r="1486" spans="1:23" ht="15.75" customHeight="1" x14ac:dyDescent="0.25">
      <c r="A1486" s="2" t="s">
        <v>2318</v>
      </c>
      <c r="B1486" s="3">
        <v>45907.415150462963</v>
      </c>
      <c r="C1486" s="2" t="s">
        <v>1794</v>
      </c>
      <c r="D1486" s="2" t="s">
        <v>195</v>
      </c>
      <c r="E1486" s="2" t="s">
        <v>21</v>
      </c>
      <c r="F1486" s="2" t="str" cm="1">
        <f t="array" ref="F1486:G1486">_xlfn.TEXTSPLIT(E1486," - ")</f>
        <v>Daging Ayam</v>
      </c>
      <c r="G1486" s="2" t="str">
        <v>Brand C</v>
      </c>
      <c r="H1486" s="5">
        <v>45000</v>
      </c>
      <c r="I1486" s="2">
        <v>3</v>
      </c>
      <c r="J1486" s="2">
        <v>20</v>
      </c>
      <c r="K1486" s="8">
        <f t="shared" si="138"/>
        <v>135000</v>
      </c>
      <c r="L1486" s="8">
        <f t="shared" si="139"/>
        <v>27000</v>
      </c>
      <c r="M1486" s="8">
        <f t="shared" si="140"/>
        <v>108000</v>
      </c>
      <c r="N1486" s="5">
        <v>87000</v>
      </c>
      <c r="O1486" s="8">
        <f t="shared" si="141"/>
        <v>195000</v>
      </c>
      <c r="P1486" s="2" t="s">
        <v>29</v>
      </c>
      <c r="Q1486" s="10" t="str">
        <f>VLOOKUP(A1486,Status!A:B,2,0)</f>
        <v>Pending</v>
      </c>
      <c r="R1486" s="2" t="s">
        <v>30</v>
      </c>
      <c r="S1486" s="2">
        <v>4</v>
      </c>
      <c r="T1486" s="2" t="s">
        <v>37</v>
      </c>
      <c r="U1486" s="10" t="str">
        <f t="shared" si="143"/>
        <v>Sep</v>
      </c>
      <c r="V1486" s="10">
        <f t="shared" si="142"/>
        <v>2025</v>
      </c>
      <c r="W1486" t="e" cm="1">
        <f t="array" ref="W1486">_xlfn.IFS(U1486="January",1,U1486="February",2,U1486="March",3,U1486="April",4,U1486="May",5,U1486="June",6,U1486="July",7,U1486="August",8,U1486="September",9,U1486="October",10,U1486="November",11,U1486="December",12)</f>
        <v>#N/A</v>
      </c>
    </row>
    <row r="1487" spans="1:23" ht="15.75" customHeight="1" x14ac:dyDescent="0.25">
      <c r="A1487" s="2" t="s">
        <v>2319</v>
      </c>
      <c r="B1487" s="3">
        <v>45907.97729166667</v>
      </c>
      <c r="C1487" s="2" t="s">
        <v>495</v>
      </c>
      <c r="D1487" s="2" t="s">
        <v>44</v>
      </c>
      <c r="E1487" s="2" t="s">
        <v>190</v>
      </c>
      <c r="F1487" s="2" t="str" cm="1">
        <f t="array" ref="F1487:G1487">_xlfn.TEXTSPLIT(E1487," - ")</f>
        <v>Bawang Merah</v>
      </c>
      <c r="G1487" s="2" t="str">
        <v>Brand B</v>
      </c>
      <c r="H1487" s="5">
        <v>35000</v>
      </c>
      <c r="I1487" s="2">
        <v>5</v>
      </c>
      <c r="J1487" s="2">
        <v>15</v>
      </c>
      <c r="K1487" s="8">
        <f t="shared" si="138"/>
        <v>175000</v>
      </c>
      <c r="L1487" s="8">
        <f t="shared" si="139"/>
        <v>26250</v>
      </c>
      <c r="M1487" s="8">
        <f t="shared" si="140"/>
        <v>148750</v>
      </c>
      <c r="N1487" s="5">
        <v>93000</v>
      </c>
      <c r="O1487" s="8">
        <f t="shared" si="141"/>
        <v>241750</v>
      </c>
      <c r="P1487" s="2" t="s">
        <v>29</v>
      </c>
      <c r="Q1487" s="10" t="str">
        <f>VLOOKUP(A1487,Status!A:B,2,0)</f>
        <v>Pending</v>
      </c>
      <c r="R1487" s="2" t="s">
        <v>30</v>
      </c>
      <c r="S1487" s="2">
        <v>1</v>
      </c>
      <c r="T1487" s="2" t="s">
        <v>37</v>
      </c>
      <c r="U1487" s="10" t="str">
        <f t="shared" si="143"/>
        <v>Sep</v>
      </c>
      <c r="V1487" s="10">
        <f t="shared" si="142"/>
        <v>2025</v>
      </c>
      <c r="W1487" t="e" cm="1">
        <f t="array" ref="W1487">_xlfn.IFS(U1487="January",1,U1487="February",2,U1487="March",3,U1487="April",4,U1487="May",5,U1487="June",6,U1487="July",7,U1487="August",8,U1487="September",9,U1487="October",10,U1487="November",11,U1487="December",12)</f>
        <v>#N/A</v>
      </c>
    </row>
    <row r="1488" spans="1:23" ht="15.75" customHeight="1" x14ac:dyDescent="0.25">
      <c r="A1488" s="2" t="s">
        <v>2320</v>
      </c>
      <c r="B1488" s="3">
        <v>45908.137361111112</v>
      </c>
      <c r="C1488" s="2" t="s">
        <v>381</v>
      </c>
      <c r="D1488" s="2" t="s">
        <v>103</v>
      </c>
      <c r="E1488" s="2" t="s">
        <v>21</v>
      </c>
      <c r="F1488" s="2" t="str" cm="1">
        <f t="array" ref="F1488:G1488">_xlfn.TEXTSPLIT(E1488," - ")</f>
        <v>Daging Ayam</v>
      </c>
      <c r="G1488" s="2" t="str">
        <v>Brand C</v>
      </c>
      <c r="H1488" s="5">
        <v>45000</v>
      </c>
      <c r="I1488" s="2">
        <v>3</v>
      </c>
      <c r="J1488" s="2">
        <v>5</v>
      </c>
      <c r="K1488" s="8">
        <f t="shared" si="138"/>
        <v>135000</v>
      </c>
      <c r="L1488" s="8">
        <f t="shared" si="139"/>
        <v>6750</v>
      </c>
      <c r="M1488" s="8">
        <f t="shared" si="140"/>
        <v>128250</v>
      </c>
      <c r="N1488" s="5">
        <v>85000</v>
      </c>
      <c r="O1488" s="8">
        <f t="shared" si="141"/>
        <v>213250</v>
      </c>
      <c r="P1488" s="2" t="s">
        <v>29</v>
      </c>
      <c r="Q1488" s="10" t="str">
        <f>VLOOKUP(A1488,Status!A:B,2,0)</f>
        <v>Completed</v>
      </c>
      <c r="R1488" s="2" t="s">
        <v>30</v>
      </c>
      <c r="S1488" s="2">
        <v>1</v>
      </c>
      <c r="T1488" s="2" t="s">
        <v>24</v>
      </c>
      <c r="U1488" s="10" t="str">
        <f t="shared" si="143"/>
        <v>Sep</v>
      </c>
      <c r="V1488" s="10">
        <f t="shared" si="142"/>
        <v>2025</v>
      </c>
      <c r="W1488" t="e" cm="1">
        <f t="array" ref="W1488">_xlfn.IFS(U1488="January",1,U1488="February",2,U1488="March",3,U1488="April",4,U1488="May",5,U1488="June",6,U1488="July",7,U1488="August",8,U1488="September",9,U1488="October",10,U1488="November",11,U1488="December",12)</f>
        <v>#N/A</v>
      </c>
    </row>
    <row r="1489" spans="1:23" ht="15.75" customHeight="1" x14ac:dyDescent="0.25">
      <c r="A1489" s="2" t="s">
        <v>2321</v>
      </c>
      <c r="B1489" s="3">
        <v>45908.174062500002</v>
      </c>
      <c r="C1489" s="2" t="s">
        <v>150</v>
      </c>
      <c r="D1489" s="2" t="s">
        <v>151</v>
      </c>
      <c r="E1489" s="2" t="s">
        <v>75</v>
      </c>
      <c r="F1489" s="2" t="str" cm="1">
        <f t="array" ref="F1489:G1489">_xlfn.TEXTSPLIT(E1489," - ")</f>
        <v>Susu Bubuk</v>
      </c>
      <c r="G1489" s="2" t="str">
        <v>Brand C</v>
      </c>
      <c r="H1489" s="5">
        <v>55000</v>
      </c>
      <c r="I1489" s="2">
        <v>3</v>
      </c>
      <c r="J1489" s="2">
        <v>5</v>
      </c>
      <c r="K1489" s="8">
        <f t="shared" si="138"/>
        <v>165000</v>
      </c>
      <c r="L1489" s="8">
        <f t="shared" si="139"/>
        <v>8250</v>
      </c>
      <c r="M1489" s="8">
        <f t="shared" si="140"/>
        <v>156750</v>
      </c>
      <c r="N1489" s="5">
        <v>55000</v>
      </c>
      <c r="O1489" s="8">
        <f t="shared" si="141"/>
        <v>211750</v>
      </c>
      <c r="P1489" s="2" t="s">
        <v>35</v>
      </c>
      <c r="Q1489" s="10" t="str">
        <f>VLOOKUP(A1489,Status!A:B,2,0)</f>
        <v>Pending</v>
      </c>
      <c r="R1489" s="2" t="s">
        <v>82</v>
      </c>
      <c r="S1489" s="2">
        <v>5</v>
      </c>
      <c r="T1489" s="2" t="s">
        <v>37</v>
      </c>
      <c r="U1489" s="10" t="str">
        <f t="shared" si="143"/>
        <v>Sep</v>
      </c>
      <c r="V1489" s="10">
        <f t="shared" si="142"/>
        <v>2025</v>
      </c>
      <c r="W1489" t="e" cm="1">
        <f t="array" ref="W1489">_xlfn.IFS(U1489="January",1,U1489="February",2,U1489="March",3,U1489="April",4,U1489="May",5,U1489="June",6,U1489="July",7,U1489="August",8,U1489="September",9,U1489="October",10,U1489="November",11,U1489="December",12)</f>
        <v>#N/A</v>
      </c>
    </row>
    <row r="1490" spans="1:23" ht="15.75" customHeight="1" x14ac:dyDescent="0.25">
      <c r="A1490" s="2" t="s">
        <v>2322</v>
      </c>
      <c r="B1490" s="3">
        <v>45908.257928240739</v>
      </c>
      <c r="C1490" s="2" t="s">
        <v>711</v>
      </c>
      <c r="D1490" s="2" t="s">
        <v>177</v>
      </c>
      <c r="E1490" s="2" t="s">
        <v>54</v>
      </c>
      <c r="F1490" s="2" t="str" cm="1">
        <f t="array" ref="F1490:G1490">_xlfn.TEXTSPLIT(E1490," - ")</f>
        <v>Beras</v>
      </c>
      <c r="G1490" s="2" t="str">
        <v>Brand C</v>
      </c>
      <c r="H1490" s="5">
        <v>16000</v>
      </c>
      <c r="I1490" s="2">
        <v>2</v>
      </c>
      <c r="J1490" s="2">
        <v>10</v>
      </c>
      <c r="K1490" s="8">
        <f t="shared" si="138"/>
        <v>32000</v>
      </c>
      <c r="L1490" s="8">
        <f t="shared" si="139"/>
        <v>3200</v>
      </c>
      <c r="M1490" s="8">
        <f t="shared" si="140"/>
        <v>28800</v>
      </c>
      <c r="N1490" s="5">
        <v>56000</v>
      </c>
      <c r="O1490" s="8">
        <f t="shared" si="141"/>
        <v>84800</v>
      </c>
      <c r="P1490" s="2" t="s">
        <v>35</v>
      </c>
      <c r="Q1490" s="10" t="str">
        <f>VLOOKUP(A1490,Status!A:B,2,0)</f>
        <v>Completed</v>
      </c>
      <c r="R1490" s="2" t="s">
        <v>30</v>
      </c>
      <c r="S1490" s="2">
        <v>2</v>
      </c>
      <c r="T1490" s="2" t="s">
        <v>24</v>
      </c>
      <c r="U1490" s="10" t="str">
        <f t="shared" si="143"/>
        <v>Sep</v>
      </c>
      <c r="V1490" s="10">
        <f t="shared" si="142"/>
        <v>2025</v>
      </c>
      <c r="W1490" t="e" cm="1">
        <f t="array" ref="W1490">_xlfn.IFS(U1490="January",1,U1490="February",2,U1490="March",3,U1490="April",4,U1490="May",5,U1490="June",6,U1490="July",7,U1490="August",8,U1490="September",9,U1490="October",10,U1490="November",11,U1490="December",12)</f>
        <v>#N/A</v>
      </c>
    </row>
    <row r="1491" spans="1:23" ht="15.75" customHeight="1" x14ac:dyDescent="0.25">
      <c r="A1491" s="2" t="s">
        <v>2323</v>
      </c>
      <c r="B1491" s="3">
        <v>45908.992615740739</v>
      </c>
      <c r="C1491" s="2" t="s">
        <v>584</v>
      </c>
      <c r="D1491" s="2" t="s">
        <v>92</v>
      </c>
      <c r="E1491" s="2" t="s">
        <v>58</v>
      </c>
      <c r="F1491" s="2" t="str" cm="1">
        <f t="array" ref="F1491:G1491">_xlfn.TEXTSPLIT(E1491," - ")</f>
        <v>Gula Pasir</v>
      </c>
      <c r="G1491" s="2" t="str">
        <v>Brand A</v>
      </c>
      <c r="H1491" s="5">
        <v>16000</v>
      </c>
      <c r="I1491" s="2">
        <v>1</v>
      </c>
      <c r="J1491" s="2">
        <v>0</v>
      </c>
      <c r="K1491" s="8">
        <f t="shared" si="138"/>
        <v>16000</v>
      </c>
      <c r="L1491" s="8">
        <f t="shared" si="139"/>
        <v>0</v>
      </c>
      <c r="M1491" s="8">
        <f t="shared" si="140"/>
        <v>16000</v>
      </c>
      <c r="N1491" s="5">
        <v>30000</v>
      </c>
      <c r="O1491" s="8">
        <f t="shared" si="141"/>
        <v>46000</v>
      </c>
      <c r="P1491" s="2" t="s">
        <v>22</v>
      </c>
      <c r="Q1491" s="10" t="str">
        <f>VLOOKUP(A1491,Status!A:B,2,0)</f>
        <v>Cancelled</v>
      </c>
      <c r="R1491" s="2" t="s">
        <v>82</v>
      </c>
      <c r="S1491" s="2">
        <v>4</v>
      </c>
      <c r="T1491" s="2" t="s">
        <v>24</v>
      </c>
      <c r="U1491" s="10" t="str">
        <f t="shared" si="143"/>
        <v>Sep</v>
      </c>
      <c r="V1491" s="10">
        <f t="shared" si="142"/>
        <v>2025</v>
      </c>
      <c r="W1491" t="e" cm="1">
        <f t="array" ref="W1491">_xlfn.IFS(U1491="January",1,U1491="February",2,U1491="March",3,U1491="April",4,U1491="May",5,U1491="June",6,U1491="July",7,U1491="August",8,U1491="September",9,U1491="October",10,U1491="November",11,U1491="December",12)</f>
        <v>#N/A</v>
      </c>
    </row>
    <row r="1492" spans="1:23" ht="15.75" customHeight="1" x14ac:dyDescent="0.25">
      <c r="A1492" s="2" t="s">
        <v>2324</v>
      </c>
      <c r="B1492" s="3">
        <v>45909.124780092592</v>
      </c>
      <c r="C1492" s="2" t="s">
        <v>1160</v>
      </c>
      <c r="D1492" s="2" t="s">
        <v>96</v>
      </c>
      <c r="E1492" s="2" t="s">
        <v>67</v>
      </c>
      <c r="F1492" s="2" t="str" cm="1">
        <f t="array" ref="F1492:G1492">_xlfn.TEXTSPLIT(E1492," - ")</f>
        <v>Beras</v>
      </c>
      <c r="G1492" s="2" t="str">
        <v>Brand B</v>
      </c>
      <c r="H1492" s="5">
        <v>15000</v>
      </c>
      <c r="I1492" s="2">
        <v>2</v>
      </c>
      <c r="J1492" s="2">
        <v>15</v>
      </c>
      <c r="K1492" s="8">
        <f t="shared" si="138"/>
        <v>30000</v>
      </c>
      <c r="L1492" s="8">
        <f t="shared" si="139"/>
        <v>4500</v>
      </c>
      <c r="M1492" s="8">
        <f t="shared" si="140"/>
        <v>25500</v>
      </c>
      <c r="N1492" s="5">
        <v>49000</v>
      </c>
      <c r="O1492" s="8">
        <f t="shared" si="141"/>
        <v>74500</v>
      </c>
      <c r="P1492" s="2" t="s">
        <v>29</v>
      </c>
      <c r="Q1492" s="10" t="str">
        <f>VLOOKUP(A1492,Status!A:B,2,0)</f>
        <v>Completed</v>
      </c>
      <c r="R1492" s="2" t="s">
        <v>46</v>
      </c>
      <c r="S1492" s="2">
        <v>3</v>
      </c>
      <c r="T1492" s="2" t="s">
        <v>24</v>
      </c>
      <c r="U1492" s="10" t="str">
        <f t="shared" si="143"/>
        <v>Sep</v>
      </c>
      <c r="V1492" s="10">
        <f t="shared" si="142"/>
        <v>2025</v>
      </c>
      <c r="W1492" t="e" cm="1">
        <f t="array" ref="W1492">_xlfn.IFS(U1492="January",1,U1492="February",2,U1492="March",3,U1492="April",4,U1492="May",5,U1492="June",6,U1492="July",7,U1492="August",8,U1492="September",9,U1492="October",10,U1492="November",11,U1492="December",12)</f>
        <v>#N/A</v>
      </c>
    </row>
    <row r="1493" spans="1:23" ht="15.75" customHeight="1" x14ac:dyDescent="0.25">
      <c r="A1493" s="2" t="s">
        <v>2325</v>
      </c>
      <c r="B1493" s="3">
        <v>45909.465266203697</v>
      </c>
      <c r="C1493" s="2" t="s">
        <v>722</v>
      </c>
      <c r="D1493" s="2" t="s">
        <v>57</v>
      </c>
      <c r="E1493" s="2" t="s">
        <v>93</v>
      </c>
      <c r="F1493" s="2" t="str" cm="1">
        <f t="array" ref="F1493:G1493">_xlfn.TEXTSPLIT(E1493," - ")</f>
        <v>Telur Ayam</v>
      </c>
      <c r="G1493" s="2" t="str">
        <v>Brand B</v>
      </c>
      <c r="H1493" s="5">
        <v>25000</v>
      </c>
      <c r="I1493" s="2">
        <v>4</v>
      </c>
      <c r="J1493" s="2">
        <v>5</v>
      </c>
      <c r="K1493" s="8">
        <f t="shared" si="138"/>
        <v>100000</v>
      </c>
      <c r="L1493" s="8">
        <f t="shared" si="139"/>
        <v>5000</v>
      </c>
      <c r="M1493" s="8">
        <f t="shared" si="140"/>
        <v>95000</v>
      </c>
      <c r="N1493" s="5">
        <v>80000</v>
      </c>
      <c r="O1493" s="8">
        <f t="shared" si="141"/>
        <v>175000</v>
      </c>
      <c r="P1493" s="2" t="s">
        <v>29</v>
      </c>
      <c r="Q1493" s="10" t="str">
        <f>VLOOKUP(A1493,Status!A:B,2,0)</f>
        <v>Completed</v>
      </c>
      <c r="R1493" s="2" t="s">
        <v>46</v>
      </c>
      <c r="S1493" s="2">
        <v>5</v>
      </c>
      <c r="T1493" s="2" t="s">
        <v>24</v>
      </c>
      <c r="U1493" s="10" t="str">
        <f t="shared" si="143"/>
        <v>Sep</v>
      </c>
      <c r="V1493" s="10">
        <f t="shared" si="142"/>
        <v>2025</v>
      </c>
      <c r="W1493" t="e" cm="1">
        <f t="array" ref="W1493">_xlfn.IFS(U1493="January",1,U1493="February",2,U1493="March",3,U1493="April",4,U1493="May",5,U1493="June",6,U1493="July",7,U1493="August",8,U1493="September",9,U1493="October",10,U1493="November",11,U1493="December",12)</f>
        <v>#N/A</v>
      </c>
    </row>
    <row r="1494" spans="1:23" ht="15.75" customHeight="1" x14ac:dyDescent="0.25">
      <c r="A1494" s="2" t="s">
        <v>2326</v>
      </c>
      <c r="B1494" s="3">
        <v>45909.471724537027</v>
      </c>
      <c r="C1494" s="2" t="s">
        <v>1128</v>
      </c>
      <c r="D1494" s="2" t="s">
        <v>113</v>
      </c>
      <c r="E1494" s="2" t="s">
        <v>110</v>
      </c>
      <c r="F1494" s="2" t="str" cm="1">
        <f t="array" ref="F1494:G1494">_xlfn.TEXTSPLIT(E1494," - ")</f>
        <v>Garam</v>
      </c>
      <c r="G1494" s="2" t="str">
        <v>Brand C</v>
      </c>
      <c r="H1494" s="5">
        <v>6000</v>
      </c>
      <c r="I1494" s="2">
        <v>4</v>
      </c>
      <c r="J1494" s="2">
        <v>10</v>
      </c>
      <c r="K1494" s="8">
        <f t="shared" si="138"/>
        <v>24000</v>
      </c>
      <c r="L1494" s="8">
        <f t="shared" si="139"/>
        <v>2400</v>
      </c>
      <c r="M1494" s="8">
        <f t="shared" si="140"/>
        <v>21600</v>
      </c>
      <c r="N1494" s="5">
        <v>18000</v>
      </c>
      <c r="O1494" s="8">
        <f t="shared" si="141"/>
        <v>39600</v>
      </c>
      <c r="P1494" s="2" t="s">
        <v>22</v>
      </c>
      <c r="Q1494" s="10" t="str">
        <f>VLOOKUP(A1494,Status!A:B,2,0)</f>
        <v>Completed</v>
      </c>
      <c r="R1494" s="2" t="s">
        <v>46</v>
      </c>
      <c r="S1494" s="2">
        <v>1</v>
      </c>
      <c r="T1494" s="2" t="s">
        <v>24</v>
      </c>
      <c r="U1494" s="10" t="str">
        <f t="shared" si="143"/>
        <v>Sep</v>
      </c>
      <c r="V1494" s="10">
        <f t="shared" si="142"/>
        <v>2025</v>
      </c>
      <c r="W1494" t="e" cm="1">
        <f t="array" ref="W1494">_xlfn.IFS(U1494="January",1,U1494="February",2,U1494="March",3,U1494="April",4,U1494="May",5,U1494="June",6,U1494="July",7,U1494="August",8,U1494="September",9,U1494="October",10,U1494="November",11,U1494="December",12)</f>
        <v>#N/A</v>
      </c>
    </row>
    <row r="1495" spans="1:23" ht="15.75" customHeight="1" x14ac:dyDescent="0.25">
      <c r="A1495" s="2" t="s">
        <v>2327</v>
      </c>
      <c r="B1495" s="3">
        <v>45909.625439814823</v>
      </c>
      <c r="C1495" s="2" t="s">
        <v>299</v>
      </c>
      <c r="D1495" s="2" t="s">
        <v>163</v>
      </c>
      <c r="E1495" s="2" t="s">
        <v>58</v>
      </c>
      <c r="F1495" s="2" t="str" cm="1">
        <f t="array" ref="F1495:G1495">_xlfn.TEXTSPLIT(E1495," - ")</f>
        <v>Gula Pasir</v>
      </c>
      <c r="G1495" s="2" t="str">
        <v>Brand A</v>
      </c>
      <c r="H1495" s="5">
        <v>16000</v>
      </c>
      <c r="I1495" s="2">
        <v>3</v>
      </c>
      <c r="J1495" s="2">
        <v>20</v>
      </c>
      <c r="K1495" s="8">
        <f t="shared" si="138"/>
        <v>48000</v>
      </c>
      <c r="L1495" s="8">
        <f t="shared" si="139"/>
        <v>9600</v>
      </c>
      <c r="M1495" s="8">
        <f t="shared" si="140"/>
        <v>38400</v>
      </c>
      <c r="N1495" s="5">
        <v>50000</v>
      </c>
      <c r="O1495" s="8">
        <f t="shared" si="141"/>
        <v>88400</v>
      </c>
      <c r="P1495" s="2" t="s">
        <v>63</v>
      </c>
      <c r="Q1495" s="10" t="str">
        <f>VLOOKUP(A1495,Status!A:B,2,0)</f>
        <v>Pending</v>
      </c>
      <c r="R1495" s="2" t="s">
        <v>36</v>
      </c>
      <c r="S1495" s="2">
        <v>4</v>
      </c>
      <c r="T1495" s="2" t="s">
        <v>24</v>
      </c>
      <c r="U1495" s="10" t="str">
        <f t="shared" si="143"/>
        <v>Sep</v>
      </c>
      <c r="V1495" s="10">
        <f t="shared" si="142"/>
        <v>2025</v>
      </c>
      <c r="W1495" t="e" cm="1">
        <f t="array" ref="W1495">_xlfn.IFS(U1495="January",1,U1495="February",2,U1495="March",3,U1495="April",4,U1495="May",5,U1495="June",6,U1495="July",7,U1495="August",8,U1495="September",9,U1495="October",10,U1495="November",11,U1495="December",12)</f>
        <v>#N/A</v>
      </c>
    </row>
    <row r="1496" spans="1:23" ht="15.75" customHeight="1" x14ac:dyDescent="0.25">
      <c r="A1496" s="2" t="s">
        <v>2328</v>
      </c>
      <c r="B1496" s="3">
        <v>45909.898738425924</v>
      </c>
      <c r="C1496" s="2" t="s">
        <v>441</v>
      </c>
      <c r="D1496" s="2" t="s">
        <v>116</v>
      </c>
      <c r="E1496" s="2" t="s">
        <v>38</v>
      </c>
      <c r="F1496" s="2" t="str" cm="1">
        <f t="array" ref="F1496:G1496">_xlfn.TEXTSPLIT(E1496," - ")</f>
        <v>Telur Ayam</v>
      </c>
      <c r="G1496" s="2" t="str">
        <v>Brand C</v>
      </c>
      <c r="H1496" s="5">
        <v>28000</v>
      </c>
      <c r="I1496" s="2">
        <v>2</v>
      </c>
      <c r="J1496" s="2">
        <v>5</v>
      </c>
      <c r="K1496" s="8">
        <f t="shared" si="138"/>
        <v>56000</v>
      </c>
      <c r="L1496" s="8">
        <f t="shared" si="139"/>
        <v>2800</v>
      </c>
      <c r="M1496" s="8">
        <f t="shared" si="140"/>
        <v>53200</v>
      </c>
      <c r="N1496" s="5">
        <v>72000</v>
      </c>
      <c r="O1496" s="8">
        <f t="shared" si="141"/>
        <v>125200</v>
      </c>
      <c r="P1496" s="2" t="s">
        <v>63</v>
      </c>
      <c r="Q1496" s="10" t="str">
        <f>VLOOKUP(A1496,Status!A:B,2,0)</f>
        <v>Completed</v>
      </c>
      <c r="R1496" s="2" t="s">
        <v>46</v>
      </c>
      <c r="S1496" s="2">
        <v>1</v>
      </c>
      <c r="T1496" s="2" t="s">
        <v>37</v>
      </c>
      <c r="U1496" s="10" t="str">
        <f t="shared" si="143"/>
        <v>Sep</v>
      </c>
      <c r="V1496" s="10">
        <f t="shared" si="142"/>
        <v>2025</v>
      </c>
      <c r="W1496" t="e" cm="1">
        <f t="array" ref="W1496">_xlfn.IFS(U1496="January",1,U1496="February",2,U1496="March",3,U1496="April",4,U1496="May",5,U1496="June",6,U1496="July",7,U1496="August",8,U1496="September",9,U1496="October",10,U1496="November",11,U1496="December",12)</f>
        <v>#N/A</v>
      </c>
    </row>
    <row r="1497" spans="1:23" ht="15.75" customHeight="1" x14ac:dyDescent="0.25">
      <c r="A1497" s="2" t="s">
        <v>2329</v>
      </c>
      <c r="B1497" s="3">
        <v>45910.002106481479</v>
      </c>
      <c r="C1497" s="2" t="s">
        <v>1025</v>
      </c>
      <c r="D1497" s="2" t="s">
        <v>119</v>
      </c>
      <c r="E1497" s="2" t="s">
        <v>41</v>
      </c>
      <c r="F1497" s="2" t="str" cm="1">
        <f t="array" ref="F1497:G1497">_xlfn.TEXTSPLIT(E1497," - ")</f>
        <v>Garam</v>
      </c>
      <c r="G1497" s="2" t="str">
        <v>Brand A</v>
      </c>
      <c r="H1497" s="5">
        <v>4000</v>
      </c>
      <c r="I1497" s="2">
        <v>1</v>
      </c>
      <c r="J1497" s="2">
        <v>0</v>
      </c>
      <c r="K1497" s="8">
        <f t="shared" si="138"/>
        <v>4000</v>
      </c>
      <c r="L1497" s="8">
        <f t="shared" si="139"/>
        <v>0</v>
      </c>
      <c r="M1497" s="8">
        <f t="shared" si="140"/>
        <v>4000</v>
      </c>
      <c r="N1497" s="5">
        <v>0</v>
      </c>
      <c r="O1497" s="8">
        <f t="shared" si="141"/>
        <v>4000</v>
      </c>
      <c r="P1497" s="2" t="s">
        <v>22</v>
      </c>
      <c r="Q1497" s="10" t="str">
        <f>VLOOKUP(A1497,Status!A:B,2,0)</f>
        <v>Completed</v>
      </c>
      <c r="R1497" s="2" t="s">
        <v>23</v>
      </c>
      <c r="S1497" s="2">
        <v>2</v>
      </c>
      <c r="T1497" s="2" t="s">
        <v>24</v>
      </c>
      <c r="U1497" s="10" t="str">
        <f t="shared" si="143"/>
        <v>Sep</v>
      </c>
      <c r="V1497" s="10">
        <f t="shared" si="142"/>
        <v>2025</v>
      </c>
      <c r="W1497" t="e" cm="1">
        <f t="array" ref="W1497">_xlfn.IFS(U1497="January",1,U1497="February",2,U1497="March",3,U1497="April",4,U1497="May",5,U1497="June",6,U1497="July",7,U1497="August",8,U1497="September",9,U1497="October",10,U1497="November",11,U1497="December",12)</f>
        <v>#N/A</v>
      </c>
    </row>
    <row r="1498" spans="1:23" ht="15.75" customHeight="1" x14ac:dyDescent="0.25">
      <c r="A1498" s="2" t="s">
        <v>2329</v>
      </c>
      <c r="B1498" s="3">
        <v>45910.002106481479</v>
      </c>
      <c r="C1498" s="2" t="s">
        <v>1025</v>
      </c>
      <c r="D1498" s="2" t="s">
        <v>119</v>
      </c>
      <c r="E1498" s="2" t="s">
        <v>41</v>
      </c>
      <c r="F1498" s="2" t="str" cm="1">
        <f t="array" ref="F1498:G1498">_xlfn.TEXTSPLIT(E1498," - ")</f>
        <v>Garam</v>
      </c>
      <c r="G1498" s="2" t="str">
        <v>Brand A</v>
      </c>
      <c r="H1498" s="5">
        <v>4000</v>
      </c>
      <c r="I1498" s="2">
        <v>2</v>
      </c>
      <c r="J1498" s="2">
        <v>15</v>
      </c>
      <c r="K1498" s="8">
        <f t="shared" si="138"/>
        <v>8000</v>
      </c>
      <c r="L1498" s="8">
        <f t="shared" si="139"/>
        <v>1200</v>
      </c>
      <c r="M1498" s="8">
        <f t="shared" si="140"/>
        <v>6800</v>
      </c>
      <c r="N1498" s="5">
        <v>0</v>
      </c>
      <c r="O1498" s="8">
        <f t="shared" si="141"/>
        <v>6800</v>
      </c>
      <c r="P1498" s="2" t="s">
        <v>22</v>
      </c>
      <c r="Q1498" s="10" t="str">
        <f>VLOOKUP(A1498,Status!A:B,2,0)</f>
        <v>Completed</v>
      </c>
      <c r="R1498" s="2" t="s">
        <v>23</v>
      </c>
      <c r="S1498" s="2">
        <v>2</v>
      </c>
      <c r="T1498" s="2" t="s">
        <v>24</v>
      </c>
      <c r="U1498" s="10" t="str">
        <f t="shared" si="143"/>
        <v>Sep</v>
      </c>
      <c r="V1498" s="10">
        <f t="shared" si="142"/>
        <v>2025</v>
      </c>
      <c r="W1498" t="e" cm="1">
        <f t="array" ref="W1498">_xlfn.IFS(U1498="January",1,U1498="February",2,U1498="March",3,U1498="April",4,U1498="May",5,U1498="June",6,U1498="July",7,U1498="August",8,U1498="September",9,U1498="October",10,U1498="November",11,U1498="December",12)</f>
        <v>#N/A</v>
      </c>
    </row>
    <row r="1499" spans="1:23" ht="15.75" customHeight="1" x14ac:dyDescent="0.25">
      <c r="A1499" s="2" t="s">
        <v>2330</v>
      </c>
      <c r="B1499" s="3">
        <v>45910.324317129627</v>
      </c>
      <c r="C1499" s="2" t="s">
        <v>1073</v>
      </c>
      <c r="D1499" s="2" t="s">
        <v>27</v>
      </c>
      <c r="E1499" s="2" t="s">
        <v>38</v>
      </c>
      <c r="F1499" s="2" t="str" cm="1">
        <f t="array" ref="F1499:G1499">_xlfn.TEXTSPLIT(E1499," - ")</f>
        <v>Telur Ayam</v>
      </c>
      <c r="G1499" s="2" t="str">
        <v>Brand C</v>
      </c>
      <c r="H1499" s="5">
        <v>28000</v>
      </c>
      <c r="I1499" s="2">
        <v>1</v>
      </c>
      <c r="J1499" s="2">
        <v>10</v>
      </c>
      <c r="K1499" s="8">
        <f t="shared" si="138"/>
        <v>28000</v>
      </c>
      <c r="L1499" s="8">
        <f t="shared" si="139"/>
        <v>2800</v>
      </c>
      <c r="M1499" s="8">
        <f t="shared" si="140"/>
        <v>25200</v>
      </c>
      <c r="N1499" s="5">
        <v>17000</v>
      </c>
      <c r="O1499" s="8">
        <f t="shared" si="141"/>
        <v>42200</v>
      </c>
      <c r="P1499" s="2" t="s">
        <v>35</v>
      </c>
      <c r="Q1499" s="10" t="str">
        <f>VLOOKUP(A1499,Status!A:B,2,0)</f>
        <v>Cancelled</v>
      </c>
      <c r="R1499" s="2" t="s">
        <v>82</v>
      </c>
      <c r="S1499" s="2">
        <v>3</v>
      </c>
      <c r="T1499" s="2" t="s">
        <v>24</v>
      </c>
      <c r="U1499" s="10" t="str">
        <f t="shared" si="143"/>
        <v>Sep</v>
      </c>
      <c r="V1499" s="10">
        <f t="shared" si="142"/>
        <v>2025</v>
      </c>
      <c r="W1499" t="e" cm="1">
        <f t="array" ref="W1499">_xlfn.IFS(U1499="January",1,U1499="February",2,U1499="March",3,U1499="April",4,U1499="May",5,U1499="June",6,U1499="July",7,U1499="August",8,U1499="September",9,U1499="October",10,U1499="November",11,U1499="December",12)</f>
        <v>#N/A</v>
      </c>
    </row>
    <row r="1500" spans="1:23" ht="15.75" customHeight="1" x14ac:dyDescent="0.25">
      <c r="A1500" s="2" t="s">
        <v>2331</v>
      </c>
      <c r="B1500" s="3">
        <v>45910.486921296288</v>
      </c>
      <c r="C1500" s="2" t="s">
        <v>381</v>
      </c>
      <c r="D1500" s="2" t="s">
        <v>103</v>
      </c>
      <c r="E1500" s="2" t="s">
        <v>38</v>
      </c>
      <c r="F1500" s="2" t="str" cm="1">
        <f t="array" ref="F1500:G1500">_xlfn.TEXTSPLIT(E1500," - ")</f>
        <v>Telur Ayam</v>
      </c>
      <c r="G1500" s="2" t="str">
        <v>Brand C</v>
      </c>
      <c r="H1500" s="5">
        <v>28000</v>
      </c>
      <c r="I1500" s="2">
        <v>5</v>
      </c>
      <c r="J1500" s="2">
        <v>15</v>
      </c>
      <c r="K1500" s="8">
        <f t="shared" si="138"/>
        <v>140000</v>
      </c>
      <c r="L1500" s="8">
        <f t="shared" si="139"/>
        <v>21000</v>
      </c>
      <c r="M1500" s="8">
        <f t="shared" si="140"/>
        <v>119000</v>
      </c>
      <c r="N1500" s="5">
        <v>85000</v>
      </c>
      <c r="O1500" s="8">
        <f t="shared" si="141"/>
        <v>204000</v>
      </c>
      <c r="P1500" s="2" t="s">
        <v>63</v>
      </c>
      <c r="Q1500" s="10" t="str">
        <f>VLOOKUP(A1500,Status!A:B,2,0)</f>
        <v>Pending</v>
      </c>
      <c r="R1500" s="2" t="s">
        <v>36</v>
      </c>
      <c r="S1500" s="2">
        <v>4</v>
      </c>
      <c r="T1500" s="2" t="s">
        <v>24</v>
      </c>
      <c r="U1500" s="10" t="str">
        <f t="shared" si="143"/>
        <v>Sep</v>
      </c>
      <c r="V1500" s="10">
        <f t="shared" si="142"/>
        <v>2025</v>
      </c>
      <c r="W1500" t="e" cm="1">
        <f t="array" ref="W1500">_xlfn.IFS(U1500="January",1,U1500="February",2,U1500="March",3,U1500="April",4,U1500="May",5,U1500="June",6,U1500="July",7,U1500="August",8,U1500="September",9,U1500="October",10,U1500="November",11,U1500="December",12)</f>
        <v>#N/A</v>
      </c>
    </row>
    <row r="1501" spans="1:23" ht="15.75" customHeight="1" x14ac:dyDescent="0.25">
      <c r="A1501" s="2" t="s">
        <v>2332</v>
      </c>
      <c r="B1501" s="3">
        <v>45911.310497685183</v>
      </c>
      <c r="C1501" s="2" t="s">
        <v>605</v>
      </c>
      <c r="D1501" s="2" t="s">
        <v>151</v>
      </c>
      <c r="E1501" s="2" t="s">
        <v>41</v>
      </c>
      <c r="F1501" s="2" t="str" cm="1">
        <f t="array" ref="F1501:G1501">_xlfn.TEXTSPLIT(E1501," - ")</f>
        <v>Garam</v>
      </c>
      <c r="G1501" s="2" t="str">
        <v>Brand A</v>
      </c>
      <c r="H1501" s="5">
        <v>4000</v>
      </c>
      <c r="I1501" s="2">
        <v>2</v>
      </c>
      <c r="J1501" s="2">
        <v>5</v>
      </c>
      <c r="K1501" s="8">
        <f t="shared" si="138"/>
        <v>8000</v>
      </c>
      <c r="L1501" s="8">
        <f t="shared" si="139"/>
        <v>400</v>
      </c>
      <c r="M1501" s="8">
        <f t="shared" si="140"/>
        <v>7600</v>
      </c>
      <c r="N1501" s="5">
        <v>55000</v>
      </c>
      <c r="O1501" s="8">
        <f t="shared" si="141"/>
        <v>62600</v>
      </c>
      <c r="P1501" s="2" t="s">
        <v>22</v>
      </c>
      <c r="Q1501" s="10" t="str">
        <f>VLOOKUP(A1501,Status!A:B,2,0)</f>
        <v>Completed</v>
      </c>
      <c r="R1501" s="2" t="s">
        <v>36</v>
      </c>
      <c r="S1501" s="2">
        <v>2</v>
      </c>
      <c r="T1501" s="2" t="s">
        <v>24</v>
      </c>
      <c r="U1501" s="10" t="str">
        <f t="shared" si="143"/>
        <v>Sep</v>
      </c>
      <c r="V1501" s="10">
        <f t="shared" si="142"/>
        <v>2025</v>
      </c>
      <c r="W1501" t="e" cm="1">
        <f t="array" ref="W1501">_xlfn.IFS(U1501="January",1,U1501="February",2,U1501="March",3,U1501="April",4,U1501="May",5,U1501="June",6,U1501="July",7,U1501="August",8,U1501="September",9,U1501="October",10,U1501="November",11,U1501="December",12)</f>
        <v>#N/A</v>
      </c>
    </row>
    <row r="1502" spans="1:23" ht="15.75" customHeight="1" x14ac:dyDescent="0.25">
      <c r="A1502" s="2" t="s">
        <v>2333</v>
      </c>
      <c r="B1502" s="3">
        <v>45912.145752314813</v>
      </c>
      <c r="C1502" s="2" t="s">
        <v>488</v>
      </c>
      <c r="D1502" s="2" t="s">
        <v>49</v>
      </c>
      <c r="E1502" s="2" t="s">
        <v>144</v>
      </c>
      <c r="F1502" s="2" t="str" cm="1">
        <f t="array" ref="F1502:G1502">_xlfn.TEXTSPLIT(E1502," - ")</f>
        <v>Gula Pasir</v>
      </c>
      <c r="G1502" s="2" t="str">
        <v>Brand C</v>
      </c>
      <c r="H1502" s="5">
        <v>18000</v>
      </c>
      <c r="I1502" s="2">
        <v>3</v>
      </c>
      <c r="J1502" s="2">
        <v>20</v>
      </c>
      <c r="K1502" s="8">
        <f t="shared" si="138"/>
        <v>54000</v>
      </c>
      <c r="L1502" s="8">
        <f t="shared" si="139"/>
        <v>10800</v>
      </c>
      <c r="M1502" s="8">
        <f t="shared" si="140"/>
        <v>43200</v>
      </c>
      <c r="N1502" s="5">
        <v>43000</v>
      </c>
      <c r="O1502" s="8">
        <f t="shared" si="141"/>
        <v>86200</v>
      </c>
      <c r="P1502" s="2" t="s">
        <v>63</v>
      </c>
      <c r="Q1502" s="10" t="str">
        <f>VLOOKUP(A1502,Status!A:B,2,0)</f>
        <v>Completed</v>
      </c>
      <c r="R1502" s="2" t="s">
        <v>46</v>
      </c>
      <c r="S1502" s="2">
        <v>5</v>
      </c>
      <c r="T1502" s="2" t="s">
        <v>24</v>
      </c>
      <c r="U1502" s="10" t="str">
        <f t="shared" si="143"/>
        <v>Sep</v>
      </c>
      <c r="V1502" s="10">
        <f t="shared" si="142"/>
        <v>2025</v>
      </c>
      <c r="W1502" t="e" cm="1">
        <f t="array" ref="W1502">_xlfn.IFS(U1502="January",1,U1502="February",2,U1502="March",3,U1502="April",4,U1502="May",5,U1502="June",6,U1502="July",7,U1502="August",8,U1502="September",9,U1502="October",10,U1502="November",11,U1502="December",12)</f>
        <v>#N/A</v>
      </c>
    </row>
    <row r="1503" spans="1:23" ht="15.75" customHeight="1" x14ac:dyDescent="0.25">
      <c r="A1503" s="2" t="s">
        <v>2333</v>
      </c>
      <c r="B1503" s="3">
        <v>45912.145752314813</v>
      </c>
      <c r="C1503" s="2" t="s">
        <v>488</v>
      </c>
      <c r="D1503" s="2" t="s">
        <v>49</v>
      </c>
      <c r="E1503" s="2" t="s">
        <v>104</v>
      </c>
      <c r="F1503" s="2" t="str" cm="1">
        <f t="array" ref="F1503:G1503">_xlfn.TEXTSPLIT(E1503," - ")</f>
        <v>Bawang Merah</v>
      </c>
      <c r="G1503" s="2" t="str">
        <v>Brand A</v>
      </c>
      <c r="H1503" s="5">
        <v>30000</v>
      </c>
      <c r="I1503" s="2">
        <v>1</v>
      </c>
      <c r="J1503" s="2">
        <v>0</v>
      </c>
      <c r="K1503" s="8">
        <f t="shared" si="138"/>
        <v>30000</v>
      </c>
      <c r="L1503" s="8">
        <f t="shared" si="139"/>
        <v>0</v>
      </c>
      <c r="M1503" s="8">
        <f t="shared" si="140"/>
        <v>30000</v>
      </c>
      <c r="N1503" s="5">
        <v>0</v>
      </c>
      <c r="O1503" s="8">
        <f t="shared" si="141"/>
        <v>30000</v>
      </c>
      <c r="P1503" s="2" t="s">
        <v>63</v>
      </c>
      <c r="Q1503" s="10" t="str">
        <f>VLOOKUP(A1503,Status!A:B,2,0)</f>
        <v>Completed</v>
      </c>
      <c r="R1503" s="2" t="s">
        <v>46</v>
      </c>
      <c r="S1503" s="2">
        <v>5</v>
      </c>
      <c r="T1503" s="2" t="s">
        <v>24</v>
      </c>
      <c r="U1503" s="10" t="str">
        <f t="shared" si="143"/>
        <v>Sep</v>
      </c>
      <c r="V1503" s="10">
        <f t="shared" si="142"/>
        <v>2025</v>
      </c>
      <c r="W1503" t="e" cm="1">
        <f t="array" ref="W1503">_xlfn.IFS(U1503="January",1,U1503="February",2,U1503="March",3,U1503="April",4,U1503="May",5,U1503="June",6,U1503="July",7,U1503="August",8,U1503="September",9,U1503="October",10,U1503="November",11,U1503="December",12)</f>
        <v>#N/A</v>
      </c>
    </row>
    <row r="1504" spans="1:23" ht="15.75" customHeight="1" x14ac:dyDescent="0.25">
      <c r="A1504" s="2" t="s">
        <v>2334</v>
      </c>
      <c r="B1504" s="3">
        <v>45912.35261574074</v>
      </c>
      <c r="C1504" s="2" t="s">
        <v>305</v>
      </c>
      <c r="D1504" s="2" t="s">
        <v>143</v>
      </c>
      <c r="E1504" s="2" t="s">
        <v>21</v>
      </c>
      <c r="F1504" s="2" t="str" cm="1">
        <f t="array" ref="F1504:G1504">_xlfn.TEXTSPLIT(E1504," - ")</f>
        <v>Daging Ayam</v>
      </c>
      <c r="G1504" s="2" t="str">
        <v>Brand C</v>
      </c>
      <c r="H1504" s="5">
        <v>45000</v>
      </c>
      <c r="I1504" s="2">
        <v>2</v>
      </c>
      <c r="J1504" s="2">
        <v>20</v>
      </c>
      <c r="K1504" s="8">
        <f t="shared" si="138"/>
        <v>90000</v>
      </c>
      <c r="L1504" s="8">
        <f t="shared" si="139"/>
        <v>18000</v>
      </c>
      <c r="M1504" s="8">
        <f t="shared" si="140"/>
        <v>72000</v>
      </c>
      <c r="N1504" s="5">
        <v>50000</v>
      </c>
      <c r="O1504" s="8">
        <f t="shared" si="141"/>
        <v>122000</v>
      </c>
      <c r="P1504" s="2" t="s">
        <v>63</v>
      </c>
      <c r="Q1504" s="10" t="str">
        <f>VLOOKUP(A1504,Status!A:B,2,0)</f>
        <v>Completed</v>
      </c>
      <c r="R1504" s="2" t="s">
        <v>46</v>
      </c>
      <c r="S1504" s="2">
        <v>5</v>
      </c>
      <c r="T1504" s="2" t="s">
        <v>24</v>
      </c>
      <c r="U1504" s="10" t="str">
        <f t="shared" si="143"/>
        <v>Sep</v>
      </c>
      <c r="V1504" s="10">
        <f t="shared" si="142"/>
        <v>2025</v>
      </c>
      <c r="W1504" t="e" cm="1">
        <f t="array" ref="W1504">_xlfn.IFS(U1504="January",1,U1504="February",2,U1504="March",3,U1504="April",4,U1504="May",5,U1504="June",6,U1504="July",7,U1504="August",8,U1504="September",9,U1504="October",10,U1504="November",11,U1504="December",12)</f>
        <v>#N/A</v>
      </c>
    </row>
    <row r="1505" spans="1:23" ht="15.75" customHeight="1" x14ac:dyDescent="0.25">
      <c r="A1505" s="2" t="s">
        <v>2335</v>
      </c>
      <c r="B1505" s="3">
        <v>45912.45</v>
      </c>
      <c r="C1505" s="2" t="s">
        <v>299</v>
      </c>
      <c r="D1505" s="2" t="s">
        <v>163</v>
      </c>
      <c r="E1505" s="2" t="s">
        <v>144</v>
      </c>
      <c r="F1505" s="2" t="str" cm="1">
        <f t="array" ref="F1505:G1505">_xlfn.TEXTSPLIT(E1505," - ")</f>
        <v>Gula Pasir</v>
      </c>
      <c r="G1505" s="2" t="str">
        <v>Brand C</v>
      </c>
      <c r="H1505" s="5">
        <v>18000</v>
      </c>
      <c r="I1505" s="2">
        <v>1</v>
      </c>
      <c r="J1505" s="2">
        <v>10</v>
      </c>
      <c r="K1505" s="8">
        <f t="shared" si="138"/>
        <v>18000</v>
      </c>
      <c r="L1505" s="8">
        <f t="shared" si="139"/>
        <v>1800</v>
      </c>
      <c r="M1505" s="8">
        <f t="shared" si="140"/>
        <v>16200</v>
      </c>
      <c r="N1505" s="5">
        <v>50000</v>
      </c>
      <c r="O1505" s="8">
        <f t="shared" si="141"/>
        <v>66200</v>
      </c>
      <c r="P1505" s="2" t="s">
        <v>35</v>
      </c>
      <c r="Q1505" s="10" t="str">
        <f>VLOOKUP(A1505,Status!A:B,2,0)</f>
        <v>Shipped</v>
      </c>
      <c r="R1505" s="2" t="s">
        <v>30</v>
      </c>
      <c r="S1505" s="2">
        <v>2</v>
      </c>
      <c r="T1505" s="2" t="s">
        <v>24</v>
      </c>
      <c r="U1505" s="10" t="str">
        <f t="shared" si="143"/>
        <v>Sep</v>
      </c>
      <c r="V1505" s="10">
        <f t="shared" si="142"/>
        <v>2025</v>
      </c>
      <c r="W1505" t="e" cm="1">
        <f t="array" ref="W1505">_xlfn.IFS(U1505="January",1,U1505="February",2,U1505="March",3,U1505="April",4,U1505="May",5,U1505="June",6,U1505="July",7,U1505="August",8,U1505="September",9,U1505="October",10,U1505="November",11,U1505="December",12)</f>
        <v>#N/A</v>
      </c>
    </row>
    <row r="1506" spans="1:23" ht="15.75" customHeight="1" x14ac:dyDescent="0.25">
      <c r="A1506" s="2" t="s">
        <v>2336</v>
      </c>
      <c r="B1506" s="3">
        <v>45912.501030092593</v>
      </c>
      <c r="C1506" s="2" t="s">
        <v>900</v>
      </c>
      <c r="D1506" s="2" t="s">
        <v>27</v>
      </c>
      <c r="E1506" s="2" t="s">
        <v>75</v>
      </c>
      <c r="F1506" s="2" t="str" cm="1">
        <f t="array" ref="F1506:G1506">_xlfn.TEXTSPLIT(E1506," - ")</f>
        <v>Susu Bubuk</v>
      </c>
      <c r="G1506" s="2" t="str">
        <v>Brand C</v>
      </c>
      <c r="H1506" s="5">
        <v>55000</v>
      </c>
      <c r="I1506" s="2">
        <v>4</v>
      </c>
      <c r="J1506" s="2">
        <v>20</v>
      </c>
      <c r="K1506" s="8">
        <f t="shared" si="138"/>
        <v>220000</v>
      </c>
      <c r="L1506" s="8">
        <f t="shared" si="139"/>
        <v>44000</v>
      </c>
      <c r="M1506" s="8">
        <f t="shared" si="140"/>
        <v>176000</v>
      </c>
      <c r="N1506" s="5">
        <v>17000</v>
      </c>
      <c r="O1506" s="8">
        <f t="shared" si="141"/>
        <v>193000</v>
      </c>
      <c r="P1506" s="2" t="s">
        <v>63</v>
      </c>
      <c r="Q1506" s="10" t="str">
        <f>VLOOKUP(A1506,Status!A:B,2,0)</f>
        <v>Completed</v>
      </c>
      <c r="R1506" s="2" t="s">
        <v>30</v>
      </c>
      <c r="S1506" s="2">
        <v>4</v>
      </c>
      <c r="T1506" s="2" t="s">
        <v>24</v>
      </c>
      <c r="U1506" s="10" t="str">
        <f t="shared" si="143"/>
        <v>Sep</v>
      </c>
      <c r="V1506" s="10">
        <f t="shared" si="142"/>
        <v>2025</v>
      </c>
      <c r="W1506" t="e" cm="1">
        <f t="array" ref="W1506">_xlfn.IFS(U1506="January",1,U1506="February",2,U1506="March",3,U1506="April",4,U1506="May",5,U1506="June",6,U1506="July",7,U1506="August",8,U1506="September",9,U1506="October",10,U1506="November",11,U1506="December",12)</f>
        <v>#N/A</v>
      </c>
    </row>
    <row r="1507" spans="1:23" ht="15.75" customHeight="1" x14ac:dyDescent="0.25">
      <c r="A1507" s="2" t="s">
        <v>2337</v>
      </c>
      <c r="B1507" s="3">
        <v>45912.618125000001</v>
      </c>
      <c r="C1507" s="2" t="s">
        <v>1033</v>
      </c>
      <c r="D1507" s="2" t="s">
        <v>122</v>
      </c>
      <c r="E1507" s="2" t="s">
        <v>144</v>
      </c>
      <c r="F1507" s="2" t="str" cm="1">
        <f t="array" ref="F1507:G1507">_xlfn.TEXTSPLIT(E1507," - ")</f>
        <v>Gula Pasir</v>
      </c>
      <c r="G1507" s="2" t="str">
        <v>Brand C</v>
      </c>
      <c r="H1507" s="5">
        <v>18000</v>
      </c>
      <c r="I1507" s="2">
        <v>1</v>
      </c>
      <c r="J1507" s="2">
        <v>0</v>
      </c>
      <c r="K1507" s="8">
        <f t="shared" si="138"/>
        <v>18000</v>
      </c>
      <c r="L1507" s="8">
        <f t="shared" si="139"/>
        <v>0</v>
      </c>
      <c r="M1507" s="8">
        <f t="shared" si="140"/>
        <v>18000</v>
      </c>
      <c r="N1507" s="5">
        <v>78000</v>
      </c>
      <c r="O1507" s="8">
        <f t="shared" si="141"/>
        <v>96000</v>
      </c>
      <c r="P1507" s="2" t="s">
        <v>29</v>
      </c>
      <c r="Q1507" s="10" t="str">
        <f>VLOOKUP(A1507,Status!A:B,2,0)</f>
        <v>Completed</v>
      </c>
      <c r="R1507" s="2" t="s">
        <v>36</v>
      </c>
      <c r="S1507" s="2">
        <v>2</v>
      </c>
      <c r="T1507" s="2" t="s">
        <v>24</v>
      </c>
      <c r="U1507" s="10" t="str">
        <f t="shared" si="143"/>
        <v>Sep</v>
      </c>
      <c r="V1507" s="10">
        <f t="shared" si="142"/>
        <v>2025</v>
      </c>
      <c r="W1507" t="e" cm="1">
        <f t="array" ref="W1507">_xlfn.IFS(U1507="January",1,U1507="February",2,U1507="March",3,U1507="April",4,U1507="May",5,U1507="June",6,U1507="July",7,U1507="August",8,U1507="September",9,U1507="October",10,U1507="November",11,U1507="December",12)</f>
        <v>#N/A</v>
      </c>
    </row>
    <row r="1508" spans="1:23" ht="15.75" customHeight="1" x14ac:dyDescent="0.25">
      <c r="A1508" s="2" t="s">
        <v>2338</v>
      </c>
      <c r="B1508" s="3">
        <v>45913.005798611113</v>
      </c>
      <c r="C1508" s="2" t="s">
        <v>891</v>
      </c>
      <c r="D1508" s="2" t="s">
        <v>126</v>
      </c>
      <c r="E1508" s="2" t="s">
        <v>138</v>
      </c>
      <c r="F1508" s="2" t="str" cm="1">
        <f t="array" ref="F1508:G1508">_xlfn.TEXTSPLIT(E1508," - ")</f>
        <v>Gula Pasir</v>
      </c>
      <c r="G1508" s="2" t="str">
        <v>Brand B</v>
      </c>
      <c r="H1508" s="5">
        <v>17000</v>
      </c>
      <c r="I1508" s="2">
        <v>5</v>
      </c>
      <c r="J1508" s="2">
        <v>20</v>
      </c>
      <c r="K1508" s="8">
        <f t="shared" si="138"/>
        <v>85000</v>
      </c>
      <c r="L1508" s="8">
        <f t="shared" si="139"/>
        <v>17000</v>
      </c>
      <c r="M1508" s="8">
        <f t="shared" si="140"/>
        <v>68000</v>
      </c>
      <c r="N1508" s="5">
        <v>84000</v>
      </c>
      <c r="O1508" s="8">
        <f t="shared" si="141"/>
        <v>152000</v>
      </c>
      <c r="P1508" s="2" t="s">
        <v>22</v>
      </c>
      <c r="Q1508" s="10" t="str">
        <f>VLOOKUP(A1508,Status!A:B,2,0)</f>
        <v>Completed</v>
      </c>
      <c r="R1508" s="2" t="s">
        <v>36</v>
      </c>
      <c r="S1508" s="2">
        <v>5</v>
      </c>
      <c r="T1508" s="2" t="s">
        <v>37</v>
      </c>
      <c r="U1508" s="10" t="str">
        <f t="shared" si="143"/>
        <v>Sep</v>
      </c>
      <c r="V1508" s="10">
        <f t="shared" si="142"/>
        <v>2025</v>
      </c>
      <c r="W1508" t="e" cm="1">
        <f t="array" ref="W1508">_xlfn.IFS(U1508="January",1,U1508="February",2,U1508="March",3,U1508="April",4,U1508="May",5,U1508="June",6,U1508="July",7,U1508="August",8,U1508="September",9,U1508="October",10,U1508="November",11,U1508="December",12)</f>
        <v>#N/A</v>
      </c>
    </row>
    <row r="1509" spans="1:23" ht="15.75" customHeight="1" x14ac:dyDescent="0.25">
      <c r="A1509" s="2" t="s">
        <v>2338</v>
      </c>
      <c r="B1509" s="3">
        <v>45913.005798611113</v>
      </c>
      <c r="C1509" s="2" t="s">
        <v>891</v>
      </c>
      <c r="D1509" s="2" t="s">
        <v>126</v>
      </c>
      <c r="E1509" s="2" t="s">
        <v>136</v>
      </c>
      <c r="F1509" s="2" t="str" cm="1">
        <f t="array" ref="F1509:G1509">_xlfn.TEXTSPLIT(E1509," - ")</f>
        <v>Tepung Terigu</v>
      </c>
      <c r="G1509" s="2" t="str">
        <v>Brand B</v>
      </c>
      <c r="H1509" s="5">
        <v>12000</v>
      </c>
      <c r="I1509" s="2">
        <v>4</v>
      </c>
      <c r="J1509" s="2">
        <v>0</v>
      </c>
      <c r="K1509" s="8">
        <f t="shared" si="138"/>
        <v>48000</v>
      </c>
      <c r="L1509" s="8">
        <f t="shared" si="139"/>
        <v>0</v>
      </c>
      <c r="M1509" s="8">
        <f t="shared" si="140"/>
        <v>48000</v>
      </c>
      <c r="N1509" s="5">
        <v>0</v>
      </c>
      <c r="O1509" s="8">
        <f t="shared" si="141"/>
        <v>48000</v>
      </c>
      <c r="P1509" s="2" t="s">
        <v>22</v>
      </c>
      <c r="Q1509" s="10" t="str">
        <f>VLOOKUP(A1509,Status!A:B,2,0)</f>
        <v>Completed</v>
      </c>
      <c r="R1509" s="2" t="s">
        <v>36</v>
      </c>
      <c r="S1509" s="2">
        <v>5</v>
      </c>
      <c r="T1509" s="2" t="s">
        <v>37</v>
      </c>
      <c r="U1509" s="10" t="str">
        <f t="shared" si="143"/>
        <v>Sep</v>
      </c>
      <c r="V1509" s="10">
        <f t="shared" si="142"/>
        <v>2025</v>
      </c>
      <c r="W1509" t="e" cm="1">
        <f t="array" ref="W1509">_xlfn.IFS(U1509="January",1,U1509="February",2,U1509="March",3,U1509="April",4,U1509="May",5,U1509="June",6,U1509="July",7,U1509="August",8,U1509="September",9,U1509="October",10,U1509="November",11,U1509="December",12)</f>
        <v>#N/A</v>
      </c>
    </row>
    <row r="1510" spans="1:23" ht="15.75" customHeight="1" x14ac:dyDescent="0.25">
      <c r="A1510" s="2" t="s">
        <v>2339</v>
      </c>
      <c r="B1510" s="3">
        <v>45913.014201388891</v>
      </c>
      <c r="C1510" s="2" t="s">
        <v>732</v>
      </c>
      <c r="D1510" s="2" t="s">
        <v>170</v>
      </c>
      <c r="E1510" s="2" t="s">
        <v>81</v>
      </c>
      <c r="F1510" s="2" t="str" cm="1">
        <f t="array" ref="F1510:G1510">_xlfn.TEXTSPLIT(E1510," - ")</f>
        <v>Minyak Goreng</v>
      </c>
      <c r="G1510" s="2" t="str">
        <v>Brand B</v>
      </c>
      <c r="H1510" s="5">
        <v>17000</v>
      </c>
      <c r="I1510" s="2">
        <v>3</v>
      </c>
      <c r="J1510" s="2">
        <v>0</v>
      </c>
      <c r="K1510" s="8">
        <f t="shared" si="138"/>
        <v>51000</v>
      </c>
      <c r="L1510" s="8">
        <f t="shared" si="139"/>
        <v>0</v>
      </c>
      <c r="M1510" s="8">
        <f t="shared" si="140"/>
        <v>51000</v>
      </c>
      <c r="N1510" s="5">
        <v>46000</v>
      </c>
      <c r="O1510" s="8">
        <f t="shared" si="141"/>
        <v>97000</v>
      </c>
      <c r="P1510" s="2" t="s">
        <v>35</v>
      </c>
      <c r="Q1510" s="10" t="str">
        <f>VLOOKUP(A1510,Status!A:B,2,0)</f>
        <v>Completed</v>
      </c>
      <c r="R1510" s="2" t="s">
        <v>82</v>
      </c>
      <c r="S1510" s="2">
        <v>3</v>
      </c>
      <c r="T1510" s="2" t="s">
        <v>24</v>
      </c>
      <c r="U1510" s="10" t="str">
        <f t="shared" si="143"/>
        <v>Sep</v>
      </c>
      <c r="V1510" s="10">
        <f t="shared" si="142"/>
        <v>2025</v>
      </c>
      <c r="W1510" t="e" cm="1">
        <f t="array" ref="W1510">_xlfn.IFS(U1510="January",1,U1510="February",2,U1510="March",3,U1510="April",4,U1510="May",5,U1510="June",6,U1510="July",7,U1510="August",8,U1510="September",9,U1510="October",10,U1510="November",11,U1510="December",12)</f>
        <v>#N/A</v>
      </c>
    </row>
    <row r="1511" spans="1:23" ht="15.75" customHeight="1" x14ac:dyDescent="0.25">
      <c r="A1511" s="2" t="s">
        <v>2339</v>
      </c>
      <c r="B1511" s="3">
        <v>45913.014201388891</v>
      </c>
      <c r="C1511" s="2" t="s">
        <v>732</v>
      </c>
      <c r="D1511" s="2" t="s">
        <v>170</v>
      </c>
      <c r="E1511" s="2" t="s">
        <v>50</v>
      </c>
      <c r="F1511" s="2" t="str" cm="1">
        <f t="array" ref="F1511:G1511">_xlfn.TEXTSPLIT(E1511," - ")</f>
        <v>Tepung Terigu</v>
      </c>
      <c r="G1511" s="2" t="str">
        <v>Brand C</v>
      </c>
      <c r="H1511" s="5">
        <v>14000</v>
      </c>
      <c r="I1511" s="2">
        <v>4</v>
      </c>
      <c r="J1511" s="2">
        <v>0</v>
      </c>
      <c r="K1511" s="8">
        <f t="shared" si="138"/>
        <v>56000</v>
      </c>
      <c r="L1511" s="8">
        <f t="shared" si="139"/>
        <v>0</v>
      </c>
      <c r="M1511" s="8">
        <f t="shared" si="140"/>
        <v>56000</v>
      </c>
      <c r="N1511" s="5">
        <v>0</v>
      </c>
      <c r="O1511" s="8">
        <f t="shared" si="141"/>
        <v>56000</v>
      </c>
      <c r="P1511" s="2" t="s">
        <v>35</v>
      </c>
      <c r="Q1511" s="10" t="str">
        <f>VLOOKUP(A1511,Status!A:B,2,0)</f>
        <v>Completed</v>
      </c>
      <c r="R1511" s="2" t="s">
        <v>82</v>
      </c>
      <c r="S1511" s="2">
        <v>3</v>
      </c>
      <c r="T1511" s="2" t="s">
        <v>24</v>
      </c>
      <c r="U1511" s="10" t="str">
        <f t="shared" si="143"/>
        <v>Sep</v>
      </c>
      <c r="V1511" s="10">
        <f t="shared" si="142"/>
        <v>2025</v>
      </c>
      <c r="W1511" t="e" cm="1">
        <f t="array" ref="W1511">_xlfn.IFS(U1511="January",1,U1511="February",2,U1511="March",3,U1511="April",4,U1511="May",5,U1511="June",6,U1511="July",7,U1511="August",8,U1511="September",9,U1511="October",10,U1511="November",11,U1511="December",12)</f>
        <v>#N/A</v>
      </c>
    </row>
    <row r="1512" spans="1:23" ht="15.75" customHeight="1" x14ac:dyDescent="0.25">
      <c r="A1512" s="2" t="s">
        <v>2340</v>
      </c>
      <c r="B1512" s="3">
        <v>45913.278587962966</v>
      </c>
      <c r="C1512" s="2" t="s">
        <v>1136</v>
      </c>
      <c r="D1512" s="2" t="s">
        <v>195</v>
      </c>
      <c r="E1512" s="2" t="s">
        <v>81</v>
      </c>
      <c r="F1512" s="2" t="str" cm="1">
        <f t="array" ref="F1512:G1512">_xlfn.TEXTSPLIT(E1512," - ")</f>
        <v>Minyak Goreng</v>
      </c>
      <c r="G1512" s="2" t="str">
        <v>Brand B</v>
      </c>
      <c r="H1512" s="5">
        <v>17000</v>
      </c>
      <c r="I1512" s="2">
        <v>5</v>
      </c>
      <c r="J1512" s="2">
        <v>0</v>
      </c>
      <c r="K1512" s="8">
        <f t="shared" si="138"/>
        <v>85000</v>
      </c>
      <c r="L1512" s="8">
        <f t="shared" si="139"/>
        <v>0</v>
      </c>
      <c r="M1512" s="8">
        <f t="shared" si="140"/>
        <v>85000</v>
      </c>
      <c r="N1512" s="5">
        <v>87000</v>
      </c>
      <c r="O1512" s="8">
        <f t="shared" si="141"/>
        <v>172000</v>
      </c>
      <c r="P1512" s="2" t="s">
        <v>63</v>
      </c>
      <c r="Q1512" s="10" t="str">
        <f>VLOOKUP(A1512,Status!A:B,2,0)</f>
        <v>Completed</v>
      </c>
      <c r="R1512" s="2" t="s">
        <v>30</v>
      </c>
      <c r="S1512" s="2">
        <v>2</v>
      </c>
      <c r="T1512" s="2" t="s">
        <v>24</v>
      </c>
      <c r="U1512" s="10" t="str">
        <f t="shared" si="143"/>
        <v>Sep</v>
      </c>
      <c r="V1512" s="10">
        <f t="shared" si="142"/>
        <v>2025</v>
      </c>
      <c r="W1512" t="e" cm="1">
        <f t="array" ref="W1512">_xlfn.IFS(U1512="January",1,U1512="February",2,U1512="March",3,U1512="April",4,U1512="May",5,U1512="June",6,U1512="July",7,U1512="August",8,U1512="September",9,U1512="October",10,U1512="November",11,U1512="December",12)</f>
        <v>#N/A</v>
      </c>
    </row>
    <row r="1513" spans="1:23" ht="15.75" customHeight="1" x14ac:dyDescent="0.25">
      <c r="A1513" s="2" t="s">
        <v>2341</v>
      </c>
      <c r="B1513" s="3">
        <v>45913.297407407408</v>
      </c>
      <c r="C1513" s="2" t="s">
        <v>609</v>
      </c>
      <c r="D1513" s="2" t="s">
        <v>80</v>
      </c>
      <c r="E1513" s="2" t="s">
        <v>28</v>
      </c>
      <c r="F1513" s="2" t="str" cm="1">
        <f t="array" ref="F1513:G1513">_xlfn.TEXTSPLIT(E1513," - ")</f>
        <v>Garam</v>
      </c>
      <c r="G1513" s="2" t="str">
        <v>Brand B</v>
      </c>
      <c r="H1513" s="5">
        <v>5000</v>
      </c>
      <c r="I1513" s="2">
        <v>1</v>
      </c>
      <c r="J1513" s="2">
        <v>10</v>
      </c>
      <c r="K1513" s="8">
        <f t="shared" si="138"/>
        <v>5000</v>
      </c>
      <c r="L1513" s="8">
        <f t="shared" si="139"/>
        <v>500</v>
      </c>
      <c r="M1513" s="8">
        <f t="shared" si="140"/>
        <v>4500</v>
      </c>
      <c r="N1513" s="5">
        <v>74000</v>
      </c>
      <c r="O1513" s="8">
        <f t="shared" si="141"/>
        <v>78500</v>
      </c>
      <c r="P1513" s="2" t="s">
        <v>63</v>
      </c>
      <c r="Q1513" s="10" t="str">
        <f>VLOOKUP(A1513,Status!A:B,2,0)</f>
        <v>Completed</v>
      </c>
      <c r="R1513" s="2" t="s">
        <v>30</v>
      </c>
      <c r="S1513" s="2">
        <v>5</v>
      </c>
      <c r="T1513" s="2" t="s">
        <v>24</v>
      </c>
      <c r="U1513" s="10" t="str">
        <f t="shared" si="143"/>
        <v>Sep</v>
      </c>
      <c r="V1513" s="10">
        <f t="shared" si="142"/>
        <v>2025</v>
      </c>
      <c r="W1513" t="e" cm="1">
        <f t="array" ref="W1513">_xlfn.IFS(U1513="January",1,U1513="February",2,U1513="March",3,U1513="April",4,U1513="May",5,U1513="June",6,U1513="July",7,U1513="August",8,U1513="September",9,U1513="October",10,U1513="November",11,U1513="December",12)</f>
        <v>#N/A</v>
      </c>
    </row>
    <row r="1514" spans="1:23" ht="15.75" customHeight="1" x14ac:dyDescent="0.25">
      <c r="A1514" s="2" t="s">
        <v>2342</v>
      </c>
      <c r="B1514" s="3">
        <v>45913.318969907406</v>
      </c>
      <c r="C1514" s="2" t="s">
        <v>1022</v>
      </c>
      <c r="D1514" s="2" t="s">
        <v>177</v>
      </c>
      <c r="E1514" s="2" t="s">
        <v>93</v>
      </c>
      <c r="F1514" s="2" t="str" cm="1">
        <f t="array" ref="F1514:G1514">_xlfn.TEXTSPLIT(E1514," - ")</f>
        <v>Telur Ayam</v>
      </c>
      <c r="G1514" s="2" t="str">
        <v>Brand B</v>
      </c>
      <c r="H1514" s="5">
        <v>25000</v>
      </c>
      <c r="I1514" s="2">
        <v>3</v>
      </c>
      <c r="J1514" s="2">
        <v>5</v>
      </c>
      <c r="K1514" s="8">
        <f t="shared" si="138"/>
        <v>75000</v>
      </c>
      <c r="L1514" s="8">
        <f t="shared" si="139"/>
        <v>3750</v>
      </c>
      <c r="M1514" s="8">
        <f t="shared" si="140"/>
        <v>71250</v>
      </c>
      <c r="N1514" s="5">
        <v>56000</v>
      </c>
      <c r="O1514" s="8">
        <f t="shared" si="141"/>
        <v>127250</v>
      </c>
      <c r="P1514" s="2" t="s">
        <v>63</v>
      </c>
      <c r="Q1514" s="10" t="str">
        <f>VLOOKUP(A1514,Status!A:B,2,0)</f>
        <v>Pending</v>
      </c>
      <c r="R1514" s="2" t="s">
        <v>23</v>
      </c>
      <c r="S1514" s="2">
        <v>5</v>
      </c>
      <c r="T1514" s="2" t="s">
        <v>24</v>
      </c>
      <c r="U1514" s="10" t="str">
        <f t="shared" si="143"/>
        <v>Sep</v>
      </c>
      <c r="V1514" s="10">
        <f t="shared" si="142"/>
        <v>2025</v>
      </c>
      <c r="W1514" t="e" cm="1">
        <f t="array" ref="W1514">_xlfn.IFS(U1514="January",1,U1514="February",2,U1514="March",3,U1514="April",4,U1514="May",5,U1514="June",6,U1514="July",7,U1514="August",8,U1514="September",9,U1514="October",10,U1514="November",11,U1514="December",12)</f>
        <v>#N/A</v>
      </c>
    </row>
    <row r="1515" spans="1:23" ht="15.75" customHeight="1" x14ac:dyDescent="0.25">
      <c r="A1515" s="2" t="s">
        <v>2343</v>
      </c>
      <c r="B1515" s="3">
        <v>45913.671365740738</v>
      </c>
      <c r="C1515" s="2" t="s">
        <v>2210</v>
      </c>
      <c r="D1515" s="2" t="s">
        <v>126</v>
      </c>
      <c r="E1515" s="2" t="s">
        <v>104</v>
      </c>
      <c r="F1515" s="2" t="str" cm="1">
        <f t="array" ref="F1515:G1515">_xlfn.TEXTSPLIT(E1515," - ")</f>
        <v>Bawang Merah</v>
      </c>
      <c r="G1515" s="2" t="str">
        <v>Brand A</v>
      </c>
      <c r="H1515" s="5">
        <v>30000</v>
      </c>
      <c r="I1515" s="2">
        <v>5</v>
      </c>
      <c r="J1515" s="2">
        <v>5</v>
      </c>
      <c r="K1515" s="8">
        <f t="shared" si="138"/>
        <v>150000</v>
      </c>
      <c r="L1515" s="8">
        <f t="shared" si="139"/>
        <v>7500</v>
      </c>
      <c r="M1515" s="8">
        <f t="shared" si="140"/>
        <v>142500</v>
      </c>
      <c r="N1515" s="5">
        <v>84000</v>
      </c>
      <c r="O1515" s="8">
        <f t="shared" si="141"/>
        <v>226500</v>
      </c>
      <c r="P1515" s="2" t="s">
        <v>35</v>
      </c>
      <c r="Q1515" s="10" t="str">
        <f>VLOOKUP(A1515,Status!A:B,2,0)</f>
        <v>Completed</v>
      </c>
      <c r="R1515" s="2" t="s">
        <v>82</v>
      </c>
      <c r="S1515" s="2">
        <v>1</v>
      </c>
      <c r="T1515" s="2" t="s">
        <v>24</v>
      </c>
      <c r="U1515" s="10" t="str">
        <f t="shared" si="143"/>
        <v>Sep</v>
      </c>
      <c r="V1515" s="10">
        <f t="shared" si="142"/>
        <v>2025</v>
      </c>
      <c r="W1515" t="e" cm="1">
        <f t="array" ref="W1515">_xlfn.IFS(U1515="January",1,U1515="February",2,U1515="March",3,U1515="April",4,U1515="May",5,U1515="June",6,U1515="July",7,U1515="August",8,U1515="September",9,U1515="October",10,U1515="November",11,U1515="December",12)</f>
        <v>#N/A</v>
      </c>
    </row>
    <row r="1516" spans="1:23" ht="15.75" customHeight="1" x14ac:dyDescent="0.25">
      <c r="A1516" s="2" t="s">
        <v>2344</v>
      </c>
      <c r="B1516" s="3">
        <v>45913.934953703712</v>
      </c>
      <c r="C1516" s="2" t="s">
        <v>1050</v>
      </c>
      <c r="D1516" s="2" t="s">
        <v>92</v>
      </c>
      <c r="E1516" s="2" t="s">
        <v>62</v>
      </c>
      <c r="F1516" s="2" t="str" cm="1">
        <f t="array" ref="F1516:G1516">_xlfn.TEXTSPLIT(E1516," - ")</f>
        <v>Susu Bubuk</v>
      </c>
      <c r="G1516" s="2" t="str">
        <v>Brand B</v>
      </c>
      <c r="H1516" s="5">
        <v>50000</v>
      </c>
      <c r="I1516" s="2">
        <v>3</v>
      </c>
      <c r="J1516" s="2">
        <v>10</v>
      </c>
      <c r="K1516" s="8">
        <f t="shared" si="138"/>
        <v>150000</v>
      </c>
      <c r="L1516" s="8">
        <f t="shared" si="139"/>
        <v>15000</v>
      </c>
      <c r="M1516" s="8">
        <f t="shared" si="140"/>
        <v>135000</v>
      </c>
      <c r="N1516" s="5">
        <v>30000</v>
      </c>
      <c r="O1516" s="8">
        <f t="shared" si="141"/>
        <v>165000</v>
      </c>
      <c r="P1516" s="2" t="s">
        <v>22</v>
      </c>
      <c r="Q1516" s="10" t="str">
        <f>VLOOKUP(A1516,Status!A:B,2,0)</f>
        <v>Completed</v>
      </c>
      <c r="R1516" s="2" t="s">
        <v>23</v>
      </c>
      <c r="S1516" s="2">
        <v>1</v>
      </c>
      <c r="T1516" s="2" t="s">
        <v>24</v>
      </c>
      <c r="U1516" s="10" t="str">
        <f t="shared" si="143"/>
        <v>Sep</v>
      </c>
      <c r="V1516" s="10">
        <f t="shared" si="142"/>
        <v>2025</v>
      </c>
      <c r="W1516" t="e" cm="1">
        <f t="array" ref="W1516">_xlfn.IFS(U1516="January",1,U1516="February",2,U1516="March",3,U1516="April",4,U1516="May",5,U1516="June",6,U1516="July",7,U1516="August",8,U1516="September",9,U1516="October",10,U1516="November",11,U1516="December",12)</f>
        <v>#N/A</v>
      </c>
    </row>
    <row r="1517" spans="1:23" ht="15.75" customHeight="1" x14ac:dyDescent="0.25">
      <c r="A1517" s="2" t="s">
        <v>2345</v>
      </c>
      <c r="B1517" s="3">
        <v>45914.369270833333</v>
      </c>
      <c r="C1517" s="2" t="s">
        <v>654</v>
      </c>
      <c r="D1517" s="2" t="s">
        <v>375</v>
      </c>
      <c r="E1517" s="2" t="s">
        <v>21</v>
      </c>
      <c r="F1517" s="2" t="str" cm="1">
        <f t="array" ref="F1517:G1517">_xlfn.TEXTSPLIT(E1517," - ")</f>
        <v>Daging Ayam</v>
      </c>
      <c r="G1517" s="2" t="str">
        <v>Brand C</v>
      </c>
      <c r="H1517" s="5">
        <v>45000</v>
      </c>
      <c r="I1517" s="2">
        <v>1</v>
      </c>
      <c r="J1517" s="2">
        <v>10</v>
      </c>
      <c r="K1517" s="8">
        <f t="shared" si="138"/>
        <v>45000</v>
      </c>
      <c r="L1517" s="8">
        <f t="shared" si="139"/>
        <v>4500</v>
      </c>
      <c r="M1517" s="8">
        <f t="shared" si="140"/>
        <v>40500</v>
      </c>
      <c r="N1517" s="5">
        <v>21000</v>
      </c>
      <c r="O1517" s="8">
        <f t="shared" si="141"/>
        <v>61500</v>
      </c>
      <c r="P1517" s="2" t="s">
        <v>63</v>
      </c>
      <c r="Q1517" s="10" t="str">
        <f>VLOOKUP(A1517,Status!A:B,2,0)</f>
        <v>Pending</v>
      </c>
      <c r="R1517" s="2" t="s">
        <v>82</v>
      </c>
      <c r="S1517" s="2">
        <v>3</v>
      </c>
      <c r="T1517" s="2" t="s">
        <v>24</v>
      </c>
      <c r="U1517" s="10" t="str">
        <f t="shared" si="143"/>
        <v>Sep</v>
      </c>
      <c r="V1517" s="10">
        <f t="shared" si="142"/>
        <v>2025</v>
      </c>
      <c r="W1517" t="e" cm="1">
        <f t="array" ref="W1517">_xlfn.IFS(U1517="January",1,U1517="February",2,U1517="March",3,U1517="April",4,U1517="May",5,U1517="June",6,U1517="July",7,U1517="August",8,U1517="September",9,U1517="October",10,U1517="November",11,U1517="December",12)</f>
        <v>#N/A</v>
      </c>
    </row>
    <row r="1518" spans="1:23" ht="15.75" customHeight="1" x14ac:dyDescent="0.25">
      <c r="A1518" s="2" t="s">
        <v>2346</v>
      </c>
      <c r="B1518" s="3">
        <v>45915.223090277781</v>
      </c>
      <c r="C1518" s="2" t="s">
        <v>1654</v>
      </c>
      <c r="D1518" s="2" t="s">
        <v>74</v>
      </c>
      <c r="E1518" s="2" t="s">
        <v>50</v>
      </c>
      <c r="F1518" s="2" t="str" cm="1">
        <f t="array" ref="F1518:G1518">_xlfn.TEXTSPLIT(E1518," - ")</f>
        <v>Tepung Terigu</v>
      </c>
      <c r="G1518" s="2" t="str">
        <v>Brand C</v>
      </c>
      <c r="H1518" s="5">
        <v>14000</v>
      </c>
      <c r="I1518" s="2">
        <v>5</v>
      </c>
      <c r="J1518" s="2">
        <v>20</v>
      </c>
      <c r="K1518" s="8">
        <f t="shared" si="138"/>
        <v>70000</v>
      </c>
      <c r="L1518" s="8">
        <f t="shared" si="139"/>
        <v>14000</v>
      </c>
      <c r="M1518" s="8">
        <f t="shared" si="140"/>
        <v>56000</v>
      </c>
      <c r="N1518" s="5">
        <v>87000</v>
      </c>
      <c r="O1518" s="8">
        <f t="shared" si="141"/>
        <v>143000</v>
      </c>
      <c r="P1518" s="2" t="s">
        <v>22</v>
      </c>
      <c r="Q1518" s="10" t="str">
        <f>VLOOKUP(A1518,Status!A:B,2,0)</f>
        <v>Shipped</v>
      </c>
      <c r="R1518" s="2" t="s">
        <v>36</v>
      </c>
      <c r="S1518" s="2">
        <v>3</v>
      </c>
      <c r="T1518" s="2" t="s">
        <v>37</v>
      </c>
      <c r="U1518" s="10" t="str">
        <f t="shared" si="143"/>
        <v>Sep</v>
      </c>
      <c r="V1518" s="10">
        <f t="shared" si="142"/>
        <v>2025</v>
      </c>
      <c r="W1518" t="e" cm="1">
        <f t="array" ref="W1518">_xlfn.IFS(U1518="January",1,U1518="February",2,U1518="March",3,U1518="April",4,U1518="May",5,U1518="June",6,U1518="July",7,U1518="August",8,U1518="September",9,U1518="October",10,U1518="November",11,U1518="December",12)</f>
        <v>#N/A</v>
      </c>
    </row>
    <row r="1519" spans="1:23" ht="15.75" customHeight="1" x14ac:dyDescent="0.25">
      <c r="A1519" s="2" t="s">
        <v>2346</v>
      </c>
      <c r="B1519" s="3">
        <v>45915.223090277781</v>
      </c>
      <c r="C1519" s="2" t="s">
        <v>1654</v>
      </c>
      <c r="D1519" s="2" t="s">
        <v>74</v>
      </c>
      <c r="E1519" s="2" t="s">
        <v>85</v>
      </c>
      <c r="F1519" s="2" t="str" cm="1">
        <f t="array" ref="F1519:G1519">_xlfn.TEXTSPLIT(E1519," - ")</f>
        <v>Daging Ayam</v>
      </c>
      <c r="G1519" s="2" t="str">
        <v>Brand A</v>
      </c>
      <c r="H1519" s="5">
        <v>35000</v>
      </c>
      <c r="I1519" s="2">
        <v>3</v>
      </c>
      <c r="J1519" s="2">
        <v>0</v>
      </c>
      <c r="K1519" s="8">
        <f t="shared" si="138"/>
        <v>105000</v>
      </c>
      <c r="L1519" s="8">
        <f t="shared" si="139"/>
        <v>0</v>
      </c>
      <c r="M1519" s="8">
        <f t="shared" si="140"/>
        <v>105000</v>
      </c>
      <c r="N1519" s="5">
        <v>0</v>
      </c>
      <c r="O1519" s="8">
        <f t="shared" si="141"/>
        <v>105000</v>
      </c>
      <c r="P1519" s="2" t="s">
        <v>22</v>
      </c>
      <c r="Q1519" s="10" t="str">
        <f>VLOOKUP(A1519,Status!A:B,2,0)</f>
        <v>Shipped</v>
      </c>
      <c r="R1519" s="2" t="s">
        <v>36</v>
      </c>
      <c r="S1519" s="2">
        <v>3</v>
      </c>
      <c r="T1519" s="2" t="s">
        <v>37</v>
      </c>
      <c r="U1519" s="10" t="str">
        <f t="shared" si="143"/>
        <v>Sep</v>
      </c>
      <c r="V1519" s="10">
        <f t="shared" si="142"/>
        <v>2025</v>
      </c>
      <c r="W1519" t="e" cm="1">
        <f t="array" ref="W1519">_xlfn.IFS(U1519="January",1,U1519="February",2,U1519="March",3,U1519="April",4,U1519="May",5,U1519="June",6,U1519="July",7,U1519="August",8,U1519="September",9,U1519="October",10,U1519="November",11,U1519="December",12)</f>
        <v>#N/A</v>
      </c>
    </row>
    <row r="1520" spans="1:23" ht="15.75" customHeight="1" x14ac:dyDescent="0.25">
      <c r="A1520" s="2" t="s">
        <v>2347</v>
      </c>
      <c r="B1520" s="3">
        <v>45915.235671296286</v>
      </c>
      <c r="C1520" s="2" t="s">
        <v>60</v>
      </c>
      <c r="D1520" s="2" t="s">
        <v>61</v>
      </c>
      <c r="E1520" s="2" t="s">
        <v>136</v>
      </c>
      <c r="F1520" s="2" t="str" cm="1">
        <f t="array" ref="F1520:G1520">_xlfn.TEXTSPLIT(E1520," - ")</f>
        <v>Tepung Terigu</v>
      </c>
      <c r="G1520" s="2" t="str">
        <v>Brand B</v>
      </c>
      <c r="H1520" s="5">
        <v>12000</v>
      </c>
      <c r="I1520" s="2">
        <v>2</v>
      </c>
      <c r="J1520" s="2">
        <v>0</v>
      </c>
      <c r="K1520" s="8">
        <f t="shared" si="138"/>
        <v>24000</v>
      </c>
      <c r="L1520" s="8">
        <f t="shared" si="139"/>
        <v>0</v>
      </c>
      <c r="M1520" s="8">
        <f t="shared" si="140"/>
        <v>24000</v>
      </c>
      <c r="N1520" s="5">
        <v>26000</v>
      </c>
      <c r="O1520" s="8">
        <f t="shared" si="141"/>
        <v>50000</v>
      </c>
      <c r="P1520" s="2" t="s">
        <v>29</v>
      </c>
      <c r="Q1520" s="10" t="str">
        <f>VLOOKUP(A1520,Status!A:B,2,0)</f>
        <v>Cancelled</v>
      </c>
      <c r="R1520" s="2" t="s">
        <v>23</v>
      </c>
      <c r="S1520" s="2">
        <v>1</v>
      </c>
      <c r="T1520" s="2" t="s">
        <v>24</v>
      </c>
      <c r="U1520" s="10" t="str">
        <f t="shared" si="143"/>
        <v>Sep</v>
      </c>
      <c r="V1520" s="10">
        <f t="shared" si="142"/>
        <v>2025</v>
      </c>
      <c r="W1520" t="e" cm="1">
        <f t="array" ref="W1520">_xlfn.IFS(U1520="January",1,U1520="February",2,U1520="March",3,U1520="April",4,U1520="May",5,U1520="June",6,U1520="July",7,U1520="August",8,U1520="September",9,U1520="October",10,U1520="November",11,U1520="December",12)</f>
        <v>#N/A</v>
      </c>
    </row>
    <row r="1521" spans="1:23" ht="15.75" customHeight="1" x14ac:dyDescent="0.25">
      <c r="A1521" s="2" t="s">
        <v>2348</v>
      </c>
      <c r="B1521" s="3">
        <v>45915.261840277781</v>
      </c>
      <c r="C1521" s="2" t="s">
        <v>157</v>
      </c>
      <c r="D1521" s="2" t="s">
        <v>20</v>
      </c>
      <c r="E1521" s="2" t="s">
        <v>75</v>
      </c>
      <c r="F1521" s="2" t="str" cm="1">
        <f t="array" ref="F1521:G1521">_xlfn.TEXTSPLIT(E1521," - ")</f>
        <v>Susu Bubuk</v>
      </c>
      <c r="G1521" s="2" t="str">
        <v>Brand C</v>
      </c>
      <c r="H1521" s="5">
        <v>55000</v>
      </c>
      <c r="I1521" s="2">
        <v>4</v>
      </c>
      <c r="J1521" s="2">
        <v>0</v>
      </c>
      <c r="K1521" s="8">
        <f t="shared" si="138"/>
        <v>220000</v>
      </c>
      <c r="L1521" s="8">
        <f t="shared" si="139"/>
        <v>0</v>
      </c>
      <c r="M1521" s="8">
        <f t="shared" si="140"/>
        <v>220000</v>
      </c>
      <c r="N1521" s="5">
        <v>15000</v>
      </c>
      <c r="O1521" s="8">
        <f t="shared" si="141"/>
        <v>235000</v>
      </c>
      <c r="P1521" s="2" t="s">
        <v>29</v>
      </c>
      <c r="Q1521" s="10" t="str">
        <f>VLOOKUP(A1521,Status!A:B,2,0)</f>
        <v>Pending</v>
      </c>
      <c r="R1521" s="2" t="s">
        <v>36</v>
      </c>
      <c r="S1521" s="2">
        <v>5</v>
      </c>
      <c r="T1521" s="2" t="s">
        <v>24</v>
      </c>
      <c r="U1521" s="10" t="str">
        <f t="shared" si="143"/>
        <v>Sep</v>
      </c>
      <c r="V1521" s="10">
        <f t="shared" si="142"/>
        <v>2025</v>
      </c>
      <c r="W1521" t="e" cm="1">
        <f t="array" ref="W1521">_xlfn.IFS(U1521="January",1,U1521="February",2,U1521="March",3,U1521="April",4,U1521="May",5,U1521="June",6,U1521="July",7,U1521="August",8,U1521="September",9,U1521="October",10,U1521="November",11,U1521="December",12)</f>
        <v>#N/A</v>
      </c>
    </row>
    <row r="1522" spans="1:23" ht="15.75" customHeight="1" x14ac:dyDescent="0.25">
      <c r="A1522" s="2" t="s">
        <v>2349</v>
      </c>
      <c r="B1522" s="3">
        <v>45915.289189814823</v>
      </c>
      <c r="C1522" s="2" t="s">
        <v>615</v>
      </c>
      <c r="D1522" s="2" t="s">
        <v>92</v>
      </c>
      <c r="E1522" s="2" t="s">
        <v>62</v>
      </c>
      <c r="F1522" s="2" t="str" cm="1">
        <f t="array" ref="F1522:G1522">_xlfn.TEXTSPLIT(E1522," - ")</f>
        <v>Susu Bubuk</v>
      </c>
      <c r="G1522" s="2" t="str">
        <v>Brand B</v>
      </c>
      <c r="H1522" s="5">
        <v>50000</v>
      </c>
      <c r="I1522" s="2">
        <v>1</v>
      </c>
      <c r="J1522" s="2">
        <v>10</v>
      </c>
      <c r="K1522" s="8">
        <f t="shared" si="138"/>
        <v>50000</v>
      </c>
      <c r="L1522" s="8">
        <f t="shared" si="139"/>
        <v>5000</v>
      </c>
      <c r="M1522" s="8">
        <f t="shared" si="140"/>
        <v>45000</v>
      </c>
      <c r="N1522" s="5">
        <v>30000</v>
      </c>
      <c r="O1522" s="8">
        <f t="shared" si="141"/>
        <v>75000</v>
      </c>
      <c r="P1522" s="2" t="s">
        <v>63</v>
      </c>
      <c r="Q1522" s="10" t="str">
        <f>VLOOKUP(A1522,Status!A:B,2,0)</f>
        <v>Completed</v>
      </c>
      <c r="R1522" s="2" t="s">
        <v>23</v>
      </c>
      <c r="S1522" s="2">
        <v>4</v>
      </c>
      <c r="T1522" s="2" t="s">
        <v>24</v>
      </c>
      <c r="U1522" s="10" t="str">
        <f t="shared" si="143"/>
        <v>Sep</v>
      </c>
      <c r="V1522" s="10">
        <f t="shared" si="142"/>
        <v>2025</v>
      </c>
      <c r="W1522" t="e" cm="1">
        <f t="array" ref="W1522">_xlfn.IFS(U1522="January",1,U1522="February",2,U1522="March",3,U1522="April",4,U1522="May",5,U1522="June",6,U1522="July",7,U1522="August",8,U1522="September",9,U1522="October",10,U1522="November",11,U1522="December",12)</f>
        <v>#N/A</v>
      </c>
    </row>
    <row r="1523" spans="1:23" ht="15.75" customHeight="1" x14ac:dyDescent="0.25">
      <c r="A1523" s="2" t="s">
        <v>2350</v>
      </c>
      <c r="B1523" s="3">
        <v>45915.563148148147</v>
      </c>
      <c r="C1523" s="2" t="s">
        <v>383</v>
      </c>
      <c r="D1523" s="2" t="s">
        <v>122</v>
      </c>
      <c r="E1523" s="2" t="s">
        <v>110</v>
      </c>
      <c r="F1523" s="2" t="str" cm="1">
        <f t="array" ref="F1523:G1523">_xlfn.TEXTSPLIT(E1523," - ")</f>
        <v>Garam</v>
      </c>
      <c r="G1523" s="2" t="str">
        <v>Brand C</v>
      </c>
      <c r="H1523" s="5">
        <v>6000</v>
      </c>
      <c r="I1523" s="2">
        <v>3</v>
      </c>
      <c r="J1523" s="2">
        <v>15</v>
      </c>
      <c r="K1523" s="8">
        <f t="shared" si="138"/>
        <v>18000</v>
      </c>
      <c r="L1523" s="8">
        <f t="shared" si="139"/>
        <v>2700</v>
      </c>
      <c r="M1523" s="8">
        <f t="shared" si="140"/>
        <v>15300</v>
      </c>
      <c r="N1523" s="5">
        <v>78000</v>
      </c>
      <c r="O1523" s="8">
        <f t="shared" si="141"/>
        <v>93300</v>
      </c>
      <c r="P1523" s="2" t="s">
        <v>22</v>
      </c>
      <c r="Q1523" s="10" t="str">
        <f>VLOOKUP(A1523,Status!A:B,2,0)</f>
        <v>Completed</v>
      </c>
      <c r="R1523" s="2" t="s">
        <v>46</v>
      </c>
      <c r="S1523" s="2">
        <v>2</v>
      </c>
      <c r="T1523" s="2" t="s">
        <v>24</v>
      </c>
      <c r="U1523" s="10" t="str">
        <f t="shared" si="143"/>
        <v>Sep</v>
      </c>
      <c r="V1523" s="10">
        <f t="shared" si="142"/>
        <v>2025</v>
      </c>
      <c r="W1523" t="e" cm="1">
        <f t="array" ref="W1523">_xlfn.IFS(U1523="January",1,U1523="February",2,U1523="March",3,U1523="April",4,U1523="May",5,U1523="June",6,U1523="July",7,U1523="August",8,U1523="September",9,U1523="October",10,U1523="November",11,U1523="December",12)</f>
        <v>#N/A</v>
      </c>
    </row>
    <row r="1524" spans="1:23" ht="15.75" customHeight="1" x14ac:dyDescent="0.25">
      <c r="A1524" s="2" t="s">
        <v>2351</v>
      </c>
      <c r="B1524" s="3">
        <v>45915.817013888889</v>
      </c>
      <c r="C1524" s="2" t="s">
        <v>693</v>
      </c>
      <c r="D1524" s="2" t="s">
        <v>119</v>
      </c>
      <c r="E1524" s="2" t="s">
        <v>110</v>
      </c>
      <c r="F1524" s="2" t="str" cm="1">
        <f t="array" ref="F1524:G1524">_xlfn.TEXTSPLIT(E1524," - ")</f>
        <v>Garam</v>
      </c>
      <c r="G1524" s="2" t="str">
        <v>Brand C</v>
      </c>
      <c r="H1524" s="5">
        <v>6000</v>
      </c>
      <c r="I1524" s="2">
        <v>3</v>
      </c>
      <c r="J1524" s="2">
        <v>20</v>
      </c>
      <c r="K1524" s="8">
        <f t="shared" si="138"/>
        <v>18000</v>
      </c>
      <c r="L1524" s="8">
        <f t="shared" si="139"/>
        <v>3600</v>
      </c>
      <c r="M1524" s="8">
        <f t="shared" si="140"/>
        <v>14400</v>
      </c>
      <c r="N1524" s="5">
        <v>0</v>
      </c>
      <c r="O1524" s="8">
        <f t="shared" si="141"/>
        <v>14400</v>
      </c>
      <c r="P1524" s="2" t="s">
        <v>22</v>
      </c>
      <c r="Q1524" s="10" t="str">
        <f>VLOOKUP(A1524,Status!A:B,2,0)</f>
        <v>Pending</v>
      </c>
      <c r="R1524" s="2" t="s">
        <v>46</v>
      </c>
      <c r="S1524" s="2">
        <v>3</v>
      </c>
      <c r="T1524" s="2" t="s">
        <v>24</v>
      </c>
      <c r="U1524" s="10" t="str">
        <f t="shared" si="143"/>
        <v>Sep</v>
      </c>
      <c r="V1524" s="10">
        <f t="shared" si="142"/>
        <v>2025</v>
      </c>
      <c r="W1524" t="e" cm="1">
        <f t="array" ref="W1524">_xlfn.IFS(U1524="January",1,U1524="February",2,U1524="March",3,U1524="April",4,U1524="May",5,U1524="June",6,U1524="July",7,U1524="August",8,U1524="September",9,U1524="October",10,U1524="November",11,U1524="December",12)</f>
        <v>#N/A</v>
      </c>
    </row>
    <row r="1525" spans="1:23" ht="15.75" customHeight="1" x14ac:dyDescent="0.25">
      <c r="A1525" s="2" t="s">
        <v>2352</v>
      </c>
      <c r="B1525" s="3">
        <v>45916.043009259258</v>
      </c>
      <c r="C1525" s="2" t="s">
        <v>368</v>
      </c>
      <c r="D1525" s="2" t="s">
        <v>113</v>
      </c>
      <c r="E1525" s="2" t="s">
        <v>88</v>
      </c>
      <c r="F1525" s="2" t="str" cm="1">
        <f t="array" ref="F1525:G1525">_xlfn.TEXTSPLIT(E1525," - ")</f>
        <v>Beras</v>
      </c>
      <c r="G1525" s="2" t="str">
        <v>Brand A</v>
      </c>
      <c r="H1525" s="5">
        <v>14000</v>
      </c>
      <c r="I1525" s="2">
        <v>4</v>
      </c>
      <c r="J1525" s="2">
        <v>15</v>
      </c>
      <c r="K1525" s="8">
        <f t="shared" si="138"/>
        <v>56000</v>
      </c>
      <c r="L1525" s="8">
        <f t="shared" si="139"/>
        <v>8400</v>
      </c>
      <c r="M1525" s="8">
        <f t="shared" si="140"/>
        <v>47600</v>
      </c>
      <c r="N1525" s="5">
        <v>18000</v>
      </c>
      <c r="O1525" s="8">
        <f t="shared" si="141"/>
        <v>65600</v>
      </c>
      <c r="P1525" s="2" t="s">
        <v>35</v>
      </c>
      <c r="Q1525" s="10" t="str">
        <f>VLOOKUP(A1525,Status!A:B,2,0)</f>
        <v>Completed</v>
      </c>
      <c r="R1525" s="2" t="s">
        <v>36</v>
      </c>
      <c r="S1525" s="2">
        <v>1</v>
      </c>
      <c r="T1525" s="2" t="s">
        <v>37</v>
      </c>
      <c r="U1525" s="10" t="str">
        <f t="shared" si="143"/>
        <v>Sep</v>
      </c>
      <c r="V1525" s="10">
        <f t="shared" si="142"/>
        <v>2025</v>
      </c>
      <c r="W1525" t="e" cm="1">
        <f t="array" ref="W1525">_xlfn.IFS(U1525="January",1,U1525="February",2,U1525="March",3,U1525="April",4,U1525="May",5,U1525="June",6,U1525="July",7,U1525="August",8,U1525="September",9,U1525="October",10,U1525="November",11,U1525="December",12)</f>
        <v>#N/A</v>
      </c>
    </row>
    <row r="1526" spans="1:23" ht="15.75" customHeight="1" x14ac:dyDescent="0.25">
      <c r="A1526" s="2" t="s">
        <v>2353</v>
      </c>
      <c r="B1526" s="3">
        <v>45916.137037037042</v>
      </c>
      <c r="C1526" s="2" t="s">
        <v>1040</v>
      </c>
      <c r="D1526" s="2" t="s">
        <v>61</v>
      </c>
      <c r="E1526" s="2" t="s">
        <v>28</v>
      </c>
      <c r="F1526" s="2" t="str" cm="1">
        <f t="array" ref="F1526:G1526">_xlfn.TEXTSPLIT(E1526," - ")</f>
        <v>Garam</v>
      </c>
      <c r="G1526" s="2" t="str">
        <v>Brand B</v>
      </c>
      <c r="H1526" s="5">
        <v>5000</v>
      </c>
      <c r="I1526" s="2">
        <v>1</v>
      </c>
      <c r="J1526" s="2">
        <v>0</v>
      </c>
      <c r="K1526" s="8">
        <f t="shared" si="138"/>
        <v>5000</v>
      </c>
      <c r="L1526" s="8">
        <f t="shared" si="139"/>
        <v>0</v>
      </c>
      <c r="M1526" s="8">
        <f t="shared" si="140"/>
        <v>5000</v>
      </c>
      <c r="N1526" s="5">
        <v>26000</v>
      </c>
      <c r="O1526" s="8">
        <f t="shared" si="141"/>
        <v>31000</v>
      </c>
      <c r="P1526" s="2" t="s">
        <v>22</v>
      </c>
      <c r="Q1526" s="10" t="str">
        <f>VLOOKUP(A1526,Status!A:B,2,0)</f>
        <v>Shipped</v>
      </c>
      <c r="R1526" s="2" t="s">
        <v>30</v>
      </c>
      <c r="S1526" s="2">
        <v>3</v>
      </c>
      <c r="T1526" s="2" t="s">
        <v>24</v>
      </c>
      <c r="U1526" s="10" t="str">
        <f t="shared" si="143"/>
        <v>Sep</v>
      </c>
      <c r="V1526" s="10">
        <f t="shared" si="142"/>
        <v>2025</v>
      </c>
      <c r="W1526" t="e" cm="1">
        <f t="array" ref="W1526">_xlfn.IFS(U1526="January",1,U1526="February",2,U1526="March",3,U1526="April",4,U1526="May",5,U1526="June",6,U1526="July",7,U1526="August",8,U1526="September",9,U1526="October",10,U1526="November",11,U1526="December",12)</f>
        <v>#N/A</v>
      </c>
    </row>
    <row r="1527" spans="1:23" ht="15.75" customHeight="1" x14ac:dyDescent="0.25">
      <c r="A1527" s="2" t="s">
        <v>2354</v>
      </c>
      <c r="B1527" s="3">
        <v>45916.459421296298</v>
      </c>
      <c r="C1527" s="2" t="s">
        <v>716</v>
      </c>
      <c r="D1527" s="2" t="s">
        <v>66</v>
      </c>
      <c r="E1527" s="2" t="s">
        <v>138</v>
      </c>
      <c r="F1527" s="2" t="str" cm="1">
        <f t="array" ref="F1527:G1527">_xlfn.TEXTSPLIT(E1527," - ")</f>
        <v>Gula Pasir</v>
      </c>
      <c r="G1527" s="2" t="str">
        <v>Brand B</v>
      </c>
      <c r="H1527" s="5">
        <v>17000</v>
      </c>
      <c r="I1527" s="2">
        <v>1</v>
      </c>
      <c r="J1527" s="2">
        <v>0</v>
      </c>
      <c r="K1527" s="8">
        <f t="shared" si="138"/>
        <v>17000</v>
      </c>
      <c r="L1527" s="8">
        <f t="shared" si="139"/>
        <v>0</v>
      </c>
      <c r="M1527" s="8">
        <f t="shared" si="140"/>
        <v>17000</v>
      </c>
      <c r="N1527" s="5">
        <v>59000</v>
      </c>
      <c r="O1527" s="8">
        <f t="shared" si="141"/>
        <v>76000</v>
      </c>
      <c r="P1527" s="2" t="s">
        <v>35</v>
      </c>
      <c r="Q1527" s="10" t="str">
        <f>VLOOKUP(A1527,Status!A:B,2,0)</f>
        <v>Pending</v>
      </c>
      <c r="R1527" s="2" t="s">
        <v>30</v>
      </c>
      <c r="S1527" s="2">
        <v>2</v>
      </c>
      <c r="T1527" s="2" t="s">
        <v>24</v>
      </c>
      <c r="U1527" s="10" t="str">
        <f t="shared" si="143"/>
        <v>Sep</v>
      </c>
      <c r="V1527" s="10">
        <f t="shared" si="142"/>
        <v>2025</v>
      </c>
      <c r="W1527" t="e" cm="1">
        <f t="array" ref="W1527">_xlfn.IFS(U1527="January",1,U1527="February",2,U1527="March",3,U1527="April",4,U1527="May",5,U1527="June",6,U1527="July",7,U1527="August",8,U1527="September",9,U1527="October",10,U1527="November",11,U1527="December",12)</f>
        <v>#N/A</v>
      </c>
    </row>
    <row r="1528" spans="1:23" ht="15.75" customHeight="1" x14ac:dyDescent="0.25">
      <c r="A1528" s="2" t="s">
        <v>2355</v>
      </c>
      <c r="B1528" s="3">
        <v>45916.722824074073</v>
      </c>
      <c r="C1528" s="2" t="s">
        <v>582</v>
      </c>
      <c r="D1528" s="2" t="s">
        <v>435</v>
      </c>
      <c r="E1528" s="2" t="s">
        <v>58</v>
      </c>
      <c r="F1528" s="2" t="str" cm="1">
        <f t="array" ref="F1528:G1528">_xlfn.TEXTSPLIT(E1528," - ")</f>
        <v>Gula Pasir</v>
      </c>
      <c r="G1528" s="2" t="str">
        <v>Brand A</v>
      </c>
      <c r="H1528" s="5">
        <v>16000</v>
      </c>
      <c r="I1528" s="2">
        <v>5</v>
      </c>
      <c r="J1528" s="2">
        <v>10</v>
      </c>
      <c r="K1528" s="8">
        <f t="shared" si="138"/>
        <v>80000</v>
      </c>
      <c r="L1528" s="8">
        <f t="shared" si="139"/>
        <v>8000</v>
      </c>
      <c r="M1528" s="8">
        <f t="shared" si="140"/>
        <v>72000</v>
      </c>
      <c r="N1528" s="5">
        <v>67000</v>
      </c>
      <c r="O1528" s="8">
        <f t="shared" si="141"/>
        <v>139000</v>
      </c>
      <c r="P1528" s="2" t="s">
        <v>22</v>
      </c>
      <c r="Q1528" s="10" t="str">
        <f>VLOOKUP(A1528,Status!A:B,2,0)</f>
        <v>Shipped</v>
      </c>
      <c r="R1528" s="2" t="s">
        <v>82</v>
      </c>
      <c r="S1528" s="2">
        <v>3</v>
      </c>
      <c r="T1528" s="2" t="s">
        <v>24</v>
      </c>
      <c r="U1528" s="10" t="str">
        <f t="shared" si="143"/>
        <v>Sep</v>
      </c>
      <c r="V1528" s="10">
        <f t="shared" si="142"/>
        <v>2025</v>
      </c>
      <c r="W1528" t="e" cm="1">
        <f t="array" ref="W1528">_xlfn.IFS(U1528="January",1,U1528="February",2,U1528="March",3,U1528="April",4,U1528="May",5,U1528="June",6,U1528="July",7,U1528="August",8,U1528="September",9,U1528="October",10,U1528="November",11,U1528="December",12)</f>
        <v>#N/A</v>
      </c>
    </row>
    <row r="1529" spans="1:23" ht="15.75" customHeight="1" x14ac:dyDescent="0.25">
      <c r="A1529" s="2" t="s">
        <v>264</v>
      </c>
      <c r="B1529" s="3">
        <v>45566.031354166669</v>
      </c>
      <c r="C1529" s="2" t="s">
        <v>265</v>
      </c>
      <c r="D1529" s="2" t="s">
        <v>119</v>
      </c>
      <c r="E1529" s="2" t="s">
        <v>190</v>
      </c>
      <c r="F1529" s="2" t="str" cm="1">
        <f t="array" ref="F1529:G1529">_xlfn.TEXTSPLIT(E1529," - ")</f>
        <v>Bawang Merah</v>
      </c>
      <c r="G1529" s="2" t="str">
        <v>Brand B</v>
      </c>
      <c r="H1529" s="5">
        <v>35000</v>
      </c>
      <c r="I1529" s="2">
        <v>5</v>
      </c>
      <c r="J1529" s="2">
        <v>0</v>
      </c>
      <c r="K1529" s="8">
        <f t="shared" si="138"/>
        <v>175000</v>
      </c>
      <c r="L1529" s="8">
        <f t="shared" si="139"/>
        <v>0</v>
      </c>
      <c r="M1529" s="8">
        <f t="shared" si="140"/>
        <v>175000</v>
      </c>
      <c r="N1529" s="5">
        <v>0</v>
      </c>
      <c r="O1529" s="8">
        <f t="shared" si="141"/>
        <v>175000</v>
      </c>
      <c r="P1529" s="2" t="s">
        <v>35</v>
      </c>
      <c r="Q1529" s="10" t="str">
        <f>VLOOKUP(A1529,Status!A:B,2,0)</f>
        <v>Completed</v>
      </c>
      <c r="R1529" s="2" t="s">
        <v>82</v>
      </c>
      <c r="S1529" s="2">
        <v>1</v>
      </c>
      <c r="T1529" s="2" t="s">
        <v>24</v>
      </c>
      <c r="U1529" s="10" t="str">
        <f t="shared" si="143"/>
        <v>Oct</v>
      </c>
      <c r="V1529" s="10">
        <f t="shared" si="142"/>
        <v>2024</v>
      </c>
      <c r="W1529" t="e" cm="1">
        <f t="array" ref="W1529">_xlfn.IFS(U1529="January",1,U1529="February",2,U1529="March",3,U1529="April",4,U1529="May",5,U1529="June",6,U1529="July",7,U1529="August",8,U1529="September",9,U1529="October",10,U1529="November",11,U1529="December",12)</f>
        <v>#N/A</v>
      </c>
    </row>
    <row r="1530" spans="1:23" ht="15.75" customHeight="1" x14ac:dyDescent="0.25">
      <c r="A1530" s="2" t="s">
        <v>266</v>
      </c>
      <c r="B1530" s="3">
        <v>45566.726631944453</v>
      </c>
      <c r="C1530" s="2" t="s">
        <v>267</v>
      </c>
      <c r="D1530" s="2" t="s">
        <v>131</v>
      </c>
      <c r="E1530" s="2" t="s">
        <v>28</v>
      </c>
      <c r="F1530" s="2" t="str" cm="1">
        <f t="array" ref="F1530:G1530">_xlfn.TEXTSPLIT(E1530," - ")</f>
        <v>Garam</v>
      </c>
      <c r="G1530" s="2" t="str">
        <v>Brand B</v>
      </c>
      <c r="H1530" s="5">
        <v>5000</v>
      </c>
      <c r="I1530" s="2">
        <v>3</v>
      </c>
      <c r="J1530" s="2">
        <v>10</v>
      </c>
      <c r="K1530" s="8">
        <f t="shared" si="138"/>
        <v>15000</v>
      </c>
      <c r="L1530" s="8">
        <f t="shared" si="139"/>
        <v>1500</v>
      </c>
      <c r="M1530" s="8">
        <f t="shared" si="140"/>
        <v>13500</v>
      </c>
      <c r="N1530" s="5">
        <v>59000</v>
      </c>
      <c r="O1530" s="8">
        <f t="shared" si="141"/>
        <v>72500</v>
      </c>
      <c r="P1530" s="2" t="s">
        <v>22</v>
      </c>
      <c r="Q1530" s="10" t="str">
        <f>VLOOKUP(A1530,Status!A:B,2,0)</f>
        <v>Returned</v>
      </c>
      <c r="R1530" s="2" t="s">
        <v>30</v>
      </c>
      <c r="S1530" s="2">
        <v>3</v>
      </c>
      <c r="T1530" s="2" t="s">
        <v>24</v>
      </c>
      <c r="U1530" s="10" t="str">
        <f t="shared" si="143"/>
        <v>Oct</v>
      </c>
      <c r="V1530" s="10">
        <f t="shared" si="142"/>
        <v>2024</v>
      </c>
      <c r="W1530" t="e" cm="1">
        <f t="array" ref="W1530">_xlfn.IFS(U1530="January",1,U1530="February",2,U1530="March",3,U1530="April",4,U1530="May",5,U1530="June",6,U1530="July",7,U1530="August",8,U1530="September",9,U1530="October",10,U1530="November",11,U1530="December",12)</f>
        <v>#N/A</v>
      </c>
    </row>
    <row r="1531" spans="1:23" ht="15.75" customHeight="1" x14ac:dyDescent="0.25">
      <c r="A1531" s="2" t="s">
        <v>268</v>
      </c>
      <c r="B1531" s="3">
        <v>45566.999780092592</v>
      </c>
      <c r="C1531" s="2" t="s">
        <v>269</v>
      </c>
      <c r="D1531" s="2" t="s">
        <v>173</v>
      </c>
      <c r="E1531" s="2" t="s">
        <v>250</v>
      </c>
      <c r="F1531" s="2" t="str" cm="1">
        <f t="array" ref="F1531:G1531">_xlfn.TEXTSPLIT(E1531," - ")</f>
        <v>Minyak Goreng</v>
      </c>
      <c r="G1531" s="2" t="str">
        <v>Brand C</v>
      </c>
      <c r="H1531" s="5">
        <v>18000</v>
      </c>
      <c r="I1531" s="2">
        <v>5</v>
      </c>
      <c r="J1531" s="2">
        <v>20</v>
      </c>
      <c r="K1531" s="8">
        <f t="shared" si="138"/>
        <v>90000</v>
      </c>
      <c r="L1531" s="8">
        <f t="shared" si="139"/>
        <v>18000</v>
      </c>
      <c r="M1531" s="8">
        <f t="shared" si="140"/>
        <v>72000</v>
      </c>
      <c r="N1531" s="5">
        <v>49000</v>
      </c>
      <c r="O1531" s="8">
        <f t="shared" si="141"/>
        <v>121000</v>
      </c>
      <c r="P1531" s="2" t="s">
        <v>22</v>
      </c>
      <c r="Q1531" s="10" t="str">
        <f>VLOOKUP(A1531,Status!A:B,2,0)</f>
        <v>Completed</v>
      </c>
      <c r="R1531" s="2" t="s">
        <v>23</v>
      </c>
      <c r="S1531" s="2">
        <v>4</v>
      </c>
      <c r="T1531" s="2" t="s">
        <v>37</v>
      </c>
      <c r="U1531" s="10" t="str">
        <f t="shared" si="143"/>
        <v>Oct</v>
      </c>
      <c r="V1531" s="10">
        <f t="shared" si="142"/>
        <v>2024</v>
      </c>
      <c r="W1531" t="e" cm="1">
        <f t="array" ref="W1531">_xlfn.IFS(U1531="January",1,U1531="February",2,U1531="March",3,U1531="April",4,U1531="May",5,U1531="June",6,U1531="July",7,U1531="August",8,U1531="September",9,U1531="October",10,U1531="November",11,U1531="December",12)</f>
        <v>#N/A</v>
      </c>
    </row>
    <row r="1532" spans="1:23" ht="15.75" customHeight="1" x14ac:dyDescent="0.25">
      <c r="A1532" s="2" t="s">
        <v>270</v>
      </c>
      <c r="B1532" s="3">
        <v>45567.289039351846</v>
      </c>
      <c r="C1532" s="2" t="s">
        <v>271</v>
      </c>
      <c r="D1532" s="2" t="s">
        <v>49</v>
      </c>
      <c r="E1532" s="2" t="s">
        <v>28</v>
      </c>
      <c r="F1532" s="2" t="str" cm="1">
        <f t="array" ref="F1532:G1532">_xlfn.TEXTSPLIT(E1532," - ")</f>
        <v>Garam</v>
      </c>
      <c r="G1532" s="2" t="str">
        <v>Brand B</v>
      </c>
      <c r="H1532" s="5">
        <v>5000</v>
      </c>
      <c r="I1532" s="2">
        <v>5</v>
      </c>
      <c r="J1532" s="2">
        <v>15</v>
      </c>
      <c r="K1532" s="8">
        <f t="shared" si="138"/>
        <v>25000</v>
      </c>
      <c r="L1532" s="8">
        <f t="shared" si="139"/>
        <v>3750</v>
      </c>
      <c r="M1532" s="8">
        <f t="shared" si="140"/>
        <v>21250</v>
      </c>
      <c r="N1532" s="5">
        <v>43000</v>
      </c>
      <c r="O1532" s="8">
        <f t="shared" si="141"/>
        <v>64250</v>
      </c>
      <c r="P1532" s="2" t="s">
        <v>29</v>
      </c>
      <c r="Q1532" s="10" t="str">
        <f>VLOOKUP(A1532,Status!A:B,2,0)</f>
        <v>Completed</v>
      </c>
      <c r="R1532" s="2" t="s">
        <v>46</v>
      </c>
      <c r="S1532" s="2">
        <v>2</v>
      </c>
      <c r="T1532" s="2" t="s">
        <v>24</v>
      </c>
      <c r="U1532" s="10" t="str">
        <f t="shared" si="143"/>
        <v>Oct</v>
      </c>
      <c r="V1532" s="10">
        <f t="shared" si="142"/>
        <v>2024</v>
      </c>
      <c r="W1532" t="e" cm="1">
        <f t="array" ref="W1532">_xlfn.IFS(U1532="January",1,U1532="February",2,U1532="March",3,U1532="April",4,U1532="May",5,U1532="June",6,U1532="July",7,U1532="August",8,U1532="September",9,U1532="October",10,U1532="November",11,U1532="December",12)</f>
        <v>#N/A</v>
      </c>
    </row>
    <row r="1533" spans="1:23" ht="15.75" customHeight="1" x14ac:dyDescent="0.25">
      <c r="A1533" s="2" t="s">
        <v>272</v>
      </c>
      <c r="B1533" s="3">
        <v>45567.723541666674</v>
      </c>
      <c r="C1533" s="2" t="s">
        <v>273</v>
      </c>
      <c r="D1533" s="2" t="s">
        <v>195</v>
      </c>
      <c r="E1533" s="2" t="s">
        <v>67</v>
      </c>
      <c r="F1533" s="2" t="str" cm="1">
        <f t="array" ref="F1533:G1533">_xlfn.TEXTSPLIT(E1533," - ")</f>
        <v>Beras</v>
      </c>
      <c r="G1533" s="2" t="str">
        <v>Brand B</v>
      </c>
      <c r="H1533" s="5">
        <v>15000</v>
      </c>
      <c r="I1533" s="2">
        <v>2</v>
      </c>
      <c r="J1533" s="2">
        <v>20</v>
      </c>
      <c r="K1533" s="8">
        <f t="shared" si="138"/>
        <v>30000</v>
      </c>
      <c r="L1533" s="8">
        <f t="shared" si="139"/>
        <v>6000</v>
      </c>
      <c r="M1533" s="8">
        <f t="shared" si="140"/>
        <v>24000</v>
      </c>
      <c r="N1533" s="5">
        <v>87000</v>
      </c>
      <c r="O1533" s="8">
        <f t="shared" si="141"/>
        <v>111000</v>
      </c>
      <c r="P1533" s="2" t="s">
        <v>29</v>
      </c>
      <c r="Q1533" s="10" t="str">
        <f>VLOOKUP(A1533,Status!A:B,2,0)</f>
        <v>Completed</v>
      </c>
      <c r="R1533" s="2" t="s">
        <v>46</v>
      </c>
      <c r="S1533" s="2">
        <v>5</v>
      </c>
      <c r="T1533" s="2" t="s">
        <v>24</v>
      </c>
      <c r="U1533" s="10" t="str">
        <f t="shared" si="143"/>
        <v>Oct</v>
      </c>
      <c r="V1533" s="10">
        <f t="shared" si="142"/>
        <v>2024</v>
      </c>
      <c r="W1533" t="e" cm="1">
        <f t="array" ref="W1533">_xlfn.IFS(U1533="January",1,U1533="February",2,U1533="March",3,U1533="April",4,U1533="May",5,U1533="June",6,U1533="July",7,U1533="August",8,U1533="September",9,U1533="October",10,U1533="November",11,U1533="December",12)</f>
        <v>#N/A</v>
      </c>
    </row>
    <row r="1534" spans="1:23" ht="15.75" customHeight="1" x14ac:dyDescent="0.25">
      <c r="A1534" s="2" t="s">
        <v>274</v>
      </c>
      <c r="B1534" s="3">
        <v>45567.82440972222</v>
      </c>
      <c r="C1534" s="2" t="s">
        <v>275</v>
      </c>
      <c r="D1534" s="2" t="s">
        <v>96</v>
      </c>
      <c r="E1534" s="2" t="s">
        <v>93</v>
      </c>
      <c r="F1534" s="2" t="str" cm="1">
        <f t="array" ref="F1534:G1534">_xlfn.TEXTSPLIT(E1534," - ")</f>
        <v>Telur Ayam</v>
      </c>
      <c r="G1534" s="2" t="str">
        <v>Brand B</v>
      </c>
      <c r="H1534" s="5">
        <v>25000</v>
      </c>
      <c r="I1534" s="2">
        <v>5</v>
      </c>
      <c r="J1534" s="2">
        <v>15</v>
      </c>
      <c r="K1534" s="8">
        <f t="shared" si="138"/>
        <v>125000</v>
      </c>
      <c r="L1534" s="8">
        <f t="shared" si="139"/>
        <v>18750</v>
      </c>
      <c r="M1534" s="8">
        <f t="shared" si="140"/>
        <v>106250</v>
      </c>
      <c r="N1534" s="5">
        <v>49000</v>
      </c>
      <c r="O1534" s="8">
        <f t="shared" si="141"/>
        <v>155250</v>
      </c>
      <c r="P1534" s="2" t="s">
        <v>35</v>
      </c>
      <c r="Q1534" s="10" t="str">
        <f>VLOOKUP(A1534,Status!A:B,2,0)</f>
        <v>Returned</v>
      </c>
      <c r="R1534" s="2" t="s">
        <v>23</v>
      </c>
      <c r="S1534" s="2">
        <v>2</v>
      </c>
      <c r="T1534" s="2" t="s">
        <v>24</v>
      </c>
      <c r="U1534" s="10" t="str">
        <f t="shared" si="143"/>
        <v>Oct</v>
      </c>
      <c r="V1534" s="10">
        <f t="shared" si="142"/>
        <v>2024</v>
      </c>
      <c r="W1534" t="e" cm="1">
        <f t="array" ref="W1534">_xlfn.IFS(U1534="January",1,U1534="February",2,U1534="March",3,U1534="April",4,U1534="May",5,U1534="June",6,U1534="July",7,U1534="August",8,U1534="September",9,U1534="October",10,U1534="November",11,U1534="December",12)</f>
        <v>#N/A</v>
      </c>
    </row>
    <row r="1535" spans="1:23" ht="15.75" customHeight="1" x14ac:dyDescent="0.25">
      <c r="A1535" s="2" t="s">
        <v>276</v>
      </c>
      <c r="B1535" s="3">
        <v>45568.027962962973</v>
      </c>
      <c r="C1535" s="2" t="s">
        <v>277</v>
      </c>
      <c r="D1535" s="2" t="s">
        <v>119</v>
      </c>
      <c r="E1535" s="2" t="s">
        <v>58</v>
      </c>
      <c r="F1535" s="2" t="str" cm="1">
        <f t="array" ref="F1535:G1535">_xlfn.TEXTSPLIT(E1535," - ")</f>
        <v>Gula Pasir</v>
      </c>
      <c r="G1535" s="2" t="str">
        <v>Brand A</v>
      </c>
      <c r="H1535" s="5">
        <v>16000</v>
      </c>
      <c r="I1535" s="2">
        <v>4</v>
      </c>
      <c r="J1535" s="2">
        <v>0</v>
      </c>
      <c r="K1535" s="8">
        <f t="shared" si="138"/>
        <v>64000</v>
      </c>
      <c r="L1535" s="8">
        <f t="shared" si="139"/>
        <v>0</v>
      </c>
      <c r="M1535" s="8">
        <f t="shared" si="140"/>
        <v>64000</v>
      </c>
      <c r="N1535" s="5">
        <v>0</v>
      </c>
      <c r="O1535" s="8">
        <f t="shared" si="141"/>
        <v>64000</v>
      </c>
      <c r="P1535" s="2" t="s">
        <v>29</v>
      </c>
      <c r="Q1535" s="10" t="str">
        <f>VLOOKUP(A1535,Status!A:B,2,0)</f>
        <v>Completed</v>
      </c>
      <c r="R1535" s="2" t="s">
        <v>46</v>
      </c>
      <c r="S1535" s="2">
        <v>4</v>
      </c>
      <c r="T1535" s="2" t="s">
        <v>24</v>
      </c>
      <c r="U1535" s="10" t="str">
        <f t="shared" si="143"/>
        <v>Oct</v>
      </c>
      <c r="V1535" s="10">
        <f t="shared" si="142"/>
        <v>2024</v>
      </c>
      <c r="W1535" t="e" cm="1">
        <f t="array" ref="W1535">_xlfn.IFS(U1535="January",1,U1535="February",2,U1535="March",3,U1535="April",4,U1535="May",5,U1535="June",6,U1535="July",7,U1535="August",8,U1535="September",9,U1535="October",10,U1535="November",11,U1535="December",12)</f>
        <v>#N/A</v>
      </c>
    </row>
    <row r="1536" spans="1:23" ht="15.75" customHeight="1" x14ac:dyDescent="0.25">
      <c r="A1536" s="2" t="s">
        <v>278</v>
      </c>
      <c r="B1536" s="3">
        <v>45568.078692129631</v>
      </c>
      <c r="C1536" s="2" t="s">
        <v>254</v>
      </c>
      <c r="D1536" s="2" t="s">
        <v>61</v>
      </c>
      <c r="E1536" s="2" t="s">
        <v>41</v>
      </c>
      <c r="F1536" s="2" t="str" cm="1">
        <f t="array" ref="F1536:G1536">_xlfn.TEXTSPLIT(E1536," - ")</f>
        <v>Garam</v>
      </c>
      <c r="G1536" s="2" t="str">
        <v>Brand A</v>
      </c>
      <c r="H1536" s="5">
        <v>4000</v>
      </c>
      <c r="I1536" s="2">
        <v>1</v>
      </c>
      <c r="J1536" s="2">
        <v>20</v>
      </c>
      <c r="K1536" s="8">
        <f t="shared" si="138"/>
        <v>4000</v>
      </c>
      <c r="L1536" s="8">
        <f t="shared" si="139"/>
        <v>800</v>
      </c>
      <c r="M1536" s="8">
        <f t="shared" si="140"/>
        <v>3200</v>
      </c>
      <c r="N1536" s="5">
        <v>26000</v>
      </c>
      <c r="O1536" s="8">
        <f t="shared" si="141"/>
        <v>29200</v>
      </c>
      <c r="P1536" s="2" t="s">
        <v>35</v>
      </c>
      <c r="Q1536" s="10" t="str">
        <f>VLOOKUP(A1536,Status!A:B,2,0)</f>
        <v>Completed</v>
      </c>
      <c r="R1536" s="2" t="s">
        <v>82</v>
      </c>
      <c r="S1536" s="2">
        <v>1</v>
      </c>
      <c r="T1536" s="2" t="s">
        <v>24</v>
      </c>
      <c r="U1536" s="10" t="str">
        <f t="shared" si="143"/>
        <v>Oct</v>
      </c>
      <c r="V1536" s="10">
        <f t="shared" si="142"/>
        <v>2024</v>
      </c>
      <c r="W1536" t="e" cm="1">
        <f t="array" ref="W1536">_xlfn.IFS(U1536="January",1,U1536="February",2,U1536="March",3,U1536="April",4,U1536="May",5,U1536="June",6,U1536="July",7,U1536="August",8,U1536="September",9,U1536="October",10,U1536="November",11,U1536="December",12)</f>
        <v>#N/A</v>
      </c>
    </row>
    <row r="1537" spans="1:23" ht="15.75" customHeight="1" x14ac:dyDescent="0.25">
      <c r="A1537" s="2" t="s">
        <v>279</v>
      </c>
      <c r="B1537" s="3">
        <v>45568.349606481483</v>
      </c>
      <c r="C1537" s="2" t="s">
        <v>95</v>
      </c>
      <c r="D1537" s="2" t="s">
        <v>96</v>
      </c>
      <c r="E1537" s="2" t="s">
        <v>174</v>
      </c>
      <c r="F1537" s="2" t="str" cm="1">
        <f t="array" ref="F1537:G1537">_xlfn.TEXTSPLIT(E1537," - ")</f>
        <v>Tepung Terigu</v>
      </c>
      <c r="G1537" s="2" t="str">
        <v>Brand A</v>
      </c>
      <c r="H1537" s="5">
        <v>10000</v>
      </c>
      <c r="I1537" s="2">
        <v>4</v>
      </c>
      <c r="J1537" s="2">
        <v>0</v>
      </c>
      <c r="K1537" s="8">
        <f t="shared" si="138"/>
        <v>40000</v>
      </c>
      <c r="L1537" s="8">
        <f t="shared" si="139"/>
        <v>0</v>
      </c>
      <c r="M1537" s="8">
        <f t="shared" si="140"/>
        <v>40000</v>
      </c>
      <c r="N1537" s="5">
        <v>49000</v>
      </c>
      <c r="O1537" s="8">
        <f t="shared" si="141"/>
        <v>89000</v>
      </c>
      <c r="P1537" s="2" t="s">
        <v>22</v>
      </c>
      <c r="Q1537" s="10" t="str">
        <f>VLOOKUP(A1537,Status!A:B,2,0)</f>
        <v>Completed</v>
      </c>
      <c r="R1537" s="2" t="s">
        <v>23</v>
      </c>
      <c r="S1537" s="2">
        <v>2</v>
      </c>
      <c r="T1537" s="2" t="s">
        <v>24</v>
      </c>
      <c r="U1537" s="10" t="str">
        <f t="shared" si="143"/>
        <v>Oct</v>
      </c>
      <c r="V1537" s="10">
        <f t="shared" si="142"/>
        <v>2024</v>
      </c>
      <c r="W1537" t="e" cm="1">
        <f t="array" ref="W1537">_xlfn.IFS(U1537="January",1,U1537="February",2,U1537="March",3,U1537="April",4,U1537="May",5,U1537="June",6,U1537="July",7,U1537="August",8,U1537="September",9,U1537="October",10,U1537="November",11,U1537="December",12)</f>
        <v>#N/A</v>
      </c>
    </row>
    <row r="1538" spans="1:23" ht="15.75" customHeight="1" x14ac:dyDescent="0.25">
      <c r="A1538" s="2" t="s">
        <v>280</v>
      </c>
      <c r="B1538" s="3">
        <v>45568.446655092594</v>
      </c>
      <c r="C1538" s="2" t="s">
        <v>281</v>
      </c>
      <c r="D1538" s="2" t="s">
        <v>151</v>
      </c>
      <c r="E1538" s="2" t="s">
        <v>110</v>
      </c>
      <c r="F1538" s="2" t="str" cm="1">
        <f t="array" ref="F1538:G1538">_xlfn.TEXTSPLIT(E1538," - ")</f>
        <v>Garam</v>
      </c>
      <c r="G1538" s="2" t="str">
        <v>Brand C</v>
      </c>
      <c r="H1538" s="5">
        <v>6000</v>
      </c>
      <c r="I1538" s="2">
        <v>1</v>
      </c>
      <c r="J1538" s="2">
        <v>5</v>
      </c>
      <c r="K1538" s="8">
        <f t="shared" ref="K1538:K1601" si="144">H1538*I1538</f>
        <v>6000</v>
      </c>
      <c r="L1538" s="8">
        <f t="shared" ref="L1538:L1601" si="145">K1538*J1538%</f>
        <v>300</v>
      </c>
      <c r="M1538" s="8">
        <f t="shared" ref="M1538:M1601" si="146">K1538-L1538</f>
        <v>5700</v>
      </c>
      <c r="N1538" s="5">
        <v>55000</v>
      </c>
      <c r="O1538" s="8">
        <f t="shared" ref="O1538:O1601" si="147">M1538+N1538</f>
        <v>60700</v>
      </c>
      <c r="P1538" s="2" t="s">
        <v>29</v>
      </c>
      <c r="Q1538" s="10" t="str">
        <f>VLOOKUP(A1538,Status!A:B,2,0)</f>
        <v>Completed</v>
      </c>
      <c r="R1538" s="2" t="s">
        <v>30</v>
      </c>
      <c r="S1538" s="2">
        <v>4</v>
      </c>
      <c r="T1538" s="2" t="s">
        <v>24</v>
      </c>
      <c r="U1538" s="10" t="str">
        <f t="shared" si="143"/>
        <v>Oct</v>
      </c>
      <c r="V1538" s="10">
        <f t="shared" ref="V1538:V1601" si="148">YEAR(B1538)</f>
        <v>2024</v>
      </c>
      <c r="W1538" t="e" cm="1">
        <f t="array" ref="W1538">_xlfn.IFS(U1538="January",1,U1538="February",2,U1538="March",3,U1538="April",4,U1538="May",5,U1538="June",6,U1538="July",7,U1538="August",8,U1538="September",9,U1538="October",10,U1538="November",11,U1538="December",12)</f>
        <v>#N/A</v>
      </c>
    </row>
    <row r="1539" spans="1:23" ht="15.75" customHeight="1" x14ac:dyDescent="0.25">
      <c r="A1539" s="2" t="s">
        <v>282</v>
      </c>
      <c r="B1539" s="3">
        <v>45568.770300925928</v>
      </c>
      <c r="C1539" s="2" t="s">
        <v>283</v>
      </c>
      <c r="D1539" s="2" t="s">
        <v>92</v>
      </c>
      <c r="E1539" s="2" t="s">
        <v>93</v>
      </c>
      <c r="F1539" s="2" t="str" cm="1">
        <f t="array" ref="F1539:G1539">_xlfn.TEXTSPLIT(E1539," - ")</f>
        <v>Telur Ayam</v>
      </c>
      <c r="G1539" s="2" t="str">
        <v>Brand B</v>
      </c>
      <c r="H1539" s="5">
        <v>25000</v>
      </c>
      <c r="I1539" s="2">
        <v>2</v>
      </c>
      <c r="J1539" s="2">
        <v>0</v>
      </c>
      <c r="K1539" s="8">
        <f t="shared" si="144"/>
        <v>50000</v>
      </c>
      <c r="L1539" s="8">
        <f t="shared" si="145"/>
        <v>0</v>
      </c>
      <c r="M1539" s="8">
        <f t="shared" si="146"/>
        <v>50000</v>
      </c>
      <c r="N1539" s="5">
        <v>30000</v>
      </c>
      <c r="O1539" s="8">
        <f t="shared" si="147"/>
        <v>80000</v>
      </c>
      <c r="P1539" s="2" t="s">
        <v>63</v>
      </c>
      <c r="Q1539" s="10" t="str">
        <f>VLOOKUP(A1539,Status!A:B,2,0)</f>
        <v>Completed</v>
      </c>
      <c r="R1539" s="2" t="s">
        <v>36</v>
      </c>
      <c r="S1539" s="2">
        <v>5</v>
      </c>
      <c r="T1539" s="2" t="s">
        <v>24</v>
      </c>
      <c r="U1539" s="10" t="str">
        <f t="shared" ref="U1539:U1602" si="149">TEXT(B1539,"MMM")</f>
        <v>Oct</v>
      </c>
      <c r="V1539" s="10">
        <f t="shared" si="148"/>
        <v>2024</v>
      </c>
      <c r="W1539" t="e" cm="1">
        <f t="array" ref="W1539">_xlfn.IFS(U1539="January",1,U1539="February",2,U1539="March",3,U1539="April",4,U1539="May",5,U1539="June",6,U1539="July",7,U1539="August",8,U1539="September",9,U1539="October",10,U1539="November",11,U1539="December",12)</f>
        <v>#N/A</v>
      </c>
    </row>
    <row r="1540" spans="1:23" ht="15.75" customHeight="1" x14ac:dyDescent="0.25">
      <c r="A1540" s="2" t="s">
        <v>284</v>
      </c>
      <c r="B1540" s="3">
        <v>45568.892858796287</v>
      </c>
      <c r="C1540" s="2" t="s">
        <v>285</v>
      </c>
      <c r="D1540" s="2" t="s">
        <v>20</v>
      </c>
      <c r="E1540" s="2" t="s">
        <v>186</v>
      </c>
      <c r="F1540" s="2" t="str" cm="1">
        <f t="array" ref="F1540:G1540">_xlfn.TEXTSPLIT(E1540," - ")</f>
        <v>Susu Bubuk</v>
      </c>
      <c r="G1540" s="2" t="str">
        <v>Brand A</v>
      </c>
      <c r="H1540" s="5">
        <v>45000</v>
      </c>
      <c r="I1540" s="2">
        <v>2</v>
      </c>
      <c r="J1540" s="2">
        <v>15</v>
      </c>
      <c r="K1540" s="8">
        <f t="shared" si="144"/>
        <v>90000</v>
      </c>
      <c r="L1540" s="8">
        <f t="shared" si="145"/>
        <v>13500</v>
      </c>
      <c r="M1540" s="8">
        <f t="shared" si="146"/>
        <v>76500</v>
      </c>
      <c r="N1540" s="5">
        <v>15000</v>
      </c>
      <c r="O1540" s="8">
        <f t="shared" si="147"/>
        <v>91500</v>
      </c>
      <c r="P1540" s="2" t="s">
        <v>29</v>
      </c>
      <c r="Q1540" s="10" t="str">
        <f>VLOOKUP(A1540,Status!A:B,2,0)</f>
        <v>Completed</v>
      </c>
      <c r="R1540" s="2" t="s">
        <v>30</v>
      </c>
      <c r="S1540" s="2">
        <v>2</v>
      </c>
      <c r="T1540" s="2" t="s">
        <v>37</v>
      </c>
      <c r="U1540" s="10" t="str">
        <f t="shared" si="149"/>
        <v>Oct</v>
      </c>
      <c r="V1540" s="10">
        <f t="shared" si="148"/>
        <v>2024</v>
      </c>
      <c r="W1540" t="e" cm="1">
        <f t="array" ref="W1540">_xlfn.IFS(U1540="January",1,U1540="February",2,U1540="March",3,U1540="April",4,U1540="May",5,U1540="June",6,U1540="July",7,U1540="August",8,U1540="September",9,U1540="October",10,U1540="November",11,U1540="December",12)</f>
        <v>#N/A</v>
      </c>
    </row>
    <row r="1541" spans="1:23" ht="15.75" customHeight="1" x14ac:dyDescent="0.25">
      <c r="A1541" s="2" t="s">
        <v>286</v>
      </c>
      <c r="B1541" s="3">
        <v>45568.966736111113</v>
      </c>
      <c r="C1541" s="2" t="s">
        <v>287</v>
      </c>
      <c r="D1541" s="2" t="s">
        <v>262</v>
      </c>
      <c r="E1541" s="2" t="s">
        <v>28</v>
      </c>
      <c r="F1541" s="2" t="str" cm="1">
        <f t="array" ref="F1541:G1541">_xlfn.TEXTSPLIT(E1541," - ")</f>
        <v>Garam</v>
      </c>
      <c r="G1541" s="2" t="str">
        <v>Brand B</v>
      </c>
      <c r="H1541" s="5">
        <v>5000</v>
      </c>
      <c r="I1541" s="2">
        <v>5</v>
      </c>
      <c r="J1541" s="2">
        <v>5</v>
      </c>
      <c r="K1541" s="8">
        <f t="shared" si="144"/>
        <v>25000</v>
      </c>
      <c r="L1541" s="8">
        <f t="shared" si="145"/>
        <v>1250</v>
      </c>
      <c r="M1541" s="8">
        <f t="shared" si="146"/>
        <v>23750</v>
      </c>
      <c r="N1541" s="5">
        <v>18000</v>
      </c>
      <c r="O1541" s="8">
        <f t="shared" si="147"/>
        <v>41750</v>
      </c>
      <c r="P1541" s="2" t="s">
        <v>35</v>
      </c>
      <c r="Q1541" s="10" t="str">
        <f>VLOOKUP(A1541,Status!A:B,2,0)</f>
        <v>Completed</v>
      </c>
      <c r="R1541" s="2" t="s">
        <v>30</v>
      </c>
      <c r="S1541" s="2">
        <v>1</v>
      </c>
      <c r="T1541" s="2" t="s">
        <v>24</v>
      </c>
      <c r="U1541" s="10" t="str">
        <f t="shared" si="149"/>
        <v>Oct</v>
      </c>
      <c r="V1541" s="10">
        <f t="shared" si="148"/>
        <v>2024</v>
      </c>
      <c r="W1541" t="e" cm="1">
        <f t="array" ref="W1541">_xlfn.IFS(U1541="January",1,U1541="February",2,U1541="March",3,U1541="April",4,U1541="May",5,U1541="June",6,U1541="July",7,U1541="August",8,U1541="September",9,U1541="October",10,U1541="November",11,U1541="December",12)</f>
        <v>#N/A</v>
      </c>
    </row>
    <row r="1542" spans="1:23" ht="15.75" customHeight="1" x14ac:dyDescent="0.25">
      <c r="A1542" s="2" t="s">
        <v>288</v>
      </c>
      <c r="B1542" s="3">
        <v>45569.413773148153</v>
      </c>
      <c r="C1542" s="2" t="s">
        <v>289</v>
      </c>
      <c r="D1542" s="2" t="s">
        <v>20</v>
      </c>
      <c r="E1542" s="2" t="s">
        <v>123</v>
      </c>
      <c r="F1542" s="2" t="str" cm="1">
        <f t="array" ref="F1542:G1542">_xlfn.TEXTSPLIT(E1542," - ")</f>
        <v>Telur Ayam</v>
      </c>
      <c r="G1542" s="2" t="str">
        <v>Brand A</v>
      </c>
      <c r="H1542" s="5">
        <v>22000</v>
      </c>
      <c r="I1542" s="2">
        <v>4</v>
      </c>
      <c r="J1542" s="2">
        <v>5</v>
      </c>
      <c r="K1542" s="8">
        <f t="shared" si="144"/>
        <v>88000</v>
      </c>
      <c r="L1542" s="8">
        <f t="shared" si="145"/>
        <v>4400</v>
      </c>
      <c r="M1542" s="8">
        <f t="shared" si="146"/>
        <v>83600</v>
      </c>
      <c r="N1542" s="5">
        <v>15000</v>
      </c>
      <c r="O1542" s="8">
        <f t="shared" si="147"/>
        <v>98600</v>
      </c>
      <c r="P1542" s="2" t="s">
        <v>63</v>
      </c>
      <c r="Q1542" s="10" t="str">
        <f>VLOOKUP(A1542,Status!A:B,2,0)</f>
        <v>Completed</v>
      </c>
      <c r="R1542" s="2" t="s">
        <v>23</v>
      </c>
      <c r="S1542" s="2">
        <v>3</v>
      </c>
      <c r="T1542" s="2" t="s">
        <v>24</v>
      </c>
      <c r="U1542" s="10" t="str">
        <f t="shared" si="149"/>
        <v>Oct</v>
      </c>
      <c r="V1542" s="10">
        <f t="shared" si="148"/>
        <v>2024</v>
      </c>
      <c r="W1542" t="e" cm="1">
        <f t="array" ref="W1542">_xlfn.IFS(U1542="January",1,U1542="February",2,U1542="March",3,U1542="April",4,U1542="May",5,U1542="June",6,U1542="July",7,U1542="August",8,U1542="September",9,U1542="October",10,U1542="November",11,U1542="December",12)</f>
        <v>#N/A</v>
      </c>
    </row>
    <row r="1543" spans="1:23" ht="15.75" customHeight="1" x14ac:dyDescent="0.25">
      <c r="A1543" s="2" t="s">
        <v>290</v>
      </c>
      <c r="B1543" s="3">
        <v>45569.503067129634</v>
      </c>
      <c r="C1543" s="2" t="s">
        <v>291</v>
      </c>
      <c r="D1543" s="2" t="s">
        <v>49</v>
      </c>
      <c r="E1543" s="2" t="s">
        <v>144</v>
      </c>
      <c r="F1543" s="2" t="str" cm="1">
        <f t="array" ref="F1543:G1543">_xlfn.TEXTSPLIT(E1543," - ")</f>
        <v>Gula Pasir</v>
      </c>
      <c r="G1543" s="2" t="str">
        <v>Brand C</v>
      </c>
      <c r="H1543" s="5">
        <v>18000</v>
      </c>
      <c r="I1543" s="2">
        <v>4</v>
      </c>
      <c r="J1543" s="2">
        <v>5</v>
      </c>
      <c r="K1543" s="8">
        <f t="shared" si="144"/>
        <v>72000</v>
      </c>
      <c r="L1543" s="8">
        <f t="shared" si="145"/>
        <v>3600</v>
      </c>
      <c r="M1543" s="8">
        <f t="shared" si="146"/>
        <v>68400</v>
      </c>
      <c r="N1543" s="5">
        <v>43000</v>
      </c>
      <c r="O1543" s="8">
        <f t="shared" si="147"/>
        <v>111400</v>
      </c>
      <c r="P1543" s="2" t="s">
        <v>22</v>
      </c>
      <c r="Q1543" s="10" t="str">
        <f>VLOOKUP(A1543,Status!A:B,2,0)</f>
        <v>Returned</v>
      </c>
      <c r="R1543" s="2" t="s">
        <v>46</v>
      </c>
      <c r="S1543" s="2">
        <v>3</v>
      </c>
      <c r="T1543" s="2" t="s">
        <v>37</v>
      </c>
      <c r="U1543" s="10" t="str">
        <f t="shared" si="149"/>
        <v>Oct</v>
      </c>
      <c r="V1543" s="10">
        <f t="shared" si="148"/>
        <v>2024</v>
      </c>
      <c r="W1543" t="e" cm="1">
        <f t="array" ref="W1543">_xlfn.IFS(U1543="January",1,U1543="February",2,U1543="March",3,U1543="April",4,U1543="May",5,U1543="June",6,U1543="July",7,U1543="August",8,U1543="September",9,U1543="October",10,U1543="November",11,U1543="December",12)</f>
        <v>#N/A</v>
      </c>
    </row>
    <row r="1544" spans="1:23" ht="15.75" customHeight="1" x14ac:dyDescent="0.25">
      <c r="A1544" s="2" t="s">
        <v>292</v>
      </c>
      <c r="B1544" s="3">
        <v>45569.778032407397</v>
      </c>
      <c r="C1544" s="2" t="s">
        <v>192</v>
      </c>
      <c r="D1544" s="2" t="s">
        <v>107</v>
      </c>
      <c r="E1544" s="2" t="s">
        <v>104</v>
      </c>
      <c r="F1544" s="2" t="str" cm="1">
        <f t="array" ref="F1544:G1544">_xlfn.TEXTSPLIT(E1544," - ")</f>
        <v>Bawang Merah</v>
      </c>
      <c r="G1544" s="2" t="str">
        <v>Brand A</v>
      </c>
      <c r="H1544" s="5">
        <v>30000</v>
      </c>
      <c r="I1544" s="2">
        <v>5</v>
      </c>
      <c r="J1544" s="2">
        <v>0</v>
      </c>
      <c r="K1544" s="8">
        <f t="shared" si="144"/>
        <v>150000</v>
      </c>
      <c r="L1544" s="8">
        <f t="shared" si="145"/>
        <v>0</v>
      </c>
      <c r="M1544" s="8">
        <f t="shared" si="146"/>
        <v>150000</v>
      </c>
      <c r="N1544" s="5">
        <v>97000</v>
      </c>
      <c r="O1544" s="8">
        <f t="shared" si="147"/>
        <v>247000</v>
      </c>
      <c r="P1544" s="2" t="s">
        <v>22</v>
      </c>
      <c r="Q1544" s="10" t="str">
        <f>VLOOKUP(A1544,Status!A:B,2,0)</f>
        <v>Cancelled</v>
      </c>
      <c r="R1544" s="2" t="s">
        <v>30</v>
      </c>
      <c r="S1544" s="2">
        <v>3</v>
      </c>
      <c r="T1544" s="2" t="s">
        <v>24</v>
      </c>
      <c r="U1544" s="10" t="str">
        <f t="shared" si="149"/>
        <v>Oct</v>
      </c>
      <c r="V1544" s="10">
        <f t="shared" si="148"/>
        <v>2024</v>
      </c>
      <c r="W1544" t="e" cm="1">
        <f t="array" ref="W1544">_xlfn.IFS(U1544="January",1,U1544="February",2,U1544="March",3,U1544="April",4,U1544="May",5,U1544="June",6,U1544="July",7,U1544="August",8,U1544="September",9,U1544="October",10,U1544="November",11,U1544="December",12)</f>
        <v>#N/A</v>
      </c>
    </row>
    <row r="1545" spans="1:23" ht="15.75" customHeight="1" x14ac:dyDescent="0.25">
      <c r="A1545" s="2" t="s">
        <v>293</v>
      </c>
      <c r="B1545" s="3">
        <v>45570.166203703702</v>
      </c>
      <c r="C1545" s="2" t="s">
        <v>235</v>
      </c>
      <c r="D1545" s="2" t="s">
        <v>189</v>
      </c>
      <c r="E1545" s="2" t="s">
        <v>174</v>
      </c>
      <c r="F1545" s="2" t="str" cm="1">
        <f t="array" ref="F1545:G1545">_xlfn.TEXTSPLIT(E1545," - ")</f>
        <v>Tepung Terigu</v>
      </c>
      <c r="G1545" s="2" t="str">
        <v>Brand A</v>
      </c>
      <c r="H1545" s="5">
        <v>10000</v>
      </c>
      <c r="I1545" s="2">
        <v>1</v>
      </c>
      <c r="J1545" s="2">
        <v>10</v>
      </c>
      <c r="K1545" s="8">
        <f t="shared" si="144"/>
        <v>10000</v>
      </c>
      <c r="L1545" s="8">
        <f t="shared" si="145"/>
        <v>1000</v>
      </c>
      <c r="M1545" s="8">
        <f t="shared" si="146"/>
        <v>9000</v>
      </c>
      <c r="N1545" s="5">
        <v>57000</v>
      </c>
      <c r="O1545" s="8">
        <f t="shared" si="147"/>
        <v>66000</v>
      </c>
      <c r="P1545" s="2" t="s">
        <v>29</v>
      </c>
      <c r="Q1545" s="10" t="str">
        <f>VLOOKUP(A1545,Status!A:B,2,0)</f>
        <v>Completed</v>
      </c>
      <c r="R1545" s="2" t="s">
        <v>82</v>
      </c>
      <c r="S1545" s="2">
        <v>4</v>
      </c>
      <c r="T1545" s="2" t="s">
        <v>37</v>
      </c>
      <c r="U1545" s="10" t="str">
        <f t="shared" si="149"/>
        <v>Oct</v>
      </c>
      <c r="V1545" s="10">
        <f t="shared" si="148"/>
        <v>2024</v>
      </c>
      <c r="W1545" t="e" cm="1">
        <f t="array" ref="W1545">_xlfn.IFS(U1545="January",1,U1545="February",2,U1545="March",3,U1545="April",4,U1545="May",5,U1545="June",6,U1545="July",7,U1545="August",8,U1545="September",9,U1545="October",10,U1545="November",11,U1545="December",12)</f>
        <v>#N/A</v>
      </c>
    </row>
    <row r="1546" spans="1:23" ht="15.75" customHeight="1" x14ac:dyDescent="0.25">
      <c r="A1546" s="2" t="s">
        <v>294</v>
      </c>
      <c r="B1546" s="3">
        <v>45570.395057870373</v>
      </c>
      <c r="C1546" s="2" t="s">
        <v>295</v>
      </c>
      <c r="D1546" s="2" t="s">
        <v>296</v>
      </c>
      <c r="E1546" s="2" t="s">
        <v>190</v>
      </c>
      <c r="F1546" s="2" t="str" cm="1">
        <f t="array" ref="F1546:G1546">_xlfn.TEXTSPLIT(E1546," - ")</f>
        <v>Bawang Merah</v>
      </c>
      <c r="G1546" s="2" t="str">
        <v>Brand B</v>
      </c>
      <c r="H1546" s="5">
        <v>35000</v>
      </c>
      <c r="I1546" s="2">
        <v>4</v>
      </c>
      <c r="J1546" s="2">
        <v>15</v>
      </c>
      <c r="K1546" s="8">
        <f t="shared" si="144"/>
        <v>140000</v>
      </c>
      <c r="L1546" s="8">
        <f t="shared" si="145"/>
        <v>21000</v>
      </c>
      <c r="M1546" s="8">
        <f t="shared" si="146"/>
        <v>119000</v>
      </c>
      <c r="N1546" s="5">
        <v>79000</v>
      </c>
      <c r="O1546" s="8">
        <f t="shared" si="147"/>
        <v>198000</v>
      </c>
      <c r="P1546" s="2" t="s">
        <v>22</v>
      </c>
      <c r="Q1546" s="10" t="str">
        <f>VLOOKUP(A1546,Status!A:B,2,0)</f>
        <v>Returned</v>
      </c>
      <c r="R1546" s="2" t="s">
        <v>36</v>
      </c>
      <c r="S1546" s="2">
        <v>1</v>
      </c>
      <c r="T1546" s="2" t="s">
        <v>24</v>
      </c>
      <c r="U1546" s="10" t="str">
        <f t="shared" si="149"/>
        <v>Oct</v>
      </c>
      <c r="V1546" s="10">
        <f t="shared" si="148"/>
        <v>2024</v>
      </c>
      <c r="W1546" t="e" cm="1">
        <f t="array" ref="W1546">_xlfn.IFS(U1546="January",1,U1546="February",2,U1546="March",3,U1546="April",4,U1546="May",5,U1546="June",6,U1546="July",7,U1546="August",8,U1546="September",9,U1546="October",10,U1546="November",11,U1546="December",12)</f>
        <v>#N/A</v>
      </c>
    </row>
    <row r="1547" spans="1:23" ht="15.75" customHeight="1" x14ac:dyDescent="0.25">
      <c r="A1547" s="2" t="s">
        <v>297</v>
      </c>
      <c r="B1547" s="3">
        <v>45570.514328703714</v>
      </c>
      <c r="C1547" s="2" t="s">
        <v>209</v>
      </c>
      <c r="D1547" s="2" t="s">
        <v>143</v>
      </c>
      <c r="E1547" s="2" t="s">
        <v>67</v>
      </c>
      <c r="F1547" s="2" t="str" cm="1">
        <f t="array" ref="F1547:G1547">_xlfn.TEXTSPLIT(E1547," - ")</f>
        <v>Beras</v>
      </c>
      <c r="G1547" s="2" t="str">
        <v>Brand B</v>
      </c>
      <c r="H1547" s="5">
        <v>15000</v>
      </c>
      <c r="I1547" s="2">
        <v>1</v>
      </c>
      <c r="J1547" s="2">
        <v>15</v>
      </c>
      <c r="K1547" s="8">
        <f t="shared" si="144"/>
        <v>15000</v>
      </c>
      <c r="L1547" s="8">
        <f t="shared" si="145"/>
        <v>2250</v>
      </c>
      <c r="M1547" s="8">
        <f t="shared" si="146"/>
        <v>12750</v>
      </c>
      <c r="N1547" s="5">
        <v>50000</v>
      </c>
      <c r="O1547" s="8">
        <f t="shared" si="147"/>
        <v>62750</v>
      </c>
      <c r="P1547" s="2" t="s">
        <v>63</v>
      </c>
      <c r="Q1547" s="10" t="str">
        <f>VLOOKUP(A1547,Status!A:B,2,0)</f>
        <v>Completed</v>
      </c>
      <c r="R1547" s="2" t="s">
        <v>23</v>
      </c>
      <c r="S1547" s="2">
        <v>4</v>
      </c>
      <c r="T1547" s="2" t="s">
        <v>37</v>
      </c>
      <c r="U1547" s="10" t="str">
        <f t="shared" si="149"/>
        <v>Oct</v>
      </c>
      <c r="V1547" s="10">
        <f t="shared" si="148"/>
        <v>2024</v>
      </c>
      <c r="W1547" t="e" cm="1">
        <f t="array" ref="W1547">_xlfn.IFS(U1547="January",1,U1547="February",2,U1547="March",3,U1547="April",4,U1547="May",5,U1547="June",6,U1547="July",7,U1547="August",8,U1547="September",9,U1547="October",10,U1547="November",11,U1547="December",12)</f>
        <v>#N/A</v>
      </c>
    </row>
    <row r="1548" spans="1:23" ht="15.75" customHeight="1" x14ac:dyDescent="0.25">
      <c r="A1548" s="2" t="s">
        <v>298</v>
      </c>
      <c r="B1548" s="3">
        <v>45570.857453703713</v>
      </c>
      <c r="C1548" s="2" t="s">
        <v>299</v>
      </c>
      <c r="D1548" s="2" t="s">
        <v>163</v>
      </c>
      <c r="E1548" s="2" t="s">
        <v>28</v>
      </c>
      <c r="F1548" s="2" t="str" cm="1">
        <f t="array" ref="F1548:G1548">_xlfn.TEXTSPLIT(E1548," - ")</f>
        <v>Garam</v>
      </c>
      <c r="G1548" s="2" t="str">
        <v>Brand B</v>
      </c>
      <c r="H1548" s="5">
        <v>5000</v>
      </c>
      <c r="I1548" s="2">
        <v>3</v>
      </c>
      <c r="J1548" s="2">
        <v>15</v>
      </c>
      <c r="K1548" s="8">
        <f t="shared" si="144"/>
        <v>15000</v>
      </c>
      <c r="L1548" s="8">
        <f t="shared" si="145"/>
        <v>2250</v>
      </c>
      <c r="M1548" s="8">
        <f t="shared" si="146"/>
        <v>12750</v>
      </c>
      <c r="N1548" s="5">
        <v>50000</v>
      </c>
      <c r="O1548" s="8">
        <f t="shared" si="147"/>
        <v>62750</v>
      </c>
      <c r="P1548" s="2" t="s">
        <v>35</v>
      </c>
      <c r="Q1548" s="10" t="str">
        <f>VLOOKUP(A1548,Status!A:B,2,0)</f>
        <v>Returned</v>
      </c>
      <c r="R1548" s="2" t="s">
        <v>23</v>
      </c>
      <c r="S1548" s="2">
        <v>1</v>
      </c>
      <c r="T1548" s="2" t="s">
        <v>24</v>
      </c>
      <c r="U1548" s="10" t="str">
        <f t="shared" si="149"/>
        <v>Oct</v>
      </c>
      <c r="V1548" s="10">
        <f t="shared" si="148"/>
        <v>2024</v>
      </c>
      <c r="W1548" t="e" cm="1">
        <f t="array" ref="W1548">_xlfn.IFS(U1548="January",1,U1548="February",2,U1548="March",3,U1548="April",4,U1548="May",5,U1548="June",6,U1548="July",7,U1548="August",8,U1548="September",9,U1548="October",10,U1548="November",11,U1548="December",12)</f>
        <v>#N/A</v>
      </c>
    </row>
    <row r="1549" spans="1:23" ht="15.75" customHeight="1" x14ac:dyDescent="0.25">
      <c r="A1549" s="2" t="s">
        <v>300</v>
      </c>
      <c r="B1549" s="3">
        <v>45570.984722222223</v>
      </c>
      <c r="C1549" s="2" t="s">
        <v>261</v>
      </c>
      <c r="D1549" s="2" t="s">
        <v>262</v>
      </c>
      <c r="E1549" s="2" t="s">
        <v>21</v>
      </c>
      <c r="F1549" s="2" t="str" cm="1">
        <f t="array" ref="F1549:G1549">_xlfn.TEXTSPLIT(E1549," - ")</f>
        <v>Daging Ayam</v>
      </c>
      <c r="G1549" s="2" t="str">
        <v>Brand C</v>
      </c>
      <c r="H1549" s="5">
        <v>45000</v>
      </c>
      <c r="I1549" s="2">
        <v>1</v>
      </c>
      <c r="J1549" s="2">
        <v>5</v>
      </c>
      <c r="K1549" s="8">
        <f t="shared" si="144"/>
        <v>45000</v>
      </c>
      <c r="L1549" s="8">
        <f t="shared" si="145"/>
        <v>2250</v>
      </c>
      <c r="M1549" s="8">
        <f t="shared" si="146"/>
        <v>42750</v>
      </c>
      <c r="N1549" s="5">
        <v>18000</v>
      </c>
      <c r="O1549" s="8">
        <f t="shared" si="147"/>
        <v>60750</v>
      </c>
      <c r="P1549" s="2" t="s">
        <v>29</v>
      </c>
      <c r="Q1549" s="10" t="str">
        <f>VLOOKUP(A1549,Status!A:B,2,0)</f>
        <v>Returned</v>
      </c>
      <c r="R1549" s="2" t="s">
        <v>30</v>
      </c>
      <c r="S1549" s="2">
        <v>4</v>
      </c>
      <c r="T1549" s="2" t="s">
        <v>24</v>
      </c>
      <c r="U1549" s="10" t="str">
        <f t="shared" si="149"/>
        <v>Oct</v>
      </c>
      <c r="V1549" s="10">
        <f t="shared" si="148"/>
        <v>2024</v>
      </c>
      <c r="W1549" t="e" cm="1">
        <f t="array" ref="W1549">_xlfn.IFS(U1549="January",1,U1549="February",2,U1549="March",3,U1549="April",4,U1549="May",5,U1549="June",6,U1549="July",7,U1549="August",8,U1549="September",9,U1549="October",10,U1549="November",11,U1549="December",12)</f>
        <v>#N/A</v>
      </c>
    </row>
    <row r="1550" spans="1:23" ht="15.75" customHeight="1" x14ac:dyDescent="0.25">
      <c r="A1550" s="2" t="s">
        <v>301</v>
      </c>
      <c r="B1550" s="3">
        <v>45571.2656712963</v>
      </c>
      <c r="C1550" s="2" t="s">
        <v>302</v>
      </c>
      <c r="D1550" s="2" t="s">
        <v>74</v>
      </c>
      <c r="E1550" s="2" t="s">
        <v>85</v>
      </c>
      <c r="F1550" s="2" t="str" cm="1">
        <f t="array" ref="F1550:G1550">_xlfn.TEXTSPLIT(E1550," - ")</f>
        <v>Daging Ayam</v>
      </c>
      <c r="G1550" s="2" t="str">
        <v>Brand A</v>
      </c>
      <c r="H1550" s="5">
        <v>35000</v>
      </c>
      <c r="I1550" s="2">
        <v>1</v>
      </c>
      <c r="J1550" s="2">
        <v>10</v>
      </c>
      <c r="K1550" s="8">
        <f t="shared" si="144"/>
        <v>35000</v>
      </c>
      <c r="L1550" s="8">
        <f t="shared" si="145"/>
        <v>3500</v>
      </c>
      <c r="M1550" s="8">
        <f t="shared" si="146"/>
        <v>31500</v>
      </c>
      <c r="N1550" s="5">
        <v>87000</v>
      </c>
      <c r="O1550" s="8">
        <f t="shared" si="147"/>
        <v>118500</v>
      </c>
      <c r="P1550" s="2" t="s">
        <v>29</v>
      </c>
      <c r="Q1550" s="10" t="str">
        <f>VLOOKUP(A1550,Status!A:B,2,0)</f>
        <v>Completed</v>
      </c>
      <c r="R1550" s="2" t="s">
        <v>82</v>
      </c>
      <c r="S1550" s="2">
        <v>1</v>
      </c>
      <c r="T1550" s="2" t="s">
        <v>24</v>
      </c>
      <c r="U1550" s="10" t="str">
        <f t="shared" si="149"/>
        <v>Oct</v>
      </c>
      <c r="V1550" s="10">
        <f t="shared" si="148"/>
        <v>2024</v>
      </c>
      <c r="W1550" t="e" cm="1">
        <f t="array" ref="W1550">_xlfn.IFS(U1550="January",1,U1550="February",2,U1550="March",3,U1550="April",4,U1550="May",5,U1550="June",6,U1550="July",7,U1550="August",8,U1550="September",9,U1550="October",10,U1550="November",11,U1550="December",12)</f>
        <v>#N/A</v>
      </c>
    </row>
    <row r="1551" spans="1:23" ht="15.75" customHeight="1" x14ac:dyDescent="0.25">
      <c r="A1551" s="2" t="s">
        <v>303</v>
      </c>
      <c r="B1551" s="3">
        <v>45571.307962962957</v>
      </c>
      <c r="C1551" s="2" t="s">
        <v>192</v>
      </c>
      <c r="D1551" s="2" t="s">
        <v>107</v>
      </c>
      <c r="E1551" s="2" t="s">
        <v>38</v>
      </c>
      <c r="F1551" s="2" t="str" cm="1">
        <f t="array" ref="F1551:G1551">_xlfn.TEXTSPLIT(E1551," - ")</f>
        <v>Telur Ayam</v>
      </c>
      <c r="G1551" s="2" t="str">
        <v>Brand C</v>
      </c>
      <c r="H1551" s="5">
        <v>28000</v>
      </c>
      <c r="I1551" s="2">
        <v>4</v>
      </c>
      <c r="J1551" s="2">
        <v>0</v>
      </c>
      <c r="K1551" s="8">
        <f t="shared" si="144"/>
        <v>112000</v>
      </c>
      <c r="L1551" s="8">
        <f t="shared" si="145"/>
        <v>0</v>
      </c>
      <c r="M1551" s="8">
        <f t="shared" si="146"/>
        <v>112000</v>
      </c>
      <c r="N1551" s="5">
        <v>97000</v>
      </c>
      <c r="O1551" s="8">
        <f t="shared" si="147"/>
        <v>209000</v>
      </c>
      <c r="P1551" s="2" t="s">
        <v>35</v>
      </c>
      <c r="Q1551" s="10" t="str">
        <f>VLOOKUP(A1551,Status!A:B,2,0)</f>
        <v>Completed</v>
      </c>
      <c r="R1551" s="2" t="s">
        <v>36</v>
      </c>
      <c r="S1551" s="2">
        <v>2</v>
      </c>
      <c r="T1551" s="2" t="s">
        <v>24</v>
      </c>
      <c r="U1551" s="10" t="str">
        <f t="shared" si="149"/>
        <v>Oct</v>
      </c>
      <c r="V1551" s="10">
        <f t="shared" si="148"/>
        <v>2024</v>
      </c>
      <c r="W1551" t="e" cm="1">
        <f t="array" ref="W1551">_xlfn.IFS(U1551="January",1,U1551="February",2,U1551="March",3,U1551="April",4,U1551="May",5,U1551="June",6,U1551="July",7,U1551="August",8,U1551="September",9,U1551="October",10,U1551="November",11,U1551="December",12)</f>
        <v>#N/A</v>
      </c>
    </row>
    <row r="1552" spans="1:23" ht="15.75" customHeight="1" x14ac:dyDescent="0.25">
      <c r="A1552" s="2" t="s">
        <v>304</v>
      </c>
      <c r="B1552" s="3">
        <v>45571.434687499997</v>
      </c>
      <c r="C1552" s="2" t="s">
        <v>305</v>
      </c>
      <c r="D1552" s="2" t="s">
        <v>143</v>
      </c>
      <c r="E1552" s="2" t="s">
        <v>250</v>
      </c>
      <c r="F1552" s="2" t="str" cm="1">
        <f t="array" ref="F1552:G1552">_xlfn.TEXTSPLIT(E1552," - ")</f>
        <v>Minyak Goreng</v>
      </c>
      <c r="G1552" s="2" t="str">
        <v>Brand C</v>
      </c>
      <c r="H1552" s="5">
        <v>18000</v>
      </c>
      <c r="I1552" s="2">
        <v>1</v>
      </c>
      <c r="J1552" s="2">
        <v>20</v>
      </c>
      <c r="K1552" s="8">
        <f t="shared" si="144"/>
        <v>18000</v>
      </c>
      <c r="L1552" s="8">
        <f t="shared" si="145"/>
        <v>3600</v>
      </c>
      <c r="M1552" s="8">
        <f t="shared" si="146"/>
        <v>14400</v>
      </c>
      <c r="N1552" s="5">
        <v>50000</v>
      </c>
      <c r="O1552" s="8">
        <f t="shared" si="147"/>
        <v>64400</v>
      </c>
      <c r="P1552" s="2" t="s">
        <v>22</v>
      </c>
      <c r="Q1552" s="10" t="str">
        <f>VLOOKUP(A1552,Status!A:B,2,0)</f>
        <v>Completed</v>
      </c>
      <c r="R1552" s="2" t="s">
        <v>46</v>
      </c>
      <c r="S1552" s="2">
        <v>3</v>
      </c>
      <c r="T1552" s="2" t="s">
        <v>24</v>
      </c>
      <c r="U1552" s="10" t="str">
        <f t="shared" si="149"/>
        <v>Oct</v>
      </c>
      <c r="V1552" s="10">
        <f t="shared" si="148"/>
        <v>2024</v>
      </c>
      <c r="W1552" t="e" cm="1">
        <f t="array" ref="W1552">_xlfn.IFS(U1552="January",1,U1552="February",2,U1552="March",3,U1552="April",4,U1552="May",5,U1552="June",6,U1552="July",7,U1552="August",8,U1552="September",9,U1552="October",10,U1552="November",11,U1552="December",12)</f>
        <v>#N/A</v>
      </c>
    </row>
    <row r="1553" spans="1:23" ht="15.75" customHeight="1" x14ac:dyDescent="0.25">
      <c r="A1553" s="2" t="s">
        <v>304</v>
      </c>
      <c r="B1553" s="3">
        <v>45571.434687499997</v>
      </c>
      <c r="C1553" s="2" t="s">
        <v>305</v>
      </c>
      <c r="D1553" s="2" t="s">
        <v>143</v>
      </c>
      <c r="E1553" s="2" t="s">
        <v>41</v>
      </c>
      <c r="F1553" s="2" t="str" cm="1">
        <f t="array" ref="F1553:G1553">_xlfn.TEXTSPLIT(E1553," - ")</f>
        <v>Garam</v>
      </c>
      <c r="G1553" s="2" t="str">
        <v>Brand A</v>
      </c>
      <c r="H1553" s="5">
        <v>4000</v>
      </c>
      <c r="I1553" s="2">
        <v>3</v>
      </c>
      <c r="J1553" s="2">
        <v>10</v>
      </c>
      <c r="K1553" s="8">
        <f t="shared" si="144"/>
        <v>12000</v>
      </c>
      <c r="L1553" s="8">
        <f t="shared" si="145"/>
        <v>1200</v>
      </c>
      <c r="M1553" s="8">
        <f t="shared" si="146"/>
        <v>10800</v>
      </c>
      <c r="N1553" s="5">
        <v>0</v>
      </c>
      <c r="O1553" s="8">
        <f t="shared" si="147"/>
        <v>10800</v>
      </c>
      <c r="P1553" s="2" t="s">
        <v>22</v>
      </c>
      <c r="Q1553" s="10" t="str">
        <f>VLOOKUP(A1553,Status!A:B,2,0)</f>
        <v>Completed</v>
      </c>
      <c r="R1553" s="2" t="s">
        <v>46</v>
      </c>
      <c r="S1553" s="2">
        <v>3</v>
      </c>
      <c r="T1553" s="2" t="s">
        <v>24</v>
      </c>
      <c r="U1553" s="10" t="str">
        <f t="shared" si="149"/>
        <v>Oct</v>
      </c>
      <c r="V1553" s="10">
        <f t="shared" si="148"/>
        <v>2024</v>
      </c>
      <c r="W1553" t="e" cm="1">
        <f t="array" ref="W1553">_xlfn.IFS(U1553="January",1,U1553="February",2,U1553="March",3,U1553="April",4,U1553="May",5,U1553="June",6,U1553="July",7,U1553="August",8,U1553="September",9,U1553="October",10,U1553="November",11,U1553="December",12)</f>
        <v>#N/A</v>
      </c>
    </row>
    <row r="1554" spans="1:23" ht="15.75" customHeight="1" x14ac:dyDescent="0.25">
      <c r="A1554" s="2" t="s">
        <v>306</v>
      </c>
      <c r="B1554" s="3">
        <v>45571.541539351849</v>
      </c>
      <c r="C1554" s="2" t="s">
        <v>307</v>
      </c>
      <c r="D1554" s="2" t="s">
        <v>70</v>
      </c>
      <c r="E1554" s="2" t="s">
        <v>81</v>
      </c>
      <c r="F1554" s="2" t="str" cm="1">
        <f t="array" ref="F1554:G1554">_xlfn.TEXTSPLIT(E1554," - ")</f>
        <v>Minyak Goreng</v>
      </c>
      <c r="G1554" s="2" t="str">
        <v>Brand B</v>
      </c>
      <c r="H1554" s="5">
        <v>17000</v>
      </c>
      <c r="I1554" s="2">
        <v>5</v>
      </c>
      <c r="J1554" s="2">
        <v>5</v>
      </c>
      <c r="K1554" s="8">
        <f t="shared" si="144"/>
        <v>85000</v>
      </c>
      <c r="L1554" s="8">
        <f t="shared" si="145"/>
        <v>4250</v>
      </c>
      <c r="M1554" s="8">
        <f t="shared" si="146"/>
        <v>80750</v>
      </c>
      <c r="N1554" s="5">
        <v>89000</v>
      </c>
      <c r="O1554" s="8">
        <f t="shared" si="147"/>
        <v>169750</v>
      </c>
      <c r="P1554" s="2" t="s">
        <v>35</v>
      </c>
      <c r="Q1554" s="10" t="str">
        <f>VLOOKUP(A1554,Status!A:B,2,0)</f>
        <v>Completed</v>
      </c>
      <c r="R1554" s="2" t="s">
        <v>23</v>
      </c>
      <c r="S1554" s="2">
        <v>4</v>
      </c>
      <c r="T1554" s="2" t="s">
        <v>24</v>
      </c>
      <c r="U1554" s="10" t="str">
        <f t="shared" si="149"/>
        <v>Oct</v>
      </c>
      <c r="V1554" s="10">
        <f t="shared" si="148"/>
        <v>2024</v>
      </c>
      <c r="W1554" t="e" cm="1">
        <f t="array" ref="W1554">_xlfn.IFS(U1554="January",1,U1554="February",2,U1554="March",3,U1554="April",4,U1554="May",5,U1554="June",6,U1554="July",7,U1554="August",8,U1554="September",9,U1554="October",10,U1554="November",11,U1554="December",12)</f>
        <v>#N/A</v>
      </c>
    </row>
    <row r="1555" spans="1:23" ht="15.75" customHeight="1" x14ac:dyDescent="0.25">
      <c r="A1555" s="2" t="s">
        <v>308</v>
      </c>
      <c r="B1555" s="3">
        <v>45571.581678240742</v>
      </c>
      <c r="C1555" s="2" t="s">
        <v>309</v>
      </c>
      <c r="D1555" s="2" t="s">
        <v>107</v>
      </c>
      <c r="E1555" s="2" t="s">
        <v>85</v>
      </c>
      <c r="F1555" s="2" t="str" cm="1">
        <f t="array" ref="F1555:G1555">_xlfn.TEXTSPLIT(E1555," - ")</f>
        <v>Daging Ayam</v>
      </c>
      <c r="G1555" s="2" t="str">
        <v>Brand A</v>
      </c>
      <c r="H1555" s="5">
        <v>35000</v>
      </c>
      <c r="I1555" s="2">
        <v>4</v>
      </c>
      <c r="J1555" s="2">
        <v>0</v>
      </c>
      <c r="K1555" s="8">
        <f t="shared" si="144"/>
        <v>140000</v>
      </c>
      <c r="L1555" s="8">
        <f t="shared" si="145"/>
        <v>0</v>
      </c>
      <c r="M1555" s="8">
        <f t="shared" si="146"/>
        <v>140000</v>
      </c>
      <c r="N1555" s="5">
        <v>97000</v>
      </c>
      <c r="O1555" s="8">
        <f t="shared" si="147"/>
        <v>237000</v>
      </c>
      <c r="P1555" s="2" t="s">
        <v>22</v>
      </c>
      <c r="Q1555" s="10" t="str">
        <f>VLOOKUP(A1555,Status!A:B,2,0)</f>
        <v>Completed</v>
      </c>
      <c r="R1555" s="2" t="s">
        <v>23</v>
      </c>
      <c r="S1555" s="2">
        <v>1</v>
      </c>
      <c r="T1555" s="2" t="s">
        <v>37</v>
      </c>
      <c r="U1555" s="10" t="str">
        <f t="shared" si="149"/>
        <v>Oct</v>
      </c>
      <c r="V1555" s="10">
        <f t="shared" si="148"/>
        <v>2024</v>
      </c>
      <c r="W1555" t="e" cm="1">
        <f t="array" ref="W1555">_xlfn.IFS(U1555="January",1,U1555="February",2,U1555="March",3,U1555="April",4,U1555="May",5,U1555="June",6,U1555="July",7,U1555="August",8,U1555="September",9,U1555="October",10,U1555="November",11,U1555="December",12)</f>
        <v>#N/A</v>
      </c>
    </row>
    <row r="1556" spans="1:23" ht="15.75" customHeight="1" x14ac:dyDescent="0.25">
      <c r="A1556" s="2" t="s">
        <v>310</v>
      </c>
      <c r="B1556" s="3">
        <v>45571.595104166663</v>
      </c>
      <c r="C1556" s="2" t="s">
        <v>311</v>
      </c>
      <c r="D1556" s="2" t="s">
        <v>116</v>
      </c>
      <c r="E1556" s="2" t="s">
        <v>45</v>
      </c>
      <c r="F1556" s="2" t="str" cm="1">
        <f t="array" ref="F1556:G1556">_xlfn.TEXTSPLIT(E1556," - ")</f>
        <v>Daging Ayam</v>
      </c>
      <c r="G1556" s="2" t="str">
        <v>Brand B</v>
      </c>
      <c r="H1556" s="5">
        <v>40000</v>
      </c>
      <c r="I1556" s="2">
        <v>4</v>
      </c>
      <c r="J1556" s="2">
        <v>0</v>
      </c>
      <c r="K1556" s="8">
        <f t="shared" si="144"/>
        <v>160000</v>
      </c>
      <c r="L1556" s="8">
        <f t="shared" si="145"/>
        <v>0</v>
      </c>
      <c r="M1556" s="8">
        <f t="shared" si="146"/>
        <v>160000</v>
      </c>
      <c r="N1556" s="5">
        <v>72000</v>
      </c>
      <c r="O1556" s="8">
        <f t="shared" si="147"/>
        <v>232000</v>
      </c>
      <c r="P1556" s="2" t="s">
        <v>35</v>
      </c>
      <c r="Q1556" s="10" t="str">
        <f>VLOOKUP(A1556,Status!A:B,2,0)</f>
        <v>Completed</v>
      </c>
      <c r="R1556" s="2" t="s">
        <v>82</v>
      </c>
      <c r="S1556" s="2">
        <v>3</v>
      </c>
      <c r="T1556" s="2" t="s">
        <v>24</v>
      </c>
      <c r="U1556" s="10" t="str">
        <f t="shared" si="149"/>
        <v>Oct</v>
      </c>
      <c r="V1556" s="10">
        <f t="shared" si="148"/>
        <v>2024</v>
      </c>
      <c r="W1556" t="e" cm="1">
        <f t="array" ref="W1556">_xlfn.IFS(U1556="January",1,U1556="February",2,U1556="March",3,U1556="April",4,U1556="May",5,U1556="June",6,U1556="July",7,U1556="August",8,U1556="September",9,U1556="October",10,U1556="November",11,U1556="December",12)</f>
        <v>#N/A</v>
      </c>
    </row>
    <row r="1557" spans="1:23" ht="15.75" customHeight="1" x14ac:dyDescent="0.25">
      <c r="A1557" s="2" t="s">
        <v>312</v>
      </c>
      <c r="B1557" s="3">
        <v>45571.958182870367</v>
      </c>
      <c r="C1557" s="2" t="s">
        <v>311</v>
      </c>
      <c r="D1557" s="2" t="s">
        <v>116</v>
      </c>
      <c r="E1557" s="2" t="s">
        <v>58</v>
      </c>
      <c r="F1557" s="2" t="str" cm="1">
        <f t="array" ref="F1557:G1557">_xlfn.TEXTSPLIT(E1557," - ")</f>
        <v>Gula Pasir</v>
      </c>
      <c r="G1557" s="2" t="str">
        <v>Brand A</v>
      </c>
      <c r="H1557" s="5">
        <v>16000</v>
      </c>
      <c r="I1557" s="2">
        <v>1</v>
      </c>
      <c r="J1557" s="2">
        <v>15</v>
      </c>
      <c r="K1557" s="8">
        <f t="shared" si="144"/>
        <v>16000</v>
      </c>
      <c r="L1557" s="8">
        <f t="shared" si="145"/>
        <v>2400</v>
      </c>
      <c r="M1557" s="8">
        <f t="shared" si="146"/>
        <v>13600</v>
      </c>
      <c r="N1557" s="5">
        <v>72000</v>
      </c>
      <c r="O1557" s="8">
        <f t="shared" si="147"/>
        <v>85600</v>
      </c>
      <c r="P1557" s="2" t="s">
        <v>35</v>
      </c>
      <c r="Q1557" s="10" t="str">
        <f>VLOOKUP(A1557,Status!A:B,2,0)</f>
        <v>Returned</v>
      </c>
      <c r="R1557" s="2" t="s">
        <v>82</v>
      </c>
      <c r="S1557" s="2">
        <v>1</v>
      </c>
      <c r="T1557" s="2" t="s">
        <v>24</v>
      </c>
      <c r="U1557" s="10" t="str">
        <f t="shared" si="149"/>
        <v>Oct</v>
      </c>
      <c r="V1557" s="10">
        <f t="shared" si="148"/>
        <v>2024</v>
      </c>
      <c r="W1557" t="e" cm="1">
        <f t="array" ref="W1557">_xlfn.IFS(U1557="January",1,U1557="February",2,U1557="March",3,U1557="April",4,U1557="May",5,U1557="June",6,U1557="July",7,U1557="August",8,U1557="September",9,U1557="October",10,U1557="November",11,U1557="December",12)</f>
        <v>#N/A</v>
      </c>
    </row>
    <row r="1558" spans="1:23" ht="15.75" customHeight="1" x14ac:dyDescent="0.25">
      <c r="A1558" s="2" t="s">
        <v>313</v>
      </c>
      <c r="B1558" s="3">
        <v>45572.168055555558</v>
      </c>
      <c r="C1558" s="2" t="s">
        <v>314</v>
      </c>
      <c r="D1558" s="2" t="s">
        <v>113</v>
      </c>
      <c r="E1558" s="2" t="s">
        <v>186</v>
      </c>
      <c r="F1558" s="2" t="str" cm="1">
        <f t="array" ref="F1558:G1558">_xlfn.TEXTSPLIT(E1558," - ")</f>
        <v>Susu Bubuk</v>
      </c>
      <c r="G1558" s="2" t="str">
        <v>Brand A</v>
      </c>
      <c r="H1558" s="5">
        <v>45000</v>
      </c>
      <c r="I1558" s="2">
        <v>4</v>
      </c>
      <c r="J1558" s="2">
        <v>10</v>
      </c>
      <c r="K1558" s="8">
        <f t="shared" si="144"/>
        <v>180000</v>
      </c>
      <c r="L1558" s="8">
        <f t="shared" si="145"/>
        <v>18000</v>
      </c>
      <c r="M1558" s="8">
        <f t="shared" si="146"/>
        <v>162000</v>
      </c>
      <c r="N1558" s="5">
        <v>18000</v>
      </c>
      <c r="O1558" s="8">
        <f t="shared" si="147"/>
        <v>180000</v>
      </c>
      <c r="P1558" s="2" t="s">
        <v>29</v>
      </c>
      <c r="Q1558" s="10" t="str">
        <f>VLOOKUP(A1558,Status!A:B,2,0)</f>
        <v>Completed</v>
      </c>
      <c r="R1558" s="2" t="s">
        <v>36</v>
      </c>
      <c r="S1558" s="2">
        <v>1</v>
      </c>
      <c r="T1558" s="2" t="s">
        <v>24</v>
      </c>
      <c r="U1558" s="10" t="str">
        <f t="shared" si="149"/>
        <v>Oct</v>
      </c>
      <c r="V1558" s="10">
        <f t="shared" si="148"/>
        <v>2024</v>
      </c>
      <c r="W1558" t="e" cm="1">
        <f t="array" ref="W1558">_xlfn.IFS(U1558="January",1,U1558="February",2,U1558="March",3,U1558="April",4,U1558="May",5,U1558="June",6,U1558="July",7,U1558="August",8,U1558="September",9,U1558="October",10,U1558="November",11,U1558="December",12)</f>
        <v>#N/A</v>
      </c>
    </row>
    <row r="1559" spans="1:23" ht="15.75" customHeight="1" x14ac:dyDescent="0.25">
      <c r="A1559" s="2" t="s">
        <v>313</v>
      </c>
      <c r="B1559" s="3">
        <v>45572.168055555558</v>
      </c>
      <c r="C1559" s="2" t="s">
        <v>314</v>
      </c>
      <c r="D1559" s="2" t="s">
        <v>113</v>
      </c>
      <c r="E1559" s="2" t="s">
        <v>54</v>
      </c>
      <c r="F1559" s="2" t="str" cm="1">
        <f t="array" ref="F1559:G1559">_xlfn.TEXTSPLIT(E1559," - ")</f>
        <v>Beras</v>
      </c>
      <c r="G1559" s="2" t="str">
        <v>Brand C</v>
      </c>
      <c r="H1559" s="5">
        <v>16000</v>
      </c>
      <c r="I1559" s="2">
        <v>3</v>
      </c>
      <c r="J1559" s="2">
        <v>10</v>
      </c>
      <c r="K1559" s="8">
        <f t="shared" si="144"/>
        <v>48000</v>
      </c>
      <c r="L1559" s="8">
        <f t="shared" si="145"/>
        <v>4800</v>
      </c>
      <c r="M1559" s="8">
        <f t="shared" si="146"/>
        <v>43200</v>
      </c>
      <c r="N1559" s="5">
        <v>0</v>
      </c>
      <c r="O1559" s="8">
        <f t="shared" si="147"/>
        <v>43200</v>
      </c>
      <c r="P1559" s="2" t="s">
        <v>29</v>
      </c>
      <c r="Q1559" s="10" t="str">
        <f>VLOOKUP(A1559,Status!A:B,2,0)</f>
        <v>Completed</v>
      </c>
      <c r="R1559" s="2" t="s">
        <v>36</v>
      </c>
      <c r="S1559" s="2">
        <v>1</v>
      </c>
      <c r="T1559" s="2" t="s">
        <v>24</v>
      </c>
      <c r="U1559" s="10" t="str">
        <f t="shared" si="149"/>
        <v>Oct</v>
      </c>
      <c r="V1559" s="10">
        <f t="shared" si="148"/>
        <v>2024</v>
      </c>
      <c r="W1559" t="e" cm="1">
        <f t="array" ref="W1559">_xlfn.IFS(U1559="January",1,U1559="February",2,U1559="March",3,U1559="April",4,U1559="May",5,U1559="June",6,U1559="July",7,U1559="August",8,U1559="September",9,U1559="October",10,U1559="November",11,U1559="December",12)</f>
        <v>#N/A</v>
      </c>
    </row>
    <row r="1560" spans="1:23" ht="15.75" customHeight="1" x14ac:dyDescent="0.25">
      <c r="A1560" s="2" t="s">
        <v>315</v>
      </c>
      <c r="B1560" s="3">
        <v>45572.169282407413</v>
      </c>
      <c r="C1560" s="2" t="s">
        <v>316</v>
      </c>
      <c r="D1560" s="2" t="s">
        <v>244</v>
      </c>
      <c r="E1560" s="2" t="s">
        <v>174</v>
      </c>
      <c r="F1560" s="2" t="str" cm="1">
        <f t="array" ref="F1560:G1560">_xlfn.TEXTSPLIT(E1560," - ")</f>
        <v>Tepung Terigu</v>
      </c>
      <c r="G1560" s="2" t="str">
        <v>Brand A</v>
      </c>
      <c r="H1560" s="5">
        <v>10000</v>
      </c>
      <c r="I1560" s="2">
        <v>3</v>
      </c>
      <c r="J1560" s="2">
        <v>5</v>
      </c>
      <c r="K1560" s="8">
        <f t="shared" si="144"/>
        <v>30000</v>
      </c>
      <c r="L1560" s="8">
        <f t="shared" si="145"/>
        <v>1500</v>
      </c>
      <c r="M1560" s="8">
        <f t="shared" si="146"/>
        <v>28500</v>
      </c>
      <c r="N1560" s="5">
        <v>80000</v>
      </c>
      <c r="O1560" s="8">
        <f t="shared" si="147"/>
        <v>108500</v>
      </c>
      <c r="P1560" s="2" t="s">
        <v>63</v>
      </c>
      <c r="Q1560" s="10" t="str">
        <f>VLOOKUP(A1560,Status!A:B,2,0)</f>
        <v>Completed</v>
      </c>
      <c r="R1560" s="2" t="s">
        <v>23</v>
      </c>
      <c r="S1560" s="2">
        <v>2</v>
      </c>
      <c r="T1560" s="2" t="s">
        <v>24</v>
      </c>
      <c r="U1560" s="10" t="str">
        <f t="shared" si="149"/>
        <v>Oct</v>
      </c>
      <c r="V1560" s="10">
        <f t="shared" si="148"/>
        <v>2024</v>
      </c>
      <c r="W1560" t="e" cm="1">
        <f t="array" ref="W1560">_xlfn.IFS(U1560="January",1,U1560="February",2,U1560="March",3,U1560="April",4,U1560="May",5,U1560="June",6,U1560="July",7,U1560="August",8,U1560="September",9,U1560="October",10,U1560="November",11,U1560="December",12)</f>
        <v>#N/A</v>
      </c>
    </row>
    <row r="1561" spans="1:23" ht="15.75" customHeight="1" x14ac:dyDescent="0.25">
      <c r="A1561" s="2" t="s">
        <v>317</v>
      </c>
      <c r="B1561" s="3">
        <v>45572.446215277778</v>
      </c>
      <c r="C1561" s="2" t="s">
        <v>318</v>
      </c>
      <c r="D1561" s="2" t="s">
        <v>244</v>
      </c>
      <c r="E1561" s="2" t="s">
        <v>81</v>
      </c>
      <c r="F1561" s="2" t="str" cm="1">
        <f t="array" ref="F1561:G1561">_xlfn.TEXTSPLIT(E1561," - ")</f>
        <v>Minyak Goreng</v>
      </c>
      <c r="G1561" s="2" t="str">
        <v>Brand B</v>
      </c>
      <c r="H1561" s="5">
        <v>17000</v>
      </c>
      <c r="I1561" s="2">
        <v>5</v>
      </c>
      <c r="J1561" s="2">
        <v>15</v>
      </c>
      <c r="K1561" s="8">
        <f t="shared" si="144"/>
        <v>85000</v>
      </c>
      <c r="L1561" s="8">
        <f t="shared" si="145"/>
        <v>12750</v>
      </c>
      <c r="M1561" s="8">
        <f t="shared" si="146"/>
        <v>72250</v>
      </c>
      <c r="N1561" s="5">
        <v>80000</v>
      </c>
      <c r="O1561" s="8">
        <f t="shared" si="147"/>
        <v>152250</v>
      </c>
      <c r="P1561" s="2" t="s">
        <v>35</v>
      </c>
      <c r="Q1561" s="10" t="str">
        <f>VLOOKUP(A1561,Status!A:B,2,0)</f>
        <v>Returned</v>
      </c>
      <c r="R1561" s="2" t="s">
        <v>23</v>
      </c>
      <c r="S1561" s="2">
        <v>1</v>
      </c>
      <c r="T1561" s="2" t="s">
        <v>37</v>
      </c>
      <c r="U1561" s="10" t="str">
        <f t="shared" si="149"/>
        <v>Oct</v>
      </c>
      <c r="V1561" s="10">
        <f t="shared" si="148"/>
        <v>2024</v>
      </c>
      <c r="W1561" t="e" cm="1">
        <f t="array" ref="W1561">_xlfn.IFS(U1561="January",1,U1561="February",2,U1561="March",3,U1561="April",4,U1561="May",5,U1561="June",6,U1561="July",7,U1561="August",8,U1561="September",9,U1561="October",10,U1561="November",11,U1561="December",12)</f>
        <v>#N/A</v>
      </c>
    </row>
    <row r="1562" spans="1:23" ht="15.75" customHeight="1" x14ac:dyDescent="0.25">
      <c r="A1562" s="2" t="s">
        <v>319</v>
      </c>
      <c r="B1562" s="3">
        <v>45572.621770833342</v>
      </c>
      <c r="C1562" s="2" t="s">
        <v>273</v>
      </c>
      <c r="D1562" s="2" t="s">
        <v>195</v>
      </c>
      <c r="E1562" s="2" t="s">
        <v>81</v>
      </c>
      <c r="F1562" s="2" t="str" cm="1">
        <f t="array" ref="F1562:G1562">_xlfn.TEXTSPLIT(E1562," - ")</f>
        <v>Minyak Goreng</v>
      </c>
      <c r="G1562" s="2" t="str">
        <v>Brand B</v>
      </c>
      <c r="H1562" s="5">
        <v>17000</v>
      </c>
      <c r="I1562" s="2">
        <v>4</v>
      </c>
      <c r="J1562" s="2">
        <v>10</v>
      </c>
      <c r="K1562" s="8">
        <f t="shared" si="144"/>
        <v>68000</v>
      </c>
      <c r="L1562" s="8">
        <f t="shared" si="145"/>
        <v>6800</v>
      </c>
      <c r="M1562" s="8">
        <f t="shared" si="146"/>
        <v>61200</v>
      </c>
      <c r="N1562" s="5">
        <v>87000</v>
      </c>
      <c r="O1562" s="8">
        <f t="shared" si="147"/>
        <v>148200</v>
      </c>
      <c r="P1562" s="2" t="s">
        <v>35</v>
      </c>
      <c r="Q1562" s="10" t="str">
        <f>VLOOKUP(A1562,Status!A:B,2,0)</f>
        <v>Completed</v>
      </c>
      <c r="R1562" s="2" t="s">
        <v>46</v>
      </c>
      <c r="S1562" s="2">
        <v>1</v>
      </c>
      <c r="T1562" s="2" t="s">
        <v>24</v>
      </c>
      <c r="U1562" s="10" t="str">
        <f t="shared" si="149"/>
        <v>Oct</v>
      </c>
      <c r="V1562" s="10">
        <f t="shared" si="148"/>
        <v>2024</v>
      </c>
      <c r="W1562" t="e" cm="1">
        <f t="array" ref="W1562">_xlfn.IFS(U1562="January",1,U1562="February",2,U1562="March",3,U1562="April",4,U1562="May",5,U1562="June",6,U1562="July",7,U1562="August",8,U1562="September",9,U1562="October",10,U1562="November",11,U1562="December",12)</f>
        <v>#N/A</v>
      </c>
    </row>
    <row r="1563" spans="1:23" ht="15.75" customHeight="1" x14ac:dyDescent="0.25">
      <c r="A1563" s="2" t="s">
        <v>320</v>
      </c>
      <c r="B1563" s="3">
        <v>45573.014687499999</v>
      </c>
      <c r="C1563" s="2" t="s">
        <v>321</v>
      </c>
      <c r="D1563" s="2" t="s">
        <v>80</v>
      </c>
      <c r="E1563" s="2" t="s">
        <v>50</v>
      </c>
      <c r="F1563" s="2" t="str" cm="1">
        <f t="array" ref="F1563:G1563">_xlfn.TEXTSPLIT(E1563," - ")</f>
        <v>Tepung Terigu</v>
      </c>
      <c r="G1563" s="2" t="str">
        <v>Brand C</v>
      </c>
      <c r="H1563" s="5">
        <v>14000</v>
      </c>
      <c r="I1563" s="2">
        <v>2</v>
      </c>
      <c r="J1563" s="2">
        <v>5</v>
      </c>
      <c r="K1563" s="8">
        <f t="shared" si="144"/>
        <v>28000</v>
      </c>
      <c r="L1563" s="8">
        <f t="shared" si="145"/>
        <v>1400</v>
      </c>
      <c r="M1563" s="8">
        <f t="shared" si="146"/>
        <v>26600</v>
      </c>
      <c r="N1563" s="5">
        <v>74000</v>
      </c>
      <c r="O1563" s="8">
        <f t="shared" si="147"/>
        <v>100600</v>
      </c>
      <c r="P1563" s="2" t="s">
        <v>35</v>
      </c>
      <c r="Q1563" s="10" t="str">
        <f>VLOOKUP(A1563,Status!A:B,2,0)</f>
        <v>Completed</v>
      </c>
      <c r="R1563" s="2" t="s">
        <v>30</v>
      </c>
      <c r="S1563" s="2">
        <v>1</v>
      </c>
      <c r="T1563" s="2" t="s">
        <v>24</v>
      </c>
      <c r="U1563" s="10" t="str">
        <f t="shared" si="149"/>
        <v>Oct</v>
      </c>
      <c r="V1563" s="10">
        <f t="shared" si="148"/>
        <v>2024</v>
      </c>
      <c r="W1563" t="e" cm="1">
        <f t="array" ref="W1563">_xlfn.IFS(U1563="January",1,U1563="February",2,U1563="March",3,U1563="April",4,U1563="May",5,U1563="June",6,U1563="July",7,U1563="August",8,U1563="September",9,U1563="October",10,U1563="November",11,U1563="December",12)</f>
        <v>#N/A</v>
      </c>
    </row>
    <row r="1564" spans="1:23" ht="15.75" customHeight="1" x14ac:dyDescent="0.25">
      <c r="A1564" s="2" t="s">
        <v>322</v>
      </c>
      <c r="B1564" s="3">
        <v>45573.198518518519</v>
      </c>
      <c r="C1564" s="2" t="s">
        <v>323</v>
      </c>
      <c r="D1564" s="2" t="s">
        <v>103</v>
      </c>
      <c r="E1564" s="2" t="s">
        <v>110</v>
      </c>
      <c r="F1564" s="2" t="str" cm="1">
        <f t="array" ref="F1564:G1564">_xlfn.TEXTSPLIT(E1564," - ")</f>
        <v>Garam</v>
      </c>
      <c r="G1564" s="2" t="str">
        <v>Brand C</v>
      </c>
      <c r="H1564" s="5">
        <v>6000</v>
      </c>
      <c r="I1564" s="2">
        <v>5</v>
      </c>
      <c r="J1564" s="2">
        <v>15</v>
      </c>
      <c r="K1564" s="8">
        <f t="shared" si="144"/>
        <v>30000</v>
      </c>
      <c r="L1564" s="8">
        <f t="shared" si="145"/>
        <v>4500</v>
      </c>
      <c r="M1564" s="8">
        <f t="shared" si="146"/>
        <v>25500</v>
      </c>
      <c r="N1564" s="5">
        <v>85000</v>
      </c>
      <c r="O1564" s="8">
        <f t="shared" si="147"/>
        <v>110500</v>
      </c>
      <c r="P1564" s="2" t="s">
        <v>63</v>
      </c>
      <c r="Q1564" s="10" t="str">
        <f>VLOOKUP(A1564,Status!A:B,2,0)</f>
        <v>Completed</v>
      </c>
      <c r="R1564" s="2" t="s">
        <v>23</v>
      </c>
      <c r="S1564" s="2">
        <v>2</v>
      </c>
      <c r="T1564" s="2" t="s">
        <v>24</v>
      </c>
      <c r="U1564" s="10" t="str">
        <f t="shared" si="149"/>
        <v>Oct</v>
      </c>
      <c r="V1564" s="10">
        <f t="shared" si="148"/>
        <v>2024</v>
      </c>
      <c r="W1564" t="e" cm="1">
        <f t="array" ref="W1564">_xlfn.IFS(U1564="January",1,U1564="February",2,U1564="March",3,U1564="April",4,U1564="May",5,U1564="June",6,U1564="July",7,U1564="August",8,U1564="September",9,U1564="October",10,U1564="November",11,U1564="December",12)</f>
        <v>#N/A</v>
      </c>
    </row>
    <row r="1565" spans="1:23" ht="15.75" customHeight="1" x14ac:dyDescent="0.25">
      <c r="A1565" s="2" t="s">
        <v>324</v>
      </c>
      <c r="B1565" s="3">
        <v>45573.420266203713</v>
      </c>
      <c r="C1565" s="2" t="s">
        <v>192</v>
      </c>
      <c r="D1565" s="2" t="s">
        <v>107</v>
      </c>
      <c r="E1565" s="2" t="s">
        <v>123</v>
      </c>
      <c r="F1565" s="2" t="str" cm="1">
        <f t="array" ref="F1565:G1565">_xlfn.TEXTSPLIT(E1565," - ")</f>
        <v>Telur Ayam</v>
      </c>
      <c r="G1565" s="2" t="str">
        <v>Brand A</v>
      </c>
      <c r="H1565" s="5">
        <v>22000</v>
      </c>
      <c r="I1565" s="2">
        <v>4</v>
      </c>
      <c r="J1565" s="2">
        <v>20</v>
      </c>
      <c r="K1565" s="8">
        <f t="shared" si="144"/>
        <v>88000</v>
      </c>
      <c r="L1565" s="8">
        <f t="shared" si="145"/>
        <v>17600</v>
      </c>
      <c r="M1565" s="8">
        <f t="shared" si="146"/>
        <v>70400</v>
      </c>
      <c r="N1565" s="5">
        <v>97000</v>
      </c>
      <c r="O1565" s="8">
        <f t="shared" si="147"/>
        <v>167400</v>
      </c>
      <c r="P1565" s="2" t="s">
        <v>63</v>
      </c>
      <c r="Q1565" s="10" t="str">
        <f>VLOOKUP(A1565,Status!A:B,2,0)</f>
        <v>Completed</v>
      </c>
      <c r="R1565" s="2" t="s">
        <v>30</v>
      </c>
      <c r="S1565" s="2">
        <v>3</v>
      </c>
      <c r="T1565" s="2" t="s">
        <v>24</v>
      </c>
      <c r="U1565" s="10" t="str">
        <f t="shared" si="149"/>
        <v>Oct</v>
      </c>
      <c r="V1565" s="10">
        <f t="shared" si="148"/>
        <v>2024</v>
      </c>
      <c r="W1565" t="e" cm="1">
        <f t="array" ref="W1565">_xlfn.IFS(U1565="January",1,U1565="February",2,U1565="March",3,U1565="April",4,U1565="May",5,U1565="June",6,U1565="July",7,U1565="August",8,U1565="September",9,U1565="October",10,U1565="November",11,U1565="December",12)</f>
        <v>#N/A</v>
      </c>
    </row>
    <row r="1566" spans="1:23" ht="15.75" customHeight="1" x14ac:dyDescent="0.25">
      <c r="A1566" s="2" t="s">
        <v>325</v>
      </c>
      <c r="B1566" s="3">
        <v>45573.527280092603</v>
      </c>
      <c r="C1566" s="2" t="s">
        <v>326</v>
      </c>
      <c r="D1566" s="2" t="s">
        <v>262</v>
      </c>
      <c r="E1566" s="2" t="s">
        <v>50</v>
      </c>
      <c r="F1566" s="2" t="str" cm="1">
        <f t="array" ref="F1566:G1566">_xlfn.TEXTSPLIT(E1566," - ")</f>
        <v>Tepung Terigu</v>
      </c>
      <c r="G1566" s="2" t="str">
        <v>Brand C</v>
      </c>
      <c r="H1566" s="5">
        <v>14000</v>
      </c>
      <c r="I1566" s="2">
        <v>4</v>
      </c>
      <c r="J1566" s="2">
        <v>10</v>
      </c>
      <c r="K1566" s="8">
        <f t="shared" si="144"/>
        <v>56000</v>
      </c>
      <c r="L1566" s="8">
        <f t="shared" si="145"/>
        <v>5600</v>
      </c>
      <c r="M1566" s="8">
        <f t="shared" si="146"/>
        <v>50400</v>
      </c>
      <c r="N1566" s="5">
        <v>18000</v>
      </c>
      <c r="O1566" s="8">
        <f t="shared" si="147"/>
        <v>68400</v>
      </c>
      <c r="P1566" s="2" t="s">
        <v>63</v>
      </c>
      <c r="Q1566" s="10" t="str">
        <f>VLOOKUP(A1566,Status!A:B,2,0)</f>
        <v>Completed</v>
      </c>
      <c r="R1566" s="2" t="s">
        <v>46</v>
      </c>
      <c r="S1566" s="2">
        <v>3</v>
      </c>
      <c r="T1566" s="2" t="s">
        <v>37</v>
      </c>
      <c r="U1566" s="10" t="str">
        <f t="shared" si="149"/>
        <v>Oct</v>
      </c>
      <c r="V1566" s="10">
        <f t="shared" si="148"/>
        <v>2024</v>
      </c>
      <c r="W1566" t="e" cm="1">
        <f t="array" ref="W1566">_xlfn.IFS(U1566="January",1,U1566="February",2,U1566="March",3,U1566="April",4,U1566="May",5,U1566="June",6,U1566="July",7,U1566="August",8,U1566="September",9,U1566="October",10,U1566="November",11,U1566="December",12)</f>
        <v>#N/A</v>
      </c>
    </row>
    <row r="1567" spans="1:23" ht="15.75" customHeight="1" x14ac:dyDescent="0.25">
      <c r="A1567" s="2" t="s">
        <v>327</v>
      </c>
      <c r="B1567" s="3">
        <v>45573.747465277767</v>
      </c>
      <c r="C1567" s="2" t="s">
        <v>179</v>
      </c>
      <c r="D1567" s="2" t="s">
        <v>66</v>
      </c>
      <c r="E1567" s="2" t="s">
        <v>34</v>
      </c>
      <c r="F1567" s="2" t="str" cm="1">
        <f t="array" ref="F1567:G1567">_xlfn.TEXTSPLIT(E1567," - ")</f>
        <v>Minyak Goreng</v>
      </c>
      <c r="G1567" s="2" t="str">
        <v>Brand A</v>
      </c>
      <c r="H1567" s="5">
        <v>16000</v>
      </c>
      <c r="I1567" s="2">
        <v>5</v>
      </c>
      <c r="J1567" s="2">
        <v>0</v>
      </c>
      <c r="K1567" s="8">
        <f t="shared" si="144"/>
        <v>80000</v>
      </c>
      <c r="L1567" s="8">
        <f t="shared" si="145"/>
        <v>0</v>
      </c>
      <c r="M1567" s="8">
        <f t="shared" si="146"/>
        <v>80000</v>
      </c>
      <c r="N1567" s="5">
        <v>59000</v>
      </c>
      <c r="O1567" s="8">
        <f t="shared" si="147"/>
        <v>139000</v>
      </c>
      <c r="P1567" s="2" t="s">
        <v>35</v>
      </c>
      <c r="Q1567" s="10" t="str">
        <f>VLOOKUP(A1567,Status!A:B,2,0)</f>
        <v>Cancelled</v>
      </c>
      <c r="R1567" s="2" t="s">
        <v>23</v>
      </c>
      <c r="S1567" s="2">
        <v>3</v>
      </c>
      <c r="T1567" s="2" t="s">
        <v>24</v>
      </c>
      <c r="U1567" s="10" t="str">
        <f t="shared" si="149"/>
        <v>Oct</v>
      </c>
      <c r="V1567" s="10">
        <f t="shared" si="148"/>
        <v>2024</v>
      </c>
      <c r="W1567" t="e" cm="1">
        <f t="array" ref="W1567">_xlfn.IFS(U1567="January",1,U1567="February",2,U1567="March",3,U1567="April",4,U1567="May",5,U1567="June",6,U1567="July",7,U1567="August",8,U1567="September",9,U1567="October",10,U1567="November",11,U1567="December",12)</f>
        <v>#N/A</v>
      </c>
    </row>
    <row r="1568" spans="1:23" ht="15.75" customHeight="1" x14ac:dyDescent="0.25">
      <c r="A1568" s="2" t="s">
        <v>328</v>
      </c>
      <c r="B1568" s="3">
        <v>45573.881365740737</v>
      </c>
      <c r="C1568" s="2" t="s">
        <v>188</v>
      </c>
      <c r="D1568" s="2" t="s">
        <v>189</v>
      </c>
      <c r="E1568" s="2" t="s">
        <v>75</v>
      </c>
      <c r="F1568" s="2" t="str" cm="1">
        <f t="array" ref="F1568:G1568">_xlfn.TEXTSPLIT(E1568," - ")</f>
        <v>Susu Bubuk</v>
      </c>
      <c r="G1568" s="2" t="str">
        <v>Brand C</v>
      </c>
      <c r="H1568" s="5">
        <v>55000</v>
      </c>
      <c r="I1568" s="2">
        <v>2</v>
      </c>
      <c r="J1568" s="2">
        <v>0</v>
      </c>
      <c r="K1568" s="8">
        <f t="shared" si="144"/>
        <v>110000</v>
      </c>
      <c r="L1568" s="8">
        <f t="shared" si="145"/>
        <v>0</v>
      </c>
      <c r="M1568" s="8">
        <f t="shared" si="146"/>
        <v>110000</v>
      </c>
      <c r="N1568" s="5">
        <v>57000</v>
      </c>
      <c r="O1568" s="8">
        <f t="shared" si="147"/>
        <v>167000</v>
      </c>
      <c r="P1568" s="2" t="s">
        <v>29</v>
      </c>
      <c r="Q1568" s="10" t="str">
        <f>VLOOKUP(A1568,Status!A:B,2,0)</f>
        <v>Completed</v>
      </c>
      <c r="R1568" s="2" t="s">
        <v>23</v>
      </c>
      <c r="S1568" s="2">
        <v>5</v>
      </c>
      <c r="T1568" s="2" t="s">
        <v>24</v>
      </c>
      <c r="U1568" s="10" t="str">
        <f t="shared" si="149"/>
        <v>Oct</v>
      </c>
      <c r="V1568" s="10">
        <f t="shared" si="148"/>
        <v>2024</v>
      </c>
      <c r="W1568" t="e" cm="1">
        <f t="array" ref="W1568">_xlfn.IFS(U1568="January",1,U1568="February",2,U1568="March",3,U1568="April",4,U1568="May",5,U1568="June",6,U1568="July",7,U1568="August",8,U1568="September",9,U1568="October",10,U1568="November",11,U1568="December",12)</f>
        <v>#N/A</v>
      </c>
    </row>
    <row r="1569" spans="1:23" ht="15.75" customHeight="1" x14ac:dyDescent="0.25">
      <c r="A1569" s="2" t="s">
        <v>329</v>
      </c>
      <c r="B1569" s="3">
        <v>45574.081747685188</v>
      </c>
      <c r="C1569" s="2" t="s">
        <v>169</v>
      </c>
      <c r="D1569" s="2" t="s">
        <v>170</v>
      </c>
      <c r="E1569" s="2" t="s">
        <v>250</v>
      </c>
      <c r="F1569" s="2" t="str" cm="1">
        <f t="array" ref="F1569:G1569">_xlfn.TEXTSPLIT(E1569," - ")</f>
        <v>Minyak Goreng</v>
      </c>
      <c r="G1569" s="2" t="str">
        <v>Brand C</v>
      </c>
      <c r="H1569" s="5">
        <v>18000</v>
      </c>
      <c r="I1569" s="2">
        <v>3</v>
      </c>
      <c r="J1569" s="2">
        <v>15</v>
      </c>
      <c r="K1569" s="8">
        <f t="shared" si="144"/>
        <v>54000</v>
      </c>
      <c r="L1569" s="8">
        <f t="shared" si="145"/>
        <v>8100</v>
      </c>
      <c r="M1569" s="8">
        <f t="shared" si="146"/>
        <v>45900</v>
      </c>
      <c r="N1569" s="5">
        <v>46000</v>
      </c>
      <c r="O1569" s="8">
        <f t="shared" si="147"/>
        <v>91900</v>
      </c>
      <c r="P1569" s="2" t="s">
        <v>35</v>
      </c>
      <c r="Q1569" s="10" t="str">
        <f>VLOOKUP(A1569,Status!A:B,2,0)</f>
        <v>Completed</v>
      </c>
      <c r="R1569" s="2" t="s">
        <v>36</v>
      </c>
      <c r="S1569" s="2">
        <v>1</v>
      </c>
      <c r="T1569" s="2" t="s">
        <v>24</v>
      </c>
      <c r="U1569" s="10" t="str">
        <f t="shared" si="149"/>
        <v>Oct</v>
      </c>
      <c r="V1569" s="10">
        <f t="shared" si="148"/>
        <v>2024</v>
      </c>
      <c r="W1569" t="e" cm="1">
        <f t="array" ref="W1569">_xlfn.IFS(U1569="January",1,U1569="February",2,U1569="March",3,U1569="April",4,U1569="May",5,U1569="June",6,U1569="July",7,U1569="August",8,U1569="September",9,U1569="October",10,U1569="November",11,U1569="December",12)</f>
        <v>#N/A</v>
      </c>
    </row>
    <row r="1570" spans="1:23" ht="15.75" customHeight="1" x14ac:dyDescent="0.25">
      <c r="A1570" s="2" t="s">
        <v>329</v>
      </c>
      <c r="B1570" s="3">
        <v>45574.081747685188</v>
      </c>
      <c r="C1570" s="2" t="s">
        <v>169</v>
      </c>
      <c r="D1570" s="2" t="s">
        <v>170</v>
      </c>
      <c r="E1570" s="2" t="s">
        <v>85</v>
      </c>
      <c r="F1570" s="2" t="str" cm="1">
        <f t="array" ref="F1570:G1570">_xlfn.TEXTSPLIT(E1570," - ")</f>
        <v>Daging Ayam</v>
      </c>
      <c r="G1570" s="2" t="str">
        <v>Brand A</v>
      </c>
      <c r="H1570" s="5">
        <v>35000</v>
      </c>
      <c r="I1570" s="2">
        <v>3</v>
      </c>
      <c r="J1570" s="2">
        <v>20</v>
      </c>
      <c r="K1570" s="8">
        <f t="shared" si="144"/>
        <v>105000</v>
      </c>
      <c r="L1570" s="8">
        <f t="shared" si="145"/>
        <v>21000</v>
      </c>
      <c r="M1570" s="8">
        <f t="shared" si="146"/>
        <v>84000</v>
      </c>
      <c r="N1570" s="5">
        <v>0</v>
      </c>
      <c r="O1570" s="8">
        <f t="shared" si="147"/>
        <v>84000</v>
      </c>
      <c r="P1570" s="2" t="s">
        <v>35</v>
      </c>
      <c r="Q1570" s="10" t="str">
        <f>VLOOKUP(A1570,Status!A:B,2,0)</f>
        <v>Completed</v>
      </c>
      <c r="R1570" s="2" t="s">
        <v>36</v>
      </c>
      <c r="S1570" s="2">
        <v>1</v>
      </c>
      <c r="T1570" s="2" t="s">
        <v>24</v>
      </c>
      <c r="U1570" s="10" t="str">
        <f t="shared" si="149"/>
        <v>Oct</v>
      </c>
      <c r="V1570" s="10">
        <f t="shared" si="148"/>
        <v>2024</v>
      </c>
      <c r="W1570" t="e" cm="1">
        <f t="array" ref="W1570">_xlfn.IFS(U1570="January",1,U1570="February",2,U1570="March",3,U1570="April",4,U1570="May",5,U1570="June",6,U1570="July",7,U1570="August",8,U1570="September",9,U1570="October",10,U1570="November",11,U1570="December",12)</f>
        <v>#N/A</v>
      </c>
    </row>
    <row r="1571" spans="1:23" ht="15.75" customHeight="1" x14ac:dyDescent="0.25">
      <c r="A1571" s="2" t="s">
        <v>330</v>
      </c>
      <c r="B1571" s="3">
        <v>45574.15121527778</v>
      </c>
      <c r="C1571" s="2" t="s">
        <v>331</v>
      </c>
      <c r="D1571" s="2" t="s">
        <v>20</v>
      </c>
      <c r="E1571" s="2" t="s">
        <v>45</v>
      </c>
      <c r="F1571" s="2" t="str" cm="1">
        <f t="array" ref="F1571:G1571">_xlfn.TEXTSPLIT(E1571," - ")</f>
        <v>Daging Ayam</v>
      </c>
      <c r="G1571" s="2" t="str">
        <v>Brand B</v>
      </c>
      <c r="H1571" s="5">
        <v>40000</v>
      </c>
      <c r="I1571" s="2">
        <v>2</v>
      </c>
      <c r="J1571" s="2">
        <v>15</v>
      </c>
      <c r="K1571" s="8">
        <f t="shared" si="144"/>
        <v>80000</v>
      </c>
      <c r="L1571" s="8">
        <f t="shared" si="145"/>
        <v>12000</v>
      </c>
      <c r="M1571" s="8">
        <f t="shared" si="146"/>
        <v>68000</v>
      </c>
      <c r="N1571" s="5">
        <v>15000</v>
      </c>
      <c r="O1571" s="8">
        <f t="shared" si="147"/>
        <v>83000</v>
      </c>
      <c r="P1571" s="2" t="s">
        <v>35</v>
      </c>
      <c r="Q1571" s="10" t="str">
        <f>VLOOKUP(A1571,Status!A:B,2,0)</f>
        <v>Completed</v>
      </c>
      <c r="R1571" s="2" t="s">
        <v>46</v>
      </c>
      <c r="S1571" s="2">
        <v>5</v>
      </c>
      <c r="T1571" s="2" t="s">
        <v>37</v>
      </c>
      <c r="U1571" s="10" t="str">
        <f t="shared" si="149"/>
        <v>Oct</v>
      </c>
      <c r="V1571" s="10">
        <f t="shared" si="148"/>
        <v>2024</v>
      </c>
      <c r="W1571" t="e" cm="1">
        <f t="array" ref="W1571">_xlfn.IFS(U1571="January",1,U1571="February",2,U1571="March",3,U1571="April",4,U1571="May",5,U1571="June",6,U1571="July",7,U1571="August",8,U1571="September",9,U1571="October",10,U1571="November",11,U1571="December",12)</f>
        <v>#N/A</v>
      </c>
    </row>
    <row r="1572" spans="1:23" ht="15.75" customHeight="1" x14ac:dyDescent="0.25">
      <c r="A1572" s="2" t="s">
        <v>332</v>
      </c>
      <c r="B1572" s="3">
        <v>45574.197430555563</v>
      </c>
      <c r="C1572" s="2" t="s">
        <v>333</v>
      </c>
      <c r="D1572" s="2" t="s">
        <v>107</v>
      </c>
      <c r="E1572" s="2" t="s">
        <v>85</v>
      </c>
      <c r="F1572" s="2" t="str" cm="1">
        <f t="array" ref="F1572:G1572">_xlfn.TEXTSPLIT(E1572," - ")</f>
        <v>Daging Ayam</v>
      </c>
      <c r="G1572" s="2" t="str">
        <v>Brand A</v>
      </c>
      <c r="H1572" s="5">
        <v>35000</v>
      </c>
      <c r="I1572" s="2">
        <v>2</v>
      </c>
      <c r="J1572" s="2">
        <v>5</v>
      </c>
      <c r="K1572" s="8">
        <f t="shared" si="144"/>
        <v>70000</v>
      </c>
      <c r="L1572" s="8">
        <f t="shared" si="145"/>
        <v>3500</v>
      </c>
      <c r="M1572" s="8">
        <f t="shared" si="146"/>
        <v>66500</v>
      </c>
      <c r="N1572" s="5">
        <v>97000</v>
      </c>
      <c r="O1572" s="8">
        <f t="shared" si="147"/>
        <v>163500</v>
      </c>
      <c r="P1572" s="2" t="s">
        <v>35</v>
      </c>
      <c r="Q1572" s="10" t="str">
        <f>VLOOKUP(A1572,Status!A:B,2,0)</f>
        <v>Completed</v>
      </c>
      <c r="R1572" s="2" t="s">
        <v>30</v>
      </c>
      <c r="S1572" s="2">
        <v>5</v>
      </c>
      <c r="T1572" s="2" t="s">
        <v>37</v>
      </c>
      <c r="U1572" s="10" t="str">
        <f t="shared" si="149"/>
        <v>Oct</v>
      </c>
      <c r="V1572" s="10">
        <f t="shared" si="148"/>
        <v>2024</v>
      </c>
      <c r="W1572" t="e" cm="1">
        <f t="array" ref="W1572">_xlfn.IFS(U1572="January",1,U1572="February",2,U1572="March",3,U1572="April",4,U1572="May",5,U1572="June",6,U1572="July",7,U1572="August",8,U1572="September",9,U1572="October",10,U1572="November",11,U1572="December",12)</f>
        <v>#N/A</v>
      </c>
    </row>
    <row r="1573" spans="1:23" ht="15.75" customHeight="1" x14ac:dyDescent="0.25">
      <c r="A1573" s="2" t="s">
        <v>334</v>
      </c>
      <c r="B1573" s="3">
        <v>45574.236168981479</v>
      </c>
      <c r="C1573" s="2" t="s">
        <v>335</v>
      </c>
      <c r="D1573" s="2" t="s">
        <v>80</v>
      </c>
      <c r="E1573" s="2" t="s">
        <v>123</v>
      </c>
      <c r="F1573" s="2" t="str" cm="1">
        <f t="array" ref="F1573:G1573">_xlfn.TEXTSPLIT(E1573," - ")</f>
        <v>Telur Ayam</v>
      </c>
      <c r="G1573" s="2" t="str">
        <v>Brand A</v>
      </c>
      <c r="H1573" s="5">
        <v>22000</v>
      </c>
      <c r="I1573" s="2">
        <v>5</v>
      </c>
      <c r="J1573" s="2">
        <v>0</v>
      </c>
      <c r="K1573" s="8">
        <f t="shared" si="144"/>
        <v>110000</v>
      </c>
      <c r="L1573" s="8">
        <f t="shared" si="145"/>
        <v>0</v>
      </c>
      <c r="M1573" s="8">
        <f t="shared" si="146"/>
        <v>110000</v>
      </c>
      <c r="N1573" s="5">
        <v>74000</v>
      </c>
      <c r="O1573" s="8">
        <f t="shared" si="147"/>
        <v>184000</v>
      </c>
      <c r="P1573" s="2" t="s">
        <v>63</v>
      </c>
      <c r="Q1573" s="10" t="str">
        <f>VLOOKUP(A1573,Status!A:B,2,0)</f>
        <v>Completed</v>
      </c>
      <c r="R1573" s="2" t="s">
        <v>82</v>
      </c>
      <c r="S1573" s="2">
        <v>5</v>
      </c>
      <c r="T1573" s="2" t="s">
        <v>37</v>
      </c>
      <c r="U1573" s="10" t="str">
        <f t="shared" si="149"/>
        <v>Oct</v>
      </c>
      <c r="V1573" s="10">
        <f t="shared" si="148"/>
        <v>2024</v>
      </c>
      <c r="W1573" t="e" cm="1">
        <f t="array" ref="W1573">_xlfn.IFS(U1573="January",1,U1573="February",2,U1573="March",3,U1573="April",4,U1573="May",5,U1573="June",6,U1573="July",7,U1573="August",8,U1573="September",9,U1573="October",10,U1573="November",11,U1573="December",12)</f>
        <v>#N/A</v>
      </c>
    </row>
    <row r="1574" spans="1:23" ht="15.75" customHeight="1" x14ac:dyDescent="0.25">
      <c r="A1574" s="2" t="s">
        <v>336</v>
      </c>
      <c r="B1574" s="3">
        <v>45574.308252314811</v>
      </c>
      <c r="C1574" s="2" t="s">
        <v>337</v>
      </c>
      <c r="D1574" s="2" t="s">
        <v>131</v>
      </c>
      <c r="E1574" s="2" t="s">
        <v>62</v>
      </c>
      <c r="F1574" s="2" t="str" cm="1">
        <f t="array" ref="F1574:G1574">_xlfn.TEXTSPLIT(E1574," - ")</f>
        <v>Susu Bubuk</v>
      </c>
      <c r="G1574" s="2" t="str">
        <v>Brand B</v>
      </c>
      <c r="H1574" s="5">
        <v>50000</v>
      </c>
      <c r="I1574" s="2">
        <v>3</v>
      </c>
      <c r="J1574" s="2">
        <v>5</v>
      </c>
      <c r="K1574" s="8">
        <f t="shared" si="144"/>
        <v>150000</v>
      </c>
      <c r="L1574" s="8">
        <f t="shared" si="145"/>
        <v>7500</v>
      </c>
      <c r="M1574" s="8">
        <f t="shared" si="146"/>
        <v>142500</v>
      </c>
      <c r="N1574" s="5">
        <v>59000</v>
      </c>
      <c r="O1574" s="8">
        <f t="shared" si="147"/>
        <v>201500</v>
      </c>
      <c r="P1574" s="2" t="s">
        <v>35</v>
      </c>
      <c r="Q1574" s="10" t="str">
        <f>VLOOKUP(A1574,Status!A:B,2,0)</f>
        <v>Completed</v>
      </c>
      <c r="R1574" s="2" t="s">
        <v>46</v>
      </c>
      <c r="S1574" s="2">
        <v>1</v>
      </c>
      <c r="T1574" s="2" t="s">
        <v>24</v>
      </c>
      <c r="U1574" s="10" t="str">
        <f t="shared" si="149"/>
        <v>Oct</v>
      </c>
      <c r="V1574" s="10">
        <f t="shared" si="148"/>
        <v>2024</v>
      </c>
      <c r="W1574" t="e" cm="1">
        <f t="array" ref="W1574">_xlfn.IFS(U1574="January",1,U1574="February",2,U1574="March",3,U1574="April",4,U1574="May",5,U1574="June",6,U1574="July",7,U1574="August",8,U1574="September",9,U1574="October",10,U1574="November",11,U1574="December",12)</f>
        <v>#N/A</v>
      </c>
    </row>
    <row r="1575" spans="1:23" ht="15.75" customHeight="1" x14ac:dyDescent="0.25">
      <c r="A1575" s="2" t="s">
        <v>338</v>
      </c>
      <c r="B1575" s="3">
        <v>45574.792592592603</v>
      </c>
      <c r="C1575" s="2" t="s">
        <v>246</v>
      </c>
      <c r="D1575" s="2" t="s">
        <v>238</v>
      </c>
      <c r="E1575" s="2" t="s">
        <v>28</v>
      </c>
      <c r="F1575" s="2" t="str" cm="1">
        <f t="array" ref="F1575:G1575">_xlfn.TEXTSPLIT(E1575," - ")</f>
        <v>Garam</v>
      </c>
      <c r="G1575" s="2" t="str">
        <v>Brand B</v>
      </c>
      <c r="H1575" s="5">
        <v>5000</v>
      </c>
      <c r="I1575" s="2">
        <v>1</v>
      </c>
      <c r="J1575" s="2">
        <v>5</v>
      </c>
      <c r="K1575" s="8">
        <f t="shared" si="144"/>
        <v>5000</v>
      </c>
      <c r="L1575" s="8">
        <f t="shared" si="145"/>
        <v>250</v>
      </c>
      <c r="M1575" s="8">
        <f t="shared" si="146"/>
        <v>4750</v>
      </c>
      <c r="N1575" s="5">
        <v>28000</v>
      </c>
      <c r="O1575" s="8">
        <f t="shared" si="147"/>
        <v>32750</v>
      </c>
      <c r="P1575" s="2" t="s">
        <v>29</v>
      </c>
      <c r="Q1575" s="10" t="str">
        <f>VLOOKUP(A1575,Status!A:B,2,0)</f>
        <v>Completed</v>
      </c>
      <c r="R1575" s="2" t="s">
        <v>23</v>
      </c>
      <c r="S1575" s="2">
        <v>2</v>
      </c>
      <c r="T1575" s="2" t="s">
        <v>24</v>
      </c>
      <c r="U1575" s="10" t="str">
        <f t="shared" si="149"/>
        <v>Oct</v>
      </c>
      <c r="V1575" s="10">
        <f t="shared" si="148"/>
        <v>2024</v>
      </c>
      <c r="W1575" t="e" cm="1">
        <f t="array" ref="W1575">_xlfn.IFS(U1575="January",1,U1575="February",2,U1575="March",3,U1575="April",4,U1575="May",5,U1575="June",6,U1575="July",7,U1575="August",8,U1575="September",9,U1575="October",10,U1575="November",11,U1575="December",12)</f>
        <v>#N/A</v>
      </c>
    </row>
    <row r="1576" spans="1:23" ht="15.75" customHeight="1" x14ac:dyDescent="0.25">
      <c r="A1576" s="2" t="s">
        <v>339</v>
      </c>
      <c r="B1576" s="3">
        <v>45574.835451388892</v>
      </c>
      <c r="C1576" s="2" t="s">
        <v>340</v>
      </c>
      <c r="D1576" s="2" t="s">
        <v>126</v>
      </c>
      <c r="E1576" s="2" t="s">
        <v>93</v>
      </c>
      <c r="F1576" s="2" t="str" cm="1">
        <f t="array" ref="F1576:G1576">_xlfn.TEXTSPLIT(E1576," - ")</f>
        <v>Telur Ayam</v>
      </c>
      <c r="G1576" s="2" t="str">
        <v>Brand B</v>
      </c>
      <c r="H1576" s="5">
        <v>25000</v>
      </c>
      <c r="I1576" s="2">
        <v>5</v>
      </c>
      <c r="J1576" s="2">
        <v>15</v>
      </c>
      <c r="K1576" s="8">
        <f t="shared" si="144"/>
        <v>125000</v>
      </c>
      <c r="L1576" s="8">
        <f t="shared" si="145"/>
        <v>18750</v>
      </c>
      <c r="M1576" s="8">
        <f t="shared" si="146"/>
        <v>106250</v>
      </c>
      <c r="N1576" s="5">
        <v>84000</v>
      </c>
      <c r="O1576" s="8">
        <f t="shared" si="147"/>
        <v>190250</v>
      </c>
      <c r="P1576" s="2" t="s">
        <v>63</v>
      </c>
      <c r="Q1576" s="10" t="str">
        <f>VLOOKUP(A1576,Status!A:B,2,0)</f>
        <v>Completed</v>
      </c>
      <c r="R1576" s="2" t="s">
        <v>30</v>
      </c>
      <c r="S1576" s="2">
        <v>2</v>
      </c>
      <c r="T1576" s="2" t="s">
        <v>37</v>
      </c>
      <c r="U1576" s="10" t="str">
        <f t="shared" si="149"/>
        <v>Oct</v>
      </c>
      <c r="V1576" s="10">
        <f t="shared" si="148"/>
        <v>2024</v>
      </c>
      <c r="W1576" t="e" cm="1">
        <f t="array" ref="W1576">_xlfn.IFS(U1576="January",1,U1576="February",2,U1576="March",3,U1576="April",4,U1576="May",5,U1576="June",6,U1576="July",7,U1576="August",8,U1576="September",9,U1576="October",10,U1576="November",11,U1576="December",12)</f>
        <v>#N/A</v>
      </c>
    </row>
    <row r="1577" spans="1:23" ht="15.75" customHeight="1" x14ac:dyDescent="0.25">
      <c r="A1577" s="2" t="s">
        <v>341</v>
      </c>
      <c r="B1577" s="3">
        <v>45574.890370370369</v>
      </c>
      <c r="C1577" s="2" t="s">
        <v>342</v>
      </c>
      <c r="D1577" s="2" t="s">
        <v>131</v>
      </c>
      <c r="E1577" s="2" t="s">
        <v>250</v>
      </c>
      <c r="F1577" s="2" t="str" cm="1">
        <f t="array" ref="F1577:G1577">_xlfn.TEXTSPLIT(E1577," - ")</f>
        <v>Minyak Goreng</v>
      </c>
      <c r="G1577" s="2" t="str">
        <v>Brand C</v>
      </c>
      <c r="H1577" s="5">
        <v>18000</v>
      </c>
      <c r="I1577" s="2">
        <v>2</v>
      </c>
      <c r="J1577" s="2">
        <v>20</v>
      </c>
      <c r="K1577" s="8">
        <f t="shared" si="144"/>
        <v>36000</v>
      </c>
      <c r="L1577" s="8">
        <f t="shared" si="145"/>
        <v>7200</v>
      </c>
      <c r="M1577" s="8">
        <f t="shared" si="146"/>
        <v>28800</v>
      </c>
      <c r="N1577" s="5">
        <v>59000</v>
      </c>
      <c r="O1577" s="8">
        <f t="shared" si="147"/>
        <v>87800</v>
      </c>
      <c r="P1577" s="2" t="s">
        <v>63</v>
      </c>
      <c r="Q1577" s="10" t="str">
        <f>VLOOKUP(A1577,Status!A:B,2,0)</f>
        <v>Completed</v>
      </c>
      <c r="R1577" s="2" t="s">
        <v>23</v>
      </c>
      <c r="S1577" s="2">
        <v>1</v>
      </c>
      <c r="T1577" s="2" t="s">
        <v>37</v>
      </c>
      <c r="U1577" s="10" t="str">
        <f t="shared" si="149"/>
        <v>Oct</v>
      </c>
      <c r="V1577" s="10">
        <f t="shared" si="148"/>
        <v>2024</v>
      </c>
      <c r="W1577" t="e" cm="1">
        <f t="array" ref="W1577">_xlfn.IFS(U1577="January",1,U1577="February",2,U1577="March",3,U1577="April",4,U1577="May",5,U1577="June",6,U1577="July",7,U1577="August",8,U1577="September",9,U1577="October",10,U1577="November",11,U1577="December",12)</f>
        <v>#N/A</v>
      </c>
    </row>
    <row r="1578" spans="1:23" ht="15.75" customHeight="1" x14ac:dyDescent="0.25">
      <c r="A1578" s="2" t="s">
        <v>343</v>
      </c>
      <c r="B1578" s="3">
        <v>45575.103472222218</v>
      </c>
      <c r="C1578" s="2" t="s">
        <v>344</v>
      </c>
      <c r="D1578" s="2" t="s">
        <v>195</v>
      </c>
      <c r="E1578" s="2" t="s">
        <v>62</v>
      </c>
      <c r="F1578" s="2" t="str" cm="1">
        <f t="array" ref="F1578:G1578">_xlfn.TEXTSPLIT(E1578," - ")</f>
        <v>Susu Bubuk</v>
      </c>
      <c r="G1578" s="2" t="str">
        <v>Brand B</v>
      </c>
      <c r="H1578" s="5">
        <v>50000</v>
      </c>
      <c r="I1578" s="2">
        <v>1</v>
      </c>
      <c r="J1578" s="2">
        <v>15</v>
      </c>
      <c r="K1578" s="8">
        <f t="shared" si="144"/>
        <v>50000</v>
      </c>
      <c r="L1578" s="8">
        <f t="shared" si="145"/>
        <v>7500</v>
      </c>
      <c r="M1578" s="8">
        <f t="shared" si="146"/>
        <v>42500</v>
      </c>
      <c r="N1578" s="5">
        <v>87000</v>
      </c>
      <c r="O1578" s="8">
        <f t="shared" si="147"/>
        <v>129500</v>
      </c>
      <c r="P1578" s="2" t="s">
        <v>63</v>
      </c>
      <c r="Q1578" s="10" t="str">
        <f>VLOOKUP(A1578,Status!A:B,2,0)</f>
        <v>Completed</v>
      </c>
      <c r="R1578" s="2" t="s">
        <v>30</v>
      </c>
      <c r="S1578" s="2">
        <v>5</v>
      </c>
      <c r="T1578" s="2" t="s">
        <v>24</v>
      </c>
      <c r="U1578" s="10" t="str">
        <f t="shared" si="149"/>
        <v>Oct</v>
      </c>
      <c r="V1578" s="10">
        <f t="shared" si="148"/>
        <v>2024</v>
      </c>
      <c r="W1578" t="e" cm="1">
        <f t="array" ref="W1578">_xlfn.IFS(U1578="January",1,U1578="February",2,U1578="March",3,U1578="April",4,U1578="May",5,U1578="June",6,U1578="July",7,U1578="August",8,U1578="September",9,U1578="October",10,U1578="November",11,U1578="December",12)</f>
        <v>#N/A</v>
      </c>
    </row>
    <row r="1579" spans="1:23" ht="15.75" customHeight="1" x14ac:dyDescent="0.25">
      <c r="A1579" s="2" t="s">
        <v>345</v>
      </c>
      <c r="B1579" s="3">
        <v>45575.44390046296</v>
      </c>
      <c r="C1579" s="2" t="s">
        <v>346</v>
      </c>
      <c r="D1579" s="2" t="s">
        <v>296</v>
      </c>
      <c r="E1579" s="2" t="s">
        <v>85</v>
      </c>
      <c r="F1579" s="2" t="str" cm="1">
        <f t="array" ref="F1579:G1579">_xlfn.TEXTSPLIT(E1579," - ")</f>
        <v>Daging Ayam</v>
      </c>
      <c r="G1579" s="2" t="str">
        <v>Brand A</v>
      </c>
      <c r="H1579" s="5">
        <v>35000</v>
      </c>
      <c r="I1579" s="2">
        <v>1</v>
      </c>
      <c r="J1579" s="2">
        <v>10</v>
      </c>
      <c r="K1579" s="8">
        <f t="shared" si="144"/>
        <v>35000</v>
      </c>
      <c r="L1579" s="8">
        <f t="shared" si="145"/>
        <v>3500</v>
      </c>
      <c r="M1579" s="8">
        <f t="shared" si="146"/>
        <v>31500</v>
      </c>
      <c r="N1579" s="5">
        <v>79000</v>
      </c>
      <c r="O1579" s="8">
        <f t="shared" si="147"/>
        <v>110500</v>
      </c>
      <c r="P1579" s="2" t="s">
        <v>35</v>
      </c>
      <c r="Q1579" s="10" t="str">
        <f>VLOOKUP(A1579,Status!A:B,2,0)</f>
        <v>Completed</v>
      </c>
      <c r="R1579" s="2" t="s">
        <v>30</v>
      </c>
      <c r="S1579" s="2">
        <v>1</v>
      </c>
      <c r="T1579" s="2" t="s">
        <v>24</v>
      </c>
      <c r="U1579" s="10" t="str">
        <f t="shared" si="149"/>
        <v>Oct</v>
      </c>
      <c r="V1579" s="10">
        <f t="shared" si="148"/>
        <v>2024</v>
      </c>
      <c r="W1579" t="e" cm="1">
        <f t="array" ref="W1579">_xlfn.IFS(U1579="January",1,U1579="February",2,U1579="March",3,U1579="April",4,U1579="May",5,U1579="June",6,U1579="July",7,U1579="August",8,U1579="September",9,U1579="October",10,U1579="November",11,U1579="December",12)</f>
        <v>#N/A</v>
      </c>
    </row>
    <row r="1580" spans="1:23" ht="15.75" customHeight="1" x14ac:dyDescent="0.25">
      <c r="A1580" s="2" t="s">
        <v>347</v>
      </c>
      <c r="B1580" s="3">
        <v>45575.883668981478</v>
      </c>
      <c r="C1580" s="2" t="s">
        <v>201</v>
      </c>
      <c r="D1580" s="2" t="s">
        <v>107</v>
      </c>
      <c r="E1580" s="2" t="s">
        <v>190</v>
      </c>
      <c r="F1580" s="2" t="str" cm="1">
        <f t="array" ref="F1580:G1580">_xlfn.TEXTSPLIT(E1580," - ")</f>
        <v>Bawang Merah</v>
      </c>
      <c r="G1580" s="2" t="str">
        <v>Brand B</v>
      </c>
      <c r="H1580" s="5">
        <v>35000</v>
      </c>
      <c r="I1580" s="2">
        <v>2</v>
      </c>
      <c r="J1580" s="2">
        <v>10</v>
      </c>
      <c r="K1580" s="8">
        <f t="shared" si="144"/>
        <v>70000</v>
      </c>
      <c r="L1580" s="8">
        <f t="shared" si="145"/>
        <v>7000</v>
      </c>
      <c r="M1580" s="8">
        <f t="shared" si="146"/>
        <v>63000</v>
      </c>
      <c r="N1580" s="5">
        <v>97000</v>
      </c>
      <c r="O1580" s="8">
        <f t="shared" si="147"/>
        <v>160000</v>
      </c>
      <c r="P1580" s="2" t="s">
        <v>63</v>
      </c>
      <c r="Q1580" s="10" t="str">
        <f>VLOOKUP(A1580,Status!A:B,2,0)</f>
        <v>Completed</v>
      </c>
      <c r="R1580" s="2" t="s">
        <v>30</v>
      </c>
      <c r="S1580" s="2">
        <v>1</v>
      </c>
      <c r="T1580" s="2" t="s">
        <v>24</v>
      </c>
      <c r="U1580" s="10" t="str">
        <f t="shared" si="149"/>
        <v>Oct</v>
      </c>
      <c r="V1580" s="10">
        <f t="shared" si="148"/>
        <v>2024</v>
      </c>
      <c r="W1580" t="e" cm="1">
        <f t="array" ref="W1580">_xlfn.IFS(U1580="January",1,U1580="February",2,U1580="March",3,U1580="April",4,U1580="May",5,U1580="June",6,U1580="July",7,U1580="August",8,U1580="September",9,U1580="October",10,U1580="November",11,U1580="December",12)</f>
        <v>#N/A</v>
      </c>
    </row>
    <row r="1581" spans="1:23" ht="15.75" customHeight="1" x14ac:dyDescent="0.25">
      <c r="A1581" s="2" t="s">
        <v>348</v>
      </c>
      <c r="B1581" s="3">
        <v>45576.006597222222</v>
      </c>
      <c r="C1581" s="2" t="s">
        <v>155</v>
      </c>
      <c r="D1581" s="2" t="s">
        <v>92</v>
      </c>
      <c r="E1581" s="2" t="s">
        <v>67</v>
      </c>
      <c r="F1581" s="2" t="str" cm="1">
        <f t="array" ref="F1581:G1581">_xlfn.TEXTSPLIT(E1581," - ")</f>
        <v>Beras</v>
      </c>
      <c r="G1581" s="2" t="str">
        <v>Brand B</v>
      </c>
      <c r="H1581" s="5">
        <v>15000</v>
      </c>
      <c r="I1581" s="2">
        <v>5</v>
      </c>
      <c r="J1581" s="2">
        <v>20</v>
      </c>
      <c r="K1581" s="8">
        <f t="shared" si="144"/>
        <v>75000</v>
      </c>
      <c r="L1581" s="8">
        <f t="shared" si="145"/>
        <v>15000</v>
      </c>
      <c r="M1581" s="8">
        <f t="shared" si="146"/>
        <v>60000</v>
      </c>
      <c r="N1581" s="5">
        <v>30000</v>
      </c>
      <c r="O1581" s="8">
        <f t="shared" si="147"/>
        <v>90000</v>
      </c>
      <c r="P1581" s="2" t="s">
        <v>29</v>
      </c>
      <c r="Q1581" s="10" t="str">
        <f>VLOOKUP(A1581,Status!A:B,2,0)</f>
        <v>Completed</v>
      </c>
      <c r="R1581" s="2" t="s">
        <v>82</v>
      </c>
      <c r="S1581" s="2">
        <v>4</v>
      </c>
      <c r="T1581" s="2" t="s">
        <v>24</v>
      </c>
      <c r="U1581" s="10" t="str">
        <f t="shared" si="149"/>
        <v>Oct</v>
      </c>
      <c r="V1581" s="10">
        <f t="shared" si="148"/>
        <v>2024</v>
      </c>
      <c r="W1581" t="e" cm="1">
        <f t="array" ref="W1581">_xlfn.IFS(U1581="January",1,U1581="February",2,U1581="March",3,U1581="April",4,U1581="May",5,U1581="June",6,U1581="July",7,U1581="August",8,U1581="September",9,U1581="October",10,U1581="November",11,U1581="December",12)</f>
        <v>#N/A</v>
      </c>
    </row>
    <row r="1582" spans="1:23" ht="15.75" customHeight="1" x14ac:dyDescent="0.25">
      <c r="A1582" s="2" t="s">
        <v>349</v>
      </c>
      <c r="B1582" s="3">
        <v>45576.337685185194</v>
      </c>
      <c r="C1582" s="2" t="s">
        <v>350</v>
      </c>
      <c r="D1582" s="2" t="s">
        <v>195</v>
      </c>
      <c r="E1582" s="2" t="s">
        <v>50</v>
      </c>
      <c r="F1582" s="2" t="str" cm="1">
        <f t="array" ref="F1582:G1582">_xlfn.TEXTSPLIT(E1582," - ")</f>
        <v>Tepung Terigu</v>
      </c>
      <c r="G1582" s="2" t="str">
        <v>Brand C</v>
      </c>
      <c r="H1582" s="5">
        <v>14000</v>
      </c>
      <c r="I1582" s="2">
        <v>4</v>
      </c>
      <c r="J1582" s="2">
        <v>5</v>
      </c>
      <c r="K1582" s="8">
        <f t="shared" si="144"/>
        <v>56000</v>
      </c>
      <c r="L1582" s="8">
        <f t="shared" si="145"/>
        <v>2800</v>
      </c>
      <c r="M1582" s="8">
        <f t="shared" si="146"/>
        <v>53200</v>
      </c>
      <c r="N1582" s="5">
        <v>87000</v>
      </c>
      <c r="O1582" s="8">
        <f t="shared" si="147"/>
        <v>140200</v>
      </c>
      <c r="P1582" s="2" t="s">
        <v>22</v>
      </c>
      <c r="Q1582" s="10" t="str">
        <f>VLOOKUP(A1582,Status!A:B,2,0)</f>
        <v>Completed</v>
      </c>
      <c r="R1582" s="2" t="s">
        <v>46</v>
      </c>
      <c r="S1582" s="2">
        <v>4</v>
      </c>
      <c r="T1582" s="2" t="s">
        <v>37</v>
      </c>
      <c r="U1582" s="10" t="str">
        <f t="shared" si="149"/>
        <v>Oct</v>
      </c>
      <c r="V1582" s="10">
        <f t="shared" si="148"/>
        <v>2024</v>
      </c>
      <c r="W1582" t="e" cm="1">
        <f t="array" ref="W1582">_xlfn.IFS(U1582="January",1,U1582="February",2,U1582="March",3,U1582="April",4,U1582="May",5,U1582="June",6,U1582="July",7,U1582="August",8,U1582="September",9,U1582="October",10,U1582="November",11,U1582="December",12)</f>
        <v>#N/A</v>
      </c>
    </row>
    <row r="1583" spans="1:23" ht="15.75" customHeight="1" x14ac:dyDescent="0.25">
      <c r="A1583" s="2" t="s">
        <v>349</v>
      </c>
      <c r="B1583" s="3">
        <v>45576.337685185194</v>
      </c>
      <c r="C1583" s="2" t="s">
        <v>350</v>
      </c>
      <c r="D1583" s="2" t="s">
        <v>195</v>
      </c>
      <c r="E1583" s="2" t="s">
        <v>250</v>
      </c>
      <c r="F1583" s="2" t="str" cm="1">
        <f t="array" ref="F1583:G1583">_xlfn.TEXTSPLIT(E1583," - ")</f>
        <v>Minyak Goreng</v>
      </c>
      <c r="G1583" s="2" t="str">
        <v>Brand C</v>
      </c>
      <c r="H1583" s="5">
        <v>18000</v>
      </c>
      <c r="I1583" s="2">
        <v>3</v>
      </c>
      <c r="J1583" s="2">
        <v>0</v>
      </c>
      <c r="K1583" s="8">
        <f t="shared" si="144"/>
        <v>54000</v>
      </c>
      <c r="L1583" s="8">
        <f t="shared" si="145"/>
        <v>0</v>
      </c>
      <c r="M1583" s="8">
        <f t="shared" si="146"/>
        <v>54000</v>
      </c>
      <c r="N1583" s="5">
        <v>0</v>
      </c>
      <c r="O1583" s="8">
        <f t="shared" si="147"/>
        <v>54000</v>
      </c>
      <c r="P1583" s="2" t="s">
        <v>22</v>
      </c>
      <c r="Q1583" s="10" t="str">
        <f>VLOOKUP(A1583,Status!A:B,2,0)</f>
        <v>Completed</v>
      </c>
      <c r="R1583" s="2" t="s">
        <v>46</v>
      </c>
      <c r="S1583" s="2">
        <v>4</v>
      </c>
      <c r="T1583" s="2" t="s">
        <v>37</v>
      </c>
      <c r="U1583" s="10" t="str">
        <f t="shared" si="149"/>
        <v>Oct</v>
      </c>
      <c r="V1583" s="10">
        <f t="shared" si="148"/>
        <v>2024</v>
      </c>
      <c r="W1583" t="e" cm="1">
        <f t="array" ref="W1583">_xlfn.IFS(U1583="January",1,U1583="February",2,U1583="March",3,U1583="April",4,U1583="May",5,U1583="June",6,U1583="July",7,U1583="August",8,U1583="September",9,U1583="October",10,U1583="November",11,U1583="December",12)</f>
        <v>#N/A</v>
      </c>
    </row>
    <row r="1584" spans="1:23" ht="15.75" customHeight="1" x14ac:dyDescent="0.25">
      <c r="A1584" s="2" t="s">
        <v>351</v>
      </c>
      <c r="B1584" s="3">
        <v>45576.468136574083</v>
      </c>
      <c r="C1584" s="2" t="s">
        <v>148</v>
      </c>
      <c r="D1584" s="2" t="s">
        <v>74</v>
      </c>
      <c r="E1584" s="2" t="s">
        <v>250</v>
      </c>
      <c r="F1584" s="2" t="str" cm="1">
        <f t="array" ref="F1584:G1584">_xlfn.TEXTSPLIT(E1584," - ")</f>
        <v>Minyak Goreng</v>
      </c>
      <c r="G1584" s="2" t="str">
        <v>Brand C</v>
      </c>
      <c r="H1584" s="5">
        <v>18000</v>
      </c>
      <c r="I1584" s="2">
        <v>1</v>
      </c>
      <c r="J1584" s="2">
        <v>20</v>
      </c>
      <c r="K1584" s="8">
        <f t="shared" si="144"/>
        <v>18000</v>
      </c>
      <c r="L1584" s="8">
        <f t="shared" si="145"/>
        <v>3600</v>
      </c>
      <c r="M1584" s="8">
        <f t="shared" si="146"/>
        <v>14400</v>
      </c>
      <c r="N1584" s="5">
        <v>87000</v>
      </c>
      <c r="O1584" s="8">
        <f t="shared" si="147"/>
        <v>101400</v>
      </c>
      <c r="P1584" s="2" t="s">
        <v>29</v>
      </c>
      <c r="Q1584" s="10" t="str">
        <f>VLOOKUP(A1584,Status!A:B,2,0)</f>
        <v>Returned</v>
      </c>
      <c r="R1584" s="2" t="s">
        <v>46</v>
      </c>
      <c r="S1584" s="2">
        <v>3</v>
      </c>
      <c r="T1584" s="2" t="s">
        <v>24</v>
      </c>
      <c r="U1584" s="10" t="str">
        <f t="shared" si="149"/>
        <v>Oct</v>
      </c>
      <c r="V1584" s="10">
        <f t="shared" si="148"/>
        <v>2024</v>
      </c>
      <c r="W1584" t="e" cm="1">
        <f t="array" ref="W1584">_xlfn.IFS(U1584="January",1,U1584="February",2,U1584="March",3,U1584="April",4,U1584="May",5,U1584="June",6,U1584="July",7,U1584="August",8,U1584="September",9,U1584="October",10,U1584="November",11,U1584="December",12)</f>
        <v>#N/A</v>
      </c>
    </row>
    <row r="1585" spans="1:23" ht="15.75" customHeight="1" x14ac:dyDescent="0.25">
      <c r="A1585" s="2" t="s">
        <v>352</v>
      </c>
      <c r="B1585" s="3">
        <v>45576.592407407406</v>
      </c>
      <c r="C1585" s="2" t="s">
        <v>353</v>
      </c>
      <c r="D1585" s="2" t="s">
        <v>66</v>
      </c>
      <c r="E1585" s="2" t="s">
        <v>21</v>
      </c>
      <c r="F1585" s="2" t="str" cm="1">
        <f t="array" ref="F1585:G1585">_xlfn.TEXTSPLIT(E1585," - ")</f>
        <v>Daging Ayam</v>
      </c>
      <c r="G1585" s="2" t="str">
        <v>Brand C</v>
      </c>
      <c r="H1585" s="5">
        <v>45000</v>
      </c>
      <c r="I1585" s="2">
        <v>1</v>
      </c>
      <c r="J1585" s="2">
        <v>10</v>
      </c>
      <c r="K1585" s="8">
        <f t="shared" si="144"/>
        <v>45000</v>
      </c>
      <c r="L1585" s="8">
        <f t="shared" si="145"/>
        <v>4500</v>
      </c>
      <c r="M1585" s="8">
        <f t="shared" si="146"/>
        <v>40500</v>
      </c>
      <c r="N1585" s="5">
        <v>59000</v>
      </c>
      <c r="O1585" s="8">
        <f t="shared" si="147"/>
        <v>99500</v>
      </c>
      <c r="P1585" s="2" t="s">
        <v>63</v>
      </c>
      <c r="Q1585" s="10" t="str">
        <f>VLOOKUP(A1585,Status!A:B,2,0)</f>
        <v>Completed</v>
      </c>
      <c r="R1585" s="2" t="s">
        <v>36</v>
      </c>
      <c r="S1585" s="2">
        <v>4</v>
      </c>
      <c r="T1585" s="2" t="s">
        <v>24</v>
      </c>
      <c r="U1585" s="10" t="str">
        <f t="shared" si="149"/>
        <v>Oct</v>
      </c>
      <c r="V1585" s="10">
        <f t="shared" si="148"/>
        <v>2024</v>
      </c>
      <c r="W1585" t="e" cm="1">
        <f t="array" ref="W1585">_xlfn.IFS(U1585="January",1,U1585="February",2,U1585="March",3,U1585="April",4,U1585="May",5,U1585="June",6,U1585="July",7,U1585="August",8,U1585="September",9,U1585="October",10,U1585="November",11,U1585="December",12)</f>
        <v>#N/A</v>
      </c>
    </row>
    <row r="1586" spans="1:23" ht="15.75" customHeight="1" x14ac:dyDescent="0.25">
      <c r="A1586" s="2" t="s">
        <v>352</v>
      </c>
      <c r="B1586" s="3">
        <v>45576.592407407406</v>
      </c>
      <c r="C1586" s="2" t="s">
        <v>353</v>
      </c>
      <c r="D1586" s="2" t="s">
        <v>66</v>
      </c>
      <c r="E1586" s="2" t="s">
        <v>21</v>
      </c>
      <c r="F1586" s="2" t="str" cm="1">
        <f t="array" ref="F1586:G1586">_xlfn.TEXTSPLIT(E1586," - ")</f>
        <v>Daging Ayam</v>
      </c>
      <c r="G1586" s="2" t="str">
        <v>Brand C</v>
      </c>
      <c r="H1586" s="5">
        <v>45000</v>
      </c>
      <c r="I1586" s="2">
        <v>1</v>
      </c>
      <c r="J1586" s="2">
        <v>0</v>
      </c>
      <c r="K1586" s="8">
        <f t="shared" si="144"/>
        <v>45000</v>
      </c>
      <c r="L1586" s="8">
        <f t="shared" si="145"/>
        <v>0</v>
      </c>
      <c r="M1586" s="8">
        <f t="shared" si="146"/>
        <v>45000</v>
      </c>
      <c r="N1586" s="5">
        <v>0</v>
      </c>
      <c r="O1586" s="8">
        <f t="shared" si="147"/>
        <v>45000</v>
      </c>
      <c r="P1586" s="2" t="s">
        <v>63</v>
      </c>
      <c r="Q1586" s="10" t="str">
        <f>VLOOKUP(A1586,Status!A:B,2,0)</f>
        <v>Completed</v>
      </c>
      <c r="R1586" s="2" t="s">
        <v>36</v>
      </c>
      <c r="S1586" s="2">
        <v>4</v>
      </c>
      <c r="T1586" s="2" t="s">
        <v>24</v>
      </c>
      <c r="U1586" s="10" t="str">
        <f t="shared" si="149"/>
        <v>Oct</v>
      </c>
      <c r="V1586" s="10">
        <f t="shared" si="148"/>
        <v>2024</v>
      </c>
      <c r="W1586" t="e" cm="1">
        <f t="array" ref="W1586">_xlfn.IFS(U1586="January",1,U1586="February",2,U1586="March",3,U1586="April",4,U1586="May",5,U1586="June",6,U1586="July",7,U1586="August",8,U1586="September",9,U1586="October",10,U1586="November",11,U1586="December",12)</f>
        <v>#N/A</v>
      </c>
    </row>
    <row r="1587" spans="1:23" ht="15.75" customHeight="1" x14ac:dyDescent="0.25">
      <c r="A1587" s="2" t="s">
        <v>354</v>
      </c>
      <c r="B1587" s="3">
        <v>45576.899918981479</v>
      </c>
      <c r="C1587" s="2" t="s">
        <v>355</v>
      </c>
      <c r="D1587" s="2" t="s">
        <v>116</v>
      </c>
      <c r="E1587" s="2" t="s">
        <v>45</v>
      </c>
      <c r="F1587" s="2" t="str" cm="1">
        <f t="array" ref="F1587:G1587">_xlfn.TEXTSPLIT(E1587," - ")</f>
        <v>Daging Ayam</v>
      </c>
      <c r="G1587" s="2" t="str">
        <v>Brand B</v>
      </c>
      <c r="H1587" s="5">
        <v>40000</v>
      </c>
      <c r="I1587" s="2">
        <v>3</v>
      </c>
      <c r="J1587" s="2">
        <v>5</v>
      </c>
      <c r="K1587" s="8">
        <f t="shared" si="144"/>
        <v>120000</v>
      </c>
      <c r="L1587" s="8">
        <f t="shared" si="145"/>
        <v>6000</v>
      </c>
      <c r="M1587" s="8">
        <f t="shared" si="146"/>
        <v>114000</v>
      </c>
      <c r="N1587" s="5">
        <v>72000</v>
      </c>
      <c r="O1587" s="8">
        <f t="shared" si="147"/>
        <v>186000</v>
      </c>
      <c r="P1587" s="2" t="s">
        <v>63</v>
      </c>
      <c r="Q1587" s="10" t="str">
        <f>VLOOKUP(A1587,Status!A:B,2,0)</f>
        <v>Returned</v>
      </c>
      <c r="R1587" s="2" t="s">
        <v>82</v>
      </c>
      <c r="S1587" s="2">
        <v>2</v>
      </c>
      <c r="T1587" s="2" t="s">
        <v>24</v>
      </c>
      <c r="U1587" s="10" t="str">
        <f t="shared" si="149"/>
        <v>Oct</v>
      </c>
      <c r="V1587" s="10">
        <f t="shared" si="148"/>
        <v>2024</v>
      </c>
      <c r="W1587" t="e" cm="1">
        <f t="array" ref="W1587">_xlfn.IFS(U1587="January",1,U1587="February",2,U1587="March",3,U1587="April",4,U1587="May",5,U1587="June",6,U1587="July",7,U1587="August",8,U1587="September",9,U1587="October",10,U1587="November",11,U1587="December",12)</f>
        <v>#N/A</v>
      </c>
    </row>
    <row r="1588" spans="1:23" ht="15.75" customHeight="1" x14ac:dyDescent="0.25">
      <c r="A1588" s="2" t="s">
        <v>356</v>
      </c>
      <c r="B1588" s="3">
        <v>45577.019085648149</v>
      </c>
      <c r="C1588" s="2" t="s">
        <v>229</v>
      </c>
      <c r="D1588" s="2" t="s">
        <v>195</v>
      </c>
      <c r="E1588" s="2" t="s">
        <v>62</v>
      </c>
      <c r="F1588" s="2" t="str" cm="1">
        <f t="array" ref="F1588:G1588">_xlfn.TEXTSPLIT(E1588," - ")</f>
        <v>Susu Bubuk</v>
      </c>
      <c r="G1588" s="2" t="str">
        <v>Brand B</v>
      </c>
      <c r="H1588" s="5">
        <v>50000</v>
      </c>
      <c r="I1588" s="2">
        <v>5</v>
      </c>
      <c r="J1588" s="2">
        <v>15</v>
      </c>
      <c r="K1588" s="8">
        <f t="shared" si="144"/>
        <v>250000</v>
      </c>
      <c r="L1588" s="8">
        <f t="shared" si="145"/>
        <v>37500</v>
      </c>
      <c r="M1588" s="8">
        <f t="shared" si="146"/>
        <v>212500</v>
      </c>
      <c r="N1588" s="5">
        <v>87000</v>
      </c>
      <c r="O1588" s="8">
        <f t="shared" si="147"/>
        <v>299500</v>
      </c>
      <c r="P1588" s="2" t="s">
        <v>29</v>
      </c>
      <c r="Q1588" s="10" t="str">
        <f>VLOOKUP(A1588,Status!A:B,2,0)</f>
        <v>Completed</v>
      </c>
      <c r="R1588" s="2" t="s">
        <v>23</v>
      </c>
      <c r="S1588" s="2">
        <v>1</v>
      </c>
      <c r="T1588" s="2" t="s">
        <v>24</v>
      </c>
      <c r="U1588" s="10" t="str">
        <f t="shared" si="149"/>
        <v>Oct</v>
      </c>
      <c r="V1588" s="10">
        <f t="shared" si="148"/>
        <v>2024</v>
      </c>
      <c r="W1588" t="e" cm="1">
        <f t="array" ref="W1588">_xlfn.IFS(U1588="January",1,U1588="February",2,U1588="March",3,U1588="April",4,U1588="May",5,U1588="June",6,U1588="July",7,U1588="August",8,U1588="September",9,U1588="October",10,U1588="November",11,U1588="December",12)</f>
        <v>#N/A</v>
      </c>
    </row>
    <row r="1589" spans="1:23" ht="15.75" customHeight="1" x14ac:dyDescent="0.25">
      <c r="A1589" s="2" t="s">
        <v>357</v>
      </c>
      <c r="B1589" s="3">
        <v>45577.086134259262</v>
      </c>
      <c r="C1589" s="2" t="s">
        <v>140</v>
      </c>
      <c r="D1589" s="2" t="s">
        <v>92</v>
      </c>
      <c r="E1589" s="2" t="s">
        <v>67</v>
      </c>
      <c r="F1589" s="2" t="str" cm="1">
        <f t="array" ref="F1589:G1589">_xlfn.TEXTSPLIT(E1589," - ")</f>
        <v>Beras</v>
      </c>
      <c r="G1589" s="2" t="str">
        <v>Brand B</v>
      </c>
      <c r="H1589" s="5">
        <v>15000</v>
      </c>
      <c r="I1589" s="2">
        <v>3</v>
      </c>
      <c r="J1589" s="2">
        <v>20</v>
      </c>
      <c r="K1589" s="8">
        <f t="shared" si="144"/>
        <v>45000</v>
      </c>
      <c r="L1589" s="8">
        <f t="shared" si="145"/>
        <v>9000</v>
      </c>
      <c r="M1589" s="8">
        <f t="shared" si="146"/>
        <v>36000</v>
      </c>
      <c r="N1589" s="5">
        <v>30000</v>
      </c>
      <c r="O1589" s="8">
        <f t="shared" si="147"/>
        <v>66000</v>
      </c>
      <c r="P1589" s="2" t="s">
        <v>35</v>
      </c>
      <c r="Q1589" s="10" t="str">
        <f>VLOOKUP(A1589,Status!A:B,2,0)</f>
        <v>Completed</v>
      </c>
      <c r="R1589" s="2" t="s">
        <v>82</v>
      </c>
      <c r="S1589" s="2">
        <v>5</v>
      </c>
      <c r="T1589" s="2" t="s">
        <v>24</v>
      </c>
      <c r="U1589" s="10" t="str">
        <f t="shared" si="149"/>
        <v>Oct</v>
      </c>
      <c r="V1589" s="10">
        <f t="shared" si="148"/>
        <v>2024</v>
      </c>
      <c r="W1589" t="e" cm="1">
        <f t="array" ref="W1589">_xlfn.IFS(U1589="January",1,U1589="February",2,U1589="March",3,U1589="April",4,U1589="May",5,U1589="June",6,U1589="July",7,U1589="August",8,U1589="September",9,U1589="October",10,U1589="November",11,U1589="December",12)</f>
        <v>#N/A</v>
      </c>
    </row>
    <row r="1590" spans="1:23" ht="15.75" customHeight="1" x14ac:dyDescent="0.25">
      <c r="A1590" s="2" t="s">
        <v>358</v>
      </c>
      <c r="B1590" s="3">
        <v>45577.210648148153</v>
      </c>
      <c r="C1590" s="2" t="s">
        <v>359</v>
      </c>
      <c r="D1590" s="2" t="s">
        <v>70</v>
      </c>
      <c r="E1590" s="2" t="s">
        <v>58</v>
      </c>
      <c r="F1590" s="2" t="str" cm="1">
        <f t="array" ref="F1590:G1590">_xlfn.TEXTSPLIT(E1590," - ")</f>
        <v>Gula Pasir</v>
      </c>
      <c r="G1590" s="2" t="str">
        <v>Brand A</v>
      </c>
      <c r="H1590" s="5">
        <v>16000</v>
      </c>
      <c r="I1590" s="2">
        <v>4</v>
      </c>
      <c r="J1590" s="2">
        <v>15</v>
      </c>
      <c r="K1590" s="8">
        <f t="shared" si="144"/>
        <v>64000</v>
      </c>
      <c r="L1590" s="8">
        <f t="shared" si="145"/>
        <v>9600</v>
      </c>
      <c r="M1590" s="8">
        <f t="shared" si="146"/>
        <v>54400</v>
      </c>
      <c r="N1590" s="5">
        <v>89000</v>
      </c>
      <c r="O1590" s="8">
        <f t="shared" si="147"/>
        <v>143400</v>
      </c>
      <c r="P1590" s="2" t="s">
        <v>35</v>
      </c>
      <c r="Q1590" s="10" t="str">
        <f>VLOOKUP(A1590,Status!A:B,2,0)</f>
        <v>Completed</v>
      </c>
      <c r="R1590" s="2" t="s">
        <v>46</v>
      </c>
      <c r="S1590" s="2">
        <v>2</v>
      </c>
      <c r="T1590" s="2" t="s">
        <v>24</v>
      </c>
      <c r="U1590" s="10" t="str">
        <f t="shared" si="149"/>
        <v>Oct</v>
      </c>
      <c r="V1590" s="10">
        <f t="shared" si="148"/>
        <v>2024</v>
      </c>
      <c r="W1590" t="e" cm="1">
        <f t="array" ref="W1590">_xlfn.IFS(U1590="January",1,U1590="February",2,U1590="March",3,U1590="April",4,U1590="May",5,U1590="June",6,U1590="July",7,U1590="August",8,U1590="September",9,U1590="October",10,U1590="November",11,U1590="December",12)</f>
        <v>#N/A</v>
      </c>
    </row>
    <row r="1591" spans="1:23" ht="15.75" customHeight="1" x14ac:dyDescent="0.25">
      <c r="A1591" s="2" t="s">
        <v>360</v>
      </c>
      <c r="B1591" s="3">
        <v>45578.0231712963</v>
      </c>
      <c r="C1591" s="2" t="s">
        <v>361</v>
      </c>
      <c r="D1591" s="2" t="s">
        <v>70</v>
      </c>
      <c r="E1591" s="2" t="s">
        <v>123</v>
      </c>
      <c r="F1591" s="2" t="str" cm="1">
        <f t="array" ref="F1591:G1591">_xlfn.TEXTSPLIT(E1591," - ")</f>
        <v>Telur Ayam</v>
      </c>
      <c r="G1591" s="2" t="str">
        <v>Brand A</v>
      </c>
      <c r="H1591" s="5">
        <v>22000</v>
      </c>
      <c r="I1591" s="2">
        <v>4</v>
      </c>
      <c r="J1591" s="2">
        <v>5</v>
      </c>
      <c r="K1591" s="8">
        <f t="shared" si="144"/>
        <v>88000</v>
      </c>
      <c r="L1591" s="8">
        <f t="shared" si="145"/>
        <v>4400</v>
      </c>
      <c r="M1591" s="8">
        <f t="shared" si="146"/>
        <v>83600</v>
      </c>
      <c r="N1591" s="5">
        <v>89000</v>
      </c>
      <c r="O1591" s="8">
        <f t="shared" si="147"/>
        <v>172600</v>
      </c>
      <c r="P1591" s="2" t="s">
        <v>29</v>
      </c>
      <c r="Q1591" s="10" t="str">
        <f>VLOOKUP(A1591,Status!A:B,2,0)</f>
        <v>Completed</v>
      </c>
      <c r="R1591" s="2" t="s">
        <v>46</v>
      </c>
      <c r="S1591" s="2">
        <v>5</v>
      </c>
      <c r="T1591" s="2" t="s">
        <v>37</v>
      </c>
      <c r="U1591" s="10" t="str">
        <f t="shared" si="149"/>
        <v>Oct</v>
      </c>
      <c r="V1591" s="10">
        <f t="shared" si="148"/>
        <v>2024</v>
      </c>
      <c r="W1591" t="e" cm="1">
        <f t="array" ref="W1591">_xlfn.IFS(U1591="January",1,U1591="February",2,U1591="March",3,U1591="April",4,U1591="May",5,U1591="June",6,U1591="July",7,U1591="August",8,U1591="September",9,U1591="October",10,U1591="November",11,U1591="December",12)</f>
        <v>#N/A</v>
      </c>
    </row>
    <row r="1592" spans="1:23" ht="15.75" customHeight="1" x14ac:dyDescent="0.25">
      <c r="A1592" s="2" t="s">
        <v>362</v>
      </c>
      <c r="B1592" s="3">
        <v>45578.09033564815</v>
      </c>
      <c r="C1592" s="2" t="s">
        <v>363</v>
      </c>
      <c r="D1592" s="2" t="s">
        <v>189</v>
      </c>
      <c r="E1592" s="2" t="s">
        <v>75</v>
      </c>
      <c r="F1592" s="2" t="str" cm="1">
        <f t="array" ref="F1592:G1592">_xlfn.TEXTSPLIT(E1592," - ")</f>
        <v>Susu Bubuk</v>
      </c>
      <c r="G1592" s="2" t="str">
        <v>Brand C</v>
      </c>
      <c r="H1592" s="5">
        <v>55000</v>
      </c>
      <c r="I1592" s="2">
        <v>1</v>
      </c>
      <c r="J1592" s="2">
        <v>5</v>
      </c>
      <c r="K1592" s="8">
        <f t="shared" si="144"/>
        <v>55000</v>
      </c>
      <c r="L1592" s="8">
        <f t="shared" si="145"/>
        <v>2750</v>
      </c>
      <c r="M1592" s="8">
        <f t="shared" si="146"/>
        <v>52250</v>
      </c>
      <c r="N1592" s="5">
        <v>57000</v>
      </c>
      <c r="O1592" s="8">
        <f t="shared" si="147"/>
        <v>109250</v>
      </c>
      <c r="P1592" s="2" t="s">
        <v>35</v>
      </c>
      <c r="Q1592" s="10" t="str">
        <f>VLOOKUP(A1592,Status!A:B,2,0)</f>
        <v>Completed</v>
      </c>
      <c r="R1592" s="2" t="s">
        <v>30</v>
      </c>
      <c r="S1592" s="2">
        <v>2</v>
      </c>
      <c r="T1592" s="2" t="s">
        <v>24</v>
      </c>
      <c r="U1592" s="10" t="str">
        <f t="shared" si="149"/>
        <v>Oct</v>
      </c>
      <c r="V1592" s="10">
        <f t="shared" si="148"/>
        <v>2024</v>
      </c>
      <c r="W1592" t="e" cm="1">
        <f t="array" ref="W1592">_xlfn.IFS(U1592="January",1,U1592="February",2,U1592="March",3,U1592="April",4,U1592="May",5,U1592="June",6,U1592="July",7,U1592="August",8,U1592="September",9,U1592="October",10,U1592="November",11,U1592="December",12)</f>
        <v>#N/A</v>
      </c>
    </row>
    <row r="1593" spans="1:23" ht="15.75" customHeight="1" x14ac:dyDescent="0.25">
      <c r="A1593" s="2" t="s">
        <v>364</v>
      </c>
      <c r="B1593" s="3">
        <v>45578.308217592603</v>
      </c>
      <c r="C1593" s="2" t="s">
        <v>365</v>
      </c>
      <c r="D1593" s="2" t="s">
        <v>61</v>
      </c>
      <c r="E1593" s="2" t="s">
        <v>138</v>
      </c>
      <c r="F1593" s="2" t="str" cm="1">
        <f t="array" ref="F1593:G1593">_xlfn.TEXTSPLIT(E1593," - ")</f>
        <v>Gula Pasir</v>
      </c>
      <c r="G1593" s="2" t="str">
        <v>Brand B</v>
      </c>
      <c r="H1593" s="5">
        <v>17000</v>
      </c>
      <c r="I1593" s="2">
        <v>3</v>
      </c>
      <c r="J1593" s="2">
        <v>20</v>
      </c>
      <c r="K1593" s="8">
        <f t="shared" si="144"/>
        <v>51000</v>
      </c>
      <c r="L1593" s="8">
        <f t="shared" si="145"/>
        <v>10200</v>
      </c>
      <c r="M1593" s="8">
        <f t="shared" si="146"/>
        <v>40800</v>
      </c>
      <c r="N1593" s="5">
        <v>26000</v>
      </c>
      <c r="O1593" s="8">
        <f t="shared" si="147"/>
        <v>66800</v>
      </c>
      <c r="P1593" s="2" t="s">
        <v>63</v>
      </c>
      <c r="Q1593" s="10" t="str">
        <f>VLOOKUP(A1593,Status!A:B,2,0)</f>
        <v>Completed</v>
      </c>
      <c r="R1593" s="2" t="s">
        <v>23</v>
      </c>
      <c r="S1593" s="2">
        <v>3</v>
      </c>
      <c r="T1593" s="2" t="s">
        <v>24</v>
      </c>
      <c r="U1593" s="10" t="str">
        <f t="shared" si="149"/>
        <v>Oct</v>
      </c>
      <c r="V1593" s="10">
        <f t="shared" si="148"/>
        <v>2024</v>
      </c>
      <c r="W1593" t="e" cm="1">
        <f t="array" ref="W1593">_xlfn.IFS(U1593="January",1,U1593="February",2,U1593="March",3,U1593="April",4,U1593="May",5,U1593="June",6,U1593="July",7,U1593="August",8,U1593="September",9,U1593="October",10,U1593="November",11,U1593="December",12)</f>
        <v>#N/A</v>
      </c>
    </row>
    <row r="1594" spans="1:23" ht="15.75" customHeight="1" x14ac:dyDescent="0.25">
      <c r="A1594" s="2" t="s">
        <v>366</v>
      </c>
      <c r="B1594" s="3">
        <v>45578.389340277783</v>
      </c>
      <c r="C1594" s="2" t="s">
        <v>140</v>
      </c>
      <c r="D1594" s="2" t="s">
        <v>92</v>
      </c>
      <c r="E1594" s="2" t="s">
        <v>110</v>
      </c>
      <c r="F1594" s="2" t="str" cm="1">
        <f t="array" ref="F1594:G1594">_xlfn.TEXTSPLIT(E1594," - ")</f>
        <v>Garam</v>
      </c>
      <c r="G1594" s="2" t="str">
        <v>Brand C</v>
      </c>
      <c r="H1594" s="5">
        <v>6000</v>
      </c>
      <c r="I1594" s="2">
        <v>3</v>
      </c>
      <c r="J1594" s="2">
        <v>15</v>
      </c>
      <c r="K1594" s="8">
        <f t="shared" si="144"/>
        <v>18000</v>
      </c>
      <c r="L1594" s="8">
        <f t="shared" si="145"/>
        <v>2700</v>
      </c>
      <c r="M1594" s="8">
        <f t="shared" si="146"/>
        <v>15300</v>
      </c>
      <c r="N1594" s="5">
        <v>30000</v>
      </c>
      <c r="O1594" s="8">
        <f t="shared" si="147"/>
        <v>45300</v>
      </c>
      <c r="P1594" s="2" t="s">
        <v>63</v>
      </c>
      <c r="Q1594" s="10" t="str">
        <f>VLOOKUP(A1594,Status!A:B,2,0)</f>
        <v>Completed</v>
      </c>
      <c r="R1594" s="2" t="s">
        <v>36</v>
      </c>
      <c r="S1594" s="2">
        <v>5</v>
      </c>
      <c r="T1594" s="2" t="s">
        <v>24</v>
      </c>
      <c r="U1594" s="10" t="str">
        <f t="shared" si="149"/>
        <v>Oct</v>
      </c>
      <c r="V1594" s="10">
        <f t="shared" si="148"/>
        <v>2024</v>
      </c>
      <c r="W1594" t="e" cm="1">
        <f t="array" ref="W1594">_xlfn.IFS(U1594="January",1,U1594="February",2,U1594="March",3,U1594="April",4,U1594="May",5,U1594="June",6,U1594="July",7,U1594="August",8,U1594="September",9,U1594="October",10,U1594="November",11,U1594="December",12)</f>
        <v>#N/A</v>
      </c>
    </row>
    <row r="1595" spans="1:23" ht="15.75" customHeight="1" x14ac:dyDescent="0.25">
      <c r="A1595" s="2" t="s">
        <v>367</v>
      </c>
      <c r="B1595" s="3">
        <v>45579.019826388889</v>
      </c>
      <c r="C1595" s="2" t="s">
        <v>368</v>
      </c>
      <c r="D1595" s="2" t="s">
        <v>113</v>
      </c>
      <c r="E1595" s="2" t="s">
        <v>88</v>
      </c>
      <c r="F1595" s="2" t="str" cm="1">
        <f t="array" ref="F1595:G1595">_xlfn.TEXTSPLIT(E1595," - ")</f>
        <v>Beras</v>
      </c>
      <c r="G1595" s="2" t="str">
        <v>Brand A</v>
      </c>
      <c r="H1595" s="5">
        <v>14000</v>
      </c>
      <c r="I1595" s="2">
        <v>1</v>
      </c>
      <c r="J1595" s="2">
        <v>0</v>
      </c>
      <c r="K1595" s="8">
        <f t="shared" si="144"/>
        <v>14000</v>
      </c>
      <c r="L1595" s="8">
        <f t="shared" si="145"/>
        <v>0</v>
      </c>
      <c r="M1595" s="8">
        <f t="shared" si="146"/>
        <v>14000</v>
      </c>
      <c r="N1595" s="5">
        <v>18000</v>
      </c>
      <c r="O1595" s="8">
        <f t="shared" si="147"/>
        <v>32000</v>
      </c>
      <c r="P1595" s="2" t="s">
        <v>35</v>
      </c>
      <c r="Q1595" s="10" t="str">
        <f>VLOOKUP(A1595,Status!A:B,2,0)</f>
        <v>Completed</v>
      </c>
      <c r="R1595" s="2" t="s">
        <v>36</v>
      </c>
      <c r="S1595" s="2">
        <v>5</v>
      </c>
      <c r="T1595" s="2" t="s">
        <v>37</v>
      </c>
      <c r="U1595" s="10" t="str">
        <f t="shared" si="149"/>
        <v>Oct</v>
      </c>
      <c r="V1595" s="10">
        <f t="shared" si="148"/>
        <v>2024</v>
      </c>
      <c r="W1595" t="e" cm="1">
        <f t="array" ref="W1595">_xlfn.IFS(U1595="January",1,U1595="February",2,U1595="March",3,U1595="April",4,U1595="May",5,U1595="June",6,U1595="July",7,U1595="August",8,U1595="September",9,U1595="October",10,U1595="November",11,U1595="December",12)</f>
        <v>#N/A</v>
      </c>
    </row>
    <row r="1596" spans="1:23" ht="15.75" customHeight="1" x14ac:dyDescent="0.25">
      <c r="A1596" s="2" t="s">
        <v>369</v>
      </c>
      <c r="B1596" s="3">
        <v>45579.089201388888</v>
      </c>
      <c r="C1596" s="2" t="s">
        <v>326</v>
      </c>
      <c r="D1596" s="2" t="s">
        <v>262</v>
      </c>
      <c r="E1596" s="2" t="s">
        <v>186</v>
      </c>
      <c r="F1596" s="2" t="str" cm="1">
        <f t="array" ref="F1596:G1596">_xlfn.TEXTSPLIT(E1596," - ")</f>
        <v>Susu Bubuk</v>
      </c>
      <c r="G1596" s="2" t="str">
        <v>Brand A</v>
      </c>
      <c r="H1596" s="5">
        <v>45000</v>
      </c>
      <c r="I1596" s="2">
        <v>4</v>
      </c>
      <c r="J1596" s="2">
        <v>15</v>
      </c>
      <c r="K1596" s="8">
        <f t="shared" si="144"/>
        <v>180000</v>
      </c>
      <c r="L1596" s="8">
        <f t="shared" si="145"/>
        <v>27000</v>
      </c>
      <c r="M1596" s="8">
        <f t="shared" si="146"/>
        <v>153000</v>
      </c>
      <c r="N1596" s="5">
        <v>18000</v>
      </c>
      <c r="O1596" s="8">
        <f t="shared" si="147"/>
        <v>171000</v>
      </c>
      <c r="P1596" s="2" t="s">
        <v>29</v>
      </c>
      <c r="Q1596" s="10" t="str">
        <f>VLOOKUP(A1596,Status!A:B,2,0)</f>
        <v>Completed</v>
      </c>
      <c r="R1596" s="2" t="s">
        <v>36</v>
      </c>
      <c r="S1596" s="2">
        <v>5</v>
      </c>
      <c r="T1596" s="2" t="s">
        <v>37</v>
      </c>
      <c r="U1596" s="10" t="str">
        <f t="shared" si="149"/>
        <v>Oct</v>
      </c>
      <c r="V1596" s="10">
        <f t="shared" si="148"/>
        <v>2024</v>
      </c>
      <c r="W1596" t="e" cm="1">
        <f t="array" ref="W1596">_xlfn.IFS(U1596="January",1,U1596="February",2,U1596="March",3,U1596="April",4,U1596="May",5,U1596="June",6,U1596="July",7,U1596="August",8,U1596="September",9,U1596="October",10,U1596="November",11,U1596="December",12)</f>
        <v>#N/A</v>
      </c>
    </row>
    <row r="1597" spans="1:23" ht="15.75" customHeight="1" x14ac:dyDescent="0.25">
      <c r="A1597" s="2" t="s">
        <v>370</v>
      </c>
      <c r="B1597" s="3">
        <v>45579.285381944443</v>
      </c>
      <c r="C1597" s="2" t="s">
        <v>371</v>
      </c>
      <c r="D1597" s="2" t="s">
        <v>27</v>
      </c>
      <c r="E1597" s="2" t="s">
        <v>174</v>
      </c>
      <c r="F1597" s="2" t="str" cm="1">
        <f t="array" ref="F1597:G1597">_xlfn.TEXTSPLIT(E1597," - ")</f>
        <v>Tepung Terigu</v>
      </c>
      <c r="G1597" s="2" t="str">
        <v>Brand A</v>
      </c>
      <c r="H1597" s="5">
        <v>10000</v>
      </c>
      <c r="I1597" s="2">
        <v>3</v>
      </c>
      <c r="J1597" s="2">
        <v>0</v>
      </c>
      <c r="K1597" s="8">
        <f t="shared" si="144"/>
        <v>30000</v>
      </c>
      <c r="L1597" s="8">
        <f t="shared" si="145"/>
        <v>0</v>
      </c>
      <c r="M1597" s="8">
        <f t="shared" si="146"/>
        <v>30000</v>
      </c>
      <c r="N1597" s="5">
        <v>17000</v>
      </c>
      <c r="O1597" s="8">
        <f t="shared" si="147"/>
        <v>47000</v>
      </c>
      <c r="P1597" s="2" t="s">
        <v>22</v>
      </c>
      <c r="Q1597" s="10" t="str">
        <f>VLOOKUP(A1597,Status!A:B,2,0)</f>
        <v>Completed</v>
      </c>
      <c r="R1597" s="2" t="s">
        <v>36</v>
      </c>
      <c r="S1597" s="2">
        <v>3</v>
      </c>
      <c r="T1597" s="2" t="s">
        <v>24</v>
      </c>
      <c r="U1597" s="10" t="str">
        <f t="shared" si="149"/>
        <v>Oct</v>
      </c>
      <c r="V1597" s="10">
        <f t="shared" si="148"/>
        <v>2024</v>
      </c>
      <c r="W1597" t="e" cm="1">
        <f t="array" ref="W1597">_xlfn.IFS(U1597="January",1,U1597="February",2,U1597="March",3,U1597="April",4,U1597="May",5,U1597="June",6,U1597="July",7,U1597="August",8,U1597="September",9,U1597="October",10,U1597="November",11,U1597="December",12)</f>
        <v>#N/A</v>
      </c>
    </row>
    <row r="1598" spans="1:23" ht="15.75" customHeight="1" x14ac:dyDescent="0.25">
      <c r="A1598" s="2" t="s">
        <v>372</v>
      </c>
      <c r="B1598" s="3">
        <v>45579.436226851853</v>
      </c>
      <c r="C1598" s="2" t="s">
        <v>26</v>
      </c>
      <c r="D1598" s="2" t="s">
        <v>27</v>
      </c>
      <c r="E1598" s="2" t="s">
        <v>93</v>
      </c>
      <c r="F1598" s="2" t="str" cm="1">
        <f t="array" ref="F1598:G1598">_xlfn.TEXTSPLIT(E1598," - ")</f>
        <v>Telur Ayam</v>
      </c>
      <c r="G1598" s="2" t="str">
        <v>Brand B</v>
      </c>
      <c r="H1598" s="5">
        <v>25000</v>
      </c>
      <c r="I1598" s="2">
        <v>1</v>
      </c>
      <c r="J1598" s="2">
        <v>5</v>
      </c>
      <c r="K1598" s="8">
        <f t="shared" si="144"/>
        <v>25000</v>
      </c>
      <c r="L1598" s="8">
        <f t="shared" si="145"/>
        <v>1250</v>
      </c>
      <c r="M1598" s="8">
        <f t="shared" si="146"/>
        <v>23750</v>
      </c>
      <c r="N1598" s="5">
        <v>17000</v>
      </c>
      <c r="O1598" s="8">
        <f t="shared" si="147"/>
        <v>40750</v>
      </c>
      <c r="P1598" s="2" t="s">
        <v>35</v>
      </c>
      <c r="Q1598" s="10" t="str">
        <f>VLOOKUP(A1598,Status!A:B,2,0)</f>
        <v>Completed</v>
      </c>
      <c r="R1598" s="2" t="s">
        <v>30</v>
      </c>
      <c r="S1598" s="2">
        <v>2</v>
      </c>
      <c r="T1598" s="2" t="s">
        <v>24</v>
      </c>
      <c r="U1598" s="10" t="str">
        <f t="shared" si="149"/>
        <v>Oct</v>
      </c>
      <c r="V1598" s="10">
        <f t="shared" si="148"/>
        <v>2024</v>
      </c>
      <c r="W1598" t="e" cm="1">
        <f t="array" ref="W1598">_xlfn.IFS(U1598="January",1,U1598="February",2,U1598="March",3,U1598="April",4,U1598="May",5,U1598="June",6,U1598="July",7,U1598="August",8,U1598="September",9,U1598="October",10,U1598="November",11,U1598="December",12)</f>
        <v>#N/A</v>
      </c>
    </row>
    <row r="1599" spans="1:23" ht="15.75" customHeight="1" x14ac:dyDescent="0.25">
      <c r="A1599" s="2" t="s">
        <v>373</v>
      </c>
      <c r="B1599" s="3">
        <v>45579.47074074074</v>
      </c>
      <c r="C1599" s="2" t="s">
        <v>374</v>
      </c>
      <c r="D1599" s="2" t="s">
        <v>375</v>
      </c>
      <c r="E1599" s="2" t="s">
        <v>110</v>
      </c>
      <c r="F1599" s="2" t="str" cm="1">
        <f t="array" ref="F1599:G1599">_xlfn.TEXTSPLIT(E1599," - ")</f>
        <v>Garam</v>
      </c>
      <c r="G1599" s="2" t="str">
        <v>Brand C</v>
      </c>
      <c r="H1599" s="5">
        <v>6000</v>
      </c>
      <c r="I1599" s="2">
        <v>5</v>
      </c>
      <c r="J1599" s="2">
        <v>5</v>
      </c>
      <c r="K1599" s="8">
        <f t="shared" si="144"/>
        <v>30000</v>
      </c>
      <c r="L1599" s="8">
        <f t="shared" si="145"/>
        <v>1500</v>
      </c>
      <c r="M1599" s="8">
        <f t="shared" si="146"/>
        <v>28500</v>
      </c>
      <c r="N1599" s="5">
        <v>21000</v>
      </c>
      <c r="O1599" s="8">
        <f t="shared" si="147"/>
        <v>49500</v>
      </c>
      <c r="P1599" s="2" t="s">
        <v>63</v>
      </c>
      <c r="Q1599" s="10" t="str">
        <f>VLOOKUP(A1599,Status!A:B,2,0)</f>
        <v>Completed</v>
      </c>
      <c r="R1599" s="2" t="s">
        <v>82</v>
      </c>
      <c r="S1599" s="2">
        <v>4</v>
      </c>
      <c r="T1599" s="2" t="s">
        <v>37</v>
      </c>
      <c r="U1599" s="10" t="str">
        <f t="shared" si="149"/>
        <v>Oct</v>
      </c>
      <c r="V1599" s="10">
        <f t="shared" si="148"/>
        <v>2024</v>
      </c>
      <c r="W1599" t="e" cm="1">
        <f t="array" ref="W1599">_xlfn.IFS(U1599="January",1,U1599="February",2,U1599="March",3,U1599="April",4,U1599="May",5,U1599="June",6,U1599="July",7,U1599="August",8,U1599="September",9,U1599="October",10,U1599="November",11,U1599="December",12)</f>
        <v>#N/A</v>
      </c>
    </row>
    <row r="1600" spans="1:23" ht="15.75" customHeight="1" x14ac:dyDescent="0.25">
      <c r="A1600" s="2" t="s">
        <v>376</v>
      </c>
      <c r="B1600" s="3">
        <v>45579.511793981481</v>
      </c>
      <c r="C1600" s="2" t="s">
        <v>377</v>
      </c>
      <c r="D1600" s="2" t="s">
        <v>182</v>
      </c>
      <c r="E1600" s="2" t="s">
        <v>85</v>
      </c>
      <c r="F1600" s="2" t="str" cm="1">
        <f t="array" ref="F1600:G1600">_xlfn.TEXTSPLIT(E1600," - ")</f>
        <v>Daging Ayam</v>
      </c>
      <c r="G1600" s="2" t="str">
        <v>Brand A</v>
      </c>
      <c r="H1600" s="5">
        <v>35000</v>
      </c>
      <c r="I1600" s="2">
        <v>5</v>
      </c>
      <c r="J1600" s="2">
        <v>15</v>
      </c>
      <c r="K1600" s="8">
        <f t="shared" si="144"/>
        <v>175000</v>
      </c>
      <c r="L1600" s="8">
        <f t="shared" si="145"/>
        <v>26250</v>
      </c>
      <c r="M1600" s="8">
        <f t="shared" si="146"/>
        <v>148750</v>
      </c>
      <c r="N1600" s="5">
        <v>48000</v>
      </c>
      <c r="O1600" s="8">
        <f t="shared" si="147"/>
        <v>196750</v>
      </c>
      <c r="P1600" s="2" t="s">
        <v>29</v>
      </c>
      <c r="Q1600" s="10" t="str">
        <f>VLOOKUP(A1600,Status!A:B,2,0)</f>
        <v>Completed</v>
      </c>
      <c r="R1600" s="2" t="s">
        <v>46</v>
      </c>
      <c r="S1600" s="2">
        <v>4</v>
      </c>
      <c r="T1600" s="2" t="s">
        <v>24</v>
      </c>
      <c r="U1600" s="10" t="str">
        <f t="shared" si="149"/>
        <v>Oct</v>
      </c>
      <c r="V1600" s="10">
        <f t="shared" si="148"/>
        <v>2024</v>
      </c>
      <c r="W1600" t="e" cm="1">
        <f t="array" ref="W1600">_xlfn.IFS(U1600="January",1,U1600="February",2,U1600="March",3,U1600="April",4,U1600="May",5,U1600="June",6,U1600="July",7,U1600="August",8,U1600="September",9,U1600="October",10,U1600="November",11,U1600="December",12)</f>
        <v>#N/A</v>
      </c>
    </row>
    <row r="1601" spans="1:23" ht="15.75" customHeight="1" x14ac:dyDescent="0.25">
      <c r="A1601" s="2" t="s">
        <v>378</v>
      </c>
      <c r="B1601" s="3">
        <v>45580.081608796303</v>
      </c>
      <c r="C1601" s="2" t="s">
        <v>379</v>
      </c>
      <c r="D1601" s="2" t="s">
        <v>27</v>
      </c>
      <c r="E1601" s="2" t="s">
        <v>190</v>
      </c>
      <c r="F1601" s="2" t="str" cm="1">
        <f t="array" ref="F1601:G1601">_xlfn.TEXTSPLIT(E1601," - ")</f>
        <v>Bawang Merah</v>
      </c>
      <c r="G1601" s="2" t="str">
        <v>Brand B</v>
      </c>
      <c r="H1601" s="5">
        <v>35000</v>
      </c>
      <c r="I1601" s="2">
        <v>5</v>
      </c>
      <c r="J1601" s="2">
        <v>10</v>
      </c>
      <c r="K1601" s="8">
        <f t="shared" si="144"/>
        <v>175000</v>
      </c>
      <c r="L1601" s="8">
        <f t="shared" si="145"/>
        <v>17500</v>
      </c>
      <c r="M1601" s="8">
        <f t="shared" si="146"/>
        <v>157500</v>
      </c>
      <c r="N1601" s="5">
        <v>17000</v>
      </c>
      <c r="O1601" s="8">
        <f t="shared" si="147"/>
        <v>174500</v>
      </c>
      <c r="P1601" s="2" t="s">
        <v>35</v>
      </c>
      <c r="Q1601" s="10" t="str">
        <f>VLOOKUP(A1601,Status!A:B,2,0)</f>
        <v>Completed</v>
      </c>
      <c r="R1601" s="2" t="s">
        <v>46</v>
      </c>
      <c r="S1601" s="2">
        <v>2</v>
      </c>
      <c r="T1601" s="2" t="s">
        <v>24</v>
      </c>
      <c r="U1601" s="10" t="str">
        <f t="shared" si="149"/>
        <v>Oct</v>
      </c>
      <c r="V1601" s="10">
        <f t="shared" si="148"/>
        <v>2024</v>
      </c>
      <c r="W1601" t="e" cm="1">
        <f t="array" ref="W1601">_xlfn.IFS(U1601="January",1,U1601="February",2,U1601="March",3,U1601="April",4,U1601="May",5,U1601="June",6,U1601="July",7,U1601="August",8,U1601="September",9,U1601="October",10,U1601="November",11,U1601="December",12)</f>
        <v>#N/A</v>
      </c>
    </row>
    <row r="1602" spans="1:23" ht="15.75" customHeight="1" x14ac:dyDescent="0.25">
      <c r="A1602" s="2" t="s">
        <v>380</v>
      </c>
      <c r="B1602" s="3">
        <v>45580.332685185182</v>
      </c>
      <c r="C1602" s="2" t="s">
        <v>381</v>
      </c>
      <c r="D1602" s="2" t="s">
        <v>103</v>
      </c>
      <c r="E1602" s="2" t="s">
        <v>41</v>
      </c>
      <c r="F1602" s="2" t="str" cm="1">
        <f t="array" ref="F1602:G1602">_xlfn.TEXTSPLIT(E1602," - ")</f>
        <v>Garam</v>
      </c>
      <c r="G1602" s="2" t="str">
        <v>Brand A</v>
      </c>
      <c r="H1602" s="5">
        <v>4000</v>
      </c>
      <c r="I1602" s="2">
        <v>2</v>
      </c>
      <c r="J1602" s="2">
        <v>0</v>
      </c>
      <c r="K1602" s="8">
        <f t="shared" ref="K1602:K1665" si="150">H1602*I1602</f>
        <v>8000</v>
      </c>
      <c r="L1602" s="8">
        <f t="shared" ref="L1602:L1665" si="151">K1602*J1602%</f>
        <v>0</v>
      </c>
      <c r="M1602" s="8">
        <f t="shared" ref="M1602:M1665" si="152">K1602-L1602</f>
        <v>8000</v>
      </c>
      <c r="N1602" s="5">
        <v>85000</v>
      </c>
      <c r="O1602" s="8">
        <f t="shared" ref="O1602:O1665" si="153">M1602+N1602</f>
        <v>93000</v>
      </c>
      <c r="P1602" s="2" t="s">
        <v>63</v>
      </c>
      <c r="Q1602" s="10" t="str">
        <f>VLOOKUP(A1602,Status!A:B,2,0)</f>
        <v>Returned</v>
      </c>
      <c r="R1602" s="2" t="s">
        <v>23</v>
      </c>
      <c r="S1602" s="2">
        <v>3</v>
      </c>
      <c r="T1602" s="2" t="s">
        <v>24</v>
      </c>
      <c r="U1602" s="10" t="str">
        <f t="shared" si="149"/>
        <v>Oct</v>
      </c>
      <c r="V1602" s="10">
        <f t="shared" ref="V1602:V1665" si="154">YEAR(B1602)</f>
        <v>2024</v>
      </c>
      <c r="W1602" t="e" cm="1">
        <f t="array" ref="W1602">_xlfn.IFS(U1602="January",1,U1602="February",2,U1602="March",3,U1602="April",4,U1602="May",5,U1602="June",6,U1602="July",7,U1602="August",8,U1602="September",9,U1602="October",10,U1602="November",11,U1602="December",12)</f>
        <v>#N/A</v>
      </c>
    </row>
    <row r="1603" spans="1:23" ht="15.75" customHeight="1" x14ac:dyDescent="0.25">
      <c r="A1603" s="2" t="s">
        <v>382</v>
      </c>
      <c r="B1603" s="3">
        <v>45580.433888888889</v>
      </c>
      <c r="C1603" s="2" t="s">
        <v>383</v>
      </c>
      <c r="D1603" s="2" t="s">
        <v>122</v>
      </c>
      <c r="E1603" s="2" t="s">
        <v>45</v>
      </c>
      <c r="F1603" s="2" t="str" cm="1">
        <f t="array" ref="F1603:G1603">_xlfn.TEXTSPLIT(E1603," - ")</f>
        <v>Daging Ayam</v>
      </c>
      <c r="G1603" s="2" t="str">
        <v>Brand B</v>
      </c>
      <c r="H1603" s="5">
        <v>40000</v>
      </c>
      <c r="I1603" s="2">
        <v>4</v>
      </c>
      <c r="J1603" s="2">
        <v>5</v>
      </c>
      <c r="K1603" s="8">
        <f t="shared" si="150"/>
        <v>160000</v>
      </c>
      <c r="L1603" s="8">
        <f t="shared" si="151"/>
        <v>8000</v>
      </c>
      <c r="M1603" s="8">
        <f t="shared" si="152"/>
        <v>152000</v>
      </c>
      <c r="N1603" s="5">
        <v>78000</v>
      </c>
      <c r="O1603" s="8">
        <f t="shared" si="153"/>
        <v>230000</v>
      </c>
      <c r="P1603" s="2" t="s">
        <v>35</v>
      </c>
      <c r="Q1603" s="10" t="str">
        <f>VLOOKUP(A1603,Status!A:B,2,0)</f>
        <v>Completed</v>
      </c>
      <c r="R1603" s="2" t="s">
        <v>23</v>
      </c>
      <c r="S1603" s="2">
        <v>5</v>
      </c>
      <c r="T1603" s="2" t="s">
        <v>24</v>
      </c>
      <c r="U1603" s="10" t="str">
        <f t="shared" ref="U1603:U1666" si="155">TEXT(B1603,"MMM")</f>
        <v>Oct</v>
      </c>
      <c r="V1603" s="10">
        <f t="shared" si="154"/>
        <v>2024</v>
      </c>
      <c r="W1603" t="e" cm="1">
        <f t="array" ref="W1603">_xlfn.IFS(U1603="January",1,U1603="February",2,U1603="March",3,U1603="April",4,U1603="May",5,U1603="June",6,U1603="July",7,U1603="August",8,U1603="September",9,U1603="October",10,U1603="November",11,U1603="December",12)</f>
        <v>#N/A</v>
      </c>
    </row>
    <row r="1604" spans="1:23" ht="15.75" customHeight="1" x14ac:dyDescent="0.25">
      <c r="A1604" s="2" t="s">
        <v>384</v>
      </c>
      <c r="B1604" s="3">
        <v>45580.58116898148</v>
      </c>
      <c r="C1604" s="2" t="s">
        <v>385</v>
      </c>
      <c r="D1604" s="2" t="s">
        <v>375</v>
      </c>
      <c r="E1604" s="2" t="s">
        <v>71</v>
      </c>
      <c r="F1604" s="2" t="str" cm="1">
        <f t="array" ref="F1604:G1604">_xlfn.TEXTSPLIT(E1604," - ")</f>
        <v>Bawang Merah</v>
      </c>
      <c r="G1604" s="2" t="str">
        <v>Brand C</v>
      </c>
      <c r="H1604" s="5">
        <v>40000</v>
      </c>
      <c r="I1604" s="2">
        <v>2</v>
      </c>
      <c r="J1604" s="2">
        <v>15</v>
      </c>
      <c r="K1604" s="8">
        <f t="shared" si="150"/>
        <v>80000</v>
      </c>
      <c r="L1604" s="8">
        <f t="shared" si="151"/>
        <v>12000</v>
      </c>
      <c r="M1604" s="8">
        <f t="shared" si="152"/>
        <v>68000</v>
      </c>
      <c r="N1604" s="5">
        <v>21000</v>
      </c>
      <c r="O1604" s="8">
        <f t="shared" si="153"/>
        <v>89000</v>
      </c>
      <c r="P1604" s="2" t="s">
        <v>63</v>
      </c>
      <c r="Q1604" s="10" t="str">
        <f>VLOOKUP(A1604,Status!A:B,2,0)</f>
        <v>Cancelled</v>
      </c>
      <c r="R1604" s="2" t="s">
        <v>82</v>
      </c>
      <c r="S1604" s="2">
        <v>5</v>
      </c>
      <c r="T1604" s="2" t="s">
        <v>24</v>
      </c>
      <c r="U1604" s="10" t="str">
        <f t="shared" si="155"/>
        <v>Oct</v>
      </c>
      <c r="V1604" s="10">
        <f t="shared" si="154"/>
        <v>2024</v>
      </c>
      <c r="W1604" t="e" cm="1">
        <f t="array" ref="W1604">_xlfn.IFS(U1604="January",1,U1604="February",2,U1604="March",3,U1604="April",4,U1604="May",5,U1604="June",6,U1604="July",7,U1604="August",8,U1604="September",9,U1604="October",10,U1604="November",11,U1604="December",12)</f>
        <v>#N/A</v>
      </c>
    </row>
    <row r="1605" spans="1:23" ht="15.75" customHeight="1" x14ac:dyDescent="0.25">
      <c r="A1605" s="2" t="s">
        <v>386</v>
      </c>
      <c r="B1605" s="3">
        <v>45580.70553240741</v>
      </c>
      <c r="C1605" s="2" t="s">
        <v>387</v>
      </c>
      <c r="D1605" s="2" t="s">
        <v>49</v>
      </c>
      <c r="E1605" s="2" t="s">
        <v>62</v>
      </c>
      <c r="F1605" s="2" t="str" cm="1">
        <f t="array" ref="F1605:G1605">_xlfn.TEXTSPLIT(E1605," - ")</f>
        <v>Susu Bubuk</v>
      </c>
      <c r="G1605" s="2" t="str">
        <v>Brand B</v>
      </c>
      <c r="H1605" s="5">
        <v>50000</v>
      </c>
      <c r="I1605" s="2">
        <v>1</v>
      </c>
      <c r="J1605" s="2">
        <v>5</v>
      </c>
      <c r="K1605" s="8">
        <f t="shared" si="150"/>
        <v>50000</v>
      </c>
      <c r="L1605" s="8">
        <f t="shared" si="151"/>
        <v>2500</v>
      </c>
      <c r="M1605" s="8">
        <f t="shared" si="152"/>
        <v>47500</v>
      </c>
      <c r="N1605" s="5">
        <v>43000</v>
      </c>
      <c r="O1605" s="8">
        <f t="shared" si="153"/>
        <v>90500</v>
      </c>
      <c r="P1605" s="2" t="s">
        <v>35</v>
      </c>
      <c r="Q1605" s="10" t="str">
        <f>VLOOKUP(A1605,Status!A:B,2,0)</f>
        <v>Completed</v>
      </c>
      <c r="R1605" s="2" t="s">
        <v>36</v>
      </c>
      <c r="S1605" s="2">
        <v>3</v>
      </c>
      <c r="T1605" s="2" t="s">
        <v>37</v>
      </c>
      <c r="U1605" s="10" t="str">
        <f t="shared" si="155"/>
        <v>Oct</v>
      </c>
      <c r="V1605" s="10">
        <f t="shared" si="154"/>
        <v>2024</v>
      </c>
      <c r="W1605" t="e" cm="1">
        <f t="array" ref="W1605">_xlfn.IFS(U1605="January",1,U1605="February",2,U1605="March",3,U1605="April",4,U1605="May",5,U1605="June",6,U1605="July",7,U1605="August",8,U1605="September",9,U1605="October",10,U1605="November",11,U1605="December",12)</f>
        <v>#N/A</v>
      </c>
    </row>
    <row r="1606" spans="1:23" ht="15.75" customHeight="1" x14ac:dyDescent="0.25">
      <c r="A1606" s="2" t="s">
        <v>388</v>
      </c>
      <c r="B1606" s="3">
        <v>45580.726215277777</v>
      </c>
      <c r="C1606" s="2" t="s">
        <v>389</v>
      </c>
      <c r="D1606" s="2" t="s">
        <v>182</v>
      </c>
      <c r="E1606" s="2" t="s">
        <v>186</v>
      </c>
      <c r="F1606" s="2" t="str" cm="1">
        <f t="array" ref="F1606:G1606">_xlfn.TEXTSPLIT(E1606," - ")</f>
        <v>Susu Bubuk</v>
      </c>
      <c r="G1606" s="2" t="str">
        <v>Brand A</v>
      </c>
      <c r="H1606" s="5">
        <v>45000</v>
      </c>
      <c r="I1606" s="2">
        <v>5</v>
      </c>
      <c r="J1606" s="2">
        <v>10</v>
      </c>
      <c r="K1606" s="8">
        <f t="shared" si="150"/>
        <v>225000</v>
      </c>
      <c r="L1606" s="8">
        <f t="shared" si="151"/>
        <v>22500</v>
      </c>
      <c r="M1606" s="8">
        <f t="shared" si="152"/>
        <v>202500</v>
      </c>
      <c r="N1606" s="5">
        <v>48000</v>
      </c>
      <c r="O1606" s="8">
        <f t="shared" si="153"/>
        <v>250500</v>
      </c>
      <c r="P1606" s="2" t="s">
        <v>29</v>
      </c>
      <c r="Q1606" s="10" t="str">
        <f>VLOOKUP(A1606,Status!A:B,2,0)</f>
        <v>Completed</v>
      </c>
      <c r="R1606" s="2" t="s">
        <v>23</v>
      </c>
      <c r="S1606" s="2">
        <v>4</v>
      </c>
      <c r="T1606" s="2" t="s">
        <v>24</v>
      </c>
      <c r="U1606" s="10" t="str">
        <f t="shared" si="155"/>
        <v>Oct</v>
      </c>
      <c r="V1606" s="10">
        <f t="shared" si="154"/>
        <v>2024</v>
      </c>
      <c r="W1606" t="e" cm="1">
        <f t="array" ref="W1606">_xlfn.IFS(U1606="January",1,U1606="February",2,U1606="March",3,U1606="April",4,U1606="May",5,U1606="June",6,U1606="July",7,U1606="August",8,U1606="September",9,U1606="October",10,U1606="November",11,U1606="December",12)</f>
        <v>#N/A</v>
      </c>
    </row>
    <row r="1607" spans="1:23" ht="15.75" customHeight="1" x14ac:dyDescent="0.25">
      <c r="A1607" s="2" t="s">
        <v>390</v>
      </c>
      <c r="B1607" s="3">
        <v>45580.737210648149</v>
      </c>
      <c r="C1607" s="2" t="s">
        <v>391</v>
      </c>
      <c r="D1607" s="2" t="s">
        <v>122</v>
      </c>
      <c r="E1607" s="2" t="s">
        <v>186</v>
      </c>
      <c r="F1607" s="2" t="str" cm="1">
        <f t="array" ref="F1607:G1607">_xlfn.TEXTSPLIT(E1607," - ")</f>
        <v>Susu Bubuk</v>
      </c>
      <c r="G1607" s="2" t="str">
        <v>Brand A</v>
      </c>
      <c r="H1607" s="5">
        <v>45000</v>
      </c>
      <c r="I1607" s="2">
        <v>3</v>
      </c>
      <c r="J1607" s="2">
        <v>0</v>
      </c>
      <c r="K1607" s="8">
        <f t="shared" si="150"/>
        <v>135000</v>
      </c>
      <c r="L1607" s="8">
        <f t="shared" si="151"/>
        <v>0</v>
      </c>
      <c r="M1607" s="8">
        <f t="shared" si="152"/>
        <v>135000</v>
      </c>
      <c r="N1607" s="5">
        <v>78000</v>
      </c>
      <c r="O1607" s="8">
        <f t="shared" si="153"/>
        <v>213000</v>
      </c>
      <c r="P1607" s="2" t="s">
        <v>35</v>
      </c>
      <c r="Q1607" s="10" t="str">
        <f>VLOOKUP(A1607,Status!A:B,2,0)</f>
        <v>Completed</v>
      </c>
      <c r="R1607" s="2" t="s">
        <v>46</v>
      </c>
      <c r="S1607" s="2">
        <v>5</v>
      </c>
      <c r="T1607" s="2" t="s">
        <v>24</v>
      </c>
      <c r="U1607" s="10" t="str">
        <f t="shared" si="155"/>
        <v>Oct</v>
      </c>
      <c r="V1607" s="10">
        <f t="shared" si="154"/>
        <v>2024</v>
      </c>
      <c r="W1607" t="e" cm="1">
        <f t="array" ref="W1607">_xlfn.IFS(U1607="January",1,U1607="February",2,U1607="March",3,U1607="April",4,U1607="May",5,U1607="June",6,U1607="July",7,U1607="August",8,U1607="September",9,U1607="October",10,U1607="November",11,U1607="December",12)</f>
        <v>#N/A</v>
      </c>
    </row>
    <row r="1608" spans="1:23" ht="15.75" customHeight="1" x14ac:dyDescent="0.25">
      <c r="A1608" s="2" t="s">
        <v>392</v>
      </c>
      <c r="B1608" s="3">
        <v>45580.862592592603</v>
      </c>
      <c r="C1608" s="2" t="s">
        <v>201</v>
      </c>
      <c r="D1608" s="2" t="s">
        <v>107</v>
      </c>
      <c r="E1608" s="2" t="s">
        <v>50</v>
      </c>
      <c r="F1608" s="2" t="str" cm="1">
        <f t="array" ref="F1608:G1608">_xlfn.TEXTSPLIT(E1608," - ")</f>
        <v>Tepung Terigu</v>
      </c>
      <c r="G1608" s="2" t="str">
        <v>Brand C</v>
      </c>
      <c r="H1608" s="5">
        <v>14000</v>
      </c>
      <c r="I1608" s="2">
        <v>4</v>
      </c>
      <c r="J1608" s="2">
        <v>0</v>
      </c>
      <c r="K1608" s="8">
        <f t="shared" si="150"/>
        <v>56000</v>
      </c>
      <c r="L1608" s="8">
        <f t="shared" si="151"/>
        <v>0</v>
      </c>
      <c r="M1608" s="8">
        <f t="shared" si="152"/>
        <v>56000</v>
      </c>
      <c r="N1608" s="5">
        <v>97000</v>
      </c>
      <c r="O1608" s="8">
        <f t="shared" si="153"/>
        <v>153000</v>
      </c>
      <c r="P1608" s="2" t="s">
        <v>35</v>
      </c>
      <c r="Q1608" s="10" t="str">
        <f>VLOOKUP(A1608,Status!A:B,2,0)</f>
        <v>Returned</v>
      </c>
      <c r="R1608" s="2" t="s">
        <v>46</v>
      </c>
      <c r="S1608" s="2">
        <v>1</v>
      </c>
      <c r="T1608" s="2" t="s">
        <v>24</v>
      </c>
      <c r="U1608" s="10" t="str">
        <f t="shared" si="155"/>
        <v>Oct</v>
      </c>
      <c r="V1608" s="10">
        <f t="shared" si="154"/>
        <v>2024</v>
      </c>
      <c r="W1608" t="e" cm="1">
        <f t="array" ref="W1608">_xlfn.IFS(U1608="January",1,U1608="February",2,U1608="March",3,U1608="April",4,U1608="May",5,U1608="June",6,U1608="July",7,U1608="August",8,U1608="September",9,U1608="October",10,U1608="November",11,U1608="December",12)</f>
        <v>#N/A</v>
      </c>
    </row>
    <row r="1609" spans="1:23" ht="15.75" customHeight="1" x14ac:dyDescent="0.25">
      <c r="A1609" s="2" t="s">
        <v>392</v>
      </c>
      <c r="B1609" s="3">
        <v>45580.862592592603</v>
      </c>
      <c r="C1609" s="2" t="s">
        <v>201</v>
      </c>
      <c r="D1609" s="2" t="s">
        <v>107</v>
      </c>
      <c r="E1609" s="2" t="s">
        <v>138</v>
      </c>
      <c r="F1609" s="2" t="str" cm="1">
        <f t="array" ref="F1609:G1609">_xlfn.TEXTSPLIT(E1609," - ")</f>
        <v>Gula Pasir</v>
      </c>
      <c r="G1609" s="2" t="str">
        <v>Brand B</v>
      </c>
      <c r="H1609" s="5">
        <v>17000</v>
      </c>
      <c r="I1609" s="2">
        <v>5</v>
      </c>
      <c r="J1609" s="2">
        <v>0</v>
      </c>
      <c r="K1609" s="8">
        <f t="shared" si="150"/>
        <v>85000</v>
      </c>
      <c r="L1609" s="8">
        <f t="shared" si="151"/>
        <v>0</v>
      </c>
      <c r="M1609" s="8">
        <f t="shared" si="152"/>
        <v>85000</v>
      </c>
      <c r="N1609" s="5">
        <v>0</v>
      </c>
      <c r="O1609" s="8">
        <f t="shared" si="153"/>
        <v>85000</v>
      </c>
      <c r="P1609" s="2" t="s">
        <v>35</v>
      </c>
      <c r="Q1609" s="10" t="str">
        <f>VLOOKUP(A1609,Status!A:B,2,0)</f>
        <v>Returned</v>
      </c>
      <c r="R1609" s="2" t="s">
        <v>46</v>
      </c>
      <c r="S1609" s="2">
        <v>1</v>
      </c>
      <c r="T1609" s="2" t="s">
        <v>24</v>
      </c>
      <c r="U1609" s="10" t="str">
        <f t="shared" si="155"/>
        <v>Oct</v>
      </c>
      <c r="V1609" s="10">
        <f t="shared" si="154"/>
        <v>2024</v>
      </c>
      <c r="W1609" t="e" cm="1">
        <f t="array" ref="W1609">_xlfn.IFS(U1609="January",1,U1609="February",2,U1609="March",3,U1609="April",4,U1609="May",5,U1609="June",6,U1609="July",7,U1609="August",8,U1609="September",9,U1609="October",10,U1609="November",11,U1609="December",12)</f>
        <v>#N/A</v>
      </c>
    </row>
    <row r="1610" spans="1:23" ht="15.75" customHeight="1" x14ac:dyDescent="0.25">
      <c r="A1610" s="2" t="s">
        <v>393</v>
      </c>
      <c r="B1610" s="3">
        <v>45580.967118055552</v>
      </c>
      <c r="C1610" s="2" t="s">
        <v>394</v>
      </c>
      <c r="D1610" s="2" t="s">
        <v>53</v>
      </c>
      <c r="E1610" s="2" t="s">
        <v>104</v>
      </c>
      <c r="F1610" s="2" t="str" cm="1">
        <f t="array" ref="F1610:G1610">_xlfn.TEXTSPLIT(E1610," - ")</f>
        <v>Bawang Merah</v>
      </c>
      <c r="G1610" s="2" t="str">
        <v>Brand A</v>
      </c>
      <c r="H1610" s="5">
        <v>30000</v>
      </c>
      <c r="I1610" s="2">
        <v>5</v>
      </c>
      <c r="J1610" s="2">
        <v>5</v>
      </c>
      <c r="K1610" s="8">
        <f t="shared" si="150"/>
        <v>150000</v>
      </c>
      <c r="L1610" s="8">
        <f t="shared" si="151"/>
        <v>7500</v>
      </c>
      <c r="M1610" s="8">
        <f t="shared" si="152"/>
        <v>142500</v>
      </c>
      <c r="N1610" s="5">
        <v>18000</v>
      </c>
      <c r="O1610" s="8">
        <f t="shared" si="153"/>
        <v>160500</v>
      </c>
      <c r="P1610" s="2" t="s">
        <v>22</v>
      </c>
      <c r="Q1610" s="10" t="str">
        <f>VLOOKUP(A1610,Status!A:B,2,0)</f>
        <v>Completed</v>
      </c>
      <c r="R1610" s="2" t="s">
        <v>30</v>
      </c>
      <c r="S1610" s="2">
        <v>2</v>
      </c>
      <c r="T1610" s="2" t="s">
        <v>24</v>
      </c>
      <c r="U1610" s="10" t="str">
        <f t="shared" si="155"/>
        <v>Oct</v>
      </c>
      <c r="V1610" s="10">
        <f t="shared" si="154"/>
        <v>2024</v>
      </c>
      <c r="W1610" t="e" cm="1">
        <f t="array" ref="W1610">_xlfn.IFS(U1610="January",1,U1610="February",2,U1610="March",3,U1610="April",4,U1610="May",5,U1610="June",6,U1610="July",7,U1610="August",8,U1610="September",9,U1610="October",10,U1610="November",11,U1610="December",12)</f>
        <v>#N/A</v>
      </c>
    </row>
    <row r="1611" spans="1:23" ht="15.75" customHeight="1" x14ac:dyDescent="0.25">
      <c r="A1611" s="2" t="s">
        <v>395</v>
      </c>
      <c r="B1611" s="3">
        <v>45581.035011574073</v>
      </c>
      <c r="C1611" s="2" t="s">
        <v>396</v>
      </c>
      <c r="D1611" s="2" t="s">
        <v>66</v>
      </c>
      <c r="E1611" s="2" t="s">
        <v>58</v>
      </c>
      <c r="F1611" s="2" t="str" cm="1">
        <f t="array" ref="F1611:G1611">_xlfn.TEXTSPLIT(E1611," - ")</f>
        <v>Gula Pasir</v>
      </c>
      <c r="G1611" s="2" t="str">
        <v>Brand A</v>
      </c>
      <c r="H1611" s="5">
        <v>16000</v>
      </c>
      <c r="I1611" s="2">
        <v>1</v>
      </c>
      <c r="J1611" s="2">
        <v>20</v>
      </c>
      <c r="K1611" s="8">
        <f t="shared" si="150"/>
        <v>16000</v>
      </c>
      <c r="L1611" s="8">
        <f t="shared" si="151"/>
        <v>3200</v>
      </c>
      <c r="M1611" s="8">
        <f t="shared" si="152"/>
        <v>12800</v>
      </c>
      <c r="N1611" s="5">
        <v>59000</v>
      </c>
      <c r="O1611" s="8">
        <f t="shared" si="153"/>
        <v>71800</v>
      </c>
      <c r="P1611" s="2" t="s">
        <v>63</v>
      </c>
      <c r="Q1611" s="10" t="str">
        <f>VLOOKUP(A1611,Status!A:B,2,0)</f>
        <v>Completed</v>
      </c>
      <c r="R1611" s="2" t="s">
        <v>82</v>
      </c>
      <c r="S1611" s="2">
        <v>4</v>
      </c>
      <c r="T1611" s="2" t="s">
        <v>37</v>
      </c>
      <c r="U1611" s="10" t="str">
        <f t="shared" si="155"/>
        <v>Oct</v>
      </c>
      <c r="V1611" s="10">
        <f t="shared" si="154"/>
        <v>2024</v>
      </c>
      <c r="W1611" t="e" cm="1">
        <f t="array" ref="W1611">_xlfn.IFS(U1611="January",1,U1611="February",2,U1611="March",3,U1611="April",4,U1611="May",5,U1611="June",6,U1611="July",7,U1611="August",8,U1611="September",9,U1611="October",10,U1611="November",11,U1611="December",12)</f>
        <v>#N/A</v>
      </c>
    </row>
    <row r="1612" spans="1:23" ht="15.75" customHeight="1" x14ac:dyDescent="0.25">
      <c r="A1612" s="2" t="s">
        <v>397</v>
      </c>
      <c r="B1612" s="3">
        <v>45581.525694444441</v>
      </c>
      <c r="C1612" s="2" t="s">
        <v>398</v>
      </c>
      <c r="D1612" s="2" t="s">
        <v>182</v>
      </c>
      <c r="E1612" s="2" t="s">
        <v>93</v>
      </c>
      <c r="F1612" s="2" t="str" cm="1">
        <f t="array" ref="F1612:G1612">_xlfn.TEXTSPLIT(E1612," - ")</f>
        <v>Telur Ayam</v>
      </c>
      <c r="G1612" s="2" t="str">
        <v>Brand B</v>
      </c>
      <c r="H1612" s="5">
        <v>25000</v>
      </c>
      <c r="I1612" s="2">
        <v>3</v>
      </c>
      <c r="J1612" s="2">
        <v>20</v>
      </c>
      <c r="K1612" s="8">
        <f t="shared" si="150"/>
        <v>75000</v>
      </c>
      <c r="L1612" s="8">
        <f t="shared" si="151"/>
        <v>15000</v>
      </c>
      <c r="M1612" s="8">
        <f t="shared" si="152"/>
        <v>60000</v>
      </c>
      <c r="N1612" s="5">
        <v>48000</v>
      </c>
      <c r="O1612" s="8">
        <f t="shared" si="153"/>
        <v>108000</v>
      </c>
      <c r="P1612" s="2" t="s">
        <v>35</v>
      </c>
      <c r="Q1612" s="10" t="str">
        <f>VLOOKUP(A1612,Status!A:B,2,0)</f>
        <v>Returned</v>
      </c>
      <c r="R1612" s="2" t="s">
        <v>36</v>
      </c>
      <c r="S1612" s="2">
        <v>4</v>
      </c>
      <c r="T1612" s="2" t="s">
        <v>24</v>
      </c>
      <c r="U1612" s="10" t="str">
        <f t="shared" si="155"/>
        <v>Oct</v>
      </c>
      <c r="V1612" s="10">
        <f t="shared" si="154"/>
        <v>2024</v>
      </c>
      <c r="W1612" t="e" cm="1">
        <f t="array" ref="W1612">_xlfn.IFS(U1612="January",1,U1612="February",2,U1612="March",3,U1612="April",4,U1612="May",5,U1612="June",6,U1612="July",7,U1612="August",8,U1612="September",9,U1612="October",10,U1612="November",11,U1612="December",12)</f>
        <v>#N/A</v>
      </c>
    </row>
    <row r="1613" spans="1:23" ht="15.75" customHeight="1" x14ac:dyDescent="0.25">
      <c r="A1613" s="2" t="s">
        <v>399</v>
      </c>
      <c r="B1613" s="3">
        <v>45581.551469907397</v>
      </c>
      <c r="C1613" s="2" t="s">
        <v>400</v>
      </c>
      <c r="D1613" s="2" t="s">
        <v>27</v>
      </c>
      <c r="E1613" s="2" t="s">
        <v>250</v>
      </c>
      <c r="F1613" s="2" t="str" cm="1">
        <f t="array" ref="F1613:G1613">_xlfn.TEXTSPLIT(E1613," - ")</f>
        <v>Minyak Goreng</v>
      </c>
      <c r="G1613" s="2" t="str">
        <v>Brand C</v>
      </c>
      <c r="H1613" s="5">
        <v>18000</v>
      </c>
      <c r="I1613" s="2">
        <v>1</v>
      </c>
      <c r="J1613" s="2">
        <v>5</v>
      </c>
      <c r="K1613" s="8">
        <f t="shared" si="150"/>
        <v>18000</v>
      </c>
      <c r="L1613" s="8">
        <f t="shared" si="151"/>
        <v>900</v>
      </c>
      <c r="M1613" s="8">
        <f t="shared" si="152"/>
        <v>17100</v>
      </c>
      <c r="N1613" s="5">
        <v>17000</v>
      </c>
      <c r="O1613" s="8">
        <f t="shared" si="153"/>
        <v>34100</v>
      </c>
      <c r="P1613" s="2" t="s">
        <v>63</v>
      </c>
      <c r="Q1613" s="10" t="str">
        <f>VLOOKUP(A1613,Status!A:B,2,0)</f>
        <v>Returned</v>
      </c>
      <c r="R1613" s="2" t="s">
        <v>30</v>
      </c>
      <c r="S1613" s="2">
        <v>2</v>
      </c>
      <c r="T1613" s="2" t="s">
        <v>24</v>
      </c>
      <c r="U1613" s="10" t="str">
        <f t="shared" si="155"/>
        <v>Oct</v>
      </c>
      <c r="V1613" s="10">
        <f t="shared" si="154"/>
        <v>2024</v>
      </c>
      <c r="W1613" t="e" cm="1">
        <f t="array" ref="W1613">_xlfn.IFS(U1613="January",1,U1613="February",2,U1613="March",3,U1613="April",4,U1613="May",5,U1613="June",6,U1613="July",7,U1613="August",8,U1613="September",9,U1613="October",10,U1613="November",11,U1613="December",12)</f>
        <v>#N/A</v>
      </c>
    </row>
    <row r="1614" spans="1:23" ht="15.75" customHeight="1" x14ac:dyDescent="0.25">
      <c r="A1614" s="2" t="s">
        <v>401</v>
      </c>
      <c r="B1614" s="3">
        <v>45581.599340277768</v>
      </c>
      <c r="C1614" s="2" t="s">
        <v>402</v>
      </c>
      <c r="D1614" s="2" t="s">
        <v>163</v>
      </c>
      <c r="E1614" s="2" t="s">
        <v>123</v>
      </c>
      <c r="F1614" s="2" t="str" cm="1">
        <f t="array" ref="F1614:G1614">_xlfn.TEXTSPLIT(E1614," - ")</f>
        <v>Telur Ayam</v>
      </c>
      <c r="G1614" s="2" t="str">
        <v>Brand A</v>
      </c>
      <c r="H1614" s="5">
        <v>22000</v>
      </c>
      <c r="I1614" s="2">
        <v>3</v>
      </c>
      <c r="J1614" s="2">
        <v>5</v>
      </c>
      <c r="K1614" s="8">
        <f t="shared" si="150"/>
        <v>66000</v>
      </c>
      <c r="L1614" s="8">
        <f t="shared" si="151"/>
        <v>3300</v>
      </c>
      <c r="M1614" s="8">
        <f t="shared" si="152"/>
        <v>62700</v>
      </c>
      <c r="N1614" s="5">
        <v>50000</v>
      </c>
      <c r="O1614" s="8">
        <f t="shared" si="153"/>
        <v>112700</v>
      </c>
      <c r="P1614" s="2" t="s">
        <v>29</v>
      </c>
      <c r="Q1614" s="10" t="str">
        <f>VLOOKUP(A1614,Status!A:B,2,0)</f>
        <v>Completed</v>
      </c>
      <c r="R1614" s="2" t="s">
        <v>30</v>
      </c>
      <c r="S1614" s="2">
        <v>2</v>
      </c>
      <c r="T1614" s="2" t="s">
        <v>24</v>
      </c>
      <c r="U1614" s="10" t="str">
        <f t="shared" si="155"/>
        <v>Oct</v>
      </c>
      <c r="V1614" s="10">
        <f t="shared" si="154"/>
        <v>2024</v>
      </c>
      <c r="W1614" t="e" cm="1">
        <f t="array" ref="W1614">_xlfn.IFS(U1614="January",1,U1614="February",2,U1614="March",3,U1614="April",4,U1614="May",5,U1614="June",6,U1614="July",7,U1614="August",8,U1614="September",9,U1614="October",10,U1614="November",11,U1614="December",12)</f>
        <v>#N/A</v>
      </c>
    </row>
    <row r="1615" spans="1:23" ht="15.75" customHeight="1" x14ac:dyDescent="0.25">
      <c r="A1615" s="2" t="s">
        <v>403</v>
      </c>
      <c r="B1615" s="3">
        <v>45581.850717592592</v>
      </c>
      <c r="C1615" s="2" t="s">
        <v>404</v>
      </c>
      <c r="D1615" s="2" t="s">
        <v>177</v>
      </c>
      <c r="E1615" s="2" t="s">
        <v>21</v>
      </c>
      <c r="F1615" s="2" t="str" cm="1">
        <f t="array" ref="F1615:G1615">_xlfn.TEXTSPLIT(E1615," - ")</f>
        <v>Daging Ayam</v>
      </c>
      <c r="G1615" s="2" t="str">
        <v>Brand C</v>
      </c>
      <c r="H1615" s="5">
        <v>45000</v>
      </c>
      <c r="I1615" s="2">
        <v>1</v>
      </c>
      <c r="J1615" s="2">
        <v>20</v>
      </c>
      <c r="K1615" s="8">
        <f t="shared" si="150"/>
        <v>45000</v>
      </c>
      <c r="L1615" s="8">
        <f t="shared" si="151"/>
        <v>9000</v>
      </c>
      <c r="M1615" s="8">
        <f t="shared" si="152"/>
        <v>36000</v>
      </c>
      <c r="N1615" s="5">
        <v>56000</v>
      </c>
      <c r="O1615" s="8">
        <f t="shared" si="153"/>
        <v>92000</v>
      </c>
      <c r="P1615" s="2" t="s">
        <v>22</v>
      </c>
      <c r="Q1615" s="10" t="str">
        <f>VLOOKUP(A1615,Status!A:B,2,0)</f>
        <v>Cancelled</v>
      </c>
      <c r="R1615" s="2" t="s">
        <v>82</v>
      </c>
      <c r="S1615" s="2">
        <v>5</v>
      </c>
      <c r="T1615" s="2" t="s">
        <v>37</v>
      </c>
      <c r="U1615" s="10" t="str">
        <f t="shared" si="155"/>
        <v>Oct</v>
      </c>
      <c r="V1615" s="10">
        <f t="shared" si="154"/>
        <v>2024</v>
      </c>
      <c r="W1615" t="e" cm="1">
        <f t="array" ref="W1615">_xlfn.IFS(U1615="January",1,U1615="February",2,U1615="March",3,U1615="April",4,U1615="May",5,U1615="June",6,U1615="July",7,U1615="August",8,U1615="September",9,U1615="October",10,U1615="November",11,U1615="December",12)</f>
        <v>#N/A</v>
      </c>
    </row>
    <row r="1616" spans="1:23" ht="15.75" customHeight="1" x14ac:dyDescent="0.25">
      <c r="A1616" s="2" t="s">
        <v>405</v>
      </c>
      <c r="B1616" s="3">
        <v>45582.04446759259</v>
      </c>
      <c r="C1616" s="2" t="s">
        <v>256</v>
      </c>
      <c r="D1616" s="2" t="s">
        <v>107</v>
      </c>
      <c r="E1616" s="2" t="s">
        <v>144</v>
      </c>
      <c r="F1616" s="2" t="str" cm="1">
        <f t="array" ref="F1616:G1616">_xlfn.TEXTSPLIT(E1616," - ")</f>
        <v>Gula Pasir</v>
      </c>
      <c r="G1616" s="2" t="str">
        <v>Brand C</v>
      </c>
      <c r="H1616" s="5">
        <v>18000</v>
      </c>
      <c r="I1616" s="2">
        <v>2</v>
      </c>
      <c r="J1616" s="2">
        <v>15</v>
      </c>
      <c r="K1616" s="8">
        <f t="shared" si="150"/>
        <v>36000</v>
      </c>
      <c r="L1616" s="8">
        <f t="shared" si="151"/>
        <v>5400</v>
      </c>
      <c r="M1616" s="8">
        <f t="shared" si="152"/>
        <v>30600</v>
      </c>
      <c r="N1616" s="5">
        <v>97000</v>
      </c>
      <c r="O1616" s="8">
        <f t="shared" si="153"/>
        <v>127600</v>
      </c>
      <c r="P1616" s="2" t="s">
        <v>35</v>
      </c>
      <c r="Q1616" s="10" t="str">
        <f>VLOOKUP(A1616,Status!A:B,2,0)</f>
        <v>Completed</v>
      </c>
      <c r="R1616" s="2" t="s">
        <v>82</v>
      </c>
      <c r="S1616" s="2">
        <v>5</v>
      </c>
      <c r="T1616" s="2" t="s">
        <v>24</v>
      </c>
      <c r="U1616" s="10" t="str">
        <f t="shared" si="155"/>
        <v>Oct</v>
      </c>
      <c r="V1616" s="10">
        <f t="shared" si="154"/>
        <v>2024</v>
      </c>
      <c r="W1616" t="e" cm="1">
        <f t="array" ref="W1616">_xlfn.IFS(U1616="January",1,U1616="February",2,U1616="March",3,U1616="April",4,U1616="May",5,U1616="June",6,U1616="July",7,U1616="August",8,U1616="September",9,U1616="October",10,U1616="November",11,U1616="December",12)</f>
        <v>#N/A</v>
      </c>
    </row>
    <row r="1617" spans="1:23" ht="15.75" customHeight="1" x14ac:dyDescent="0.25">
      <c r="A1617" s="2" t="s">
        <v>406</v>
      </c>
      <c r="B1617" s="3">
        <v>45582.439421296287</v>
      </c>
      <c r="C1617" s="2" t="s">
        <v>155</v>
      </c>
      <c r="D1617" s="2" t="s">
        <v>92</v>
      </c>
      <c r="E1617" s="2" t="s">
        <v>123</v>
      </c>
      <c r="F1617" s="2" t="str" cm="1">
        <f t="array" ref="F1617:G1617">_xlfn.TEXTSPLIT(E1617," - ")</f>
        <v>Telur Ayam</v>
      </c>
      <c r="G1617" s="2" t="str">
        <v>Brand A</v>
      </c>
      <c r="H1617" s="5">
        <v>22000</v>
      </c>
      <c r="I1617" s="2">
        <v>2</v>
      </c>
      <c r="J1617" s="2">
        <v>10</v>
      </c>
      <c r="K1617" s="8">
        <f t="shared" si="150"/>
        <v>44000</v>
      </c>
      <c r="L1617" s="8">
        <f t="shared" si="151"/>
        <v>4400</v>
      </c>
      <c r="M1617" s="8">
        <f t="shared" si="152"/>
        <v>39600</v>
      </c>
      <c r="N1617" s="5">
        <v>30000</v>
      </c>
      <c r="O1617" s="8">
        <f t="shared" si="153"/>
        <v>69600</v>
      </c>
      <c r="P1617" s="2" t="s">
        <v>63</v>
      </c>
      <c r="Q1617" s="10" t="str">
        <f>VLOOKUP(A1617,Status!A:B,2,0)</f>
        <v>Completed</v>
      </c>
      <c r="R1617" s="2" t="s">
        <v>30</v>
      </c>
      <c r="S1617" s="2">
        <v>1</v>
      </c>
      <c r="T1617" s="2" t="s">
        <v>24</v>
      </c>
      <c r="U1617" s="10" t="str">
        <f t="shared" si="155"/>
        <v>Oct</v>
      </c>
      <c r="V1617" s="10">
        <f t="shared" si="154"/>
        <v>2024</v>
      </c>
      <c r="W1617" t="e" cm="1">
        <f t="array" ref="W1617">_xlfn.IFS(U1617="January",1,U1617="February",2,U1617="March",3,U1617="April",4,U1617="May",5,U1617="June",6,U1617="July",7,U1617="August",8,U1617="September",9,U1617="October",10,U1617="November",11,U1617="December",12)</f>
        <v>#N/A</v>
      </c>
    </row>
    <row r="1618" spans="1:23" ht="15.75" customHeight="1" x14ac:dyDescent="0.25">
      <c r="A1618" s="2" t="s">
        <v>407</v>
      </c>
      <c r="B1618" s="3">
        <v>45582.465902777767</v>
      </c>
      <c r="C1618" s="2" t="s">
        <v>408</v>
      </c>
      <c r="D1618" s="2" t="s">
        <v>74</v>
      </c>
      <c r="E1618" s="2" t="s">
        <v>104</v>
      </c>
      <c r="F1618" s="2" t="str" cm="1">
        <f t="array" ref="F1618:G1618">_xlfn.TEXTSPLIT(E1618," - ")</f>
        <v>Bawang Merah</v>
      </c>
      <c r="G1618" s="2" t="str">
        <v>Brand A</v>
      </c>
      <c r="H1618" s="5">
        <v>30000</v>
      </c>
      <c r="I1618" s="2">
        <v>1</v>
      </c>
      <c r="J1618" s="2">
        <v>10</v>
      </c>
      <c r="K1618" s="8">
        <f t="shared" si="150"/>
        <v>30000</v>
      </c>
      <c r="L1618" s="8">
        <f t="shared" si="151"/>
        <v>3000</v>
      </c>
      <c r="M1618" s="8">
        <f t="shared" si="152"/>
        <v>27000</v>
      </c>
      <c r="N1618" s="5">
        <v>87000</v>
      </c>
      <c r="O1618" s="8">
        <f t="shared" si="153"/>
        <v>114000</v>
      </c>
      <c r="P1618" s="2" t="s">
        <v>22</v>
      </c>
      <c r="Q1618" s="10" t="str">
        <f>VLOOKUP(A1618,Status!A:B,2,0)</f>
        <v>Completed</v>
      </c>
      <c r="R1618" s="2" t="s">
        <v>36</v>
      </c>
      <c r="S1618" s="2">
        <v>3</v>
      </c>
      <c r="T1618" s="2" t="s">
        <v>24</v>
      </c>
      <c r="U1618" s="10" t="str">
        <f t="shared" si="155"/>
        <v>Oct</v>
      </c>
      <c r="V1618" s="10">
        <f t="shared" si="154"/>
        <v>2024</v>
      </c>
      <c r="W1618" t="e" cm="1">
        <f t="array" ref="W1618">_xlfn.IFS(U1618="January",1,U1618="February",2,U1618="March",3,U1618="April",4,U1618="May",5,U1618="June",6,U1618="July",7,U1618="August",8,U1618="September",9,U1618="October",10,U1618="November",11,U1618="December",12)</f>
        <v>#N/A</v>
      </c>
    </row>
    <row r="1619" spans="1:23" ht="15.75" customHeight="1" x14ac:dyDescent="0.25">
      <c r="A1619" s="2" t="s">
        <v>409</v>
      </c>
      <c r="B1619" s="3">
        <v>45582.85765046296</v>
      </c>
      <c r="C1619" s="2" t="s">
        <v>410</v>
      </c>
      <c r="D1619" s="2" t="s">
        <v>151</v>
      </c>
      <c r="E1619" s="2" t="s">
        <v>190</v>
      </c>
      <c r="F1619" s="2" t="str" cm="1">
        <f t="array" ref="F1619:G1619">_xlfn.TEXTSPLIT(E1619," - ")</f>
        <v>Bawang Merah</v>
      </c>
      <c r="G1619" s="2" t="str">
        <v>Brand B</v>
      </c>
      <c r="H1619" s="5">
        <v>35000</v>
      </c>
      <c r="I1619" s="2">
        <v>4</v>
      </c>
      <c r="J1619" s="2">
        <v>15</v>
      </c>
      <c r="K1619" s="8">
        <f t="shared" si="150"/>
        <v>140000</v>
      </c>
      <c r="L1619" s="8">
        <f t="shared" si="151"/>
        <v>21000</v>
      </c>
      <c r="M1619" s="8">
        <f t="shared" si="152"/>
        <v>119000</v>
      </c>
      <c r="N1619" s="5">
        <v>55000</v>
      </c>
      <c r="O1619" s="8">
        <f t="shared" si="153"/>
        <v>174000</v>
      </c>
      <c r="P1619" s="2" t="s">
        <v>22</v>
      </c>
      <c r="Q1619" s="10" t="str">
        <f>VLOOKUP(A1619,Status!A:B,2,0)</f>
        <v>Completed</v>
      </c>
      <c r="R1619" s="2" t="s">
        <v>82</v>
      </c>
      <c r="S1619" s="2">
        <v>2</v>
      </c>
      <c r="T1619" s="2" t="s">
        <v>24</v>
      </c>
      <c r="U1619" s="10" t="str">
        <f t="shared" si="155"/>
        <v>Oct</v>
      </c>
      <c r="V1619" s="10">
        <f t="shared" si="154"/>
        <v>2024</v>
      </c>
      <c r="W1619" t="e" cm="1">
        <f t="array" ref="W1619">_xlfn.IFS(U1619="January",1,U1619="February",2,U1619="March",3,U1619="April",4,U1619="May",5,U1619="June",6,U1619="July",7,U1619="August",8,U1619="September",9,U1619="October",10,U1619="November",11,U1619="December",12)</f>
        <v>#N/A</v>
      </c>
    </row>
    <row r="1620" spans="1:23" ht="15.75" customHeight="1" x14ac:dyDescent="0.25">
      <c r="A1620" s="2" t="s">
        <v>411</v>
      </c>
      <c r="B1620" s="3">
        <v>45583.083252314813</v>
      </c>
      <c r="C1620" s="2" t="s">
        <v>412</v>
      </c>
      <c r="D1620" s="2" t="s">
        <v>70</v>
      </c>
      <c r="E1620" s="2" t="s">
        <v>21</v>
      </c>
      <c r="F1620" s="2" t="str" cm="1">
        <f t="array" ref="F1620:G1620">_xlfn.TEXTSPLIT(E1620," - ")</f>
        <v>Daging Ayam</v>
      </c>
      <c r="G1620" s="2" t="str">
        <v>Brand C</v>
      </c>
      <c r="H1620" s="5">
        <v>45000</v>
      </c>
      <c r="I1620" s="2">
        <v>5</v>
      </c>
      <c r="J1620" s="2">
        <v>10</v>
      </c>
      <c r="K1620" s="8">
        <f t="shared" si="150"/>
        <v>225000</v>
      </c>
      <c r="L1620" s="8">
        <f t="shared" si="151"/>
        <v>22500</v>
      </c>
      <c r="M1620" s="8">
        <f t="shared" si="152"/>
        <v>202500</v>
      </c>
      <c r="N1620" s="5">
        <v>89000</v>
      </c>
      <c r="O1620" s="8">
        <f t="shared" si="153"/>
        <v>291500</v>
      </c>
      <c r="P1620" s="2" t="s">
        <v>29</v>
      </c>
      <c r="Q1620" s="10" t="str">
        <f>VLOOKUP(A1620,Status!A:B,2,0)</f>
        <v>Completed</v>
      </c>
      <c r="R1620" s="2" t="s">
        <v>30</v>
      </c>
      <c r="S1620" s="2">
        <v>3</v>
      </c>
      <c r="T1620" s="2" t="s">
        <v>24</v>
      </c>
      <c r="U1620" s="10" t="str">
        <f t="shared" si="155"/>
        <v>Oct</v>
      </c>
      <c r="V1620" s="10">
        <f t="shared" si="154"/>
        <v>2024</v>
      </c>
      <c r="W1620" t="e" cm="1">
        <f t="array" ref="W1620">_xlfn.IFS(U1620="January",1,U1620="February",2,U1620="March",3,U1620="April",4,U1620="May",5,U1620="June",6,U1620="July",7,U1620="August",8,U1620="September",9,U1620="October",10,U1620="November",11,U1620="December",12)</f>
        <v>#N/A</v>
      </c>
    </row>
    <row r="1621" spans="1:23" ht="15.75" customHeight="1" x14ac:dyDescent="0.25">
      <c r="A1621" s="2" t="s">
        <v>413</v>
      </c>
      <c r="B1621" s="3">
        <v>45583.400694444441</v>
      </c>
      <c r="C1621" s="2" t="s">
        <v>231</v>
      </c>
      <c r="D1621" s="2" t="s">
        <v>66</v>
      </c>
      <c r="E1621" s="2" t="s">
        <v>190</v>
      </c>
      <c r="F1621" s="2" t="str" cm="1">
        <f t="array" ref="F1621:G1621">_xlfn.TEXTSPLIT(E1621," - ")</f>
        <v>Bawang Merah</v>
      </c>
      <c r="G1621" s="2" t="str">
        <v>Brand B</v>
      </c>
      <c r="H1621" s="5">
        <v>35000</v>
      </c>
      <c r="I1621" s="2">
        <v>1</v>
      </c>
      <c r="J1621" s="2">
        <v>0</v>
      </c>
      <c r="K1621" s="8">
        <f t="shared" si="150"/>
        <v>35000</v>
      </c>
      <c r="L1621" s="8">
        <f t="shared" si="151"/>
        <v>0</v>
      </c>
      <c r="M1621" s="8">
        <f t="shared" si="152"/>
        <v>35000</v>
      </c>
      <c r="N1621" s="5">
        <v>59000</v>
      </c>
      <c r="O1621" s="8">
        <f t="shared" si="153"/>
        <v>94000</v>
      </c>
      <c r="P1621" s="2" t="s">
        <v>29</v>
      </c>
      <c r="Q1621" s="10" t="str">
        <f>VLOOKUP(A1621,Status!A:B,2,0)</f>
        <v>Completed</v>
      </c>
      <c r="R1621" s="2" t="s">
        <v>36</v>
      </c>
      <c r="S1621" s="2">
        <v>1</v>
      </c>
      <c r="T1621" s="2" t="s">
        <v>24</v>
      </c>
      <c r="U1621" s="10" t="str">
        <f t="shared" si="155"/>
        <v>Oct</v>
      </c>
      <c r="V1621" s="10">
        <f t="shared" si="154"/>
        <v>2024</v>
      </c>
      <c r="W1621" t="e" cm="1">
        <f t="array" ref="W1621">_xlfn.IFS(U1621="January",1,U1621="February",2,U1621="March",3,U1621="April",4,U1621="May",5,U1621="June",6,U1621="July",7,U1621="August",8,U1621="September",9,U1621="October",10,U1621="November",11,U1621="December",12)</f>
        <v>#N/A</v>
      </c>
    </row>
    <row r="1622" spans="1:23" ht="15.75" customHeight="1" x14ac:dyDescent="0.25">
      <c r="A1622" s="2" t="s">
        <v>413</v>
      </c>
      <c r="B1622" s="3">
        <v>45583.400694444441</v>
      </c>
      <c r="C1622" s="2" t="s">
        <v>231</v>
      </c>
      <c r="D1622" s="2" t="s">
        <v>66</v>
      </c>
      <c r="E1622" s="2" t="s">
        <v>50</v>
      </c>
      <c r="F1622" s="2" t="str" cm="1">
        <f t="array" ref="F1622:G1622">_xlfn.TEXTSPLIT(E1622," - ")</f>
        <v>Tepung Terigu</v>
      </c>
      <c r="G1622" s="2" t="str">
        <v>Brand C</v>
      </c>
      <c r="H1622" s="5">
        <v>14000</v>
      </c>
      <c r="I1622" s="2">
        <v>3</v>
      </c>
      <c r="J1622" s="2">
        <v>20</v>
      </c>
      <c r="K1622" s="8">
        <f t="shared" si="150"/>
        <v>42000</v>
      </c>
      <c r="L1622" s="8">
        <f t="shared" si="151"/>
        <v>8400</v>
      </c>
      <c r="M1622" s="8">
        <f t="shared" si="152"/>
        <v>33600</v>
      </c>
      <c r="N1622" s="5">
        <v>0</v>
      </c>
      <c r="O1622" s="8">
        <f t="shared" si="153"/>
        <v>33600</v>
      </c>
      <c r="P1622" s="2" t="s">
        <v>29</v>
      </c>
      <c r="Q1622" s="10" t="str">
        <f>VLOOKUP(A1622,Status!A:B,2,0)</f>
        <v>Completed</v>
      </c>
      <c r="R1622" s="2" t="s">
        <v>36</v>
      </c>
      <c r="S1622" s="2">
        <v>1</v>
      </c>
      <c r="T1622" s="2" t="s">
        <v>24</v>
      </c>
      <c r="U1622" s="10" t="str">
        <f t="shared" si="155"/>
        <v>Oct</v>
      </c>
      <c r="V1622" s="10">
        <f t="shared" si="154"/>
        <v>2024</v>
      </c>
      <c r="W1622" t="e" cm="1">
        <f t="array" ref="W1622">_xlfn.IFS(U1622="January",1,U1622="February",2,U1622="March",3,U1622="April",4,U1622="May",5,U1622="June",6,U1622="July",7,U1622="August",8,U1622="September",9,U1622="October",10,U1622="November",11,U1622="December",12)</f>
        <v>#N/A</v>
      </c>
    </row>
    <row r="1623" spans="1:23" ht="15.75" customHeight="1" x14ac:dyDescent="0.25">
      <c r="A1623" s="2" t="s">
        <v>414</v>
      </c>
      <c r="B1623" s="3">
        <v>45583.736875000002</v>
      </c>
      <c r="C1623" s="2" t="s">
        <v>109</v>
      </c>
      <c r="D1623" s="2" t="s">
        <v>49</v>
      </c>
      <c r="E1623" s="2" t="s">
        <v>58</v>
      </c>
      <c r="F1623" s="2" t="str" cm="1">
        <f t="array" ref="F1623:G1623">_xlfn.TEXTSPLIT(E1623," - ")</f>
        <v>Gula Pasir</v>
      </c>
      <c r="G1623" s="2" t="str">
        <v>Brand A</v>
      </c>
      <c r="H1623" s="5">
        <v>16000</v>
      </c>
      <c r="I1623" s="2">
        <v>4</v>
      </c>
      <c r="J1623" s="2">
        <v>10</v>
      </c>
      <c r="K1623" s="8">
        <f t="shared" si="150"/>
        <v>64000</v>
      </c>
      <c r="L1623" s="8">
        <f t="shared" si="151"/>
        <v>6400</v>
      </c>
      <c r="M1623" s="8">
        <f t="shared" si="152"/>
        <v>57600</v>
      </c>
      <c r="N1623" s="5">
        <v>43000</v>
      </c>
      <c r="O1623" s="8">
        <f t="shared" si="153"/>
        <v>100600</v>
      </c>
      <c r="P1623" s="2" t="s">
        <v>29</v>
      </c>
      <c r="Q1623" s="10" t="str">
        <f>VLOOKUP(A1623,Status!A:B,2,0)</f>
        <v>Returned</v>
      </c>
      <c r="R1623" s="2" t="s">
        <v>82</v>
      </c>
      <c r="S1623" s="2">
        <v>4</v>
      </c>
      <c r="T1623" s="2" t="s">
        <v>24</v>
      </c>
      <c r="U1623" s="10" t="str">
        <f t="shared" si="155"/>
        <v>Oct</v>
      </c>
      <c r="V1623" s="10">
        <f t="shared" si="154"/>
        <v>2024</v>
      </c>
      <c r="W1623" t="e" cm="1">
        <f t="array" ref="W1623">_xlfn.IFS(U1623="January",1,U1623="February",2,U1623="March",3,U1623="April",4,U1623="May",5,U1623="June",6,U1623="July",7,U1623="August",8,U1623="September",9,U1623="October",10,U1623="November",11,U1623="December",12)</f>
        <v>#N/A</v>
      </c>
    </row>
    <row r="1624" spans="1:23" ht="15.75" customHeight="1" x14ac:dyDescent="0.25">
      <c r="A1624" s="2" t="s">
        <v>415</v>
      </c>
      <c r="B1624" s="3">
        <v>45583.761122685188</v>
      </c>
      <c r="C1624" s="2" t="s">
        <v>416</v>
      </c>
      <c r="D1624" s="2" t="s">
        <v>131</v>
      </c>
      <c r="E1624" s="2" t="s">
        <v>45</v>
      </c>
      <c r="F1624" s="2" t="str" cm="1">
        <f t="array" ref="F1624:G1624">_xlfn.TEXTSPLIT(E1624," - ")</f>
        <v>Daging Ayam</v>
      </c>
      <c r="G1624" s="2" t="str">
        <v>Brand B</v>
      </c>
      <c r="H1624" s="5">
        <v>40000</v>
      </c>
      <c r="I1624" s="2">
        <v>1</v>
      </c>
      <c r="J1624" s="2">
        <v>20</v>
      </c>
      <c r="K1624" s="8">
        <f t="shared" si="150"/>
        <v>40000</v>
      </c>
      <c r="L1624" s="8">
        <f t="shared" si="151"/>
        <v>8000</v>
      </c>
      <c r="M1624" s="8">
        <f t="shared" si="152"/>
        <v>32000</v>
      </c>
      <c r="N1624" s="5">
        <v>59000</v>
      </c>
      <c r="O1624" s="8">
        <f t="shared" si="153"/>
        <v>91000</v>
      </c>
      <c r="P1624" s="2" t="s">
        <v>35</v>
      </c>
      <c r="Q1624" s="10" t="str">
        <f>VLOOKUP(A1624,Status!A:B,2,0)</f>
        <v>Completed</v>
      </c>
      <c r="R1624" s="2" t="s">
        <v>82</v>
      </c>
      <c r="S1624" s="2">
        <v>2</v>
      </c>
      <c r="T1624" s="2" t="s">
        <v>24</v>
      </c>
      <c r="U1624" s="10" t="str">
        <f t="shared" si="155"/>
        <v>Oct</v>
      </c>
      <c r="V1624" s="10">
        <f t="shared" si="154"/>
        <v>2024</v>
      </c>
      <c r="W1624" t="e" cm="1">
        <f t="array" ref="W1624">_xlfn.IFS(U1624="January",1,U1624="February",2,U1624="March",3,U1624="April",4,U1624="May",5,U1624="June",6,U1624="July",7,U1624="August",8,U1624="September",9,U1624="October",10,U1624="November",11,U1624="December",12)</f>
        <v>#N/A</v>
      </c>
    </row>
    <row r="1625" spans="1:23" ht="15.75" customHeight="1" x14ac:dyDescent="0.25">
      <c r="A1625" s="2" t="s">
        <v>417</v>
      </c>
      <c r="B1625" s="3">
        <v>45583.808518518519</v>
      </c>
      <c r="C1625" s="2" t="s">
        <v>273</v>
      </c>
      <c r="D1625" s="2" t="s">
        <v>195</v>
      </c>
      <c r="E1625" s="2" t="s">
        <v>104</v>
      </c>
      <c r="F1625" s="2" t="str" cm="1">
        <f t="array" ref="F1625:G1625">_xlfn.TEXTSPLIT(E1625," - ")</f>
        <v>Bawang Merah</v>
      </c>
      <c r="G1625" s="2" t="str">
        <v>Brand A</v>
      </c>
      <c r="H1625" s="5">
        <v>30000</v>
      </c>
      <c r="I1625" s="2">
        <v>1</v>
      </c>
      <c r="J1625" s="2">
        <v>20</v>
      </c>
      <c r="K1625" s="8">
        <f t="shared" si="150"/>
        <v>30000</v>
      </c>
      <c r="L1625" s="8">
        <f t="shared" si="151"/>
        <v>6000</v>
      </c>
      <c r="M1625" s="8">
        <f t="shared" si="152"/>
        <v>24000</v>
      </c>
      <c r="N1625" s="5">
        <v>87000</v>
      </c>
      <c r="O1625" s="8">
        <f t="shared" si="153"/>
        <v>111000</v>
      </c>
      <c r="P1625" s="2" t="s">
        <v>29</v>
      </c>
      <c r="Q1625" s="10" t="str">
        <f>VLOOKUP(A1625,Status!A:B,2,0)</f>
        <v>Completed</v>
      </c>
      <c r="R1625" s="2" t="s">
        <v>30</v>
      </c>
      <c r="S1625" s="2">
        <v>2</v>
      </c>
      <c r="T1625" s="2" t="s">
        <v>24</v>
      </c>
      <c r="U1625" s="10" t="str">
        <f t="shared" si="155"/>
        <v>Oct</v>
      </c>
      <c r="V1625" s="10">
        <f t="shared" si="154"/>
        <v>2024</v>
      </c>
      <c r="W1625" t="e" cm="1">
        <f t="array" ref="W1625">_xlfn.IFS(U1625="January",1,U1625="February",2,U1625="March",3,U1625="April",4,U1625="May",5,U1625="June",6,U1625="July",7,U1625="August",8,U1625="September",9,U1625="October",10,U1625="November",11,U1625="December",12)</f>
        <v>#N/A</v>
      </c>
    </row>
    <row r="1626" spans="1:23" ht="15.75" customHeight="1" x14ac:dyDescent="0.25">
      <c r="A1626" s="2" t="s">
        <v>418</v>
      </c>
      <c r="B1626" s="3">
        <v>45584.355254629627</v>
      </c>
      <c r="C1626" s="2" t="s">
        <v>419</v>
      </c>
      <c r="D1626" s="2" t="s">
        <v>103</v>
      </c>
      <c r="E1626" s="2" t="s">
        <v>28</v>
      </c>
      <c r="F1626" s="2" t="str" cm="1">
        <f t="array" ref="F1626:G1626">_xlfn.TEXTSPLIT(E1626," - ")</f>
        <v>Garam</v>
      </c>
      <c r="G1626" s="2" t="str">
        <v>Brand B</v>
      </c>
      <c r="H1626" s="5">
        <v>5000</v>
      </c>
      <c r="I1626" s="2">
        <v>3</v>
      </c>
      <c r="J1626" s="2">
        <v>10</v>
      </c>
      <c r="K1626" s="8">
        <f t="shared" si="150"/>
        <v>15000</v>
      </c>
      <c r="L1626" s="8">
        <f t="shared" si="151"/>
        <v>1500</v>
      </c>
      <c r="M1626" s="8">
        <f t="shared" si="152"/>
        <v>13500</v>
      </c>
      <c r="N1626" s="5">
        <v>85000</v>
      </c>
      <c r="O1626" s="8">
        <f t="shared" si="153"/>
        <v>98500</v>
      </c>
      <c r="P1626" s="2" t="s">
        <v>63</v>
      </c>
      <c r="Q1626" s="10" t="str">
        <f>VLOOKUP(A1626,Status!A:B,2,0)</f>
        <v>Returned</v>
      </c>
      <c r="R1626" s="2" t="s">
        <v>23</v>
      </c>
      <c r="S1626" s="2">
        <v>5</v>
      </c>
      <c r="T1626" s="2" t="s">
        <v>37</v>
      </c>
      <c r="U1626" s="10" t="str">
        <f t="shared" si="155"/>
        <v>Oct</v>
      </c>
      <c r="V1626" s="10">
        <f t="shared" si="154"/>
        <v>2024</v>
      </c>
      <c r="W1626" t="e" cm="1">
        <f t="array" ref="W1626">_xlfn.IFS(U1626="January",1,U1626="February",2,U1626="March",3,U1626="April",4,U1626="May",5,U1626="June",6,U1626="July",7,U1626="August",8,U1626="September",9,U1626="October",10,U1626="November",11,U1626="December",12)</f>
        <v>#N/A</v>
      </c>
    </row>
    <row r="1627" spans="1:23" ht="15.75" customHeight="1" x14ac:dyDescent="0.25">
      <c r="A1627" s="2" t="s">
        <v>420</v>
      </c>
      <c r="B1627" s="3">
        <v>45584.36681712963</v>
      </c>
      <c r="C1627" s="2" t="s">
        <v>421</v>
      </c>
      <c r="D1627" s="2" t="s">
        <v>103</v>
      </c>
      <c r="E1627" s="2" t="s">
        <v>34</v>
      </c>
      <c r="F1627" s="2" t="str" cm="1">
        <f t="array" ref="F1627:G1627">_xlfn.TEXTSPLIT(E1627," - ")</f>
        <v>Minyak Goreng</v>
      </c>
      <c r="G1627" s="2" t="str">
        <v>Brand A</v>
      </c>
      <c r="H1627" s="5">
        <v>16000</v>
      </c>
      <c r="I1627" s="2">
        <v>4</v>
      </c>
      <c r="J1627" s="2">
        <v>0</v>
      </c>
      <c r="K1627" s="8">
        <f t="shared" si="150"/>
        <v>64000</v>
      </c>
      <c r="L1627" s="8">
        <f t="shared" si="151"/>
        <v>0</v>
      </c>
      <c r="M1627" s="8">
        <f t="shared" si="152"/>
        <v>64000</v>
      </c>
      <c r="N1627" s="5">
        <v>85000</v>
      </c>
      <c r="O1627" s="8">
        <f t="shared" si="153"/>
        <v>149000</v>
      </c>
      <c r="P1627" s="2" t="s">
        <v>22</v>
      </c>
      <c r="Q1627" s="10" t="str">
        <f>VLOOKUP(A1627,Status!A:B,2,0)</f>
        <v>Completed</v>
      </c>
      <c r="R1627" s="2" t="s">
        <v>46</v>
      </c>
      <c r="S1627" s="2">
        <v>3</v>
      </c>
      <c r="T1627" s="2" t="s">
        <v>24</v>
      </c>
      <c r="U1627" s="10" t="str">
        <f t="shared" si="155"/>
        <v>Oct</v>
      </c>
      <c r="V1627" s="10">
        <f t="shared" si="154"/>
        <v>2024</v>
      </c>
      <c r="W1627" t="e" cm="1">
        <f t="array" ref="W1627">_xlfn.IFS(U1627="January",1,U1627="February",2,U1627="March",3,U1627="April",4,U1627="May",5,U1627="June",6,U1627="July",7,U1627="August",8,U1627="September",9,U1627="October",10,U1627="November",11,U1627="December",12)</f>
        <v>#N/A</v>
      </c>
    </row>
    <row r="1628" spans="1:23" ht="15.75" customHeight="1" x14ac:dyDescent="0.25">
      <c r="A1628" s="2" t="s">
        <v>422</v>
      </c>
      <c r="B1628" s="3">
        <v>45584.417337962957</v>
      </c>
      <c r="C1628" s="2" t="s">
        <v>309</v>
      </c>
      <c r="D1628" s="2" t="s">
        <v>107</v>
      </c>
      <c r="E1628" s="2" t="s">
        <v>54</v>
      </c>
      <c r="F1628" s="2" t="str" cm="1">
        <f t="array" ref="F1628:G1628">_xlfn.TEXTSPLIT(E1628," - ")</f>
        <v>Beras</v>
      </c>
      <c r="G1628" s="2" t="str">
        <v>Brand C</v>
      </c>
      <c r="H1628" s="5">
        <v>16000</v>
      </c>
      <c r="I1628" s="2">
        <v>2</v>
      </c>
      <c r="J1628" s="2">
        <v>10</v>
      </c>
      <c r="K1628" s="8">
        <f t="shared" si="150"/>
        <v>32000</v>
      </c>
      <c r="L1628" s="8">
        <f t="shared" si="151"/>
        <v>3200</v>
      </c>
      <c r="M1628" s="8">
        <f t="shared" si="152"/>
        <v>28800</v>
      </c>
      <c r="N1628" s="5">
        <v>97000</v>
      </c>
      <c r="O1628" s="8">
        <f t="shared" si="153"/>
        <v>125800</v>
      </c>
      <c r="P1628" s="2" t="s">
        <v>63</v>
      </c>
      <c r="Q1628" s="10" t="str">
        <f>VLOOKUP(A1628,Status!A:B,2,0)</f>
        <v>Returned</v>
      </c>
      <c r="R1628" s="2" t="s">
        <v>46</v>
      </c>
      <c r="S1628" s="2">
        <v>4</v>
      </c>
      <c r="T1628" s="2" t="s">
        <v>37</v>
      </c>
      <c r="U1628" s="10" t="str">
        <f t="shared" si="155"/>
        <v>Oct</v>
      </c>
      <c r="V1628" s="10">
        <f t="shared" si="154"/>
        <v>2024</v>
      </c>
      <c r="W1628" t="e" cm="1">
        <f t="array" ref="W1628">_xlfn.IFS(U1628="January",1,U1628="February",2,U1628="March",3,U1628="April",4,U1628="May",5,U1628="June",6,U1628="July",7,U1628="August",8,U1628="September",9,U1628="October",10,U1628="November",11,U1628="December",12)</f>
        <v>#N/A</v>
      </c>
    </row>
    <row r="1629" spans="1:23" ht="15.75" customHeight="1" x14ac:dyDescent="0.25">
      <c r="A1629" s="2" t="s">
        <v>423</v>
      </c>
      <c r="B1629" s="3">
        <v>45584.532777777778</v>
      </c>
      <c r="C1629" s="2" t="s">
        <v>155</v>
      </c>
      <c r="D1629" s="2" t="s">
        <v>92</v>
      </c>
      <c r="E1629" s="2" t="s">
        <v>190</v>
      </c>
      <c r="F1629" s="2" t="str" cm="1">
        <f t="array" ref="F1629:G1629">_xlfn.TEXTSPLIT(E1629," - ")</f>
        <v>Bawang Merah</v>
      </c>
      <c r="G1629" s="2" t="str">
        <v>Brand B</v>
      </c>
      <c r="H1629" s="5">
        <v>35000</v>
      </c>
      <c r="I1629" s="2">
        <v>2</v>
      </c>
      <c r="J1629" s="2">
        <v>10</v>
      </c>
      <c r="K1629" s="8">
        <f t="shared" si="150"/>
        <v>70000</v>
      </c>
      <c r="L1629" s="8">
        <f t="shared" si="151"/>
        <v>7000</v>
      </c>
      <c r="M1629" s="8">
        <f t="shared" si="152"/>
        <v>63000</v>
      </c>
      <c r="N1629" s="5">
        <v>30000</v>
      </c>
      <c r="O1629" s="8">
        <f t="shared" si="153"/>
        <v>93000</v>
      </c>
      <c r="P1629" s="2" t="s">
        <v>35</v>
      </c>
      <c r="Q1629" s="10" t="str">
        <f>VLOOKUP(A1629,Status!A:B,2,0)</f>
        <v>Completed</v>
      </c>
      <c r="R1629" s="2" t="s">
        <v>82</v>
      </c>
      <c r="S1629" s="2">
        <v>5</v>
      </c>
      <c r="T1629" s="2" t="s">
        <v>24</v>
      </c>
      <c r="U1629" s="10" t="str">
        <f t="shared" si="155"/>
        <v>Oct</v>
      </c>
      <c r="V1629" s="10">
        <f t="shared" si="154"/>
        <v>2024</v>
      </c>
      <c r="W1629" t="e" cm="1">
        <f t="array" ref="W1629">_xlfn.IFS(U1629="January",1,U1629="February",2,U1629="March",3,U1629="April",4,U1629="May",5,U1629="June",6,U1629="July",7,U1629="August",8,U1629="September",9,U1629="October",10,U1629="November",11,U1629="December",12)</f>
        <v>#N/A</v>
      </c>
    </row>
    <row r="1630" spans="1:23" ht="15.75" customHeight="1" x14ac:dyDescent="0.25">
      <c r="A1630" s="2" t="s">
        <v>424</v>
      </c>
      <c r="B1630" s="3">
        <v>45584.6871875</v>
      </c>
      <c r="C1630" s="2" t="s">
        <v>425</v>
      </c>
      <c r="D1630" s="2" t="s">
        <v>44</v>
      </c>
      <c r="E1630" s="2" t="s">
        <v>67</v>
      </c>
      <c r="F1630" s="2" t="str" cm="1">
        <f t="array" ref="F1630:G1630">_xlfn.TEXTSPLIT(E1630," - ")</f>
        <v>Beras</v>
      </c>
      <c r="G1630" s="2" t="str">
        <v>Brand B</v>
      </c>
      <c r="H1630" s="5">
        <v>15000</v>
      </c>
      <c r="I1630" s="2">
        <v>3</v>
      </c>
      <c r="J1630" s="2">
        <v>0</v>
      </c>
      <c r="K1630" s="8">
        <f t="shared" si="150"/>
        <v>45000</v>
      </c>
      <c r="L1630" s="8">
        <f t="shared" si="151"/>
        <v>0</v>
      </c>
      <c r="M1630" s="8">
        <f t="shared" si="152"/>
        <v>45000</v>
      </c>
      <c r="N1630" s="5">
        <v>93000</v>
      </c>
      <c r="O1630" s="8">
        <f t="shared" si="153"/>
        <v>138000</v>
      </c>
      <c r="P1630" s="2" t="s">
        <v>63</v>
      </c>
      <c r="Q1630" s="10" t="str">
        <f>VLOOKUP(A1630,Status!A:B,2,0)</f>
        <v>Cancelled</v>
      </c>
      <c r="R1630" s="2" t="s">
        <v>23</v>
      </c>
      <c r="S1630" s="2">
        <v>2</v>
      </c>
      <c r="T1630" s="2" t="s">
        <v>37</v>
      </c>
      <c r="U1630" s="10" t="str">
        <f t="shared" si="155"/>
        <v>Oct</v>
      </c>
      <c r="V1630" s="10">
        <f t="shared" si="154"/>
        <v>2024</v>
      </c>
      <c r="W1630" t="e" cm="1">
        <f t="array" ref="W1630">_xlfn.IFS(U1630="January",1,U1630="February",2,U1630="March",3,U1630="April",4,U1630="May",5,U1630="June",6,U1630="July",7,U1630="August",8,U1630="September",9,U1630="October",10,U1630="November",11,U1630="December",12)</f>
        <v>#N/A</v>
      </c>
    </row>
    <row r="1631" spans="1:23" ht="15.75" customHeight="1" x14ac:dyDescent="0.25">
      <c r="A1631" s="2" t="s">
        <v>426</v>
      </c>
      <c r="B1631" s="3">
        <v>45585.006365740737</v>
      </c>
      <c r="C1631" s="2" t="s">
        <v>427</v>
      </c>
      <c r="D1631" s="2" t="s">
        <v>103</v>
      </c>
      <c r="E1631" s="2" t="s">
        <v>138</v>
      </c>
      <c r="F1631" s="2" t="str" cm="1">
        <f t="array" ref="F1631:G1631">_xlfn.TEXTSPLIT(E1631," - ")</f>
        <v>Gula Pasir</v>
      </c>
      <c r="G1631" s="2" t="str">
        <v>Brand B</v>
      </c>
      <c r="H1631" s="5">
        <v>17000</v>
      </c>
      <c r="I1631" s="2">
        <v>1</v>
      </c>
      <c r="J1631" s="2">
        <v>0</v>
      </c>
      <c r="K1631" s="8">
        <f t="shared" si="150"/>
        <v>17000</v>
      </c>
      <c r="L1631" s="8">
        <f t="shared" si="151"/>
        <v>0</v>
      </c>
      <c r="M1631" s="8">
        <f t="shared" si="152"/>
        <v>17000</v>
      </c>
      <c r="N1631" s="5">
        <v>85000</v>
      </c>
      <c r="O1631" s="8">
        <f t="shared" si="153"/>
        <v>102000</v>
      </c>
      <c r="P1631" s="2" t="s">
        <v>22</v>
      </c>
      <c r="Q1631" s="10" t="str">
        <f>VLOOKUP(A1631,Status!A:B,2,0)</f>
        <v>Completed</v>
      </c>
      <c r="R1631" s="2" t="s">
        <v>36</v>
      </c>
      <c r="S1631" s="2">
        <v>1</v>
      </c>
      <c r="T1631" s="2" t="s">
        <v>24</v>
      </c>
      <c r="U1631" s="10" t="str">
        <f t="shared" si="155"/>
        <v>Oct</v>
      </c>
      <c r="V1631" s="10">
        <f t="shared" si="154"/>
        <v>2024</v>
      </c>
      <c r="W1631" t="e" cm="1">
        <f t="array" ref="W1631">_xlfn.IFS(U1631="January",1,U1631="February",2,U1631="March",3,U1631="April",4,U1631="May",5,U1631="June",6,U1631="July",7,U1631="August",8,U1631="September",9,U1631="October",10,U1631="November",11,U1631="December",12)</f>
        <v>#N/A</v>
      </c>
    </row>
    <row r="1632" spans="1:23" ht="15.75" customHeight="1" x14ac:dyDescent="0.25">
      <c r="A1632" s="2" t="s">
        <v>428</v>
      </c>
      <c r="B1632" s="3">
        <v>45585.27239583333</v>
      </c>
      <c r="C1632" s="2" t="s">
        <v>429</v>
      </c>
      <c r="D1632" s="2" t="s">
        <v>177</v>
      </c>
      <c r="E1632" s="2" t="s">
        <v>190</v>
      </c>
      <c r="F1632" s="2" t="str" cm="1">
        <f t="array" ref="F1632:G1632">_xlfn.TEXTSPLIT(E1632," - ")</f>
        <v>Bawang Merah</v>
      </c>
      <c r="G1632" s="2" t="str">
        <v>Brand B</v>
      </c>
      <c r="H1632" s="5">
        <v>35000</v>
      </c>
      <c r="I1632" s="2">
        <v>2</v>
      </c>
      <c r="J1632" s="2">
        <v>10</v>
      </c>
      <c r="K1632" s="8">
        <f t="shared" si="150"/>
        <v>70000</v>
      </c>
      <c r="L1632" s="8">
        <f t="shared" si="151"/>
        <v>7000</v>
      </c>
      <c r="M1632" s="8">
        <f t="shared" si="152"/>
        <v>63000</v>
      </c>
      <c r="N1632" s="5">
        <v>56000</v>
      </c>
      <c r="O1632" s="8">
        <f t="shared" si="153"/>
        <v>119000</v>
      </c>
      <c r="P1632" s="2" t="s">
        <v>35</v>
      </c>
      <c r="Q1632" s="10" t="str">
        <f>VLOOKUP(A1632,Status!A:B,2,0)</f>
        <v>Returned</v>
      </c>
      <c r="R1632" s="2" t="s">
        <v>46</v>
      </c>
      <c r="S1632" s="2">
        <v>4</v>
      </c>
      <c r="T1632" s="2" t="s">
        <v>37</v>
      </c>
      <c r="U1632" s="10" t="str">
        <f t="shared" si="155"/>
        <v>Oct</v>
      </c>
      <c r="V1632" s="10">
        <f t="shared" si="154"/>
        <v>2024</v>
      </c>
      <c r="W1632" t="e" cm="1">
        <f t="array" ref="W1632">_xlfn.IFS(U1632="January",1,U1632="February",2,U1632="March",3,U1632="April",4,U1632="May",5,U1632="June",6,U1632="July",7,U1632="August",8,U1632="September",9,U1632="October",10,U1632="November",11,U1632="December",12)</f>
        <v>#N/A</v>
      </c>
    </row>
    <row r="1633" spans="1:23" ht="15.75" customHeight="1" x14ac:dyDescent="0.25">
      <c r="A1633" s="2" t="s">
        <v>430</v>
      </c>
      <c r="B1633" s="3">
        <v>45585.31559027778</v>
      </c>
      <c r="C1633" s="2" t="s">
        <v>431</v>
      </c>
      <c r="D1633" s="2" t="s">
        <v>33</v>
      </c>
      <c r="E1633" s="2" t="s">
        <v>104</v>
      </c>
      <c r="F1633" s="2" t="str" cm="1">
        <f t="array" ref="F1633:G1633">_xlfn.TEXTSPLIT(E1633," - ")</f>
        <v>Bawang Merah</v>
      </c>
      <c r="G1633" s="2" t="str">
        <v>Brand A</v>
      </c>
      <c r="H1633" s="5">
        <v>30000</v>
      </c>
      <c r="I1633" s="2">
        <v>3</v>
      </c>
      <c r="J1633" s="2">
        <v>5</v>
      </c>
      <c r="K1633" s="8">
        <f t="shared" si="150"/>
        <v>90000</v>
      </c>
      <c r="L1633" s="8">
        <f t="shared" si="151"/>
        <v>4500</v>
      </c>
      <c r="M1633" s="8">
        <f t="shared" si="152"/>
        <v>85500</v>
      </c>
      <c r="N1633" s="5">
        <v>76000</v>
      </c>
      <c r="O1633" s="8">
        <f t="shared" si="153"/>
        <v>161500</v>
      </c>
      <c r="P1633" s="2" t="s">
        <v>29</v>
      </c>
      <c r="Q1633" s="10" t="str">
        <f>VLOOKUP(A1633,Status!A:B,2,0)</f>
        <v>Returned</v>
      </c>
      <c r="R1633" s="2" t="s">
        <v>82</v>
      </c>
      <c r="S1633" s="2">
        <v>1</v>
      </c>
      <c r="T1633" s="2" t="s">
        <v>24</v>
      </c>
      <c r="U1633" s="10" t="str">
        <f t="shared" si="155"/>
        <v>Oct</v>
      </c>
      <c r="V1633" s="10">
        <f t="shared" si="154"/>
        <v>2024</v>
      </c>
      <c r="W1633" t="e" cm="1">
        <f t="array" ref="W1633">_xlfn.IFS(U1633="January",1,U1633="February",2,U1633="March",3,U1633="April",4,U1633="May",5,U1633="June",6,U1633="July",7,U1633="August",8,U1633="September",9,U1633="October",10,U1633="November",11,U1633="December",12)</f>
        <v>#N/A</v>
      </c>
    </row>
    <row r="1634" spans="1:23" ht="15.75" customHeight="1" x14ac:dyDescent="0.25">
      <c r="A1634" s="2" t="s">
        <v>430</v>
      </c>
      <c r="B1634" s="3">
        <v>45585.31559027778</v>
      </c>
      <c r="C1634" s="2" t="s">
        <v>431</v>
      </c>
      <c r="D1634" s="2" t="s">
        <v>33</v>
      </c>
      <c r="E1634" s="2" t="s">
        <v>144</v>
      </c>
      <c r="F1634" s="2" t="str" cm="1">
        <f t="array" ref="F1634:G1634">_xlfn.TEXTSPLIT(E1634," - ")</f>
        <v>Gula Pasir</v>
      </c>
      <c r="G1634" s="2" t="str">
        <v>Brand C</v>
      </c>
      <c r="H1634" s="5">
        <v>18000</v>
      </c>
      <c r="I1634" s="2">
        <v>2</v>
      </c>
      <c r="J1634" s="2">
        <v>10</v>
      </c>
      <c r="K1634" s="8">
        <f t="shared" si="150"/>
        <v>36000</v>
      </c>
      <c r="L1634" s="8">
        <f t="shared" si="151"/>
        <v>3600</v>
      </c>
      <c r="M1634" s="8">
        <f t="shared" si="152"/>
        <v>32400</v>
      </c>
      <c r="N1634" s="5">
        <v>0</v>
      </c>
      <c r="O1634" s="8">
        <f t="shared" si="153"/>
        <v>32400</v>
      </c>
      <c r="P1634" s="2" t="s">
        <v>29</v>
      </c>
      <c r="Q1634" s="10" t="str">
        <f>VLOOKUP(A1634,Status!A:B,2,0)</f>
        <v>Returned</v>
      </c>
      <c r="R1634" s="2" t="s">
        <v>82</v>
      </c>
      <c r="S1634" s="2">
        <v>1</v>
      </c>
      <c r="T1634" s="2" t="s">
        <v>24</v>
      </c>
      <c r="U1634" s="10" t="str">
        <f t="shared" si="155"/>
        <v>Oct</v>
      </c>
      <c r="V1634" s="10">
        <f t="shared" si="154"/>
        <v>2024</v>
      </c>
      <c r="W1634" t="e" cm="1">
        <f t="array" ref="W1634">_xlfn.IFS(U1634="January",1,U1634="February",2,U1634="March",3,U1634="April",4,U1634="May",5,U1634="June",6,U1634="July",7,U1634="August",8,U1634="September",9,U1634="October",10,U1634="November",11,U1634="December",12)</f>
        <v>#N/A</v>
      </c>
    </row>
    <row r="1635" spans="1:23" ht="15.75" customHeight="1" x14ac:dyDescent="0.25">
      <c r="A1635" s="2" t="s">
        <v>432</v>
      </c>
      <c r="B1635" s="3">
        <v>45585.430104166669</v>
      </c>
      <c r="C1635" s="2" t="s">
        <v>265</v>
      </c>
      <c r="D1635" s="2" t="s">
        <v>119</v>
      </c>
      <c r="E1635" s="2" t="s">
        <v>45</v>
      </c>
      <c r="F1635" s="2" t="str" cm="1">
        <f t="array" ref="F1635:G1635">_xlfn.TEXTSPLIT(E1635," - ")</f>
        <v>Daging Ayam</v>
      </c>
      <c r="G1635" s="2" t="str">
        <v>Brand B</v>
      </c>
      <c r="H1635" s="5">
        <v>40000</v>
      </c>
      <c r="I1635" s="2">
        <v>5</v>
      </c>
      <c r="J1635" s="2">
        <v>15</v>
      </c>
      <c r="K1635" s="8">
        <f t="shared" si="150"/>
        <v>200000</v>
      </c>
      <c r="L1635" s="8">
        <f t="shared" si="151"/>
        <v>30000</v>
      </c>
      <c r="M1635" s="8">
        <f t="shared" si="152"/>
        <v>170000</v>
      </c>
      <c r="N1635" s="5">
        <v>0</v>
      </c>
      <c r="O1635" s="8">
        <f t="shared" si="153"/>
        <v>170000</v>
      </c>
      <c r="P1635" s="2" t="s">
        <v>29</v>
      </c>
      <c r="Q1635" s="10" t="str">
        <f>VLOOKUP(A1635,Status!A:B,2,0)</f>
        <v>Returned</v>
      </c>
      <c r="R1635" s="2" t="s">
        <v>46</v>
      </c>
      <c r="S1635" s="2">
        <v>2</v>
      </c>
      <c r="T1635" s="2" t="s">
        <v>24</v>
      </c>
      <c r="U1635" s="10" t="str">
        <f t="shared" si="155"/>
        <v>Oct</v>
      </c>
      <c r="V1635" s="10">
        <f t="shared" si="154"/>
        <v>2024</v>
      </c>
      <c r="W1635" t="e" cm="1">
        <f t="array" ref="W1635">_xlfn.IFS(U1635="January",1,U1635="February",2,U1635="March",3,U1635="April",4,U1635="May",5,U1635="June",6,U1635="July",7,U1635="August",8,U1635="September",9,U1635="October",10,U1635="November",11,U1635="December",12)</f>
        <v>#N/A</v>
      </c>
    </row>
    <row r="1636" spans="1:23" ht="15.75" customHeight="1" x14ac:dyDescent="0.25">
      <c r="A1636" s="2" t="s">
        <v>433</v>
      </c>
      <c r="B1636" s="3">
        <v>45586.347326388888</v>
      </c>
      <c r="C1636" s="2" t="s">
        <v>434</v>
      </c>
      <c r="D1636" s="2" t="s">
        <v>435</v>
      </c>
      <c r="E1636" s="2" t="s">
        <v>138</v>
      </c>
      <c r="F1636" s="2" t="str" cm="1">
        <f t="array" ref="F1636:G1636">_xlfn.TEXTSPLIT(E1636," - ")</f>
        <v>Gula Pasir</v>
      </c>
      <c r="G1636" s="2" t="str">
        <v>Brand B</v>
      </c>
      <c r="H1636" s="5">
        <v>17000</v>
      </c>
      <c r="I1636" s="2">
        <v>2</v>
      </c>
      <c r="J1636" s="2">
        <v>20</v>
      </c>
      <c r="K1636" s="8">
        <f t="shared" si="150"/>
        <v>34000</v>
      </c>
      <c r="L1636" s="8">
        <f t="shared" si="151"/>
        <v>6800</v>
      </c>
      <c r="M1636" s="8">
        <f t="shared" si="152"/>
        <v>27200</v>
      </c>
      <c r="N1636" s="5">
        <v>67000</v>
      </c>
      <c r="O1636" s="8">
        <f t="shared" si="153"/>
        <v>94200</v>
      </c>
      <c r="P1636" s="2" t="s">
        <v>29</v>
      </c>
      <c r="Q1636" s="10" t="str">
        <f>VLOOKUP(A1636,Status!A:B,2,0)</f>
        <v>Returned</v>
      </c>
      <c r="R1636" s="2" t="s">
        <v>46</v>
      </c>
      <c r="S1636" s="2">
        <v>4</v>
      </c>
      <c r="T1636" s="2" t="s">
        <v>24</v>
      </c>
      <c r="U1636" s="10" t="str">
        <f t="shared" si="155"/>
        <v>Oct</v>
      </c>
      <c r="V1636" s="10">
        <f t="shared" si="154"/>
        <v>2024</v>
      </c>
      <c r="W1636" t="e" cm="1">
        <f t="array" ref="W1636">_xlfn.IFS(U1636="January",1,U1636="February",2,U1636="March",3,U1636="April",4,U1636="May",5,U1636="June",6,U1636="July",7,U1636="August",8,U1636="September",9,U1636="October",10,U1636="November",11,U1636="December",12)</f>
        <v>#N/A</v>
      </c>
    </row>
    <row r="1637" spans="1:23" ht="15.75" customHeight="1" x14ac:dyDescent="0.25">
      <c r="A1637" s="2" t="s">
        <v>436</v>
      </c>
      <c r="B1637" s="3">
        <v>45586.38616898148</v>
      </c>
      <c r="C1637" s="2" t="s">
        <v>437</v>
      </c>
      <c r="D1637" s="2" t="s">
        <v>375</v>
      </c>
      <c r="E1637" s="2" t="s">
        <v>45</v>
      </c>
      <c r="F1637" s="2" t="str" cm="1">
        <f t="array" ref="F1637:G1637">_xlfn.TEXTSPLIT(E1637," - ")</f>
        <v>Daging Ayam</v>
      </c>
      <c r="G1637" s="2" t="str">
        <v>Brand B</v>
      </c>
      <c r="H1637" s="5">
        <v>40000</v>
      </c>
      <c r="I1637" s="2">
        <v>3</v>
      </c>
      <c r="J1637" s="2">
        <v>5</v>
      </c>
      <c r="K1637" s="8">
        <f t="shared" si="150"/>
        <v>120000</v>
      </c>
      <c r="L1637" s="8">
        <f t="shared" si="151"/>
        <v>6000</v>
      </c>
      <c r="M1637" s="8">
        <f t="shared" si="152"/>
        <v>114000</v>
      </c>
      <c r="N1637" s="5">
        <v>21000</v>
      </c>
      <c r="O1637" s="8">
        <f t="shared" si="153"/>
        <v>135000</v>
      </c>
      <c r="P1637" s="2" t="s">
        <v>63</v>
      </c>
      <c r="Q1637" s="10" t="str">
        <f>VLOOKUP(A1637,Status!A:B,2,0)</f>
        <v>Completed</v>
      </c>
      <c r="R1637" s="2" t="s">
        <v>23</v>
      </c>
      <c r="S1637" s="2">
        <v>3</v>
      </c>
      <c r="T1637" s="2" t="s">
        <v>24</v>
      </c>
      <c r="U1637" s="10" t="str">
        <f t="shared" si="155"/>
        <v>Oct</v>
      </c>
      <c r="V1637" s="10">
        <f t="shared" si="154"/>
        <v>2024</v>
      </c>
      <c r="W1637" t="e" cm="1">
        <f t="array" ref="W1637">_xlfn.IFS(U1637="January",1,U1637="February",2,U1637="March",3,U1637="April",4,U1637="May",5,U1637="June",6,U1637="July",7,U1637="August",8,U1637="September",9,U1637="October",10,U1637="November",11,U1637="December",12)</f>
        <v>#N/A</v>
      </c>
    </row>
    <row r="1638" spans="1:23" ht="15.75" customHeight="1" x14ac:dyDescent="0.25">
      <c r="A1638" s="2" t="s">
        <v>438</v>
      </c>
      <c r="B1638" s="3">
        <v>45587.162407407413</v>
      </c>
      <c r="C1638" s="2" t="s">
        <v>439</v>
      </c>
      <c r="D1638" s="2" t="s">
        <v>119</v>
      </c>
      <c r="E1638" s="2" t="s">
        <v>93</v>
      </c>
      <c r="F1638" s="2" t="str" cm="1">
        <f t="array" ref="F1638:G1638">_xlfn.TEXTSPLIT(E1638," - ")</f>
        <v>Telur Ayam</v>
      </c>
      <c r="G1638" s="2" t="str">
        <v>Brand B</v>
      </c>
      <c r="H1638" s="5">
        <v>25000</v>
      </c>
      <c r="I1638" s="2">
        <v>1</v>
      </c>
      <c r="J1638" s="2">
        <v>0</v>
      </c>
      <c r="K1638" s="8">
        <f t="shared" si="150"/>
        <v>25000</v>
      </c>
      <c r="L1638" s="8">
        <f t="shared" si="151"/>
        <v>0</v>
      </c>
      <c r="M1638" s="8">
        <f t="shared" si="152"/>
        <v>25000</v>
      </c>
      <c r="N1638" s="5">
        <v>0</v>
      </c>
      <c r="O1638" s="8">
        <f t="shared" si="153"/>
        <v>25000</v>
      </c>
      <c r="P1638" s="2" t="s">
        <v>35</v>
      </c>
      <c r="Q1638" s="10" t="str">
        <f>VLOOKUP(A1638,Status!A:B,2,0)</f>
        <v>Completed</v>
      </c>
      <c r="R1638" s="2" t="s">
        <v>23</v>
      </c>
      <c r="S1638" s="2">
        <v>1</v>
      </c>
      <c r="T1638" s="2" t="s">
        <v>37</v>
      </c>
      <c r="U1638" s="10" t="str">
        <f t="shared" si="155"/>
        <v>Oct</v>
      </c>
      <c r="V1638" s="10">
        <f t="shared" si="154"/>
        <v>2024</v>
      </c>
      <c r="W1638" t="e" cm="1">
        <f t="array" ref="W1638">_xlfn.IFS(U1638="January",1,U1638="February",2,U1638="March",3,U1638="April",4,U1638="May",5,U1638="June",6,U1638="July",7,U1638="August",8,U1638="September",9,U1638="October",10,U1638="November",11,U1638="December",12)</f>
        <v>#N/A</v>
      </c>
    </row>
    <row r="1639" spans="1:23" ht="15.75" customHeight="1" x14ac:dyDescent="0.25">
      <c r="A1639" s="2" t="s">
        <v>440</v>
      </c>
      <c r="B1639" s="3">
        <v>45587.341643518521</v>
      </c>
      <c r="C1639" s="2" t="s">
        <v>441</v>
      </c>
      <c r="D1639" s="2" t="s">
        <v>116</v>
      </c>
      <c r="E1639" s="2" t="s">
        <v>58</v>
      </c>
      <c r="F1639" s="2" t="str" cm="1">
        <f t="array" ref="F1639:G1639">_xlfn.TEXTSPLIT(E1639," - ")</f>
        <v>Gula Pasir</v>
      </c>
      <c r="G1639" s="2" t="str">
        <v>Brand A</v>
      </c>
      <c r="H1639" s="5">
        <v>16000</v>
      </c>
      <c r="I1639" s="2">
        <v>2</v>
      </c>
      <c r="J1639" s="2">
        <v>0</v>
      </c>
      <c r="K1639" s="8">
        <f t="shared" si="150"/>
        <v>32000</v>
      </c>
      <c r="L1639" s="8">
        <f t="shared" si="151"/>
        <v>0</v>
      </c>
      <c r="M1639" s="8">
        <f t="shared" si="152"/>
        <v>32000</v>
      </c>
      <c r="N1639" s="5">
        <v>72000</v>
      </c>
      <c r="O1639" s="8">
        <f t="shared" si="153"/>
        <v>104000</v>
      </c>
      <c r="P1639" s="2" t="s">
        <v>63</v>
      </c>
      <c r="Q1639" s="10" t="str">
        <f>VLOOKUP(A1639,Status!A:B,2,0)</f>
        <v>Completed</v>
      </c>
      <c r="R1639" s="2" t="s">
        <v>46</v>
      </c>
      <c r="S1639" s="2">
        <v>1</v>
      </c>
      <c r="T1639" s="2" t="s">
        <v>37</v>
      </c>
      <c r="U1639" s="10" t="str">
        <f t="shared" si="155"/>
        <v>Oct</v>
      </c>
      <c r="V1639" s="10">
        <f t="shared" si="154"/>
        <v>2024</v>
      </c>
      <c r="W1639" t="e" cm="1">
        <f t="array" ref="W1639">_xlfn.IFS(U1639="January",1,U1639="February",2,U1639="March",3,U1639="April",4,U1639="May",5,U1639="June",6,U1639="July",7,U1639="August",8,U1639="September",9,U1639="October",10,U1639="November",11,U1639="December",12)</f>
        <v>#N/A</v>
      </c>
    </row>
    <row r="1640" spans="1:23" ht="15.75" customHeight="1" x14ac:dyDescent="0.25">
      <c r="A1640" s="2" t="s">
        <v>442</v>
      </c>
      <c r="B1640" s="3">
        <v>45587.469409722216</v>
      </c>
      <c r="C1640" s="2" t="s">
        <v>443</v>
      </c>
      <c r="D1640" s="2" t="s">
        <v>53</v>
      </c>
      <c r="E1640" s="2" t="s">
        <v>186</v>
      </c>
      <c r="F1640" s="2" t="str" cm="1">
        <f t="array" ref="F1640:G1640">_xlfn.TEXTSPLIT(E1640," - ")</f>
        <v>Susu Bubuk</v>
      </c>
      <c r="G1640" s="2" t="str">
        <v>Brand A</v>
      </c>
      <c r="H1640" s="5">
        <v>45000</v>
      </c>
      <c r="I1640" s="2">
        <v>4</v>
      </c>
      <c r="J1640" s="2">
        <v>15</v>
      </c>
      <c r="K1640" s="8">
        <f t="shared" si="150"/>
        <v>180000</v>
      </c>
      <c r="L1640" s="8">
        <f t="shared" si="151"/>
        <v>27000</v>
      </c>
      <c r="M1640" s="8">
        <f t="shared" si="152"/>
        <v>153000</v>
      </c>
      <c r="N1640" s="5">
        <v>18000</v>
      </c>
      <c r="O1640" s="8">
        <f t="shared" si="153"/>
        <v>171000</v>
      </c>
      <c r="P1640" s="2" t="s">
        <v>29</v>
      </c>
      <c r="Q1640" s="10" t="str">
        <f>VLOOKUP(A1640,Status!A:B,2,0)</f>
        <v>Completed</v>
      </c>
      <c r="R1640" s="2" t="s">
        <v>36</v>
      </c>
      <c r="S1640" s="2">
        <v>1</v>
      </c>
      <c r="T1640" s="2" t="s">
        <v>24</v>
      </c>
      <c r="U1640" s="10" t="str">
        <f t="shared" si="155"/>
        <v>Oct</v>
      </c>
      <c r="V1640" s="10">
        <f t="shared" si="154"/>
        <v>2024</v>
      </c>
      <c r="W1640" t="e" cm="1">
        <f t="array" ref="W1640">_xlfn.IFS(U1640="January",1,U1640="February",2,U1640="March",3,U1640="April",4,U1640="May",5,U1640="June",6,U1640="July",7,U1640="August",8,U1640="September",9,U1640="October",10,U1640="November",11,U1640="December",12)</f>
        <v>#N/A</v>
      </c>
    </row>
    <row r="1641" spans="1:23" ht="15.75" customHeight="1" x14ac:dyDescent="0.25">
      <c r="A1641" s="2" t="s">
        <v>444</v>
      </c>
      <c r="B1641" s="3">
        <v>45587.500289351847</v>
      </c>
      <c r="C1641" s="2" t="s">
        <v>84</v>
      </c>
      <c r="D1641" s="2" t="s">
        <v>57</v>
      </c>
      <c r="E1641" s="2" t="s">
        <v>104</v>
      </c>
      <c r="F1641" s="2" t="str" cm="1">
        <f t="array" ref="F1641:G1641">_xlfn.TEXTSPLIT(E1641," - ")</f>
        <v>Bawang Merah</v>
      </c>
      <c r="G1641" s="2" t="str">
        <v>Brand A</v>
      </c>
      <c r="H1641" s="5">
        <v>30000</v>
      </c>
      <c r="I1641" s="2">
        <v>1</v>
      </c>
      <c r="J1641" s="2">
        <v>20</v>
      </c>
      <c r="K1641" s="8">
        <f t="shared" si="150"/>
        <v>30000</v>
      </c>
      <c r="L1641" s="8">
        <f t="shared" si="151"/>
        <v>6000</v>
      </c>
      <c r="M1641" s="8">
        <f t="shared" si="152"/>
        <v>24000</v>
      </c>
      <c r="N1641" s="5">
        <v>80000</v>
      </c>
      <c r="O1641" s="8">
        <f t="shared" si="153"/>
        <v>104000</v>
      </c>
      <c r="P1641" s="2" t="s">
        <v>63</v>
      </c>
      <c r="Q1641" s="10" t="str">
        <f>VLOOKUP(A1641,Status!A:B,2,0)</f>
        <v>Completed</v>
      </c>
      <c r="R1641" s="2" t="s">
        <v>23</v>
      </c>
      <c r="S1641" s="2">
        <v>3</v>
      </c>
      <c r="T1641" s="2" t="s">
        <v>37</v>
      </c>
      <c r="U1641" s="10" t="str">
        <f t="shared" si="155"/>
        <v>Oct</v>
      </c>
      <c r="V1641" s="10">
        <f t="shared" si="154"/>
        <v>2024</v>
      </c>
      <c r="W1641" t="e" cm="1">
        <f t="array" ref="W1641">_xlfn.IFS(U1641="January",1,U1641="February",2,U1641="March",3,U1641="April",4,U1641="May",5,U1641="June",6,U1641="July",7,U1641="August",8,U1641="September",9,U1641="October",10,U1641="November",11,U1641="December",12)</f>
        <v>#N/A</v>
      </c>
    </row>
    <row r="1642" spans="1:23" ht="15.75" customHeight="1" x14ac:dyDescent="0.25">
      <c r="A1642" s="2" t="s">
        <v>445</v>
      </c>
      <c r="B1642" s="3">
        <v>45588.139120370368</v>
      </c>
      <c r="C1642" s="2" t="s">
        <v>446</v>
      </c>
      <c r="D1642" s="2" t="s">
        <v>296</v>
      </c>
      <c r="E1642" s="2" t="s">
        <v>81</v>
      </c>
      <c r="F1642" s="2" t="str" cm="1">
        <f t="array" ref="F1642:G1642">_xlfn.TEXTSPLIT(E1642," - ")</f>
        <v>Minyak Goreng</v>
      </c>
      <c r="G1642" s="2" t="str">
        <v>Brand B</v>
      </c>
      <c r="H1642" s="5">
        <v>17000</v>
      </c>
      <c r="I1642" s="2">
        <v>2</v>
      </c>
      <c r="J1642" s="2">
        <v>15</v>
      </c>
      <c r="K1642" s="8">
        <f t="shared" si="150"/>
        <v>34000</v>
      </c>
      <c r="L1642" s="8">
        <f t="shared" si="151"/>
        <v>5100</v>
      </c>
      <c r="M1642" s="8">
        <f t="shared" si="152"/>
        <v>28900</v>
      </c>
      <c r="N1642" s="5">
        <v>79000</v>
      </c>
      <c r="O1642" s="8">
        <f t="shared" si="153"/>
        <v>107900</v>
      </c>
      <c r="P1642" s="2" t="s">
        <v>35</v>
      </c>
      <c r="Q1642" s="10" t="str">
        <f>VLOOKUP(A1642,Status!A:B,2,0)</f>
        <v>Returned</v>
      </c>
      <c r="R1642" s="2" t="s">
        <v>30</v>
      </c>
      <c r="S1642" s="2">
        <v>5</v>
      </c>
      <c r="T1642" s="2" t="s">
        <v>37</v>
      </c>
      <c r="U1642" s="10" t="str">
        <f t="shared" si="155"/>
        <v>Oct</v>
      </c>
      <c r="V1642" s="10">
        <f t="shared" si="154"/>
        <v>2024</v>
      </c>
      <c r="W1642" t="e" cm="1">
        <f t="array" ref="W1642">_xlfn.IFS(U1642="January",1,U1642="February",2,U1642="March",3,U1642="April",4,U1642="May",5,U1642="June",6,U1642="July",7,U1642="August",8,U1642="September",9,U1642="October",10,U1642="November",11,U1642="December",12)</f>
        <v>#N/A</v>
      </c>
    </row>
    <row r="1643" spans="1:23" ht="15.75" customHeight="1" x14ac:dyDescent="0.25">
      <c r="A1643" s="2" t="s">
        <v>447</v>
      </c>
      <c r="B1643" s="3">
        <v>45588.201261574082</v>
      </c>
      <c r="C1643" s="2" t="s">
        <v>249</v>
      </c>
      <c r="D1643" s="2" t="s">
        <v>49</v>
      </c>
      <c r="E1643" s="2" t="s">
        <v>250</v>
      </c>
      <c r="F1643" s="2" t="str" cm="1">
        <f t="array" ref="F1643:G1643">_xlfn.TEXTSPLIT(E1643," - ")</f>
        <v>Minyak Goreng</v>
      </c>
      <c r="G1643" s="2" t="str">
        <v>Brand C</v>
      </c>
      <c r="H1643" s="5">
        <v>18000</v>
      </c>
      <c r="I1643" s="2">
        <v>5</v>
      </c>
      <c r="J1643" s="2">
        <v>5</v>
      </c>
      <c r="K1643" s="8">
        <f t="shared" si="150"/>
        <v>90000</v>
      </c>
      <c r="L1643" s="8">
        <f t="shared" si="151"/>
        <v>4500</v>
      </c>
      <c r="M1643" s="8">
        <f t="shared" si="152"/>
        <v>85500</v>
      </c>
      <c r="N1643" s="5">
        <v>43000</v>
      </c>
      <c r="O1643" s="8">
        <f t="shared" si="153"/>
        <v>128500</v>
      </c>
      <c r="P1643" s="2" t="s">
        <v>29</v>
      </c>
      <c r="Q1643" s="10" t="str">
        <f>VLOOKUP(A1643,Status!A:B,2,0)</f>
        <v>Completed</v>
      </c>
      <c r="R1643" s="2" t="s">
        <v>82</v>
      </c>
      <c r="S1643" s="2">
        <v>2</v>
      </c>
      <c r="T1643" s="2" t="s">
        <v>24</v>
      </c>
      <c r="U1643" s="10" t="str">
        <f t="shared" si="155"/>
        <v>Oct</v>
      </c>
      <c r="V1643" s="10">
        <f t="shared" si="154"/>
        <v>2024</v>
      </c>
      <c r="W1643" t="e" cm="1">
        <f t="array" ref="W1643">_xlfn.IFS(U1643="January",1,U1643="February",2,U1643="March",3,U1643="April",4,U1643="May",5,U1643="June",6,U1643="July",7,U1643="August",8,U1643="September",9,U1643="October",10,U1643="November",11,U1643="December",12)</f>
        <v>#N/A</v>
      </c>
    </row>
    <row r="1644" spans="1:23" ht="15.75" customHeight="1" x14ac:dyDescent="0.25">
      <c r="A1644" s="2" t="s">
        <v>447</v>
      </c>
      <c r="B1644" s="3">
        <v>45588.201261574082</v>
      </c>
      <c r="C1644" s="2" t="s">
        <v>249</v>
      </c>
      <c r="D1644" s="2" t="s">
        <v>49</v>
      </c>
      <c r="E1644" s="2" t="s">
        <v>186</v>
      </c>
      <c r="F1644" s="2" t="str" cm="1">
        <f t="array" ref="F1644:G1644">_xlfn.TEXTSPLIT(E1644," - ")</f>
        <v>Susu Bubuk</v>
      </c>
      <c r="G1644" s="2" t="str">
        <v>Brand A</v>
      </c>
      <c r="H1644" s="5">
        <v>45000</v>
      </c>
      <c r="I1644" s="2">
        <v>5</v>
      </c>
      <c r="J1644" s="2">
        <v>20</v>
      </c>
      <c r="K1644" s="8">
        <f t="shared" si="150"/>
        <v>225000</v>
      </c>
      <c r="L1644" s="8">
        <f t="shared" si="151"/>
        <v>45000</v>
      </c>
      <c r="M1644" s="8">
        <f t="shared" si="152"/>
        <v>180000</v>
      </c>
      <c r="N1644" s="5">
        <v>0</v>
      </c>
      <c r="O1644" s="8">
        <f t="shared" si="153"/>
        <v>180000</v>
      </c>
      <c r="P1644" s="2" t="s">
        <v>29</v>
      </c>
      <c r="Q1644" s="10" t="str">
        <f>VLOOKUP(A1644,Status!A:B,2,0)</f>
        <v>Completed</v>
      </c>
      <c r="R1644" s="2" t="s">
        <v>82</v>
      </c>
      <c r="S1644" s="2">
        <v>2</v>
      </c>
      <c r="T1644" s="2" t="s">
        <v>24</v>
      </c>
      <c r="U1644" s="10" t="str">
        <f t="shared" si="155"/>
        <v>Oct</v>
      </c>
      <c r="V1644" s="10">
        <f t="shared" si="154"/>
        <v>2024</v>
      </c>
      <c r="W1644" t="e" cm="1">
        <f t="array" ref="W1644">_xlfn.IFS(U1644="January",1,U1644="February",2,U1644="March",3,U1644="April",4,U1644="May",5,U1644="June",6,U1644="July",7,U1644="August",8,U1644="September",9,U1644="October",10,U1644="November",11,U1644="December",12)</f>
        <v>#N/A</v>
      </c>
    </row>
    <row r="1645" spans="1:23" ht="15.75" customHeight="1" x14ac:dyDescent="0.25">
      <c r="A1645" s="2" t="s">
        <v>448</v>
      </c>
      <c r="B1645" s="3">
        <v>45588.265324074076</v>
      </c>
      <c r="C1645" s="2" t="s">
        <v>449</v>
      </c>
      <c r="D1645" s="2" t="s">
        <v>151</v>
      </c>
      <c r="E1645" s="2" t="s">
        <v>34</v>
      </c>
      <c r="F1645" s="2" t="str" cm="1">
        <f t="array" ref="F1645:G1645">_xlfn.TEXTSPLIT(E1645," - ")</f>
        <v>Minyak Goreng</v>
      </c>
      <c r="G1645" s="2" t="str">
        <v>Brand A</v>
      </c>
      <c r="H1645" s="5">
        <v>16000</v>
      </c>
      <c r="I1645" s="2">
        <v>4</v>
      </c>
      <c r="J1645" s="2">
        <v>15</v>
      </c>
      <c r="K1645" s="8">
        <f t="shared" si="150"/>
        <v>64000</v>
      </c>
      <c r="L1645" s="8">
        <f t="shared" si="151"/>
        <v>9600</v>
      </c>
      <c r="M1645" s="8">
        <f t="shared" si="152"/>
        <v>54400</v>
      </c>
      <c r="N1645" s="5">
        <v>55000</v>
      </c>
      <c r="O1645" s="8">
        <f t="shared" si="153"/>
        <v>109400</v>
      </c>
      <c r="P1645" s="2" t="s">
        <v>35</v>
      </c>
      <c r="Q1645" s="10" t="str">
        <f>VLOOKUP(A1645,Status!A:B,2,0)</f>
        <v>Completed</v>
      </c>
      <c r="R1645" s="2" t="s">
        <v>36</v>
      </c>
      <c r="S1645" s="2">
        <v>1</v>
      </c>
      <c r="T1645" s="2" t="s">
        <v>24</v>
      </c>
      <c r="U1645" s="10" t="str">
        <f t="shared" si="155"/>
        <v>Oct</v>
      </c>
      <c r="V1645" s="10">
        <f t="shared" si="154"/>
        <v>2024</v>
      </c>
      <c r="W1645" t="e" cm="1">
        <f t="array" ref="W1645">_xlfn.IFS(U1645="January",1,U1645="February",2,U1645="March",3,U1645="April",4,U1645="May",5,U1645="June",6,U1645="July",7,U1645="August",8,U1645="September",9,U1645="October",10,U1645="November",11,U1645="December",12)</f>
        <v>#N/A</v>
      </c>
    </row>
    <row r="1646" spans="1:23" ht="15.75" customHeight="1" x14ac:dyDescent="0.25">
      <c r="A1646" s="2" t="s">
        <v>450</v>
      </c>
      <c r="B1646" s="3">
        <v>45588.701157407413</v>
      </c>
      <c r="C1646" s="2" t="s">
        <v>451</v>
      </c>
      <c r="D1646" s="2" t="s">
        <v>116</v>
      </c>
      <c r="E1646" s="2" t="s">
        <v>136</v>
      </c>
      <c r="F1646" s="2" t="str" cm="1">
        <f t="array" ref="F1646:G1646">_xlfn.TEXTSPLIT(E1646," - ")</f>
        <v>Tepung Terigu</v>
      </c>
      <c r="G1646" s="2" t="str">
        <v>Brand B</v>
      </c>
      <c r="H1646" s="5">
        <v>12000</v>
      </c>
      <c r="I1646" s="2">
        <v>4</v>
      </c>
      <c r="J1646" s="2">
        <v>5</v>
      </c>
      <c r="K1646" s="8">
        <f t="shared" si="150"/>
        <v>48000</v>
      </c>
      <c r="L1646" s="8">
        <f t="shared" si="151"/>
        <v>2400</v>
      </c>
      <c r="M1646" s="8">
        <f t="shared" si="152"/>
        <v>45600</v>
      </c>
      <c r="N1646" s="5">
        <v>72000</v>
      </c>
      <c r="O1646" s="8">
        <f t="shared" si="153"/>
        <v>117600</v>
      </c>
      <c r="P1646" s="2" t="s">
        <v>29</v>
      </c>
      <c r="Q1646" s="10" t="str">
        <f>VLOOKUP(A1646,Status!A:B,2,0)</f>
        <v>Completed</v>
      </c>
      <c r="R1646" s="2" t="s">
        <v>36</v>
      </c>
      <c r="S1646" s="2">
        <v>4</v>
      </c>
      <c r="T1646" s="2" t="s">
        <v>24</v>
      </c>
      <c r="U1646" s="10" t="str">
        <f t="shared" si="155"/>
        <v>Oct</v>
      </c>
      <c r="V1646" s="10">
        <f t="shared" si="154"/>
        <v>2024</v>
      </c>
      <c r="W1646" t="e" cm="1">
        <f t="array" ref="W1646">_xlfn.IFS(U1646="January",1,U1646="February",2,U1646="March",3,U1646="April",4,U1646="May",5,U1646="June",6,U1646="July",7,U1646="August",8,U1646="September",9,U1646="October",10,U1646="November",11,U1646="December",12)</f>
        <v>#N/A</v>
      </c>
    </row>
    <row r="1647" spans="1:23" ht="15.75" customHeight="1" x14ac:dyDescent="0.25">
      <c r="A1647" s="2" t="s">
        <v>452</v>
      </c>
      <c r="B1647" s="3">
        <v>45588.701851851853</v>
      </c>
      <c r="C1647" s="2" t="s">
        <v>453</v>
      </c>
      <c r="D1647" s="2" t="s">
        <v>27</v>
      </c>
      <c r="E1647" s="2" t="s">
        <v>110</v>
      </c>
      <c r="F1647" s="2" t="str" cm="1">
        <f t="array" ref="F1647:G1647">_xlfn.TEXTSPLIT(E1647," - ")</f>
        <v>Garam</v>
      </c>
      <c r="G1647" s="2" t="str">
        <v>Brand C</v>
      </c>
      <c r="H1647" s="5">
        <v>6000</v>
      </c>
      <c r="I1647" s="2">
        <v>4</v>
      </c>
      <c r="J1647" s="2">
        <v>10</v>
      </c>
      <c r="K1647" s="8">
        <f t="shared" si="150"/>
        <v>24000</v>
      </c>
      <c r="L1647" s="8">
        <f t="shared" si="151"/>
        <v>2400</v>
      </c>
      <c r="M1647" s="8">
        <f t="shared" si="152"/>
        <v>21600</v>
      </c>
      <c r="N1647" s="5">
        <v>17000</v>
      </c>
      <c r="O1647" s="8">
        <f t="shared" si="153"/>
        <v>38600</v>
      </c>
      <c r="P1647" s="2" t="s">
        <v>29</v>
      </c>
      <c r="Q1647" s="10" t="str">
        <f>VLOOKUP(A1647,Status!A:B,2,0)</f>
        <v>Completed</v>
      </c>
      <c r="R1647" s="2" t="s">
        <v>23</v>
      </c>
      <c r="S1647" s="2">
        <v>4</v>
      </c>
      <c r="T1647" s="2" t="s">
        <v>37</v>
      </c>
      <c r="U1647" s="10" t="str">
        <f t="shared" si="155"/>
        <v>Oct</v>
      </c>
      <c r="V1647" s="10">
        <f t="shared" si="154"/>
        <v>2024</v>
      </c>
      <c r="W1647" t="e" cm="1">
        <f t="array" ref="W1647">_xlfn.IFS(U1647="January",1,U1647="February",2,U1647="March",3,U1647="April",4,U1647="May",5,U1647="June",6,U1647="July",7,U1647="August",8,U1647="September",9,U1647="October",10,U1647="November",11,U1647="December",12)</f>
        <v>#N/A</v>
      </c>
    </row>
    <row r="1648" spans="1:23" ht="15.75" customHeight="1" x14ac:dyDescent="0.25">
      <c r="A1648" s="2" t="s">
        <v>454</v>
      </c>
      <c r="B1648" s="3">
        <v>45588.748912037037</v>
      </c>
      <c r="C1648" s="2" t="s">
        <v>455</v>
      </c>
      <c r="D1648" s="2" t="s">
        <v>33</v>
      </c>
      <c r="E1648" s="2" t="s">
        <v>186</v>
      </c>
      <c r="F1648" s="2" t="str" cm="1">
        <f t="array" ref="F1648:G1648">_xlfn.TEXTSPLIT(E1648," - ")</f>
        <v>Susu Bubuk</v>
      </c>
      <c r="G1648" s="2" t="str">
        <v>Brand A</v>
      </c>
      <c r="H1648" s="5">
        <v>45000</v>
      </c>
      <c r="I1648" s="2">
        <v>3</v>
      </c>
      <c r="J1648" s="2">
        <v>15</v>
      </c>
      <c r="K1648" s="8">
        <f t="shared" si="150"/>
        <v>135000</v>
      </c>
      <c r="L1648" s="8">
        <f t="shared" si="151"/>
        <v>20250</v>
      </c>
      <c r="M1648" s="8">
        <f t="shared" si="152"/>
        <v>114750</v>
      </c>
      <c r="N1648" s="5">
        <v>76000</v>
      </c>
      <c r="O1648" s="8">
        <f t="shared" si="153"/>
        <v>190750</v>
      </c>
      <c r="P1648" s="2" t="s">
        <v>29</v>
      </c>
      <c r="Q1648" s="10" t="str">
        <f>VLOOKUP(A1648,Status!A:B,2,0)</f>
        <v>Completed</v>
      </c>
      <c r="R1648" s="2" t="s">
        <v>36</v>
      </c>
      <c r="S1648" s="2">
        <v>1</v>
      </c>
      <c r="T1648" s="2" t="s">
        <v>24</v>
      </c>
      <c r="U1648" s="10" t="str">
        <f t="shared" si="155"/>
        <v>Oct</v>
      </c>
      <c r="V1648" s="10">
        <f t="shared" si="154"/>
        <v>2024</v>
      </c>
      <c r="W1648" t="e" cm="1">
        <f t="array" ref="W1648">_xlfn.IFS(U1648="January",1,U1648="February",2,U1648="March",3,U1648="April",4,U1648="May",5,U1648="June",6,U1648="July",7,U1648="August",8,U1648="September",9,U1648="October",10,U1648="November",11,U1648="December",12)</f>
        <v>#N/A</v>
      </c>
    </row>
    <row r="1649" spans="1:23" ht="15.75" customHeight="1" x14ac:dyDescent="0.25">
      <c r="A1649" s="2" t="s">
        <v>454</v>
      </c>
      <c r="B1649" s="3">
        <v>45588.748912037037</v>
      </c>
      <c r="C1649" s="2" t="s">
        <v>455</v>
      </c>
      <c r="D1649" s="2" t="s">
        <v>33</v>
      </c>
      <c r="E1649" s="2" t="s">
        <v>81</v>
      </c>
      <c r="F1649" s="2" t="str" cm="1">
        <f t="array" ref="F1649:G1649">_xlfn.TEXTSPLIT(E1649," - ")</f>
        <v>Minyak Goreng</v>
      </c>
      <c r="G1649" s="2" t="str">
        <v>Brand B</v>
      </c>
      <c r="H1649" s="5">
        <v>17000</v>
      </c>
      <c r="I1649" s="2">
        <v>4</v>
      </c>
      <c r="J1649" s="2">
        <v>20</v>
      </c>
      <c r="K1649" s="8">
        <f t="shared" si="150"/>
        <v>68000</v>
      </c>
      <c r="L1649" s="8">
        <f t="shared" si="151"/>
        <v>13600</v>
      </c>
      <c r="M1649" s="8">
        <f t="shared" si="152"/>
        <v>54400</v>
      </c>
      <c r="N1649" s="5">
        <v>0</v>
      </c>
      <c r="O1649" s="8">
        <f t="shared" si="153"/>
        <v>54400</v>
      </c>
      <c r="P1649" s="2" t="s">
        <v>29</v>
      </c>
      <c r="Q1649" s="10" t="str">
        <f>VLOOKUP(A1649,Status!A:B,2,0)</f>
        <v>Completed</v>
      </c>
      <c r="R1649" s="2" t="s">
        <v>36</v>
      </c>
      <c r="S1649" s="2">
        <v>1</v>
      </c>
      <c r="T1649" s="2" t="s">
        <v>24</v>
      </c>
      <c r="U1649" s="10" t="str">
        <f t="shared" si="155"/>
        <v>Oct</v>
      </c>
      <c r="V1649" s="10">
        <f t="shared" si="154"/>
        <v>2024</v>
      </c>
      <c r="W1649" t="e" cm="1">
        <f t="array" ref="W1649">_xlfn.IFS(U1649="January",1,U1649="February",2,U1649="March",3,U1649="April",4,U1649="May",5,U1649="June",6,U1649="July",7,U1649="August",8,U1649="September",9,U1649="October",10,U1649="November",11,U1649="December",12)</f>
        <v>#N/A</v>
      </c>
    </row>
    <row r="1650" spans="1:23" ht="15.75" customHeight="1" x14ac:dyDescent="0.25">
      <c r="A1650" s="2" t="s">
        <v>456</v>
      </c>
      <c r="B1650" s="3">
        <v>45589.446782407409</v>
      </c>
      <c r="C1650" s="2" t="s">
        <v>457</v>
      </c>
      <c r="D1650" s="2" t="s">
        <v>80</v>
      </c>
      <c r="E1650" s="2" t="s">
        <v>123</v>
      </c>
      <c r="F1650" s="2" t="str" cm="1">
        <f t="array" ref="F1650:G1650">_xlfn.TEXTSPLIT(E1650," - ")</f>
        <v>Telur Ayam</v>
      </c>
      <c r="G1650" s="2" t="str">
        <v>Brand A</v>
      </c>
      <c r="H1650" s="5">
        <v>22000</v>
      </c>
      <c r="I1650" s="2">
        <v>3</v>
      </c>
      <c r="J1650" s="2">
        <v>10</v>
      </c>
      <c r="K1650" s="8">
        <f t="shared" si="150"/>
        <v>66000</v>
      </c>
      <c r="L1650" s="8">
        <f t="shared" si="151"/>
        <v>6600</v>
      </c>
      <c r="M1650" s="8">
        <f t="shared" si="152"/>
        <v>59400</v>
      </c>
      <c r="N1650" s="5">
        <v>74000</v>
      </c>
      <c r="O1650" s="8">
        <f t="shared" si="153"/>
        <v>133400</v>
      </c>
      <c r="P1650" s="2" t="s">
        <v>22</v>
      </c>
      <c r="Q1650" s="10" t="str">
        <f>VLOOKUP(A1650,Status!A:B,2,0)</f>
        <v>Completed</v>
      </c>
      <c r="R1650" s="2" t="s">
        <v>23</v>
      </c>
      <c r="S1650" s="2">
        <v>3</v>
      </c>
      <c r="T1650" s="2" t="s">
        <v>24</v>
      </c>
      <c r="U1650" s="10" t="str">
        <f t="shared" si="155"/>
        <v>Oct</v>
      </c>
      <c r="V1650" s="10">
        <f t="shared" si="154"/>
        <v>2024</v>
      </c>
      <c r="W1650" t="e" cm="1">
        <f t="array" ref="W1650">_xlfn.IFS(U1650="January",1,U1650="February",2,U1650="March",3,U1650="April",4,U1650="May",5,U1650="June",6,U1650="July",7,U1650="August",8,U1650="September",9,U1650="October",10,U1650="November",11,U1650="December",12)</f>
        <v>#N/A</v>
      </c>
    </row>
    <row r="1651" spans="1:23" ht="15.75" customHeight="1" x14ac:dyDescent="0.25">
      <c r="A1651" s="2" t="s">
        <v>458</v>
      </c>
      <c r="B1651" s="3">
        <v>45589.502523148149</v>
      </c>
      <c r="C1651" s="2" t="s">
        <v>459</v>
      </c>
      <c r="D1651" s="2" t="s">
        <v>61</v>
      </c>
      <c r="E1651" s="2" t="s">
        <v>93</v>
      </c>
      <c r="F1651" s="2" t="str" cm="1">
        <f t="array" ref="F1651:G1651">_xlfn.TEXTSPLIT(E1651," - ")</f>
        <v>Telur Ayam</v>
      </c>
      <c r="G1651" s="2" t="str">
        <v>Brand B</v>
      </c>
      <c r="H1651" s="5">
        <v>25000</v>
      </c>
      <c r="I1651" s="2">
        <v>3</v>
      </c>
      <c r="J1651" s="2">
        <v>10</v>
      </c>
      <c r="K1651" s="8">
        <f t="shared" si="150"/>
        <v>75000</v>
      </c>
      <c r="L1651" s="8">
        <f t="shared" si="151"/>
        <v>7500</v>
      </c>
      <c r="M1651" s="8">
        <f t="shared" si="152"/>
        <v>67500</v>
      </c>
      <c r="N1651" s="5">
        <v>26000</v>
      </c>
      <c r="O1651" s="8">
        <f t="shared" si="153"/>
        <v>93500</v>
      </c>
      <c r="P1651" s="2" t="s">
        <v>29</v>
      </c>
      <c r="Q1651" s="10" t="str">
        <f>VLOOKUP(A1651,Status!A:B,2,0)</f>
        <v>Completed</v>
      </c>
      <c r="R1651" s="2" t="s">
        <v>46</v>
      </c>
      <c r="S1651" s="2">
        <v>5</v>
      </c>
      <c r="T1651" s="2" t="s">
        <v>24</v>
      </c>
      <c r="U1651" s="10" t="str">
        <f t="shared" si="155"/>
        <v>Oct</v>
      </c>
      <c r="V1651" s="10">
        <f t="shared" si="154"/>
        <v>2024</v>
      </c>
      <c r="W1651" t="e" cm="1">
        <f t="array" ref="W1651">_xlfn.IFS(U1651="January",1,U1651="February",2,U1651="March",3,U1651="April",4,U1651="May",5,U1651="June",6,U1651="July",7,U1651="August",8,U1651="September",9,U1651="October",10,U1651="November",11,U1651="December",12)</f>
        <v>#N/A</v>
      </c>
    </row>
    <row r="1652" spans="1:23" ht="15.75" customHeight="1" x14ac:dyDescent="0.25">
      <c r="A1652" s="2" t="s">
        <v>460</v>
      </c>
      <c r="B1652" s="3">
        <v>45589.551249999997</v>
      </c>
      <c r="C1652" s="2" t="s">
        <v>461</v>
      </c>
      <c r="D1652" s="2" t="s">
        <v>92</v>
      </c>
      <c r="E1652" s="2" t="s">
        <v>85</v>
      </c>
      <c r="F1652" s="2" t="str" cm="1">
        <f t="array" ref="F1652:G1652">_xlfn.TEXTSPLIT(E1652," - ")</f>
        <v>Daging Ayam</v>
      </c>
      <c r="G1652" s="2" t="str">
        <v>Brand A</v>
      </c>
      <c r="H1652" s="5">
        <v>35000</v>
      </c>
      <c r="I1652" s="2">
        <v>3</v>
      </c>
      <c r="J1652" s="2">
        <v>0</v>
      </c>
      <c r="K1652" s="8">
        <f t="shared" si="150"/>
        <v>105000</v>
      </c>
      <c r="L1652" s="8">
        <f t="shared" si="151"/>
        <v>0</v>
      </c>
      <c r="M1652" s="8">
        <f t="shared" si="152"/>
        <v>105000</v>
      </c>
      <c r="N1652" s="5">
        <v>30000</v>
      </c>
      <c r="O1652" s="8">
        <f t="shared" si="153"/>
        <v>135000</v>
      </c>
      <c r="P1652" s="2" t="s">
        <v>35</v>
      </c>
      <c r="Q1652" s="10" t="str">
        <f>VLOOKUP(A1652,Status!A:B,2,0)</f>
        <v>Completed</v>
      </c>
      <c r="R1652" s="2" t="s">
        <v>36</v>
      </c>
      <c r="S1652" s="2">
        <v>1</v>
      </c>
      <c r="T1652" s="2" t="s">
        <v>37</v>
      </c>
      <c r="U1652" s="10" t="str">
        <f t="shared" si="155"/>
        <v>Oct</v>
      </c>
      <c r="V1652" s="10">
        <f t="shared" si="154"/>
        <v>2024</v>
      </c>
      <c r="W1652" t="e" cm="1">
        <f t="array" ref="W1652">_xlfn.IFS(U1652="January",1,U1652="February",2,U1652="March",3,U1652="April",4,U1652="May",5,U1652="June",6,U1652="July",7,U1652="August",8,U1652="September",9,U1652="October",10,U1652="November",11,U1652="December",12)</f>
        <v>#N/A</v>
      </c>
    </row>
    <row r="1653" spans="1:23" ht="15.75" customHeight="1" x14ac:dyDescent="0.25">
      <c r="A1653" s="2" t="s">
        <v>462</v>
      </c>
      <c r="B1653" s="3">
        <v>45589.828738425917</v>
      </c>
      <c r="C1653" s="2" t="s">
        <v>118</v>
      </c>
      <c r="D1653" s="2" t="s">
        <v>119</v>
      </c>
      <c r="E1653" s="2" t="s">
        <v>110</v>
      </c>
      <c r="F1653" s="2" t="str" cm="1">
        <f t="array" ref="F1653:G1653">_xlfn.TEXTSPLIT(E1653," - ")</f>
        <v>Garam</v>
      </c>
      <c r="G1653" s="2" t="str">
        <v>Brand C</v>
      </c>
      <c r="H1653" s="5">
        <v>6000</v>
      </c>
      <c r="I1653" s="2">
        <v>5</v>
      </c>
      <c r="J1653" s="2">
        <v>15</v>
      </c>
      <c r="K1653" s="8">
        <f t="shared" si="150"/>
        <v>30000</v>
      </c>
      <c r="L1653" s="8">
        <f t="shared" si="151"/>
        <v>4500</v>
      </c>
      <c r="M1653" s="8">
        <f t="shared" si="152"/>
        <v>25500</v>
      </c>
      <c r="N1653" s="5">
        <v>0</v>
      </c>
      <c r="O1653" s="8">
        <f t="shared" si="153"/>
        <v>25500</v>
      </c>
      <c r="P1653" s="2" t="s">
        <v>35</v>
      </c>
      <c r="Q1653" s="10" t="str">
        <f>VLOOKUP(A1653,Status!A:B,2,0)</f>
        <v>Completed</v>
      </c>
      <c r="R1653" s="2" t="s">
        <v>36</v>
      </c>
      <c r="S1653" s="2">
        <v>3</v>
      </c>
      <c r="T1653" s="2" t="s">
        <v>24</v>
      </c>
      <c r="U1653" s="10" t="str">
        <f t="shared" si="155"/>
        <v>Oct</v>
      </c>
      <c r="V1653" s="10">
        <f t="shared" si="154"/>
        <v>2024</v>
      </c>
      <c r="W1653" t="e" cm="1">
        <f t="array" ref="W1653">_xlfn.IFS(U1653="January",1,U1653="February",2,U1653="March",3,U1653="April",4,U1653="May",5,U1653="June",6,U1653="July",7,U1653="August",8,U1653="September",9,U1653="October",10,U1653="November",11,U1653="December",12)</f>
        <v>#N/A</v>
      </c>
    </row>
    <row r="1654" spans="1:23" ht="15.75" customHeight="1" x14ac:dyDescent="0.25">
      <c r="A1654" s="2" t="s">
        <v>463</v>
      </c>
      <c r="B1654" s="3">
        <v>45589.90861111111</v>
      </c>
      <c r="C1654" s="2" t="s">
        <v>464</v>
      </c>
      <c r="D1654" s="2" t="s">
        <v>296</v>
      </c>
      <c r="E1654" s="2" t="s">
        <v>190</v>
      </c>
      <c r="F1654" s="2" t="str" cm="1">
        <f t="array" ref="F1654:G1654">_xlfn.TEXTSPLIT(E1654," - ")</f>
        <v>Bawang Merah</v>
      </c>
      <c r="G1654" s="2" t="str">
        <v>Brand B</v>
      </c>
      <c r="H1654" s="5">
        <v>35000</v>
      </c>
      <c r="I1654" s="2">
        <v>4</v>
      </c>
      <c r="J1654" s="2">
        <v>20</v>
      </c>
      <c r="K1654" s="8">
        <f t="shared" si="150"/>
        <v>140000</v>
      </c>
      <c r="L1654" s="8">
        <f t="shared" si="151"/>
        <v>28000</v>
      </c>
      <c r="M1654" s="8">
        <f t="shared" si="152"/>
        <v>112000</v>
      </c>
      <c r="N1654" s="5">
        <v>79000</v>
      </c>
      <c r="O1654" s="8">
        <f t="shared" si="153"/>
        <v>191000</v>
      </c>
      <c r="P1654" s="2" t="s">
        <v>29</v>
      </c>
      <c r="Q1654" s="10" t="str">
        <f>VLOOKUP(A1654,Status!A:B,2,0)</f>
        <v>Completed</v>
      </c>
      <c r="R1654" s="2" t="s">
        <v>46</v>
      </c>
      <c r="S1654" s="2">
        <v>4</v>
      </c>
      <c r="T1654" s="2" t="s">
        <v>37</v>
      </c>
      <c r="U1654" s="10" t="str">
        <f t="shared" si="155"/>
        <v>Oct</v>
      </c>
      <c r="V1654" s="10">
        <f t="shared" si="154"/>
        <v>2024</v>
      </c>
      <c r="W1654" t="e" cm="1">
        <f t="array" ref="W1654">_xlfn.IFS(U1654="January",1,U1654="February",2,U1654="March",3,U1654="April",4,U1654="May",5,U1654="June",6,U1654="July",7,U1654="August",8,U1654="September",9,U1654="October",10,U1654="November",11,U1654="December",12)</f>
        <v>#N/A</v>
      </c>
    </row>
    <row r="1655" spans="1:23" ht="15.75" customHeight="1" x14ac:dyDescent="0.25">
      <c r="A1655" s="2" t="s">
        <v>465</v>
      </c>
      <c r="B1655" s="3">
        <v>45589.987604166658</v>
      </c>
      <c r="C1655" s="2" t="s">
        <v>466</v>
      </c>
      <c r="D1655" s="2" t="s">
        <v>131</v>
      </c>
      <c r="E1655" s="2" t="s">
        <v>71</v>
      </c>
      <c r="F1655" s="2" t="str" cm="1">
        <f t="array" ref="F1655:G1655">_xlfn.TEXTSPLIT(E1655," - ")</f>
        <v>Bawang Merah</v>
      </c>
      <c r="G1655" s="2" t="str">
        <v>Brand C</v>
      </c>
      <c r="H1655" s="5">
        <v>40000</v>
      </c>
      <c r="I1655" s="2">
        <v>1</v>
      </c>
      <c r="J1655" s="2">
        <v>5</v>
      </c>
      <c r="K1655" s="8">
        <f t="shared" si="150"/>
        <v>40000</v>
      </c>
      <c r="L1655" s="8">
        <f t="shared" si="151"/>
        <v>2000</v>
      </c>
      <c r="M1655" s="8">
        <f t="shared" si="152"/>
        <v>38000</v>
      </c>
      <c r="N1655" s="5">
        <v>59000</v>
      </c>
      <c r="O1655" s="8">
        <f t="shared" si="153"/>
        <v>97000</v>
      </c>
      <c r="P1655" s="2" t="s">
        <v>22</v>
      </c>
      <c r="Q1655" s="10" t="str">
        <f>VLOOKUP(A1655,Status!A:B,2,0)</f>
        <v>Completed</v>
      </c>
      <c r="R1655" s="2" t="s">
        <v>82</v>
      </c>
      <c r="S1655" s="2">
        <v>5</v>
      </c>
      <c r="T1655" s="2" t="s">
        <v>24</v>
      </c>
      <c r="U1655" s="10" t="str">
        <f t="shared" si="155"/>
        <v>Oct</v>
      </c>
      <c r="V1655" s="10">
        <f t="shared" si="154"/>
        <v>2024</v>
      </c>
      <c r="W1655" t="e" cm="1">
        <f t="array" ref="W1655">_xlfn.IFS(U1655="January",1,U1655="February",2,U1655="March",3,U1655="April",4,U1655="May",5,U1655="June",6,U1655="July",7,U1655="August",8,U1655="September",9,U1655="October",10,U1655="November",11,U1655="December",12)</f>
        <v>#N/A</v>
      </c>
    </row>
    <row r="1656" spans="1:23" ht="15.75" customHeight="1" x14ac:dyDescent="0.25">
      <c r="A1656" s="2" t="s">
        <v>467</v>
      </c>
      <c r="B1656" s="3">
        <v>45590.049872685187</v>
      </c>
      <c r="C1656" s="2" t="s">
        <v>468</v>
      </c>
      <c r="D1656" s="2" t="s">
        <v>163</v>
      </c>
      <c r="E1656" s="2" t="s">
        <v>144</v>
      </c>
      <c r="F1656" s="2" t="str" cm="1">
        <f t="array" ref="F1656:G1656">_xlfn.TEXTSPLIT(E1656," - ")</f>
        <v>Gula Pasir</v>
      </c>
      <c r="G1656" s="2" t="str">
        <v>Brand C</v>
      </c>
      <c r="H1656" s="5">
        <v>18000</v>
      </c>
      <c r="I1656" s="2">
        <v>1</v>
      </c>
      <c r="J1656" s="2">
        <v>10</v>
      </c>
      <c r="K1656" s="8">
        <f t="shared" si="150"/>
        <v>18000</v>
      </c>
      <c r="L1656" s="8">
        <f t="shared" si="151"/>
        <v>1800</v>
      </c>
      <c r="M1656" s="8">
        <f t="shared" si="152"/>
        <v>16200</v>
      </c>
      <c r="N1656" s="5">
        <v>50000</v>
      </c>
      <c r="O1656" s="8">
        <f t="shared" si="153"/>
        <v>66200</v>
      </c>
      <c r="P1656" s="2" t="s">
        <v>35</v>
      </c>
      <c r="Q1656" s="10" t="str">
        <f>VLOOKUP(A1656,Status!A:B,2,0)</f>
        <v>Completed</v>
      </c>
      <c r="R1656" s="2" t="s">
        <v>36</v>
      </c>
      <c r="S1656" s="2">
        <v>4</v>
      </c>
      <c r="T1656" s="2" t="s">
        <v>24</v>
      </c>
      <c r="U1656" s="10" t="str">
        <f t="shared" si="155"/>
        <v>Oct</v>
      </c>
      <c r="V1656" s="10">
        <f t="shared" si="154"/>
        <v>2024</v>
      </c>
      <c r="W1656" t="e" cm="1">
        <f t="array" ref="W1656">_xlfn.IFS(U1656="January",1,U1656="February",2,U1656="March",3,U1656="April",4,U1656="May",5,U1656="June",6,U1656="July",7,U1656="August",8,U1656="September",9,U1656="October",10,U1656="November",11,U1656="December",12)</f>
        <v>#N/A</v>
      </c>
    </row>
    <row r="1657" spans="1:23" ht="15.75" customHeight="1" x14ac:dyDescent="0.25">
      <c r="A1657" s="2" t="s">
        <v>469</v>
      </c>
      <c r="B1657" s="3">
        <v>45590.060011574067</v>
      </c>
      <c r="C1657" s="2" t="s">
        <v>470</v>
      </c>
      <c r="D1657" s="2" t="s">
        <v>116</v>
      </c>
      <c r="E1657" s="2" t="s">
        <v>110</v>
      </c>
      <c r="F1657" s="2" t="str" cm="1">
        <f t="array" ref="F1657:G1657">_xlfn.TEXTSPLIT(E1657," - ")</f>
        <v>Garam</v>
      </c>
      <c r="G1657" s="2" t="str">
        <v>Brand C</v>
      </c>
      <c r="H1657" s="5">
        <v>6000</v>
      </c>
      <c r="I1657" s="2">
        <v>4</v>
      </c>
      <c r="J1657" s="2">
        <v>5</v>
      </c>
      <c r="K1657" s="8">
        <f t="shared" si="150"/>
        <v>24000</v>
      </c>
      <c r="L1657" s="8">
        <f t="shared" si="151"/>
        <v>1200</v>
      </c>
      <c r="M1657" s="8">
        <f t="shared" si="152"/>
        <v>22800</v>
      </c>
      <c r="N1657" s="5">
        <v>72000</v>
      </c>
      <c r="O1657" s="8">
        <f t="shared" si="153"/>
        <v>94800</v>
      </c>
      <c r="P1657" s="2" t="s">
        <v>63</v>
      </c>
      <c r="Q1657" s="10" t="str">
        <f>VLOOKUP(A1657,Status!A:B,2,0)</f>
        <v>Completed</v>
      </c>
      <c r="R1657" s="2" t="s">
        <v>46</v>
      </c>
      <c r="S1657" s="2">
        <v>2</v>
      </c>
      <c r="T1657" s="2" t="s">
        <v>24</v>
      </c>
      <c r="U1657" s="10" t="str">
        <f t="shared" si="155"/>
        <v>Oct</v>
      </c>
      <c r="V1657" s="10">
        <f t="shared" si="154"/>
        <v>2024</v>
      </c>
      <c r="W1657" t="e" cm="1">
        <f t="array" ref="W1657">_xlfn.IFS(U1657="January",1,U1657="February",2,U1657="March",3,U1657="April",4,U1657="May",5,U1657="June",6,U1657="July",7,U1657="August",8,U1657="September",9,U1657="October",10,U1657="November",11,U1657="December",12)</f>
        <v>#N/A</v>
      </c>
    </row>
    <row r="1658" spans="1:23" ht="15.75" customHeight="1" x14ac:dyDescent="0.25">
      <c r="A1658" s="2" t="s">
        <v>471</v>
      </c>
      <c r="B1658" s="3">
        <v>45590.070925925917</v>
      </c>
      <c r="C1658" s="2" t="s">
        <v>379</v>
      </c>
      <c r="D1658" s="2" t="s">
        <v>27</v>
      </c>
      <c r="E1658" s="2" t="s">
        <v>136</v>
      </c>
      <c r="F1658" s="2" t="str" cm="1">
        <f t="array" ref="F1658:G1658">_xlfn.TEXTSPLIT(E1658," - ")</f>
        <v>Tepung Terigu</v>
      </c>
      <c r="G1658" s="2" t="str">
        <v>Brand B</v>
      </c>
      <c r="H1658" s="5">
        <v>12000</v>
      </c>
      <c r="I1658" s="2">
        <v>1</v>
      </c>
      <c r="J1658" s="2">
        <v>0</v>
      </c>
      <c r="K1658" s="8">
        <f t="shared" si="150"/>
        <v>12000</v>
      </c>
      <c r="L1658" s="8">
        <f t="shared" si="151"/>
        <v>0</v>
      </c>
      <c r="M1658" s="8">
        <f t="shared" si="152"/>
        <v>12000</v>
      </c>
      <c r="N1658" s="5">
        <v>17000</v>
      </c>
      <c r="O1658" s="8">
        <f t="shared" si="153"/>
        <v>29000</v>
      </c>
      <c r="P1658" s="2" t="s">
        <v>35</v>
      </c>
      <c r="Q1658" s="10" t="str">
        <f>VLOOKUP(A1658,Status!A:B,2,0)</f>
        <v>Completed</v>
      </c>
      <c r="R1658" s="2" t="s">
        <v>23</v>
      </c>
      <c r="S1658" s="2">
        <v>4</v>
      </c>
      <c r="T1658" s="2" t="s">
        <v>24</v>
      </c>
      <c r="U1658" s="10" t="str">
        <f t="shared" si="155"/>
        <v>Oct</v>
      </c>
      <c r="V1658" s="10">
        <f t="shared" si="154"/>
        <v>2024</v>
      </c>
      <c r="W1658" t="e" cm="1">
        <f t="array" ref="W1658">_xlfn.IFS(U1658="January",1,U1658="February",2,U1658="March",3,U1658="April",4,U1658="May",5,U1658="June",6,U1658="July",7,U1658="August",8,U1658="September",9,U1658="October",10,U1658="November",11,U1658="December",12)</f>
        <v>#N/A</v>
      </c>
    </row>
    <row r="1659" spans="1:23" ht="15.75" customHeight="1" x14ac:dyDescent="0.25">
      <c r="A1659" s="2" t="s">
        <v>472</v>
      </c>
      <c r="B1659" s="3">
        <v>45590.156111111108</v>
      </c>
      <c r="C1659" s="2" t="s">
        <v>473</v>
      </c>
      <c r="D1659" s="2" t="s">
        <v>122</v>
      </c>
      <c r="E1659" s="2" t="s">
        <v>88</v>
      </c>
      <c r="F1659" s="2" t="str" cm="1">
        <f t="array" ref="F1659:G1659">_xlfn.TEXTSPLIT(E1659," - ")</f>
        <v>Beras</v>
      </c>
      <c r="G1659" s="2" t="str">
        <v>Brand A</v>
      </c>
      <c r="H1659" s="5">
        <v>14000</v>
      </c>
      <c r="I1659" s="2">
        <v>4</v>
      </c>
      <c r="J1659" s="2">
        <v>5</v>
      </c>
      <c r="K1659" s="8">
        <f t="shared" si="150"/>
        <v>56000</v>
      </c>
      <c r="L1659" s="8">
        <f t="shared" si="151"/>
        <v>2800</v>
      </c>
      <c r="M1659" s="8">
        <f t="shared" si="152"/>
        <v>53200</v>
      </c>
      <c r="N1659" s="5">
        <v>78000</v>
      </c>
      <c r="O1659" s="8">
        <f t="shared" si="153"/>
        <v>131200</v>
      </c>
      <c r="P1659" s="2" t="s">
        <v>29</v>
      </c>
      <c r="Q1659" s="10" t="str">
        <f>VLOOKUP(A1659,Status!A:B,2,0)</f>
        <v>Returned</v>
      </c>
      <c r="R1659" s="2" t="s">
        <v>23</v>
      </c>
      <c r="S1659" s="2">
        <v>1</v>
      </c>
      <c r="T1659" s="2" t="s">
        <v>24</v>
      </c>
      <c r="U1659" s="10" t="str">
        <f t="shared" si="155"/>
        <v>Oct</v>
      </c>
      <c r="V1659" s="10">
        <f t="shared" si="154"/>
        <v>2024</v>
      </c>
      <c r="W1659" t="e" cm="1">
        <f t="array" ref="W1659">_xlfn.IFS(U1659="January",1,U1659="February",2,U1659="March",3,U1659="April",4,U1659="May",5,U1659="June",6,U1659="July",7,U1659="August",8,U1659="September",9,U1659="October",10,U1659="November",11,U1659="December",12)</f>
        <v>#N/A</v>
      </c>
    </row>
    <row r="1660" spans="1:23" ht="15.75" customHeight="1" x14ac:dyDescent="0.25">
      <c r="A1660" s="2" t="s">
        <v>474</v>
      </c>
      <c r="B1660" s="3">
        <v>45590.454780092587</v>
      </c>
      <c r="C1660" s="2" t="s">
        <v>52</v>
      </c>
      <c r="D1660" s="2" t="s">
        <v>53</v>
      </c>
      <c r="E1660" s="2" t="s">
        <v>34</v>
      </c>
      <c r="F1660" s="2" t="str" cm="1">
        <f t="array" ref="F1660:G1660">_xlfn.TEXTSPLIT(E1660," - ")</f>
        <v>Minyak Goreng</v>
      </c>
      <c r="G1660" s="2" t="str">
        <v>Brand A</v>
      </c>
      <c r="H1660" s="5">
        <v>16000</v>
      </c>
      <c r="I1660" s="2">
        <v>4</v>
      </c>
      <c r="J1660" s="2">
        <v>0</v>
      </c>
      <c r="K1660" s="8">
        <f t="shared" si="150"/>
        <v>64000</v>
      </c>
      <c r="L1660" s="8">
        <f t="shared" si="151"/>
        <v>0</v>
      </c>
      <c r="M1660" s="8">
        <f t="shared" si="152"/>
        <v>64000</v>
      </c>
      <c r="N1660" s="5">
        <v>18000</v>
      </c>
      <c r="O1660" s="8">
        <f t="shared" si="153"/>
        <v>82000</v>
      </c>
      <c r="P1660" s="2" t="s">
        <v>22</v>
      </c>
      <c r="Q1660" s="10" t="str">
        <f>VLOOKUP(A1660,Status!A:B,2,0)</f>
        <v>Completed</v>
      </c>
      <c r="R1660" s="2" t="s">
        <v>82</v>
      </c>
      <c r="S1660" s="2">
        <v>5</v>
      </c>
      <c r="T1660" s="2" t="s">
        <v>24</v>
      </c>
      <c r="U1660" s="10" t="str">
        <f t="shared" si="155"/>
        <v>Oct</v>
      </c>
      <c r="V1660" s="10">
        <f t="shared" si="154"/>
        <v>2024</v>
      </c>
      <c r="W1660" t="e" cm="1">
        <f t="array" ref="W1660">_xlfn.IFS(U1660="January",1,U1660="February",2,U1660="March",3,U1660="April",4,U1660="May",5,U1660="June",6,U1660="July",7,U1660="August",8,U1660="September",9,U1660="October",10,U1660="November",11,U1660="December",12)</f>
        <v>#N/A</v>
      </c>
    </row>
    <row r="1661" spans="1:23" ht="15.75" customHeight="1" x14ac:dyDescent="0.25">
      <c r="A1661" s="2" t="s">
        <v>475</v>
      </c>
      <c r="B1661" s="3">
        <v>45590.681967592587</v>
      </c>
      <c r="C1661" s="2" t="s">
        <v>446</v>
      </c>
      <c r="D1661" s="2" t="s">
        <v>296</v>
      </c>
      <c r="E1661" s="2" t="s">
        <v>21</v>
      </c>
      <c r="F1661" s="2" t="str" cm="1">
        <f t="array" ref="F1661:G1661">_xlfn.TEXTSPLIT(E1661," - ")</f>
        <v>Daging Ayam</v>
      </c>
      <c r="G1661" s="2" t="str">
        <v>Brand C</v>
      </c>
      <c r="H1661" s="5">
        <v>45000</v>
      </c>
      <c r="I1661" s="2">
        <v>2</v>
      </c>
      <c r="J1661" s="2">
        <v>0</v>
      </c>
      <c r="K1661" s="8">
        <f t="shared" si="150"/>
        <v>90000</v>
      </c>
      <c r="L1661" s="8">
        <f t="shared" si="151"/>
        <v>0</v>
      </c>
      <c r="M1661" s="8">
        <f t="shared" si="152"/>
        <v>90000</v>
      </c>
      <c r="N1661" s="5">
        <v>79000</v>
      </c>
      <c r="O1661" s="8">
        <f t="shared" si="153"/>
        <v>169000</v>
      </c>
      <c r="P1661" s="2" t="s">
        <v>29</v>
      </c>
      <c r="Q1661" s="10" t="str">
        <f>VLOOKUP(A1661,Status!A:B,2,0)</f>
        <v>Completed</v>
      </c>
      <c r="R1661" s="2" t="s">
        <v>82</v>
      </c>
      <c r="S1661" s="2">
        <v>5</v>
      </c>
      <c r="T1661" s="2" t="s">
        <v>37</v>
      </c>
      <c r="U1661" s="10" t="str">
        <f t="shared" si="155"/>
        <v>Oct</v>
      </c>
      <c r="V1661" s="10">
        <f t="shared" si="154"/>
        <v>2024</v>
      </c>
      <c r="W1661" t="e" cm="1">
        <f t="array" ref="W1661">_xlfn.IFS(U1661="January",1,U1661="February",2,U1661="March",3,U1661="April",4,U1661="May",5,U1661="June",6,U1661="July",7,U1661="August",8,U1661="September",9,U1661="October",10,U1661="November",11,U1661="December",12)</f>
        <v>#N/A</v>
      </c>
    </row>
    <row r="1662" spans="1:23" ht="15.75" customHeight="1" x14ac:dyDescent="0.25">
      <c r="A1662" s="2" t="s">
        <v>476</v>
      </c>
      <c r="B1662" s="3">
        <v>45590.768460648149</v>
      </c>
      <c r="C1662" s="2" t="s">
        <v>477</v>
      </c>
      <c r="D1662" s="2" t="s">
        <v>182</v>
      </c>
      <c r="E1662" s="2" t="s">
        <v>75</v>
      </c>
      <c r="F1662" s="2" t="str" cm="1">
        <f t="array" ref="F1662:G1662">_xlfn.TEXTSPLIT(E1662," - ")</f>
        <v>Susu Bubuk</v>
      </c>
      <c r="G1662" s="2" t="str">
        <v>Brand C</v>
      </c>
      <c r="H1662" s="5">
        <v>55000</v>
      </c>
      <c r="I1662" s="2">
        <v>5</v>
      </c>
      <c r="J1662" s="2">
        <v>5</v>
      </c>
      <c r="K1662" s="8">
        <f t="shared" si="150"/>
        <v>275000</v>
      </c>
      <c r="L1662" s="8">
        <f t="shared" si="151"/>
        <v>13750</v>
      </c>
      <c r="M1662" s="8">
        <f t="shared" si="152"/>
        <v>261250</v>
      </c>
      <c r="N1662" s="5">
        <v>48000</v>
      </c>
      <c r="O1662" s="8">
        <f t="shared" si="153"/>
        <v>309250</v>
      </c>
      <c r="P1662" s="2" t="s">
        <v>35</v>
      </c>
      <c r="Q1662" s="10" t="str">
        <f>VLOOKUP(A1662,Status!A:B,2,0)</f>
        <v>Returned</v>
      </c>
      <c r="R1662" s="2" t="s">
        <v>82</v>
      </c>
      <c r="S1662" s="2">
        <v>1</v>
      </c>
      <c r="T1662" s="2" t="s">
        <v>24</v>
      </c>
      <c r="U1662" s="10" t="str">
        <f t="shared" si="155"/>
        <v>Oct</v>
      </c>
      <c r="V1662" s="10">
        <f t="shared" si="154"/>
        <v>2024</v>
      </c>
      <c r="W1662" t="e" cm="1">
        <f t="array" ref="W1662">_xlfn.IFS(U1662="January",1,U1662="February",2,U1662="March",3,U1662="April",4,U1662="May",5,U1662="June",6,U1662="July",7,U1662="August",8,U1662="September",9,U1662="October",10,U1662="November",11,U1662="December",12)</f>
        <v>#N/A</v>
      </c>
    </row>
    <row r="1663" spans="1:23" ht="15.75" customHeight="1" x14ac:dyDescent="0.25">
      <c r="A1663" s="2" t="s">
        <v>478</v>
      </c>
      <c r="B1663" s="3">
        <v>45590.867025462961</v>
      </c>
      <c r="C1663" s="2" t="s">
        <v>479</v>
      </c>
      <c r="D1663" s="2" t="s">
        <v>107</v>
      </c>
      <c r="E1663" s="2" t="s">
        <v>81</v>
      </c>
      <c r="F1663" s="2" t="str" cm="1">
        <f t="array" ref="F1663:G1663">_xlfn.TEXTSPLIT(E1663," - ")</f>
        <v>Minyak Goreng</v>
      </c>
      <c r="G1663" s="2" t="str">
        <v>Brand B</v>
      </c>
      <c r="H1663" s="5">
        <v>17000</v>
      </c>
      <c r="I1663" s="2">
        <v>3</v>
      </c>
      <c r="J1663" s="2">
        <v>15</v>
      </c>
      <c r="K1663" s="8">
        <f t="shared" si="150"/>
        <v>51000</v>
      </c>
      <c r="L1663" s="8">
        <f t="shared" si="151"/>
        <v>7650</v>
      </c>
      <c r="M1663" s="8">
        <f t="shared" si="152"/>
        <v>43350</v>
      </c>
      <c r="N1663" s="5">
        <v>97000</v>
      </c>
      <c r="O1663" s="8">
        <f t="shared" si="153"/>
        <v>140350</v>
      </c>
      <c r="P1663" s="2" t="s">
        <v>63</v>
      </c>
      <c r="Q1663" s="10" t="str">
        <f>VLOOKUP(A1663,Status!A:B,2,0)</f>
        <v>Completed</v>
      </c>
      <c r="R1663" s="2" t="s">
        <v>36</v>
      </c>
      <c r="S1663" s="2">
        <v>5</v>
      </c>
      <c r="T1663" s="2" t="s">
        <v>37</v>
      </c>
      <c r="U1663" s="10" t="str">
        <f t="shared" si="155"/>
        <v>Oct</v>
      </c>
      <c r="V1663" s="10">
        <f t="shared" si="154"/>
        <v>2024</v>
      </c>
      <c r="W1663" t="e" cm="1">
        <f t="array" ref="W1663">_xlfn.IFS(U1663="January",1,U1663="February",2,U1663="March",3,U1663="April",4,U1663="May",5,U1663="June",6,U1663="July",7,U1663="August",8,U1663="September",9,U1663="October",10,U1663="November",11,U1663="December",12)</f>
        <v>#N/A</v>
      </c>
    </row>
    <row r="1664" spans="1:23" ht="15.75" customHeight="1" x14ac:dyDescent="0.25">
      <c r="A1664" s="2" t="s">
        <v>480</v>
      </c>
      <c r="B1664" s="3">
        <v>45590.888842592591</v>
      </c>
      <c r="C1664" s="2" t="s">
        <v>377</v>
      </c>
      <c r="D1664" s="2" t="s">
        <v>182</v>
      </c>
      <c r="E1664" s="2" t="s">
        <v>123</v>
      </c>
      <c r="F1664" s="2" t="str" cm="1">
        <f t="array" ref="F1664:G1664">_xlfn.TEXTSPLIT(E1664," - ")</f>
        <v>Telur Ayam</v>
      </c>
      <c r="G1664" s="2" t="str">
        <v>Brand A</v>
      </c>
      <c r="H1664" s="5">
        <v>22000</v>
      </c>
      <c r="I1664" s="2">
        <v>5</v>
      </c>
      <c r="J1664" s="2">
        <v>10</v>
      </c>
      <c r="K1664" s="8">
        <f t="shared" si="150"/>
        <v>110000</v>
      </c>
      <c r="L1664" s="8">
        <f t="shared" si="151"/>
        <v>11000</v>
      </c>
      <c r="M1664" s="8">
        <f t="shared" si="152"/>
        <v>99000</v>
      </c>
      <c r="N1664" s="5">
        <v>48000</v>
      </c>
      <c r="O1664" s="8">
        <f t="shared" si="153"/>
        <v>147000</v>
      </c>
      <c r="P1664" s="2" t="s">
        <v>22</v>
      </c>
      <c r="Q1664" s="10" t="str">
        <f>VLOOKUP(A1664,Status!A:B,2,0)</f>
        <v>Completed</v>
      </c>
      <c r="R1664" s="2" t="s">
        <v>82</v>
      </c>
      <c r="S1664" s="2">
        <v>3</v>
      </c>
      <c r="T1664" s="2" t="s">
        <v>24</v>
      </c>
      <c r="U1664" s="10" t="str">
        <f t="shared" si="155"/>
        <v>Oct</v>
      </c>
      <c r="V1664" s="10">
        <f t="shared" si="154"/>
        <v>2024</v>
      </c>
      <c r="W1664" t="e" cm="1">
        <f t="array" ref="W1664">_xlfn.IFS(U1664="January",1,U1664="February",2,U1664="March",3,U1664="April",4,U1664="May",5,U1664="June",6,U1664="July",7,U1664="August",8,U1664="September",9,U1664="October",10,U1664="November",11,U1664="December",12)</f>
        <v>#N/A</v>
      </c>
    </row>
    <row r="1665" spans="1:23" ht="15.75" customHeight="1" x14ac:dyDescent="0.25">
      <c r="A1665" s="2" t="s">
        <v>481</v>
      </c>
      <c r="B1665" s="3">
        <v>45590.895532407398</v>
      </c>
      <c r="C1665" s="2" t="s">
        <v>184</v>
      </c>
      <c r="D1665" s="2" t="s">
        <v>103</v>
      </c>
      <c r="E1665" s="2" t="s">
        <v>123</v>
      </c>
      <c r="F1665" s="2" t="str" cm="1">
        <f t="array" ref="F1665:G1665">_xlfn.TEXTSPLIT(E1665," - ")</f>
        <v>Telur Ayam</v>
      </c>
      <c r="G1665" s="2" t="str">
        <v>Brand A</v>
      </c>
      <c r="H1665" s="5">
        <v>22000</v>
      </c>
      <c r="I1665" s="2">
        <v>3</v>
      </c>
      <c r="J1665" s="2">
        <v>0</v>
      </c>
      <c r="K1665" s="8">
        <f t="shared" si="150"/>
        <v>66000</v>
      </c>
      <c r="L1665" s="8">
        <f t="shared" si="151"/>
        <v>0</v>
      </c>
      <c r="M1665" s="8">
        <f t="shared" si="152"/>
        <v>66000</v>
      </c>
      <c r="N1665" s="5">
        <v>85000</v>
      </c>
      <c r="O1665" s="8">
        <f t="shared" si="153"/>
        <v>151000</v>
      </c>
      <c r="P1665" s="2" t="s">
        <v>35</v>
      </c>
      <c r="Q1665" s="10" t="str">
        <f>VLOOKUP(A1665,Status!A:B,2,0)</f>
        <v>Completed</v>
      </c>
      <c r="R1665" s="2" t="s">
        <v>23</v>
      </c>
      <c r="S1665" s="2">
        <v>1</v>
      </c>
      <c r="T1665" s="2" t="s">
        <v>24</v>
      </c>
      <c r="U1665" s="10" t="str">
        <f t="shared" si="155"/>
        <v>Oct</v>
      </c>
      <c r="V1665" s="10">
        <f t="shared" si="154"/>
        <v>2024</v>
      </c>
      <c r="W1665" t="e" cm="1">
        <f t="array" ref="W1665">_xlfn.IFS(U1665="January",1,U1665="February",2,U1665="March",3,U1665="April",4,U1665="May",5,U1665="June",6,U1665="July",7,U1665="August",8,U1665="September",9,U1665="October",10,U1665="November",11,U1665="December",12)</f>
        <v>#N/A</v>
      </c>
    </row>
    <row r="1666" spans="1:23" ht="15.75" customHeight="1" x14ac:dyDescent="0.25">
      <c r="A1666" s="2" t="s">
        <v>482</v>
      </c>
      <c r="B1666" s="3">
        <v>45591.019918981481</v>
      </c>
      <c r="C1666" s="2" t="s">
        <v>483</v>
      </c>
      <c r="D1666" s="2" t="s">
        <v>170</v>
      </c>
      <c r="E1666" s="2" t="s">
        <v>54</v>
      </c>
      <c r="F1666" s="2" t="str" cm="1">
        <f t="array" ref="F1666:G1666">_xlfn.TEXTSPLIT(E1666," - ")</f>
        <v>Beras</v>
      </c>
      <c r="G1666" s="2" t="str">
        <v>Brand C</v>
      </c>
      <c r="H1666" s="5">
        <v>16000</v>
      </c>
      <c r="I1666" s="2">
        <v>5</v>
      </c>
      <c r="J1666" s="2">
        <v>10</v>
      </c>
      <c r="K1666" s="8">
        <f t="shared" ref="K1666:K1729" si="156">H1666*I1666</f>
        <v>80000</v>
      </c>
      <c r="L1666" s="8">
        <f t="shared" ref="L1666:L1729" si="157">K1666*J1666%</f>
        <v>8000</v>
      </c>
      <c r="M1666" s="8">
        <f t="shared" ref="M1666:M1729" si="158">K1666-L1666</f>
        <v>72000</v>
      </c>
      <c r="N1666" s="5">
        <v>46000</v>
      </c>
      <c r="O1666" s="8">
        <f t="shared" ref="O1666:O1729" si="159">M1666+N1666</f>
        <v>118000</v>
      </c>
      <c r="P1666" s="2" t="s">
        <v>29</v>
      </c>
      <c r="Q1666" s="10" t="str">
        <f>VLOOKUP(A1666,Status!A:B,2,0)</f>
        <v>Completed</v>
      </c>
      <c r="R1666" s="2" t="s">
        <v>30</v>
      </c>
      <c r="S1666" s="2">
        <v>4</v>
      </c>
      <c r="T1666" s="2" t="s">
        <v>24</v>
      </c>
      <c r="U1666" s="10" t="str">
        <f t="shared" si="155"/>
        <v>Oct</v>
      </c>
      <c r="V1666" s="10">
        <f t="shared" ref="V1666:V1729" si="160">YEAR(B1666)</f>
        <v>2024</v>
      </c>
      <c r="W1666" t="e" cm="1">
        <f t="array" ref="W1666">_xlfn.IFS(U1666="January",1,U1666="February",2,U1666="March",3,U1666="April",4,U1666="May",5,U1666="June",6,U1666="July",7,U1666="August",8,U1666="September",9,U1666="October",10,U1666="November",11,U1666="December",12)</f>
        <v>#N/A</v>
      </c>
    </row>
    <row r="1667" spans="1:23" ht="15.75" customHeight="1" x14ac:dyDescent="0.25">
      <c r="A1667" s="2" t="s">
        <v>484</v>
      </c>
      <c r="B1667" s="3">
        <v>45591.140474537038</v>
      </c>
      <c r="C1667" s="2" t="s">
        <v>201</v>
      </c>
      <c r="D1667" s="2" t="s">
        <v>107</v>
      </c>
      <c r="E1667" s="2" t="s">
        <v>190</v>
      </c>
      <c r="F1667" s="2" t="str" cm="1">
        <f t="array" ref="F1667:G1667">_xlfn.TEXTSPLIT(E1667," - ")</f>
        <v>Bawang Merah</v>
      </c>
      <c r="G1667" s="2" t="str">
        <v>Brand B</v>
      </c>
      <c r="H1667" s="5">
        <v>35000</v>
      </c>
      <c r="I1667" s="2">
        <v>1</v>
      </c>
      <c r="J1667" s="2">
        <v>15</v>
      </c>
      <c r="K1667" s="8">
        <f t="shared" si="156"/>
        <v>35000</v>
      </c>
      <c r="L1667" s="8">
        <f t="shared" si="157"/>
        <v>5250</v>
      </c>
      <c r="M1667" s="8">
        <f t="shared" si="158"/>
        <v>29750</v>
      </c>
      <c r="N1667" s="5">
        <v>97000</v>
      </c>
      <c r="O1667" s="8">
        <f t="shared" si="159"/>
        <v>126750</v>
      </c>
      <c r="P1667" s="2" t="s">
        <v>63</v>
      </c>
      <c r="Q1667" s="10" t="str">
        <f>VLOOKUP(A1667,Status!A:B,2,0)</f>
        <v>Completed</v>
      </c>
      <c r="R1667" s="2" t="s">
        <v>46</v>
      </c>
      <c r="S1667" s="2">
        <v>5</v>
      </c>
      <c r="T1667" s="2" t="s">
        <v>24</v>
      </c>
      <c r="U1667" s="10" t="str">
        <f t="shared" ref="U1667:U1730" si="161">TEXT(B1667,"MMM")</f>
        <v>Oct</v>
      </c>
      <c r="V1667" s="10">
        <f t="shared" si="160"/>
        <v>2024</v>
      </c>
      <c r="W1667" t="e" cm="1">
        <f t="array" ref="W1667">_xlfn.IFS(U1667="January",1,U1667="February",2,U1667="March",3,U1667="April",4,U1667="May",5,U1667="June",6,U1667="July",7,U1667="August",8,U1667="September",9,U1667="October",10,U1667="November",11,U1667="December",12)</f>
        <v>#N/A</v>
      </c>
    </row>
    <row r="1668" spans="1:23" ht="15.75" customHeight="1" x14ac:dyDescent="0.25">
      <c r="A1668" s="2" t="s">
        <v>485</v>
      </c>
      <c r="B1668" s="3">
        <v>45591.467962962961</v>
      </c>
      <c r="C1668" s="2" t="s">
        <v>486</v>
      </c>
      <c r="D1668" s="2" t="s">
        <v>182</v>
      </c>
      <c r="E1668" s="2" t="s">
        <v>123</v>
      </c>
      <c r="F1668" s="2" t="str" cm="1">
        <f t="array" ref="F1668:G1668">_xlfn.TEXTSPLIT(E1668," - ")</f>
        <v>Telur Ayam</v>
      </c>
      <c r="G1668" s="2" t="str">
        <v>Brand A</v>
      </c>
      <c r="H1668" s="5">
        <v>22000</v>
      </c>
      <c r="I1668" s="2">
        <v>3</v>
      </c>
      <c r="J1668" s="2">
        <v>0</v>
      </c>
      <c r="K1668" s="8">
        <f t="shared" si="156"/>
        <v>66000</v>
      </c>
      <c r="L1668" s="8">
        <f t="shared" si="157"/>
        <v>0</v>
      </c>
      <c r="M1668" s="8">
        <f t="shared" si="158"/>
        <v>66000</v>
      </c>
      <c r="N1668" s="5">
        <v>48000</v>
      </c>
      <c r="O1668" s="8">
        <f t="shared" si="159"/>
        <v>114000</v>
      </c>
      <c r="P1668" s="2" t="s">
        <v>63</v>
      </c>
      <c r="Q1668" s="10" t="str">
        <f>VLOOKUP(A1668,Status!A:B,2,0)</f>
        <v>Completed</v>
      </c>
      <c r="R1668" s="2" t="s">
        <v>36</v>
      </c>
      <c r="S1668" s="2">
        <v>2</v>
      </c>
      <c r="T1668" s="2" t="s">
        <v>24</v>
      </c>
      <c r="U1668" s="10" t="str">
        <f t="shared" si="161"/>
        <v>Oct</v>
      </c>
      <c r="V1668" s="10">
        <f t="shared" si="160"/>
        <v>2024</v>
      </c>
      <c r="W1668" t="e" cm="1">
        <f t="array" ref="W1668">_xlfn.IFS(U1668="January",1,U1668="February",2,U1668="March",3,U1668="April",4,U1668="May",5,U1668="June",6,U1668="July",7,U1668="August",8,U1668="September",9,U1668="October",10,U1668="November",11,U1668="December",12)</f>
        <v>#N/A</v>
      </c>
    </row>
    <row r="1669" spans="1:23" ht="15.75" customHeight="1" x14ac:dyDescent="0.25">
      <c r="A1669" s="2" t="s">
        <v>487</v>
      </c>
      <c r="B1669" s="3">
        <v>45591.748981481483</v>
      </c>
      <c r="C1669" s="2" t="s">
        <v>488</v>
      </c>
      <c r="D1669" s="2" t="s">
        <v>49</v>
      </c>
      <c r="E1669" s="2" t="s">
        <v>62</v>
      </c>
      <c r="F1669" s="2" t="str" cm="1">
        <f t="array" ref="F1669:G1669">_xlfn.TEXTSPLIT(E1669," - ")</f>
        <v>Susu Bubuk</v>
      </c>
      <c r="G1669" s="2" t="str">
        <v>Brand B</v>
      </c>
      <c r="H1669" s="5">
        <v>50000</v>
      </c>
      <c r="I1669" s="2">
        <v>5</v>
      </c>
      <c r="J1669" s="2">
        <v>15</v>
      </c>
      <c r="K1669" s="8">
        <f t="shared" si="156"/>
        <v>250000</v>
      </c>
      <c r="L1669" s="8">
        <f t="shared" si="157"/>
        <v>37500</v>
      </c>
      <c r="M1669" s="8">
        <f t="shared" si="158"/>
        <v>212500</v>
      </c>
      <c r="N1669" s="5">
        <v>43000</v>
      </c>
      <c r="O1669" s="8">
        <f t="shared" si="159"/>
        <v>255500</v>
      </c>
      <c r="P1669" s="2" t="s">
        <v>35</v>
      </c>
      <c r="Q1669" s="10" t="str">
        <f>VLOOKUP(A1669,Status!A:B,2,0)</f>
        <v>Completed</v>
      </c>
      <c r="R1669" s="2" t="s">
        <v>36</v>
      </c>
      <c r="S1669" s="2">
        <v>5</v>
      </c>
      <c r="T1669" s="2" t="s">
        <v>24</v>
      </c>
      <c r="U1669" s="10" t="str">
        <f t="shared" si="161"/>
        <v>Oct</v>
      </c>
      <c r="V1669" s="10">
        <f t="shared" si="160"/>
        <v>2024</v>
      </c>
      <c r="W1669" t="e" cm="1">
        <f t="array" ref="W1669">_xlfn.IFS(U1669="January",1,U1669="February",2,U1669="March",3,U1669="April",4,U1669="May",5,U1669="June",6,U1669="July",7,U1669="August",8,U1669="September",9,U1669="October",10,U1669="November",11,U1669="December",12)</f>
        <v>#N/A</v>
      </c>
    </row>
    <row r="1670" spans="1:23" ht="15.75" customHeight="1" x14ac:dyDescent="0.25">
      <c r="A1670" s="2" t="s">
        <v>489</v>
      </c>
      <c r="B1670" s="3">
        <v>45591.931064814817</v>
      </c>
      <c r="C1670" s="2" t="s">
        <v>203</v>
      </c>
      <c r="D1670" s="2" t="s">
        <v>20</v>
      </c>
      <c r="E1670" s="2" t="s">
        <v>136</v>
      </c>
      <c r="F1670" s="2" t="str" cm="1">
        <f t="array" ref="F1670:G1670">_xlfn.TEXTSPLIT(E1670," - ")</f>
        <v>Tepung Terigu</v>
      </c>
      <c r="G1670" s="2" t="str">
        <v>Brand B</v>
      </c>
      <c r="H1670" s="5">
        <v>12000</v>
      </c>
      <c r="I1670" s="2">
        <v>1</v>
      </c>
      <c r="J1670" s="2">
        <v>0</v>
      </c>
      <c r="K1670" s="8">
        <f t="shared" si="156"/>
        <v>12000</v>
      </c>
      <c r="L1670" s="8">
        <f t="shared" si="157"/>
        <v>0</v>
      </c>
      <c r="M1670" s="8">
        <f t="shared" si="158"/>
        <v>12000</v>
      </c>
      <c r="N1670" s="5">
        <v>15000</v>
      </c>
      <c r="O1670" s="8">
        <f t="shared" si="159"/>
        <v>27000</v>
      </c>
      <c r="P1670" s="2" t="s">
        <v>22</v>
      </c>
      <c r="Q1670" s="10" t="str">
        <f>VLOOKUP(A1670,Status!A:B,2,0)</f>
        <v>Completed</v>
      </c>
      <c r="R1670" s="2" t="s">
        <v>30</v>
      </c>
      <c r="S1670" s="2">
        <v>5</v>
      </c>
      <c r="T1670" s="2" t="s">
        <v>24</v>
      </c>
      <c r="U1670" s="10" t="str">
        <f t="shared" si="161"/>
        <v>Oct</v>
      </c>
      <c r="V1670" s="10">
        <f t="shared" si="160"/>
        <v>2024</v>
      </c>
      <c r="W1670" t="e" cm="1">
        <f t="array" ref="W1670">_xlfn.IFS(U1670="January",1,U1670="February",2,U1670="March",3,U1670="April",4,U1670="May",5,U1670="June",6,U1670="July",7,U1670="August",8,U1670="September",9,U1670="October",10,U1670="November",11,U1670="December",12)</f>
        <v>#N/A</v>
      </c>
    </row>
    <row r="1671" spans="1:23" ht="15.75" customHeight="1" x14ac:dyDescent="0.25">
      <c r="A1671" s="2" t="s">
        <v>490</v>
      </c>
      <c r="B1671" s="3">
        <v>45591.96943287037</v>
      </c>
      <c r="C1671" s="2" t="s">
        <v>181</v>
      </c>
      <c r="D1671" s="2" t="s">
        <v>182</v>
      </c>
      <c r="E1671" s="2" t="s">
        <v>75</v>
      </c>
      <c r="F1671" s="2" t="str" cm="1">
        <f t="array" ref="F1671:G1671">_xlfn.TEXTSPLIT(E1671," - ")</f>
        <v>Susu Bubuk</v>
      </c>
      <c r="G1671" s="2" t="str">
        <v>Brand C</v>
      </c>
      <c r="H1671" s="5">
        <v>55000</v>
      </c>
      <c r="I1671" s="2">
        <v>3</v>
      </c>
      <c r="J1671" s="2">
        <v>0</v>
      </c>
      <c r="K1671" s="8">
        <f t="shared" si="156"/>
        <v>165000</v>
      </c>
      <c r="L1671" s="8">
        <f t="shared" si="157"/>
        <v>0</v>
      </c>
      <c r="M1671" s="8">
        <f t="shared" si="158"/>
        <v>165000</v>
      </c>
      <c r="N1671" s="5">
        <v>48000</v>
      </c>
      <c r="O1671" s="8">
        <f t="shared" si="159"/>
        <v>213000</v>
      </c>
      <c r="P1671" s="2" t="s">
        <v>63</v>
      </c>
      <c r="Q1671" s="10" t="str">
        <f>VLOOKUP(A1671,Status!A:B,2,0)</f>
        <v>Completed</v>
      </c>
      <c r="R1671" s="2" t="s">
        <v>30</v>
      </c>
      <c r="S1671" s="2">
        <v>2</v>
      </c>
      <c r="T1671" s="2" t="s">
        <v>24</v>
      </c>
      <c r="U1671" s="10" t="str">
        <f t="shared" si="161"/>
        <v>Oct</v>
      </c>
      <c r="V1671" s="10">
        <f t="shared" si="160"/>
        <v>2024</v>
      </c>
      <c r="W1671" t="e" cm="1">
        <f t="array" ref="W1671">_xlfn.IFS(U1671="January",1,U1671="February",2,U1671="March",3,U1671="April",4,U1671="May",5,U1671="June",6,U1671="July",7,U1671="August",8,U1671="September",9,U1671="October",10,U1671="November",11,U1671="December",12)</f>
        <v>#N/A</v>
      </c>
    </row>
    <row r="1672" spans="1:23" ht="15.75" customHeight="1" x14ac:dyDescent="0.25">
      <c r="A1672" s="2" t="s">
        <v>491</v>
      </c>
      <c r="B1672" s="3">
        <v>45592.29173611111</v>
      </c>
      <c r="C1672" s="2" t="s">
        <v>492</v>
      </c>
      <c r="D1672" s="2" t="s">
        <v>96</v>
      </c>
      <c r="E1672" s="2" t="s">
        <v>21</v>
      </c>
      <c r="F1672" s="2" t="str" cm="1">
        <f t="array" ref="F1672:G1672">_xlfn.TEXTSPLIT(E1672," - ")</f>
        <v>Daging Ayam</v>
      </c>
      <c r="G1672" s="2" t="str">
        <v>Brand C</v>
      </c>
      <c r="H1672" s="5">
        <v>45000</v>
      </c>
      <c r="I1672" s="2">
        <v>4</v>
      </c>
      <c r="J1672" s="2">
        <v>0</v>
      </c>
      <c r="K1672" s="8">
        <f t="shared" si="156"/>
        <v>180000</v>
      </c>
      <c r="L1672" s="8">
        <f t="shared" si="157"/>
        <v>0</v>
      </c>
      <c r="M1672" s="8">
        <f t="shared" si="158"/>
        <v>180000</v>
      </c>
      <c r="N1672" s="5">
        <v>49000</v>
      </c>
      <c r="O1672" s="8">
        <f t="shared" si="159"/>
        <v>229000</v>
      </c>
      <c r="P1672" s="2" t="s">
        <v>63</v>
      </c>
      <c r="Q1672" s="10" t="str">
        <f>VLOOKUP(A1672,Status!A:B,2,0)</f>
        <v>Returned</v>
      </c>
      <c r="R1672" s="2" t="s">
        <v>82</v>
      </c>
      <c r="S1672" s="2">
        <v>1</v>
      </c>
      <c r="T1672" s="2" t="s">
        <v>37</v>
      </c>
      <c r="U1672" s="10" t="str">
        <f t="shared" si="161"/>
        <v>Oct</v>
      </c>
      <c r="V1672" s="10">
        <f t="shared" si="160"/>
        <v>2024</v>
      </c>
      <c r="W1672" t="e" cm="1">
        <f t="array" ref="W1672">_xlfn.IFS(U1672="January",1,U1672="February",2,U1672="March",3,U1672="April",4,U1672="May",5,U1672="June",6,U1672="July",7,U1672="August",8,U1672="September",9,U1672="October",10,U1672="November",11,U1672="December",12)</f>
        <v>#N/A</v>
      </c>
    </row>
    <row r="1673" spans="1:23" ht="15.75" customHeight="1" x14ac:dyDescent="0.25">
      <c r="A1673" s="2" t="s">
        <v>493</v>
      </c>
      <c r="B1673" s="3">
        <v>45592.339837962973</v>
      </c>
      <c r="C1673" s="2" t="s">
        <v>477</v>
      </c>
      <c r="D1673" s="2" t="s">
        <v>182</v>
      </c>
      <c r="E1673" s="2" t="s">
        <v>190</v>
      </c>
      <c r="F1673" s="2" t="str" cm="1">
        <f t="array" ref="F1673:G1673">_xlfn.TEXTSPLIT(E1673," - ")</f>
        <v>Bawang Merah</v>
      </c>
      <c r="G1673" s="2" t="str">
        <v>Brand B</v>
      </c>
      <c r="H1673" s="5">
        <v>35000</v>
      </c>
      <c r="I1673" s="2">
        <v>2</v>
      </c>
      <c r="J1673" s="2">
        <v>10</v>
      </c>
      <c r="K1673" s="8">
        <f t="shared" si="156"/>
        <v>70000</v>
      </c>
      <c r="L1673" s="8">
        <f t="shared" si="157"/>
        <v>7000</v>
      </c>
      <c r="M1673" s="8">
        <f t="shared" si="158"/>
        <v>63000</v>
      </c>
      <c r="N1673" s="5">
        <v>48000</v>
      </c>
      <c r="O1673" s="8">
        <f t="shared" si="159"/>
        <v>111000</v>
      </c>
      <c r="P1673" s="2" t="s">
        <v>35</v>
      </c>
      <c r="Q1673" s="10" t="str">
        <f>VLOOKUP(A1673,Status!A:B,2,0)</f>
        <v>Completed</v>
      </c>
      <c r="R1673" s="2" t="s">
        <v>82</v>
      </c>
      <c r="S1673" s="2">
        <v>1</v>
      </c>
      <c r="T1673" s="2" t="s">
        <v>24</v>
      </c>
      <c r="U1673" s="10" t="str">
        <f t="shared" si="161"/>
        <v>Oct</v>
      </c>
      <c r="V1673" s="10">
        <f t="shared" si="160"/>
        <v>2024</v>
      </c>
      <c r="W1673" t="e" cm="1">
        <f t="array" ref="W1673">_xlfn.IFS(U1673="January",1,U1673="February",2,U1673="March",3,U1673="April",4,U1673="May",5,U1673="June",6,U1673="July",7,U1673="August",8,U1673="September",9,U1673="October",10,U1673="November",11,U1673="December",12)</f>
        <v>#N/A</v>
      </c>
    </row>
    <row r="1674" spans="1:23" ht="15.75" customHeight="1" x14ac:dyDescent="0.25">
      <c r="A1674" s="2" t="s">
        <v>494</v>
      </c>
      <c r="B1674" s="3">
        <v>45592.706921296303</v>
      </c>
      <c r="C1674" s="2" t="s">
        <v>495</v>
      </c>
      <c r="D1674" s="2" t="s">
        <v>44</v>
      </c>
      <c r="E1674" s="2" t="s">
        <v>45</v>
      </c>
      <c r="F1674" s="2" t="str" cm="1">
        <f t="array" ref="F1674:G1674">_xlfn.TEXTSPLIT(E1674," - ")</f>
        <v>Daging Ayam</v>
      </c>
      <c r="G1674" s="2" t="str">
        <v>Brand B</v>
      </c>
      <c r="H1674" s="5">
        <v>40000</v>
      </c>
      <c r="I1674" s="2">
        <v>5</v>
      </c>
      <c r="J1674" s="2">
        <v>0</v>
      </c>
      <c r="K1674" s="8">
        <f t="shared" si="156"/>
        <v>200000</v>
      </c>
      <c r="L1674" s="8">
        <f t="shared" si="157"/>
        <v>0</v>
      </c>
      <c r="M1674" s="8">
        <f t="shared" si="158"/>
        <v>200000</v>
      </c>
      <c r="N1674" s="5">
        <v>93000</v>
      </c>
      <c r="O1674" s="8">
        <f t="shared" si="159"/>
        <v>293000</v>
      </c>
      <c r="P1674" s="2" t="s">
        <v>22</v>
      </c>
      <c r="Q1674" s="10" t="str">
        <f>VLOOKUP(A1674,Status!A:B,2,0)</f>
        <v>Completed</v>
      </c>
      <c r="R1674" s="2" t="s">
        <v>23</v>
      </c>
      <c r="S1674" s="2">
        <v>2</v>
      </c>
      <c r="T1674" s="2" t="s">
        <v>37</v>
      </c>
      <c r="U1674" s="10" t="str">
        <f t="shared" si="161"/>
        <v>Oct</v>
      </c>
      <c r="V1674" s="10">
        <f t="shared" si="160"/>
        <v>2024</v>
      </c>
      <c r="W1674" t="e" cm="1">
        <f t="array" ref="W1674">_xlfn.IFS(U1674="January",1,U1674="February",2,U1674="March",3,U1674="April",4,U1674="May",5,U1674="June",6,U1674="July",7,U1674="August",8,U1674="September",9,U1674="October",10,U1674="November",11,U1674="December",12)</f>
        <v>#N/A</v>
      </c>
    </row>
    <row r="1675" spans="1:23" ht="15.75" customHeight="1" x14ac:dyDescent="0.25">
      <c r="A1675" s="2" t="s">
        <v>496</v>
      </c>
      <c r="B1675" s="3">
        <v>45592.76121527778</v>
      </c>
      <c r="C1675" s="2" t="s">
        <v>497</v>
      </c>
      <c r="D1675" s="2" t="s">
        <v>173</v>
      </c>
      <c r="E1675" s="2" t="s">
        <v>85</v>
      </c>
      <c r="F1675" s="2" t="str" cm="1">
        <f t="array" ref="F1675:G1675">_xlfn.TEXTSPLIT(E1675," - ")</f>
        <v>Daging Ayam</v>
      </c>
      <c r="G1675" s="2" t="str">
        <v>Brand A</v>
      </c>
      <c r="H1675" s="5">
        <v>35000</v>
      </c>
      <c r="I1675" s="2">
        <v>5</v>
      </c>
      <c r="J1675" s="2">
        <v>10</v>
      </c>
      <c r="K1675" s="8">
        <f t="shared" si="156"/>
        <v>175000</v>
      </c>
      <c r="L1675" s="8">
        <f t="shared" si="157"/>
        <v>17500</v>
      </c>
      <c r="M1675" s="8">
        <f t="shared" si="158"/>
        <v>157500</v>
      </c>
      <c r="N1675" s="5">
        <v>49000</v>
      </c>
      <c r="O1675" s="8">
        <f t="shared" si="159"/>
        <v>206500</v>
      </c>
      <c r="P1675" s="2" t="s">
        <v>22</v>
      </c>
      <c r="Q1675" s="10" t="str">
        <f>VLOOKUP(A1675,Status!A:B,2,0)</f>
        <v>Returned</v>
      </c>
      <c r="R1675" s="2" t="s">
        <v>23</v>
      </c>
      <c r="S1675" s="2">
        <v>1</v>
      </c>
      <c r="T1675" s="2" t="s">
        <v>37</v>
      </c>
      <c r="U1675" s="10" t="str">
        <f t="shared" si="161"/>
        <v>Oct</v>
      </c>
      <c r="V1675" s="10">
        <f t="shared" si="160"/>
        <v>2024</v>
      </c>
      <c r="W1675" t="e" cm="1">
        <f t="array" ref="W1675">_xlfn.IFS(U1675="January",1,U1675="February",2,U1675="March",3,U1675="April",4,U1675="May",5,U1675="June",6,U1675="July",7,U1675="August",8,U1675="September",9,U1675="October",10,U1675="November",11,U1675="December",12)</f>
        <v>#N/A</v>
      </c>
    </row>
    <row r="1676" spans="1:23" ht="15.75" customHeight="1" x14ac:dyDescent="0.25">
      <c r="A1676" s="2" t="s">
        <v>498</v>
      </c>
      <c r="B1676" s="3">
        <v>45593.106770833343</v>
      </c>
      <c r="C1676" s="2" t="s">
        <v>499</v>
      </c>
      <c r="D1676" s="2" t="s">
        <v>131</v>
      </c>
      <c r="E1676" s="2" t="s">
        <v>28</v>
      </c>
      <c r="F1676" s="2" t="str" cm="1">
        <f t="array" ref="F1676:G1676">_xlfn.TEXTSPLIT(E1676," - ")</f>
        <v>Garam</v>
      </c>
      <c r="G1676" s="2" t="str">
        <v>Brand B</v>
      </c>
      <c r="H1676" s="5">
        <v>5000</v>
      </c>
      <c r="I1676" s="2">
        <v>4</v>
      </c>
      <c r="J1676" s="2">
        <v>0</v>
      </c>
      <c r="K1676" s="8">
        <f t="shared" si="156"/>
        <v>20000</v>
      </c>
      <c r="L1676" s="8">
        <f t="shared" si="157"/>
        <v>0</v>
      </c>
      <c r="M1676" s="8">
        <f t="shared" si="158"/>
        <v>20000</v>
      </c>
      <c r="N1676" s="5">
        <v>59000</v>
      </c>
      <c r="O1676" s="8">
        <f t="shared" si="159"/>
        <v>79000</v>
      </c>
      <c r="P1676" s="2" t="s">
        <v>29</v>
      </c>
      <c r="Q1676" s="10" t="str">
        <f>VLOOKUP(A1676,Status!A:B,2,0)</f>
        <v>Completed</v>
      </c>
      <c r="R1676" s="2" t="s">
        <v>36</v>
      </c>
      <c r="S1676" s="2">
        <v>5</v>
      </c>
      <c r="T1676" s="2" t="s">
        <v>24</v>
      </c>
      <c r="U1676" s="10" t="str">
        <f t="shared" si="161"/>
        <v>Oct</v>
      </c>
      <c r="V1676" s="10">
        <f t="shared" si="160"/>
        <v>2024</v>
      </c>
      <c r="W1676" t="e" cm="1">
        <f t="array" ref="W1676">_xlfn.IFS(U1676="January",1,U1676="February",2,U1676="March",3,U1676="April",4,U1676="May",5,U1676="June",6,U1676="July",7,U1676="August",8,U1676="September",9,U1676="October",10,U1676="November",11,U1676="December",12)</f>
        <v>#N/A</v>
      </c>
    </row>
    <row r="1677" spans="1:23" ht="15.75" customHeight="1" x14ac:dyDescent="0.25">
      <c r="A1677" s="2" t="s">
        <v>500</v>
      </c>
      <c r="B1677" s="3">
        <v>45593.151678240742</v>
      </c>
      <c r="C1677" s="2" t="s">
        <v>153</v>
      </c>
      <c r="D1677" s="2" t="s">
        <v>103</v>
      </c>
      <c r="E1677" s="2" t="s">
        <v>250</v>
      </c>
      <c r="F1677" s="2" t="str" cm="1">
        <f t="array" ref="F1677:G1677">_xlfn.TEXTSPLIT(E1677," - ")</f>
        <v>Minyak Goreng</v>
      </c>
      <c r="G1677" s="2" t="str">
        <v>Brand C</v>
      </c>
      <c r="H1677" s="5">
        <v>18000</v>
      </c>
      <c r="I1677" s="2">
        <v>2</v>
      </c>
      <c r="J1677" s="2">
        <v>10</v>
      </c>
      <c r="K1677" s="8">
        <f t="shared" si="156"/>
        <v>36000</v>
      </c>
      <c r="L1677" s="8">
        <f t="shared" si="157"/>
        <v>3600</v>
      </c>
      <c r="M1677" s="8">
        <f t="shared" si="158"/>
        <v>32400</v>
      </c>
      <c r="N1677" s="5">
        <v>85000</v>
      </c>
      <c r="O1677" s="8">
        <f t="shared" si="159"/>
        <v>117400</v>
      </c>
      <c r="P1677" s="2" t="s">
        <v>29</v>
      </c>
      <c r="Q1677" s="10" t="str">
        <f>VLOOKUP(A1677,Status!A:B,2,0)</f>
        <v>Completed</v>
      </c>
      <c r="R1677" s="2" t="s">
        <v>30</v>
      </c>
      <c r="S1677" s="2">
        <v>1</v>
      </c>
      <c r="T1677" s="2" t="s">
        <v>37</v>
      </c>
      <c r="U1677" s="10" t="str">
        <f t="shared" si="161"/>
        <v>Oct</v>
      </c>
      <c r="V1677" s="10">
        <f t="shared" si="160"/>
        <v>2024</v>
      </c>
      <c r="W1677" t="e" cm="1">
        <f t="array" ref="W1677">_xlfn.IFS(U1677="January",1,U1677="February",2,U1677="March",3,U1677="April",4,U1677="May",5,U1677="June",6,U1677="July",7,U1677="August",8,U1677="September",9,U1677="October",10,U1677="November",11,U1677="December",12)</f>
        <v>#N/A</v>
      </c>
    </row>
    <row r="1678" spans="1:23" ht="15.75" customHeight="1" x14ac:dyDescent="0.25">
      <c r="A1678" s="2" t="s">
        <v>501</v>
      </c>
      <c r="B1678" s="3">
        <v>45593.403321759259</v>
      </c>
      <c r="C1678" s="2" t="s">
        <v>502</v>
      </c>
      <c r="D1678" s="2" t="s">
        <v>107</v>
      </c>
      <c r="E1678" s="2" t="s">
        <v>41</v>
      </c>
      <c r="F1678" s="2" t="str" cm="1">
        <f t="array" ref="F1678:G1678">_xlfn.TEXTSPLIT(E1678," - ")</f>
        <v>Garam</v>
      </c>
      <c r="G1678" s="2" t="str">
        <v>Brand A</v>
      </c>
      <c r="H1678" s="5">
        <v>4000</v>
      </c>
      <c r="I1678" s="2">
        <v>4</v>
      </c>
      <c r="J1678" s="2">
        <v>0</v>
      </c>
      <c r="K1678" s="8">
        <f t="shared" si="156"/>
        <v>16000</v>
      </c>
      <c r="L1678" s="8">
        <f t="shared" si="157"/>
        <v>0</v>
      </c>
      <c r="M1678" s="8">
        <f t="shared" si="158"/>
        <v>16000</v>
      </c>
      <c r="N1678" s="5">
        <v>97000</v>
      </c>
      <c r="O1678" s="8">
        <f t="shared" si="159"/>
        <v>113000</v>
      </c>
      <c r="P1678" s="2" t="s">
        <v>63</v>
      </c>
      <c r="Q1678" s="10" t="str">
        <f>VLOOKUP(A1678,Status!A:B,2,0)</f>
        <v>Completed</v>
      </c>
      <c r="R1678" s="2" t="s">
        <v>82</v>
      </c>
      <c r="S1678" s="2">
        <v>2</v>
      </c>
      <c r="T1678" s="2" t="s">
        <v>24</v>
      </c>
      <c r="U1678" s="10" t="str">
        <f t="shared" si="161"/>
        <v>Oct</v>
      </c>
      <c r="V1678" s="10">
        <f t="shared" si="160"/>
        <v>2024</v>
      </c>
      <c r="W1678" t="e" cm="1">
        <f t="array" ref="W1678">_xlfn.IFS(U1678="January",1,U1678="February",2,U1678="March",3,U1678="April",4,U1678="May",5,U1678="June",6,U1678="July",7,U1678="August",8,U1678="September",9,U1678="October",10,U1678="November",11,U1678="December",12)</f>
        <v>#N/A</v>
      </c>
    </row>
    <row r="1679" spans="1:23" ht="15.75" customHeight="1" x14ac:dyDescent="0.25">
      <c r="A1679" s="2" t="s">
        <v>503</v>
      </c>
      <c r="B1679" s="3">
        <v>45594.145104166673</v>
      </c>
      <c r="C1679" s="2" t="s">
        <v>504</v>
      </c>
      <c r="D1679" s="2" t="s">
        <v>195</v>
      </c>
      <c r="E1679" s="2" t="s">
        <v>41</v>
      </c>
      <c r="F1679" s="2" t="str" cm="1">
        <f t="array" ref="F1679:G1679">_xlfn.TEXTSPLIT(E1679," - ")</f>
        <v>Garam</v>
      </c>
      <c r="G1679" s="2" t="str">
        <v>Brand A</v>
      </c>
      <c r="H1679" s="5">
        <v>4000</v>
      </c>
      <c r="I1679" s="2">
        <v>3</v>
      </c>
      <c r="J1679" s="2">
        <v>20</v>
      </c>
      <c r="K1679" s="8">
        <f t="shared" si="156"/>
        <v>12000</v>
      </c>
      <c r="L1679" s="8">
        <f t="shared" si="157"/>
        <v>2400</v>
      </c>
      <c r="M1679" s="8">
        <f t="shared" si="158"/>
        <v>9600</v>
      </c>
      <c r="N1679" s="5">
        <v>87000</v>
      </c>
      <c r="O1679" s="8">
        <f t="shared" si="159"/>
        <v>96600</v>
      </c>
      <c r="P1679" s="2" t="s">
        <v>35</v>
      </c>
      <c r="Q1679" s="10" t="str">
        <f>VLOOKUP(A1679,Status!A:B,2,0)</f>
        <v>Cancelled</v>
      </c>
      <c r="R1679" s="2" t="s">
        <v>23</v>
      </c>
      <c r="S1679" s="2">
        <v>4</v>
      </c>
      <c r="T1679" s="2" t="s">
        <v>24</v>
      </c>
      <c r="U1679" s="10" t="str">
        <f t="shared" si="161"/>
        <v>Oct</v>
      </c>
      <c r="V1679" s="10">
        <f t="shared" si="160"/>
        <v>2024</v>
      </c>
      <c r="W1679" t="e" cm="1">
        <f t="array" ref="W1679">_xlfn.IFS(U1679="January",1,U1679="February",2,U1679="March",3,U1679="April",4,U1679="May",5,U1679="June",6,U1679="July",7,U1679="August",8,U1679="September",9,U1679="October",10,U1679="November",11,U1679="December",12)</f>
        <v>#N/A</v>
      </c>
    </row>
    <row r="1680" spans="1:23" ht="15.75" customHeight="1" x14ac:dyDescent="0.25">
      <c r="A1680" s="2" t="s">
        <v>505</v>
      </c>
      <c r="B1680" s="3">
        <v>45594.350405092591</v>
      </c>
      <c r="C1680" s="2" t="s">
        <v>281</v>
      </c>
      <c r="D1680" s="2" t="s">
        <v>151</v>
      </c>
      <c r="E1680" s="2" t="s">
        <v>144</v>
      </c>
      <c r="F1680" s="2" t="str" cm="1">
        <f t="array" ref="F1680:G1680">_xlfn.TEXTSPLIT(E1680," - ")</f>
        <v>Gula Pasir</v>
      </c>
      <c r="G1680" s="2" t="str">
        <v>Brand C</v>
      </c>
      <c r="H1680" s="5">
        <v>18000</v>
      </c>
      <c r="I1680" s="2">
        <v>3</v>
      </c>
      <c r="J1680" s="2">
        <v>10</v>
      </c>
      <c r="K1680" s="8">
        <f t="shared" si="156"/>
        <v>54000</v>
      </c>
      <c r="L1680" s="8">
        <f t="shared" si="157"/>
        <v>5400</v>
      </c>
      <c r="M1680" s="8">
        <f t="shared" si="158"/>
        <v>48600</v>
      </c>
      <c r="N1680" s="5">
        <v>55000</v>
      </c>
      <c r="O1680" s="8">
        <f t="shared" si="159"/>
        <v>103600</v>
      </c>
      <c r="P1680" s="2" t="s">
        <v>35</v>
      </c>
      <c r="Q1680" s="10" t="str">
        <f>VLOOKUP(A1680,Status!A:B,2,0)</f>
        <v>Completed</v>
      </c>
      <c r="R1680" s="2" t="s">
        <v>36</v>
      </c>
      <c r="S1680" s="2">
        <v>3</v>
      </c>
      <c r="T1680" s="2" t="s">
        <v>24</v>
      </c>
      <c r="U1680" s="10" t="str">
        <f t="shared" si="161"/>
        <v>Oct</v>
      </c>
      <c r="V1680" s="10">
        <f t="shared" si="160"/>
        <v>2024</v>
      </c>
      <c r="W1680" t="e" cm="1">
        <f t="array" ref="W1680">_xlfn.IFS(U1680="January",1,U1680="February",2,U1680="March",3,U1680="April",4,U1680="May",5,U1680="June",6,U1680="July",7,U1680="August",8,U1680="September",9,U1680="October",10,U1680="November",11,U1680="December",12)</f>
        <v>#N/A</v>
      </c>
    </row>
    <row r="1681" spans="1:23" ht="15.75" customHeight="1" x14ac:dyDescent="0.25">
      <c r="A1681" s="2" t="s">
        <v>506</v>
      </c>
      <c r="B1681" s="3">
        <v>45594.41207175926</v>
      </c>
      <c r="C1681" s="2" t="s">
        <v>203</v>
      </c>
      <c r="D1681" s="2" t="s">
        <v>20</v>
      </c>
      <c r="E1681" s="2" t="s">
        <v>50</v>
      </c>
      <c r="F1681" s="2" t="str" cm="1">
        <f t="array" ref="F1681:G1681">_xlfn.TEXTSPLIT(E1681," - ")</f>
        <v>Tepung Terigu</v>
      </c>
      <c r="G1681" s="2" t="str">
        <v>Brand C</v>
      </c>
      <c r="H1681" s="5">
        <v>14000</v>
      </c>
      <c r="I1681" s="2">
        <v>4</v>
      </c>
      <c r="J1681" s="2">
        <v>10</v>
      </c>
      <c r="K1681" s="8">
        <f t="shared" si="156"/>
        <v>56000</v>
      </c>
      <c r="L1681" s="8">
        <f t="shared" si="157"/>
        <v>5600</v>
      </c>
      <c r="M1681" s="8">
        <f t="shared" si="158"/>
        <v>50400</v>
      </c>
      <c r="N1681" s="5">
        <v>15000</v>
      </c>
      <c r="O1681" s="8">
        <f t="shared" si="159"/>
        <v>65400</v>
      </c>
      <c r="P1681" s="2" t="s">
        <v>63</v>
      </c>
      <c r="Q1681" s="10" t="str">
        <f>VLOOKUP(A1681,Status!A:B,2,0)</f>
        <v>Cancelled</v>
      </c>
      <c r="R1681" s="2" t="s">
        <v>82</v>
      </c>
      <c r="S1681" s="2">
        <v>2</v>
      </c>
      <c r="T1681" s="2" t="s">
        <v>24</v>
      </c>
      <c r="U1681" s="10" t="str">
        <f t="shared" si="161"/>
        <v>Oct</v>
      </c>
      <c r="V1681" s="10">
        <f t="shared" si="160"/>
        <v>2024</v>
      </c>
      <c r="W1681" t="e" cm="1">
        <f t="array" ref="W1681">_xlfn.IFS(U1681="January",1,U1681="February",2,U1681="March",3,U1681="April",4,U1681="May",5,U1681="June",6,U1681="July",7,U1681="August",8,U1681="September",9,U1681="October",10,U1681="November",11,U1681="December",12)</f>
        <v>#N/A</v>
      </c>
    </row>
    <row r="1682" spans="1:23" ht="15.75" customHeight="1" x14ac:dyDescent="0.25">
      <c r="A1682" s="2" t="s">
        <v>507</v>
      </c>
      <c r="B1682" s="3">
        <v>45594.518923611111</v>
      </c>
      <c r="C1682" s="2" t="s">
        <v>508</v>
      </c>
      <c r="D1682" s="2" t="s">
        <v>20</v>
      </c>
      <c r="E1682" s="2" t="s">
        <v>174</v>
      </c>
      <c r="F1682" s="2" t="str" cm="1">
        <f t="array" ref="F1682:G1682">_xlfn.TEXTSPLIT(E1682," - ")</f>
        <v>Tepung Terigu</v>
      </c>
      <c r="G1682" s="2" t="str">
        <v>Brand A</v>
      </c>
      <c r="H1682" s="5">
        <v>10000</v>
      </c>
      <c r="I1682" s="2">
        <v>4</v>
      </c>
      <c r="J1682" s="2">
        <v>10</v>
      </c>
      <c r="K1682" s="8">
        <f t="shared" si="156"/>
        <v>40000</v>
      </c>
      <c r="L1682" s="8">
        <f t="shared" si="157"/>
        <v>4000</v>
      </c>
      <c r="M1682" s="8">
        <f t="shared" si="158"/>
        <v>36000</v>
      </c>
      <c r="N1682" s="5">
        <v>15000</v>
      </c>
      <c r="O1682" s="8">
        <f t="shared" si="159"/>
        <v>51000</v>
      </c>
      <c r="P1682" s="2" t="s">
        <v>63</v>
      </c>
      <c r="Q1682" s="10" t="str">
        <f>VLOOKUP(A1682,Status!A:B,2,0)</f>
        <v>Completed</v>
      </c>
      <c r="R1682" s="2" t="s">
        <v>36</v>
      </c>
      <c r="S1682" s="2">
        <v>5</v>
      </c>
      <c r="T1682" s="2" t="s">
        <v>37</v>
      </c>
      <c r="U1682" s="10" t="str">
        <f t="shared" si="161"/>
        <v>Oct</v>
      </c>
      <c r="V1682" s="10">
        <f t="shared" si="160"/>
        <v>2024</v>
      </c>
      <c r="W1682" t="e" cm="1">
        <f t="array" ref="W1682">_xlfn.IFS(U1682="January",1,U1682="February",2,U1682="March",3,U1682="April",4,U1682="May",5,U1682="June",6,U1682="July",7,U1682="August",8,U1682="September",9,U1682="October",10,U1682="November",11,U1682="December",12)</f>
        <v>#N/A</v>
      </c>
    </row>
    <row r="1683" spans="1:23" ht="15.75" customHeight="1" x14ac:dyDescent="0.25">
      <c r="A1683" s="2" t="s">
        <v>509</v>
      </c>
      <c r="B1683" s="3">
        <v>45594.764247685183</v>
      </c>
      <c r="C1683" s="2" t="s">
        <v>510</v>
      </c>
      <c r="D1683" s="2" t="s">
        <v>96</v>
      </c>
      <c r="E1683" s="2" t="s">
        <v>81</v>
      </c>
      <c r="F1683" s="2" t="str" cm="1">
        <f t="array" ref="F1683:G1683">_xlfn.TEXTSPLIT(E1683," - ")</f>
        <v>Minyak Goreng</v>
      </c>
      <c r="G1683" s="2" t="str">
        <v>Brand B</v>
      </c>
      <c r="H1683" s="5">
        <v>17000</v>
      </c>
      <c r="I1683" s="2">
        <v>2</v>
      </c>
      <c r="J1683" s="2">
        <v>0</v>
      </c>
      <c r="K1683" s="8">
        <f t="shared" si="156"/>
        <v>34000</v>
      </c>
      <c r="L1683" s="8">
        <f t="shared" si="157"/>
        <v>0</v>
      </c>
      <c r="M1683" s="8">
        <f t="shared" si="158"/>
        <v>34000</v>
      </c>
      <c r="N1683" s="5">
        <v>49000</v>
      </c>
      <c r="O1683" s="8">
        <f t="shared" si="159"/>
        <v>83000</v>
      </c>
      <c r="P1683" s="2" t="s">
        <v>22</v>
      </c>
      <c r="Q1683" s="10" t="str">
        <f>VLOOKUP(A1683,Status!A:B,2,0)</f>
        <v>Completed</v>
      </c>
      <c r="R1683" s="2" t="s">
        <v>23</v>
      </c>
      <c r="S1683" s="2">
        <v>4</v>
      </c>
      <c r="T1683" s="2" t="s">
        <v>24</v>
      </c>
      <c r="U1683" s="10" t="str">
        <f t="shared" si="161"/>
        <v>Oct</v>
      </c>
      <c r="V1683" s="10">
        <f t="shared" si="160"/>
        <v>2024</v>
      </c>
      <c r="W1683" t="e" cm="1">
        <f t="array" ref="W1683">_xlfn.IFS(U1683="January",1,U1683="February",2,U1683="March",3,U1683="April",4,U1683="May",5,U1683="June",6,U1683="July",7,U1683="August",8,U1683="September",9,U1683="October",10,U1683="November",11,U1683="December",12)</f>
        <v>#N/A</v>
      </c>
    </row>
    <row r="1684" spans="1:23" ht="15.75" customHeight="1" x14ac:dyDescent="0.25">
      <c r="A1684" s="2" t="s">
        <v>511</v>
      </c>
      <c r="B1684" s="3">
        <v>45594.980034722219</v>
      </c>
      <c r="C1684" s="2" t="s">
        <v>26</v>
      </c>
      <c r="D1684" s="2" t="s">
        <v>27</v>
      </c>
      <c r="E1684" s="2" t="s">
        <v>67</v>
      </c>
      <c r="F1684" s="2" t="str" cm="1">
        <f t="array" ref="F1684:G1684">_xlfn.TEXTSPLIT(E1684," - ")</f>
        <v>Beras</v>
      </c>
      <c r="G1684" s="2" t="str">
        <v>Brand B</v>
      </c>
      <c r="H1684" s="5">
        <v>15000</v>
      </c>
      <c r="I1684" s="2">
        <v>4</v>
      </c>
      <c r="J1684" s="2">
        <v>10</v>
      </c>
      <c r="K1684" s="8">
        <f t="shared" si="156"/>
        <v>60000</v>
      </c>
      <c r="L1684" s="8">
        <f t="shared" si="157"/>
        <v>6000</v>
      </c>
      <c r="M1684" s="8">
        <f t="shared" si="158"/>
        <v>54000</v>
      </c>
      <c r="N1684" s="5">
        <v>17000</v>
      </c>
      <c r="O1684" s="8">
        <f t="shared" si="159"/>
        <v>71000</v>
      </c>
      <c r="P1684" s="2" t="s">
        <v>22</v>
      </c>
      <c r="Q1684" s="10" t="str">
        <f>VLOOKUP(A1684,Status!A:B,2,0)</f>
        <v>Completed</v>
      </c>
      <c r="R1684" s="2" t="s">
        <v>46</v>
      </c>
      <c r="S1684" s="2">
        <v>2</v>
      </c>
      <c r="T1684" s="2" t="s">
        <v>24</v>
      </c>
      <c r="U1684" s="10" t="str">
        <f t="shared" si="161"/>
        <v>Oct</v>
      </c>
      <c r="V1684" s="10">
        <f t="shared" si="160"/>
        <v>2024</v>
      </c>
      <c r="W1684" t="e" cm="1">
        <f t="array" ref="W1684">_xlfn.IFS(U1684="January",1,U1684="February",2,U1684="March",3,U1684="April",4,U1684="May",5,U1684="June",6,U1684="July",7,U1684="August",8,U1684="September",9,U1684="October",10,U1684="November",11,U1684="December",12)</f>
        <v>#N/A</v>
      </c>
    </row>
    <row r="1685" spans="1:23" ht="15.75" customHeight="1" x14ac:dyDescent="0.25">
      <c r="A1685" s="2" t="s">
        <v>512</v>
      </c>
      <c r="B1685" s="3">
        <v>45595.261643518519</v>
      </c>
      <c r="C1685" s="2" t="s">
        <v>513</v>
      </c>
      <c r="D1685" s="2" t="s">
        <v>182</v>
      </c>
      <c r="E1685" s="2" t="s">
        <v>110</v>
      </c>
      <c r="F1685" s="2" t="str" cm="1">
        <f t="array" ref="F1685:G1685">_xlfn.TEXTSPLIT(E1685," - ")</f>
        <v>Garam</v>
      </c>
      <c r="G1685" s="2" t="str">
        <v>Brand C</v>
      </c>
      <c r="H1685" s="5">
        <v>6000</v>
      </c>
      <c r="I1685" s="2">
        <v>3</v>
      </c>
      <c r="J1685" s="2">
        <v>20</v>
      </c>
      <c r="K1685" s="8">
        <f t="shared" si="156"/>
        <v>18000</v>
      </c>
      <c r="L1685" s="8">
        <f t="shared" si="157"/>
        <v>3600</v>
      </c>
      <c r="M1685" s="8">
        <f t="shared" si="158"/>
        <v>14400</v>
      </c>
      <c r="N1685" s="5">
        <v>48000</v>
      </c>
      <c r="O1685" s="8">
        <f t="shared" si="159"/>
        <v>62400</v>
      </c>
      <c r="P1685" s="2" t="s">
        <v>22</v>
      </c>
      <c r="Q1685" s="10" t="str">
        <f>VLOOKUP(A1685,Status!A:B,2,0)</f>
        <v>Completed</v>
      </c>
      <c r="R1685" s="2" t="s">
        <v>23</v>
      </c>
      <c r="S1685" s="2">
        <v>3</v>
      </c>
      <c r="T1685" s="2" t="s">
        <v>24</v>
      </c>
      <c r="U1685" s="10" t="str">
        <f t="shared" si="161"/>
        <v>Oct</v>
      </c>
      <c r="V1685" s="10">
        <f t="shared" si="160"/>
        <v>2024</v>
      </c>
      <c r="W1685" t="e" cm="1">
        <f t="array" ref="W1685">_xlfn.IFS(U1685="January",1,U1685="February",2,U1685="March",3,U1685="April",4,U1685="May",5,U1685="June",6,U1685="July",7,U1685="August",8,U1685="September",9,U1685="October",10,U1685="November",11,U1685="December",12)</f>
        <v>#N/A</v>
      </c>
    </row>
    <row r="1686" spans="1:23" ht="15.75" customHeight="1" x14ac:dyDescent="0.25">
      <c r="A1686" s="2" t="s">
        <v>514</v>
      </c>
      <c r="B1686" s="3">
        <v>45595.439872685187</v>
      </c>
      <c r="C1686" s="2" t="s">
        <v>515</v>
      </c>
      <c r="D1686" s="2" t="s">
        <v>182</v>
      </c>
      <c r="E1686" s="2" t="s">
        <v>62</v>
      </c>
      <c r="F1686" s="2" t="str" cm="1">
        <f t="array" ref="F1686:G1686">_xlfn.TEXTSPLIT(E1686," - ")</f>
        <v>Susu Bubuk</v>
      </c>
      <c r="G1686" s="2" t="str">
        <v>Brand B</v>
      </c>
      <c r="H1686" s="5">
        <v>50000</v>
      </c>
      <c r="I1686" s="2">
        <v>1</v>
      </c>
      <c r="J1686" s="2">
        <v>5</v>
      </c>
      <c r="K1686" s="8">
        <f t="shared" si="156"/>
        <v>50000</v>
      </c>
      <c r="L1686" s="8">
        <f t="shared" si="157"/>
        <v>2500</v>
      </c>
      <c r="M1686" s="8">
        <f t="shared" si="158"/>
        <v>47500</v>
      </c>
      <c r="N1686" s="5">
        <v>48000</v>
      </c>
      <c r="O1686" s="8">
        <f t="shared" si="159"/>
        <v>95500</v>
      </c>
      <c r="P1686" s="2" t="s">
        <v>22</v>
      </c>
      <c r="Q1686" s="10" t="str">
        <f>VLOOKUP(A1686,Status!A:B,2,0)</f>
        <v>Completed</v>
      </c>
      <c r="R1686" s="2" t="s">
        <v>30</v>
      </c>
      <c r="S1686" s="2">
        <v>2</v>
      </c>
      <c r="T1686" s="2" t="s">
        <v>24</v>
      </c>
      <c r="U1686" s="10" t="str">
        <f t="shared" si="161"/>
        <v>Oct</v>
      </c>
      <c r="V1686" s="10">
        <f t="shared" si="160"/>
        <v>2024</v>
      </c>
      <c r="W1686" t="e" cm="1">
        <f t="array" ref="W1686">_xlfn.IFS(U1686="January",1,U1686="February",2,U1686="March",3,U1686="April",4,U1686="May",5,U1686="June",6,U1686="July",7,U1686="August",8,U1686="September",9,U1686="October",10,U1686="November",11,U1686="December",12)</f>
        <v>#N/A</v>
      </c>
    </row>
    <row r="1687" spans="1:23" ht="15.75" customHeight="1" x14ac:dyDescent="0.25">
      <c r="A1687" s="2" t="s">
        <v>516</v>
      </c>
      <c r="B1687" s="3">
        <v>45596.643530092602</v>
      </c>
      <c r="C1687" s="2" t="s">
        <v>408</v>
      </c>
      <c r="D1687" s="2" t="s">
        <v>74</v>
      </c>
      <c r="E1687" s="2" t="s">
        <v>41</v>
      </c>
      <c r="F1687" s="2" t="str" cm="1">
        <f t="array" ref="F1687:G1687">_xlfn.TEXTSPLIT(E1687," - ")</f>
        <v>Garam</v>
      </c>
      <c r="G1687" s="2" t="str">
        <v>Brand A</v>
      </c>
      <c r="H1687" s="5">
        <v>4000</v>
      </c>
      <c r="I1687" s="2">
        <v>2</v>
      </c>
      <c r="J1687" s="2">
        <v>5</v>
      </c>
      <c r="K1687" s="8">
        <f t="shared" si="156"/>
        <v>8000</v>
      </c>
      <c r="L1687" s="8">
        <f t="shared" si="157"/>
        <v>400</v>
      </c>
      <c r="M1687" s="8">
        <f t="shared" si="158"/>
        <v>7600</v>
      </c>
      <c r="N1687" s="5">
        <v>87000</v>
      </c>
      <c r="O1687" s="8">
        <f t="shared" si="159"/>
        <v>94600</v>
      </c>
      <c r="P1687" s="2" t="s">
        <v>29</v>
      </c>
      <c r="Q1687" s="10" t="str">
        <f>VLOOKUP(A1687,Status!A:B,2,0)</f>
        <v>Completed</v>
      </c>
      <c r="R1687" s="2" t="s">
        <v>30</v>
      </c>
      <c r="S1687" s="2">
        <v>3</v>
      </c>
      <c r="T1687" s="2" t="s">
        <v>24</v>
      </c>
      <c r="U1687" s="10" t="str">
        <f t="shared" si="161"/>
        <v>Oct</v>
      </c>
      <c r="V1687" s="10">
        <f t="shared" si="160"/>
        <v>2024</v>
      </c>
      <c r="W1687" t="e" cm="1">
        <f t="array" ref="W1687">_xlfn.IFS(U1687="January",1,U1687="February",2,U1687="March",3,U1687="April",4,U1687="May",5,U1687="June",6,U1687="July",7,U1687="August",8,U1687="September",9,U1687="October",10,U1687="November",11,U1687="December",12)</f>
        <v>#N/A</v>
      </c>
    </row>
    <row r="1688" spans="1:23" ht="15.75" customHeight="1" x14ac:dyDescent="0.25">
      <c r="A1688" s="2" t="s">
        <v>517</v>
      </c>
      <c r="B1688" s="3">
        <v>45597.015821759262</v>
      </c>
      <c r="C1688" s="2" t="s">
        <v>365</v>
      </c>
      <c r="D1688" s="2" t="s">
        <v>61</v>
      </c>
      <c r="E1688" s="2" t="s">
        <v>85</v>
      </c>
      <c r="F1688" s="2" t="str" cm="1">
        <f t="array" ref="F1688:G1688">_xlfn.TEXTSPLIT(E1688," - ")</f>
        <v>Daging Ayam</v>
      </c>
      <c r="G1688" s="2" t="str">
        <v>Brand A</v>
      </c>
      <c r="H1688" s="5">
        <v>35000</v>
      </c>
      <c r="I1688" s="2">
        <v>2</v>
      </c>
      <c r="J1688" s="2">
        <v>0</v>
      </c>
      <c r="K1688" s="8">
        <f t="shared" si="156"/>
        <v>70000</v>
      </c>
      <c r="L1688" s="8">
        <f t="shared" si="157"/>
        <v>0</v>
      </c>
      <c r="M1688" s="8">
        <f t="shared" si="158"/>
        <v>70000</v>
      </c>
      <c r="N1688" s="5">
        <v>26000</v>
      </c>
      <c r="O1688" s="8">
        <f t="shared" si="159"/>
        <v>96000</v>
      </c>
      <c r="P1688" s="2" t="s">
        <v>35</v>
      </c>
      <c r="Q1688" s="10" t="str">
        <f>VLOOKUP(A1688,Status!A:B,2,0)</f>
        <v>Returned</v>
      </c>
      <c r="R1688" s="2" t="s">
        <v>23</v>
      </c>
      <c r="S1688" s="2">
        <v>2</v>
      </c>
      <c r="T1688" s="2" t="s">
        <v>24</v>
      </c>
      <c r="U1688" s="10" t="str">
        <f t="shared" si="161"/>
        <v>Nov</v>
      </c>
      <c r="V1688" s="10">
        <f t="shared" si="160"/>
        <v>2024</v>
      </c>
      <c r="W1688" t="e" cm="1">
        <f t="array" ref="W1688">_xlfn.IFS(U1688="January",1,U1688="February",2,U1688="March",3,U1688="April",4,U1688="May",5,U1688="June",6,U1688="July",7,U1688="August",8,U1688="September",9,U1688="October",10,U1688="November",11,U1688="December",12)</f>
        <v>#N/A</v>
      </c>
    </row>
    <row r="1689" spans="1:23" ht="15.75" customHeight="1" x14ac:dyDescent="0.25">
      <c r="A1689" s="2" t="s">
        <v>518</v>
      </c>
      <c r="B1689" s="3">
        <v>45597.078587962962</v>
      </c>
      <c r="C1689" s="2" t="s">
        <v>87</v>
      </c>
      <c r="D1689" s="2" t="s">
        <v>80</v>
      </c>
      <c r="E1689" s="2" t="s">
        <v>75</v>
      </c>
      <c r="F1689" s="2" t="str" cm="1">
        <f t="array" ref="F1689:G1689">_xlfn.TEXTSPLIT(E1689," - ")</f>
        <v>Susu Bubuk</v>
      </c>
      <c r="G1689" s="2" t="str">
        <v>Brand C</v>
      </c>
      <c r="H1689" s="5">
        <v>55000</v>
      </c>
      <c r="I1689" s="2">
        <v>1</v>
      </c>
      <c r="J1689" s="2">
        <v>10</v>
      </c>
      <c r="K1689" s="8">
        <f t="shared" si="156"/>
        <v>55000</v>
      </c>
      <c r="L1689" s="8">
        <f t="shared" si="157"/>
        <v>5500</v>
      </c>
      <c r="M1689" s="8">
        <f t="shared" si="158"/>
        <v>49500</v>
      </c>
      <c r="N1689" s="5">
        <v>74000</v>
      </c>
      <c r="O1689" s="8">
        <f t="shared" si="159"/>
        <v>123500</v>
      </c>
      <c r="P1689" s="2" t="s">
        <v>22</v>
      </c>
      <c r="Q1689" s="10" t="str">
        <f>VLOOKUP(A1689,Status!A:B,2,0)</f>
        <v>Returned</v>
      </c>
      <c r="R1689" s="2" t="s">
        <v>30</v>
      </c>
      <c r="S1689" s="2">
        <v>3</v>
      </c>
      <c r="T1689" s="2" t="s">
        <v>24</v>
      </c>
      <c r="U1689" s="10" t="str">
        <f t="shared" si="161"/>
        <v>Nov</v>
      </c>
      <c r="V1689" s="10">
        <f t="shared" si="160"/>
        <v>2024</v>
      </c>
      <c r="W1689" t="e" cm="1">
        <f t="array" ref="W1689">_xlfn.IFS(U1689="January",1,U1689="February",2,U1689="March",3,U1689="April",4,U1689="May",5,U1689="June",6,U1689="July",7,U1689="August",8,U1689="September",9,U1689="October",10,U1689="November",11,U1689="December",12)</f>
        <v>#N/A</v>
      </c>
    </row>
    <row r="1690" spans="1:23" ht="15.75" customHeight="1" x14ac:dyDescent="0.25">
      <c r="A1690" s="2" t="s">
        <v>519</v>
      </c>
      <c r="B1690" s="3">
        <v>45597.089837962973</v>
      </c>
      <c r="C1690" s="2" t="s">
        <v>520</v>
      </c>
      <c r="D1690" s="2" t="s">
        <v>103</v>
      </c>
      <c r="E1690" s="2" t="s">
        <v>67</v>
      </c>
      <c r="F1690" s="2" t="str" cm="1">
        <f t="array" ref="F1690:G1690">_xlfn.TEXTSPLIT(E1690," - ")</f>
        <v>Beras</v>
      </c>
      <c r="G1690" s="2" t="str">
        <v>Brand B</v>
      </c>
      <c r="H1690" s="5">
        <v>15000</v>
      </c>
      <c r="I1690" s="2">
        <v>1</v>
      </c>
      <c r="J1690" s="2">
        <v>5</v>
      </c>
      <c r="K1690" s="8">
        <f t="shared" si="156"/>
        <v>15000</v>
      </c>
      <c r="L1690" s="8">
        <f t="shared" si="157"/>
        <v>750</v>
      </c>
      <c r="M1690" s="8">
        <f t="shared" si="158"/>
        <v>14250</v>
      </c>
      <c r="N1690" s="5">
        <v>85000</v>
      </c>
      <c r="O1690" s="8">
        <f t="shared" si="159"/>
        <v>99250</v>
      </c>
      <c r="P1690" s="2" t="s">
        <v>22</v>
      </c>
      <c r="Q1690" s="10" t="str">
        <f>VLOOKUP(A1690,Status!A:B,2,0)</f>
        <v>Completed</v>
      </c>
      <c r="R1690" s="2" t="s">
        <v>36</v>
      </c>
      <c r="S1690" s="2">
        <v>5</v>
      </c>
      <c r="T1690" s="2" t="s">
        <v>24</v>
      </c>
      <c r="U1690" s="10" t="str">
        <f t="shared" si="161"/>
        <v>Nov</v>
      </c>
      <c r="V1690" s="10">
        <f t="shared" si="160"/>
        <v>2024</v>
      </c>
      <c r="W1690" t="e" cm="1">
        <f t="array" ref="W1690">_xlfn.IFS(U1690="January",1,U1690="February",2,U1690="March",3,U1690="April",4,U1690="May",5,U1690="June",6,U1690="July",7,U1690="August",8,U1690="September",9,U1690="October",10,U1690="November",11,U1690="December",12)</f>
        <v>#N/A</v>
      </c>
    </row>
    <row r="1691" spans="1:23" ht="15.75" customHeight="1" x14ac:dyDescent="0.25">
      <c r="A1691" s="2" t="s">
        <v>521</v>
      </c>
      <c r="B1691" s="3">
        <v>45597.640682870369</v>
      </c>
      <c r="C1691" s="2" t="s">
        <v>285</v>
      </c>
      <c r="D1691" s="2" t="s">
        <v>20</v>
      </c>
      <c r="E1691" s="2" t="s">
        <v>71</v>
      </c>
      <c r="F1691" s="2" t="str" cm="1">
        <f t="array" ref="F1691:G1691">_xlfn.TEXTSPLIT(E1691," - ")</f>
        <v>Bawang Merah</v>
      </c>
      <c r="G1691" s="2" t="str">
        <v>Brand C</v>
      </c>
      <c r="H1691" s="5">
        <v>40000</v>
      </c>
      <c r="I1691" s="2">
        <v>2</v>
      </c>
      <c r="J1691" s="2">
        <v>15</v>
      </c>
      <c r="K1691" s="8">
        <f t="shared" si="156"/>
        <v>80000</v>
      </c>
      <c r="L1691" s="8">
        <f t="shared" si="157"/>
        <v>12000</v>
      </c>
      <c r="M1691" s="8">
        <f t="shared" si="158"/>
        <v>68000</v>
      </c>
      <c r="N1691" s="5">
        <v>15000</v>
      </c>
      <c r="O1691" s="8">
        <f t="shared" si="159"/>
        <v>83000</v>
      </c>
      <c r="P1691" s="2" t="s">
        <v>35</v>
      </c>
      <c r="Q1691" s="10" t="str">
        <f>VLOOKUP(A1691,Status!A:B,2,0)</f>
        <v>Cancelled</v>
      </c>
      <c r="R1691" s="2" t="s">
        <v>46</v>
      </c>
      <c r="S1691" s="2">
        <v>3</v>
      </c>
      <c r="T1691" s="2" t="s">
        <v>37</v>
      </c>
      <c r="U1691" s="10" t="str">
        <f t="shared" si="161"/>
        <v>Nov</v>
      </c>
      <c r="V1691" s="10">
        <f t="shared" si="160"/>
        <v>2024</v>
      </c>
      <c r="W1691" t="e" cm="1">
        <f t="array" ref="W1691">_xlfn.IFS(U1691="January",1,U1691="February",2,U1691="March",3,U1691="April",4,U1691="May",5,U1691="June",6,U1691="July",7,U1691="August",8,U1691="September",9,U1691="October",10,U1691="November",11,U1691="December",12)</f>
        <v>#N/A</v>
      </c>
    </row>
    <row r="1692" spans="1:23" ht="15.75" customHeight="1" x14ac:dyDescent="0.25">
      <c r="A1692" s="2" t="s">
        <v>522</v>
      </c>
      <c r="B1692" s="3">
        <v>45597.866851851853</v>
      </c>
      <c r="C1692" s="2" t="s">
        <v>523</v>
      </c>
      <c r="D1692" s="2" t="s">
        <v>113</v>
      </c>
      <c r="E1692" s="2" t="s">
        <v>186</v>
      </c>
      <c r="F1692" s="2" t="str" cm="1">
        <f t="array" ref="F1692:G1692">_xlfn.TEXTSPLIT(E1692," - ")</f>
        <v>Susu Bubuk</v>
      </c>
      <c r="G1692" s="2" t="str">
        <v>Brand A</v>
      </c>
      <c r="H1692" s="5">
        <v>45000</v>
      </c>
      <c r="I1692" s="2">
        <v>4</v>
      </c>
      <c r="J1692" s="2">
        <v>0</v>
      </c>
      <c r="K1692" s="8">
        <f t="shared" si="156"/>
        <v>180000</v>
      </c>
      <c r="L1692" s="8">
        <f t="shared" si="157"/>
        <v>0</v>
      </c>
      <c r="M1692" s="8">
        <f t="shared" si="158"/>
        <v>180000</v>
      </c>
      <c r="N1692" s="5">
        <v>18000</v>
      </c>
      <c r="O1692" s="8">
        <f t="shared" si="159"/>
        <v>198000</v>
      </c>
      <c r="P1692" s="2" t="s">
        <v>29</v>
      </c>
      <c r="Q1692" s="10" t="str">
        <f>VLOOKUP(A1692,Status!A:B,2,0)</f>
        <v>Completed</v>
      </c>
      <c r="R1692" s="2" t="s">
        <v>30</v>
      </c>
      <c r="S1692" s="2">
        <v>4</v>
      </c>
      <c r="T1692" s="2" t="s">
        <v>24</v>
      </c>
      <c r="U1692" s="10" t="str">
        <f t="shared" si="161"/>
        <v>Nov</v>
      </c>
      <c r="V1692" s="10">
        <f t="shared" si="160"/>
        <v>2024</v>
      </c>
      <c r="W1692" t="e" cm="1">
        <f t="array" ref="W1692">_xlfn.IFS(U1692="January",1,U1692="February",2,U1692="March",3,U1692="April",4,U1692="May",5,U1692="June",6,U1692="July",7,U1692="August",8,U1692="September",9,U1692="October",10,U1692="November",11,U1692="December",12)</f>
        <v>#N/A</v>
      </c>
    </row>
    <row r="1693" spans="1:23" ht="15.75" customHeight="1" x14ac:dyDescent="0.25">
      <c r="A1693" s="2" t="s">
        <v>524</v>
      </c>
      <c r="B1693" s="3">
        <v>45597.910775462973</v>
      </c>
      <c r="C1693" s="2" t="s">
        <v>525</v>
      </c>
      <c r="D1693" s="2" t="s">
        <v>96</v>
      </c>
      <c r="E1693" s="2" t="s">
        <v>81</v>
      </c>
      <c r="F1693" s="2" t="str" cm="1">
        <f t="array" ref="F1693:G1693">_xlfn.TEXTSPLIT(E1693," - ")</f>
        <v>Minyak Goreng</v>
      </c>
      <c r="G1693" s="2" t="str">
        <v>Brand B</v>
      </c>
      <c r="H1693" s="5">
        <v>17000</v>
      </c>
      <c r="I1693" s="2">
        <v>1</v>
      </c>
      <c r="J1693" s="2">
        <v>20</v>
      </c>
      <c r="K1693" s="8">
        <f t="shared" si="156"/>
        <v>17000</v>
      </c>
      <c r="L1693" s="8">
        <f t="shared" si="157"/>
        <v>3400</v>
      </c>
      <c r="M1693" s="8">
        <f t="shared" si="158"/>
        <v>13600</v>
      </c>
      <c r="N1693" s="5">
        <v>49000</v>
      </c>
      <c r="O1693" s="8">
        <f t="shared" si="159"/>
        <v>62600</v>
      </c>
      <c r="P1693" s="2" t="s">
        <v>29</v>
      </c>
      <c r="Q1693" s="10" t="str">
        <f>VLOOKUP(A1693,Status!A:B,2,0)</f>
        <v>Completed</v>
      </c>
      <c r="R1693" s="2" t="s">
        <v>36</v>
      </c>
      <c r="S1693" s="2">
        <v>3</v>
      </c>
      <c r="T1693" s="2" t="s">
        <v>24</v>
      </c>
      <c r="U1693" s="10" t="str">
        <f t="shared" si="161"/>
        <v>Nov</v>
      </c>
      <c r="V1693" s="10">
        <f t="shared" si="160"/>
        <v>2024</v>
      </c>
      <c r="W1693" t="e" cm="1">
        <f t="array" ref="W1693">_xlfn.IFS(U1693="January",1,U1693="February",2,U1693="March",3,U1693="April",4,U1693="May",5,U1693="June",6,U1693="July",7,U1693="August",8,U1693="September",9,U1693="October",10,U1693="November",11,U1693="December",12)</f>
        <v>#N/A</v>
      </c>
    </row>
    <row r="1694" spans="1:23" ht="15.75" customHeight="1" x14ac:dyDescent="0.25">
      <c r="A1694" s="2" t="s">
        <v>526</v>
      </c>
      <c r="B1694" s="3">
        <v>45598.30060185185</v>
      </c>
      <c r="C1694" s="2" t="s">
        <v>527</v>
      </c>
      <c r="D1694" s="2" t="s">
        <v>173</v>
      </c>
      <c r="E1694" s="2" t="s">
        <v>71</v>
      </c>
      <c r="F1694" s="2" t="str" cm="1">
        <f t="array" ref="F1694:G1694">_xlfn.TEXTSPLIT(E1694," - ")</f>
        <v>Bawang Merah</v>
      </c>
      <c r="G1694" s="2" t="str">
        <v>Brand C</v>
      </c>
      <c r="H1694" s="5">
        <v>40000</v>
      </c>
      <c r="I1694" s="2">
        <v>4</v>
      </c>
      <c r="J1694" s="2">
        <v>0</v>
      </c>
      <c r="K1694" s="8">
        <f t="shared" si="156"/>
        <v>160000</v>
      </c>
      <c r="L1694" s="8">
        <f t="shared" si="157"/>
        <v>0</v>
      </c>
      <c r="M1694" s="8">
        <f t="shared" si="158"/>
        <v>160000</v>
      </c>
      <c r="N1694" s="5">
        <v>49000</v>
      </c>
      <c r="O1694" s="8">
        <f t="shared" si="159"/>
        <v>209000</v>
      </c>
      <c r="P1694" s="2" t="s">
        <v>29</v>
      </c>
      <c r="Q1694" s="10" t="str">
        <f>VLOOKUP(A1694,Status!A:B,2,0)</f>
        <v>Completed</v>
      </c>
      <c r="R1694" s="2" t="s">
        <v>23</v>
      </c>
      <c r="S1694" s="2">
        <v>1</v>
      </c>
      <c r="T1694" s="2" t="s">
        <v>24</v>
      </c>
      <c r="U1694" s="10" t="str">
        <f t="shared" si="161"/>
        <v>Nov</v>
      </c>
      <c r="V1694" s="10">
        <f t="shared" si="160"/>
        <v>2024</v>
      </c>
      <c r="W1694" t="e" cm="1">
        <f t="array" ref="W1694">_xlfn.IFS(U1694="January",1,U1694="February",2,U1694="March",3,U1694="April",4,U1694="May",5,U1694="June",6,U1694="July",7,U1694="August",8,U1694="September",9,U1694="October",10,U1694="November",11,U1694="December",12)</f>
        <v>#N/A</v>
      </c>
    </row>
    <row r="1695" spans="1:23" ht="15.75" customHeight="1" x14ac:dyDescent="0.25">
      <c r="A1695" s="2" t="s">
        <v>528</v>
      </c>
      <c r="B1695" s="3">
        <v>45598.751608796287</v>
      </c>
      <c r="C1695" s="2" t="s">
        <v>455</v>
      </c>
      <c r="D1695" s="2" t="s">
        <v>33</v>
      </c>
      <c r="E1695" s="2" t="s">
        <v>58</v>
      </c>
      <c r="F1695" s="2" t="str" cm="1">
        <f t="array" ref="F1695:G1695">_xlfn.TEXTSPLIT(E1695," - ")</f>
        <v>Gula Pasir</v>
      </c>
      <c r="G1695" s="2" t="str">
        <v>Brand A</v>
      </c>
      <c r="H1695" s="5">
        <v>16000</v>
      </c>
      <c r="I1695" s="2">
        <v>1</v>
      </c>
      <c r="J1695" s="2">
        <v>10</v>
      </c>
      <c r="K1695" s="8">
        <f t="shared" si="156"/>
        <v>16000</v>
      </c>
      <c r="L1695" s="8">
        <f t="shared" si="157"/>
        <v>1600</v>
      </c>
      <c r="M1695" s="8">
        <f t="shared" si="158"/>
        <v>14400</v>
      </c>
      <c r="N1695" s="5">
        <v>76000</v>
      </c>
      <c r="O1695" s="8">
        <f t="shared" si="159"/>
        <v>90400</v>
      </c>
      <c r="P1695" s="2" t="s">
        <v>35</v>
      </c>
      <c r="Q1695" s="10" t="str">
        <f>VLOOKUP(A1695,Status!A:B,2,0)</f>
        <v>Returned</v>
      </c>
      <c r="R1695" s="2" t="s">
        <v>46</v>
      </c>
      <c r="S1695" s="2">
        <v>1</v>
      </c>
      <c r="T1695" s="2" t="s">
        <v>24</v>
      </c>
      <c r="U1695" s="10" t="str">
        <f t="shared" si="161"/>
        <v>Nov</v>
      </c>
      <c r="V1695" s="10">
        <f t="shared" si="160"/>
        <v>2024</v>
      </c>
      <c r="W1695" t="e" cm="1">
        <f t="array" ref="W1695">_xlfn.IFS(U1695="January",1,U1695="February",2,U1695="March",3,U1695="April",4,U1695="May",5,U1695="June",6,U1695="July",7,U1695="August",8,U1695="September",9,U1695="October",10,U1695="November",11,U1695="December",12)</f>
        <v>#N/A</v>
      </c>
    </row>
    <row r="1696" spans="1:23" ht="15.75" customHeight="1" x14ac:dyDescent="0.25">
      <c r="A1696" s="2" t="s">
        <v>529</v>
      </c>
      <c r="B1696" s="3">
        <v>45598.904791666668</v>
      </c>
      <c r="C1696" s="2" t="s">
        <v>530</v>
      </c>
      <c r="D1696" s="2" t="s">
        <v>151</v>
      </c>
      <c r="E1696" s="2" t="s">
        <v>250</v>
      </c>
      <c r="F1696" s="2" t="str" cm="1">
        <f t="array" ref="F1696:G1696">_xlfn.TEXTSPLIT(E1696," - ")</f>
        <v>Minyak Goreng</v>
      </c>
      <c r="G1696" s="2" t="str">
        <v>Brand C</v>
      </c>
      <c r="H1696" s="5">
        <v>18000</v>
      </c>
      <c r="I1696" s="2">
        <v>5</v>
      </c>
      <c r="J1696" s="2">
        <v>0</v>
      </c>
      <c r="K1696" s="8">
        <f t="shared" si="156"/>
        <v>90000</v>
      </c>
      <c r="L1696" s="8">
        <f t="shared" si="157"/>
        <v>0</v>
      </c>
      <c r="M1696" s="8">
        <f t="shared" si="158"/>
        <v>90000</v>
      </c>
      <c r="N1696" s="5">
        <v>55000</v>
      </c>
      <c r="O1696" s="8">
        <f t="shared" si="159"/>
        <v>145000</v>
      </c>
      <c r="P1696" s="2" t="s">
        <v>63</v>
      </c>
      <c r="Q1696" s="10" t="str">
        <f>VLOOKUP(A1696,Status!A:B,2,0)</f>
        <v>Completed</v>
      </c>
      <c r="R1696" s="2" t="s">
        <v>82</v>
      </c>
      <c r="S1696" s="2">
        <v>2</v>
      </c>
      <c r="T1696" s="2" t="s">
        <v>24</v>
      </c>
      <c r="U1696" s="10" t="str">
        <f t="shared" si="161"/>
        <v>Nov</v>
      </c>
      <c r="V1696" s="10">
        <f t="shared" si="160"/>
        <v>2024</v>
      </c>
      <c r="W1696" t="e" cm="1">
        <f t="array" ref="W1696">_xlfn.IFS(U1696="January",1,U1696="February",2,U1696="March",3,U1696="April",4,U1696="May",5,U1696="June",6,U1696="July",7,U1696="August",8,U1696="September",9,U1696="October",10,U1696="November",11,U1696="December",12)</f>
        <v>#N/A</v>
      </c>
    </row>
    <row r="1697" spans="1:23" ht="15.75" customHeight="1" x14ac:dyDescent="0.25">
      <c r="A1697" s="2" t="s">
        <v>531</v>
      </c>
      <c r="B1697" s="3">
        <v>45599.25885416667</v>
      </c>
      <c r="C1697" s="2" t="s">
        <v>532</v>
      </c>
      <c r="D1697" s="2" t="s">
        <v>262</v>
      </c>
      <c r="E1697" s="2" t="s">
        <v>75</v>
      </c>
      <c r="F1697" s="2" t="str" cm="1">
        <f t="array" ref="F1697:G1697">_xlfn.TEXTSPLIT(E1697," - ")</f>
        <v>Susu Bubuk</v>
      </c>
      <c r="G1697" s="2" t="str">
        <v>Brand C</v>
      </c>
      <c r="H1697" s="5">
        <v>55000</v>
      </c>
      <c r="I1697" s="2">
        <v>3</v>
      </c>
      <c r="J1697" s="2">
        <v>0</v>
      </c>
      <c r="K1697" s="8">
        <f t="shared" si="156"/>
        <v>165000</v>
      </c>
      <c r="L1697" s="8">
        <f t="shared" si="157"/>
        <v>0</v>
      </c>
      <c r="M1697" s="8">
        <f t="shared" si="158"/>
        <v>165000</v>
      </c>
      <c r="N1697" s="5">
        <v>18000</v>
      </c>
      <c r="O1697" s="8">
        <f t="shared" si="159"/>
        <v>183000</v>
      </c>
      <c r="P1697" s="2" t="s">
        <v>22</v>
      </c>
      <c r="Q1697" s="10" t="str">
        <f>VLOOKUP(A1697,Status!A:B,2,0)</f>
        <v>Completed</v>
      </c>
      <c r="R1697" s="2" t="s">
        <v>30</v>
      </c>
      <c r="S1697" s="2">
        <v>2</v>
      </c>
      <c r="T1697" s="2" t="s">
        <v>24</v>
      </c>
      <c r="U1697" s="10" t="str">
        <f t="shared" si="161"/>
        <v>Nov</v>
      </c>
      <c r="V1697" s="10">
        <f t="shared" si="160"/>
        <v>2024</v>
      </c>
      <c r="W1697" t="e" cm="1">
        <f t="array" ref="W1697">_xlfn.IFS(U1697="January",1,U1697="February",2,U1697="March",3,U1697="April",4,U1697="May",5,U1697="June",6,U1697="July",7,U1697="August",8,U1697="September",9,U1697="October",10,U1697="November",11,U1697="December",12)</f>
        <v>#N/A</v>
      </c>
    </row>
    <row r="1698" spans="1:23" ht="15.75" customHeight="1" x14ac:dyDescent="0.25">
      <c r="A1698" s="2" t="s">
        <v>531</v>
      </c>
      <c r="B1698" s="3">
        <v>45599.25885416667</v>
      </c>
      <c r="C1698" s="2" t="s">
        <v>532</v>
      </c>
      <c r="D1698" s="2" t="s">
        <v>262</v>
      </c>
      <c r="E1698" s="2" t="s">
        <v>28</v>
      </c>
      <c r="F1698" s="2" t="str" cm="1">
        <f t="array" ref="F1698:G1698">_xlfn.TEXTSPLIT(E1698," - ")</f>
        <v>Garam</v>
      </c>
      <c r="G1698" s="2" t="str">
        <v>Brand B</v>
      </c>
      <c r="H1698" s="5">
        <v>5000</v>
      </c>
      <c r="I1698" s="2">
        <v>2</v>
      </c>
      <c r="J1698" s="2">
        <v>5</v>
      </c>
      <c r="K1698" s="8">
        <f t="shared" si="156"/>
        <v>10000</v>
      </c>
      <c r="L1698" s="8">
        <f t="shared" si="157"/>
        <v>500</v>
      </c>
      <c r="M1698" s="8">
        <f t="shared" si="158"/>
        <v>9500</v>
      </c>
      <c r="N1698" s="5">
        <v>0</v>
      </c>
      <c r="O1698" s="8">
        <f t="shared" si="159"/>
        <v>9500</v>
      </c>
      <c r="P1698" s="2" t="s">
        <v>22</v>
      </c>
      <c r="Q1698" s="10" t="str">
        <f>VLOOKUP(A1698,Status!A:B,2,0)</f>
        <v>Completed</v>
      </c>
      <c r="R1698" s="2" t="s">
        <v>30</v>
      </c>
      <c r="S1698" s="2">
        <v>2</v>
      </c>
      <c r="T1698" s="2" t="s">
        <v>24</v>
      </c>
      <c r="U1698" s="10" t="str">
        <f t="shared" si="161"/>
        <v>Nov</v>
      </c>
      <c r="V1698" s="10">
        <f t="shared" si="160"/>
        <v>2024</v>
      </c>
      <c r="W1698" t="e" cm="1">
        <f t="array" ref="W1698">_xlfn.IFS(U1698="January",1,U1698="February",2,U1698="March",3,U1698="April",4,U1698="May",5,U1698="June",6,U1698="July",7,U1698="August",8,U1698="September",9,U1698="October",10,U1698="November",11,U1698="December",12)</f>
        <v>#N/A</v>
      </c>
    </row>
    <row r="1699" spans="1:23" ht="15.75" customHeight="1" x14ac:dyDescent="0.25">
      <c r="A1699" s="2" t="s">
        <v>533</v>
      </c>
      <c r="B1699" s="3">
        <v>45599.295289351852</v>
      </c>
      <c r="C1699" s="2" t="s">
        <v>231</v>
      </c>
      <c r="D1699" s="2" t="s">
        <v>66</v>
      </c>
      <c r="E1699" s="2" t="s">
        <v>136</v>
      </c>
      <c r="F1699" s="2" t="str" cm="1">
        <f t="array" ref="F1699:G1699">_xlfn.TEXTSPLIT(E1699," - ")</f>
        <v>Tepung Terigu</v>
      </c>
      <c r="G1699" s="2" t="str">
        <v>Brand B</v>
      </c>
      <c r="H1699" s="5">
        <v>12000</v>
      </c>
      <c r="I1699" s="2">
        <v>2</v>
      </c>
      <c r="J1699" s="2">
        <v>15</v>
      </c>
      <c r="K1699" s="8">
        <f t="shared" si="156"/>
        <v>24000</v>
      </c>
      <c r="L1699" s="8">
        <f t="shared" si="157"/>
        <v>3600</v>
      </c>
      <c r="M1699" s="8">
        <f t="shared" si="158"/>
        <v>20400</v>
      </c>
      <c r="N1699" s="5">
        <v>59000</v>
      </c>
      <c r="O1699" s="8">
        <f t="shared" si="159"/>
        <v>79400</v>
      </c>
      <c r="P1699" s="2" t="s">
        <v>29</v>
      </c>
      <c r="Q1699" s="10" t="str">
        <f>VLOOKUP(A1699,Status!A:B,2,0)</f>
        <v>Completed</v>
      </c>
      <c r="R1699" s="2" t="s">
        <v>30</v>
      </c>
      <c r="S1699" s="2">
        <v>3</v>
      </c>
      <c r="T1699" s="2" t="s">
        <v>24</v>
      </c>
      <c r="U1699" s="10" t="str">
        <f t="shared" si="161"/>
        <v>Nov</v>
      </c>
      <c r="V1699" s="10">
        <f t="shared" si="160"/>
        <v>2024</v>
      </c>
      <c r="W1699" t="e" cm="1">
        <f t="array" ref="W1699">_xlfn.IFS(U1699="January",1,U1699="February",2,U1699="March",3,U1699="April",4,U1699="May",5,U1699="June",6,U1699="July",7,U1699="August",8,U1699="September",9,U1699="October",10,U1699="November",11,U1699="December",12)</f>
        <v>#N/A</v>
      </c>
    </row>
    <row r="1700" spans="1:23" ht="15.75" customHeight="1" x14ac:dyDescent="0.25">
      <c r="A1700" s="2" t="s">
        <v>534</v>
      </c>
      <c r="B1700" s="3">
        <v>45599.459305555552</v>
      </c>
      <c r="C1700" s="2" t="s">
        <v>466</v>
      </c>
      <c r="D1700" s="2" t="s">
        <v>131</v>
      </c>
      <c r="E1700" s="2" t="s">
        <v>136</v>
      </c>
      <c r="F1700" s="2" t="str" cm="1">
        <f t="array" ref="F1700:G1700">_xlfn.TEXTSPLIT(E1700," - ")</f>
        <v>Tepung Terigu</v>
      </c>
      <c r="G1700" s="2" t="str">
        <v>Brand B</v>
      </c>
      <c r="H1700" s="5">
        <v>12000</v>
      </c>
      <c r="I1700" s="2">
        <v>3</v>
      </c>
      <c r="J1700" s="2">
        <v>15</v>
      </c>
      <c r="K1700" s="8">
        <f t="shared" si="156"/>
        <v>36000</v>
      </c>
      <c r="L1700" s="8">
        <f t="shared" si="157"/>
        <v>5400</v>
      </c>
      <c r="M1700" s="8">
        <f t="shared" si="158"/>
        <v>30600</v>
      </c>
      <c r="N1700" s="5">
        <v>59000</v>
      </c>
      <c r="O1700" s="8">
        <f t="shared" si="159"/>
        <v>89600</v>
      </c>
      <c r="P1700" s="2" t="s">
        <v>63</v>
      </c>
      <c r="Q1700" s="10" t="str">
        <f>VLOOKUP(A1700,Status!A:B,2,0)</f>
        <v>Completed</v>
      </c>
      <c r="R1700" s="2" t="s">
        <v>30</v>
      </c>
      <c r="S1700" s="2">
        <v>3</v>
      </c>
      <c r="T1700" s="2" t="s">
        <v>24</v>
      </c>
      <c r="U1700" s="10" t="str">
        <f t="shared" si="161"/>
        <v>Nov</v>
      </c>
      <c r="V1700" s="10">
        <f t="shared" si="160"/>
        <v>2024</v>
      </c>
      <c r="W1700" t="e" cm="1">
        <f t="array" ref="W1700">_xlfn.IFS(U1700="January",1,U1700="February",2,U1700="March",3,U1700="April",4,U1700="May",5,U1700="June",6,U1700="July",7,U1700="August",8,U1700="September",9,U1700="October",10,U1700="November",11,U1700="December",12)</f>
        <v>#N/A</v>
      </c>
    </row>
    <row r="1701" spans="1:23" ht="15.75" customHeight="1" x14ac:dyDescent="0.25">
      <c r="A1701" s="2" t="s">
        <v>535</v>
      </c>
      <c r="B1701" s="3">
        <v>45600.006215277783</v>
      </c>
      <c r="C1701" s="2" t="s">
        <v>231</v>
      </c>
      <c r="D1701" s="2" t="s">
        <v>66</v>
      </c>
      <c r="E1701" s="2" t="s">
        <v>186</v>
      </c>
      <c r="F1701" s="2" t="str" cm="1">
        <f t="array" ref="F1701:G1701">_xlfn.TEXTSPLIT(E1701," - ")</f>
        <v>Susu Bubuk</v>
      </c>
      <c r="G1701" s="2" t="str">
        <v>Brand A</v>
      </c>
      <c r="H1701" s="5">
        <v>45000</v>
      </c>
      <c r="I1701" s="2">
        <v>4</v>
      </c>
      <c r="J1701" s="2">
        <v>15</v>
      </c>
      <c r="K1701" s="8">
        <f t="shared" si="156"/>
        <v>180000</v>
      </c>
      <c r="L1701" s="8">
        <f t="shared" si="157"/>
        <v>27000</v>
      </c>
      <c r="M1701" s="8">
        <f t="shared" si="158"/>
        <v>153000</v>
      </c>
      <c r="N1701" s="5">
        <v>59000</v>
      </c>
      <c r="O1701" s="8">
        <f t="shared" si="159"/>
        <v>212000</v>
      </c>
      <c r="P1701" s="2" t="s">
        <v>29</v>
      </c>
      <c r="Q1701" s="10" t="str">
        <f>VLOOKUP(A1701,Status!A:B,2,0)</f>
        <v>Completed</v>
      </c>
      <c r="R1701" s="2" t="s">
        <v>82</v>
      </c>
      <c r="S1701" s="2">
        <v>1</v>
      </c>
      <c r="T1701" s="2" t="s">
        <v>24</v>
      </c>
      <c r="U1701" s="10" t="str">
        <f t="shared" si="161"/>
        <v>Nov</v>
      </c>
      <c r="V1701" s="10">
        <f t="shared" si="160"/>
        <v>2024</v>
      </c>
      <c r="W1701" t="e" cm="1">
        <f t="array" ref="W1701">_xlfn.IFS(U1701="January",1,U1701="February",2,U1701="March",3,U1701="April",4,U1701="May",5,U1701="June",6,U1701="July",7,U1701="August",8,U1701="September",9,U1701="October",10,U1701="November",11,U1701="December",12)</f>
        <v>#N/A</v>
      </c>
    </row>
    <row r="1702" spans="1:23" ht="15.75" customHeight="1" x14ac:dyDescent="0.25">
      <c r="A1702" s="2" t="s">
        <v>536</v>
      </c>
      <c r="B1702" s="3">
        <v>45600.688842592594</v>
      </c>
      <c r="C1702" s="2" t="s">
        <v>537</v>
      </c>
      <c r="D1702" s="2" t="s">
        <v>57</v>
      </c>
      <c r="E1702" s="2" t="s">
        <v>174</v>
      </c>
      <c r="F1702" s="2" t="str" cm="1">
        <f t="array" ref="F1702:G1702">_xlfn.TEXTSPLIT(E1702," - ")</f>
        <v>Tepung Terigu</v>
      </c>
      <c r="G1702" s="2" t="str">
        <v>Brand A</v>
      </c>
      <c r="H1702" s="5">
        <v>10000</v>
      </c>
      <c r="I1702" s="2">
        <v>4</v>
      </c>
      <c r="J1702" s="2">
        <v>20</v>
      </c>
      <c r="K1702" s="8">
        <f t="shared" si="156"/>
        <v>40000</v>
      </c>
      <c r="L1702" s="8">
        <f t="shared" si="157"/>
        <v>8000</v>
      </c>
      <c r="M1702" s="8">
        <f t="shared" si="158"/>
        <v>32000</v>
      </c>
      <c r="N1702" s="5">
        <v>80000</v>
      </c>
      <c r="O1702" s="8">
        <f t="shared" si="159"/>
        <v>112000</v>
      </c>
      <c r="P1702" s="2" t="s">
        <v>22</v>
      </c>
      <c r="Q1702" s="10" t="str">
        <f>VLOOKUP(A1702,Status!A:B,2,0)</f>
        <v>Completed</v>
      </c>
      <c r="R1702" s="2" t="s">
        <v>23</v>
      </c>
      <c r="S1702" s="2">
        <v>3</v>
      </c>
      <c r="T1702" s="2" t="s">
        <v>37</v>
      </c>
      <c r="U1702" s="10" t="str">
        <f t="shared" si="161"/>
        <v>Nov</v>
      </c>
      <c r="V1702" s="10">
        <f t="shared" si="160"/>
        <v>2024</v>
      </c>
      <c r="W1702" t="e" cm="1">
        <f t="array" ref="W1702">_xlfn.IFS(U1702="January",1,U1702="February",2,U1702="March",3,U1702="April",4,U1702="May",5,U1702="June",6,U1702="July",7,U1702="August",8,U1702="September",9,U1702="October",10,U1702="November",11,U1702="December",12)</f>
        <v>#N/A</v>
      </c>
    </row>
    <row r="1703" spans="1:23" ht="15.75" customHeight="1" x14ac:dyDescent="0.25">
      <c r="A1703" s="2" t="s">
        <v>538</v>
      </c>
      <c r="B1703" s="3">
        <v>45600.952939814822</v>
      </c>
      <c r="C1703" s="2" t="s">
        <v>299</v>
      </c>
      <c r="D1703" s="2" t="s">
        <v>163</v>
      </c>
      <c r="E1703" s="2" t="s">
        <v>186</v>
      </c>
      <c r="F1703" s="2" t="str" cm="1">
        <f t="array" ref="F1703:G1703">_xlfn.TEXTSPLIT(E1703," - ")</f>
        <v>Susu Bubuk</v>
      </c>
      <c r="G1703" s="2" t="str">
        <v>Brand A</v>
      </c>
      <c r="H1703" s="5">
        <v>45000</v>
      </c>
      <c r="I1703" s="2">
        <v>3</v>
      </c>
      <c r="J1703" s="2">
        <v>5</v>
      </c>
      <c r="K1703" s="8">
        <f t="shared" si="156"/>
        <v>135000</v>
      </c>
      <c r="L1703" s="8">
        <f t="shared" si="157"/>
        <v>6750</v>
      </c>
      <c r="M1703" s="8">
        <f t="shared" si="158"/>
        <v>128250</v>
      </c>
      <c r="N1703" s="5">
        <v>50000</v>
      </c>
      <c r="O1703" s="8">
        <f t="shared" si="159"/>
        <v>178250</v>
      </c>
      <c r="P1703" s="2" t="s">
        <v>29</v>
      </c>
      <c r="Q1703" s="10" t="str">
        <f>VLOOKUP(A1703,Status!A:B,2,0)</f>
        <v>Completed</v>
      </c>
      <c r="R1703" s="2" t="s">
        <v>36</v>
      </c>
      <c r="S1703" s="2">
        <v>3</v>
      </c>
      <c r="T1703" s="2" t="s">
        <v>24</v>
      </c>
      <c r="U1703" s="10" t="str">
        <f t="shared" si="161"/>
        <v>Nov</v>
      </c>
      <c r="V1703" s="10">
        <f t="shared" si="160"/>
        <v>2024</v>
      </c>
      <c r="W1703" t="e" cm="1">
        <f t="array" ref="W1703">_xlfn.IFS(U1703="January",1,U1703="February",2,U1703="March",3,U1703="April",4,U1703="May",5,U1703="June",6,U1703="July",7,U1703="August",8,U1703="September",9,U1703="October",10,U1703="November",11,U1703="December",12)</f>
        <v>#N/A</v>
      </c>
    </row>
    <row r="1704" spans="1:23" ht="15.75" customHeight="1" x14ac:dyDescent="0.25">
      <c r="A1704" s="2" t="s">
        <v>539</v>
      </c>
      <c r="B1704" s="3">
        <v>45600.978148148148</v>
      </c>
      <c r="C1704" s="2" t="s">
        <v>79</v>
      </c>
      <c r="D1704" s="2" t="s">
        <v>80</v>
      </c>
      <c r="E1704" s="2" t="s">
        <v>50</v>
      </c>
      <c r="F1704" s="2" t="str" cm="1">
        <f t="array" ref="F1704:G1704">_xlfn.TEXTSPLIT(E1704," - ")</f>
        <v>Tepung Terigu</v>
      </c>
      <c r="G1704" s="2" t="str">
        <v>Brand C</v>
      </c>
      <c r="H1704" s="5">
        <v>14000</v>
      </c>
      <c r="I1704" s="2">
        <v>2</v>
      </c>
      <c r="J1704" s="2">
        <v>20</v>
      </c>
      <c r="K1704" s="8">
        <f t="shared" si="156"/>
        <v>28000</v>
      </c>
      <c r="L1704" s="8">
        <f t="shared" si="157"/>
        <v>5600</v>
      </c>
      <c r="M1704" s="8">
        <f t="shared" si="158"/>
        <v>22400</v>
      </c>
      <c r="N1704" s="5">
        <v>74000</v>
      </c>
      <c r="O1704" s="8">
        <f t="shared" si="159"/>
        <v>96400</v>
      </c>
      <c r="P1704" s="2" t="s">
        <v>35</v>
      </c>
      <c r="Q1704" s="10" t="str">
        <f>VLOOKUP(A1704,Status!A:B,2,0)</f>
        <v>Completed</v>
      </c>
      <c r="R1704" s="2" t="s">
        <v>23</v>
      </c>
      <c r="S1704" s="2">
        <v>4</v>
      </c>
      <c r="T1704" s="2" t="s">
        <v>24</v>
      </c>
      <c r="U1704" s="10" t="str">
        <f t="shared" si="161"/>
        <v>Nov</v>
      </c>
      <c r="V1704" s="10">
        <f t="shared" si="160"/>
        <v>2024</v>
      </c>
      <c r="W1704" t="e" cm="1">
        <f t="array" ref="W1704">_xlfn.IFS(U1704="January",1,U1704="February",2,U1704="March",3,U1704="April",4,U1704="May",5,U1704="June",6,U1704="July",7,U1704="August",8,U1704="September",9,U1704="October",10,U1704="November",11,U1704="December",12)</f>
        <v>#N/A</v>
      </c>
    </row>
    <row r="1705" spans="1:23" ht="15.75" customHeight="1" x14ac:dyDescent="0.25">
      <c r="A1705" s="2" t="s">
        <v>540</v>
      </c>
      <c r="B1705" s="3">
        <v>45601.156458333331</v>
      </c>
      <c r="C1705" s="2" t="s">
        <v>150</v>
      </c>
      <c r="D1705" s="2" t="s">
        <v>151</v>
      </c>
      <c r="E1705" s="2" t="s">
        <v>34</v>
      </c>
      <c r="F1705" s="2" t="str" cm="1">
        <f t="array" ref="F1705:G1705">_xlfn.TEXTSPLIT(E1705," - ")</f>
        <v>Minyak Goreng</v>
      </c>
      <c r="G1705" s="2" t="str">
        <v>Brand A</v>
      </c>
      <c r="H1705" s="5">
        <v>16000</v>
      </c>
      <c r="I1705" s="2">
        <v>5</v>
      </c>
      <c r="J1705" s="2">
        <v>0</v>
      </c>
      <c r="K1705" s="8">
        <f t="shared" si="156"/>
        <v>80000</v>
      </c>
      <c r="L1705" s="8">
        <f t="shared" si="157"/>
        <v>0</v>
      </c>
      <c r="M1705" s="8">
        <f t="shared" si="158"/>
        <v>80000</v>
      </c>
      <c r="N1705" s="5">
        <v>55000</v>
      </c>
      <c r="O1705" s="8">
        <f t="shared" si="159"/>
        <v>135000</v>
      </c>
      <c r="P1705" s="2" t="s">
        <v>63</v>
      </c>
      <c r="Q1705" s="10" t="str">
        <f>VLOOKUP(A1705,Status!A:B,2,0)</f>
        <v>Completed</v>
      </c>
      <c r="R1705" s="2" t="s">
        <v>23</v>
      </c>
      <c r="S1705" s="2">
        <v>4</v>
      </c>
      <c r="T1705" s="2" t="s">
        <v>37</v>
      </c>
      <c r="U1705" s="10" t="str">
        <f t="shared" si="161"/>
        <v>Nov</v>
      </c>
      <c r="V1705" s="10">
        <f t="shared" si="160"/>
        <v>2024</v>
      </c>
      <c r="W1705" t="e" cm="1">
        <f t="array" ref="W1705">_xlfn.IFS(U1705="January",1,U1705="February",2,U1705="March",3,U1705="April",4,U1705="May",5,U1705="June",6,U1705="July",7,U1705="August",8,U1705="September",9,U1705="October",10,U1705="November",11,U1705="December",12)</f>
        <v>#N/A</v>
      </c>
    </row>
    <row r="1706" spans="1:23" ht="15.75" customHeight="1" x14ac:dyDescent="0.25">
      <c r="A1706" s="2" t="s">
        <v>541</v>
      </c>
      <c r="B1706" s="3">
        <v>45601.280624999999</v>
      </c>
      <c r="C1706" s="2" t="s">
        <v>542</v>
      </c>
      <c r="D1706" s="2" t="s">
        <v>122</v>
      </c>
      <c r="E1706" s="2" t="s">
        <v>93</v>
      </c>
      <c r="F1706" s="2" t="str" cm="1">
        <f t="array" ref="F1706:G1706">_xlfn.TEXTSPLIT(E1706," - ")</f>
        <v>Telur Ayam</v>
      </c>
      <c r="G1706" s="2" t="str">
        <v>Brand B</v>
      </c>
      <c r="H1706" s="5">
        <v>25000</v>
      </c>
      <c r="I1706" s="2">
        <v>3</v>
      </c>
      <c r="J1706" s="2">
        <v>20</v>
      </c>
      <c r="K1706" s="8">
        <f t="shared" si="156"/>
        <v>75000</v>
      </c>
      <c r="L1706" s="8">
        <f t="shared" si="157"/>
        <v>15000</v>
      </c>
      <c r="M1706" s="8">
        <f t="shared" si="158"/>
        <v>60000</v>
      </c>
      <c r="N1706" s="5">
        <v>78000</v>
      </c>
      <c r="O1706" s="8">
        <f t="shared" si="159"/>
        <v>138000</v>
      </c>
      <c r="P1706" s="2" t="s">
        <v>63</v>
      </c>
      <c r="Q1706" s="10" t="str">
        <f>VLOOKUP(A1706,Status!A:B,2,0)</f>
        <v>Completed</v>
      </c>
      <c r="R1706" s="2" t="s">
        <v>36</v>
      </c>
      <c r="S1706" s="2">
        <v>4</v>
      </c>
      <c r="T1706" s="2" t="s">
        <v>24</v>
      </c>
      <c r="U1706" s="10" t="str">
        <f t="shared" si="161"/>
        <v>Nov</v>
      </c>
      <c r="V1706" s="10">
        <f t="shared" si="160"/>
        <v>2024</v>
      </c>
      <c r="W1706" t="e" cm="1">
        <f t="array" ref="W1706">_xlfn.IFS(U1706="January",1,U1706="February",2,U1706="March",3,U1706="April",4,U1706="May",5,U1706="June",6,U1706="July",7,U1706="August",8,U1706="September",9,U1706="October",10,U1706="November",11,U1706="December",12)</f>
        <v>#N/A</v>
      </c>
    </row>
    <row r="1707" spans="1:23" ht="15.75" customHeight="1" x14ac:dyDescent="0.25">
      <c r="A1707" s="2" t="s">
        <v>543</v>
      </c>
      <c r="B1707" s="3">
        <v>45601.289606481478</v>
      </c>
      <c r="C1707" s="2" t="s">
        <v>544</v>
      </c>
      <c r="D1707" s="2" t="s">
        <v>163</v>
      </c>
      <c r="E1707" s="2" t="s">
        <v>67</v>
      </c>
      <c r="F1707" s="2" t="str" cm="1">
        <f t="array" ref="F1707:G1707">_xlfn.TEXTSPLIT(E1707," - ")</f>
        <v>Beras</v>
      </c>
      <c r="G1707" s="2" t="str">
        <v>Brand B</v>
      </c>
      <c r="H1707" s="5">
        <v>15000</v>
      </c>
      <c r="I1707" s="2">
        <v>4</v>
      </c>
      <c r="J1707" s="2">
        <v>20</v>
      </c>
      <c r="K1707" s="8">
        <f t="shared" si="156"/>
        <v>60000</v>
      </c>
      <c r="L1707" s="8">
        <f t="shared" si="157"/>
        <v>12000</v>
      </c>
      <c r="M1707" s="8">
        <f t="shared" si="158"/>
        <v>48000</v>
      </c>
      <c r="N1707" s="5">
        <v>50000</v>
      </c>
      <c r="O1707" s="8">
        <f t="shared" si="159"/>
        <v>98000</v>
      </c>
      <c r="P1707" s="2" t="s">
        <v>22</v>
      </c>
      <c r="Q1707" s="10" t="str">
        <f>VLOOKUP(A1707,Status!A:B,2,0)</f>
        <v>Completed</v>
      </c>
      <c r="R1707" s="2" t="s">
        <v>23</v>
      </c>
      <c r="S1707" s="2">
        <v>4</v>
      </c>
      <c r="T1707" s="2" t="s">
        <v>24</v>
      </c>
      <c r="U1707" s="10" t="str">
        <f t="shared" si="161"/>
        <v>Nov</v>
      </c>
      <c r="V1707" s="10">
        <f t="shared" si="160"/>
        <v>2024</v>
      </c>
      <c r="W1707" t="e" cm="1">
        <f t="array" ref="W1707">_xlfn.IFS(U1707="January",1,U1707="February",2,U1707="March",3,U1707="April",4,U1707="May",5,U1707="June",6,U1707="July",7,U1707="August",8,U1707="September",9,U1707="October",10,U1707="November",11,U1707="December",12)</f>
        <v>#N/A</v>
      </c>
    </row>
    <row r="1708" spans="1:23" ht="15.75" customHeight="1" x14ac:dyDescent="0.25">
      <c r="A1708" s="2" t="s">
        <v>545</v>
      </c>
      <c r="B1708" s="3">
        <v>45601.34511574074</v>
      </c>
      <c r="C1708" s="2" t="s">
        <v>307</v>
      </c>
      <c r="D1708" s="2" t="s">
        <v>70</v>
      </c>
      <c r="E1708" s="2" t="s">
        <v>81</v>
      </c>
      <c r="F1708" s="2" t="str" cm="1">
        <f t="array" ref="F1708:G1708">_xlfn.TEXTSPLIT(E1708," - ")</f>
        <v>Minyak Goreng</v>
      </c>
      <c r="G1708" s="2" t="str">
        <v>Brand B</v>
      </c>
      <c r="H1708" s="5">
        <v>17000</v>
      </c>
      <c r="I1708" s="2">
        <v>4</v>
      </c>
      <c r="J1708" s="2">
        <v>15</v>
      </c>
      <c r="K1708" s="8">
        <f t="shared" si="156"/>
        <v>68000</v>
      </c>
      <c r="L1708" s="8">
        <f t="shared" si="157"/>
        <v>10200</v>
      </c>
      <c r="M1708" s="8">
        <f t="shared" si="158"/>
        <v>57800</v>
      </c>
      <c r="N1708" s="5">
        <v>89000</v>
      </c>
      <c r="O1708" s="8">
        <f t="shared" si="159"/>
        <v>146800</v>
      </c>
      <c r="P1708" s="2" t="s">
        <v>29</v>
      </c>
      <c r="Q1708" s="10" t="str">
        <f>VLOOKUP(A1708,Status!A:B,2,0)</f>
        <v>Completed</v>
      </c>
      <c r="R1708" s="2" t="s">
        <v>82</v>
      </c>
      <c r="S1708" s="2">
        <v>2</v>
      </c>
      <c r="T1708" s="2" t="s">
        <v>24</v>
      </c>
      <c r="U1708" s="10" t="str">
        <f t="shared" si="161"/>
        <v>Nov</v>
      </c>
      <c r="V1708" s="10">
        <f t="shared" si="160"/>
        <v>2024</v>
      </c>
      <c r="W1708" t="e" cm="1">
        <f t="array" ref="W1708">_xlfn.IFS(U1708="January",1,U1708="February",2,U1708="March",3,U1708="April",4,U1708="May",5,U1708="June",6,U1708="July",7,U1708="August",8,U1708="September",9,U1708="October",10,U1708="November",11,U1708="December",12)</f>
        <v>#N/A</v>
      </c>
    </row>
    <row r="1709" spans="1:23" ht="15.75" customHeight="1" x14ac:dyDescent="0.25">
      <c r="A1709" s="2" t="s">
        <v>546</v>
      </c>
      <c r="B1709" s="3">
        <v>45602.008159722223</v>
      </c>
      <c r="C1709" s="2" t="s">
        <v>547</v>
      </c>
      <c r="D1709" s="2" t="s">
        <v>119</v>
      </c>
      <c r="E1709" s="2" t="s">
        <v>250</v>
      </c>
      <c r="F1709" s="2" t="str" cm="1">
        <f t="array" ref="F1709:G1709">_xlfn.TEXTSPLIT(E1709," - ")</f>
        <v>Minyak Goreng</v>
      </c>
      <c r="G1709" s="2" t="str">
        <v>Brand C</v>
      </c>
      <c r="H1709" s="5">
        <v>18000</v>
      </c>
      <c r="I1709" s="2">
        <v>3</v>
      </c>
      <c r="J1709" s="2">
        <v>10</v>
      </c>
      <c r="K1709" s="8">
        <f t="shared" si="156"/>
        <v>54000</v>
      </c>
      <c r="L1709" s="8">
        <f t="shared" si="157"/>
        <v>5400</v>
      </c>
      <c r="M1709" s="8">
        <f t="shared" si="158"/>
        <v>48600</v>
      </c>
      <c r="N1709" s="5">
        <v>0</v>
      </c>
      <c r="O1709" s="8">
        <f t="shared" si="159"/>
        <v>48600</v>
      </c>
      <c r="P1709" s="2" t="s">
        <v>35</v>
      </c>
      <c r="Q1709" s="10" t="str">
        <f>VLOOKUP(A1709,Status!A:B,2,0)</f>
        <v>Completed</v>
      </c>
      <c r="R1709" s="2" t="s">
        <v>30</v>
      </c>
      <c r="S1709" s="2">
        <v>2</v>
      </c>
      <c r="T1709" s="2" t="s">
        <v>37</v>
      </c>
      <c r="U1709" s="10" t="str">
        <f t="shared" si="161"/>
        <v>Nov</v>
      </c>
      <c r="V1709" s="10">
        <f t="shared" si="160"/>
        <v>2024</v>
      </c>
      <c r="W1709" t="e" cm="1">
        <f t="array" ref="W1709">_xlfn.IFS(U1709="January",1,U1709="February",2,U1709="March",3,U1709="April",4,U1709="May",5,U1709="June",6,U1709="July",7,U1709="August",8,U1709="September",9,U1709="October",10,U1709="November",11,U1709="December",12)</f>
        <v>#N/A</v>
      </c>
    </row>
    <row r="1710" spans="1:23" ht="15.75" customHeight="1" x14ac:dyDescent="0.25">
      <c r="A1710" s="2" t="s">
        <v>548</v>
      </c>
      <c r="B1710" s="3">
        <v>45602.08697916667</v>
      </c>
      <c r="C1710" s="2" t="s">
        <v>549</v>
      </c>
      <c r="D1710" s="2" t="s">
        <v>107</v>
      </c>
      <c r="E1710" s="2" t="s">
        <v>45</v>
      </c>
      <c r="F1710" s="2" t="str" cm="1">
        <f t="array" ref="F1710:G1710">_xlfn.TEXTSPLIT(E1710," - ")</f>
        <v>Daging Ayam</v>
      </c>
      <c r="G1710" s="2" t="str">
        <v>Brand B</v>
      </c>
      <c r="H1710" s="5">
        <v>40000</v>
      </c>
      <c r="I1710" s="2">
        <v>2</v>
      </c>
      <c r="J1710" s="2">
        <v>15</v>
      </c>
      <c r="K1710" s="8">
        <f t="shared" si="156"/>
        <v>80000</v>
      </c>
      <c r="L1710" s="8">
        <f t="shared" si="157"/>
        <v>12000</v>
      </c>
      <c r="M1710" s="8">
        <f t="shared" si="158"/>
        <v>68000</v>
      </c>
      <c r="N1710" s="5">
        <v>97000</v>
      </c>
      <c r="O1710" s="8">
        <f t="shared" si="159"/>
        <v>165000</v>
      </c>
      <c r="P1710" s="2" t="s">
        <v>29</v>
      </c>
      <c r="Q1710" s="10" t="str">
        <f>VLOOKUP(A1710,Status!A:B,2,0)</f>
        <v>Cancelled</v>
      </c>
      <c r="R1710" s="2" t="s">
        <v>36</v>
      </c>
      <c r="S1710" s="2">
        <v>1</v>
      </c>
      <c r="T1710" s="2" t="s">
        <v>24</v>
      </c>
      <c r="U1710" s="10" t="str">
        <f t="shared" si="161"/>
        <v>Nov</v>
      </c>
      <c r="V1710" s="10">
        <f t="shared" si="160"/>
        <v>2024</v>
      </c>
      <c r="W1710" t="e" cm="1">
        <f t="array" ref="W1710">_xlfn.IFS(U1710="January",1,U1710="February",2,U1710="March",3,U1710="April",4,U1710="May",5,U1710="June",6,U1710="July",7,U1710="August",8,U1710="September",9,U1710="October",10,U1710="November",11,U1710="December",12)</f>
        <v>#N/A</v>
      </c>
    </row>
    <row r="1711" spans="1:23" ht="15.75" customHeight="1" x14ac:dyDescent="0.25">
      <c r="A1711" s="2" t="s">
        <v>550</v>
      </c>
      <c r="B1711" s="3">
        <v>45602.363530092603</v>
      </c>
      <c r="C1711" s="2" t="s">
        <v>551</v>
      </c>
      <c r="D1711" s="2" t="s">
        <v>262</v>
      </c>
      <c r="E1711" s="2" t="s">
        <v>88</v>
      </c>
      <c r="F1711" s="2" t="str" cm="1">
        <f t="array" ref="F1711:G1711">_xlfn.TEXTSPLIT(E1711," - ")</f>
        <v>Beras</v>
      </c>
      <c r="G1711" s="2" t="str">
        <v>Brand A</v>
      </c>
      <c r="H1711" s="5">
        <v>14000</v>
      </c>
      <c r="I1711" s="2">
        <v>1</v>
      </c>
      <c r="J1711" s="2">
        <v>10</v>
      </c>
      <c r="K1711" s="8">
        <f t="shared" si="156"/>
        <v>14000</v>
      </c>
      <c r="L1711" s="8">
        <f t="shared" si="157"/>
        <v>1400</v>
      </c>
      <c r="M1711" s="8">
        <f t="shared" si="158"/>
        <v>12600</v>
      </c>
      <c r="N1711" s="5">
        <v>18000</v>
      </c>
      <c r="O1711" s="8">
        <f t="shared" si="159"/>
        <v>30600</v>
      </c>
      <c r="P1711" s="2" t="s">
        <v>22</v>
      </c>
      <c r="Q1711" s="10" t="str">
        <f>VLOOKUP(A1711,Status!A:B,2,0)</f>
        <v>Cancelled</v>
      </c>
      <c r="R1711" s="2" t="s">
        <v>23</v>
      </c>
      <c r="S1711" s="2">
        <v>5</v>
      </c>
      <c r="T1711" s="2" t="s">
        <v>37</v>
      </c>
      <c r="U1711" s="10" t="str">
        <f t="shared" si="161"/>
        <v>Nov</v>
      </c>
      <c r="V1711" s="10">
        <f t="shared" si="160"/>
        <v>2024</v>
      </c>
      <c r="W1711" t="e" cm="1">
        <f t="array" ref="W1711">_xlfn.IFS(U1711="January",1,U1711="February",2,U1711="March",3,U1711="April",4,U1711="May",5,U1711="June",6,U1711="July",7,U1711="August",8,U1711="September",9,U1711="October",10,U1711="November",11,U1711="December",12)</f>
        <v>#N/A</v>
      </c>
    </row>
    <row r="1712" spans="1:23" ht="15.75" customHeight="1" x14ac:dyDescent="0.25">
      <c r="A1712" s="2" t="s">
        <v>552</v>
      </c>
      <c r="B1712" s="3">
        <v>45603.475717592592</v>
      </c>
      <c r="C1712" s="2" t="s">
        <v>553</v>
      </c>
      <c r="D1712" s="2" t="s">
        <v>107</v>
      </c>
      <c r="E1712" s="2" t="s">
        <v>62</v>
      </c>
      <c r="F1712" s="2" t="str" cm="1">
        <f t="array" ref="F1712:G1712">_xlfn.TEXTSPLIT(E1712," - ")</f>
        <v>Susu Bubuk</v>
      </c>
      <c r="G1712" s="2" t="str">
        <v>Brand B</v>
      </c>
      <c r="H1712" s="5">
        <v>50000</v>
      </c>
      <c r="I1712" s="2">
        <v>5</v>
      </c>
      <c r="J1712" s="2">
        <v>10</v>
      </c>
      <c r="K1712" s="8">
        <f t="shared" si="156"/>
        <v>250000</v>
      </c>
      <c r="L1712" s="8">
        <f t="shared" si="157"/>
        <v>25000</v>
      </c>
      <c r="M1712" s="8">
        <f t="shared" si="158"/>
        <v>225000</v>
      </c>
      <c r="N1712" s="5">
        <v>97000</v>
      </c>
      <c r="O1712" s="8">
        <f t="shared" si="159"/>
        <v>322000</v>
      </c>
      <c r="P1712" s="2" t="s">
        <v>29</v>
      </c>
      <c r="Q1712" s="10" t="str">
        <f>VLOOKUP(A1712,Status!A:B,2,0)</f>
        <v>Completed</v>
      </c>
      <c r="R1712" s="2" t="s">
        <v>46</v>
      </c>
      <c r="S1712" s="2">
        <v>3</v>
      </c>
      <c r="T1712" s="2" t="s">
        <v>24</v>
      </c>
      <c r="U1712" s="10" t="str">
        <f t="shared" si="161"/>
        <v>Nov</v>
      </c>
      <c r="V1712" s="10">
        <f t="shared" si="160"/>
        <v>2024</v>
      </c>
      <c r="W1712" t="e" cm="1">
        <f t="array" ref="W1712">_xlfn.IFS(U1712="January",1,U1712="February",2,U1712="March",3,U1712="April",4,U1712="May",5,U1712="June",6,U1712="July",7,U1712="August",8,U1712="September",9,U1712="October",10,U1712="November",11,U1712="December",12)</f>
        <v>#N/A</v>
      </c>
    </row>
    <row r="1713" spans="1:23" ht="15.75" customHeight="1" x14ac:dyDescent="0.25">
      <c r="A1713" s="2" t="s">
        <v>554</v>
      </c>
      <c r="B1713" s="3">
        <v>45603.967615740738</v>
      </c>
      <c r="C1713" s="2" t="s">
        <v>453</v>
      </c>
      <c r="D1713" s="2" t="s">
        <v>27</v>
      </c>
      <c r="E1713" s="2" t="s">
        <v>186</v>
      </c>
      <c r="F1713" s="2" t="str" cm="1">
        <f t="array" ref="F1713:G1713">_xlfn.TEXTSPLIT(E1713," - ")</f>
        <v>Susu Bubuk</v>
      </c>
      <c r="G1713" s="2" t="str">
        <v>Brand A</v>
      </c>
      <c r="H1713" s="5">
        <v>45000</v>
      </c>
      <c r="I1713" s="2">
        <v>3</v>
      </c>
      <c r="J1713" s="2">
        <v>0</v>
      </c>
      <c r="K1713" s="8">
        <f t="shared" si="156"/>
        <v>135000</v>
      </c>
      <c r="L1713" s="8">
        <f t="shared" si="157"/>
        <v>0</v>
      </c>
      <c r="M1713" s="8">
        <f t="shared" si="158"/>
        <v>135000</v>
      </c>
      <c r="N1713" s="5">
        <v>17000</v>
      </c>
      <c r="O1713" s="8">
        <f t="shared" si="159"/>
        <v>152000</v>
      </c>
      <c r="P1713" s="2" t="s">
        <v>29</v>
      </c>
      <c r="Q1713" s="10" t="str">
        <f>VLOOKUP(A1713,Status!A:B,2,0)</f>
        <v>Completed</v>
      </c>
      <c r="R1713" s="2" t="s">
        <v>23</v>
      </c>
      <c r="S1713" s="2">
        <v>2</v>
      </c>
      <c r="T1713" s="2" t="s">
        <v>37</v>
      </c>
      <c r="U1713" s="10" t="str">
        <f t="shared" si="161"/>
        <v>Nov</v>
      </c>
      <c r="V1713" s="10">
        <f t="shared" si="160"/>
        <v>2024</v>
      </c>
      <c r="W1713" t="e" cm="1">
        <f t="array" ref="W1713">_xlfn.IFS(U1713="January",1,U1713="February",2,U1713="March",3,U1713="April",4,U1713="May",5,U1713="June",6,U1713="July",7,U1713="August",8,U1713="September",9,U1713="October",10,U1713="November",11,U1713="December",12)</f>
        <v>#N/A</v>
      </c>
    </row>
    <row r="1714" spans="1:23" ht="15.75" customHeight="1" x14ac:dyDescent="0.25">
      <c r="A1714" s="2" t="s">
        <v>555</v>
      </c>
      <c r="B1714" s="3">
        <v>45604.19804398148</v>
      </c>
      <c r="C1714" s="2" t="s">
        <v>333</v>
      </c>
      <c r="D1714" s="2" t="s">
        <v>107</v>
      </c>
      <c r="E1714" s="2" t="s">
        <v>81</v>
      </c>
      <c r="F1714" s="2" t="str" cm="1">
        <f t="array" ref="F1714:G1714">_xlfn.TEXTSPLIT(E1714," - ")</f>
        <v>Minyak Goreng</v>
      </c>
      <c r="G1714" s="2" t="str">
        <v>Brand B</v>
      </c>
      <c r="H1714" s="5">
        <v>17000</v>
      </c>
      <c r="I1714" s="2">
        <v>1</v>
      </c>
      <c r="J1714" s="2">
        <v>20</v>
      </c>
      <c r="K1714" s="8">
        <f t="shared" si="156"/>
        <v>17000</v>
      </c>
      <c r="L1714" s="8">
        <f t="shared" si="157"/>
        <v>3400</v>
      </c>
      <c r="M1714" s="8">
        <f t="shared" si="158"/>
        <v>13600</v>
      </c>
      <c r="N1714" s="5">
        <v>97000</v>
      </c>
      <c r="O1714" s="8">
        <f t="shared" si="159"/>
        <v>110600</v>
      </c>
      <c r="P1714" s="2" t="s">
        <v>22</v>
      </c>
      <c r="Q1714" s="10" t="str">
        <f>VLOOKUP(A1714,Status!A:B,2,0)</f>
        <v>Completed</v>
      </c>
      <c r="R1714" s="2" t="s">
        <v>82</v>
      </c>
      <c r="S1714" s="2">
        <v>2</v>
      </c>
      <c r="T1714" s="2" t="s">
        <v>37</v>
      </c>
      <c r="U1714" s="10" t="str">
        <f t="shared" si="161"/>
        <v>Nov</v>
      </c>
      <c r="V1714" s="10">
        <f t="shared" si="160"/>
        <v>2024</v>
      </c>
      <c r="W1714" t="e" cm="1">
        <f t="array" ref="W1714">_xlfn.IFS(U1714="January",1,U1714="February",2,U1714="March",3,U1714="April",4,U1714="May",5,U1714="June",6,U1714="July",7,U1714="August",8,U1714="September",9,U1714="October",10,U1714="November",11,U1714="December",12)</f>
        <v>#N/A</v>
      </c>
    </row>
    <row r="1715" spans="1:23" ht="15.75" customHeight="1" x14ac:dyDescent="0.25">
      <c r="A1715" s="2" t="s">
        <v>556</v>
      </c>
      <c r="B1715" s="3">
        <v>45604.232210648152</v>
      </c>
      <c r="C1715" s="2" t="s">
        <v>557</v>
      </c>
      <c r="D1715" s="2" t="s">
        <v>173</v>
      </c>
      <c r="E1715" s="2" t="s">
        <v>144</v>
      </c>
      <c r="F1715" s="2" t="str" cm="1">
        <f t="array" ref="F1715:G1715">_xlfn.TEXTSPLIT(E1715," - ")</f>
        <v>Gula Pasir</v>
      </c>
      <c r="G1715" s="2" t="str">
        <v>Brand C</v>
      </c>
      <c r="H1715" s="5">
        <v>18000</v>
      </c>
      <c r="I1715" s="2">
        <v>5</v>
      </c>
      <c r="J1715" s="2">
        <v>0</v>
      </c>
      <c r="K1715" s="8">
        <f t="shared" si="156"/>
        <v>90000</v>
      </c>
      <c r="L1715" s="8">
        <f t="shared" si="157"/>
        <v>0</v>
      </c>
      <c r="M1715" s="8">
        <f t="shared" si="158"/>
        <v>90000</v>
      </c>
      <c r="N1715" s="5">
        <v>49000</v>
      </c>
      <c r="O1715" s="8">
        <f t="shared" si="159"/>
        <v>139000</v>
      </c>
      <c r="P1715" s="2" t="s">
        <v>29</v>
      </c>
      <c r="Q1715" s="10" t="str">
        <f>VLOOKUP(A1715,Status!A:B,2,0)</f>
        <v>Completed</v>
      </c>
      <c r="R1715" s="2" t="s">
        <v>82</v>
      </c>
      <c r="S1715" s="2">
        <v>5</v>
      </c>
      <c r="T1715" s="2" t="s">
        <v>24</v>
      </c>
      <c r="U1715" s="10" t="str">
        <f t="shared" si="161"/>
        <v>Nov</v>
      </c>
      <c r="V1715" s="10">
        <f t="shared" si="160"/>
        <v>2024</v>
      </c>
      <c r="W1715" t="e" cm="1">
        <f t="array" ref="W1715">_xlfn.IFS(U1715="January",1,U1715="February",2,U1715="March",3,U1715="April",4,U1715="May",5,U1715="June",6,U1715="July",7,U1715="August",8,U1715="September",9,U1715="October",10,U1715="November",11,U1715="December",12)</f>
        <v>#N/A</v>
      </c>
    </row>
    <row r="1716" spans="1:23" ht="15.75" customHeight="1" x14ac:dyDescent="0.25">
      <c r="A1716" s="2" t="s">
        <v>558</v>
      </c>
      <c r="B1716" s="3">
        <v>45604.992222222223</v>
      </c>
      <c r="C1716" s="2" t="s">
        <v>488</v>
      </c>
      <c r="D1716" s="2" t="s">
        <v>49</v>
      </c>
      <c r="E1716" s="2" t="s">
        <v>34</v>
      </c>
      <c r="F1716" s="2" t="str" cm="1">
        <f t="array" ref="F1716:G1716">_xlfn.TEXTSPLIT(E1716," - ")</f>
        <v>Minyak Goreng</v>
      </c>
      <c r="G1716" s="2" t="str">
        <v>Brand A</v>
      </c>
      <c r="H1716" s="5">
        <v>16000</v>
      </c>
      <c r="I1716" s="2">
        <v>5</v>
      </c>
      <c r="J1716" s="2">
        <v>10</v>
      </c>
      <c r="K1716" s="8">
        <f t="shared" si="156"/>
        <v>80000</v>
      </c>
      <c r="L1716" s="8">
        <f t="shared" si="157"/>
        <v>8000</v>
      </c>
      <c r="M1716" s="8">
        <f t="shared" si="158"/>
        <v>72000</v>
      </c>
      <c r="N1716" s="5">
        <v>43000</v>
      </c>
      <c r="O1716" s="8">
        <f t="shared" si="159"/>
        <v>115000</v>
      </c>
      <c r="P1716" s="2" t="s">
        <v>63</v>
      </c>
      <c r="Q1716" s="10" t="str">
        <f>VLOOKUP(A1716,Status!A:B,2,0)</f>
        <v>Completed</v>
      </c>
      <c r="R1716" s="2" t="s">
        <v>46</v>
      </c>
      <c r="S1716" s="2">
        <v>2</v>
      </c>
      <c r="T1716" s="2" t="s">
        <v>24</v>
      </c>
      <c r="U1716" s="10" t="str">
        <f t="shared" si="161"/>
        <v>Nov</v>
      </c>
      <c r="V1716" s="10">
        <f t="shared" si="160"/>
        <v>2024</v>
      </c>
      <c r="W1716" t="e" cm="1">
        <f t="array" ref="W1716">_xlfn.IFS(U1716="January",1,U1716="February",2,U1716="March",3,U1716="April",4,U1716="May",5,U1716="June",6,U1716="July",7,U1716="August",8,U1716="September",9,U1716="October",10,U1716="November",11,U1716="December",12)</f>
        <v>#N/A</v>
      </c>
    </row>
    <row r="1717" spans="1:23" ht="15.75" customHeight="1" x14ac:dyDescent="0.25">
      <c r="A1717" s="2" t="s">
        <v>559</v>
      </c>
      <c r="B1717" s="3">
        <v>45605.157650462963</v>
      </c>
      <c r="C1717" s="2" t="s">
        <v>547</v>
      </c>
      <c r="D1717" s="2" t="s">
        <v>119</v>
      </c>
      <c r="E1717" s="2" t="s">
        <v>54</v>
      </c>
      <c r="F1717" s="2" t="str" cm="1">
        <f t="array" ref="F1717:G1717">_xlfn.TEXTSPLIT(E1717," - ")</f>
        <v>Beras</v>
      </c>
      <c r="G1717" s="2" t="str">
        <v>Brand C</v>
      </c>
      <c r="H1717" s="5">
        <v>16000</v>
      </c>
      <c r="I1717" s="2">
        <v>2</v>
      </c>
      <c r="J1717" s="2">
        <v>20</v>
      </c>
      <c r="K1717" s="8">
        <f t="shared" si="156"/>
        <v>32000</v>
      </c>
      <c r="L1717" s="8">
        <f t="shared" si="157"/>
        <v>6400</v>
      </c>
      <c r="M1717" s="8">
        <f t="shared" si="158"/>
        <v>25600</v>
      </c>
      <c r="N1717" s="5">
        <v>0</v>
      </c>
      <c r="O1717" s="8">
        <f t="shared" si="159"/>
        <v>25600</v>
      </c>
      <c r="P1717" s="2" t="s">
        <v>22</v>
      </c>
      <c r="Q1717" s="10" t="str">
        <f>VLOOKUP(A1717,Status!A:B,2,0)</f>
        <v>Completed</v>
      </c>
      <c r="R1717" s="2" t="s">
        <v>23</v>
      </c>
      <c r="S1717" s="2">
        <v>4</v>
      </c>
      <c r="T1717" s="2" t="s">
        <v>37</v>
      </c>
      <c r="U1717" s="10" t="str">
        <f t="shared" si="161"/>
        <v>Nov</v>
      </c>
      <c r="V1717" s="10">
        <f t="shared" si="160"/>
        <v>2024</v>
      </c>
      <c r="W1717" t="e" cm="1">
        <f t="array" ref="W1717">_xlfn.IFS(U1717="January",1,U1717="February",2,U1717="March",3,U1717="April",4,U1717="May",5,U1717="June",6,U1717="July",7,U1717="August",8,U1717="September",9,U1717="October",10,U1717="November",11,U1717="December",12)</f>
        <v>#N/A</v>
      </c>
    </row>
    <row r="1718" spans="1:23" ht="15.75" customHeight="1" x14ac:dyDescent="0.25">
      <c r="A1718" s="2" t="s">
        <v>559</v>
      </c>
      <c r="B1718" s="3">
        <v>45605.157650462963</v>
      </c>
      <c r="C1718" s="2" t="s">
        <v>547</v>
      </c>
      <c r="D1718" s="2" t="s">
        <v>119</v>
      </c>
      <c r="E1718" s="2" t="s">
        <v>93</v>
      </c>
      <c r="F1718" s="2" t="str" cm="1">
        <f t="array" ref="F1718:G1718">_xlfn.TEXTSPLIT(E1718," - ")</f>
        <v>Telur Ayam</v>
      </c>
      <c r="G1718" s="2" t="str">
        <v>Brand B</v>
      </c>
      <c r="H1718" s="5">
        <v>25000</v>
      </c>
      <c r="I1718" s="2">
        <v>2</v>
      </c>
      <c r="J1718" s="2">
        <v>10</v>
      </c>
      <c r="K1718" s="8">
        <f t="shared" si="156"/>
        <v>50000</v>
      </c>
      <c r="L1718" s="8">
        <f t="shared" si="157"/>
        <v>5000</v>
      </c>
      <c r="M1718" s="8">
        <f t="shared" si="158"/>
        <v>45000</v>
      </c>
      <c r="N1718" s="5">
        <v>0</v>
      </c>
      <c r="O1718" s="8">
        <f t="shared" si="159"/>
        <v>45000</v>
      </c>
      <c r="P1718" s="2" t="s">
        <v>22</v>
      </c>
      <c r="Q1718" s="10" t="str">
        <f>VLOOKUP(A1718,Status!A:B,2,0)</f>
        <v>Completed</v>
      </c>
      <c r="R1718" s="2" t="s">
        <v>23</v>
      </c>
      <c r="S1718" s="2">
        <v>4</v>
      </c>
      <c r="T1718" s="2" t="s">
        <v>37</v>
      </c>
      <c r="U1718" s="10" t="str">
        <f t="shared" si="161"/>
        <v>Nov</v>
      </c>
      <c r="V1718" s="10">
        <f t="shared" si="160"/>
        <v>2024</v>
      </c>
      <c r="W1718" t="e" cm="1">
        <f t="array" ref="W1718">_xlfn.IFS(U1718="January",1,U1718="February",2,U1718="March",3,U1718="April",4,U1718="May",5,U1718="June",6,U1718="July",7,U1718="August",8,U1718="September",9,U1718="October",10,U1718="November",11,U1718="December",12)</f>
        <v>#N/A</v>
      </c>
    </row>
    <row r="1719" spans="1:23" ht="15.75" customHeight="1" x14ac:dyDescent="0.25">
      <c r="A1719" s="2" t="s">
        <v>560</v>
      </c>
      <c r="B1719" s="3">
        <v>45605.213784722233</v>
      </c>
      <c r="C1719" s="2" t="s">
        <v>201</v>
      </c>
      <c r="D1719" s="2" t="s">
        <v>107</v>
      </c>
      <c r="E1719" s="2" t="s">
        <v>62</v>
      </c>
      <c r="F1719" s="2" t="str" cm="1">
        <f t="array" ref="F1719:G1719">_xlfn.TEXTSPLIT(E1719," - ")</f>
        <v>Susu Bubuk</v>
      </c>
      <c r="G1719" s="2" t="str">
        <v>Brand B</v>
      </c>
      <c r="H1719" s="5">
        <v>50000</v>
      </c>
      <c r="I1719" s="2">
        <v>4</v>
      </c>
      <c r="J1719" s="2">
        <v>20</v>
      </c>
      <c r="K1719" s="8">
        <f t="shared" si="156"/>
        <v>200000</v>
      </c>
      <c r="L1719" s="8">
        <f t="shared" si="157"/>
        <v>40000</v>
      </c>
      <c r="M1719" s="8">
        <f t="shared" si="158"/>
        <v>160000</v>
      </c>
      <c r="N1719" s="5">
        <v>97000</v>
      </c>
      <c r="O1719" s="8">
        <f t="shared" si="159"/>
        <v>257000</v>
      </c>
      <c r="P1719" s="2" t="s">
        <v>63</v>
      </c>
      <c r="Q1719" s="10" t="str">
        <f>VLOOKUP(A1719,Status!A:B,2,0)</f>
        <v>Completed</v>
      </c>
      <c r="R1719" s="2" t="s">
        <v>36</v>
      </c>
      <c r="S1719" s="2">
        <v>5</v>
      </c>
      <c r="T1719" s="2" t="s">
        <v>24</v>
      </c>
      <c r="U1719" s="10" t="str">
        <f t="shared" si="161"/>
        <v>Nov</v>
      </c>
      <c r="V1719" s="10">
        <f t="shared" si="160"/>
        <v>2024</v>
      </c>
      <c r="W1719" t="e" cm="1">
        <f t="array" ref="W1719">_xlfn.IFS(U1719="January",1,U1719="February",2,U1719="March",3,U1719="April",4,U1719="May",5,U1719="June",6,U1719="July",7,U1719="August",8,U1719="September",9,U1719="October",10,U1719="November",11,U1719="December",12)</f>
        <v>#N/A</v>
      </c>
    </row>
    <row r="1720" spans="1:23" ht="15.75" customHeight="1" x14ac:dyDescent="0.25">
      <c r="A1720" s="2" t="s">
        <v>561</v>
      </c>
      <c r="B1720" s="3">
        <v>45605.499409722222</v>
      </c>
      <c r="C1720" s="2" t="s">
        <v>355</v>
      </c>
      <c r="D1720" s="2" t="s">
        <v>116</v>
      </c>
      <c r="E1720" s="2" t="s">
        <v>138</v>
      </c>
      <c r="F1720" s="2" t="str" cm="1">
        <f t="array" ref="F1720:G1720">_xlfn.TEXTSPLIT(E1720," - ")</f>
        <v>Gula Pasir</v>
      </c>
      <c r="G1720" s="2" t="str">
        <v>Brand B</v>
      </c>
      <c r="H1720" s="5">
        <v>17000</v>
      </c>
      <c r="I1720" s="2">
        <v>5</v>
      </c>
      <c r="J1720" s="2">
        <v>5</v>
      </c>
      <c r="K1720" s="8">
        <f t="shared" si="156"/>
        <v>85000</v>
      </c>
      <c r="L1720" s="8">
        <f t="shared" si="157"/>
        <v>4250</v>
      </c>
      <c r="M1720" s="8">
        <f t="shared" si="158"/>
        <v>80750</v>
      </c>
      <c r="N1720" s="5">
        <v>72000</v>
      </c>
      <c r="O1720" s="8">
        <f t="shared" si="159"/>
        <v>152750</v>
      </c>
      <c r="P1720" s="2" t="s">
        <v>63</v>
      </c>
      <c r="Q1720" s="10" t="str">
        <f>VLOOKUP(A1720,Status!A:B,2,0)</f>
        <v>Completed</v>
      </c>
      <c r="R1720" s="2" t="s">
        <v>23</v>
      </c>
      <c r="S1720" s="2">
        <v>5</v>
      </c>
      <c r="T1720" s="2" t="s">
        <v>24</v>
      </c>
      <c r="U1720" s="10" t="str">
        <f t="shared" si="161"/>
        <v>Nov</v>
      </c>
      <c r="V1720" s="10">
        <f t="shared" si="160"/>
        <v>2024</v>
      </c>
      <c r="W1720" t="e" cm="1">
        <f t="array" ref="W1720">_xlfn.IFS(U1720="January",1,U1720="February",2,U1720="March",3,U1720="April",4,U1720="May",5,U1720="June",6,U1720="July",7,U1720="August",8,U1720="September",9,U1720="October",10,U1720="November",11,U1720="December",12)</f>
        <v>#N/A</v>
      </c>
    </row>
    <row r="1721" spans="1:23" ht="15.75" customHeight="1" x14ac:dyDescent="0.25">
      <c r="A1721" s="2" t="s">
        <v>562</v>
      </c>
      <c r="B1721" s="3">
        <v>45605.63989583333</v>
      </c>
      <c r="C1721" s="2" t="s">
        <v>216</v>
      </c>
      <c r="D1721" s="2" t="s">
        <v>143</v>
      </c>
      <c r="E1721" s="2" t="s">
        <v>62</v>
      </c>
      <c r="F1721" s="2" t="str" cm="1">
        <f t="array" ref="F1721:G1721">_xlfn.TEXTSPLIT(E1721," - ")</f>
        <v>Susu Bubuk</v>
      </c>
      <c r="G1721" s="2" t="str">
        <v>Brand B</v>
      </c>
      <c r="H1721" s="5">
        <v>50000</v>
      </c>
      <c r="I1721" s="2">
        <v>3</v>
      </c>
      <c r="J1721" s="2">
        <v>15</v>
      </c>
      <c r="K1721" s="8">
        <f t="shared" si="156"/>
        <v>150000</v>
      </c>
      <c r="L1721" s="8">
        <f t="shared" si="157"/>
        <v>22500</v>
      </c>
      <c r="M1721" s="8">
        <f t="shared" si="158"/>
        <v>127500</v>
      </c>
      <c r="N1721" s="5">
        <v>50000</v>
      </c>
      <c r="O1721" s="8">
        <f t="shared" si="159"/>
        <v>177500</v>
      </c>
      <c r="P1721" s="2" t="s">
        <v>63</v>
      </c>
      <c r="Q1721" s="10" t="str">
        <f>VLOOKUP(A1721,Status!A:B,2,0)</f>
        <v>Completed</v>
      </c>
      <c r="R1721" s="2" t="s">
        <v>82</v>
      </c>
      <c r="S1721" s="2">
        <v>2</v>
      </c>
      <c r="T1721" s="2" t="s">
        <v>24</v>
      </c>
      <c r="U1721" s="10" t="str">
        <f t="shared" si="161"/>
        <v>Nov</v>
      </c>
      <c r="V1721" s="10">
        <f t="shared" si="160"/>
        <v>2024</v>
      </c>
      <c r="W1721" t="e" cm="1">
        <f t="array" ref="W1721">_xlfn.IFS(U1721="January",1,U1721="February",2,U1721="March",3,U1721="April",4,U1721="May",5,U1721="June",6,U1721="July",7,U1721="August",8,U1721="September",9,U1721="October",10,U1721="November",11,U1721="December",12)</f>
        <v>#N/A</v>
      </c>
    </row>
    <row r="1722" spans="1:23" ht="15.75" customHeight="1" x14ac:dyDescent="0.25">
      <c r="A1722" s="2" t="s">
        <v>563</v>
      </c>
      <c r="B1722" s="3">
        <v>45605.801388888889</v>
      </c>
      <c r="C1722" s="2" t="s">
        <v>150</v>
      </c>
      <c r="D1722" s="2" t="s">
        <v>151</v>
      </c>
      <c r="E1722" s="2" t="s">
        <v>67</v>
      </c>
      <c r="F1722" s="2" t="str" cm="1">
        <f t="array" ref="F1722:G1722">_xlfn.TEXTSPLIT(E1722," - ")</f>
        <v>Beras</v>
      </c>
      <c r="G1722" s="2" t="str">
        <v>Brand B</v>
      </c>
      <c r="H1722" s="5">
        <v>15000</v>
      </c>
      <c r="I1722" s="2">
        <v>3</v>
      </c>
      <c r="J1722" s="2">
        <v>10</v>
      </c>
      <c r="K1722" s="8">
        <f t="shared" si="156"/>
        <v>45000</v>
      </c>
      <c r="L1722" s="8">
        <f t="shared" si="157"/>
        <v>4500</v>
      </c>
      <c r="M1722" s="8">
        <f t="shared" si="158"/>
        <v>40500</v>
      </c>
      <c r="N1722" s="5">
        <v>55000</v>
      </c>
      <c r="O1722" s="8">
        <f t="shared" si="159"/>
        <v>95500</v>
      </c>
      <c r="P1722" s="2" t="s">
        <v>35</v>
      </c>
      <c r="Q1722" s="10" t="str">
        <f>VLOOKUP(A1722,Status!A:B,2,0)</f>
        <v>Completed</v>
      </c>
      <c r="R1722" s="2" t="s">
        <v>82</v>
      </c>
      <c r="S1722" s="2">
        <v>1</v>
      </c>
      <c r="T1722" s="2" t="s">
        <v>37</v>
      </c>
      <c r="U1722" s="10" t="str">
        <f t="shared" si="161"/>
        <v>Nov</v>
      </c>
      <c r="V1722" s="10">
        <f t="shared" si="160"/>
        <v>2024</v>
      </c>
      <c r="W1722" t="e" cm="1">
        <f t="array" ref="W1722">_xlfn.IFS(U1722="January",1,U1722="February",2,U1722="March",3,U1722="April",4,U1722="May",5,U1722="June",6,U1722="July",7,U1722="August",8,U1722="September",9,U1722="October",10,U1722="November",11,U1722="December",12)</f>
        <v>#N/A</v>
      </c>
    </row>
    <row r="1723" spans="1:23" ht="15.75" customHeight="1" x14ac:dyDescent="0.25">
      <c r="A1723" s="2" t="s">
        <v>564</v>
      </c>
      <c r="B1723" s="3">
        <v>45606.352210648147</v>
      </c>
      <c r="C1723" s="2" t="s">
        <v>565</v>
      </c>
      <c r="D1723" s="2" t="s">
        <v>163</v>
      </c>
      <c r="E1723" s="2" t="s">
        <v>174</v>
      </c>
      <c r="F1723" s="2" t="str" cm="1">
        <f t="array" ref="F1723:G1723">_xlfn.TEXTSPLIT(E1723," - ")</f>
        <v>Tepung Terigu</v>
      </c>
      <c r="G1723" s="2" t="str">
        <v>Brand A</v>
      </c>
      <c r="H1723" s="5">
        <v>10000</v>
      </c>
      <c r="I1723" s="2">
        <v>4</v>
      </c>
      <c r="J1723" s="2">
        <v>20</v>
      </c>
      <c r="K1723" s="8">
        <f t="shared" si="156"/>
        <v>40000</v>
      </c>
      <c r="L1723" s="8">
        <f t="shared" si="157"/>
        <v>8000</v>
      </c>
      <c r="M1723" s="8">
        <f t="shared" si="158"/>
        <v>32000</v>
      </c>
      <c r="N1723" s="5">
        <v>50000</v>
      </c>
      <c r="O1723" s="8">
        <f t="shared" si="159"/>
        <v>82000</v>
      </c>
      <c r="P1723" s="2" t="s">
        <v>22</v>
      </c>
      <c r="Q1723" s="10" t="str">
        <f>VLOOKUP(A1723,Status!A:B,2,0)</f>
        <v>Completed</v>
      </c>
      <c r="R1723" s="2" t="s">
        <v>82</v>
      </c>
      <c r="S1723" s="2">
        <v>2</v>
      </c>
      <c r="T1723" s="2" t="s">
        <v>24</v>
      </c>
      <c r="U1723" s="10" t="str">
        <f t="shared" si="161"/>
        <v>Nov</v>
      </c>
      <c r="V1723" s="10">
        <f t="shared" si="160"/>
        <v>2024</v>
      </c>
      <c r="W1723" t="e" cm="1">
        <f t="array" ref="W1723">_xlfn.IFS(U1723="January",1,U1723="February",2,U1723="March",3,U1723="April",4,U1723="May",5,U1723="June",6,U1723="July",7,U1723="August",8,U1723="September",9,U1723="October",10,U1723="November",11,U1723="December",12)</f>
        <v>#N/A</v>
      </c>
    </row>
    <row r="1724" spans="1:23" ht="15.75" customHeight="1" x14ac:dyDescent="0.25">
      <c r="A1724" s="2" t="s">
        <v>566</v>
      </c>
      <c r="B1724" s="3">
        <v>45606.393321759257</v>
      </c>
      <c r="C1724" s="2" t="s">
        <v>502</v>
      </c>
      <c r="D1724" s="2" t="s">
        <v>107</v>
      </c>
      <c r="E1724" s="2" t="s">
        <v>93</v>
      </c>
      <c r="F1724" s="2" t="str" cm="1">
        <f t="array" ref="F1724:G1724">_xlfn.TEXTSPLIT(E1724," - ")</f>
        <v>Telur Ayam</v>
      </c>
      <c r="G1724" s="2" t="str">
        <v>Brand B</v>
      </c>
      <c r="H1724" s="5">
        <v>25000</v>
      </c>
      <c r="I1724" s="2">
        <v>1</v>
      </c>
      <c r="J1724" s="2">
        <v>0</v>
      </c>
      <c r="K1724" s="8">
        <f t="shared" si="156"/>
        <v>25000</v>
      </c>
      <c r="L1724" s="8">
        <f t="shared" si="157"/>
        <v>0</v>
      </c>
      <c r="M1724" s="8">
        <f t="shared" si="158"/>
        <v>25000</v>
      </c>
      <c r="N1724" s="5">
        <v>97000</v>
      </c>
      <c r="O1724" s="8">
        <f t="shared" si="159"/>
        <v>122000</v>
      </c>
      <c r="P1724" s="2" t="s">
        <v>63</v>
      </c>
      <c r="Q1724" s="10" t="str">
        <f>VLOOKUP(A1724,Status!A:B,2,0)</f>
        <v>Completed</v>
      </c>
      <c r="R1724" s="2" t="s">
        <v>36</v>
      </c>
      <c r="S1724" s="2">
        <v>5</v>
      </c>
      <c r="T1724" s="2" t="s">
        <v>24</v>
      </c>
      <c r="U1724" s="10" t="str">
        <f t="shared" si="161"/>
        <v>Nov</v>
      </c>
      <c r="V1724" s="10">
        <f t="shared" si="160"/>
        <v>2024</v>
      </c>
      <c r="W1724" t="e" cm="1">
        <f t="array" ref="W1724">_xlfn.IFS(U1724="January",1,U1724="February",2,U1724="March",3,U1724="April",4,U1724="May",5,U1724="June",6,U1724="July",7,U1724="August",8,U1724="September",9,U1724="October",10,U1724="November",11,U1724="December",12)</f>
        <v>#N/A</v>
      </c>
    </row>
    <row r="1725" spans="1:23" ht="15.75" customHeight="1" x14ac:dyDescent="0.25">
      <c r="A1725" s="2" t="s">
        <v>567</v>
      </c>
      <c r="B1725" s="3">
        <v>45606.654351851852</v>
      </c>
      <c r="C1725" s="2" t="s">
        <v>568</v>
      </c>
      <c r="D1725" s="2" t="s">
        <v>435</v>
      </c>
      <c r="E1725" s="2" t="s">
        <v>138</v>
      </c>
      <c r="F1725" s="2" t="str" cm="1">
        <f t="array" ref="F1725:G1725">_xlfn.TEXTSPLIT(E1725," - ")</f>
        <v>Gula Pasir</v>
      </c>
      <c r="G1725" s="2" t="str">
        <v>Brand B</v>
      </c>
      <c r="H1725" s="5">
        <v>17000</v>
      </c>
      <c r="I1725" s="2">
        <v>1</v>
      </c>
      <c r="J1725" s="2">
        <v>20</v>
      </c>
      <c r="K1725" s="8">
        <f t="shared" si="156"/>
        <v>17000</v>
      </c>
      <c r="L1725" s="8">
        <f t="shared" si="157"/>
        <v>3400</v>
      </c>
      <c r="M1725" s="8">
        <f t="shared" si="158"/>
        <v>13600</v>
      </c>
      <c r="N1725" s="5">
        <v>67000</v>
      </c>
      <c r="O1725" s="8">
        <f t="shared" si="159"/>
        <v>80600</v>
      </c>
      <c r="P1725" s="2" t="s">
        <v>29</v>
      </c>
      <c r="Q1725" s="10" t="str">
        <f>VLOOKUP(A1725,Status!A:B,2,0)</f>
        <v>Completed</v>
      </c>
      <c r="R1725" s="2" t="s">
        <v>46</v>
      </c>
      <c r="S1725" s="2">
        <v>2</v>
      </c>
      <c r="T1725" s="2" t="s">
        <v>24</v>
      </c>
      <c r="U1725" s="10" t="str">
        <f t="shared" si="161"/>
        <v>Nov</v>
      </c>
      <c r="V1725" s="10">
        <f t="shared" si="160"/>
        <v>2024</v>
      </c>
      <c r="W1725" t="e" cm="1">
        <f t="array" ref="W1725">_xlfn.IFS(U1725="January",1,U1725="February",2,U1725="March",3,U1725="April",4,U1725="May",5,U1725="June",6,U1725="July",7,U1725="August",8,U1725="September",9,U1725="October",10,U1725="November",11,U1725="December",12)</f>
        <v>#N/A</v>
      </c>
    </row>
    <row r="1726" spans="1:23" ht="15.75" customHeight="1" x14ac:dyDescent="0.25">
      <c r="A1726" s="2" t="s">
        <v>569</v>
      </c>
      <c r="B1726" s="3">
        <v>45606.69021990741</v>
      </c>
      <c r="C1726" s="2" t="s">
        <v>570</v>
      </c>
      <c r="D1726" s="2" t="s">
        <v>80</v>
      </c>
      <c r="E1726" s="2" t="s">
        <v>174</v>
      </c>
      <c r="F1726" s="2" t="str" cm="1">
        <f t="array" ref="F1726:G1726">_xlfn.TEXTSPLIT(E1726," - ")</f>
        <v>Tepung Terigu</v>
      </c>
      <c r="G1726" s="2" t="str">
        <v>Brand A</v>
      </c>
      <c r="H1726" s="5">
        <v>10000</v>
      </c>
      <c r="I1726" s="2">
        <v>1</v>
      </c>
      <c r="J1726" s="2">
        <v>20</v>
      </c>
      <c r="K1726" s="8">
        <f t="shared" si="156"/>
        <v>10000</v>
      </c>
      <c r="L1726" s="8">
        <f t="shared" si="157"/>
        <v>2000</v>
      </c>
      <c r="M1726" s="8">
        <f t="shared" si="158"/>
        <v>8000</v>
      </c>
      <c r="N1726" s="5">
        <v>74000</v>
      </c>
      <c r="O1726" s="8">
        <f t="shared" si="159"/>
        <v>82000</v>
      </c>
      <c r="P1726" s="2" t="s">
        <v>63</v>
      </c>
      <c r="Q1726" s="10" t="str">
        <f>VLOOKUP(A1726,Status!A:B,2,0)</f>
        <v>Completed</v>
      </c>
      <c r="R1726" s="2" t="s">
        <v>30</v>
      </c>
      <c r="S1726" s="2">
        <v>4</v>
      </c>
      <c r="T1726" s="2" t="s">
        <v>24</v>
      </c>
      <c r="U1726" s="10" t="str">
        <f t="shared" si="161"/>
        <v>Nov</v>
      </c>
      <c r="V1726" s="10">
        <f t="shared" si="160"/>
        <v>2024</v>
      </c>
      <c r="W1726" t="e" cm="1">
        <f t="array" ref="W1726">_xlfn.IFS(U1726="January",1,U1726="February",2,U1726="March",3,U1726="April",4,U1726="May",5,U1726="June",6,U1726="July",7,U1726="August",8,U1726="September",9,U1726="October",10,U1726="November",11,U1726="December",12)</f>
        <v>#N/A</v>
      </c>
    </row>
    <row r="1727" spans="1:23" ht="15.75" customHeight="1" x14ac:dyDescent="0.25">
      <c r="A1727" s="2" t="s">
        <v>571</v>
      </c>
      <c r="B1727" s="3">
        <v>45607.079050925917</v>
      </c>
      <c r="C1727" s="2" t="s">
        <v>572</v>
      </c>
      <c r="D1727" s="2" t="s">
        <v>33</v>
      </c>
      <c r="E1727" s="2" t="s">
        <v>58</v>
      </c>
      <c r="F1727" s="2" t="str" cm="1">
        <f t="array" ref="F1727:G1727">_xlfn.TEXTSPLIT(E1727," - ")</f>
        <v>Gula Pasir</v>
      </c>
      <c r="G1727" s="2" t="str">
        <v>Brand A</v>
      </c>
      <c r="H1727" s="5">
        <v>16000</v>
      </c>
      <c r="I1727" s="2">
        <v>3</v>
      </c>
      <c r="J1727" s="2">
        <v>10</v>
      </c>
      <c r="K1727" s="8">
        <f t="shared" si="156"/>
        <v>48000</v>
      </c>
      <c r="L1727" s="8">
        <f t="shared" si="157"/>
        <v>4800</v>
      </c>
      <c r="M1727" s="8">
        <f t="shared" si="158"/>
        <v>43200</v>
      </c>
      <c r="N1727" s="5">
        <v>76000</v>
      </c>
      <c r="O1727" s="8">
        <f t="shared" si="159"/>
        <v>119200</v>
      </c>
      <c r="P1727" s="2" t="s">
        <v>29</v>
      </c>
      <c r="Q1727" s="10" t="str">
        <f>VLOOKUP(A1727,Status!A:B,2,0)</f>
        <v>Returned</v>
      </c>
      <c r="R1727" s="2" t="s">
        <v>46</v>
      </c>
      <c r="S1727" s="2">
        <v>2</v>
      </c>
      <c r="T1727" s="2" t="s">
        <v>24</v>
      </c>
      <c r="U1727" s="10" t="str">
        <f t="shared" si="161"/>
        <v>Nov</v>
      </c>
      <c r="V1727" s="10">
        <f t="shared" si="160"/>
        <v>2024</v>
      </c>
      <c r="W1727" t="e" cm="1">
        <f t="array" ref="W1727">_xlfn.IFS(U1727="January",1,U1727="February",2,U1727="March",3,U1727="April",4,U1727="May",5,U1727="June",6,U1727="July",7,U1727="August",8,U1727="September",9,U1727="October",10,U1727="November",11,U1727="December",12)</f>
        <v>#N/A</v>
      </c>
    </row>
    <row r="1728" spans="1:23" ht="15.75" customHeight="1" x14ac:dyDescent="0.25">
      <c r="A1728" s="2" t="s">
        <v>573</v>
      </c>
      <c r="B1728" s="3">
        <v>45607.36209490741</v>
      </c>
      <c r="C1728" s="2" t="s">
        <v>40</v>
      </c>
      <c r="D1728" s="2" t="s">
        <v>27</v>
      </c>
      <c r="E1728" s="2" t="s">
        <v>144</v>
      </c>
      <c r="F1728" s="2" t="str" cm="1">
        <f t="array" ref="F1728:G1728">_xlfn.TEXTSPLIT(E1728," - ")</f>
        <v>Gula Pasir</v>
      </c>
      <c r="G1728" s="2" t="str">
        <v>Brand C</v>
      </c>
      <c r="H1728" s="5">
        <v>18000</v>
      </c>
      <c r="I1728" s="2">
        <v>2</v>
      </c>
      <c r="J1728" s="2">
        <v>5</v>
      </c>
      <c r="K1728" s="8">
        <f t="shared" si="156"/>
        <v>36000</v>
      </c>
      <c r="L1728" s="8">
        <f t="shared" si="157"/>
        <v>1800</v>
      </c>
      <c r="M1728" s="8">
        <f t="shared" si="158"/>
        <v>34200</v>
      </c>
      <c r="N1728" s="5">
        <v>17000</v>
      </c>
      <c r="O1728" s="8">
        <f t="shared" si="159"/>
        <v>51200</v>
      </c>
      <c r="P1728" s="2" t="s">
        <v>29</v>
      </c>
      <c r="Q1728" s="10" t="str">
        <f>VLOOKUP(A1728,Status!A:B,2,0)</f>
        <v>Cancelled</v>
      </c>
      <c r="R1728" s="2" t="s">
        <v>46</v>
      </c>
      <c r="S1728" s="2">
        <v>4</v>
      </c>
      <c r="T1728" s="2" t="s">
        <v>24</v>
      </c>
      <c r="U1728" s="10" t="str">
        <f t="shared" si="161"/>
        <v>Nov</v>
      </c>
      <c r="V1728" s="10">
        <f t="shared" si="160"/>
        <v>2024</v>
      </c>
      <c r="W1728" t="e" cm="1">
        <f t="array" ref="W1728">_xlfn.IFS(U1728="January",1,U1728="February",2,U1728="March",3,U1728="April",4,U1728="May",5,U1728="June",6,U1728="July",7,U1728="August",8,U1728="September",9,U1728="October",10,U1728="November",11,U1728="December",12)</f>
        <v>#N/A</v>
      </c>
    </row>
    <row r="1729" spans="1:23" ht="15.75" customHeight="1" x14ac:dyDescent="0.25">
      <c r="A1729" s="2" t="s">
        <v>574</v>
      </c>
      <c r="B1729" s="3">
        <v>45607.567719907413</v>
      </c>
      <c r="C1729" s="2" t="s">
        <v>515</v>
      </c>
      <c r="D1729" s="2" t="s">
        <v>182</v>
      </c>
      <c r="E1729" s="2" t="s">
        <v>81</v>
      </c>
      <c r="F1729" s="2" t="str" cm="1">
        <f t="array" ref="F1729:G1729">_xlfn.TEXTSPLIT(E1729," - ")</f>
        <v>Minyak Goreng</v>
      </c>
      <c r="G1729" s="2" t="str">
        <v>Brand B</v>
      </c>
      <c r="H1729" s="5">
        <v>17000</v>
      </c>
      <c r="I1729" s="2">
        <v>3</v>
      </c>
      <c r="J1729" s="2">
        <v>10</v>
      </c>
      <c r="K1729" s="8">
        <f t="shared" si="156"/>
        <v>51000</v>
      </c>
      <c r="L1729" s="8">
        <f t="shared" si="157"/>
        <v>5100</v>
      </c>
      <c r="M1729" s="8">
        <f t="shared" si="158"/>
        <v>45900</v>
      </c>
      <c r="N1729" s="5">
        <v>48000</v>
      </c>
      <c r="O1729" s="8">
        <f t="shared" si="159"/>
        <v>93900</v>
      </c>
      <c r="P1729" s="2" t="s">
        <v>35</v>
      </c>
      <c r="Q1729" s="10" t="str">
        <f>VLOOKUP(A1729,Status!A:B,2,0)</f>
        <v>Completed</v>
      </c>
      <c r="R1729" s="2" t="s">
        <v>36</v>
      </c>
      <c r="S1729" s="2">
        <v>3</v>
      </c>
      <c r="T1729" s="2" t="s">
        <v>24</v>
      </c>
      <c r="U1729" s="10" t="str">
        <f t="shared" si="161"/>
        <v>Nov</v>
      </c>
      <c r="V1729" s="10">
        <f t="shared" si="160"/>
        <v>2024</v>
      </c>
      <c r="W1729" t="e" cm="1">
        <f t="array" ref="W1729">_xlfn.IFS(U1729="January",1,U1729="February",2,U1729="March",3,U1729="April",4,U1729="May",5,U1729="June",6,U1729="July",7,U1729="August",8,U1729="September",9,U1729="October",10,U1729="November",11,U1729="December",12)</f>
        <v>#N/A</v>
      </c>
    </row>
    <row r="1730" spans="1:23" ht="15.75" customHeight="1" x14ac:dyDescent="0.25">
      <c r="A1730" s="2" t="s">
        <v>574</v>
      </c>
      <c r="B1730" s="3">
        <v>45607.567719907413</v>
      </c>
      <c r="C1730" s="2" t="s">
        <v>515</v>
      </c>
      <c r="D1730" s="2" t="s">
        <v>182</v>
      </c>
      <c r="E1730" s="2" t="s">
        <v>62</v>
      </c>
      <c r="F1730" s="2" t="str" cm="1">
        <f t="array" ref="F1730:G1730">_xlfn.TEXTSPLIT(E1730," - ")</f>
        <v>Susu Bubuk</v>
      </c>
      <c r="G1730" s="2" t="str">
        <v>Brand B</v>
      </c>
      <c r="H1730" s="5">
        <v>50000</v>
      </c>
      <c r="I1730" s="2">
        <v>1</v>
      </c>
      <c r="J1730" s="2">
        <v>0</v>
      </c>
      <c r="K1730" s="8">
        <f t="shared" ref="K1730:K1793" si="162">H1730*I1730</f>
        <v>50000</v>
      </c>
      <c r="L1730" s="8">
        <f t="shared" ref="L1730:L1793" si="163">K1730*J1730%</f>
        <v>0</v>
      </c>
      <c r="M1730" s="8">
        <f t="shared" ref="M1730:M1793" si="164">K1730-L1730</f>
        <v>50000</v>
      </c>
      <c r="N1730" s="5">
        <v>0</v>
      </c>
      <c r="O1730" s="8">
        <f t="shared" ref="O1730:O1793" si="165">M1730+N1730</f>
        <v>50000</v>
      </c>
      <c r="P1730" s="2" t="s">
        <v>35</v>
      </c>
      <c r="Q1730" s="10" t="str">
        <f>VLOOKUP(A1730,Status!A:B,2,0)</f>
        <v>Completed</v>
      </c>
      <c r="R1730" s="2" t="s">
        <v>36</v>
      </c>
      <c r="S1730" s="2">
        <v>3</v>
      </c>
      <c r="T1730" s="2" t="s">
        <v>24</v>
      </c>
      <c r="U1730" s="10" t="str">
        <f t="shared" si="161"/>
        <v>Nov</v>
      </c>
      <c r="V1730" s="10">
        <f t="shared" ref="V1730:V1793" si="166">YEAR(B1730)</f>
        <v>2024</v>
      </c>
      <c r="W1730" t="e" cm="1">
        <f t="array" ref="W1730">_xlfn.IFS(U1730="January",1,U1730="February",2,U1730="March",3,U1730="April",4,U1730="May",5,U1730="June",6,U1730="July",7,U1730="August",8,U1730="September",9,U1730="October",10,U1730="November",11,U1730="December",12)</f>
        <v>#N/A</v>
      </c>
    </row>
    <row r="1731" spans="1:23" ht="15.75" customHeight="1" x14ac:dyDescent="0.25">
      <c r="A1731" s="2" t="s">
        <v>575</v>
      </c>
      <c r="B1731" s="3">
        <v>45608.161423611113</v>
      </c>
      <c r="C1731" s="2" t="s">
        <v>576</v>
      </c>
      <c r="D1731" s="2" t="s">
        <v>57</v>
      </c>
      <c r="E1731" s="2" t="s">
        <v>190</v>
      </c>
      <c r="F1731" s="2" t="str" cm="1">
        <f t="array" ref="F1731:G1731">_xlfn.TEXTSPLIT(E1731," - ")</f>
        <v>Bawang Merah</v>
      </c>
      <c r="G1731" s="2" t="str">
        <v>Brand B</v>
      </c>
      <c r="H1731" s="5">
        <v>35000</v>
      </c>
      <c r="I1731" s="2">
        <v>3</v>
      </c>
      <c r="J1731" s="2">
        <v>0</v>
      </c>
      <c r="K1731" s="8">
        <f t="shared" si="162"/>
        <v>105000</v>
      </c>
      <c r="L1731" s="8">
        <f t="shared" si="163"/>
        <v>0</v>
      </c>
      <c r="M1731" s="8">
        <f t="shared" si="164"/>
        <v>105000</v>
      </c>
      <c r="N1731" s="5">
        <v>80000</v>
      </c>
      <c r="O1731" s="8">
        <f t="shared" si="165"/>
        <v>185000</v>
      </c>
      <c r="P1731" s="2" t="s">
        <v>35</v>
      </c>
      <c r="Q1731" s="10" t="str">
        <f>VLOOKUP(A1731,Status!A:B,2,0)</f>
        <v>Completed</v>
      </c>
      <c r="R1731" s="2" t="s">
        <v>36</v>
      </c>
      <c r="S1731" s="2">
        <v>1</v>
      </c>
      <c r="T1731" s="2" t="s">
        <v>37</v>
      </c>
      <c r="U1731" s="10" t="str">
        <f t="shared" ref="U1731:U1794" si="167">TEXT(B1731,"MMM")</f>
        <v>Nov</v>
      </c>
      <c r="V1731" s="10">
        <f t="shared" si="166"/>
        <v>2024</v>
      </c>
      <c r="W1731" t="e" cm="1">
        <f t="array" ref="W1731">_xlfn.IFS(U1731="January",1,U1731="February",2,U1731="March",3,U1731="April",4,U1731="May",5,U1731="June",6,U1731="July",7,U1731="August",8,U1731="September",9,U1731="October",10,U1731="November",11,U1731="December",12)</f>
        <v>#N/A</v>
      </c>
    </row>
    <row r="1732" spans="1:23" ht="15.75" customHeight="1" x14ac:dyDescent="0.25">
      <c r="A1732" s="2" t="s">
        <v>577</v>
      </c>
      <c r="B1732" s="3">
        <v>45608.472233796303</v>
      </c>
      <c r="C1732" s="2" t="s">
        <v>455</v>
      </c>
      <c r="D1732" s="2" t="s">
        <v>33</v>
      </c>
      <c r="E1732" s="2" t="s">
        <v>62</v>
      </c>
      <c r="F1732" s="2" t="str" cm="1">
        <f t="array" ref="F1732:G1732">_xlfn.TEXTSPLIT(E1732," - ")</f>
        <v>Susu Bubuk</v>
      </c>
      <c r="G1732" s="2" t="str">
        <v>Brand B</v>
      </c>
      <c r="H1732" s="5">
        <v>50000</v>
      </c>
      <c r="I1732" s="2">
        <v>5</v>
      </c>
      <c r="J1732" s="2">
        <v>15</v>
      </c>
      <c r="K1732" s="8">
        <f t="shared" si="162"/>
        <v>250000</v>
      </c>
      <c r="L1732" s="8">
        <f t="shared" si="163"/>
        <v>37500</v>
      </c>
      <c r="M1732" s="8">
        <f t="shared" si="164"/>
        <v>212500</v>
      </c>
      <c r="N1732" s="5">
        <v>76000</v>
      </c>
      <c r="O1732" s="8">
        <f t="shared" si="165"/>
        <v>288500</v>
      </c>
      <c r="P1732" s="2" t="s">
        <v>63</v>
      </c>
      <c r="Q1732" s="10" t="str">
        <f>VLOOKUP(A1732,Status!A:B,2,0)</f>
        <v>Completed</v>
      </c>
      <c r="R1732" s="2" t="s">
        <v>30</v>
      </c>
      <c r="S1732" s="2">
        <v>2</v>
      </c>
      <c r="T1732" s="2" t="s">
        <v>24</v>
      </c>
      <c r="U1732" s="10" t="str">
        <f t="shared" si="167"/>
        <v>Nov</v>
      </c>
      <c r="V1732" s="10">
        <f t="shared" si="166"/>
        <v>2024</v>
      </c>
      <c r="W1732" t="e" cm="1">
        <f t="array" ref="W1732">_xlfn.IFS(U1732="January",1,U1732="February",2,U1732="March",3,U1732="April",4,U1732="May",5,U1732="June",6,U1732="July",7,U1732="August",8,U1732="September",9,U1732="October",10,U1732="November",11,U1732="December",12)</f>
        <v>#N/A</v>
      </c>
    </row>
    <row r="1733" spans="1:23" ht="15.75" customHeight="1" x14ac:dyDescent="0.25">
      <c r="A1733" s="2" t="s">
        <v>578</v>
      </c>
      <c r="B1733" s="3">
        <v>45608.480902777781</v>
      </c>
      <c r="C1733" s="2" t="s">
        <v>77</v>
      </c>
      <c r="D1733" s="2" t="s">
        <v>61</v>
      </c>
      <c r="E1733" s="2" t="s">
        <v>58</v>
      </c>
      <c r="F1733" s="2" t="str" cm="1">
        <f t="array" ref="F1733:G1733">_xlfn.TEXTSPLIT(E1733," - ")</f>
        <v>Gula Pasir</v>
      </c>
      <c r="G1733" s="2" t="str">
        <v>Brand A</v>
      </c>
      <c r="H1733" s="5">
        <v>16000</v>
      </c>
      <c r="I1733" s="2">
        <v>1</v>
      </c>
      <c r="J1733" s="2">
        <v>10</v>
      </c>
      <c r="K1733" s="8">
        <f t="shared" si="162"/>
        <v>16000</v>
      </c>
      <c r="L1733" s="8">
        <f t="shared" si="163"/>
        <v>1600</v>
      </c>
      <c r="M1733" s="8">
        <f t="shared" si="164"/>
        <v>14400</v>
      </c>
      <c r="N1733" s="5">
        <v>26000</v>
      </c>
      <c r="O1733" s="8">
        <f t="shared" si="165"/>
        <v>40400</v>
      </c>
      <c r="P1733" s="2" t="s">
        <v>35</v>
      </c>
      <c r="Q1733" s="10" t="str">
        <f>VLOOKUP(A1733,Status!A:B,2,0)</f>
        <v>Completed</v>
      </c>
      <c r="R1733" s="2" t="s">
        <v>46</v>
      </c>
      <c r="S1733" s="2">
        <v>4</v>
      </c>
      <c r="T1733" s="2" t="s">
        <v>24</v>
      </c>
      <c r="U1733" s="10" t="str">
        <f t="shared" si="167"/>
        <v>Nov</v>
      </c>
      <c r="V1733" s="10">
        <f t="shared" si="166"/>
        <v>2024</v>
      </c>
      <c r="W1733" t="e" cm="1">
        <f t="array" ref="W1733">_xlfn.IFS(U1733="January",1,U1733="February",2,U1733="March",3,U1733="April",4,U1733="May",5,U1733="June",6,U1733="July",7,U1733="August",8,U1733="September",9,U1733="October",10,U1733="November",11,U1733="December",12)</f>
        <v>#N/A</v>
      </c>
    </row>
    <row r="1734" spans="1:23" ht="15.75" customHeight="1" x14ac:dyDescent="0.25">
      <c r="A1734" s="2" t="s">
        <v>579</v>
      </c>
      <c r="B1734" s="3">
        <v>45608.974733796298</v>
      </c>
      <c r="C1734" s="2" t="s">
        <v>201</v>
      </c>
      <c r="D1734" s="2" t="s">
        <v>107</v>
      </c>
      <c r="E1734" s="2" t="s">
        <v>67</v>
      </c>
      <c r="F1734" s="2" t="str" cm="1">
        <f t="array" ref="F1734:G1734">_xlfn.TEXTSPLIT(E1734," - ")</f>
        <v>Beras</v>
      </c>
      <c r="G1734" s="2" t="str">
        <v>Brand B</v>
      </c>
      <c r="H1734" s="5">
        <v>15000</v>
      </c>
      <c r="I1734" s="2">
        <v>3</v>
      </c>
      <c r="J1734" s="2">
        <v>5</v>
      </c>
      <c r="K1734" s="8">
        <f t="shared" si="162"/>
        <v>45000</v>
      </c>
      <c r="L1734" s="8">
        <f t="shared" si="163"/>
        <v>2250</v>
      </c>
      <c r="M1734" s="8">
        <f t="shared" si="164"/>
        <v>42750</v>
      </c>
      <c r="N1734" s="5">
        <v>97000</v>
      </c>
      <c r="O1734" s="8">
        <f t="shared" si="165"/>
        <v>139750</v>
      </c>
      <c r="P1734" s="2" t="s">
        <v>35</v>
      </c>
      <c r="Q1734" s="10" t="str">
        <f>VLOOKUP(A1734,Status!A:B,2,0)</f>
        <v>Completed</v>
      </c>
      <c r="R1734" s="2" t="s">
        <v>82</v>
      </c>
      <c r="S1734" s="2">
        <v>4</v>
      </c>
      <c r="T1734" s="2" t="s">
        <v>24</v>
      </c>
      <c r="U1734" s="10" t="str">
        <f t="shared" si="167"/>
        <v>Nov</v>
      </c>
      <c r="V1734" s="10">
        <f t="shared" si="166"/>
        <v>2024</v>
      </c>
      <c r="W1734" t="e" cm="1">
        <f t="array" ref="W1734">_xlfn.IFS(U1734="January",1,U1734="February",2,U1734="March",3,U1734="April",4,U1734="May",5,U1734="June",6,U1734="July",7,U1734="August",8,U1734="September",9,U1734="October",10,U1734="November",11,U1734="December",12)</f>
        <v>#N/A</v>
      </c>
    </row>
    <row r="1735" spans="1:23" ht="15.75" customHeight="1" x14ac:dyDescent="0.25">
      <c r="A1735" s="2" t="s">
        <v>580</v>
      </c>
      <c r="B1735" s="3">
        <v>45609.019490740742</v>
      </c>
      <c r="C1735" s="2" t="s">
        <v>549</v>
      </c>
      <c r="D1735" s="2" t="s">
        <v>107</v>
      </c>
      <c r="E1735" s="2" t="s">
        <v>136</v>
      </c>
      <c r="F1735" s="2" t="str" cm="1">
        <f t="array" ref="F1735:G1735">_xlfn.TEXTSPLIT(E1735," - ")</f>
        <v>Tepung Terigu</v>
      </c>
      <c r="G1735" s="2" t="str">
        <v>Brand B</v>
      </c>
      <c r="H1735" s="5">
        <v>12000</v>
      </c>
      <c r="I1735" s="2">
        <v>1</v>
      </c>
      <c r="J1735" s="2">
        <v>20</v>
      </c>
      <c r="K1735" s="8">
        <f t="shared" si="162"/>
        <v>12000</v>
      </c>
      <c r="L1735" s="8">
        <f t="shared" si="163"/>
        <v>2400</v>
      </c>
      <c r="M1735" s="8">
        <f t="shared" si="164"/>
        <v>9600</v>
      </c>
      <c r="N1735" s="5">
        <v>97000</v>
      </c>
      <c r="O1735" s="8">
        <f t="shared" si="165"/>
        <v>106600</v>
      </c>
      <c r="P1735" s="2" t="s">
        <v>63</v>
      </c>
      <c r="Q1735" s="10" t="str">
        <f>VLOOKUP(A1735,Status!A:B,2,0)</f>
        <v>Completed</v>
      </c>
      <c r="R1735" s="2" t="s">
        <v>82</v>
      </c>
      <c r="S1735" s="2">
        <v>3</v>
      </c>
      <c r="T1735" s="2" t="s">
        <v>24</v>
      </c>
      <c r="U1735" s="10" t="str">
        <f t="shared" si="167"/>
        <v>Nov</v>
      </c>
      <c r="V1735" s="10">
        <f t="shared" si="166"/>
        <v>2024</v>
      </c>
      <c r="W1735" t="e" cm="1">
        <f t="array" ref="W1735">_xlfn.IFS(U1735="January",1,U1735="February",2,U1735="March",3,U1735="April",4,U1735="May",5,U1735="June",6,U1735="July",7,U1735="August",8,U1735="September",9,U1735="October",10,U1735="November",11,U1735="December",12)</f>
        <v>#N/A</v>
      </c>
    </row>
    <row r="1736" spans="1:23" ht="15.75" customHeight="1" x14ac:dyDescent="0.25">
      <c r="A1736" s="2" t="s">
        <v>580</v>
      </c>
      <c r="B1736" s="3">
        <v>45609.019490740742</v>
      </c>
      <c r="C1736" s="2" t="s">
        <v>549</v>
      </c>
      <c r="D1736" s="2" t="s">
        <v>107</v>
      </c>
      <c r="E1736" s="2" t="s">
        <v>81</v>
      </c>
      <c r="F1736" s="2" t="str" cm="1">
        <f t="array" ref="F1736:G1736">_xlfn.TEXTSPLIT(E1736," - ")</f>
        <v>Minyak Goreng</v>
      </c>
      <c r="G1736" s="2" t="str">
        <v>Brand B</v>
      </c>
      <c r="H1736" s="5">
        <v>17000</v>
      </c>
      <c r="I1736" s="2">
        <v>5</v>
      </c>
      <c r="J1736" s="2">
        <v>10</v>
      </c>
      <c r="K1736" s="8">
        <f t="shared" si="162"/>
        <v>85000</v>
      </c>
      <c r="L1736" s="8">
        <f t="shared" si="163"/>
        <v>8500</v>
      </c>
      <c r="M1736" s="8">
        <f t="shared" si="164"/>
        <v>76500</v>
      </c>
      <c r="N1736" s="5">
        <v>0</v>
      </c>
      <c r="O1736" s="8">
        <f t="shared" si="165"/>
        <v>76500</v>
      </c>
      <c r="P1736" s="2" t="s">
        <v>63</v>
      </c>
      <c r="Q1736" s="10" t="str">
        <f>VLOOKUP(A1736,Status!A:B,2,0)</f>
        <v>Completed</v>
      </c>
      <c r="R1736" s="2" t="s">
        <v>82</v>
      </c>
      <c r="S1736" s="2">
        <v>3</v>
      </c>
      <c r="T1736" s="2" t="s">
        <v>24</v>
      </c>
      <c r="U1736" s="10" t="str">
        <f t="shared" si="167"/>
        <v>Nov</v>
      </c>
      <c r="V1736" s="10">
        <f t="shared" si="166"/>
        <v>2024</v>
      </c>
      <c r="W1736" t="e" cm="1">
        <f t="array" ref="W1736">_xlfn.IFS(U1736="January",1,U1736="February",2,U1736="March",3,U1736="April",4,U1736="May",5,U1736="June",6,U1736="July",7,U1736="August",8,U1736="September",9,U1736="October",10,U1736="November",11,U1736="December",12)</f>
        <v>#N/A</v>
      </c>
    </row>
    <row r="1737" spans="1:23" ht="15.75" customHeight="1" x14ac:dyDescent="0.25">
      <c r="A1737" s="2" t="s">
        <v>581</v>
      </c>
      <c r="B1737" s="3">
        <v>45609.193136574067</v>
      </c>
      <c r="C1737" s="2" t="s">
        <v>582</v>
      </c>
      <c r="D1737" s="2" t="s">
        <v>435</v>
      </c>
      <c r="E1737" s="2" t="s">
        <v>123</v>
      </c>
      <c r="F1737" s="2" t="str" cm="1">
        <f t="array" ref="F1737:G1737">_xlfn.TEXTSPLIT(E1737," - ")</f>
        <v>Telur Ayam</v>
      </c>
      <c r="G1737" s="2" t="str">
        <v>Brand A</v>
      </c>
      <c r="H1737" s="5">
        <v>22000</v>
      </c>
      <c r="I1737" s="2">
        <v>1</v>
      </c>
      <c r="J1737" s="2">
        <v>15</v>
      </c>
      <c r="K1737" s="8">
        <f t="shared" si="162"/>
        <v>22000</v>
      </c>
      <c r="L1737" s="8">
        <f t="shared" si="163"/>
        <v>3300</v>
      </c>
      <c r="M1737" s="8">
        <f t="shared" si="164"/>
        <v>18700</v>
      </c>
      <c r="N1737" s="5">
        <v>67000</v>
      </c>
      <c r="O1737" s="8">
        <f t="shared" si="165"/>
        <v>85700</v>
      </c>
      <c r="P1737" s="2" t="s">
        <v>29</v>
      </c>
      <c r="Q1737" s="10" t="str">
        <f>VLOOKUP(A1737,Status!A:B,2,0)</f>
        <v>Returned</v>
      </c>
      <c r="R1737" s="2" t="s">
        <v>23</v>
      </c>
      <c r="S1737" s="2">
        <v>2</v>
      </c>
      <c r="T1737" s="2" t="s">
        <v>24</v>
      </c>
      <c r="U1737" s="10" t="str">
        <f t="shared" si="167"/>
        <v>Nov</v>
      </c>
      <c r="V1737" s="10">
        <f t="shared" si="166"/>
        <v>2024</v>
      </c>
      <c r="W1737" t="e" cm="1">
        <f t="array" ref="W1737">_xlfn.IFS(U1737="January",1,U1737="February",2,U1737="March",3,U1737="April",4,U1737="May",5,U1737="June",6,U1737="July",7,U1737="August",8,U1737="September",9,U1737="October",10,U1737="November",11,U1737="December",12)</f>
        <v>#N/A</v>
      </c>
    </row>
    <row r="1738" spans="1:23" ht="15.75" customHeight="1" x14ac:dyDescent="0.25">
      <c r="A1738" s="2" t="s">
        <v>583</v>
      </c>
      <c r="B1738" s="3">
        <v>45609.333831018521</v>
      </c>
      <c r="C1738" s="2" t="s">
        <v>584</v>
      </c>
      <c r="D1738" s="2" t="s">
        <v>92</v>
      </c>
      <c r="E1738" s="2" t="s">
        <v>28</v>
      </c>
      <c r="F1738" s="2" t="str" cm="1">
        <f t="array" ref="F1738:G1738">_xlfn.TEXTSPLIT(E1738," - ")</f>
        <v>Garam</v>
      </c>
      <c r="G1738" s="2" t="str">
        <v>Brand B</v>
      </c>
      <c r="H1738" s="5">
        <v>5000</v>
      </c>
      <c r="I1738" s="2">
        <v>4</v>
      </c>
      <c r="J1738" s="2">
        <v>0</v>
      </c>
      <c r="K1738" s="8">
        <f t="shared" si="162"/>
        <v>20000</v>
      </c>
      <c r="L1738" s="8">
        <f t="shared" si="163"/>
        <v>0</v>
      </c>
      <c r="M1738" s="8">
        <f t="shared" si="164"/>
        <v>20000</v>
      </c>
      <c r="N1738" s="5">
        <v>30000</v>
      </c>
      <c r="O1738" s="8">
        <f t="shared" si="165"/>
        <v>50000</v>
      </c>
      <c r="P1738" s="2" t="s">
        <v>22</v>
      </c>
      <c r="Q1738" s="10" t="str">
        <f>VLOOKUP(A1738,Status!A:B,2,0)</f>
        <v>Returned</v>
      </c>
      <c r="R1738" s="2" t="s">
        <v>82</v>
      </c>
      <c r="S1738" s="2">
        <v>2</v>
      </c>
      <c r="T1738" s="2" t="s">
        <v>24</v>
      </c>
      <c r="U1738" s="10" t="str">
        <f t="shared" si="167"/>
        <v>Nov</v>
      </c>
      <c r="V1738" s="10">
        <f t="shared" si="166"/>
        <v>2024</v>
      </c>
      <c r="W1738" t="e" cm="1">
        <f t="array" ref="W1738">_xlfn.IFS(U1738="January",1,U1738="February",2,U1738="March",3,U1738="April",4,U1738="May",5,U1738="June",6,U1738="July",7,U1738="August",8,U1738="September",9,U1738="October",10,U1738="November",11,U1738="December",12)</f>
        <v>#N/A</v>
      </c>
    </row>
    <row r="1739" spans="1:23" ht="15.75" customHeight="1" x14ac:dyDescent="0.25">
      <c r="A1739" s="2" t="s">
        <v>585</v>
      </c>
      <c r="B1739" s="3">
        <v>45609.545034722221</v>
      </c>
      <c r="C1739" s="2" t="s">
        <v>254</v>
      </c>
      <c r="D1739" s="2" t="s">
        <v>61</v>
      </c>
      <c r="E1739" s="2" t="s">
        <v>190</v>
      </c>
      <c r="F1739" s="2" t="str" cm="1">
        <f t="array" ref="F1739:G1739">_xlfn.TEXTSPLIT(E1739," - ")</f>
        <v>Bawang Merah</v>
      </c>
      <c r="G1739" s="2" t="str">
        <v>Brand B</v>
      </c>
      <c r="H1739" s="5">
        <v>35000</v>
      </c>
      <c r="I1739" s="2">
        <v>2</v>
      </c>
      <c r="J1739" s="2">
        <v>10</v>
      </c>
      <c r="K1739" s="8">
        <f t="shared" si="162"/>
        <v>70000</v>
      </c>
      <c r="L1739" s="8">
        <f t="shared" si="163"/>
        <v>7000</v>
      </c>
      <c r="M1739" s="8">
        <f t="shared" si="164"/>
        <v>63000</v>
      </c>
      <c r="N1739" s="5">
        <v>26000</v>
      </c>
      <c r="O1739" s="8">
        <f t="shared" si="165"/>
        <v>89000</v>
      </c>
      <c r="P1739" s="2" t="s">
        <v>29</v>
      </c>
      <c r="Q1739" s="10" t="str">
        <f>VLOOKUP(A1739,Status!A:B,2,0)</f>
        <v>Returned</v>
      </c>
      <c r="R1739" s="2" t="s">
        <v>36</v>
      </c>
      <c r="S1739" s="2">
        <v>2</v>
      </c>
      <c r="T1739" s="2" t="s">
        <v>24</v>
      </c>
      <c r="U1739" s="10" t="str">
        <f t="shared" si="167"/>
        <v>Nov</v>
      </c>
      <c r="V1739" s="10">
        <f t="shared" si="166"/>
        <v>2024</v>
      </c>
      <c r="W1739" t="e" cm="1">
        <f t="array" ref="W1739">_xlfn.IFS(U1739="January",1,U1739="February",2,U1739="March",3,U1739="April",4,U1739="May",5,U1739="June",6,U1739="July",7,U1739="August",8,U1739="September",9,U1739="October",10,U1739="November",11,U1739="December",12)</f>
        <v>#N/A</v>
      </c>
    </row>
    <row r="1740" spans="1:23" ht="15.75" customHeight="1" x14ac:dyDescent="0.25">
      <c r="A1740" s="2" t="s">
        <v>586</v>
      </c>
      <c r="B1740" s="3">
        <v>45610.736064814817</v>
      </c>
      <c r="C1740" s="2" t="s">
        <v>102</v>
      </c>
      <c r="D1740" s="2" t="s">
        <v>103</v>
      </c>
      <c r="E1740" s="2" t="s">
        <v>67</v>
      </c>
      <c r="F1740" s="2" t="str" cm="1">
        <f t="array" ref="F1740:G1740">_xlfn.TEXTSPLIT(E1740," - ")</f>
        <v>Beras</v>
      </c>
      <c r="G1740" s="2" t="str">
        <v>Brand B</v>
      </c>
      <c r="H1740" s="5">
        <v>15000</v>
      </c>
      <c r="I1740" s="2">
        <v>4</v>
      </c>
      <c r="J1740" s="2">
        <v>5</v>
      </c>
      <c r="K1740" s="8">
        <f t="shared" si="162"/>
        <v>60000</v>
      </c>
      <c r="L1740" s="8">
        <f t="shared" si="163"/>
        <v>3000</v>
      </c>
      <c r="M1740" s="8">
        <f t="shared" si="164"/>
        <v>57000</v>
      </c>
      <c r="N1740" s="5">
        <v>85000</v>
      </c>
      <c r="O1740" s="8">
        <f t="shared" si="165"/>
        <v>142000</v>
      </c>
      <c r="P1740" s="2" t="s">
        <v>63</v>
      </c>
      <c r="Q1740" s="10" t="str">
        <f>VLOOKUP(A1740,Status!A:B,2,0)</f>
        <v>Completed</v>
      </c>
      <c r="R1740" s="2" t="s">
        <v>82</v>
      </c>
      <c r="S1740" s="2">
        <v>4</v>
      </c>
      <c r="T1740" s="2" t="s">
        <v>24</v>
      </c>
      <c r="U1740" s="10" t="str">
        <f t="shared" si="167"/>
        <v>Nov</v>
      </c>
      <c r="V1740" s="10">
        <f t="shared" si="166"/>
        <v>2024</v>
      </c>
      <c r="W1740" t="e" cm="1">
        <f t="array" ref="W1740">_xlfn.IFS(U1740="January",1,U1740="February",2,U1740="March",3,U1740="April",4,U1740="May",5,U1740="June",6,U1740="July",7,U1740="August",8,U1740="September",9,U1740="October",10,U1740="November",11,U1740="December",12)</f>
        <v>#N/A</v>
      </c>
    </row>
    <row r="1741" spans="1:23" ht="15.75" customHeight="1" x14ac:dyDescent="0.25">
      <c r="A1741" s="2" t="s">
        <v>587</v>
      </c>
      <c r="B1741" s="3">
        <v>45610.784502314818</v>
      </c>
      <c r="C1741" s="2" t="s">
        <v>142</v>
      </c>
      <c r="D1741" s="2" t="s">
        <v>143</v>
      </c>
      <c r="E1741" s="2" t="s">
        <v>21</v>
      </c>
      <c r="F1741" s="2" t="str" cm="1">
        <f t="array" ref="F1741:G1741">_xlfn.TEXTSPLIT(E1741," - ")</f>
        <v>Daging Ayam</v>
      </c>
      <c r="G1741" s="2" t="str">
        <v>Brand C</v>
      </c>
      <c r="H1741" s="5">
        <v>45000</v>
      </c>
      <c r="I1741" s="2">
        <v>2</v>
      </c>
      <c r="J1741" s="2">
        <v>15</v>
      </c>
      <c r="K1741" s="8">
        <f t="shared" si="162"/>
        <v>90000</v>
      </c>
      <c r="L1741" s="8">
        <f t="shared" si="163"/>
        <v>13500</v>
      </c>
      <c r="M1741" s="8">
        <f t="shared" si="164"/>
        <v>76500</v>
      </c>
      <c r="N1741" s="5">
        <v>50000</v>
      </c>
      <c r="O1741" s="8">
        <f t="shared" si="165"/>
        <v>126500</v>
      </c>
      <c r="P1741" s="2" t="s">
        <v>35</v>
      </c>
      <c r="Q1741" s="10" t="str">
        <f>VLOOKUP(A1741,Status!A:B,2,0)</f>
        <v>Completed</v>
      </c>
      <c r="R1741" s="2" t="s">
        <v>30</v>
      </c>
      <c r="S1741" s="2">
        <v>5</v>
      </c>
      <c r="T1741" s="2" t="s">
        <v>24</v>
      </c>
      <c r="U1741" s="10" t="str">
        <f t="shared" si="167"/>
        <v>Nov</v>
      </c>
      <c r="V1741" s="10">
        <f t="shared" si="166"/>
        <v>2024</v>
      </c>
      <c r="W1741" t="e" cm="1">
        <f t="array" ref="W1741">_xlfn.IFS(U1741="January",1,U1741="February",2,U1741="March",3,U1741="April",4,U1741="May",5,U1741="June",6,U1741="July",7,U1741="August",8,U1741="September",9,U1741="October",10,U1741="November",11,U1741="December",12)</f>
        <v>#N/A</v>
      </c>
    </row>
    <row r="1742" spans="1:23" ht="15.75" customHeight="1" x14ac:dyDescent="0.25">
      <c r="A1742" s="2" t="s">
        <v>588</v>
      </c>
      <c r="B1742" s="3">
        <v>45610.841840277782</v>
      </c>
      <c r="C1742" s="2" t="s">
        <v>589</v>
      </c>
      <c r="D1742" s="2" t="s">
        <v>262</v>
      </c>
      <c r="E1742" s="2" t="s">
        <v>71</v>
      </c>
      <c r="F1742" s="2" t="str" cm="1">
        <f t="array" ref="F1742:G1742">_xlfn.TEXTSPLIT(E1742," - ")</f>
        <v>Bawang Merah</v>
      </c>
      <c r="G1742" s="2" t="str">
        <v>Brand C</v>
      </c>
      <c r="H1742" s="5">
        <v>40000</v>
      </c>
      <c r="I1742" s="2">
        <v>2</v>
      </c>
      <c r="J1742" s="2">
        <v>10</v>
      </c>
      <c r="K1742" s="8">
        <f t="shared" si="162"/>
        <v>80000</v>
      </c>
      <c r="L1742" s="8">
        <f t="shared" si="163"/>
        <v>8000</v>
      </c>
      <c r="M1742" s="8">
        <f t="shared" si="164"/>
        <v>72000</v>
      </c>
      <c r="N1742" s="5">
        <v>18000</v>
      </c>
      <c r="O1742" s="8">
        <f t="shared" si="165"/>
        <v>90000</v>
      </c>
      <c r="P1742" s="2" t="s">
        <v>29</v>
      </c>
      <c r="Q1742" s="10" t="str">
        <f>VLOOKUP(A1742,Status!A:B,2,0)</f>
        <v>Completed</v>
      </c>
      <c r="R1742" s="2" t="s">
        <v>36</v>
      </c>
      <c r="S1742" s="2">
        <v>4</v>
      </c>
      <c r="T1742" s="2" t="s">
        <v>37</v>
      </c>
      <c r="U1742" s="10" t="str">
        <f t="shared" si="167"/>
        <v>Nov</v>
      </c>
      <c r="V1742" s="10">
        <f t="shared" si="166"/>
        <v>2024</v>
      </c>
      <c r="W1742" t="e" cm="1">
        <f t="array" ref="W1742">_xlfn.IFS(U1742="January",1,U1742="February",2,U1742="March",3,U1742="April",4,U1742="May",5,U1742="June",6,U1742="July",7,U1742="August",8,U1742="September",9,U1742="October",10,U1742="November",11,U1742="December",12)</f>
        <v>#N/A</v>
      </c>
    </row>
    <row r="1743" spans="1:23" ht="15.75" customHeight="1" x14ac:dyDescent="0.25">
      <c r="A1743" s="2" t="s">
        <v>590</v>
      </c>
      <c r="B1743" s="3">
        <v>45611.286041666674</v>
      </c>
      <c r="C1743" s="2" t="s">
        <v>570</v>
      </c>
      <c r="D1743" s="2" t="s">
        <v>80</v>
      </c>
      <c r="E1743" s="2" t="s">
        <v>144</v>
      </c>
      <c r="F1743" s="2" t="str" cm="1">
        <f t="array" ref="F1743:G1743">_xlfn.TEXTSPLIT(E1743," - ")</f>
        <v>Gula Pasir</v>
      </c>
      <c r="G1743" s="2" t="str">
        <v>Brand C</v>
      </c>
      <c r="H1743" s="5">
        <v>18000</v>
      </c>
      <c r="I1743" s="2">
        <v>1</v>
      </c>
      <c r="J1743" s="2">
        <v>20</v>
      </c>
      <c r="K1743" s="8">
        <f t="shared" si="162"/>
        <v>18000</v>
      </c>
      <c r="L1743" s="8">
        <f t="shared" si="163"/>
        <v>3600</v>
      </c>
      <c r="M1743" s="8">
        <f t="shared" si="164"/>
        <v>14400</v>
      </c>
      <c r="N1743" s="5">
        <v>74000</v>
      </c>
      <c r="O1743" s="8">
        <f t="shared" si="165"/>
        <v>88400</v>
      </c>
      <c r="P1743" s="2" t="s">
        <v>29</v>
      </c>
      <c r="Q1743" s="10" t="str">
        <f>VLOOKUP(A1743,Status!A:B,2,0)</f>
        <v>Completed</v>
      </c>
      <c r="R1743" s="2" t="s">
        <v>23</v>
      </c>
      <c r="S1743" s="2">
        <v>1</v>
      </c>
      <c r="T1743" s="2" t="s">
        <v>24</v>
      </c>
      <c r="U1743" s="10" t="str">
        <f t="shared" si="167"/>
        <v>Nov</v>
      </c>
      <c r="V1743" s="10">
        <f t="shared" si="166"/>
        <v>2024</v>
      </c>
      <c r="W1743" t="e" cm="1">
        <f t="array" ref="W1743">_xlfn.IFS(U1743="January",1,U1743="February",2,U1743="March",3,U1743="April",4,U1743="May",5,U1743="June",6,U1743="July",7,U1743="August",8,U1743="September",9,U1743="October",10,U1743="November",11,U1743="December",12)</f>
        <v>#N/A</v>
      </c>
    </row>
    <row r="1744" spans="1:23" ht="15.75" customHeight="1" x14ac:dyDescent="0.25">
      <c r="A1744" s="2" t="s">
        <v>591</v>
      </c>
      <c r="B1744" s="3">
        <v>45611.544317129628</v>
      </c>
      <c r="C1744" s="2" t="s">
        <v>237</v>
      </c>
      <c r="D1744" s="2" t="s">
        <v>238</v>
      </c>
      <c r="E1744" s="2" t="s">
        <v>41</v>
      </c>
      <c r="F1744" s="2" t="str" cm="1">
        <f t="array" ref="F1744:G1744">_xlfn.TEXTSPLIT(E1744," - ")</f>
        <v>Garam</v>
      </c>
      <c r="G1744" s="2" t="str">
        <v>Brand A</v>
      </c>
      <c r="H1744" s="5">
        <v>4000</v>
      </c>
      <c r="I1744" s="2">
        <v>1</v>
      </c>
      <c r="J1744" s="2">
        <v>0</v>
      </c>
      <c r="K1744" s="8">
        <f t="shared" si="162"/>
        <v>4000</v>
      </c>
      <c r="L1744" s="8">
        <f t="shared" si="163"/>
        <v>0</v>
      </c>
      <c r="M1744" s="8">
        <f t="shared" si="164"/>
        <v>4000</v>
      </c>
      <c r="N1744" s="5">
        <v>28000</v>
      </c>
      <c r="O1744" s="8">
        <f t="shared" si="165"/>
        <v>32000</v>
      </c>
      <c r="P1744" s="2" t="s">
        <v>63</v>
      </c>
      <c r="Q1744" s="10" t="str">
        <f>VLOOKUP(A1744,Status!A:B,2,0)</f>
        <v>Completed</v>
      </c>
      <c r="R1744" s="2" t="s">
        <v>36</v>
      </c>
      <c r="S1744" s="2">
        <v>4</v>
      </c>
      <c r="T1744" s="2" t="s">
        <v>24</v>
      </c>
      <c r="U1744" s="10" t="str">
        <f t="shared" si="167"/>
        <v>Nov</v>
      </c>
      <c r="V1744" s="10">
        <f t="shared" si="166"/>
        <v>2024</v>
      </c>
      <c r="W1744" t="e" cm="1">
        <f t="array" ref="W1744">_xlfn.IFS(U1744="January",1,U1744="February",2,U1744="March",3,U1744="April",4,U1744="May",5,U1744="June",6,U1744="July",7,U1744="August",8,U1744="September",9,U1744="October",10,U1744="November",11,U1744="December",12)</f>
        <v>#N/A</v>
      </c>
    </row>
    <row r="1745" spans="1:23" ht="15.75" customHeight="1" x14ac:dyDescent="0.25">
      <c r="A1745" s="2" t="s">
        <v>592</v>
      </c>
      <c r="B1745" s="3">
        <v>45611.797002314823</v>
      </c>
      <c r="C1745" s="2" t="s">
        <v>593</v>
      </c>
      <c r="D1745" s="2" t="s">
        <v>195</v>
      </c>
      <c r="E1745" s="2" t="s">
        <v>144</v>
      </c>
      <c r="F1745" s="2" t="str" cm="1">
        <f t="array" ref="F1745:G1745">_xlfn.TEXTSPLIT(E1745," - ")</f>
        <v>Gula Pasir</v>
      </c>
      <c r="G1745" s="2" t="str">
        <v>Brand C</v>
      </c>
      <c r="H1745" s="5">
        <v>18000</v>
      </c>
      <c r="I1745" s="2">
        <v>2</v>
      </c>
      <c r="J1745" s="2">
        <v>5</v>
      </c>
      <c r="K1745" s="8">
        <f t="shared" si="162"/>
        <v>36000</v>
      </c>
      <c r="L1745" s="8">
        <f t="shared" si="163"/>
        <v>1800</v>
      </c>
      <c r="M1745" s="8">
        <f t="shared" si="164"/>
        <v>34200</v>
      </c>
      <c r="N1745" s="5">
        <v>87000</v>
      </c>
      <c r="O1745" s="8">
        <f t="shared" si="165"/>
        <v>121200</v>
      </c>
      <c r="P1745" s="2" t="s">
        <v>22</v>
      </c>
      <c r="Q1745" s="10" t="str">
        <f>VLOOKUP(A1745,Status!A:B,2,0)</f>
        <v>Completed</v>
      </c>
      <c r="R1745" s="2" t="s">
        <v>46</v>
      </c>
      <c r="S1745" s="2">
        <v>4</v>
      </c>
      <c r="T1745" s="2" t="s">
        <v>24</v>
      </c>
      <c r="U1745" s="10" t="str">
        <f t="shared" si="167"/>
        <v>Nov</v>
      </c>
      <c r="V1745" s="10">
        <f t="shared" si="166"/>
        <v>2024</v>
      </c>
      <c r="W1745" t="e" cm="1">
        <f t="array" ref="W1745">_xlfn.IFS(U1745="January",1,U1745="February",2,U1745="March",3,U1745="April",4,U1745="May",5,U1745="June",6,U1745="July",7,U1745="August",8,U1745="September",9,U1745="October",10,U1745="November",11,U1745="December",12)</f>
        <v>#N/A</v>
      </c>
    </row>
    <row r="1746" spans="1:23" ht="15.75" customHeight="1" x14ac:dyDescent="0.25">
      <c r="A1746" s="2" t="s">
        <v>594</v>
      </c>
      <c r="B1746" s="3">
        <v>45612.002303240741</v>
      </c>
      <c r="C1746" s="2" t="s">
        <v>106</v>
      </c>
      <c r="D1746" s="2" t="s">
        <v>107</v>
      </c>
      <c r="E1746" s="2" t="s">
        <v>123</v>
      </c>
      <c r="F1746" s="2" t="str" cm="1">
        <f t="array" ref="F1746:G1746">_xlfn.TEXTSPLIT(E1746," - ")</f>
        <v>Telur Ayam</v>
      </c>
      <c r="G1746" s="2" t="str">
        <v>Brand A</v>
      </c>
      <c r="H1746" s="5">
        <v>22000</v>
      </c>
      <c r="I1746" s="2">
        <v>5</v>
      </c>
      <c r="J1746" s="2">
        <v>5</v>
      </c>
      <c r="K1746" s="8">
        <f t="shared" si="162"/>
        <v>110000</v>
      </c>
      <c r="L1746" s="8">
        <f t="shared" si="163"/>
        <v>5500</v>
      </c>
      <c r="M1746" s="8">
        <f t="shared" si="164"/>
        <v>104500</v>
      </c>
      <c r="N1746" s="5">
        <v>97000</v>
      </c>
      <c r="O1746" s="8">
        <f t="shared" si="165"/>
        <v>201500</v>
      </c>
      <c r="P1746" s="2" t="s">
        <v>22</v>
      </c>
      <c r="Q1746" s="10" t="str">
        <f>VLOOKUP(A1746,Status!A:B,2,0)</f>
        <v>Completed</v>
      </c>
      <c r="R1746" s="2" t="s">
        <v>30</v>
      </c>
      <c r="S1746" s="2">
        <v>4</v>
      </c>
      <c r="T1746" s="2" t="s">
        <v>24</v>
      </c>
      <c r="U1746" s="10" t="str">
        <f t="shared" si="167"/>
        <v>Nov</v>
      </c>
      <c r="V1746" s="10">
        <f t="shared" si="166"/>
        <v>2024</v>
      </c>
      <c r="W1746" t="e" cm="1">
        <f t="array" ref="W1746">_xlfn.IFS(U1746="January",1,U1746="February",2,U1746="March",3,U1746="April",4,U1746="May",5,U1746="June",6,U1746="July",7,U1746="August",8,U1746="September",9,U1746="October",10,U1746="November",11,U1746="December",12)</f>
        <v>#N/A</v>
      </c>
    </row>
    <row r="1747" spans="1:23" ht="15.75" customHeight="1" x14ac:dyDescent="0.25">
      <c r="A1747" s="2" t="s">
        <v>595</v>
      </c>
      <c r="B1747" s="3">
        <v>45612.389988425923</v>
      </c>
      <c r="C1747" s="2" t="s">
        <v>596</v>
      </c>
      <c r="D1747" s="2" t="s">
        <v>70</v>
      </c>
      <c r="E1747" s="2" t="s">
        <v>34</v>
      </c>
      <c r="F1747" s="2" t="str" cm="1">
        <f t="array" ref="F1747:G1747">_xlfn.TEXTSPLIT(E1747," - ")</f>
        <v>Minyak Goreng</v>
      </c>
      <c r="G1747" s="2" t="str">
        <v>Brand A</v>
      </c>
      <c r="H1747" s="5">
        <v>16000</v>
      </c>
      <c r="I1747" s="2">
        <v>3</v>
      </c>
      <c r="J1747" s="2">
        <v>20</v>
      </c>
      <c r="K1747" s="8">
        <f t="shared" si="162"/>
        <v>48000</v>
      </c>
      <c r="L1747" s="8">
        <f t="shared" si="163"/>
        <v>9600</v>
      </c>
      <c r="M1747" s="8">
        <f t="shared" si="164"/>
        <v>38400</v>
      </c>
      <c r="N1747" s="5">
        <v>89000</v>
      </c>
      <c r="O1747" s="8">
        <f t="shared" si="165"/>
        <v>127400</v>
      </c>
      <c r="P1747" s="2" t="s">
        <v>29</v>
      </c>
      <c r="Q1747" s="10" t="str">
        <f>VLOOKUP(A1747,Status!A:B,2,0)</f>
        <v>Completed</v>
      </c>
      <c r="R1747" s="2" t="s">
        <v>36</v>
      </c>
      <c r="S1747" s="2">
        <v>3</v>
      </c>
      <c r="T1747" s="2" t="s">
        <v>24</v>
      </c>
      <c r="U1747" s="10" t="str">
        <f t="shared" si="167"/>
        <v>Nov</v>
      </c>
      <c r="V1747" s="10">
        <f t="shared" si="166"/>
        <v>2024</v>
      </c>
      <c r="W1747" t="e" cm="1">
        <f t="array" ref="W1747">_xlfn.IFS(U1747="January",1,U1747="February",2,U1747="March",3,U1747="April",4,U1747="May",5,U1747="June",6,U1747="July",7,U1747="August",8,U1747="September",9,U1747="October",10,U1747="November",11,U1747="December",12)</f>
        <v>#N/A</v>
      </c>
    </row>
    <row r="1748" spans="1:23" ht="15.75" customHeight="1" x14ac:dyDescent="0.25">
      <c r="A1748" s="2" t="s">
        <v>597</v>
      </c>
      <c r="B1748" s="3">
        <v>45612.498726851853</v>
      </c>
      <c r="C1748" s="2" t="s">
        <v>598</v>
      </c>
      <c r="D1748" s="2" t="s">
        <v>61</v>
      </c>
      <c r="E1748" s="2" t="s">
        <v>190</v>
      </c>
      <c r="F1748" s="2" t="str" cm="1">
        <f t="array" ref="F1748:G1748">_xlfn.TEXTSPLIT(E1748," - ")</f>
        <v>Bawang Merah</v>
      </c>
      <c r="G1748" s="2" t="str">
        <v>Brand B</v>
      </c>
      <c r="H1748" s="5">
        <v>35000</v>
      </c>
      <c r="I1748" s="2">
        <v>1</v>
      </c>
      <c r="J1748" s="2">
        <v>5</v>
      </c>
      <c r="K1748" s="8">
        <f t="shared" si="162"/>
        <v>35000</v>
      </c>
      <c r="L1748" s="8">
        <f t="shared" si="163"/>
        <v>1750</v>
      </c>
      <c r="M1748" s="8">
        <f t="shared" si="164"/>
        <v>33250</v>
      </c>
      <c r="N1748" s="5">
        <v>26000</v>
      </c>
      <c r="O1748" s="8">
        <f t="shared" si="165"/>
        <v>59250</v>
      </c>
      <c r="P1748" s="2" t="s">
        <v>29</v>
      </c>
      <c r="Q1748" s="10" t="str">
        <f>VLOOKUP(A1748,Status!A:B,2,0)</f>
        <v>Completed</v>
      </c>
      <c r="R1748" s="2" t="s">
        <v>46</v>
      </c>
      <c r="S1748" s="2">
        <v>4</v>
      </c>
      <c r="T1748" s="2" t="s">
        <v>24</v>
      </c>
      <c r="U1748" s="10" t="str">
        <f t="shared" si="167"/>
        <v>Nov</v>
      </c>
      <c r="V1748" s="10">
        <f t="shared" si="166"/>
        <v>2024</v>
      </c>
      <c r="W1748" t="e" cm="1">
        <f t="array" ref="W1748">_xlfn.IFS(U1748="January",1,U1748="February",2,U1748="March",3,U1748="April",4,U1748="May",5,U1748="June",6,U1748="July",7,U1748="August",8,U1748="September",9,U1748="October",10,U1748="November",11,U1748="December",12)</f>
        <v>#N/A</v>
      </c>
    </row>
    <row r="1749" spans="1:23" ht="15.75" customHeight="1" x14ac:dyDescent="0.25">
      <c r="A1749" s="2" t="s">
        <v>599</v>
      </c>
      <c r="B1749" s="3">
        <v>45612.743634259263</v>
      </c>
      <c r="C1749" s="2" t="s">
        <v>443</v>
      </c>
      <c r="D1749" s="2" t="s">
        <v>53</v>
      </c>
      <c r="E1749" s="2" t="s">
        <v>54</v>
      </c>
      <c r="F1749" s="2" t="str" cm="1">
        <f t="array" ref="F1749:G1749">_xlfn.TEXTSPLIT(E1749," - ")</f>
        <v>Beras</v>
      </c>
      <c r="G1749" s="2" t="str">
        <v>Brand C</v>
      </c>
      <c r="H1749" s="5">
        <v>16000</v>
      </c>
      <c r="I1749" s="2">
        <v>2</v>
      </c>
      <c r="J1749" s="2">
        <v>5</v>
      </c>
      <c r="K1749" s="8">
        <f t="shared" si="162"/>
        <v>32000</v>
      </c>
      <c r="L1749" s="8">
        <f t="shared" si="163"/>
        <v>1600</v>
      </c>
      <c r="M1749" s="8">
        <f t="shared" si="164"/>
        <v>30400</v>
      </c>
      <c r="N1749" s="5">
        <v>18000</v>
      </c>
      <c r="O1749" s="8">
        <f t="shared" si="165"/>
        <v>48400</v>
      </c>
      <c r="P1749" s="2" t="s">
        <v>35</v>
      </c>
      <c r="Q1749" s="10" t="str">
        <f>VLOOKUP(A1749,Status!A:B,2,0)</f>
        <v>Completed</v>
      </c>
      <c r="R1749" s="2" t="s">
        <v>36</v>
      </c>
      <c r="S1749" s="2">
        <v>2</v>
      </c>
      <c r="T1749" s="2" t="s">
        <v>24</v>
      </c>
      <c r="U1749" s="10" t="str">
        <f t="shared" si="167"/>
        <v>Nov</v>
      </c>
      <c r="V1749" s="10">
        <f t="shared" si="166"/>
        <v>2024</v>
      </c>
      <c r="W1749" t="e" cm="1">
        <f t="array" ref="W1749">_xlfn.IFS(U1749="January",1,U1749="February",2,U1749="March",3,U1749="April",4,U1749="May",5,U1749="June",6,U1749="July",7,U1749="August",8,U1749="September",9,U1749="October",10,U1749="November",11,U1749="December",12)</f>
        <v>#N/A</v>
      </c>
    </row>
    <row r="1750" spans="1:23" ht="15.75" customHeight="1" x14ac:dyDescent="0.25">
      <c r="A1750" s="2" t="s">
        <v>600</v>
      </c>
      <c r="B1750" s="3">
        <v>45612.747106481482</v>
      </c>
      <c r="C1750" s="2" t="s">
        <v>601</v>
      </c>
      <c r="D1750" s="2" t="s">
        <v>119</v>
      </c>
      <c r="E1750" s="2" t="s">
        <v>93</v>
      </c>
      <c r="F1750" s="2" t="str" cm="1">
        <f t="array" ref="F1750:G1750">_xlfn.TEXTSPLIT(E1750," - ")</f>
        <v>Telur Ayam</v>
      </c>
      <c r="G1750" s="2" t="str">
        <v>Brand B</v>
      </c>
      <c r="H1750" s="5">
        <v>25000</v>
      </c>
      <c r="I1750" s="2">
        <v>4</v>
      </c>
      <c r="J1750" s="2">
        <v>0</v>
      </c>
      <c r="K1750" s="8">
        <f t="shared" si="162"/>
        <v>100000</v>
      </c>
      <c r="L1750" s="8">
        <f t="shared" si="163"/>
        <v>0</v>
      </c>
      <c r="M1750" s="8">
        <f t="shared" si="164"/>
        <v>100000</v>
      </c>
      <c r="N1750" s="5">
        <v>0</v>
      </c>
      <c r="O1750" s="8">
        <f t="shared" si="165"/>
        <v>100000</v>
      </c>
      <c r="P1750" s="2" t="s">
        <v>22</v>
      </c>
      <c r="Q1750" s="10" t="str">
        <f>VLOOKUP(A1750,Status!A:B,2,0)</f>
        <v>Completed</v>
      </c>
      <c r="R1750" s="2" t="s">
        <v>46</v>
      </c>
      <c r="S1750" s="2">
        <v>3</v>
      </c>
      <c r="T1750" s="2" t="s">
        <v>24</v>
      </c>
      <c r="U1750" s="10" t="str">
        <f t="shared" si="167"/>
        <v>Nov</v>
      </c>
      <c r="V1750" s="10">
        <f t="shared" si="166"/>
        <v>2024</v>
      </c>
      <c r="W1750" t="e" cm="1">
        <f t="array" ref="W1750">_xlfn.IFS(U1750="January",1,U1750="February",2,U1750="March",3,U1750="April",4,U1750="May",5,U1750="June",6,U1750="July",7,U1750="August",8,U1750="September",9,U1750="October",10,U1750="November",11,U1750="December",12)</f>
        <v>#N/A</v>
      </c>
    </row>
    <row r="1751" spans="1:23" ht="15.75" customHeight="1" x14ac:dyDescent="0.25">
      <c r="A1751" s="2" t="s">
        <v>602</v>
      </c>
      <c r="B1751" s="3">
        <v>45612.995729166672</v>
      </c>
      <c r="C1751" s="2" t="s">
        <v>603</v>
      </c>
      <c r="D1751" s="2" t="s">
        <v>53</v>
      </c>
      <c r="E1751" s="2" t="s">
        <v>34</v>
      </c>
      <c r="F1751" s="2" t="str" cm="1">
        <f t="array" ref="F1751:G1751">_xlfn.TEXTSPLIT(E1751," - ")</f>
        <v>Minyak Goreng</v>
      </c>
      <c r="G1751" s="2" t="str">
        <v>Brand A</v>
      </c>
      <c r="H1751" s="5">
        <v>16000</v>
      </c>
      <c r="I1751" s="2">
        <v>3</v>
      </c>
      <c r="J1751" s="2">
        <v>20</v>
      </c>
      <c r="K1751" s="8">
        <f t="shared" si="162"/>
        <v>48000</v>
      </c>
      <c r="L1751" s="8">
        <f t="shared" si="163"/>
        <v>9600</v>
      </c>
      <c r="M1751" s="8">
        <f t="shared" si="164"/>
        <v>38400</v>
      </c>
      <c r="N1751" s="5">
        <v>18000</v>
      </c>
      <c r="O1751" s="8">
        <f t="shared" si="165"/>
        <v>56400</v>
      </c>
      <c r="P1751" s="2" t="s">
        <v>29</v>
      </c>
      <c r="Q1751" s="10" t="str">
        <f>VLOOKUP(A1751,Status!A:B,2,0)</f>
        <v>Returned</v>
      </c>
      <c r="R1751" s="2" t="s">
        <v>23</v>
      </c>
      <c r="S1751" s="2">
        <v>1</v>
      </c>
      <c r="T1751" s="2" t="s">
        <v>24</v>
      </c>
      <c r="U1751" s="10" t="str">
        <f t="shared" si="167"/>
        <v>Nov</v>
      </c>
      <c r="V1751" s="10">
        <f t="shared" si="166"/>
        <v>2024</v>
      </c>
      <c r="W1751" t="e" cm="1">
        <f t="array" ref="W1751">_xlfn.IFS(U1751="January",1,U1751="February",2,U1751="March",3,U1751="April",4,U1751="May",5,U1751="June",6,U1751="July",7,U1751="August",8,U1751="September",9,U1751="October",10,U1751="November",11,U1751="December",12)</f>
        <v>#N/A</v>
      </c>
    </row>
    <row r="1752" spans="1:23" ht="15.75" customHeight="1" x14ac:dyDescent="0.25">
      <c r="A1752" s="2" t="s">
        <v>604</v>
      </c>
      <c r="B1752" s="3">
        <v>45613.129432870373</v>
      </c>
      <c r="C1752" s="2" t="s">
        <v>605</v>
      </c>
      <c r="D1752" s="2" t="s">
        <v>151</v>
      </c>
      <c r="E1752" s="2" t="s">
        <v>75</v>
      </c>
      <c r="F1752" s="2" t="str" cm="1">
        <f t="array" ref="F1752:G1752">_xlfn.TEXTSPLIT(E1752," - ")</f>
        <v>Susu Bubuk</v>
      </c>
      <c r="G1752" s="2" t="str">
        <v>Brand C</v>
      </c>
      <c r="H1752" s="5">
        <v>55000</v>
      </c>
      <c r="I1752" s="2">
        <v>4</v>
      </c>
      <c r="J1752" s="2">
        <v>20</v>
      </c>
      <c r="K1752" s="8">
        <f t="shared" si="162"/>
        <v>220000</v>
      </c>
      <c r="L1752" s="8">
        <f t="shared" si="163"/>
        <v>44000</v>
      </c>
      <c r="M1752" s="8">
        <f t="shared" si="164"/>
        <v>176000</v>
      </c>
      <c r="N1752" s="5">
        <v>55000</v>
      </c>
      <c r="O1752" s="8">
        <f t="shared" si="165"/>
        <v>231000</v>
      </c>
      <c r="P1752" s="2" t="s">
        <v>29</v>
      </c>
      <c r="Q1752" s="10" t="str">
        <f>VLOOKUP(A1752,Status!A:B,2,0)</f>
        <v>Completed</v>
      </c>
      <c r="R1752" s="2" t="s">
        <v>46</v>
      </c>
      <c r="S1752" s="2">
        <v>2</v>
      </c>
      <c r="T1752" s="2" t="s">
        <v>24</v>
      </c>
      <c r="U1752" s="10" t="str">
        <f t="shared" si="167"/>
        <v>Nov</v>
      </c>
      <c r="V1752" s="10">
        <f t="shared" si="166"/>
        <v>2024</v>
      </c>
      <c r="W1752" t="e" cm="1">
        <f t="array" ref="W1752">_xlfn.IFS(U1752="January",1,U1752="February",2,U1752="March",3,U1752="April",4,U1752="May",5,U1752="June",6,U1752="July",7,U1752="August",8,U1752="September",9,U1752="October",10,U1752="November",11,U1752="December",12)</f>
        <v>#N/A</v>
      </c>
    </row>
    <row r="1753" spans="1:23" ht="15.75" customHeight="1" x14ac:dyDescent="0.25">
      <c r="A1753" s="2" t="s">
        <v>606</v>
      </c>
      <c r="B1753" s="3">
        <v>45613.286724537043</v>
      </c>
      <c r="C1753" s="2" t="s">
        <v>416</v>
      </c>
      <c r="D1753" s="2" t="s">
        <v>131</v>
      </c>
      <c r="E1753" s="2" t="s">
        <v>38</v>
      </c>
      <c r="F1753" s="2" t="str" cm="1">
        <f t="array" ref="F1753:G1753">_xlfn.TEXTSPLIT(E1753," - ")</f>
        <v>Telur Ayam</v>
      </c>
      <c r="G1753" s="2" t="str">
        <v>Brand C</v>
      </c>
      <c r="H1753" s="5">
        <v>28000</v>
      </c>
      <c r="I1753" s="2">
        <v>5</v>
      </c>
      <c r="J1753" s="2">
        <v>5</v>
      </c>
      <c r="K1753" s="8">
        <f t="shared" si="162"/>
        <v>140000</v>
      </c>
      <c r="L1753" s="8">
        <f t="shared" si="163"/>
        <v>7000</v>
      </c>
      <c r="M1753" s="8">
        <f t="shared" si="164"/>
        <v>133000</v>
      </c>
      <c r="N1753" s="5">
        <v>59000</v>
      </c>
      <c r="O1753" s="8">
        <f t="shared" si="165"/>
        <v>192000</v>
      </c>
      <c r="P1753" s="2" t="s">
        <v>63</v>
      </c>
      <c r="Q1753" s="10" t="str">
        <f>VLOOKUP(A1753,Status!A:B,2,0)</f>
        <v>Completed</v>
      </c>
      <c r="R1753" s="2" t="s">
        <v>46</v>
      </c>
      <c r="S1753" s="2">
        <v>1</v>
      </c>
      <c r="T1753" s="2" t="s">
        <v>24</v>
      </c>
      <c r="U1753" s="10" t="str">
        <f t="shared" si="167"/>
        <v>Nov</v>
      </c>
      <c r="V1753" s="10">
        <f t="shared" si="166"/>
        <v>2024</v>
      </c>
      <c r="W1753" t="e" cm="1">
        <f t="array" ref="W1753">_xlfn.IFS(U1753="January",1,U1753="February",2,U1753="March",3,U1753="April",4,U1753="May",5,U1753="June",6,U1753="July",7,U1753="August",8,U1753="September",9,U1753="October",10,U1753="November",11,U1753="December",12)</f>
        <v>#N/A</v>
      </c>
    </row>
    <row r="1754" spans="1:23" ht="15.75" customHeight="1" x14ac:dyDescent="0.25">
      <c r="A1754" s="2" t="s">
        <v>607</v>
      </c>
      <c r="B1754" s="3">
        <v>45613.345520833333</v>
      </c>
      <c r="C1754" s="2" t="s">
        <v>48</v>
      </c>
      <c r="D1754" s="2" t="s">
        <v>49</v>
      </c>
      <c r="E1754" s="2" t="s">
        <v>136</v>
      </c>
      <c r="F1754" s="2" t="str" cm="1">
        <f t="array" ref="F1754:G1754">_xlfn.TEXTSPLIT(E1754," - ")</f>
        <v>Tepung Terigu</v>
      </c>
      <c r="G1754" s="2" t="str">
        <v>Brand B</v>
      </c>
      <c r="H1754" s="5">
        <v>12000</v>
      </c>
      <c r="I1754" s="2">
        <v>1</v>
      </c>
      <c r="J1754" s="2">
        <v>0</v>
      </c>
      <c r="K1754" s="8">
        <f t="shared" si="162"/>
        <v>12000</v>
      </c>
      <c r="L1754" s="8">
        <f t="shared" si="163"/>
        <v>0</v>
      </c>
      <c r="M1754" s="8">
        <f t="shared" si="164"/>
        <v>12000</v>
      </c>
      <c r="N1754" s="5">
        <v>43000</v>
      </c>
      <c r="O1754" s="8">
        <f t="shared" si="165"/>
        <v>55000</v>
      </c>
      <c r="P1754" s="2" t="s">
        <v>22</v>
      </c>
      <c r="Q1754" s="10" t="str">
        <f>VLOOKUP(A1754,Status!A:B,2,0)</f>
        <v>Completed</v>
      </c>
      <c r="R1754" s="2" t="s">
        <v>30</v>
      </c>
      <c r="S1754" s="2">
        <v>4</v>
      </c>
      <c r="T1754" s="2" t="s">
        <v>24</v>
      </c>
      <c r="U1754" s="10" t="str">
        <f t="shared" si="167"/>
        <v>Nov</v>
      </c>
      <c r="V1754" s="10">
        <f t="shared" si="166"/>
        <v>2024</v>
      </c>
      <c r="W1754" t="e" cm="1">
        <f t="array" ref="W1754">_xlfn.IFS(U1754="January",1,U1754="February",2,U1754="March",3,U1754="April",4,U1754="May",5,U1754="June",6,U1754="July",7,U1754="August",8,U1754="September",9,U1754="October",10,U1754="November",11,U1754="December",12)</f>
        <v>#N/A</v>
      </c>
    </row>
    <row r="1755" spans="1:23" ht="15.75" customHeight="1" x14ac:dyDescent="0.25">
      <c r="A1755" s="2" t="s">
        <v>608</v>
      </c>
      <c r="B1755" s="3">
        <v>45613.462488425917</v>
      </c>
      <c r="C1755" s="2" t="s">
        <v>609</v>
      </c>
      <c r="D1755" s="2" t="s">
        <v>80</v>
      </c>
      <c r="E1755" s="2" t="s">
        <v>104</v>
      </c>
      <c r="F1755" s="2" t="str" cm="1">
        <f t="array" ref="F1755:G1755">_xlfn.TEXTSPLIT(E1755," - ")</f>
        <v>Bawang Merah</v>
      </c>
      <c r="G1755" s="2" t="str">
        <v>Brand A</v>
      </c>
      <c r="H1755" s="5">
        <v>30000</v>
      </c>
      <c r="I1755" s="2">
        <v>2</v>
      </c>
      <c r="J1755" s="2">
        <v>15</v>
      </c>
      <c r="K1755" s="8">
        <f t="shared" si="162"/>
        <v>60000</v>
      </c>
      <c r="L1755" s="8">
        <f t="shared" si="163"/>
        <v>9000</v>
      </c>
      <c r="M1755" s="8">
        <f t="shared" si="164"/>
        <v>51000</v>
      </c>
      <c r="N1755" s="5">
        <v>74000</v>
      </c>
      <c r="O1755" s="8">
        <f t="shared" si="165"/>
        <v>125000</v>
      </c>
      <c r="P1755" s="2" t="s">
        <v>63</v>
      </c>
      <c r="Q1755" s="10" t="str">
        <f>VLOOKUP(A1755,Status!A:B,2,0)</f>
        <v>Completed</v>
      </c>
      <c r="R1755" s="2" t="s">
        <v>82</v>
      </c>
      <c r="S1755" s="2">
        <v>2</v>
      </c>
      <c r="T1755" s="2" t="s">
        <v>24</v>
      </c>
      <c r="U1755" s="10" t="str">
        <f t="shared" si="167"/>
        <v>Nov</v>
      </c>
      <c r="V1755" s="10">
        <f t="shared" si="166"/>
        <v>2024</v>
      </c>
      <c r="W1755" t="e" cm="1">
        <f t="array" ref="W1755">_xlfn.IFS(U1755="January",1,U1755="February",2,U1755="March",3,U1755="April",4,U1755="May",5,U1755="June",6,U1755="July",7,U1755="August",8,U1755="September",9,U1755="October",10,U1755="November",11,U1755="December",12)</f>
        <v>#N/A</v>
      </c>
    </row>
    <row r="1756" spans="1:23" ht="15.75" customHeight="1" x14ac:dyDescent="0.25">
      <c r="A1756" s="2" t="s">
        <v>610</v>
      </c>
      <c r="B1756" s="3">
        <v>45613.683703703697</v>
      </c>
      <c r="C1756" s="2" t="s">
        <v>281</v>
      </c>
      <c r="D1756" s="2" t="s">
        <v>151</v>
      </c>
      <c r="E1756" s="2" t="s">
        <v>54</v>
      </c>
      <c r="F1756" s="2" t="str" cm="1">
        <f t="array" ref="F1756:G1756">_xlfn.TEXTSPLIT(E1756," - ")</f>
        <v>Beras</v>
      </c>
      <c r="G1756" s="2" t="str">
        <v>Brand C</v>
      </c>
      <c r="H1756" s="5">
        <v>16000</v>
      </c>
      <c r="I1756" s="2">
        <v>4</v>
      </c>
      <c r="J1756" s="2">
        <v>15</v>
      </c>
      <c r="K1756" s="8">
        <f t="shared" si="162"/>
        <v>64000</v>
      </c>
      <c r="L1756" s="8">
        <f t="shared" si="163"/>
        <v>9600</v>
      </c>
      <c r="M1756" s="8">
        <f t="shared" si="164"/>
        <v>54400</v>
      </c>
      <c r="N1756" s="5">
        <v>55000</v>
      </c>
      <c r="O1756" s="8">
        <f t="shared" si="165"/>
        <v>109400</v>
      </c>
      <c r="P1756" s="2" t="s">
        <v>29</v>
      </c>
      <c r="Q1756" s="10" t="str">
        <f>VLOOKUP(A1756,Status!A:B,2,0)</f>
        <v>Completed</v>
      </c>
      <c r="R1756" s="2" t="s">
        <v>36</v>
      </c>
      <c r="S1756" s="2">
        <v>1</v>
      </c>
      <c r="T1756" s="2" t="s">
        <v>24</v>
      </c>
      <c r="U1756" s="10" t="str">
        <f t="shared" si="167"/>
        <v>Nov</v>
      </c>
      <c r="V1756" s="10">
        <f t="shared" si="166"/>
        <v>2024</v>
      </c>
      <c r="W1756" t="e" cm="1">
        <f t="array" ref="W1756">_xlfn.IFS(U1756="January",1,U1756="February",2,U1756="March",3,U1756="April",4,U1756="May",5,U1756="June",6,U1756="July",7,U1756="August",8,U1756="September",9,U1756="October",10,U1756="November",11,U1756="December",12)</f>
        <v>#N/A</v>
      </c>
    </row>
    <row r="1757" spans="1:23" ht="15.75" customHeight="1" x14ac:dyDescent="0.25">
      <c r="A1757" s="2" t="s">
        <v>611</v>
      </c>
      <c r="B1757" s="3">
        <v>45613.832777777781</v>
      </c>
      <c r="C1757" s="2" t="s">
        <v>502</v>
      </c>
      <c r="D1757" s="2" t="s">
        <v>107</v>
      </c>
      <c r="E1757" s="2" t="s">
        <v>21</v>
      </c>
      <c r="F1757" s="2" t="str" cm="1">
        <f t="array" ref="F1757:G1757">_xlfn.TEXTSPLIT(E1757," - ")</f>
        <v>Daging Ayam</v>
      </c>
      <c r="G1757" s="2" t="str">
        <v>Brand C</v>
      </c>
      <c r="H1757" s="5">
        <v>45000</v>
      </c>
      <c r="I1757" s="2">
        <v>2</v>
      </c>
      <c r="J1757" s="2">
        <v>20</v>
      </c>
      <c r="K1757" s="8">
        <f t="shared" si="162"/>
        <v>90000</v>
      </c>
      <c r="L1757" s="8">
        <f t="shared" si="163"/>
        <v>18000</v>
      </c>
      <c r="M1757" s="8">
        <f t="shared" si="164"/>
        <v>72000</v>
      </c>
      <c r="N1757" s="5">
        <v>97000</v>
      </c>
      <c r="O1757" s="8">
        <f t="shared" si="165"/>
        <v>169000</v>
      </c>
      <c r="P1757" s="2" t="s">
        <v>35</v>
      </c>
      <c r="Q1757" s="10" t="str">
        <f>VLOOKUP(A1757,Status!A:B,2,0)</f>
        <v>Completed</v>
      </c>
      <c r="R1757" s="2" t="s">
        <v>23</v>
      </c>
      <c r="S1757" s="2">
        <v>2</v>
      </c>
      <c r="T1757" s="2" t="s">
        <v>24</v>
      </c>
      <c r="U1757" s="10" t="str">
        <f t="shared" si="167"/>
        <v>Nov</v>
      </c>
      <c r="V1757" s="10">
        <f t="shared" si="166"/>
        <v>2024</v>
      </c>
      <c r="W1757" t="e" cm="1">
        <f t="array" ref="W1757">_xlfn.IFS(U1757="January",1,U1757="February",2,U1757="March",3,U1757="April",4,U1757="May",5,U1757="June",6,U1757="July",7,U1757="August",8,U1757="September",9,U1757="October",10,U1757="November",11,U1757="December",12)</f>
        <v>#N/A</v>
      </c>
    </row>
    <row r="1758" spans="1:23" ht="15.75" customHeight="1" x14ac:dyDescent="0.25">
      <c r="A1758" s="2" t="s">
        <v>611</v>
      </c>
      <c r="B1758" s="3">
        <v>45613.832777777781</v>
      </c>
      <c r="C1758" s="2" t="s">
        <v>502</v>
      </c>
      <c r="D1758" s="2" t="s">
        <v>107</v>
      </c>
      <c r="E1758" s="2" t="s">
        <v>81</v>
      </c>
      <c r="F1758" s="2" t="str" cm="1">
        <f t="array" ref="F1758:G1758">_xlfn.TEXTSPLIT(E1758," - ")</f>
        <v>Minyak Goreng</v>
      </c>
      <c r="G1758" s="2" t="str">
        <v>Brand B</v>
      </c>
      <c r="H1758" s="5">
        <v>17000</v>
      </c>
      <c r="I1758" s="2">
        <v>1</v>
      </c>
      <c r="J1758" s="2">
        <v>5</v>
      </c>
      <c r="K1758" s="8">
        <f t="shared" si="162"/>
        <v>17000</v>
      </c>
      <c r="L1758" s="8">
        <f t="shared" si="163"/>
        <v>850</v>
      </c>
      <c r="M1758" s="8">
        <f t="shared" si="164"/>
        <v>16150</v>
      </c>
      <c r="N1758" s="5">
        <v>0</v>
      </c>
      <c r="O1758" s="8">
        <f t="shared" si="165"/>
        <v>16150</v>
      </c>
      <c r="P1758" s="2" t="s">
        <v>35</v>
      </c>
      <c r="Q1758" s="10" t="str">
        <f>VLOOKUP(A1758,Status!A:B,2,0)</f>
        <v>Completed</v>
      </c>
      <c r="R1758" s="2" t="s">
        <v>23</v>
      </c>
      <c r="S1758" s="2">
        <v>2</v>
      </c>
      <c r="T1758" s="2" t="s">
        <v>24</v>
      </c>
      <c r="U1758" s="10" t="str">
        <f t="shared" si="167"/>
        <v>Nov</v>
      </c>
      <c r="V1758" s="10">
        <f t="shared" si="166"/>
        <v>2024</v>
      </c>
      <c r="W1758" t="e" cm="1">
        <f t="array" ref="W1758">_xlfn.IFS(U1758="January",1,U1758="February",2,U1758="March",3,U1758="April",4,U1758="May",5,U1758="June",6,U1758="July",7,U1758="August",8,U1758="September",9,U1758="October",10,U1758="November",11,U1758="December",12)</f>
        <v>#N/A</v>
      </c>
    </row>
    <row r="1759" spans="1:23" ht="15.75" customHeight="1" x14ac:dyDescent="0.25">
      <c r="A1759" s="2" t="s">
        <v>612</v>
      </c>
      <c r="B1759" s="3">
        <v>45614.040023148147</v>
      </c>
      <c r="C1759" s="2" t="s">
        <v>613</v>
      </c>
      <c r="D1759" s="2" t="s">
        <v>375</v>
      </c>
      <c r="E1759" s="2" t="s">
        <v>38</v>
      </c>
      <c r="F1759" s="2" t="str" cm="1">
        <f t="array" ref="F1759:G1759">_xlfn.TEXTSPLIT(E1759," - ")</f>
        <v>Telur Ayam</v>
      </c>
      <c r="G1759" s="2" t="str">
        <v>Brand C</v>
      </c>
      <c r="H1759" s="5">
        <v>28000</v>
      </c>
      <c r="I1759" s="2">
        <v>2</v>
      </c>
      <c r="J1759" s="2">
        <v>10</v>
      </c>
      <c r="K1759" s="8">
        <f t="shared" si="162"/>
        <v>56000</v>
      </c>
      <c r="L1759" s="8">
        <f t="shared" si="163"/>
        <v>5600</v>
      </c>
      <c r="M1759" s="8">
        <f t="shared" si="164"/>
        <v>50400</v>
      </c>
      <c r="N1759" s="5">
        <v>21000</v>
      </c>
      <c r="O1759" s="8">
        <f t="shared" si="165"/>
        <v>71400</v>
      </c>
      <c r="P1759" s="2" t="s">
        <v>22</v>
      </c>
      <c r="Q1759" s="10" t="str">
        <f>VLOOKUP(A1759,Status!A:B,2,0)</f>
        <v>Completed</v>
      </c>
      <c r="R1759" s="2" t="s">
        <v>23</v>
      </c>
      <c r="S1759" s="2">
        <v>1</v>
      </c>
      <c r="T1759" s="2" t="s">
        <v>24</v>
      </c>
      <c r="U1759" s="10" t="str">
        <f t="shared" si="167"/>
        <v>Nov</v>
      </c>
      <c r="V1759" s="10">
        <f t="shared" si="166"/>
        <v>2024</v>
      </c>
      <c r="W1759" t="e" cm="1">
        <f t="array" ref="W1759">_xlfn.IFS(U1759="January",1,U1759="February",2,U1759="March",3,U1759="April",4,U1759="May",5,U1759="June",6,U1759="July",7,U1759="August",8,U1759="September",9,U1759="October",10,U1759="November",11,U1759="December",12)</f>
        <v>#N/A</v>
      </c>
    </row>
    <row r="1760" spans="1:23" ht="15.75" customHeight="1" x14ac:dyDescent="0.25">
      <c r="A1760" s="2" t="s">
        <v>614</v>
      </c>
      <c r="B1760" s="3">
        <v>45614.308680555558</v>
      </c>
      <c r="C1760" s="2" t="s">
        <v>615</v>
      </c>
      <c r="D1760" s="2" t="s">
        <v>92</v>
      </c>
      <c r="E1760" s="2" t="s">
        <v>67</v>
      </c>
      <c r="F1760" s="2" t="str" cm="1">
        <f t="array" ref="F1760:G1760">_xlfn.TEXTSPLIT(E1760," - ")</f>
        <v>Beras</v>
      </c>
      <c r="G1760" s="2" t="str">
        <v>Brand B</v>
      </c>
      <c r="H1760" s="5">
        <v>15000</v>
      </c>
      <c r="I1760" s="2">
        <v>3</v>
      </c>
      <c r="J1760" s="2">
        <v>15</v>
      </c>
      <c r="K1760" s="8">
        <f t="shared" si="162"/>
        <v>45000</v>
      </c>
      <c r="L1760" s="8">
        <f t="shared" si="163"/>
        <v>6750</v>
      </c>
      <c r="M1760" s="8">
        <f t="shared" si="164"/>
        <v>38250</v>
      </c>
      <c r="N1760" s="5">
        <v>30000</v>
      </c>
      <c r="O1760" s="8">
        <f t="shared" si="165"/>
        <v>68250</v>
      </c>
      <c r="P1760" s="2" t="s">
        <v>35</v>
      </c>
      <c r="Q1760" s="10" t="str">
        <f>VLOOKUP(A1760,Status!A:B,2,0)</f>
        <v>Completed</v>
      </c>
      <c r="R1760" s="2" t="s">
        <v>30</v>
      </c>
      <c r="S1760" s="2">
        <v>4</v>
      </c>
      <c r="T1760" s="2" t="s">
        <v>24</v>
      </c>
      <c r="U1760" s="10" t="str">
        <f t="shared" si="167"/>
        <v>Nov</v>
      </c>
      <c r="V1760" s="10">
        <f t="shared" si="166"/>
        <v>2024</v>
      </c>
      <c r="W1760" t="e" cm="1">
        <f t="array" ref="W1760">_xlfn.IFS(U1760="January",1,U1760="February",2,U1760="March",3,U1760="April",4,U1760="May",5,U1760="June",6,U1760="July",7,U1760="August",8,U1760="September",9,U1760="October",10,U1760="November",11,U1760="December",12)</f>
        <v>#N/A</v>
      </c>
    </row>
    <row r="1761" spans="1:23" ht="15.75" customHeight="1" x14ac:dyDescent="0.25">
      <c r="A1761" s="2" t="s">
        <v>616</v>
      </c>
      <c r="B1761" s="3">
        <v>45614.526041666657</v>
      </c>
      <c r="C1761" s="2" t="s">
        <v>582</v>
      </c>
      <c r="D1761" s="2" t="s">
        <v>435</v>
      </c>
      <c r="E1761" s="2" t="s">
        <v>85</v>
      </c>
      <c r="F1761" s="2" t="str" cm="1">
        <f t="array" ref="F1761:G1761">_xlfn.TEXTSPLIT(E1761," - ")</f>
        <v>Daging Ayam</v>
      </c>
      <c r="G1761" s="2" t="str">
        <v>Brand A</v>
      </c>
      <c r="H1761" s="5">
        <v>35000</v>
      </c>
      <c r="I1761" s="2">
        <v>5</v>
      </c>
      <c r="J1761" s="2">
        <v>0</v>
      </c>
      <c r="K1761" s="8">
        <f t="shared" si="162"/>
        <v>175000</v>
      </c>
      <c r="L1761" s="8">
        <f t="shared" si="163"/>
        <v>0</v>
      </c>
      <c r="M1761" s="8">
        <f t="shared" si="164"/>
        <v>175000</v>
      </c>
      <c r="N1761" s="5">
        <v>67000</v>
      </c>
      <c r="O1761" s="8">
        <f t="shared" si="165"/>
        <v>242000</v>
      </c>
      <c r="P1761" s="2" t="s">
        <v>29</v>
      </c>
      <c r="Q1761" s="10" t="str">
        <f>VLOOKUP(A1761,Status!A:B,2,0)</f>
        <v>Returned</v>
      </c>
      <c r="R1761" s="2" t="s">
        <v>82</v>
      </c>
      <c r="S1761" s="2">
        <v>2</v>
      </c>
      <c r="T1761" s="2" t="s">
        <v>24</v>
      </c>
      <c r="U1761" s="10" t="str">
        <f t="shared" si="167"/>
        <v>Nov</v>
      </c>
      <c r="V1761" s="10">
        <f t="shared" si="166"/>
        <v>2024</v>
      </c>
      <c r="W1761" t="e" cm="1">
        <f t="array" ref="W1761">_xlfn.IFS(U1761="January",1,U1761="February",2,U1761="March",3,U1761="April",4,U1761="May",5,U1761="June",6,U1761="July",7,U1761="August",8,U1761="September",9,U1761="October",10,U1761="November",11,U1761="December",12)</f>
        <v>#N/A</v>
      </c>
    </row>
    <row r="1762" spans="1:23" ht="15.75" customHeight="1" x14ac:dyDescent="0.25">
      <c r="A1762" s="2" t="s">
        <v>617</v>
      </c>
      <c r="B1762" s="3">
        <v>45614.849224537043</v>
      </c>
      <c r="C1762" s="2" t="s">
        <v>229</v>
      </c>
      <c r="D1762" s="2" t="s">
        <v>195</v>
      </c>
      <c r="E1762" s="2" t="s">
        <v>21</v>
      </c>
      <c r="F1762" s="2" t="str" cm="1">
        <f t="array" ref="F1762:G1762">_xlfn.TEXTSPLIT(E1762," - ")</f>
        <v>Daging Ayam</v>
      </c>
      <c r="G1762" s="2" t="str">
        <v>Brand C</v>
      </c>
      <c r="H1762" s="5">
        <v>45000</v>
      </c>
      <c r="I1762" s="2">
        <v>3</v>
      </c>
      <c r="J1762" s="2">
        <v>20</v>
      </c>
      <c r="K1762" s="8">
        <f t="shared" si="162"/>
        <v>135000</v>
      </c>
      <c r="L1762" s="8">
        <f t="shared" si="163"/>
        <v>27000</v>
      </c>
      <c r="M1762" s="8">
        <f t="shared" si="164"/>
        <v>108000</v>
      </c>
      <c r="N1762" s="5">
        <v>87000</v>
      </c>
      <c r="O1762" s="8">
        <f t="shared" si="165"/>
        <v>195000</v>
      </c>
      <c r="P1762" s="2" t="s">
        <v>22</v>
      </c>
      <c r="Q1762" s="10" t="str">
        <f>VLOOKUP(A1762,Status!A:B,2,0)</f>
        <v>Completed</v>
      </c>
      <c r="R1762" s="2" t="s">
        <v>82</v>
      </c>
      <c r="S1762" s="2">
        <v>1</v>
      </c>
      <c r="T1762" s="2" t="s">
        <v>24</v>
      </c>
      <c r="U1762" s="10" t="str">
        <f t="shared" si="167"/>
        <v>Nov</v>
      </c>
      <c r="V1762" s="10">
        <f t="shared" si="166"/>
        <v>2024</v>
      </c>
      <c r="W1762" t="e" cm="1">
        <f t="array" ref="W1762">_xlfn.IFS(U1762="January",1,U1762="February",2,U1762="March",3,U1762="April",4,U1762="May",5,U1762="June",6,U1762="July",7,U1762="August",8,U1762="September",9,U1762="October",10,U1762="November",11,U1762="December",12)</f>
        <v>#N/A</v>
      </c>
    </row>
    <row r="1763" spans="1:23" ht="15.75" customHeight="1" x14ac:dyDescent="0.25">
      <c r="A1763" s="2" t="s">
        <v>618</v>
      </c>
      <c r="B1763" s="3">
        <v>45615.017175925917</v>
      </c>
      <c r="C1763" s="2" t="s">
        <v>619</v>
      </c>
      <c r="D1763" s="2" t="s">
        <v>435</v>
      </c>
      <c r="E1763" s="2" t="s">
        <v>186</v>
      </c>
      <c r="F1763" s="2" t="str" cm="1">
        <f t="array" ref="F1763:G1763">_xlfn.TEXTSPLIT(E1763," - ")</f>
        <v>Susu Bubuk</v>
      </c>
      <c r="G1763" s="2" t="str">
        <v>Brand A</v>
      </c>
      <c r="H1763" s="5">
        <v>45000</v>
      </c>
      <c r="I1763" s="2">
        <v>3</v>
      </c>
      <c r="J1763" s="2">
        <v>20</v>
      </c>
      <c r="K1763" s="8">
        <f t="shared" si="162"/>
        <v>135000</v>
      </c>
      <c r="L1763" s="8">
        <f t="shared" si="163"/>
        <v>27000</v>
      </c>
      <c r="M1763" s="8">
        <f t="shared" si="164"/>
        <v>108000</v>
      </c>
      <c r="N1763" s="5">
        <v>67000</v>
      </c>
      <c r="O1763" s="8">
        <f t="shared" si="165"/>
        <v>175000</v>
      </c>
      <c r="P1763" s="2" t="s">
        <v>63</v>
      </c>
      <c r="Q1763" s="10" t="str">
        <f>VLOOKUP(A1763,Status!A:B,2,0)</f>
        <v>Completed</v>
      </c>
      <c r="R1763" s="2" t="s">
        <v>36</v>
      </c>
      <c r="S1763" s="2">
        <v>2</v>
      </c>
      <c r="T1763" s="2" t="s">
        <v>24</v>
      </c>
      <c r="U1763" s="10" t="str">
        <f t="shared" si="167"/>
        <v>Nov</v>
      </c>
      <c r="V1763" s="10">
        <f t="shared" si="166"/>
        <v>2024</v>
      </c>
      <c r="W1763" t="e" cm="1">
        <f t="array" ref="W1763">_xlfn.IFS(U1763="January",1,U1763="February",2,U1763="March",3,U1763="April",4,U1763="May",5,U1763="June",6,U1763="July",7,U1763="August",8,U1763="September",9,U1763="October",10,U1763="November",11,U1763="December",12)</f>
        <v>#N/A</v>
      </c>
    </row>
    <row r="1764" spans="1:23" ht="15.75" customHeight="1" x14ac:dyDescent="0.25">
      <c r="A1764" s="2" t="s">
        <v>620</v>
      </c>
      <c r="B1764" s="3">
        <v>45615.215370370373</v>
      </c>
      <c r="C1764" s="2" t="s">
        <v>165</v>
      </c>
      <c r="D1764" s="2" t="s">
        <v>143</v>
      </c>
      <c r="E1764" s="2" t="s">
        <v>144</v>
      </c>
      <c r="F1764" s="2" t="str" cm="1">
        <f t="array" ref="F1764:G1764">_xlfn.TEXTSPLIT(E1764," - ")</f>
        <v>Gula Pasir</v>
      </c>
      <c r="G1764" s="2" t="str">
        <v>Brand C</v>
      </c>
      <c r="H1764" s="5">
        <v>18000</v>
      </c>
      <c r="I1764" s="2">
        <v>2</v>
      </c>
      <c r="J1764" s="2">
        <v>15</v>
      </c>
      <c r="K1764" s="8">
        <f t="shared" si="162"/>
        <v>36000</v>
      </c>
      <c r="L1764" s="8">
        <f t="shared" si="163"/>
        <v>5400</v>
      </c>
      <c r="M1764" s="8">
        <f t="shared" si="164"/>
        <v>30600</v>
      </c>
      <c r="N1764" s="5">
        <v>50000</v>
      </c>
      <c r="O1764" s="8">
        <f t="shared" si="165"/>
        <v>80600</v>
      </c>
      <c r="P1764" s="2" t="s">
        <v>63</v>
      </c>
      <c r="Q1764" s="10" t="str">
        <f>VLOOKUP(A1764,Status!A:B,2,0)</f>
        <v>Completed</v>
      </c>
      <c r="R1764" s="2" t="s">
        <v>30</v>
      </c>
      <c r="S1764" s="2">
        <v>2</v>
      </c>
      <c r="T1764" s="2" t="s">
        <v>24</v>
      </c>
      <c r="U1764" s="10" t="str">
        <f t="shared" si="167"/>
        <v>Nov</v>
      </c>
      <c r="V1764" s="10">
        <f t="shared" si="166"/>
        <v>2024</v>
      </c>
      <c r="W1764" t="e" cm="1">
        <f t="array" ref="W1764">_xlfn.IFS(U1764="January",1,U1764="February",2,U1764="March",3,U1764="April",4,U1764="May",5,U1764="June",6,U1764="July",7,U1764="August",8,U1764="September",9,U1764="October",10,U1764="November",11,U1764="December",12)</f>
        <v>#N/A</v>
      </c>
    </row>
    <row r="1765" spans="1:23" ht="15.75" customHeight="1" x14ac:dyDescent="0.25">
      <c r="A1765" s="2" t="s">
        <v>621</v>
      </c>
      <c r="B1765" s="3">
        <v>45615.262997685182</v>
      </c>
      <c r="C1765" s="2" t="s">
        <v>197</v>
      </c>
      <c r="D1765" s="2" t="s">
        <v>119</v>
      </c>
      <c r="E1765" s="2" t="s">
        <v>67</v>
      </c>
      <c r="F1765" s="2" t="str" cm="1">
        <f t="array" ref="F1765:G1765">_xlfn.TEXTSPLIT(E1765," - ")</f>
        <v>Beras</v>
      </c>
      <c r="G1765" s="2" t="str">
        <v>Brand B</v>
      </c>
      <c r="H1765" s="5">
        <v>15000</v>
      </c>
      <c r="I1765" s="2">
        <v>3</v>
      </c>
      <c r="J1765" s="2">
        <v>0</v>
      </c>
      <c r="K1765" s="8">
        <f t="shared" si="162"/>
        <v>45000</v>
      </c>
      <c r="L1765" s="8">
        <f t="shared" si="163"/>
        <v>0</v>
      </c>
      <c r="M1765" s="8">
        <f t="shared" si="164"/>
        <v>45000</v>
      </c>
      <c r="N1765" s="5">
        <v>0</v>
      </c>
      <c r="O1765" s="8">
        <f t="shared" si="165"/>
        <v>45000</v>
      </c>
      <c r="P1765" s="2" t="s">
        <v>29</v>
      </c>
      <c r="Q1765" s="10" t="str">
        <f>VLOOKUP(A1765,Status!A:B,2,0)</f>
        <v>Completed</v>
      </c>
      <c r="R1765" s="2" t="s">
        <v>46</v>
      </c>
      <c r="S1765" s="2">
        <v>2</v>
      </c>
      <c r="T1765" s="2" t="s">
        <v>37</v>
      </c>
      <c r="U1765" s="10" t="str">
        <f t="shared" si="167"/>
        <v>Nov</v>
      </c>
      <c r="V1765" s="10">
        <f t="shared" si="166"/>
        <v>2024</v>
      </c>
      <c r="W1765" t="e" cm="1">
        <f t="array" ref="W1765">_xlfn.IFS(U1765="January",1,U1765="February",2,U1765="March",3,U1765="April",4,U1765="May",5,U1765="June",6,U1765="July",7,U1765="August",8,U1765="September",9,U1765="October",10,U1765="November",11,U1765="December",12)</f>
        <v>#N/A</v>
      </c>
    </row>
    <row r="1766" spans="1:23" ht="15.75" customHeight="1" x14ac:dyDescent="0.25">
      <c r="A1766" s="2" t="s">
        <v>622</v>
      </c>
      <c r="B1766" s="3">
        <v>45615.423321759263</v>
      </c>
      <c r="C1766" s="2" t="s">
        <v>56</v>
      </c>
      <c r="D1766" s="2" t="s">
        <v>57</v>
      </c>
      <c r="E1766" s="2" t="s">
        <v>34</v>
      </c>
      <c r="F1766" s="2" t="str" cm="1">
        <f t="array" ref="F1766:G1766">_xlfn.TEXTSPLIT(E1766," - ")</f>
        <v>Minyak Goreng</v>
      </c>
      <c r="G1766" s="2" t="str">
        <v>Brand A</v>
      </c>
      <c r="H1766" s="5">
        <v>16000</v>
      </c>
      <c r="I1766" s="2">
        <v>1</v>
      </c>
      <c r="J1766" s="2">
        <v>10</v>
      </c>
      <c r="K1766" s="8">
        <f t="shared" si="162"/>
        <v>16000</v>
      </c>
      <c r="L1766" s="8">
        <f t="shared" si="163"/>
        <v>1600</v>
      </c>
      <c r="M1766" s="8">
        <f t="shared" si="164"/>
        <v>14400</v>
      </c>
      <c r="N1766" s="5">
        <v>80000</v>
      </c>
      <c r="O1766" s="8">
        <f t="shared" si="165"/>
        <v>94400</v>
      </c>
      <c r="P1766" s="2" t="s">
        <v>29</v>
      </c>
      <c r="Q1766" s="10" t="str">
        <f>VLOOKUP(A1766,Status!A:B,2,0)</f>
        <v>Completed</v>
      </c>
      <c r="R1766" s="2" t="s">
        <v>82</v>
      </c>
      <c r="S1766" s="2">
        <v>2</v>
      </c>
      <c r="T1766" s="2" t="s">
        <v>24</v>
      </c>
      <c r="U1766" s="10" t="str">
        <f t="shared" si="167"/>
        <v>Nov</v>
      </c>
      <c r="V1766" s="10">
        <f t="shared" si="166"/>
        <v>2024</v>
      </c>
      <c r="W1766" t="e" cm="1">
        <f t="array" ref="W1766">_xlfn.IFS(U1766="January",1,U1766="February",2,U1766="March",3,U1766="April",4,U1766="May",5,U1766="June",6,U1766="July",7,U1766="August",8,U1766="September",9,U1766="October",10,U1766="November",11,U1766="December",12)</f>
        <v>#N/A</v>
      </c>
    </row>
    <row r="1767" spans="1:23" ht="15.75" customHeight="1" x14ac:dyDescent="0.25">
      <c r="A1767" s="2" t="s">
        <v>623</v>
      </c>
      <c r="B1767" s="3">
        <v>45615.481932870367</v>
      </c>
      <c r="C1767" s="2" t="s">
        <v>220</v>
      </c>
      <c r="D1767" s="2" t="s">
        <v>53</v>
      </c>
      <c r="E1767" s="2" t="s">
        <v>123</v>
      </c>
      <c r="F1767" s="2" t="str" cm="1">
        <f t="array" ref="F1767:G1767">_xlfn.TEXTSPLIT(E1767," - ")</f>
        <v>Telur Ayam</v>
      </c>
      <c r="G1767" s="2" t="str">
        <v>Brand A</v>
      </c>
      <c r="H1767" s="5">
        <v>22000</v>
      </c>
      <c r="I1767" s="2">
        <v>5</v>
      </c>
      <c r="J1767" s="2">
        <v>10</v>
      </c>
      <c r="K1767" s="8">
        <f t="shared" si="162"/>
        <v>110000</v>
      </c>
      <c r="L1767" s="8">
        <f t="shared" si="163"/>
        <v>11000</v>
      </c>
      <c r="M1767" s="8">
        <f t="shared" si="164"/>
        <v>99000</v>
      </c>
      <c r="N1767" s="5">
        <v>18000</v>
      </c>
      <c r="O1767" s="8">
        <f t="shared" si="165"/>
        <v>117000</v>
      </c>
      <c r="P1767" s="2" t="s">
        <v>29</v>
      </c>
      <c r="Q1767" s="10" t="str">
        <f>VLOOKUP(A1767,Status!A:B,2,0)</f>
        <v>Completed</v>
      </c>
      <c r="R1767" s="2" t="s">
        <v>82</v>
      </c>
      <c r="S1767" s="2">
        <v>5</v>
      </c>
      <c r="T1767" s="2" t="s">
        <v>24</v>
      </c>
      <c r="U1767" s="10" t="str">
        <f t="shared" si="167"/>
        <v>Nov</v>
      </c>
      <c r="V1767" s="10">
        <f t="shared" si="166"/>
        <v>2024</v>
      </c>
      <c r="W1767" t="e" cm="1">
        <f t="array" ref="W1767">_xlfn.IFS(U1767="January",1,U1767="February",2,U1767="March",3,U1767="April",4,U1767="May",5,U1767="June",6,U1767="July",7,U1767="August",8,U1767="September",9,U1767="October",10,U1767="November",11,U1767="December",12)</f>
        <v>#N/A</v>
      </c>
    </row>
    <row r="1768" spans="1:23" ht="15.75" customHeight="1" x14ac:dyDescent="0.25">
      <c r="A1768" s="2" t="s">
        <v>624</v>
      </c>
      <c r="B1768" s="3">
        <v>45615.579155092593</v>
      </c>
      <c r="C1768" s="2" t="s">
        <v>199</v>
      </c>
      <c r="D1768" s="2" t="s">
        <v>143</v>
      </c>
      <c r="E1768" s="2" t="s">
        <v>45</v>
      </c>
      <c r="F1768" s="2" t="str" cm="1">
        <f t="array" ref="F1768:G1768">_xlfn.TEXTSPLIT(E1768," - ")</f>
        <v>Daging Ayam</v>
      </c>
      <c r="G1768" s="2" t="str">
        <v>Brand B</v>
      </c>
      <c r="H1768" s="5">
        <v>40000</v>
      </c>
      <c r="I1768" s="2">
        <v>5</v>
      </c>
      <c r="J1768" s="2">
        <v>0</v>
      </c>
      <c r="K1768" s="8">
        <f t="shared" si="162"/>
        <v>200000</v>
      </c>
      <c r="L1768" s="8">
        <f t="shared" si="163"/>
        <v>0</v>
      </c>
      <c r="M1768" s="8">
        <f t="shared" si="164"/>
        <v>200000</v>
      </c>
      <c r="N1768" s="5">
        <v>50000</v>
      </c>
      <c r="O1768" s="8">
        <f t="shared" si="165"/>
        <v>250000</v>
      </c>
      <c r="P1768" s="2" t="s">
        <v>35</v>
      </c>
      <c r="Q1768" s="10" t="str">
        <f>VLOOKUP(A1768,Status!A:B,2,0)</f>
        <v>Returned</v>
      </c>
      <c r="R1768" s="2" t="s">
        <v>46</v>
      </c>
      <c r="S1768" s="2">
        <v>5</v>
      </c>
      <c r="T1768" s="2" t="s">
        <v>24</v>
      </c>
      <c r="U1768" s="10" t="str">
        <f t="shared" si="167"/>
        <v>Nov</v>
      </c>
      <c r="V1768" s="10">
        <f t="shared" si="166"/>
        <v>2024</v>
      </c>
      <c r="W1768" t="e" cm="1">
        <f t="array" ref="W1768">_xlfn.IFS(U1768="January",1,U1768="February",2,U1768="March",3,U1768="April",4,U1768="May",5,U1768="June",6,U1768="July",7,U1768="August",8,U1768="September",9,U1768="October",10,U1768="November",11,U1768="December",12)</f>
        <v>#N/A</v>
      </c>
    </row>
    <row r="1769" spans="1:23" ht="15.75" customHeight="1" x14ac:dyDescent="0.25">
      <c r="A1769" s="2" t="s">
        <v>625</v>
      </c>
      <c r="B1769" s="3">
        <v>45616.226400462961</v>
      </c>
      <c r="C1769" s="2" t="s">
        <v>626</v>
      </c>
      <c r="D1769" s="2" t="s">
        <v>296</v>
      </c>
      <c r="E1769" s="2" t="s">
        <v>81</v>
      </c>
      <c r="F1769" s="2" t="str" cm="1">
        <f t="array" ref="F1769:G1769">_xlfn.TEXTSPLIT(E1769," - ")</f>
        <v>Minyak Goreng</v>
      </c>
      <c r="G1769" s="2" t="str">
        <v>Brand B</v>
      </c>
      <c r="H1769" s="5">
        <v>17000</v>
      </c>
      <c r="I1769" s="2">
        <v>3</v>
      </c>
      <c r="J1769" s="2">
        <v>5</v>
      </c>
      <c r="K1769" s="8">
        <f t="shared" si="162"/>
        <v>51000</v>
      </c>
      <c r="L1769" s="8">
        <f t="shared" si="163"/>
        <v>2550</v>
      </c>
      <c r="M1769" s="8">
        <f t="shared" si="164"/>
        <v>48450</v>
      </c>
      <c r="N1769" s="5">
        <v>79000</v>
      </c>
      <c r="O1769" s="8">
        <f t="shared" si="165"/>
        <v>127450</v>
      </c>
      <c r="P1769" s="2" t="s">
        <v>29</v>
      </c>
      <c r="Q1769" s="10" t="str">
        <f>VLOOKUP(A1769,Status!A:B,2,0)</f>
        <v>Completed</v>
      </c>
      <c r="R1769" s="2" t="s">
        <v>46</v>
      </c>
      <c r="S1769" s="2">
        <v>1</v>
      </c>
      <c r="T1769" s="2" t="s">
        <v>24</v>
      </c>
      <c r="U1769" s="10" t="str">
        <f t="shared" si="167"/>
        <v>Nov</v>
      </c>
      <c r="V1769" s="10">
        <f t="shared" si="166"/>
        <v>2024</v>
      </c>
      <c r="W1769" t="e" cm="1">
        <f t="array" ref="W1769">_xlfn.IFS(U1769="January",1,U1769="February",2,U1769="March",3,U1769="April",4,U1769="May",5,U1769="June",6,U1769="July",7,U1769="August",8,U1769="September",9,U1769="October",10,U1769="November",11,U1769="December",12)</f>
        <v>#N/A</v>
      </c>
    </row>
    <row r="1770" spans="1:23" ht="15.75" customHeight="1" x14ac:dyDescent="0.25">
      <c r="A1770" s="2" t="s">
        <v>627</v>
      </c>
      <c r="B1770" s="3">
        <v>45616.279016203713</v>
      </c>
      <c r="C1770" s="2" t="s">
        <v>510</v>
      </c>
      <c r="D1770" s="2" t="s">
        <v>96</v>
      </c>
      <c r="E1770" s="2" t="s">
        <v>45</v>
      </c>
      <c r="F1770" s="2" t="str" cm="1">
        <f t="array" ref="F1770:G1770">_xlfn.TEXTSPLIT(E1770," - ")</f>
        <v>Daging Ayam</v>
      </c>
      <c r="G1770" s="2" t="str">
        <v>Brand B</v>
      </c>
      <c r="H1770" s="5">
        <v>40000</v>
      </c>
      <c r="I1770" s="2">
        <v>4</v>
      </c>
      <c r="J1770" s="2">
        <v>10</v>
      </c>
      <c r="K1770" s="8">
        <f t="shared" si="162"/>
        <v>160000</v>
      </c>
      <c r="L1770" s="8">
        <f t="shared" si="163"/>
        <v>16000</v>
      </c>
      <c r="M1770" s="8">
        <f t="shared" si="164"/>
        <v>144000</v>
      </c>
      <c r="N1770" s="5">
        <v>49000</v>
      </c>
      <c r="O1770" s="8">
        <f t="shared" si="165"/>
        <v>193000</v>
      </c>
      <c r="P1770" s="2" t="s">
        <v>29</v>
      </c>
      <c r="Q1770" s="10" t="str">
        <f>VLOOKUP(A1770,Status!A:B,2,0)</f>
        <v>Completed</v>
      </c>
      <c r="R1770" s="2" t="s">
        <v>46</v>
      </c>
      <c r="S1770" s="2">
        <v>4</v>
      </c>
      <c r="T1770" s="2" t="s">
        <v>24</v>
      </c>
      <c r="U1770" s="10" t="str">
        <f t="shared" si="167"/>
        <v>Nov</v>
      </c>
      <c r="V1770" s="10">
        <f t="shared" si="166"/>
        <v>2024</v>
      </c>
      <c r="W1770" t="e" cm="1">
        <f t="array" ref="W1770">_xlfn.IFS(U1770="January",1,U1770="February",2,U1770="March",3,U1770="April",4,U1770="May",5,U1770="June",6,U1770="July",7,U1770="August",8,U1770="September",9,U1770="October",10,U1770="November",11,U1770="December",12)</f>
        <v>#N/A</v>
      </c>
    </row>
    <row r="1771" spans="1:23" ht="15.75" customHeight="1" x14ac:dyDescent="0.25">
      <c r="A1771" s="2" t="s">
        <v>628</v>
      </c>
      <c r="B1771" s="3">
        <v>45616.395312499997</v>
      </c>
      <c r="C1771" s="2" t="s">
        <v>520</v>
      </c>
      <c r="D1771" s="2" t="s">
        <v>103</v>
      </c>
      <c r="E1771" s="2" t="s">
        <v>104</v>
      </c>
      <c r="F1771" s="2" t="str" cm="1">
        <f t="array" ref="F1771:G1771">_xlfn.TEXTSPLIT(E1771," - ")</f>
        <v>Bawang Merah</v>
      </c>
      <c r="G1771" s="2" t="str">
        <v>Brand A</v>
      </c>
      <c r="H1771" s="5">
        <v>30000</v>
      </c>
      <c r="I1771" s="2">
        <v>2</v>
      </c>
      <c r="J1771" s="2">
        <v>15</v>
      </c>
      <c r="K1771" s="8">
        <f t="shared" si="162"/>
        <v>60000</v>
      </c>
      <c r="L1771" s="8">
        <f t="shared" si="163"/>
        <v>9000</v>
      </c>
      <c r="M1771" s="8">
        <f t="shared" si="164"/>
        <v>51000</v>
      </c>
      <c r="N1771" s="5">
        <v>85000</v>
      </c>
      <c r="O1771" s="8">
        <f t="shared" si="165"/>
        <v>136000</v>
      </c>
      <c r="P1771" s="2" t="s">
        <v>35</v>
      </c>
      <c r="Q1771" s="10" t="str">
        <f>VLOOKUP(A1771,Status!A:B,2,0)</f>
        <v>Completed</v>
      </c>
      <c r="R1771" s="2" t="s">
        <v>46</v>
      </c>
      <c r="S1771" s="2">
        <v>4</v>
      </c>
      <c r="T1771" s="2" t="s">
        <v>24</v>
      </c>
      <c r="U1771" s="10" t="str">
        <f t="shared" si="167"/>
        <v>Nov</v>
      </c>
      <c r="V1771" s="10">
        <f t="shared" si="166"/>
        <v>2024</v>
      </c>
      <c r="W1771" t="e" cm="1">
        <f t="array" ref="W1771">_xlfn.IFS(U1771="January",1,U1771="February",2,U1771="March",3,U1771="April",4,U1771="May",5,U1771="June",6,U1771="July",7,U1771="August",8,U1771="September",9,U1771="October",10,U1771="November",11,U1771="December",12)</f>
        <v>#N/A</v>
      </c>
    </row>
    <row r="1772" spans="1:23" ht="15.75" customHeight="1" x14ac:dyDescent="0.25">
      <c r="A1772" s="2" t="s">
        <v>629</v>
      </c>
      <c r="B1772" s="3">
        <v>45616.472708333327</v>
      </c>
      <c r="C1772" s="2" t="s">
        <v>477</v>
      </c>
      <c r="D1772" s="2" t="s">
        <v>182</v>
      </c>
      <c r="E1772" s="2" t="s">
        <v>250</v>
      </c>
      <c r="F1772" s="2" t="str" cm="1">
        <f t="array" ref="F1772:G1772">_xlfn.TEXTSPLIT(E1772," - ")</f>
        <v>Minyak Goreng</v>
      </c>
      <c r="G1772" s="2" t="str">
        <v>Brand C</v>
      </c>
      <c r="H1772" s="5">
        <v>18000</v>
      </c>
      <c r="I1772" s="2">
        <v>2</v>
      </c>
      <c r="J1772" s="2">
        <v>10</v>
      </c>
      <c r="K1772" s="8">
        <f t="shared" si="162"/>
        <v>36000</v>
      </c>
      <c r="L1772" s="8">
        <f t="shared" si="163"/>
        <v>3600</v>
      </c>
      <c r="M1772" s="8">
        <f t="shared" si="164"/>
        <v>32400</v>
      </c>
      <c r="N1772" s="5">
        <v>48000</v>
      </c>
      <c r="O1772" s="8">
        <f t="shared" si="165"/>
        <v>80400</v>
      </c>
      <c r="P1772" s="2" t="s">
        <v>29</v>
      </c>
      <c r="Q1772" s="10" t="str">
        <f>VLOOKUP(A1772,Status!A:B,2,0)</f>
        <v>Completed</v>
      </c>
      <c r="R1772" s="2" t="s">
        <v>23</v>
      </c>
      <c r="S1772" s="2">
        <v>4</v>
      </c>
      <c r="T1772" s="2" t="s">
        <v>24</v>
      </c>
      <c r="U1772" s="10" t="str">
        <f t="shared" si="167"/>
        <v>Nov</v>
      </c>
      <c r="V1772" s="10">
        <f t="shared" si="166"/>
        <v>2024</v>
      </c>
      <c r="W1772" t="e" cm="1">
        <f t="array" ref="W1772">_xlfn.IFS(U1772="January",1,U1772="February",2,U1772="March",3,U1772="April",4,U1772="May",5,U1772="June",6,U1772="July",7,U1772="August",8,U1772="September",9,U1772="October",10,U1772="November",11,U1772="December",12)</f>
        <v>#N/A</v>
      </c>
    </row>
    <row r="1773" spans="1:23" ht="15.75" customHeight="1" x14ac:dyDescent="0.25">
      <c r="A1773" s="2" t="s">
        <v>630</v>
      </c>
      <c r="B1773" s="3">
        <v>45616.565740740742</v>
      </c>
      <c r="C1773" s="2" t="s">
        <v>631</v>
      </c>
      <c r="D1773" s="2" t="s">
        <v>20</v>
      </c>
      <c r="E1773" s="2" t="s">
        <v>21</v>
      </c>
      <c r="F1773" s="2" t="str" cm="1">
        <f t="array" ref="F1773:G1773">_xlfn.TEXTSPLIT(E1773," - ")</f>
        <v>Daging Ayam</v>
      </c>
      <c r="G1773" s="2" t="str">
        <v>Brand C</v>
      </c>
      <c r="H1773" s="5">
        <v>45000</v>
      </c>
      <c r="I1773" s="2">
        <v>1</v>
      </c>
      <c r="J1773" s="2">
        <v>0</v>
      </c>
      <c r="K1773" s="8">
        <f t="shared" si="162"/>
        <v>45000</v>
      </c>
      <c r="L1773" s="8">
        <f t="shared" si="163"/>
        <v>0</v>
      </c>
      <c r="M1773" s="8">
        <f t="shared" si="164"/>
        <v>45000</v>
      </c>
      <c r="N1773" s="5">
        <v>15000</v>
      </c>
      <c r="O1773" s="8">
        <f t="shared" si="165"/>
        <v>60000</v>
      </c>
      <c r="P1773" s="2" t="s">
        <v>35</v>
      </c>
      <c r="Q1773" s="10" t="str">
        <f>VLOOKUP(A1773,Status!A:B,2,0)</f>
        <v>Completed</v>
      </c>
      <c r="R1773" s="2" t="s">
        <v>46</v>
      </c>
      <c r="S1773" s="2">
        <v>3</v>
      </c>
      <c r="T1773" s="2" t="s">
        <v>37</v>
      </c>
      <c r="U1773" s="10" t="str">
        <f t="shared" si="167"/>
        <v>Nov</v>
      </c>
      <c r="V1773" s="10">
        <f t="shared" si="166"/>
        <v>2024</v>
      </c>
      <c r="W1773" t="e" cm="1">
        <f t="array" ref="W1773">_xlfn.IFS(U1773="January",1,U1773="February",2,U1773="March",3,U1773="April",4,U1773="May",5,U1773="June",6,U1773="July",7,U1773="August",8,U1773="September",9,U1773="October",10,U1773="November",11,U1773="December",12)</f>
        <v>#N/A</v>
      </c>
    </row>
    <row r="1774" spans="1:23" ht="15.75" customHeight="1" x14ac:dyDescent="0.25">
      <c r="A1774" s="2" t="s">
        <v>632</v>
      </c>
      <c r="B1774" s="3">
        <v>45616.811388888891</v>
      </c>
      <c r="C1774" s="2" t="s">
        <v>65</v>
      </c>
      <c r="D1774" s="2" t="s">
        <v>66</v>
      </c>
      <c r="E1774" s="2" t="s">
        <v>45</v>
      </c>
      <c r="F1774" s="2" t="str" cm="1">
        <f t="array" ref="F1774:G1774">_xlfn.TEXTSPLIT(E1774," - ")</f>
        <v>Daging Ayam</v>
      </c>
      <c r="G1774" s="2" t="str">
        <v>Brand B</v>
      </c>
      <c r="H1774" s="5">
        <v>40000</v>
      </c>
      <c r="I1774" s="2">
        <v>2</v>
      </c>
      <c r="J1774" s="2">
        <v>5</v>
      </c>
      <c r="K1774" s="8">
        <f t="shared" si="162"/>
        <v>80000</v>
      </c>
      <c r="L1774" s="8">
        <f t="shared" si="163"/>
        <v>4000</v>
      </c>
      <c r="M1774" s="8">
        <f t="shared" si="164"/>
        <v>76000</v>
      </c>
      <c r="N1774" s="5">
        <v>59000</v>
      </c>
      <c r="O1774" s="8">
        <f t="shared" si="165"/>
        <v>135000</v>
      </c>
      <c r="P1774" s="2" t="s">
        <v>35</v>
      </c>
      <c r="Q1774" s="10" t="str">
        <f>VLOOKUP(A1774,Status!A:B,2,0)</f>
        <v>Completed</v>
      </c>
      <c r="R1774" s="2" t="s">
        <v>23</v>
      </c>
      <c r="S1774" s="2">
        <v>3</v>
      </c>
      <c r="T1774" s="2" t="s">
        <v>37</v>
      </c>
      <c r="U1774" s="10" t="str">
        <f t="shared" si="167"/>
        <v>Nov</v>
      </c>
      <c r="V1774" s="10">
        <f t="shared" si="166"/>
        <v>2024</v>
      </c>
      <c r="W1774" t="e" cm="1">
        <f t="array" ref="W1774">_xlfn.IFS(U1774="January",1,U1774="February",2,U1774="March",3,U1774="April",4,U1774="May",5,U1774="June",6,U1774="July",7,U1774="August",8,U1774="September",9,U1774="October",10,U1774="November",11,U1774="December",12)</f>
        <v>#N/A</v>
      </c>
    </row>
    <row r="1775" spans="1:23" ht="15.75" customHeight="1" x14ac:dyDescent="0.25">
      <c r="A1775" s="2" t="s">
        <v>633</v>
      </c>
      <c r="B1775" s="3">
        <v>45617.048101851848</v>
      </c>
      <c r="C1775" s="2" t="s">
        <v>252</v>
      </c>
      <c r="D1775" s="2" t="s">
        <v>131</v>
      </c>
      <c r="E1775" s="2" t="s">
        <v>67</v>
      </c>
      <c r="F1775" s="2" t="str" cm="1">
        <f t="array" ref="F1775:G1775">_xlfn.TEXTSPLIT(E1775," - ")</f>
        <v>Beras</v>
      </c>
      <c r="G1775" s="2" t="str">
        <v>Brand B</v>
      </c>
      <c r="H1775" s="5">
        <v>15000</v>
      </c>
      <c r="I1775" s="2">
        <v>1</v>
      </c>
      <c r="J1775" s="2">
        <v>10</v>
      </c>
      <c r="K1775" s="8">
        <f t="shared" si="162"/>
        <v>15000</v>
      </c>
      <c r="L1775" s="8">
        <f t="shared" si="163"/>
        <v>1500</v>
      </c>
      <c r="M1775" s="8">
        <f t="shared" si="164"/>
        <v>13500</v>
      </c>
      <c r="N1775" s="5">
        <v>59000</v>
      </c>
      <c r="O1775" s="8">
        <f t="shared" si="165"/>
        <v>72500</v>
      </c>
      <c r="P1775" s="2" t="s">
        <v>22</v>
      </c>
      <c r="Q1775" s="10" t="str">
        <f>VLOOKUP(A1775,Status!A:B,2,0)</f>
        <v>Completed</v>
      </c>
      <c r="R1775" s="2" t="s">
        <v>23</v>
      </c>
      <c r="S1775" s="2">
        <v>4</v>
      </c>
      <c r="T1775" s="2" t="s">
        <v>24</v>
      </c>
      <c r="U1775" s="10" t="str">
        <f t="shared" si="167"/>
        <v>Nov</v>
      </c>
      <c r="V1775" s="10">
        <f t="shared" si="166"/>
        <v>2024</v>
      </c>
      <c r="W1775" t="e" cm="1">
        <f t="array" ref="W1775">_xlfn.IFS(U1775="January",1,U1775="February",2,U1775="March",3,U1775="April",4,U1775="May",5,U1775="June",6,U1775="July",7,U1775="August",8,U1775="September",9,U1775="October",10,U1775="November",11,U1775="December",12)</f>
        <v>#N/A</v>
      </c>
    </row>
    <row r="1776" spans="1:23" ht="15.75" customHeight="1" x14ac:dyDescent="0.25">
      <c r="A1776" s="2" t="s">
        <v>634</v>
      </c>
      <c r="B1776" s="3">
        <v>45617.547268518523</v>
      </c>
      <c r="C1776" s="2" t="s">
        <v>635</v>
      </c>
      <c r="D1776" s="2" t="s">
        <v>103</v>
      </c>
      <c r="E1776" s="2" t="s">
        <v>41</v>
      </c>
      <c r="F1776" s="2" t="str" cm="1">
        <f t="array" ref="F1776:G1776">_xlfn.TEXTSPLIT(E1776," - ")</f>
        <v>Garam</v>
      </c>
      <c r="G1776" s="2" t="str">
        <v>Brand A</v>
      </c>
      <c r="H1776" s="5">
        <v>4000</v>
      </c>
      <c r="I1776" s="2">
        <v>2</v>
      </c>
      <c r="J1776" s="2">
        <v>0</v>
      </c>
      <c r="K1776" s="8">
        <f t="shared" si="162"/>
        <v>8000</v>
      </c>
      <c r="L1776" s="8">
        <f t="shared" si="163"/>
        <v>0</v>
      </c>
      <c r="M1776" s="8">
        <f t="shared" si="164"/>
        <v>8000</v>
      </c>
      <c r="N1776" s="5">
        <v>85000</v>
      </c>
      <c r="O1776" s="8">
        <f t="shared" si="165"/>
        <v>93000</v>
      </c>
      <c r="P1776" s="2" t="s">
        <v>22</v>
      </c>
      <c r="Q1776" s="10" t="str">
        <f>VLOOKUP(A1776,Status!A:B,2,0)</f>
        <v>Completed</v>
      </c>
      <c r="R1776" s="2" t="s">
        <v>46</v>
      </c>
      <c r="S1776" s="2">
        <v>5</v>
      </c>
      <c r="T1776" s="2" t="s">
        <v>24</v>
      </c>
      <c r="U1776" s="10" t="str">
        <f t="shared" si="167"/>
        <v>Nov</v>
      </c>
      <c r="V1776" s="10">
        <f t="shared" si="166"/>
        <v>2024</v>
      </c>
      <c r="W1776" t="e" cm="1">
        <f t="array" ref="W1776">_xlfn.IFS(U1776="January",1,U1776="February",2,U1776="March",3,U1776="April",4,U1776="May",5,U1776="June",6,U1776="July",7,U1776="August",8,U1776="September",9,U1776="October",10,U1776="November",11,U1776="December",12)</f>
        <v>#N/A</v>
      </c>
    </row>
    <row r="1777" spans="1:23" ht="15.75" customHeight="1" x14ac:dyDescent="0.25">
      <c r="A1777" s="2" t="s">
        <v>636</v>
      </c>
      <c r="B1777" s="3">
        <v>45617.552997685183</v>
      </c>
      <c r="C1777" s="2" t="s">
        <v>355</v>
      </c>
      <c r="D1777" s="2" t="s">
        <v>116</v>
      </c>
      <c r="E1777" s="2" t="s">
        <v>45</v>
      </c>
      <c r="F1777" s="2" t="str" cm="1">
        <f t="array" ref="F1777:G1777">_xlfn.TEXTSPLIT(E1777," - ")</f>
        <v>Daging Ayam</v>
      </c>
      <c r="G1777" s="2" t="str">
        <v>Brand B</v>
      </c>
      <c r="H1777" s="5">
        <v>40000</v>
      </c>
      <c r="I1777" s="2">
        <v>5</v>
      </c>
      <c r="J1777" s="2">
        <v>0</v>
      </c>
      <c r="K1777" s="8">
        <f t="shared" si="162"/>
        <v>200000</v>
      </c>
      <c r="L1777" s="8">
        <f t="shared" si="163"/>
        <v>0</v>
      </c>
      <c r="M1777" s="8">
        <f t="shared" si="164"/>
        <v>200000</v>
      </c>
      <c r="N1777" s="5">
        <v>72000</v>
      </c>
      <c r="O1777" s="8">
        <f t="shared" si="165"/>
        <v>272000</v>
      </c>
      <c r="P1777" s="2" t="s">
        <v>63</v>
      </c>
      <c r="Q1777" s="10" t="str">
        <f>VLOOKUP(A1777,Status!A:B,2,0)</f>
        <v>Returned</v>
      </c>
      <c r="R1777" s="2" t="s">
        <v>82</v>
      </c>
      <c r="S1777" s="2">
        <v>2</v>
      </c>
      <c r="T1777" s="2" t="s">
        <v>24</v>
      </c>
      <c r="U1777" s="10" t="str">
        <f t="shared" si="167"/>
        <v>Nov</v>
      </c>
      <c r="V1777" s="10">
        <f t="shared" si="166"/>
        <v>2024</v>
      </c>
      <c r="W1777" t="e" cm="1">
        <f t="array" ref="W1777">_xlfn.IFS(U1777="January",1,U1777="February",2,U1777="March",3,U1777="April",4,U1777="May",5,U1777="June",6,U1777="July",7,U1777="August",8,U1777="September",9,U1777="October",10,U1777="November",11,U1777="December",12)</f>
        <v>#N/A</v>
      </c>
    </row>
    <row r="1778" spans="1:23" ht="15.75" customHeight="1" x14ac:dyDescent="0.25">
      <c r="A1778" s="2" t="s">
        <v>637</v>
      </c>
      <c r="B1778" s="3">
        <v>45617.958738425928</v>
      </c>
      <c r="C1778" s="2" t="s">
        <v>638</v>
      </c>
      <c r="D1778" s="2" t="s">
        <v>195</v>
      </c>
      <c r="E1778" s="2" t="s">
        <v>34</v>
      </c>
      <c r="F1778" s="2" t="str" cm="1">
        <f t="array" ref="F1778:G1778">_xlfn.TEXTSPLIT(E1778," - ")</f>
        <v>Minyak Goreng</v>
      </c>
      <c r="G1778" s="2" t="str">
        <v>Brand A</v>
      </c>
      <c r="H1778" s="5">
        <v>16000</v>
      </c>
      <c r="I1778" s="2">
        <v>2</v>
      </c>
      <c r="J1778" s="2">
        <v>10</v>
      </c>
      <c r="K1778" s="8">
        <f t="shared" si="162"/>
        <v>32000</v>
      </c>
      <c r="L1778" s="8">
        <f t="shared" si="163"/>
        <v>3200</v>
      </c>
      <c r="M1778" s="8">
        <f t="shared" si="164"/>
        <v>28800</v>
      </c>
      <c r="N1778" s="5">
        <v>87000</v>
      </c>
      <c r="O1778" s="8">
        <f t="shared" si="165"/>
        <v>115800</v>
      </c>
      <c r="P1778" s="2" t="s">
        <v>22</v>
      </c>
      <c r="Q1778" s="10" t="str">
        <f>VLOOKUP(A1778,Status!A:B,2,0)</f>
        <v>Completed</v>
      </c>
      <c r="R1778" s="2" t="s">
        <v>46</v>
      </c>
      <c r="S1778" s="2">
        <v>5</v>
      </c>
      <c r="T1778" s="2" t="s">
        <v>37</v>
      </c>
      <c r="U1778" s="10" t="str">
        <f t="shared" si="167"/>
        <v>Nov</v>
      </c>
      <c r="V1778" s="10">
        <f t="shared" si="166"/>
        <v>2024</v>
      </c>
      <c r="W1778" t="e" cm="1">
        <f t="array" ref="W1778">_xlfn.IFS(U1778="January",1,U1778="February",2,U1778="March",3,U1778="April",4,U1778="May",5,U1778="June",6,U1778="July",7,U1778="August",8,U1778="September",9,U1778="October",10,U1778="November",11,U1778="December",12)</f>
        <v>#N/A</v>
      </c>
    </row>
    <row r="1779" spans="1:23" ht="15.75" customHeight="1" x14ac:dyDescent="0.25">
      <c r="A1779" s="2" t="s">
        <v>639</v>
      </c>
      <c r="B1779" s="3">
        <v>45618.118530092594</v>
      </c>
      <c r="C1779" s="2" t="s">
        <v>523</v>
      </c>
      <c r="D1779" s="2" t="s">
        <v>113</v>
      </c>
      <c r="E1779" s="2" t="s">
        <v>67</v>
      </c>
      <c r="F1779" s="2" t="str" cm="1">
        <f t="array" ref="F1779:G1779">_xlfn.TEXTSPLIT(E1779," - ")</f>
        <v>Beras</v>
      </c>
      <c r="G1779" s="2" t="str">
        <v>Brand B</v>
      </c>
      <c r="H1779" s="5">
        <v>15000</v>
      </c>
      <c r="I1779" s="2">
        <v>3</v>
      </c>
      <c r="J1779" s="2">
        <v>0</v>
      </c>
      <c r="K1779" s="8">
        <f t="shared" si="162"/>
        <v>45000</v>
      </c>
      <c r="L1779" s="8">
        <f t="shared" si="163"/>
        <v>0</v>
      </c>
      <c r="M1779" s="8">
        <f t="shared" si="164"/>
        <v>45000</v>
      </c>
      <c r="N1779" s="5">
        <v>18000</v>
      </c>
      <c r="O1779" s="8">
        <f t="shared" si="165"/>
        <v>63000</v>
      </c>
      <c r="P1779" s="2" t="s">
        <v>63</v>
      </c>
      <c r="Q1779" s="10" t="str">
        <f>VLOOKUP(A1779,Status!A:B,2,0)</f>
        <v>Completed</v>
      </c>
      <c r="R1779" s="2" t="s">
        <v>46</v>
      </c>
      <c r="S1779" s="2">
        <v>5</v>
      </c>
      <c r="T1779" s="2" t="s">
        <v>24</v>
      </c>
      <c r="U1779" s="10" t="str">
        <f t="shared" si="167"/>
        <v>Nov</v>
      </c>
      <c r="V1779" s="10">
        <f t="shared" si="166"/>
        <v>2024</v>
      </c>
      <c r="W1779" t="e" cm="1">
        <f t="array" ref="W1779">_xlfn.IFS(U1779="January",1,U1779="February",2,U1779="March",3,U1779="April",4,U1779="May",5,U1779="June",6,U1779="July",7,U1779="August",8,U1779="September",9,U1779="October",10,U1779="November",11,U1779="December",12)</f>
        <v>#N/A</v>
      </c>
    </row>
    <row r="1780" spans="1:23" ht="15.75" customHeight="1" x14ac:dyDescent="0.25">
      <c r="A1780" s="2" t="s">
        <v>640</v>
      </c>
      <c r="B1780" s="3">
        <v>45618.215092592603</v>
      </c>
      <c r="C1780" s="2" t="s">
        <v>513</v>
      </c>
      <c r="D1780" s="2" t="s">
        <v>182</v>
      </c>
      <c r="E1780" s="2" t="s">
        <v>123</v>
      </c>
      <c r="F1780" s="2" t="str" cm="1">
        <f t="array" ref="F1780:G1780">_xlfn.TEXTSPLIT(E1780," - ")</f>
        <v>Telur Ayam</v>
      </c>
      <c r="G1780" s="2" t="str">
        <v>Brand A</v>
      </c>
      <c r="H1780" s="5">
        <v>22000</v>
      </c>
      <c r="I1780" s="2">
        <v>5</v>
      </c>
      <c r="J1780" s="2">
        <v>0</v>
      </c>
      <c r="K1780" s="8">
        <f t="shared" si="162"/>
        <v>110000</v>
      </c>
      <c r="L1780" s="8">
        <f t="shared" si="163"/>
        <v>0</v>
      </c>
      <c r="M1780" s="8">
        <f t="shared" si="164"/>
        <v>110000</v>
      </c>
      <c r="N1780" s="5">
        <v>48000</v>
      </c>
      <c r="O1780" s="8">
        <f t="shared" si="165"/>
        <v>158000</v>
      </c>
      <c r="P1780" s="2" t="s">
        <v>29</v>
      </c>
      <c r="Q1780" s="10" t="str">
        <f>VLOOKUP(A1780,Status!A:B,2,0)</f>
        <v>Completed</v>
      </c>
      <c r="R1780" s="2" t="s">
        <v>23</v>
      </c>
      <c r="S1780" s="2">
        <v>1</v>
      </c>
      <c r="T1780" s="2" t="s">
        <v>24</v>
      </c>
      <c r="U1780" s="10" t="str">
        <f t="shared" si="167"/>
        <v>Nov</v>
      </c>
      <c r="V1780" s="10">
        <f t="shared" si="166"/>
        <v>2024</v>
      </c>
      <c r="W1780" t="e" cm="1">
        <f t="array" ref="W1780">_xlfn.IFS(U1780="January",1,U1780="February",2,U1780="March",3,U1780="April",4,U1780="May",5,U1780="June",6,U1780="July",7,U1780="August",8,U1780="September",9,U1780="October",10,U1780="November",11,U1780="December",12)</f>
        <v>#N/A</v>
      </c>
    </row>
    <row r="1781" spans="1:23" ht="15.75" customHeight="1" x14ac:dyDescent="0.25">
      <c r="A1781" s="2" t="s">
        <v>641</v>
      </c>
      <c r="B1781" s="3">
        <v>45618.394178240742</v>
      </c>
      <c r="C1781" s="2" t="s">
        <v>642</v>
      </c>
      <c r="D1781" s="2" t="s">
        <v>160</v>
      </c>
      <c r="E1781" s="2" t="s">
        <v>75</v>
      </c>
      <c r="F1781" s="2" t="str" cm="1">
        <f t="array" ref="F1781:G1781">_xlfn.TEXTSPLIT(E1781," - ")</f>
        <v>Susu Bubuk</v>
      </c>
      <c r="G1781" s="2" t="str">
        <v>Brand C</v>
      </c>
      <c r="H1781" s="5">
        <v>55000</v>
      </c>
      <c r="I1781" s="2">
        <v>2</v>
      </c>
      <c r="J1781" s="2">
        <v>5</v>
      </c>
      <c r="K1781" s="8">
        <f t="shared" si="162"/>
        <v>110000</v>
      </c>
      <c r="L1781" s="8">
        <f t="shared" si="163"/>
        <v>5500</v>
      </c>
      <c r="M1781" s="8">
        <f t="shared" si="164"/>
        <v>104500</v>
      </c>
      <c r="N1781" s="5">
        <v>68000</v>
      </c>
      <c r="O1781" s="8">
        <f t="shared" si="165"/>
        <v>172500</v>
      </c>
      <c r="P1781" s="2" t="s">
        <v>22</v>
      </c>
      <c r="Q1781" s="10" t="str">
        <f>VLOOKUP(A1781,Status!A:B,2,0)</f>
        <v>Completed</v>
      </c>
      <c r="R1781" s="2" t="s">
        <v>30</v>
      </c>
      <c r="S1781" s="2">
        <v>2</v>
      </c>
      <c r="T1781" s="2" t="s">
        <v>24</v>
      </c>
      <c r="U1781" s="10" t="str">
        <f t="shared" si="167"/>
        <v>Nov</v>
      </c>
      <c r="V1781" s="10">
        <f t="shared" si="166"/>
        <v>2024</v>
      </c>
      <c r="W1781" t="e" cm="1">
        <f t="array" ref="W1781">_xlfn.IFS(U1781="January",1,U1781="February",2,U1781="March",3,U1781="April",4,U1781="May",5,U1781="June",6,U1781="July",7,U1781="August",8,U1781="September",9,U1781="October",10,U1781="November",11,U1781="December",12)</f>
        <v>#N/A</v>
      </c>
    </row>
    <row r="1782" spans="1:23" ht="15.75" customHeight="1" x14ac:dyDescent="0.25">
      <c r="A1782" s="2" t="s">
        <v>643</v>
      </c>
      <c r="B1782" s="3">
        <v>45618.446053240739</v>
      </c>
      <c r="C1782" s="2" t="s">
        <v>644</v>
      </c>
      <c r="D1782" s="2" t="s">
        <v>244</v>
      </c>
      <c r="E1782" s="2" t="s">
        <v>186</v>
      </c>
      <c r="F1782" s="2" t="str" cm="1">
        <f t="array" ref="F1782:G1782">_xlfn.TEXTSPLIT(E1782," - ")</f>
        <v>Susu Bubuk</v>
      </c>
      <c r="G1782" s="2" t="str">
        <v>Brand A</v>
      </c>
      <c r="H1782" s="5">
        <v>45000</v>
      </c>
      <c r="I1782" s="2">
        <v>5</v>
      </c>
      <c r="J1782" s="2">
        <v>15</v>
      </c>
      <c r="K1782" s="8">
        <f t="shared" si="162"/>
        <v>225000</v>
      </c>
      <c r="L1782" s="8">
        <f t="shared" si="163"/>
        <v>33750</v>
      </c>
      <c r="M1782" s="8">
        <f t="shared" si="164"/>
        <v>191250</v>
      </c>
      <c r="N1782" s="5">
        <v>80000</v>
      </c>
      <c r="O1782" s="8">
        <f t="shared" si="165"/>
        <v>271250</v>
      </c>
      <c r="P1782" s="2" t="s">
        <v>63</v>
      </c>
      <c r="Q1782" s="10" t="str">
        <f>VLOOKUP(A1782,Status!A:B,2,0)</f>
        <v>Completed</v>
      </c>
      <c r="R1782" s="2" t="s">
        <v>36</v>
      </c>
      <c r="S1782" s="2">
        <v>2</v>
      </c>
      <c r="T1782" s="2" t="s">
        <v>24</v>
      </c>
      <c r="U1782" s="10" t="str">
        <f t="shared" si="167"/>
        <v>Nov</v>
      </c>
      <c r="V1782" s="10">
        <f t="shared" si="166"/>
        <v>2024</v>
      </c>
      <c r="W1782" t="e" cm="1">
        <f t="array" ref="W1782">_xlfn.IFS(U1782="January",1,U1782="February",2,U1782="March",3,U1782="April",4,U1782="May",5,U1782="June",6,U1782="July",7,U1782="August",8,U1782="September",9,U1782="October",10,U1782="November",11,U1782="December",12)</f>
        <v>#N/A</v>
      </c>
    </row>
    <row r="1783" spans="1:23" ht="15.75" customHeight="1" x14ac:dyDescent="0.25">
      <c r="A1783" s="2" t="s">
        <v>645</v>
      </c>
      <c r="B1783" s="3">
        <v>45618.534259259257</v>
      </c>
      <c r="C1783" s="2" t="s">
        <v>261</v>
      </c>
      <c r="D1783" s="2" t="s">
        <v>262</v>
      </c>
      <c r="E1783" s="2" t="s">
        <v>136</v>
      </c>
      <c r="F1783" s="2" t="str" cm="1">
        <f t="array" ref="F1783:G1783">_xlfn.TEXTSPLIT(E1783," - ")</f>
        <v>Tepung Terigu</v>
      </c>
      <c r="G1783" s="2" t="str">
        <v>Brand B</v>
      </c>
      <c r="H1783" s="5">
        <v>12000</v>
      </c>
      <c r="I1783" s="2">
        <v>5</v>
      </c>
      <c r="J1783" s="2">
        <v>15</v>
      </c>
      <c r="K1783" s="8">
        <f t="shared" si="162"/>
        <v>60000</v>
      </c>
      <c r="L1783" s="8">
        <f t="shared" si="163"/>
        <v>9000</v>
      </c>
      <c r="M1783" s="8">
        <f t="shared" si="164"/>
        <v>51000</v>
      </c>
      <c r="N1783" s="5">
        <v>18000</v>
      </c>
      <c r="O1783" s="8">
        <f t="shared" si="165"/>
        <v>69000</v>
      </c>
      <c r="P1783" s="2" t="s">
        <v>29</v>
      </c>
      <c r="Q1783" s="10" t="str">
        <f>VLOOKUP(A1783,Status!A:B,2,0)</f>
        <v>Completed</v>
      </c>
      <c r="R1783" s="2" t="s">
        <v>23</v>
      </c>
      <c r="S1783" s="2">
        <v>5</v>
      </c>
      <c r="T1783" s="2" t="s">
        <v>24</v>
      </c>
      <c r="U1783" s="10" t="str">
        <f t="shared" si="167"/>
        <v>Nov</v>
      </c>
      <c r="V1783" s="10">
        <f t="shared" si="166"/>
        <v>2024</v>
      </c>
      <c r="W1783" t="e" cm="1">
        <f t="array" ref="W1783">_xlfn.IFS(U1783="January",1,U1783="February",2,U1783="March",3,U1783="April",4,U1783="May",5,U1783="June",6,U1783="July",7,U1783="August",8,U1783="September",9,U1783="October",10,U1783="November",11,U1783="December",12)</f>
        <v>#N/A</v>
      </c>
    </row>
    <row r="1784" spans="1:23" ht="15.75" customHeight="1" x14ac:dyDescent="0.25">
      <c r="A1784" s="2" t="s">
        <v>645</v>
      </c>
      <c r="B1784" s="3">
        <v>45618.534259259257</v>
      </c>
      <c r="C1784" s="2" t="s">
        <v>261</v>
      </c>
      <c r="D1784" s="2" t="s">
        <v>262</v>
      </c>
      <c r="E1784" s="2" t="s">
        <v>38</v>
      </c>
      <c r="F1784" s="2" t="str" cm="1">
        <f t="array" ref="F1784:G1784">_xlfn.TEXTSPLIT(E1784," - ")</f>
        <v>Telur Ayam</v>
      </c>
      <c r="G1784" s="2" t="str">
        <v>Brand C</v>
      </c>
      <c r="H1784" s="5">
        <v>28000</v>
      </c>
      <c r="I1784" s="2">
        <v>2</v>
      </c>
      <c r="J1784" s="2">
        <v>5</v>
      </c>
      <c r="K1784" s="8">
        <f t="shared" si="162"/>
        <v>56000</v>
      </c>
      <c r="L1784" s="8">
        <f t="shared" si="163"/>
        <v>2800</v>
      </c>
      <c r="M1784" s="8">
        <f t="shared" si="164"/>
        <v>53200</v>
      </c>
      <c r="N1784" s="5">
        <v>0</v>
      </c>
      <c r="O1784" s="8">
        <f t="shared" si="165"/>
        <v>53200</v>
      </c>
      <c r="P1784" s="2" t="s">
        <v>29</v>
      </c>
      <c r="Q1784" s="10" t="str">
        <f>VLOOKUP(A1784,Status!A:B,2,0)</f>
        <v>Completed</v>
      </c>
      <c r="R1784" s="2" t="s">
        <v>23</v>
      </c>
      <c r="S1784" s="2">
        <v>5</v>
      </c>
      <c r="T1784" s="2" t="s">
        <v>24</v>
      </c>
      <c r="U1784" s="10" t="str">
        <f t="shared" si="167"/>
        <v>Nov</v>
      </c>
      <c r="V1784" s="10">
        <f t="shared" si="166"/>
        <v>2024</v>
      </c>
      <c r="W1784" t="e" cm="1">
        <f t="array" ref="W1784">_xlfn.IFS(U1784="January",1,U1784="February",2,U1784="March",3,U1784="April",4,U1784="May",5,U1784="June",6,U1784="July",7,U1784="August",8,U1784="September",9,U1784="October",10,U1784="November",11,U1784="December",12)</f>
        <v>#N/A</v>
      </c>
    </row>
    <row r="1785" spans="1:23" ht="15.75" customHeight="1" x14ac:dyDescent="0.25">
      <c r="A1785" s="2" t="s">
        <v>646</v>
      </c>
      <c r="B1785" s="3">
        <v>45618.840358796297</v>
      </c>
      <c r="C1785" s="2" t="s">
        <v>551</v>
      </c>
      <c r="D1785" s="2" t="s">
        <v>262</v>
      </c>
      <c r="E1785" s="2" t="s">
        <v>50</v>
      </c>
      <c r="F1785" s="2" t="str" cm="1">
        <f t="array" ref="F1785:G1785">_xlfn.TEXTSPLIT(E1785," - ")</f>
        <v>Tepung Terigu</v>
      </c>
      <c r="G1785" s="2" t="str">
        <v>Brand C</v>
      </c>
      <c r="H1785" s="5">
        <v>14000</v>
      </c>
      <c r="I1785" s="2">
        <v>1</v>
      </c>
      <c r="J1785" s="2">
        <v>15</v>
      </c>
      <c r="K1785" s="8">
        <f t="shared" si="162"/>
        <v>14000</v>
      </c>
      <c r="L1785" s="8">
        <f t="shared" si="163"/>
        <v>2100</v>
      </c>
      <c r="M1785" s="8">
        <f t="shared" si="164"/>
        <v>11900</v>
      </c>
      <c r="N1785" s="5">
        <v>18000</v>
      </c>
      <c r="O1785" s="8">
        <f t="shared" si="165"/>
        <v>29900</v>
      </c>
      <c r="P1785" s="2" t="s">
        <v>63</v>
      </c>
      <c r="Q1785" s="10" t="str">
        <f>VLOOKUP(A1785,Status!A:B,2,0)</f>
        <v>Completed</v>
      </c>
      <c r="R1785" s="2" t="s">
        <v>30</v>
      </c>
      <c r="S1785" s="2">
        <v>5</v>
      </c>
      <c r="T1785" s="2" t="s">
        <v>37</v>
      </c>
      <c r="U1785" s="10" t="str">
        <f t="shared" si="167"/>
        <v>Nov</v>
      </c>
      <c r="V1785" s="10">
        <f t="shared" si="166"/>
        <v>2024</v>
      </c>
      <c r="W1785" t="e" cm="1">
        <f t="array" ref="W1785">_xlfn.IFS(U1785="January",1,U1785="February",2,U1785="March",3,U1785="April",4,U1785="May",5,U1785="June",6,U1785="July",7,U1785="August",8,U1785="September",9,U1785="October",10,U1785="November",11,U1785="December",12)</f>
        <v>#N/A</v>
      </c>
    </row>
    <row r="1786" spans="1:23" ht="15.75" customHeight="1" x14ac:dyDescent="0.25">
      <c r="A1786" s="2" t="s">
        <v>647</v>
      </c>
      <c r="B1786" s="3">
        <v>45618.88616898148</v>
      </c>
      <c r="C1786" s="2" t="s">
        <v>615</v>
      </c>
      <c r="D1786" s="2" t="s">
        <v>92</v>
      </c>
      <c r="E1786" s="2" t="s">
        <v>104</v>
      </c>
      <c r="F1786" s="2" t="str" cm="1">
        <f t="array" ref="F1786:G1786">_xlfn.TEXTSPLIT(E1786," - ")</f>
        <v>Bawang Merah</v>
      </c>
      <c r="G1786" s="2" t="str">
        <v>Brand A</v>
      </c>
      <c r="H1786" s="5">
        <v>30000</v>
      </c>
      <c r="I1786" s="2">
        <v>4</v>
      </c>
      <c r="J1786" s="2">
        <v>15</v>
      </c>
      <c r="K1786" s="8">
        <f t="shared" si="162"/>
        <v>120000</v>
      </c>
      <c r="L1786" s="8">
        <f t="shared" si="163"/>
        <v>18000</v>
      </c>
      <c r="M1786" s="8">
        <f t="shared" si="164"/>
        <v>102000</v>
      </c>
      <c r="N1786" s="5">
        <v>30000</v>
      </c>
      <c r="O1786" s="8">
        <f t="shared" si="165"/>
        <v>132000</v>
      </c>
      <c r="P1786" s="2" t="s">
        <v>35</v>
      </c>
      <c r="Q1786" s="10" t="str">
        <f>VLOOKUP(A1786,Status!A:B,2,0)</f>
        <v>Completed</v>
      </c>
      <c r="R1786" s="2" t="s">
        <v>46</v>
      </c>
      <c r="S1786" s="2">
        <v>2</v>
      </c>
      <c r="T1786" s="2" t="s">
        <v>24</v>
      </c>
      <c r="U1786" s="10" t="str">
        <f t="shared" si="167"/>
        <v>Nov</v>
      </c>
      <c r="V1786" s="10">
        <f t="shared" si="166"/>
        <v>2024</v>
      </c>
      <c r="W1786" t="e" cm="1">
        <f t="array" ref="W1786">_xlfn.IFS(U1786="January",1,U1786="February",2,U1786="March",3,U1786="April",4,U1786="May",5,U1786="June",6,U1786="July",7,U1786="August",8,U1786="September",9,U1786="October",10,U1786="November",11,U1786="December",12)</f>
        <v>#N/A</v>
      </c>
    </row>
    <row r="1787" spans="1:23" ht="15.75" customHeight="1" x14ac:dyDescent="0.25">
      <c r="A1787" s="2" t="s">
        <v>648</v>
      </c>
      <c r="B1787" s="3">
        <v>45618.896921296298</v>
      </c>
      <c r="C1787" s="2" t="s">
        <v>649</v>
      </c>
      <c r="D1787" s="2" t="s">
        <v>177</v>
      </c>
      <c r="E1787" s="2" t="s">
        <v>45</v>
      </c>
      <c r="F1787" s="2" t="str" cm="1">
        <f t="array" ref="F1787:G1787">_xlfn.TEXTSPLIT(E1787," - ")</f>
        <v>Daging Ayam</v>
      </c>
      <c r="G1787" s="2" t="str">
        <v>Brand B</v>
      </c>
      <c r="H1787" s="5">
        <v>40000</v>
      </c>
      <c r="I1787" s="2">
        <v>3</v>
      </c>
      <c r="J1787" s="2">
        <v>5</v>
      </c>
      <c r="K1787" s="8">
        <f t="shared" si="162"/>
        <v>120000</v>
      </c>
      <c r="L1787" s="8">
        <f t="shared" si="163"/>
        <v>6000</v>
      </c>
      <c r="M1787" s="8">
        <f t="shared" si="164"/>
        <v>114000</v>
      </c>
      <c r="N1787" s="5">
        <v>56000</v>
      </c>
      <c r="O1787" s="8">
        <f t="shared" si="165"/>
        <v>170000</v>
      </c>
      <c r="P1787" s="2" t="s">
        <v>22</v>
      </c>
      <c r="Q1787" s="10" t="str">
        <f>VLOOKUP(A1787,Status!A:B,2,0)</f>
        <v>Completed</v>
      </c>
      <c r="R1787" s="2" t="s">
        <v>46</v>
      </c>
      <c r="S1787" s="2">
        <v>1</v>
      </c>
      <c r="T1787" s="2" t="s">
        <v>24</v>
      </c>
      <c r="U1787" s="10" t="str">
        <f t="shared" si="167"/>
        <v>Nov</v>
      </c>
      <c r="V1787" s="10">
        <f t="shared" si="166"/>
        <v>2024</v>
      </c>
      <c r="W1787" t="e" cm="1">
        <f t="array" ref="W1787">_xlfn.IFS(U1787="January",1,U1787="February",2,U1787="March",3,U1787="April",4,U1787="May",5,U1787="June",6,U1787="July",7,U1787="August",8,U1787="September",9,U1787="October",10,U1787="November",11,U1787="December",12)</f>
        <v>#N/A</v>
      </c>
    </row>
    <row r="1788" spans="1:23" ht="15.75" customHeight="1" x14ac:dyDescent="0.25">
      <c r="A1788" s="2" t="s">
        <v>648</v>
      </c>
      <c r="B1788" s="3">
        <v>45618.896921296298</v>
      </c>
      <c r="C1788" s="2" t="s">
        <v>649</v>
      </c>
      <c r="D1788" s="2" t="s">
        <v>177</v>
      </c>
      <c r="E1788" s="2" t="s">
        <v>45</v>
      </c>
      <c r="F1788" s="2" t="str" cm="1">
        <f t="array" ref="F1788:G1788">_xlfn.TEXTSPLIT(E1788," - ")</f>
        <v>Daging Ayam</v>
      </c>
      <c r="G1788" s="2" t="str">
        <v>Brand B</v>
      </c>
      <c r="H1788" s="5">
        <v>40000</v>
      </c>
      <c r="I1788" s="2">
        <v>3</v>
      </c>
      <c r="J1788" s="2">
        <v>5</v>
      </c>
      <c r="K1788" s="8">
        <f t="shared" si="162"/>
        <v>120000</v>
      </c>
      <c r="L1788" s="8">
        <f t="shared" si="163"/>
        <v>6000</v>
      </c>
      <c r="M1788" s="8">
        <f t="shared" si="164"/>
        <v>114000</v>
      </c>
      <c r="N1788" s="5">
        <v>0</v>
      </c>
      <c r="O1788" s="8">
        <f t="shared" si="165"/>
        <v>114000</v>
      </c>
      <c r="P1788" s="2" t="s">
        <v>22</v>
      </c>
      <c r="Q1788" s="10" t="str">
        <f>VLOOKUP(A1788,Status!A:B,2,0)</f>
        <v>Completed</v>
      </c>
      <c r="R1788" s="2" t="s">
        <v>46</v>
      </c>
      <c r="S1788" s="2">
        <v>1</v>
      </c>
      <c r="T1788" s="2" t="s">
        <v>24</v>
      </c>
      <c r="U1788" s="10" t="str">
        <f t="shared" si="167"/>
        <v>Nov</v>
      </c>
      <c r="V1788" s="10">
        <f t="shared" si="166"/>
        <v>2024</v>
      </c>
      <c r="W1788" t="e" cm="1">
        <f t="array" ref="W1788">_xlfn.IFS(U1788="January",1,U1788="February",2,U1788="March",3,U1788="April",4,U1788="May",5,U1788="June",6,U1788="July",7,U1788="August",8,U1788="September",9,U1788="October",10,U1788="November",11,U1788="December",12)</f>
        <v>#N/A</v>
      </c>
    </row>
    <row r="1789" spans="1:23" ht="15.75" customHeight="1" x14ac:dyDescent="0.25">
      <c r="A1789" s="2" t="s">
        <v>650</v>
      </c>
      <c r="B1789" s="3">
        <v>45618.925833333327</v>
      </c>
      <c r="C1789" s="2" t="s">
        <v>651</v>
      </c>
      <c r="D1789" s="2" t="s">
        <v>182</v>
      </c>
      <c r="E1789" s="2" t="s">
        <v>88</v>
      </c>
      <c r="F1789" s="2" t="str" cm="1">
        <f t="array" ref="F1789:G1789">_xlfn.TEXTSPLIT(E1789," - ")</f>
        <v>Beras</v>
      </c>
      <c r="G1789" s="2" t="str">
        <v>Brand A</v>
      </c>
      <c r="H1789" s="5">
        <v>14000</v>
      </c>
      <c r="I1789" s="2">
        <v>1</v>
      </c>
      <c r="J1789" s="2">
        <v>15</v>
      </c>
      <c r="K1789" s="8">
        <f t="shared" si="162"/>
        <v>14000</v>
      </c>
      <c r="L1789" s="8">
        <f t="shared" si="163"/>
        <v>2100</v>
      </c>
      <c r="M1789" s="8">
        <f t="shared" si="164"/>
        <v>11900</v>
      </c>
      <c r="N1789" s="5">
        <v>48000</v>
      </c>
      <c r="O1789" s="8">
        <f t="shared" si="165"/>
        <v>59900</v>
      </c>
      <c r="P1789" s="2" t="s">
        <v>22</v>
      </c>
      <c r="Q1789" s="10" t="str">
        <f>VLOOKUP(A1789,Status!A:B,2,0)</f>
        <v>Returned</v>
      </c>
      <c r="R1789" s="2" t="s">
        <v>46</v>
      </c>
      <c r="S1789" s="2">
        <v>1</v>
      </c>
      <c r="T1789" s="2" t="s">
        <v>37</v>
      </c>
      <c r="U1789" s="10" t="str">
        <f t="shared" si="167"/>
        <v>Nov</v>
      </c>
      <c r="V1789" s="10">
        <f t="shared" si="166"/>
        <v>2024</v>
      </c>
      <c r="W1789" t="e" cm="1">
        <f t="array" ref="W1789">_xlfn.IFS(U1789="January",1,U1789="February",2,U1789="March",3,U1789="April",4,U1789="May",5,U1789="June",6,U1789="July",7,U1789="August",8,U1789="September",9,U1789="October",10,U1789="November",11,U1789="December",12)</f>
        <v>#N/A</v>
      </c>
    </row>
    <row r="1790" spans="1:23" ht="15.75" customHeight="1" x14ac:dyDescent="0.25">
      <c r="A1790" s="2" t="s">
        <v>652</v>
      </c>
      <c r="B1790" s="3">
        <v>45619.086608796293</v>
      </c>
      <c r="C1790" s="2" t="s">
        <v>439</v>
      </c>
      <c r="D1790" s="2" t="s">
        <v>119</v>
      </c>
      <c r="E1790" s="2" t="s">
        <v>186</v>
      </c>
      <c r="F1790" s="2" t="str" cm="1">
        <f t="array" ref="F1790:G1790">_xlfn.TEXTSPLIT(E1790," - ")</f>
        <v>Susu Bubuk</v>
      </c>
      <c r="G1790" s="2" t="str">
        <v>Brand A</v>
      </c>
      <c r="H1790" s="5">
        <v>45000</v>
      </c>
      <c r="I1790" s="2">
        <v>5</v>
      </c>
      <c r="J1790" s="2">
        <v>5</v>
      </c>
      <c r="K1790" s="8">
        <f t="shared" si="162"/>
        <v>225000</v>
      </c>
      <c r="L1790" s="8">
        <f t="shared" si="163"/>
        <v>11250</v>
      </c>
      <c r="M1790" s="8">
        <f t="shared" si="164"/>
        <v>213750</v>
      </c>
      <c r="N1790" s="5">
        <v>0</v>
      </c>
      <c r="O1790" s="8">
        <f t="shared" si="165"/>
        <v>213750</v>
      </c>
      <c r="P1790" s="2" t="s">
        <v>35</v>
      </c>
      <c r="Q1790" s="10" t="str">
        <f>VLOOKUP(A1790,Status!A:B,2,0)</f>
        <v>Completed</v>
      </c>
      <c r="R1790" s="2" t="s">
        <v>82</v>
      </c>
      <c r="S1790" s="2">
        <v>5</v>
      </c>
      <c r="T1790" s="2" t="s">
        <v>37</v>
      </c>
      <c r="U1790" s="10" t="str">
        <f t="shared" si="167"/>
        <v>Nov</v>
      </c>
      <c r="V1790" s="10">
        <f t="shared" si="166"/>
        <v>2024</v>
      </c>
      <c r="W1790" t="e" cm="1">
        <f t="array" ref="W1790">_xlfn.IFS(U1790="January",1,U1790="February",2,U1790="March",3,U1790="April",4,U1790="May",5,U1790="June",6,U1790="July",7,U1790="August",8,U1790="September",9,U1790="October",10,U1790="November",11,U1790="December",12)</f>
        <v>#N/A</v>
      </c>
    </row>
    <row r="1791" spans="1:23" ht="15.75" customHeight="1" x14ac:dyDescent="0.25">
      <c r="A1791" s="2" t="s">
        <v>653</v>
      </c>
      <c r="B1791" s="3">
        <v>45619.327951388892</v>
      </c>
      <c r="C1791" s="2" t="s">
        <v>654</v>
      </c>
      <c r="D1791" s="2" t="s">
        <v>375</v>
      </c>
      <c r="E1791" s="2" t="s">
        <v>67</v>
      </c>
      <c r="F1791" s="2" t="str" cm="1">
        <f t="array" ref="F1791:G1791">_xlfn.TEXTSPLIT(E1791," - ")</f>
        <v>Beras</v>
      </c>
      <c r="G1791" s="2" t="str">
        <v>Brand B</v>
      </c>
      <c r="H1791" s="5">
        <v>15000</v>
      </c>
      <c r="I1791" s="2">
        <v>2</v>
      </c>
      <c r="J1791" s="2">
        <v>0</v>
      </c>
      <c r="K1791" s="8">
        <f t="shared" si="162"/>
        <v>30000</v>
      </c>
      <c r="L1791" s="8">
        <f t="shared" si="163"/>
        <v>0</v>
      </c>
      <c r="M1791" s="8">
        <f t="shared" si="164"/>
        <v>30000</v>
      </c>
      <c r="N1791" s="5">
        <v>21000</v>
      </c>
      <c r="O1791" s="8">
        <f t="shared" si="165"/>
        <v>51000</v>
      </c>
      <c r="P1791" s="2" t="s">
        <v>22</v>
      </c>
      <c r="Q1791" s="10" t="str">
        <f>VLOOKUP(A1791,Status!A:B,2,0)</f>
        <v>Completed</v>
      </c>
      <c r="R1791" s="2" t="s">
        <v>82</v>
      </c>
      <c r="S1791" s="2">
        <v>1</v>
      </c>
      <c r="T1791" s="2" t="s">
        <v>24</v>
      </c>
      <c r="U1791" s="10" t="str">
        <f t="shared" si="167"/>
        <v>Nov</v>
      </c>
      <c r="V1791" s="10">
        <f t="shared" si="166"/>
        <v>2024</v>
      </c>
      <c r="W1791" t="e" cm="1">
        <f t="array" ref="W1791">_xlfn.IFS(U1791="January",1,U1791="February",2,U1791="March",3,U1791="April",4,U1791="May",5,U1791="June",6,U1791="July",7,U1791="August",8,U1791="September",9,U1791="October",10,U1791="November",11,U1791="December",12)</f>
        <v>#N/A</v>
      </c>
    </row>
    <row r="1792" spans="1:23" ht="15.75" customHeight="1" x14ac:dyDescent="0.25">
      <c r="A1792" s="2" t="s">
        <v>655</v>
      </c>
      <c r="B1792" s="3">
        <v>45619.772673611107</v>
      </c>
      <c r="C1792" s="2" t="s">
        <v>656</v>
      </c>
      <c r="D1792" s="2" t="s">
        <v>195</v>
      </c>
      <c r="E1792" s="2" t="s">
        <v>45</v>
      </c>
      <c r="F1792" s="2" t="str" cm="1">
        <f t="array" ref="F1792:G1792">_xlfn.TEXTSPLIT(E1792," - ")</f>
        <v>Daging Ayam</v>
      </c>
      <c r="G1792" s="2" t="str">
        <v>Brand B</v>
      </c>
      <c r="H1792" s="5">
        <v>40000</v>
      </c>
      <c r="I1792" s="2">
        <v>3</v>
      </c>
      <c r="J1792" s="2">
        <v>0</v>
      </c>
      <c r="K1792" s="8">
        <f t="shared" si="162"/>
        <v>120000</v>
      </c>
      <c r="L1792" s="8">
        <f t="shared" si="163"/>
        <v>0</v>
      </c>
      <c r="M1792" s="8">
        <f t="shared" si="164"/>
        <v>120000</v>
      </c>
      <c r="N1792" s="5">
        <v>87000</v>
      </c>
      <c r="O1792" s="8">
        <f t="shared" si="165"/>
        <v>207000</v>
      </c>
      <c r="P1792" s="2" t="s">
        <v>63</v>
      </c>
      <c r="Q1792" s="10" t="str">
        <f>VLOOKUP(A1792,Status!A:B,2,0)</f>
        <v>Completed</v>
      </c>
      <c r="R1792" s="2" t="s">
        <v>46</v>
      </c>
      <c r="S1792" s="2">
        <v>2</v>
      </c>
      <c r="T1792" s="2" t="s">
        <v>37</v>
      </c>
      <c r="U1792" s="10" t="str">
        <f t="shared" si="167"/>
        <v>Nov</v>
      </c>
      <c r="V1792" s="10">
        <f t="shared" si="166"/>
        <v>2024</v>
      </c>
      <c r="W1792" t="e" cm="1">
        <f t="array" ref="W1792">_xlfn.IFS(U1792="January",1,U1792="February",2,U1792="March",3,U1792="April",4,U1792="May",5,U1792="June",6,U1792="July",7,U1792="August",8,U1792="September",9,U1792="October",10,U1792="November",11,U1792="December",12)</f>
        <v>#N/A</v>
      </c>
    </row>
    <row r="1793" spans="1:23" ht="15.75" customHeight="1" x14ac:dyDescent="0.25">
      <c r="A1793" s="2" t="s">
        <v>657</v>
      </c>
      <c r="B1793" s="3">
        <v>45619.772916666669</v>
      </c>
      <c r="C1793" s="2" t="s">
        <v>211</v>
      </c>
      <c r="D1793" s="2" t="s">
        <v>49</v>
      </c>
      <c r="E1793" s="2" t="s">
        <v>34</v>
      </c>
      <c r="F1793" s="2" t="str" cm="1">
        <f t="array" ref="F1793:G1793">_xlfn.TEXTSPLIT(E1793," - ")</f>
        <v>Minyak Goreng</v>
      </c>
      <c r="G1793" s="2" t="str">
        <v>Brand A</v>
      </c>
      <c r="H1793" s="5">
        <v>16000</v>
      </c>
      <c r="I1793" s="2">
        <v>3</v>
      </c>
      <c r="J1793" s="2">
        <v>20</v>
      </c>
      <c r="K1793" s="8">
        <f t="shared" si="162"/>
        <v>48000</v>
      </c>
      <c r="L1793" s="8">
        <f t="shared" si="163"/>
        <v>9600</v>
      </c>
      <c r="M1793" s="8">
        <f t="shared" si="164"/>
        <v>38400</v>
      </c>
      <c r="N1793" s="5">
        <v>43000</v>
      </c>
      <c r="O1793" s="8">
        <f t="shared" si="165"/>
        <v>81400</v>
      </c>
      <c r="P1793" s="2" t="s">
        <v>22</v>
      </c>
      <c r="Q1793" s="10" t="str">
        <f>VLOOKUP(A1793,Status!A:B,2,0)</f>
        <v>Completed</v>
      </c>
      <c r="R1793" s="2" t="s">
        <v>46</v>
      </c>
      <c r="S1793" s="2">
        <v>4</v>
      </c>
      <c r="T1793" s="2" t="s">
        <v>24</v>
      </c>
      <c r="U1793" s="10" t="str">
        <f t="shared" si="167"/>
        <v>Nov</v>
      </c>
      <c r="V1793" s="10">
        <f t="shared" si="166"/>
        <v>2024</v>
      </c>
      <c r="W1793" t="e" cm="1">
        <f t="array" ref="W1793">_xlfn.IFS(U1793="January",1,U1793="February",2,U1793="March",3,U1793="April",4,U1793="May",5,U1793="June",6,U1793="July",7,U1793="August",8,U1793="September",9,U1793="October",10,U1793="November",11,U1793="December",12)</f>
        <v>#N/A</v>
      </c>
    </row>
    <row r="1794" spans="1:23" ht="15.75" customHeight="1" x14ac:dyDescent="0.25">
      <c r="A1794" s="2" t="s">
        <v>657</v>
      </c>
      <c r="B1794" s="3">
        <v>45619.772916666669</v>
      </c>
      <c r="C1794" s="2" t="s">
        <v>211</v>
      </c>
      <c r="D1794" s="2" t="s">
        <v>49</v>
      </c>
      <c r="E1794" s="2" t="s">
        <v>50</v>
      </c>
      <c r="F1794" s="2" t="str" cm="1">
        <f t="array" ref="F1794:G1794">_xlfn.TEXTSPLIT(E1794," - ")</f>
        <v>Tepung Terigu</v>
      </c>
      <c r="G1794" s="2" t="str">
        <v>Brand C</v>
      </c>
      <c r="H1794" s="5">
        <v>14000</v>
      </c>
      <c r="I1794" s="2">
        <v>2</v>
      </c>
      <c r="J1794" s="2">
        <v>15</v>
      </c>
      <c r="K1794" s="8">
        <f t="shared" ref="K1794:K1857" si="168">H1794*I1794</f>
        <v>28000</v>
      </c>
      <c r="L1794" s="8">
        <f t="shared" ref="L1794:L1857" si="169">K1794*J1794%</f>
        <v>4200</v>
      </c>
      <c r="M1794" s="8">
        <f t="shared" ref="M1794:M1857" si="170">K1794-L1794</f>
        <v>23800</v>
      </c>
      <c r="N1794" s="5">
        <v>0</v>
      </c>
      <c r="O1794" s="8">
        <f t="shared" ref="O1794:O1857" si="171">M1794+N1794</f>
        <v>23800</v>
      </c>
      <c r="P1794" s="2" t="s">
        <v>22</v>
      </c>
      <c r="Q1794" s="10" t="str">
        <f>VLOOKUP(A1794,Status!A:B,2,0)</f>
        <v>Completed</v>
      </c>
      <c r="R1794" s="2" t="s">
        <v>46</v>
      </c>
      <c r="S1794" s="2">
        <v>4</v>
      </c>
      <c r="T1794" s="2" t="s">
        <v>24</v>
      </c>
      <c r="U1794" s="10" t="str">
        <f t="shared" si="167"/>
        <v>Nov</v>
      </c>
      <c r="V1794" s="10">
        <f t="shared" ref="V1794:V1857" si="172">YEAR(B1794)</f>
        <v>2024</v>
      </c>
      <c r="W1794" t="e" cm="1">
        <f t="array" ref="W1794">_xlfn.IFS(U1794="January",1,U1794="February",2,U1794="March",3,U1794="April",4,U1794="May",5,U1794="June",6,U1794="July",7,U1794="August",8,U1794="September",9,U1794="October",10,U1794="November",11,U1794="December",12)</f>
        <v>#N/A</v>
      </c>
    </row>
    <row r="1795" spans="1:23" ht="15.75" customHeight="1" x14ac:dyDescent="0.25">
      <c r="A1795" s="2" t="s">
        <v>658</v>
      </c>
      <c r="B1795" s="3">
        <v>45620.43949074074</v>
      </c>
      <c r="C1795" s="2" t="s">
        <v>391</v>
      </c>
      <c r="D1795" s="2" t="s">
        <v>122</v>
      </c>
      <c r="E1795" s="2" t="s">
        <v>28</v>
      </c>
      <c r="F1795" s="2" t="str" cm="1">
        <f t="array" ref="F1795:G1795">_xlfn.TEXTSPLIT(E1795," - ")</f>
        <v>Garam</v>
      </c>
      <c r="G1795" s="2" t="str">
        <v>Brand B</v>
      </c>
      <c r="H1795" s="5">
        <v>5000</v>
      </c>
      <c r="I1795" s="2">
        <v>4</v>
      </c>
      <c r="J1795" s="2">
        <v>5</v>
      </c>
      <c r="K1795" s="8">
        <f t="shared" si="168"/>
        <v>20000</v>
      </c>
      <c r="L1795" s="8">
        <f t="shared" si="169"/>
        <v>1000</v>
      </c>
      <c r="M1795" s="8">
        <f t="shared" si="170"/>
        <v>19000</v>
      </c>
      <c r="N1795" s="5">
        <v>78000</v>
      </c>
      <c r="O1795" s="8">
        <f t="shared" si="171"/>
        <v>97000</v>
      </c>
      <c r="P1795" s="2" t="s">
        <v>29</v>
      </c>
      <c r="Q1795" s="10" t="str">
        <f>VLOOKUP(A1795,Status!A:B,2,0)</f>
        <v>Returned</v>
      </c>
      <c r="R1795" s="2" t="s">
        <v>30</v>
      </c>
      <c r="S1795" s="2">
        <v>5</v>
      </c>
      <c r="T1795" s="2" t="s">
        <v>24</v>
      </c>
      <c r="U1795" s="10" t="str">
        <f t="shared" ref="U1795:U1858" si="173">TEXT(B1795,"MMM")</f>
        <v>Nov</v>
      </c>
      <c r="V1795" s="10">
        <f t="shared" si="172"/>
        <v>2024</v>
      </c>
      <c r="W1795" t="e" cm="1">
        <f t="array" ref="W1795">_xlfn.IFS(U1795="January",1,U1795="February",2,U1795="March",3,U1795="April",4,U1795="May",5,U1795="June",6,U1795="July",7,U1795="August",8,U1795="September",9,U1795="October",10,U1795="November",11,U1795="December",12)</f>
        <v>#N/A</v>
      </c>
    </row>
    <row r="1796" spans="1:23" ht="15.75" customHeight="1" x14ac:dyDescent="0.25">
      <c r="A1796" s="2" t="s">
        <v>659</v>
      </c>
      <c r="B1796" s="3">
        <v>45620.572939814818</v>
      </c>
      <c r="C1796" s="2" t="s">
        <v>194</v>
      </c>
      <c r="D1796" s="2" t="s">
        <v>195</v>
      </c>
      <c r="E1796" s="2" t="s">
        <v>21</v>
      </c>
      <c r="F1796" s="2" t="str" cm="1">
        <f t="array" ref="F1796:G1796">_xlfn.TEXTSPLIT(E1796," - ")</f>
        <v>Daging Ayam</v>
      </c>
      <c r="G1796" s="2" t="str">
        <v>Brand C</v>
      </c>
      <c r="H1796" s="5">
        <v>45000</v>
      </c>
      <c r="I1796" s="2">
        <v>1</v>
      </c>
      <c r="J1796" s="2">
        <v>20</v>
      </c>
      <c r="K1796" s="8">
        <f t="shared" si="168"/>
        <v>45000</v>
      </c>
      <c r="L1796" s="8">
        <f t="shared" si="169"/>
        <v>9000</v>
      </c>
      <c r="M1796" s="8">
        <f t="shared" si="170"/>
        <v>36000</v>
      </c>
      <c r="N1796" s="5">
        <v>87000</v>
      </c>
      <c r="O1796" s="8">
        <f t="shared" si="171"/>
        <v>123000</v>
      </c>
      <c r="P1796" s="2" t="s">
        <v>63</v>
      </c>
      <c r="Q1796" s="10" t="str">
        <f>VLOOKUP(A1796,Status!A:B,2,0)</f>
        <v>Completed</v>
      </c>
      <c r="R1796" s="2" t="s">
        <v>82</v>
      </c>
      <c r="S1796" s="2">
        <v>4</v>
      </c>
      <c r="T1796" s="2" t="s">
        <v>24</v>
      </c>
      <c r="U1796" s="10" t="str">
        <f t="shared" si="173"/>
        <v>Nov</v>
      </c>
      <c r="V1796" s="10">
        <f t="shared" si="172"/>
        <v>2024</v>
      </c>
      <c r="W1796" t="e" cm="1">
        <f t="array" ref="W1796">_xlfn.IFS(U1796="January",1,U1796="February",2,U1796="March",3,U1796="April",4,U1796="May",5,U1796="June",6,U1796="July",7,U1796="August",8,U1796="September",9,U1796="October",10,U1796="November",11,U1796="December",12)</f>
        <v>#N/A</v>
      </c>
    </row>
    <row r="1797" spans="1:23" ht="15.75" customHeight="1" x14ac:dyDescent="0.25">
      <c r="A1797" s="2" t="s">
        <v>660</v>
      </c>
      <c r="B1797" s="3">
        <v>45620.671018518522</v>
      </c>
      <c r="C1797" s="2" t="s">
        <v>661</v>
      </c>
      <c r="D1797" s="2" t="s">
        <v>49</v>
      </c>
      <c r="E1797" s="2" t="s">
        <v>34</v>
      </c>
      <c r="F1797" s="2" t="str" cm="1">
        <f t="array" ref="F1797:G1797">_xlfn.TEXTSPLIT(E1797," - ")</f>
        <v>Minyak Goreng</v>
      </c>
      <c r="G1797" s="2" t="str">
        <v>Brand A</v>
      </c>
      <c r="H1797" s="5">
        <v>16000</v>
      </c>
      <c r="I1797" s="2">
        <v>3</v>
      </c>
      <c r="J1797" s="2">
        <v>5</v>
      </c>
      <c r="K1797" s="8">
        <f t="shared" si="168"/>
        <v>48000</v>
      </c>
      <c r="L1797" s="8">
        <f t="shared" si="169"/>
        <v>2400</v>
      </c>
      <c r="M1797" s="8">
        <f t="shared" si="170"/>
        <v>45600</v>
      </c>
      <c r="N1797" s="5">
        <v>43000</v>
      </c>
      <c r="O1797" s="8">
        <f t="shared" si="171"/>
        <v>88600</v>
      </c>
      <c r="P1797" s="2" t="s">
        <v>22</v>
      </c>
      <c r="Q1797" s="10" t="str">
        <f>VLOOKUP(A1797,Status!A:B,2,0)</f>
        <v>Completed</v>
      </c>
      <c r="R1797" s="2" t="s">
        <v>36</v>
      </c>
      <c r="S1797" s="2">
        <v>3</v>
      </c>
      <c r="T1797" s="2" t="s">
        <v>24</v>
      </c>
      <c r="U1797" s="10" t="str">
        <f t="shared" si="173"/>
        <v>Nov</v>
      </c>
      <c r="V1797" s="10">
        <f t="shared" si="172"/>
        <v>2024</v>
      </c>
      <c r="W1797" t="e" cm="1">
        <f t="array" ref="W1797">_xlfn.IFS(U1797="January",1,U1797="February",2,U1797="March",3,U1797="April",4,U1797="May",5,U1797="June",6,U1797="July",7,U1797="August",8,U1797="September",9,U1797="October",10,U1797="November",11,U1797="December",12)</f>
        <v>#N/A</v>
      </c>
    </row>
    <row r="1798" spans="1:23" ht="15.75" customHeight="1" x14ac:dyDescent="0.25">
      <c r="A1798" s="2" t="s">
        <v>660</v>
      </c>
      <c r="B1798" s="3">
        <v>45620.671018518522</v>
      </c>
      <c r="C1798" s="2" t="s">
        <v>661</v>
      </c>
      <c r="D1798" s="2" t="s">
        <v>49</v>
      </c>
      <c r="E1798" s="2" t="s">
        <v>136</v>
      </c>
      <c r="F1798" s="2" t="str" cm="1">
        <f t="array" ref="F1798:G1798">_xlfn.TEXTSPLIT(E1798," - ")</f>
        <v>Tepung Terigu</v>
      </c>
      <c r="G1798" s="2" t="str">
        <v>Brand B</v>
      </c>
      <c r="H1798" s="5">
        <v>12000</v>
      </c>
      <c r="I1798" s="2">
        <v>4</v>
      </c>
      <c r="J1798" s="2">
        <v>0</v>
      </c>
      <c r="K1798" s="8">
        <f t="shared" si="168"/>
        <v>48000</v>
      </c>
      <c r="L1798" s="8">
        <f t="shared" si="169"/>
        <v>0</v>
      </c>
      <c r="M1798" s="8">
        <f t="shared" si="170"/>
        <v>48000</v>
      </c>
      <c r="N1798" s="5">
        <v>0</v>
      </c>
      <c r="O1798" s="8">
        <f t="shared" si="171"/>
        <v>48000</v>
      </c>
      <c r="P1798" s="2" t="s">
        <v>22</v>
      </c>
      <c r="Q1798" s="10" t="str">
        <f>VLOOKUP(A1798,Status!A:B,2,0)</f>
        <v>Completed</v>
      </c>
      <c r="R1798" s="2" t="s">
        <v>36</v>
      </c>
      <c r="S1798" s="2">
        <v>3</v>
      </c>
      <c r="T1798" s="2" t="s">
        <v>24</v>
      </c>
      <c r="U1798" s="10" t="str">
        <f t="shared" si="173"/>
        <v>Nov</v>
      </c>
      <c r="V1798" s="10">
        <f t="shared" si="172"/>
        <v>2024</v>
      </c>
      <c r="W1798" t="e" cm="1">
        <f t="array" ref="W1798">_xlfn.IFS(U1798="January",1,U1798="February",2,U1798="March",3,U1798="April",4,U1798="May",5,U1798="June",6,U1798="July",7,U1798="August",8,U1798="September",9,U1798="October",10,U1798="November",11,U1798="December",12)</f>
        <v>#N/A</v>
      </c>
    </row>
    <row r="1799" spans="1:23" ht="15.75" customHeight="1" x14ac:dyDescent="0.25">
      <c r="A1799" s="2" t="s">
        <v>662</v>
      </c>
      <c r="B1799" s="3">
        <v>45620.862060185187</v>
      </c>
      <c r="C1799" s="2" t="s">
        <v>254</v>
      </c>
      <c r="D1799" s="2" t="s">
        <v>61</v>
      </c>
      <c r="E1799" s="2" t="s">
        <v>62</v>
      </c>
      <c r="F1799" s="2" t="str" cm="1">
        <f t="array" ref="F1799:G1799">_xlfn.TEXTSPLIT(E1799," - ")</f>
        <v>Susu Bubuk</v>
      </c>
      <c r="G1799" s="2" t="str">
        <v>Brand B</v>
      </c>
      <c r="H1799" s="5">
        <v>50000</v>
      </c>
      <c r="I1799" s="2">
        <v>2</v>
      </c>
      <c r="J1799" s="2">
        <v>15</v>
      </c>
      <c r="K1799" s="8">
        <f t="shared" si="168"/>
        <v>100000</v>
      </c>
      <c r="L1799" s="8">
        <f t="shared" si="169"/>
        <v>15000</v>
      </c>
      <c r="M1799" s="8">
        <f t="shared" si="170"/>
        <v>85000</v>
      </c>
      <c r="N1799" s="5">
        <v>26000</v>
      </c>
      <c r="O1799" s="8">
        <f t="shared" si="171"/>
        <v>111000</v>
      </c>
      <c r="P1799" s="2" t="s">
        <v>29</v>
      </c>
      <c r="Q1799" s="10" t="str">
        <f>VLOOKUP(A1799,Status!A:B,2,0)</f>
        <v>Completed</v>
      </c>
      <c r="R1799" s="2" t="s">
        <v>82</v>
      </c>
      <c r="S1799" s="2">
        <v>1</v>
      </c>
      <c r="T1799" s="2" t="s">
        <v>24</v>
      </c>
      <c r="U1799" s="10" t="str">
        <f t="shared" si="173"/>
        <v>Nov</v>
      </c>
      <c r="V1799" s="10">
        <f t="shared" si="172"/>
        <v>2024</v>
      </c>
      <c r="W1799" t="e" cm="1">
        <f t="array" ref="W1799">_xlfn.IFS(U1799="January",1,U1799="February",2,U1799="March",3,U1799="April",4,U1799="May",5,U1799="June",6,U1799="July",7,U1799="August",8,U1799="September",9,U1799="October",10,U1799="November",11,U1799="December",12)</f>
        <v>#N/A</v>
      </c>
    </row>
    <row r="1800" spans="1:23" ht="15.75" customHeight="1" x14ac:dyDescent="0.25">
      <c r="A1800" s="2" t="s">
        <v>663</v>
      </c>
      <c r="B1800" s="3">
        <v>45621.116562499999</v>
      </c>
      <c r="C1800" s="2" t="s">
        <v>258</v>
      </c>
      <c r="D1800" s="2" t="s">
        <v>44</v>
      </c>
      <c r="E1800" s="2" t="s">
        <v>54</v>
      </c>
      <c r="F1800" s="2" t="str" cm="1">
        <f t="array" ref="F1800:G1800">_xlfn.TEXTSPLIT(E1800," - ")</f>
        <v>Beras</v>
      </c>
      <c r="G1800" s="2" t="str">
        <v>Brand C</v>
      </c>
      <c r="H1800" s="5">
        <v>16000</v>
      </c>
      <c r="I1800" s="2">
        <v>2</v>
      </c>
      <c r="J1800" s="2">
        <v>5</v>
      </c>
      <c r="K1800" s="8">
        <f t="shared" si="168"/>
        <v>32000</v>
      </c>
      <c r="L1800" s="8">
        <f t="shared" si="169"/>
        <v>1600</v>
      </c>
      <c r="M1800" s="8">
        <f t="shared" si="170"/>
        <v>30400</v>
      </c>
      <c r="N1800" s="5">
        <v>93000</v>
      </c>
      <c r="O1800" s="8">
        <f t="shared" si="171"/>
        <v>123400</v>
      </c>
      <c r="P1800" s="2" t="s">
        <v>29</v>
      </c>
      <c r="Q1800" s="10" t="str">
        <f>VLOOKUP(A1800,Status!A:B,2,0)</f>
        <v>Returned</v>
      </c>
      <c r="R1800" s="2" t="s">
        <v>46</v>
      </c>
      <c r="S1800" s="2">
        <v>1</v>
      </c>
      <c r="T1800" s="2" t="s">
        <v>24</v>
      </c>
      <c r="U1800" s="10" t="str">
        <f t="shared" si="173"/>
        <v>Nov</v>
      </c>
      <c r="V1800" s="10">
        <f t="shared" si="172"/>
        <v>2024</v>
      </c>
      <c r="W1800" t="e" cm="1">
        <f t="array" ref="W1800">_xlfn.IFS(U1800="January",1,U1800="February",2,U1800="March",3,U1800="April",4,U1800="May",5,U1800="June",6,U1800="July",7,U1800="August",8,U1800="September",9,U1800="October",10,U1800="November",11,U1800="December",12)</f>
        <v>#N/A</v>
      </c>
    </row>
    <row r="1801" spans="1:23" ht="15.75" customHeight="1" x14ac:dyDescent="0.25">
      <c r="A1801" s="2" t="s">
        <v>664</v>
      </c>
      <c r="B1801" s="3">
        <v>45621.266608796293</v>
      </c>
      <c r="C1801" s="2" t="s">
        <v>353</v>
      </c>
      <c r="D1801" s="2" t="s">
        <v>66</v>
      </c>
      <c r="E1801" s="2" t="s">
        <v>71</v>
      </c>
      <c r="F1801" s="2" t="str" cm="1">
        <f t="array" ref="F1801:G1801">_xlfn.TEXTSPLIT(E1801," - ")</f>
        <v>Bawang Merah</v>
      </c>
      <c r="G1801" s="2" t="str">
        <v>Brand C</v>
      </c>
      <c r="H1801" s="5">
        <v>40000</v>
      </c>
      <c r="I1801" s="2">
        <v>5</v>
      </c>
      <c r="J1801" s="2">
        <v>5</v>
      </c>
      <c r="K1801" s="8">
        <f t="shared" si="168"/>
        <v>200000</v>
      </c>
      <c r="L1801" s="8">
        <f t="shared" si="169"/>
        <v>10000</v>
      </c>
      <c r="M1801" s="8">
        <f t="shared" si="170"/>
        <v>190000</v>
      </c>
      <c r="N1801" s="5">
        <v>59000</v>
      </c>
      <c r="O1801" s="8">
        <f t="shared" si="171"/>
        <v>249000</v>
      </c>
      <c r="P1801" s="2" t="s">
        <v>63</v>
      </c>
      <c r="Q1801" s="10" t="str">
        <f>VLOOKUP(A1801,Status!A:B,2,0)</f>
        <v>Completed</v>
      </c>
      <c r="R1801" s="2" t="s">
        <v>82</v>
      </c>
      <c r="S1801" s="2">
        <v>3</v>
      </c>
      <c r="T1801" s="2" t="s">
        <v>24</v>
      </c>
      <c r="U1801" s="10" t="str">
        <f t="shared" si="173"/>
        <v>Nov</v>
      </c>
      <c r="V1801" s="10">
        <f t="shared" si="172"/>
        <v>2024</v>
      </c>
      <c r="W1801" t="e" cm="1">
        <f t="array" ref="W1801">_xlfn.IFS(U1801="January",1,U1801="February",2,U1801="March",3,U1801="April",4,U1801="May",5,U1801="June",6,U1801="July",7,U1801="August",8,U1801="September",9,U1801="October",10,U1801="November",11,U1801="December",12)</f>
        <v>#N/A</v>
      </c>
    </row>
    <row r="1802" spans="1:23" ht="15.75" customHeight="1" x14ac:dyDescent="0.25">
      <c r="A1802" s="2" t="s">
        <v>665</v>
      </c>
      <c r="B1802" s="3">
        <v>45621.36173611111</v>
      </c>
      <c r="C1802" s="2" t="s">
        <v>666</v>
      </c>
      <c r="D1802" s="2" t="s">
        <v>66</v>
      </c>
      <c r="E1802" s="2" t="s">
        <v>136</v>
      </c>
      <c r="F1802" s="2" t="str" cm="1">
        <f t="array" ref="F1802:G1802">_xlfn.TEXTSPLIT(E1802," - ")</f>
        <v>Tepung Terigu</v>
      </c>
      <c r="G1802" s="2" t="str">
        <v>Brand B</v>
      </c>
      <c r="H1802" s="5">
        <v>12000</v>
      </c>
      <c r="I1802" s="2">
        <v>2</v>
      </c>
      <c r="J1802" s="2">
        <v>20</v>
      </c>
      <c r="K1802" s="8">
        <f t="shared" si="168"/>
        <v>24000</v>
      </c>
      <c r="L1802" s="8">
        <f t="shared" si="169"/>
        <v>4800</v>
      </c>
      <c r="M1802" s="8">
        <f t="shared" si="170"/>
        <v>19200</v>
      </c>
      <c r="N1802" s="5">
        <v>59000</v>
      </c>
      <c r="O1802" s="8">
        <f t="shared" si="171"/>
        <v>78200</v>
      </c>
      <c r="P1802" s="2" t="s">
        <v>22</v>
      </c>
      <c r="Q1802" s="10" t="str">
        <f>VLOOKUP(A1802,Status!A:B,2,0)</f>
        <v>Completed</v>
      </c>
      <c r="R1802" s="2" t="s">
        <v>46</v>
      </c>
      <c r="S1802" s="2">
        <v>1</v>
      </c>
      <c r="T1802" s="2" t="s">
        <v>24</v>
      </c>
      <c r="U1802" s="10" t="str">
        <f t="shared" si="173"/>
        <v>Nov</v>
      </c>
      <c r="V1802" s="10">
        <f t="shared" si="172"/>
        <v>2024</v>
      </c>
      <c r="W1802" t="e" cm="1">
        <f t="array" ref="W1802">_xlfn.IFS(U1802="January",1,U1802="February",2,U1802="March",3,U1802="April",4,U1802="May",5,U1802="June",6,U1802="July",7,U1802="August",8,U1802="September",9,U1802="October",10,U1802="November",11,U1802="December",12)</f>
        <v>#N/A</v>
      </c>
    </row>
    <row r="1803" spans="1:23" ht="15.75" customHeight="1" x14ac:dyDescent="0.25">
      <c r="A1803" s="2" t="s">
        <v>665</v>
      </c>
      <c r="B1803" s="3">
        <v>45621.36173611111</v>
      </c>
      <c r="C1803" s="2" t="s">
        <v>666</v>
      </c>
      <c r="D1803" s="2" t="s">
        <v>66</v>
      </c>
      <c r="E1803" s="2" t="s">
        <v>50</v>
      </c>
      <c r="F1803" s="2" t="str" cm="1">
        <f t="array" ref="F1803:G1803">_xlfn.TEXTSPLIT(E1803," - ")</f>
        <v>Tepung Terigu</v>
      </c>
      <c r="G1803" s="2" t="str">
        <v>Brand C</v>
      </c>
      <c r="H1803" s="5">
        <v>14000</v>
      </c>
      <c r="I1803" s="2">
        <v>4</v>
      </c>
      <c r="J1803" s="2">
        <v>0</v>
      </c>
      <c r="K1803" s="8">
        <f t="shared" si="168"/>
        <v>56000</v>
      </c>
      <c r="L1803" s="8">
        <f t="shared" si="169"/>
        <v>0</v>
      </c>
      <c r="M1803" s="8">
        <f t="shared" si="170"/>
        <v>56000</v>
      </c>
      <c r="N1803" s="5">
        <v>0</v>
      </c>
      <c r="O1803" s="8">
        <f t="shared" si="171"/>
        <v>56000</v>
      </c>
      <c r="P1803" s="2" t="s">
        <v>22</v>
      </c>
      <c r="Q1803" s="10" t="str">
        <f>VLOOKUP(A1803,Status!A:B,2,0)</f>
        <v>Completed</v>
      </c>
      <c r="R1803" s="2" t="s">
        <v>46</v>
      </c>
      <c r="S1803" s="2">
        <v>1</v>
      </c>
      <c r="T1803" s="2" t="s">
        <v>24</v>
      </c>
      <c r="U1803" s="10" t="str">
        <f t="shared" si="173"/>
        <v>Nov</v>
      </c>
      <c r="V1803" s="10">
        <f t="shared" si="172"/>
        <v>2024</v>
      </c>
      <c r="W1803" t="e" cm="1">
        <f t="array" ref="W1803">_xlfn.IFS(U1803="January",1,U1803="February",2,U1803="March",3,U1803="April",4,U1803="May",5,U1803="June",6,U1803="July",7,U1803="August",8,U1803="September",9,U1803="October",10,U1803="November",11,U1803="December",12)</f>
        <v>#N/A</v>
      </c>
    </row>
    <row r="1804" spans="1:23" ht="15.75" customHeight="1" x14ac:dyDescent="0.25">
      <c r="A1804" s="2" t="s">
        <v>667</v>
      </c>
      <c r="B1804" s="3">
        <v>45621.43341435185</v>
      </c>
      <c r="C1804" s="2" t="s">
        <v>289</v>
      </c>
      <c r="D1804" s="2" t="s">
        <v>20</v>
      </c>
      <c r="E1804" s="2" t="s">
        <v>250</v>
      </c>
      <c r="F1804" s="2" t="str" cm="1">
        <f t="array" ref="F1804:G1804">_xlfn.TEXTSPLIT(E1804," - ")</f>
        <v>Minyak Goreng</v>
      </c>
      <c r="G1804" s="2" t="str">
        <v>Brand C</v>
      </c>
      <c r="H1804" s="5">
        <v>18000</v>
      </c>
      <c r="I1804" s="2">
        <v>4</v>
      </c>
      <c r="J1804" s="2">
        <v>15</v>
      </c>
      <c r="K1804" s="8">
        <f t="shared" si="168"/>
        <v>72000</v>
      </c>
      <c r="L1804" s="8">
        <f t="shared" si="169"/>
        <v>10800</v>
      </c>
      <c r="M1804" s="8">
        <f t="shared" si="170"/>
        <v>61200</v>
      </c>
      <c r="N1804" s="5">
        <v>15000</v>
      </c>
      <c r="O1804" s="8">
        <f t="shared" si="171"/>
        <v>76200</v>
      </c>
      <c r="P1804" s="2" t="s">
        <v>29</v>
      </c>
      <c r="Q1804" s="10" t="str">
        <f>VLOOKUP(A1804,Status!A:B,2,0)</f>
        <v>Completed</v>
      </c>
      <c r="R1804" s="2" t="s">
        <v>82</v>
      </c>
      <c r="S1804" s="2">
        <v>3</v>
      </c>
      <c r="T1804" s="2" t="s">
        <v>24</v>
      </c>
      <c r="U1804" s="10" t="str">
        <f t="shared" si="173"/>
        <v>Nov</v>
      </c>
      <c r="V1804" s="10">
        <f t="shared" si="172"/>
        <v>2024</v>
      </c>
      <c r="W1804" t="e" cm="1">
        <f t="array" ref="W1804">_xlfn.IFS(U1804="January",1,U1804="February",2,U1804="March",3,U1804="April",4,U1804="May",5,U1804="June",6,U1804="July",7,U1804="August",8,U1804="September",9,U1804="October",10,U1804="November",11,U1804="December",12)</f>
        <v>#N/A</v>
      </c>
    </row>
    <row r="1805" spans="1:23" ht="15.75" customHeight="1" x14ac:dyDescent="0.25">
      <c r="A1805" s="2" t="s">
        <v>668</v>
      </c>
      <c r="B1805" s="3">
        <v>45621.628136574072</v>
      </c>
      <c r="C1805" s="2" t="s">
        <v>669</v>
      </c>
      <c r="D1805" s="2" t="s">
        <v>151</v>
      </c>
      <c r="E1805" s="2" t="s">
        <v>62</v>
      </c>
      <c r="F1805" s="2" t="str" cm="1">
        <f t="array" ref="F1805:G1805">_xlfn.TEXTSPLIT(E1805," - ")</f>
        <v>Susu Bubuk</v>
      </c>
      <c r="G1805" s="2" t="str">
        <v>Brand B</v>
      </c>
      <c r="H1805" s="5">
        <v>50000</v>
      </c>
      <c r="I1805" s="2">
        <v>4</v>
      </c>
      <c r="J1805" s="2">
        <v>5</v>
      </c>
      <c r="K1805" s="8">
        <f t="shared" si="168"/>
        <v>200000</v>
      </c>
      <c r="L1805" s="8">
        <f t="shared" si="169"/>
        <v>10000</v>
      </c>
      <c r="M1805" s="8">
        <f t="shared" si="170"/>
        <v>190000</v>
      </c>
      <c r="N1805" s="5">
        <v>55000</v>
      </c>
      <c r="O1805" s="8">
        <f t="shared" si="171"/>
        <v>245000</v>
      </c>
      <c r="P1805" s="2" t="s">
        <v>29</v>
      </c>
      <c r="Q1805" s="10" t="str">
        <f>VLOOKUP(A1805,Status!A:B,2,0)</f>
        <v>Completed</v>
      </c>
      <c r="R1805" s="2" t="s">
        <v>23</v>
      </c>
      <c r="S1805" s="2">
        <v>3</v>
      </c>
      <c r="T1805" s="2" t="s">
        <v>24</v>
      </c>
      <c r="U1805" s="10" t="str">
        <f t="shared" si="173"/>
        <v>Nov</v>
      </c>
      <c r="V1805" s="10">
        <f t="shared" si="172"/>
        <v>2024</v>
      </c>
      <c r="W1805" t="e" cm="1">
        <f t="array" ref="W1805">_xlfn.IFS(U1805="January",1,U1805="February",2,U1805="March",3,U1805="April",4,U1805="May",5,U1805="June",6,U1805="July",7,U1805="August",8,U1805="September",9,U1805="October",10,U1805="November",11,U1805="December",12)</f>
        <v>#N/A</v>
      </c>
    </row>
    <row r="1806" spans="1:23" ht="15.75" customHeight="1" x14ac:dyDescent="0.25">
      <c r="A1806" s="2" t="s">
        <v>670</v>
      </c>
      <c r="B1806" s="3">
        <v>45621.71665509259</v>
      </c>
      <c r="C1806" s="2" t="s">
        <v>671</v>
      </c>
      <c r="D1806" s="2" t="s">
        <v>160</v>
      </c>
      <c r="E1806" s="2" t="s">
        <v>58</v>
      </c>
      <c r="F1806" s="2" t="str" cm="1">
        <f t="array" ref="F1806:G1806">_xlfn.TEXTSPLIT(E1806," - ")</f>
        <v>Gula Pasir</v>
      </c>
      <c r="G1806" s="2" t="str">
        <v>Brand A</v>
      </c>
      <c r="H1806" s="5">
        <v>16000</v>
      </c>
      <c r="I1806" s="2">
        <v>5</v>
      </c>
      <c r="J1806" s="2">
        <v>0</v>
      </c>
      <c r="K1806" s="8">
        <f t="shared" si="168"/>
        <v>80000</v>
      </c>
      <c r="L1806" s="8">
        <f t="shared" si="169"/>
        <v>0</v>
      </c>
      <c r="M1806" s="8">
        <f t="shared" si="170"/>
        <v>80000</v>
      </c>
      <c r="N1806" s="5">
        <v>68000</v>
      </c>
      <c r="O1806" s="8">
        <f t="shared" si="171"/>
        <v>148000</v>
      </c>
      <c r="P1806" s="2" t="s">
        <v>35</v>
      </c>
      <c r="Q1806" s="10" t="str">
        <f>VLOOKUP(A1806,Status!A:B,2,0)</f>
        <v>Returned</v>
      </c>
      <c r="R1806" s="2" t="s">
        <v>36</v>
      </c>
      <c r="S1806" s="2">
        <v>2</v>
      </c>
      <c r="T1806" s="2" t="s">
        <v>24</v>
      </c>
      <c r="U1806" s="10" t="str">
        <f t="shared" si="173"/>
        <v>Nov</v>
      </c>
      <c r="V1806" s="10">
        <f t="shared" si="172"/>
        <v>2024</v>
      </c>
      <c r="W1806" t="e" cm="1">
        <f t="array" ref="W1806">_xlfn.IFS(U1806="January",1,U1806="February",2,U1806="March",3,U1806="April",4,U1806="May",5,U1806="June",6,U1806="July",7,U1806="August",8,U1806="September",9,U1806="October",10,U1806="November",11,U1806="December",12)</f>
        <v>#N/A</v>
      </c>
    </row>
    <row r="1807" spans="1:23" ht="15.75" customHeight="1" x14ac:dyDescent="0.25">
      <c r="A1807" s="2" t="s">
        <v>672</v>
      </c>
      <c r="B1807" s="3">
        <v>45622.093738425923</v>
      </c>
      <c r="C1807" s="2" t="s">
        <v>568</v>
      </c>
      <c r="D1807" s="2" t="s">
        <v>435</v>
      </c>
      <c r="E1807" s="2" t="s">
        <v>123</v>
      </c>
      <c r="F1807" s="2" t="str" cm="1">
        <f t="array" ref="F1807:G1807">_xlfn.TEXTSPLIT(E1807," - ")</f>
        <v>Telur Ayam</v>
      </c>
      <c r="G1807" s="2" t="str">
        <v>Brand A</v>
      </c>
      <c r="H1807" s="5">
        <v>22000</v>
      </c>
      <c r="I1807" s="2">
        <v>3</v>
      </c>
      <c r="J1807" s="2">
        <v>15</v>
      </c>
      <c r="K1807" s="8">
        <f t="shared" si="168"/>
        <v>66000</v>
      </c>
      <c r="L1807" s="8">
        <f t="shared" si="169"/>
        <v>9900</v>
      </c>
      <c r="M1807" s="8">
        <f t="shared" si="170"/>
        <v>56100</v>
      </c>
      <c r="N1807" s="5">
        <v>67000</v>
      </c>
      <c r="O1807" s="8">
        <f t="shared" si="171"/>
        <v>123100</v>
      </c>
      <c r="P1807" s="2" t="s">
        <v>29</v>
      </c>
      <c r="Q1807" s="10" t="str">
        <f>VLOOKUP(A1807,Status!A:B,2,0)</f>
        <v>Completed</v>
      </c>
      <c r="R1807" s="2" t="s">
        <v>82</v>
      </c>
      <c r="S1807" s="2">
        <v>4</v>
      </c>
      <c r="T1807" s="2" t="s">
        <v>24</v>
      </c>
      <c r="U1807" s="10" t="str">
        <f t="shared" si="173"/>
        <v>Nov</v>
      </c>
      <c r="V1807" s="10">
        <f t="shared" si="172"/>
        <v>2024</v>
      </c>
      <c r="W1807" t="e" cm="1">
        <f t="array" ref="W1807">_xlfn.IFS(U1807="January",1,U1807="February",2,U1807="March",3,U1807="April",4,U1807="May",5,U1807="June",6,U1807="July",7,U1807="August",8,U1807="September",9,U1807="October",10,U1807="November",11,U1807="December",12)</f>
        <v>#N/A</v>
      </c>
    </row>
    <row r="1808" spans="1:23" ht="15.75" customHeight="1" x14ac:dyDescent="0.25">
      <c r="A1808" s="2" t="s">
        <v>672</v>
      </c>
      <c r="B1808" s="3">
        <v>45622.093738425923</v>
      </c>
      <c r="C1808" s="2" t="s">
        <v>568</v>
      </c>
      <c r="D1808" s="2" t="s">
        <v>435</v>
      </c>
      <c r="E1808" s="2" t="s">
        <v>190</v>
      </c>
      <c r="F1808" s="2" t="str" cm="1">
        <f t="array" ref="F1808:G1808">_xlfn.TEXTSPLIT(E1808," - ")</f>
        <v>Bawang Merah</v>
      </c>
      <c r="G1808" s="2" t="str">
        <v>Brand B</v>
      </c>
      <c r="H1808" s="5">
        <v>35000</v>
      </c>
      <c r="I1808" s="2">
        <v>1</v>
      </c>
      <c r="J1808" s="2">
        <v>20</v>
      </c>
      <c r="K1808" s="8">
        <f t="shared" si="168"/>
        <v>35000</v>
      </c>
      <c r="L1808" s="8">
        <f t="shared" si="169"/>
        <v>7000</v>
      </c>
      <c r="M1808" s="8">
        <f t="shared" si="170"/>
        <v>28000</v>
      </c>
      <c r="N1808" s="5">
        <v>0</v>
      </c>
      <c r="O1808" s="8">
        <f t="shared" si="171"/>
        <v>28000</v>
      </c>
      <c r="P1808" s="2" t="s">
        <v>29</v>
      </c>
      <c r="Q1808" s="10" t="str">
        <f>VLOOKUP(A1808,Status!A:B,2,0)</f>
        <v>Completed</v>
      </c>
      <c r="R1808" s="2" t="s">
        <v>82</v>
      </c>
      <c r="S1808" s="2">
        <v>4</v>
      </c>
      <c r="T1808" s="2" t="s">
        <v>24</v>
      </c>
      <c r="U1808" s="10" t="str">
        <f t="shared" si="173"/>
        <v>Nov</v>
      </c>
      <c r="V1808" s="10">
        <f t="shared" si="172"/>
        <v>2024</v>
      </c>
      <c r="W1808" t="e" cm="1">
        <f t="array" ref="W1808">_xlfn.IFS(U1808="January",1,U1808="February",2,U1808="March",3,U1808="April",4,U1808="May",5,U1808="June",6,U1808="July",7,U1808="August",8,U1808="September",9,U1808="October",10,U1808="November",11,U1808="December",12)</f>
        <v>#N/A</v>
      </c>
    </row>
    <row r="1809" spans="1:23" ht="15.75" customHeight="1" x14ac:dyDescent="0.25">
      <c r="A1809" s="2" t="s">
        <v>673</v>
      </c>
      <c r="B1809" s="3">
        <v>45622.118726851862</v>
      </c>
      <c r="C1809" s="2" t="s">
        <v>416</v>
      </c>
      <c r="D1809" s="2" t="s">
        <v>131</v>
      </c>
      <c r="E1809" s="2" t="s">
        <v>190</v>
      </c>
      <c r="F1809" s="2" t="str" cm="1">
        <f t="array" ref="F1809:G1809">_xlfn.TEXTSPLIT(E1809," - ")</f>
        <v>Bawang Merah</v>
      </c>
      <c r="G1809" s="2" t="str">
        <v>Brand B</v>
      </c>
      <c r="H1809" s="5">
        <v>35000</v>
      </c>
      <c r="I1809" s="2">
        <v>3</v>
      </c>
      <c r="J1809" s="2">
        <v>20</v>
      </c>
      <c r="K1809" s="8">
        <f t="shared" si="168"/>
        <v>105000</v>
      </c>
      <c r="L1809" s="8">
        <f t="shared" si="169"/>
        <v>21000</v>
      </c>
      <c r="M1809" s="8">
        <f t="shared" si="170"/>
        <v>84000</v>
      </c>
      <c r="N1809" s="5">
        <v>59000</v>
      </c>
      <c r="O1809" s="8">
        <f t="shared" si="171"/>
        <v>143000</v>
      </c>
      <c r="P1809" s="2" t="s">
        <v>29</v>
      </c>
      <c r="Q1809" s="10" t="str">
        <f>VLOOKUP(A1809,Status!A:B,2,0)</f>
        <v>Completed</v>
      </c>
      <c r="R1809" s="2" t="s">
        <v>23</v>
      </c>
      <c r="S1809" s="2">
        <v>3</v>
      </c>
      <c r="T1809" s="2" t="s">
        <v>24</v>
      </c>
      <c r="U1809" s="10" t="str">
        <f t="shared" si="173"/>
        <v>Nov</v>
      </c>
      <c r="V1809" s="10">
        <f t="shared" si="172"/>
        <v>2024</v>
      </c>
      <c r="W1809" t="e" cm="1">
        <f t="array" ref="W1809">_xlfn.IFS(U1809="January",1,U1809="February",2,U1809="March",3,U1809="April",4,U1809="May",5,U1809="June",6,U1809="July",7,U1809="August",8,U1809="September",9,U1809="October",10,U1809="November",11,U1809="December",12)</f>
        <v>#N/A</v>
      </c>
    </row>
    <row r="1810" spans="1:23" ht="15.75" customHeight="1" x14ac:dyDescent="0.25">
      <c r="A1810" s="2" t="s">
        <v>674</v>
      </c>
      <c r="B1810" s="3">
        <v>45622.37572916667</v>
      </c>
      <c r="C1810" s="2" t="s">
        <v>520</v>
      </c>
      <c r="D1810" s="2" t="s">
        <v>103</v>
      </c>
      <c r="E1810" s="2" t="s">
        <v>34</v>
      </c>
      <c r="F1810" s="2" t="str" cm="1">
        <f t="array" ref="F1810:G1810">_xlfn.TEXTSPLIT(E1810," - ")</f>
        <v>Minyak Goreng</v>
      </c>
      <c r="G1810" s="2" t="str">
        <v>Brand A</v>
      </c>
      <c r="H1810" s="5">
        <v>16000</v>
      </c>
      <c r="I1810" s="2">
        <v>3</v>
      </c>
      <c r="J1810" s="2">
        <v>0</v>
      </c>
      <c r="K1810" s="8">
        <f t="shared" si="168"/>
        <v>48000</v>
      </c>
      <c r="L1810" s="8">
        <f t="shared" si="169"/>
        <v>0</v>
      </c>
      <c r="M1810" s="8">
        <f t="shared" si="170"/>
        <v>48000</v>
      </c>
      <c r="N1810" s="5">
        <v>85000</v>
      </c>
      <c r="O1810" s="8">
        <f t="shared" si="171"/>
        <v>133000</v>
      </c>
      <c r="P1810" s="2" t="s">
        <v>22</v>
      </c>
      <c r="Q1810" s="10" t="str">
        <f>VLOOKUP(A1810,Status!A:B,2,0)</f>
        <v>Completed</v>
      </c>
      <c r="R1810" s="2" t="s">
        <v>30</v>
      </c>
      <c r="S1810" s="2">
        <v>5</v>
      </c>
      <c r="T1810" s="2" t="s">
        <v>24</v>
      </c>
      <c r="U1810" s="10" t="str">
        <f t="shared" si="173"/>
        <v>Nov</v>
      </c>
      <c r="V1810" s="10">
        <f t="shared" si="172"/>
        <v>2024</v>
      </c>
      <c r="W1810" t="e" cm="1">
        <f t="array" ref="W1810">_xlfn.IFS(U1810="January",1,U1810="February",2,U1810="March",3,U1810="April",4,U1810="May",5,U1810="June",6,U1810="July",7,U1810="August",8,U1810="September",9,U1810="October",10,U1810="November",11,U1810="December",12)</f>
        <v>#N/A</v>
      </c>
    </row>
    <row r="1811" spans="1:23" ht="15.75" customHeight="1" x14ac:dyDescent="0.25">
      <c r="A1811" s="2" t="s">
        <v>675</v>
      </c>
      <c r="B1811" s="3">
        <v>45622.427384259259</v>
      </c>
      <c r="C1811" s="2" t="s">
        <v>429</v>
      </c>
      <c r="D1811" s="2" t="s">
        <v>177</v>
      </c>
      <c r="E1811" s="2" t="s">
        <v>138</v>
      </c>
      <c r="F1811" s="2" t="str" cm="1">
        <f t="array" ref="F1811:G1811">_xlfn.TEXTSPLIT(E1811," - ")</f>
        <v>Gula Pasir</v>
      </c>
      <c r="G1811" s="2" t="str">
        <v>Brand B</v>
      </c>
      <c r="H1811" s="5">
        <v>17000</v>
      </c>
      <c r="I1811" s="2">
        <v>2</v>
      </c>
      <c r="J1811" s="2">
        <v>15</v>
      </c>
      <c r="K1811" s="8">
        <f t="shared" si="168"/>
        <v>34000</v>
      </c>
      <c r="L1811" s="8">
        <f t="shared" si="169"/>
        <v>5100</v>
      </c>
      <c r="M1811" s="8">
        <f t="shared" si="170"/>
        <v>28900</v>
      </c>
      <c r="N1811" s="5">
        <v>56000</v>
      </c>
      <c r="O1811" s="8">
        <f t="shared" si="171"/>
        <v>84900</v>
      </c>
      <c r="P1811" s="2" t="s">
        <v>35</v>
      </c>
      <c r="Q1811" s="10" t="str">
        <f>VLOOKUP(A1811,Status!A:B,2,0)</f>
        <v>Returned</v>
      </c>
      <c r="R1811" s="2" t="s">
        <v>36</v>
      </c>
      <c r="S1811" s="2">
        <v>3</v>
      </c>
      <c r="T1811" s="2" t="s">
        <v>37</v>
      </c>
      <c r="U1811" s="10" t="str">
        <f t="shared" si="173"/>
        <v>Nov</v>
      </c>
      <c r="V1811" s="10">
        <f t="shared" si="172"/>
        <v>2024</v>
      </c>
      <c r="W1811" t="e" cm="1">
        <f t="array" ref="W1811">_xlfn.IFS(U1811="January",1,U1811="February",2,U1811="March",3,U1811="April",4,U1811="May",5,U1811="June",6,U1811="July",7,U1811="August",8,U1811="September",9,U1811="October",10,U1811="November",11,U1811="December",12)</f>
        <v>#N/A</v>
      </c>
    </row>
    <row r="1812" spans="1:23" ht="15.75" customHeight="1" x14ac:dyDescent="0.25">
      <c r="A1812" s="2" t="s">
        <v>676</v>
      </c>
      <c r="B1812" s="3">
        <v>45622.655358796299</v>
      </c>
      <c r="C1812" s="2" t="s">
        <v>342</v>
      </c>
      <c r="D1812" s="2" t="s">
        <v>131</v>
      </c>
      <c r="E1812" s="2" t="s">
        <v>41</v>
      </c>
      <c r="F1812" s="2" t="str" cm="1">
        <f t="array" ref="F1812:G1812">_xlfn.TEXTSPLIT(E1812," - ")</f>
        <v>Garam</v>
      </c>
      <c r="G1812" s="2" t="str">
        <v>Brand A</v>
      </c>
      <c r="H1812" s="5">
        <v>4000</v>
      </c>
      <c r="I1812" s="2">
        <v>4</v>
      </c>
      <c r="J1812" s="2">
        <v>20</v>
      </c>
      <c r="K1812" s="8">
        <f t="shared" si="168"/>
        <v>16000</v>
      </c>
      <c r="L1812" s="8">
        <f t="shared" si="169"/>
        <v>3200</v>
      </c>
      <c r="M1812" s="8">
        <f t="shared" si="170"/>
        <v>12800</v>
      </c>
      <c r="N1812" s="5">
        <v>59000</v>
      </c>
      <c r="O1812" s="8">
        <f t="shared" si="171"/>
        <v>71800</v>
      </c>
      <c r="P1812" s="2" t="s">
        <v>22</v>
      </c>
      <c r="Q1812" s="10" t="str">
        <f>VLOOKUP(A1812,Status!A:B,2,0)</f>
        <v>Completed</v>
      </c>
      <c r="R1812" s="2" t="s">
        <v>23</v>
      </c>
      <c r="S1812" s="2">
        <v>5</v>
      </c>
      <c r="T1812" s="2" t="s">
        <v>37</v>
      </c>
      <c r="U1812" s="10" t="str">
        <f t="shared" si="173"/>
        <v>Nov</v>
      </c>
      <c r="V1812" s="10">
        <f t="shared" si="172"/>
        <v>2024</v>
      </c>
      <c r="W1812" t="e" cm="1">
        <f t="array" ref="W1812">_xlfn.IFS(U1812="January",1,U1812="February",2,U1812="March",3,U1812="April",4,U1812="May",5,U1812="June",6,U1812="July",7,U1812="August",8,U1812="September",9,U1812="October",10,U1812="November",11,U1812="December",12)</f>
        <v>#N/A</v>
      </c>
    </row>
    <row r="1813" spans="1:23" ht="15.75" customHeight="1" x14ac:dyDescent="0.25">
      <c r="A1813" s="2" t="s">
        <v>677</v>
      </c>
      <c r="B1813" s="3">
        <v>45622.663969907408</v>
      </c>
      <c r="C1813" s="2" t="s">
        <v>402</v>
      </c>
      <c r="D1813" s="2" t="s">
        <v>163</v>
      </c>
      <c r="E1813" s="2" t="s">
        <v>144</v>
      </c>
      <c r="F1813" s="2" t="str" cm="1">
        <f t="array" ref="F1813:G1813">_xlfn.TEXTSPLIT(E1813," - ")</f>
        <v>Gula Pasir</v>
      </c>
      <c r="G1813" s="2" t="str">
        <v>Brand C</v>
      </c>
      <c r="H1813" s="5">
        <v>18000</v>
      </c>
      <c r="I1813" s="2">
        <v>1</v>
      </c>
      <c r="J1813" s="2">
        <v>15</v>
      </c>
      <c r="K1813" s="8">
        <f t="shared" si="168"/>
        <v>18000</v>
      </c>
      <c r="L1813" s="8">
        <f t="shared" si="169"/>
        <v>2700</v>
      </c>
      <c r="M1813" s="8">
        <f t="shared" si="170"/>
        <v>15300</v>
      </c>
      <c r="N1813" s="5">
        <v>50000</v>
      </c>
      <c r="O1813" s="8">
        <f t="shared" si="171"/>
        <v>65300</v>
      </c>
      <c r="P1813" s="2" t="s">
        <v>63</v>
      </c>
      <c r="Q1813" s="10" t="str">
        <f>VLOOKUP(A1813,Status!A:B,2,0)</f>
        <v>Completed</v>
      </c>
      <c r="R1813" s="2" t="s">
        <v>82</v>
      </c>
      <c r="S1813" s="2">
        <v>4</v>
      </c>
      <c r="T1813" s="2" t="s">
        <v>24</v>
      </c>
      <c r="U1813" s="10" t="str">
        <f t="shared" si="173"/>
        <v>Nov</v>
      </c>
      <c r="V1813" s="10">
        <f t="shared" si="172"/>
        <v>2024</v>
      </c>
      <c r="W1813" t="e" cm="1">
        <f t="array" ref="W1813">_xlfn.IFS(U1813="January",1,U1813="February",2,U1813="March",3,U1813="April",4,U1813="May",5,U1813="June",6,U1813="July",7,U1813="August",8,U1813="September",9,U1813="October",10,U1813="November",11,U1813="December",12)</f>
        <v>#N/A</v>
      </c>
    </row>
    <row r="1814" spans="1:23" ht="15.75" customHeight="1" x14ac:dyDescent="0.25">
      <c r="A1814" s="2" t="s">
        <v>678</v>
      </c>
      <c r="B1814" s="3">
        <v>45622.683680555558</v>
      </c>
      <c r="C1814" s="2" t="s">
        <v>601</v>
      </c>
      <c r="D1814" s="2" t="s">
        <v>119</v>
      </c>
      <c r="E1814" s="2" t="s">
        <v>75</v>
      </c>
      <c r="F1814" s="2" t="str" cm="1">
        <f t="array" ref="F1814:G1814">_xlfn.TEXTSPLIT(E1814," - ")</f>
        <v>Susu Bubuk</v>
      </c>
      <c r="G1814" s="2" t="str">
        <v>Brand C</v>
      </c>
      <c r="H1814" s="5">
        <v>55000</v>
      </c>
      <c r="I1814" s="2">
        <v>2</v>
      </c>
      <c r="J1814" s="2">
        <v>10</v>
      </c>
      <c r="K1814" s="8">
        <f t="shared" si="168"/>
        <v>110000</v>
      </c>
      <c r="L1814" s="8">
        <f t="shared" si="169"/>
        <v>11000</v>
      </c>
      <c r="M1814" s="8">
        <f t="shared" si="170"/>
        <v>99000</v>
      </c>
      <c r="N1814" s="5">
        <v>0</v>
      </c>
      <c r="O1814" s="8">
        <f t="shared" si="171"/>
        <v>99000</v>
      </c>
      <c r="P1814" s="2" t="s">
        <v>35</v>
      </c>
      <c r="Q1814" s="10" t="str">
        <f>VLOOKUP(A1814,Status!A:B,2,0)</f>
        <v>Completed</v>
      </c>
      <c r="R1814" s="2" t="s">
        <v>30</v>
      </c>
      <c r="S1814" s="2">
        <v>4</v>
      </c>
      <c r="T1814" s="2" t="s">
        <v>24</v>
      </c>
      <c r="U1814" s="10" t="str">
        <f t="shared" si="173"/>
        <v>Nov</v>
      </c>
      <c r="V1814" s="10">
        <f t="shared" si="172"/>
        <v>2024</v>
      </c>
      <c r="W1814" t="e" cm="1">
        <f t="array" ref="W1814">_xlfn.IFS(U1814="January",1,U1814="February",2,U1814="March",3,U1814="April",4,U1814="May",5,U1814="June",6,U1814="July",7,U1814="August",8,U1814="September",9,U1814="October",10,U1814="November",11,U1814="December",12)</f>
        <v>#N/A</v>
      </c>
    </row>
    <row r="1815" spans="1:23" ht="15.75" customHeight="1" x14ac:dyDescent="0.25">
      <c r="A1815" s="2" t="s">
        <v>679</v>
      </c>
      <c r="B1815" s="3">
        <v>45622.748402777783</v>
      </c>
      <c r="C1815" s="2" t="s">
        <v>112</v>
      </c>
      <c r="D1815" s="2" t="s">
        <v>113</v>
      </c>
      <c r="E1815" s="2" t="s">
        <v>75</v>
      </c>
      <c r="F1815" s="2" t="str" cm="1">
        <f t="array" ref="F1815:G1815">_xlfn.TEXTSPLIT(E1815," - ")</f>
        <v>Susu Bubuk</v>
      </c>
      <c r="G1815" s="2" t="str">
        <v>Brand C</v>
      </c>
      <c r="H1815" s="5">
        <v>55000</v>
      </c>
      <c r="I1815" s="2">
        <v>4</v>
      </c>
      <c r="J1815" s="2">
        <v>10</v>
      </c>
      <c r="K1815" s="8">
        <f t="shared" si="168"/>
        <v>220000</v>
      </c>
      <c r="L1815" s="8">
        <f t="shared" si="169"/>
        <v>22000</v>
      </c>
      <c r="M1815" s="8">
        <f t="shared" si="170"/>
        <v>198000</v>
      </c>
      <c r="N1815" s="5">
        <v>18000</v>
      </c>
      <c r="O1815" s="8">
        <f t="shared" si="171"/>
        <v>216000</v>
      </c>
      <c r="P1815" s="2" t="s">
        <v>35</v>
      </c>
      <c r="Q1815" s="10" t="str">
        <f>VLOOKUP(A1815,Status!A:B,2,0)</f>
        <v>Completed</v>
      </c>
      <c r="R1815" s="2" t="s">
        <v>30</v>
      </c>
      <c r="S1815" s="2">
        <v>2</v>
      </c>
      <c r="T1815" s="2" t="s">
        <v>24</v>
      </c>
      <c r="U1815" s="10" t="str">
        <f t="shared" si="173"/>
        <v>Nov</v>
      </c>
      <c r="V1815" s="10">
        <f t="shared" si="172"/>
        <v>2024</v>
      </c>
      <c r="W1815" t="e" cm="1">
        <f t="array" ref="W1815">_xlfn.IFS(U1815="January",1,U1815="February",2,U1815="March",3,U1815="April",4,U1815="May",5,U1815="June",6,U1815="July",7,U1815="August",8,U1815="September",9,U1815="October",10,U1815="November",11,U1815="December",12)</f>
        <v>#N/A</v>
      </c>
    </row>
    <row r="1816" spans="1:23" ht="15.75" customHeight="1" x14ac:dyDescent="0.25">
      <c r="A1816" s="2" t="s">
        <v>680</v>
      </c>
      <c r="B1816" s="3">
        <v>45622.824826388889</v>
      </c>
      <c r="C1816" s="2" t="s">
        <v>681</v>
      </c>
      <c r="D1816" s="2" t="s">
        <v>262</v>
      </c>
      <c r="E1816" s="2" t="s">
        <v>34</v>
      </c>
      <c r="F1816" s="2" t="str" cm="1">
        <f t="array" ref="F1816:G1816">_xlfn.TEXTSPLIT(E1816," - ")</f>
        <v>Minyak Goreng</v>
      </c>
      <c r="G1816" s="2" t="str">
        <v>Brand A</v>
      </c>
      <c r="H1816" s="5">
        <v>16000</v>
      </c>
      <c r="I1816" s="2">
        <v>5</v>
      </c>
      <c r="J1816" s="2">
        <v>5</v>
      </c>
      <c r="K1816" s="8">
        <f t="shared" si="168"/>
        <v>80000</v>
      </c>
      <c r="L1816" s="8">
        <f t="shared" si="169"/>
        <v>4000</v>
      </c>
      <c r="M1816" s="8">
        <f t="shared" si="170"/>
        <v>76000</v>
      </c>
      <c r="N1816" s="5">
        <v>18000</v>
      </c>
      <c r="O1816" s="8">
        <f t="shared" si="171"/>
        <v>94000</v>
      </c>
      <c r="P1816" s="2" t="s">
        <v>35</v>
      </c>
      <c r="Q1816" s="10" t="str">
        <f>VLOOKUP(A1816,Status!A:B,2,0)</f>
        <v>Completed</v>
      </c>
      <c r="R1816" s="2" t="s">
        <v>82</v>
      </c>
      <c r="S1816" s="2">
        <v>5</v>
      </c>
      <c r="T1816" s="2" t="s">
        <v>24</v>
      </c>
      <c r="U1816" s="10" t="str">
        <f t="shared" si="173"/>
        <v>Nov</v>
      </c>
      <c r="V1816" s="10">
        <f t="shared" si="172"/>
        <v>2024</v>
      </c>
      <c r="W1816" t="e" cm="1">
        <f t="array" ref="W1816">_xlfn.IFS(U1816="January",1,U1816="February",2,U1816="March",3,U1816="April",4,U1816="May",5,U1816="June",6,U1816="July",7,U1816="August",8,U1816="September",9,U1816="October",10,U1816="November",11,U1816="December",12)</f>
        <v>#N/A</v>
      </c>
    </row>
    <row r="1817" spans="1:23" ht="15.75" customHeight="1" x14ac:dyDescent="0.25">
      <c r="A1817" s="2" t="s">
        <v>682</v>
      </c>
      <c r="B1817" s="3">
        <v>45623.118333333332</v>
      </c>
      <c r="C1817" s="2" t="s">
        <v>683</v>
      </c>
      <c r="D1817" s="2" t="s">
        <v>27</v>
      </c>
      <c r="E1817" s="2" t="s">
        <v>186</v>
      </c>
      <c r="F1817" s="2" t="str" cm="1">
        <f t="array" ref="F1817:G1817">_xlfn.TEXTSPLIT(E1817," - ")</f>
        <v>Susu Bubuk</v>
      </c>
      <c r="G1817" s="2" t="str">
        <v>Brand A</v>
      </c>
      <c r="H1817" s="5">
        <v>45000</v>
      </c>
      <c r="I1817" s="2">
        <v>5</v>
      </c>
      <c r="J1817" s="2">
        <v>15</v>
      </c>
      <c r="K1817" s="8">
        <f t="shared" si="168"/>
        <v>225000</v>
      </c>
      <c r="L1817" s="8">
        <f t="shared" si="169"/>
        <v>33750</v>
      </c>
      <c r="M1817" s="8">
        <f t="shared" si="170"/>
        <v>191250</v>
      </c>
      <c r="N1817" s="5">
        <v>17000</v>
      </c>
      <c r="O1817" s="8">
        <f t="shared" si="171"/>
        <v>208250</v>
      </c>
      <c r="P1817" s="2" t="s">
        <v>35</v>
      </c>
      <c r="Q1817" s="10" t="str">
        <f>VLOOKUP(A1817,Status!A:B,2,0)</f>
        <v>Returned</v>
      </c>
      <c r="R1817" s="2" t="s">
        <v>30</v>
      </c>
      <c r="S1817" s="2">
        <v>1</v>
      </c>
      <c r="T1817" s="2" t="s">
        <v>37</v>
      </c>
      <c r="U1817" s="10" t="str">
        <f t="shared" si="173"/>
        <v>Nov</v>
      </c>
      <c r="V1817" s="10">
        <f t="shared" si="172"/>
        <v>2024</v>
      </c>
      <c r="W1817" t="e" cm="1">
        <f t="array" ref="W1817">_xlfn.IFS(U1817="January",1,U1817="February",2,U1817="March",3,U1817="April",4,U1817="May",5,U1817="June",6,U1817="July",7,U1817="August",8,U1817="September",9,U1817="October",10,U1817="November",11,U1817="December",12)</f>
        <v>#N/A</v>
      </c>
    </row>
    <row r="1818" spans="1:23" ht="15.75" customHeight="1" x14ac:dyDescent="0.25">
      <c r="A1818" s="2" t="s">
        <v>684</v>
      </c>
      <c r="B1818" s="3">
        <v>45623.428807870368</v>
      </c>
      <c r="C1818" s="2" t="s">
        <v>402</v>
      </c>
      <c r="D1818" s="2" t="s">
        <v>163</v>
      </c>
      <c r="E1818" s="2" t="s">
        <v>81</v>
      </c>
      <c r="F1818" s="2" t="str" cm="1">
        <f t="array" ref="F1818:G1818">_xlfn.TEXTSPLIT(E1818," - ")</f>
        <v>Minyak Goreng</v>
      </c>
      <c r="G1818" s="2" t="str">
        <v>Brand B</v>
      </c>
      <c r="H1818" s="5">
        <v>17000</v>
      </c>
      <c r="I1818" s="2">
        <v>2</v>
      </c>
      <c r="J1818" s="2">
        <v>15</v>
      </c>
      <c r="K1818" s="8">
        <f t="shared" si="168"/>
        <v>34000</v>
      </c>
      <c r="L1818" s="8">
        <f t="shared" si="169"/>
        <v>5100</v>
      </c>
      <c r="M1818" s="8">
        <f t="shared" si="170"/>
        <v>28900</v>
      </c>
      <c r="N1818" s="5">
        <v>50000</v>
      </c>
      <c r="O1818" s="8">
        <f t="shared" si="171"/>
        <v>78900</v>
      </c>
      <c r="P1818" s="2" t="s">
        <v>35</v>
      </c>
      <c r="Q1818" s="10" t="str">
        <f>VLOOKUP(A1818,Status!A:B,2,0)</f>
        <v>Completed</v>
      </c>
      <c r="R1818" s="2" t="s">
        <v>82</v>
      </c>
      <c r="S1818" s="2">
        <v>3</v>
      </c>
      <c r="T1818" s="2" t="s">
        <v>24</v>
      </c>
      <c r="U1818" s="10" t="str">
        <f t="shared" si="173"/>
        <v>Nov</v>
      </c>
      <c r="V1818" s="10">
        <f t="shared" si="172"/>
        <v>2024</v>
      </c>
      <c r="W1818" t="e" cm="1">
        <f t="array" ref="W1818">_xlfn.IFS(U1818="January",1,U1818="February",2,U1818="March",3,U1818="April",4,U1818="May",5,U1818="June",6,U1818="July",7,U1818="August",8,U1818="September",9,U1818="October",10,U1818="November",11,U1818="December",12)</f>
        <v>#N/A</v>
      </c>
    </row>
    <row r="1819" spans="1:23" ht="15.75" customHeight="1" x14ac:dyDescent="0.25">
      <c r="A1819" s="2" t="s">
        <v>685</v>
      </c>
      <c r="B1819" s="3">
        <v>45623.495648148149</v>
      </c>
      <c r="C1819" s="2" t="s">
        <v>495</v>
      </c>
      <c r="D1819" s="2" t="s">
        <v>44</v>
      </c>
      <c r="E1819" s="2" t="s">
        <v>21</v>
      </c>
      <c r="F1819" s="2" t="str" cm="1">
        <f t="array" ref="F1819:G1819">_xlfn.TEXTSPLIT(E1819," - ")</f>
        <v>Daging Ayam</v>
      </c>
      <c r="G1819" s="2" t="str">
        <v>Brand C</v>
      </c>
      <c r="H1819" s="5">
        <v>45000</v>
      </c>
      <c r="I1819" s="2">
        <v>2</v>
      </c>
      <c r="J1819" s="2">
        <v>20</v>
      </c>
      <c r="K1819" s="8">
        <f t="shared" si="168"/>
        <v>90000</v>
      </c>
      <c r="L1819" s="8">
        <f t="shared" si="169"/>
        <v>18000</v>
      </c>
      <c r="M1819" s="8">
        <f t="shared" si="170"/>
        <v>72000</v>
      </c>
      <c r="N1819" s="5">
        <v>93000</v>
      </c>
      <c r="O1819" s="8">
        <f t="shared" si="171"/>
        <v>165000</v>
      </c>
      <c r="P1819" s="2" t="s">
        <v>35</v>
      </c>
      <c r="Q1819" s="10" t="str">
        <f>VLOOKUP(A1819,Status!A:B,2,0)</f>
        <v>Completed</v>
      </c>
      <c r="R1819" s="2" t="s">
        <v>36</v>
      </c>
      <c r="S1819" s="2">
        <v>3</v>
      </c>
      <c r="T1819" s="2" t="s">
        <v>37</v>
      </c>
      <c r="U1819" s="10" t="str">
        <f t="shared" si="173"/>
        <v>Nov</v>
      </c>
      <c r="V1819" s="10">
        <f t="shared" si="172"/>
        <v>2024</v>
      </c>
      <c r="W1819" t="e" cm="1">
        <f t="array" ref="W1819">_xlfn.IFS(U1819="January",1,U1819="February",2,U1819="March",3,U1819="April",4,U1819="May",5,U1819="June",6,U1819="July",7,U1819="August",8,U1819="September",9,U1819="October",10,U1819="November",11,U1819="December",12)</f>
        <v>#N/A</v>
      </c>
    </row>
    <row r="1820" spans="1:23" ht="15.75" customHeight="1" x14ac:dyDescent="0.25">
      <c r="A1820" s="2" t="s">
        <v>686</v>
      </c>
      <c r="B1820" s="3">
        <v>45623.603171296287</v>
      </c>
      <c r="C1820" s="2" t="s">
        <v>479</v>
      </c>
      <c r="D1820" s="2" t="s">
        <v>107</v>
      </c>
      <c r="E1820" s="2" t="s">
        <v>34</v>
      </c>
      <c r="F1820" s="2" t="str" cm="1">
        <f t="array" ref="F1820:G1820">_xlfn.TEXTSPLIT(E1820," - ")</f>
        <v>Minyak Goreng</v>
      </c>
      <c r="G1820" s="2" t="str">
        <v>Brand A</v>
      </c>
      <c r="H1820" s="5">
        <v>16000</v>
      </c>
      <c r="I1820" s="2">
        <v>4</v>
      </c>
      <c r="J1820" s="2">
        <v>0</v>
      </c>
      <c r="K1820" s="8">
        <f t="shared" si="168"/>
        <v>64000</v>
      </c>
      <c r="L1820" s="8">
        <f t="shared" si="169"/>
        <v>0</v>
      </c>
      <c r="M1820" s="8">
        <f t="shared" si="170"/>
        <v>64000</v>
      </c>
      <c r="N1820" s="5">
        <v>97000</v>
      </c>
      <c r="O1820" s="8">
        <f t="shared" si="171"/>
        <v>161000</v>
      </c>
      <c r="P1820" s="2" t="s">
        <v>63</v>
      </c>
      <c r="Q1820" s="10" t="str">
        <f>VLOOKUP(A1820,Status!A:B,2,0)</f>
        <v>Cancelled</v>
      </c>
      <c r="R1820" s="2" t="s">
        <v>82</v>
      </c>
      <c r="S1820" s="2">
        <v>2</v>
      </c>
      <c r="T1820" s="2" t="s">
        <v>37</v>
      </c>
      <c r="U1820" s="10" t="str">
        <f t="shared" si="173"/>
        <v>Nov</v>
      </c>
      <c r="V1820" s="10">
        <f t="shared" si="172"/>
        <v>2024</v>
      </c>
      <c r="W1820" t="e" cm="1">
        <f t="array" ref="W1820">_xlfn.IFS(U1820="January",1,U1820="February",2,U1820="March",3,U1820="April",4,U1820="May",5,U1820="June",6,U1820="July",7,U1820="August",8,U1820="September",9,U1820="October",10,U1820="November",11,U1820="December",12)</f>
        <v>#N/A</v>
      </c>
    </row>
    <row r="1821" spans="1:23" ht="15.75" customHeight="1" x14ac:dyDescent="0.25">
      <c r="A1821" s="2" t="s">
        <v>687</v>
      </c>
      <c r="B1821" s="3">
        <v>45623.647187499999</v>
      </c>
      <c r="C1821" s="2" t="s">
        <v>688</v>
      </c>
      <c r="D1821" s="2" t="s">
        <v>92</v>
      </c>
      <c r="E1821" s="2" t="s">
        <v>81</v>
      </c>
      <c r="F1821" s="2" t="str" cm="1">
        <f t="array" ref="F1821:G1821">_xlfn.TEXTSPLIT(E1821," - ")</f>
        <v>Minyak Goreng</v>
      </c>
      <c r="G1821" s="2" t="str">
        <v>Brand B</v>
      </c>
      <c r="H1821" s="5">
        <v>17000</v>
      </c>
      <c r="I1821" s="2">
        <v>2</v>
      </c>
      <c r="J1821" s="2">
        <v>20</v>
      </c>
      <c r="K1821" s="8">
        <f t="shared" si="168"/>
        <v>34000</v>
      </c>
      <c r="L1821" s="8">
        <f t="shared" si="169"/>
        <v>6800</v>
      </c>
      <c r="M1821" s="8">
        <f t="shared" si="170"/>
        <v>27200</v>
      </c>
      <c r="N1821" s="5">
        <v>30000</v>
      </c>
      <c r="O1821" s="8">
        <f t="shared" si="171"/>
        <v>57200</v>
      </c>
      <c r="P1821" s="2" t="s">
        <v>22</v>
      </c>
      <c r="Q1821" s="10" t="str">
        <f>VLOOKUP(A1821,Status!A:B,2,0)</f>
        <v>Completed</v>
      </c>
      <c r="R1821" s="2" t="s">
        <v>82</v>
      </c>
      <c r="S1821" s="2">
        <v>3</v>
      </c>
      <c r="T1821" s="2" t="s">
        <v>24</v>
      </c>
      <c r="U1821" s="10" t="str">
        <f t="shared" si="173"/>
        <v>Nov</v>
      </c>
      <c r="V1821" s="10">
        <f t="shared" si="172"/>
        <v>2024</v>
      </c>
      <c r="W1821" t="e" cm="1">
        <f t="array" ref="W1821">_xlfn.IFS(U1821="January",1,U1821="February",2,U1821="March",3,U1821="April",4,U1821="May",5,U1821="June",6,U1821="July",7,U1821="August",8,U1821="September",9,U1821="October",10,U1821="November",11,U1821="December",12)</f>
        <v>#N/A</v>
      </c>
    </row>
    <row r="1822" spans="1:23" ht="15.75" customHeight="1" x14ac:dyDescent="0.25">
      <c r="A1822" s="2" t="s">
        <v>689</v>
      </c>
      <c r="B1822" s="3">
        <v>45623.852164351847</v>
      </c>
      <c r="C1822" s="2" t="s">
        <v>690</v>
      </c>
      <c r="D1822" s="2" t="s">
        <v>173</v>
      </c>
      <c r="E1822" s="2" t="s">
        <v>88</v>
      </c>
      <c r="F1822" s="2" t="str" cm="1">
        <f t="array" ref="F1822:G1822">_xlfn.TEXTSPLIT(E1822," - ")</f>
        <v>Beras</v>
      </c>
      <c r="G1822" s="2" t="str">
        <v>Brand A</v>
      </c>
      <c r="H1822" s="5">
        <v>14000</v>
      </c>
      <c r="I1822" s="2">
        <v>2</v>
      </c>
      <c r="J1822" s="2">
        <v>20</v>
      </c>
      <c r="K1822" s="8">
        <f t="shared" si="168"/>
        <v>28000</v>
      </c>
      <c r="L1822" s="8">
        <f t="shared" si="169"/>
        <v>5600</v>
      </c>
      <c r="M1822" s="8">
        <f t="shared" si="170"/>
        <v>22400</v>
      </c>
      <c r="N1822" s="5">
        <v>49000</v>
      </c>
      <c r="O1822" s="8">
        <f t="shared" si="171"/>
        <v>71400</v>
      </c>
      <c r="P1822" s="2" t="s">
        <v>22</v>
      </c>
      <c r="Q1822" s="10" t="str">
        <f>VLOOKUP(A1822,Status!A:B,2,0)</f>
        <v>Returned</v>
      </c>
      <c r="R1822" s="2" t="s">
        <v>30</v>
      </c>
      <c r="S1822" s="2">
        <v>3</v>
      </c>
      <c r="T1822" s="2" t="s">
        <v>37</v>
      </c>
      <c r="U1822" s="10" t="str">
        <f t="shared" si="173"/>
        <v>Nov</v>
      </c>
      <c r="V1822" s="10">
        <f t="shared" si="172"/>
        <v>2024</v>
      </c>
      <c r="W1822" t="e" cm="1">
        <f t="array" ref="W1822">_xlfn.IFS(U1822="January",1,U1822="February",2,U1822="March",3,U1822="April",4,U1822="May",5,U1822="June",6,U1822="July",7,U1822="August",8,U1822="September",9,U1822="October",10,U1822="November",11,U1822="December",12)</f>
        <v>#N/A</v>
      </c>
    </row>
    <row r="1823" spans="1:23" ht="15.75" customHeight="1" x14ac:dyDescent="0.25">
      <c r="A1823" s="2" t="s">
        <v>691</v>
      </c>
      <c r="B1823" s="3">
        <v>45623.93167824074</v>
      </c>
      <c r="C1823" s="2" t="s">
        <v>681</v>
      </c>
      <c r="D1823" s="2" t="s">
        <v>262</v>
      </c>
      <c r="E1823" s="2" t="s">
        <v>186</v>
      </c>
      <c r="F1823" s="2" t="str" cm="1">
        <f t="array" ref="F1823:G1823">_xlfn.TEXTSPLIT(E1823," - ")</f>
        <v>Susu Bubuk</v>
      </c>
      <c r="G1823" s="2" t="str">
        <v>Brand A</v>
      </c>
      <c r="H1823" s="5">
        <v>45000</v>
      </c>
      <c r="I1823" s="2">
        <v>2</v>
      </c>
      <c r="J1823" s="2">
        <v>5</v>
      </c>
      <c r="K1823" s="8">
        <f t="shared" si="168"/>
        <v>90000</v>
      </c>
      <c r="L1823" s="8">
        <f t="shared" si="169"/>
        <v>4500</v>
      </c>
      <c r="M1823" s="8">
        <f t="shared" si="170"/>
        <v>85500</v>
      </c>
      <c r="N1823" s="5">
        <v>18000</v>
      </c>
      <c r="O1823" s="8">
        <f t="shared" si="171"/>
        <v>103500</v>
      </c>
      <c r="P1823" s="2" t="s">
        <v>63</v>
      </c>
      <c r="Q1823" s="10" t="str">
        <f>VLOOKUP(A1823,Status!A:B,2,0)</f>
        <v>Completed</v>
      </c>
      <c r="R1823" s="2" t="s">
        <v>23</v>
      </c>
      <c r="S1823" s="2">
        <v>4</v>
      </c>
      <c r="T1823" s="2" t="s">
        <v>24</v>
      </c>
      <c r="U1823" s="10" t="str">
        <f t="shared" si="173"/>
        <v>Nov</v>
      </c>
      <c r="V1823" s="10">
        <f t="shared" si="172"/>
        <v>2024</v>
      </c>
      <c r="W1823" t="e" cm="1">
        <f t="array" ref="W1823">_xlfn.IFS(U1823="January",1,U1823="February",2,U1823="March",3,U1823="April",4,U1823="May",5,U1823="June",6,U1823="July",7,U1823="August",8,U1823="September",9,U1823="October",10,U1823="November",11,U1823="December",12)</f>
        <v>#N/A</v>
      </c>
    </row>
    <row r="1824" spans="1:23" ht="15.75" customHeight="1" x14ac:dyDescent="0.25">
      <c r="A1824" s="2" t="s">
        <v>692</v>
      </c>
      <c r="B1824" s="3">
        <v>45624.106539351851</v>
      </c>
      <c r="C1824" s="2" t="s">
        <v>693</v>
      </c>
      <c r="D1824" s="2" t="s">
        <v>119</v>
      </c>
      <c r="E1824" s="2" t="s">
        <v>104</v>
      </c>
      <c r="F1824" s="2" t="str" cm="1">
        <f t="array" ref="F1824:G1824">_xlfn.TEXTSPLIT(E1824," - ")</f>
        <v>Bawang Merah</v>
      </c>
      <c r="G1824" s="2" t="str">
        <v>Brand A</v>
      </c>
      <c r="H1824" s="5">
        <v>30000</v>
      </c>
      <c r="I1824" s="2">
        <v>5</v>
      </c>
      <c r="J1824" s="2">
        <v>10</v>
      </c>
      <c r="K1824" s="8">
        <f t="shared" si="168"/>
        <v>150000</v>
      </c>
      <c r="L1824" s="8">
        <f t="shared" si="169"/>
        <v>15000</v>
      </c>
      <c r="M1824" s="8">
        <f t="shared" si="170"/>
        <v>135000</v>
      </c>
      <c r="N1824" s="5">
        <v>0</v>
      </c>
      <c r="O1824" s="8">
        <f t="shared" si="171"/>
        <v>135000</v>
      </c>
      <c r="P1824" s="2" t="s">
        <v>29</v>
      </c>
      <c r="Q1824" s="10" t="str">
        <f>VLOOKUP(A1824,Status!A:B,2,0)</f>
        <v>Returned</v>
      </c>
      <c r="R1824" s="2" t="s">
        <v>23</v>
      </c>
      <c r="S1824" s="2">
        <v>1</v>
      </c>
      <c r="T1824" s="2" t="s">
        <v>24</v>
      </c>
      <c r="U1824" s="10" t="str">
        <f t="shared" si="173"/>
        <v>Nov</v>
      </c>
      <c r="V1824" s="10">
        <f t="shared" si="172"/>
        <v>2024</v>
      </c>
      <c r="W1824" t="e" cm="1">
        <f t="array" ref="W1824">_xlfn.IFS(U1824="January",1,U1824="February",2,U1824="March",3,U1824="April",4,U1824="May",5,U1824="June",6,U1824="July",7,U1824="August",8,U1824="September",9,U1824="October",10,U1824="November",11,U1824="December",12)</f>
        <v>#N/A</v>
      </c>
    </row>
    <row r="1825" spans="1:23" ht="15.75" customHeight="1" x14ac:dyDescent="0.25">
      <c r="A1825" s="2" t="s">
        <v>692</v>
      </c>
      <c r="B1825" s="3">
        <v>45624.106539351851</v>
      </c>
      <c r="C1825" s="2" t="s">
        <v>693</v>
      </c>
      <c r="D1825" s="2" t="s">
        <v>119</v>
      </c>
      <c r="E1825" s="2" t="s">
        <v>28</v>
      </c>
      <c r="F1825" s="2" t="str" cm="1">
        <f t="array" ref="F1825:G1825">_xlfn.TEXTSPLIT(E1825," - ")</f>
        <v>Garam</v>
      </c>
      <c r="G1825" s="2" t="str">
        <v>Brand B</v>
      </c>
      <c r="H1825" s="5">
        <v>5000</v>
      </c>
      <c r="I1825" s="2">
        <v>1</v>
      </c>
      <c r="J1825" s="2">
        <v>20</v>
      </c>
      <c r="K1825" s="8">
        <f t="shared" si="168"/>
        <v>5000</v>
      </c>
      <c r="L1825" s="8">
        <f t="shared" si="169"/>
        <v>1000</v>
      </c>
      <c r="M1825" s="8">
        <f t="shared" si="170"/>
        <v>4000</v>
      </c>
      <c r="N1825" s="5">
        <v>0</v>
      </c>
      <c r="O1825" s="8">
        <f t="shared" si="171"/>
        <v>4000</v>
      </c>
      <c r="P1825" s="2" t="s">
        <v>29</v>
      </c>
      <c r="Q1825" s="10" t="str">
        <f>VLOOKUP(A1825,Status!A:B,2,0)</f>
        <v>Returned</v>
      </c>
      <c r="R1825" s="2" t="s">
        <v>23</v>
      </c>
      <c r="S1825" s="2">
        <v>1</v>
      </c>
      <c r="T1825" s="2" t="s">
        <v>24</v>
      </c>
      <c r="U1825" s="10" t="str">
        <f t="shared" si="173"/>
        <v>Nov</v>
      </c>
      <c r="V1825" s="10">
        <f t="shared" si="172"/>
        <v>2024</v>
      </c>
      <c r="W1825" t="e" cm="1">
        <f t="array" ref="W1825">_xlfn.IFS(U1825="January",1,U1825="February",2,U1825="March",3,U1825="April",4,U1825="May",5,U1825="June",6,U1825="July",7,U1825="August",8,U1825="September",9,U1825="October",10,U1825="November",11,U1825="December",12)</f>
        <v>#N/A</v>
      </c>
    </row>
    <row r="1826" spans="1:23" ht="15.75" customHeight="1" x14ac:dyDescent="0.25">
      <c r="A1826" s="2" t="s">
        <v>694</v>
      </c>
      <c r="B1826" s="3">
        <v>45624.178356481483</v>
      </c>
      <c r="C1826" s="2" t="s">
        <v>695</v>
      </c>
      <c r="D1826" s="2" t="s">
        <v>119</v>
      </c>
      <c r="E1826" s="2" t="s">
        <v>138</v>
      </c>
      <c r="F1826" s="2" t="str" cm="1">
        <f t="array" ref="F1826:G1826">_xlfn.TEXTSPLIT(E1826," - ")</f>
        <v>Gula Pasir</v>
      </c>
      <c r="G1826" s="2" t="str">
        <v>Brand B</v>
      </c>
      <c r="H1826" s="5">
        <v>17000</v>
      </c>
      <c r="I1826" s="2">
        <v>3</v>
      </c>
      <c r="J1826" s="2">
        <v>5</v>
      </c>
      <c r="K1826" s="8">
        <f t="shared" si="168"/>
        <v>51000</v>
      </c>
      <c r="L1826" s="8">
        <f t="shared" si="169"/>
        <v>2550</v>
      </c>
      <c r="M1826" s="8">
        <f t="shared" si="170"/>
        <v>48450</v>
      </c>
      <c r="N1826" s="5">
        <v>0</v>
      </c>
      <c r="O1826" s="8">
        <f t="shared" si="171"/>
        <v>48450</v>
      </c>
      <c r="P1826" s="2" t="s">
        <v>29</v>
      </c>
      <c r="Q1826" s="10" t="str">
        <f>VLOOKUP(A1826,Status!A:B,2,0)</f>
        <v>Completed</v>
      </c>
      <c r="R1826" s="2" t="s">
        <v>82</v>
      </c>
      <c r="S1826" s="2">
        <v>5</v>
      </c>
      <c r="T1826" s="2" t="s">
        <v>24</v>
      </c>
      <c r="U1826" s="10" t="str">
        <f t="shared" si="173"/>
        <v>Nov</v>
      </c>
      <c r="V1826" s="10">
        <f t="shared" si="172"/>
        <v>2024</v>
      </c>
      <c r="W1826" t="e" cm="1">
        <f t="array" ref="W1826">_xlfn.IFS(U1826="January",1,U1826="February",2,U1826="March",3,U1826="April",4,U1826="May",5,U1826="June",6,U1826="July",7,U1826="August",8,U1826="September",9,U1826="October",10,U1826="November",11,U1826="December",12)</f>
        <v>#N/A</v>
      </c>
    </row>
    <row r="1827" spans="1:23" ht="15.75" customHeight="1" x14ac:dyDescent="0.25">
      <c r="A1827" s="2" t="s">
        <v>696</v>
      </c>
      <c r="B1827" s="3">
        <v>45624.512974537043</v>
      </c>
      <c r="C1827" s="2" t="s">
        <v>697</v>
      </c>
      <c r="D1827" s="2" t="s">
        <v>143</v>
      </c>
      <c r="E1827" s="2" t="s">
        <v>88</v>
      </c>
      <c r="F1827" s="2" t="str" cm="1">
        <f t="array" ref="F1827:G1827">_xlfn.TEXTSPLIT(E1827," - ")</f>
        <v>Beras</v>
      </c>
      <c r="G1827" s="2" t="str">
        <v>Brand A</v>
      </c>
      <c r="H1827" s="5">
        <v>14000</v>
      </c>
      <c r="I1827" s="2">
        <v>4</v>
      </c>
      <c r="J1827" s="2">
        <v>10</v>
      </c>
      <c r="K1827" s="8">
        <f t="shared" si="168"/>
        <v>56000</v>
      </c>
      <c r="L1827" s="8">
        <f t="shared" si="169"/>
        <v>5600</v>
      </c>
      <c r="M1827" s="8">
        <f t="shared" si="170"/>
        <v>50400</v>
      </c>
      <c r="N1827" s="5">
        <v>50000</v>
      </c>
      <c r="O1827" s="8">
        <f t="shared" si="171"/>
        <v>100400</v>
      </c>
      <c r="P1827" s="2" t="s">
        <v>22</v>
      </c>
      <c r="Q1827" s="10" t="str">
        <f>VLOOKUP(A1827,Status!A:B,2,0)</f>
        <v>Completed</v>
      </c>
      <c r="R1827" s="2" t="s">
        <v>46</v>
      </c>
      <c r="S1827" s="2">
        <v>4</v>
      </c>
      <c r="T1827" s="2" t="s">
        <v>37</v>
      </c>
      <c r="U1827" s="10" t="str">
        <f t="shared" si="173"/>
        <v>Nov</v>
      </c>
      <c r="V1827" s="10">
        <f t="shared" si="172"/>
        <v>2024</v>
      </c>
      <c r="W1827" t="e" cm="1">
        <f t="array" ref="W1827">_xlfn.IFS(U1827="January",1,U1827="February",2,U1827="March",3,U1827="April",4,U1827="May",5,U1827="June",6,U1827="July",7,U1827="August",8,U1827="September",9,U1827="October",10,U1827="November",11,U1827="December",12)</f>
        <v>#N/A</v>
      </c>
    </row>
    <row r="1828" spans="1:23" ht="15.75" customHeight="1" x14ac:dyDescent="0.25">
      <c r="A1828" s="2" t="s">
        <v>696</v>
      </c>
      <c r="B1828" s="3">
        <v>45624.512974537043</v>
      </c>
      <c r="C1828" s="2" t="s">
        <v>697</v>
      </c>
      <c r="D1828" s="2" t="s">
        <v>143</v>
      </c>
      <c r="E1828" s="2" t="s">
        <v>45</v>
      </c>
      <c r="F1828" s="2" t="str" cm="1">
        <f t="array" ref="F1828:G1828">_xlfn.TEXTSPLIT(E1828," - ")</f>
        <v>Daging Ayam</v>
      </c>
      <c r="G1828" s="2" t="str">
        <v>Brand B</v>
      </c>
      <c r="H1828" s="5">
        <v>40000</v>
      </c>
      <c r="I1828" s="2">
        <v>2</v>
      </c>
      <c r="J1828" s="2">
        <v>15</v>
      </c>
      <c r="K1828" s="8">
        <f t="shared" si="168"/>
        <v>80000</v>
      </c>
      <c r="L1828" s="8">
        <f t="shared" si="169"/>
        <v>12000</v>
      </c>
      <c r="M1828" s="8">
        <f t="shared" si="170"/>
        <v>68000</v>
      </c>
      <c r="N1828" s="5">
        <v>0</v>
      </c>
      <c r="O1828" s="8">
        <f t="shared" si="171"/>
        <v>68000</v>
      </c>
      <c r="P1828" s="2" t="s">
        <v>22</v>
      </c>
      <c r="Q1828" s="10" t="str">
        <f>VLOOKUP(A1828,Status!A:B,2,0)</f>
        <v>Completed</v>
      </c>
      <c r="R1828" s="2" t="s">
        <v>46</v>
      </c>
      <c r="S1828" s="2">
        <v>4</v>
      </c>
      <c r="T1828" s="2" t="s">
        <v>37</v>
      </c>
      <c r="U1828" s="10" t="str">
        <f t="shared" si="173"/>
        <v>Nov</v>
      </c>
      <c r="V1828" s="10">
        <f t="shared" si="172"/>
        <v>2024</v>
      </c>
      <c r="W1828" t="e" cm="1">
        <f t="array" ref="W1828">_xlfn.IFS(U1828="January",1,U1828="February",2,U1828="March",3,U1828="April",4,U1828="May",5,U1828="June",6,U1828="July",7,U1828="August",8,U1828="September",9,U1828="October",10,U1828="November",11,U1828="December",12)</f>
        <v>#N/A</v>
      </c>
    </row>
    <row r="1829" spans="1:23" ht="15.75" customHeight="1" x14ac:dyDescent="0.25">
      <c r="A1829" s="2" t="s">
        <v>698</v>
      </c>
      <c r="B1829" s="3">
        <v>45624.686874999999</v>
      </c>
      <c r="C1829" s="2" t="s">
        <v>699</v>
      </c>
      <c r="D1829" s="2" t="s">
        <v>238</v>
      </c>
      <c r="E1829" s="2" t="s">
        <v>174</v>
      </c>
      <c r="F1829" s="2" t="str" cm="1">
        <f t="array" ref="F1829:G1829">_xlfn.TEXTSPLIT(E1829," - ")</f>
        <v>Tepung Terigu</v>
      </c>
      <c r="G1829" s="2" t="str">
        <v>Brand A</v>
      </c>
      <c r="H1829" s="5">
        <v>10000</v>
      </c>
      <c r="I1829" s="2">
        <v>4</v>
      </c>
      <c r="J1829" s="2">
        <v>0</v>
      </c>
      <c r="K1829" s="8">
        <f t="shared" si="168"/>
        <v>40000</v>
      </c>
      <c r="L1829" s="8">
        <f t="shared" si="169"/>
        <v>0</v>
      </c>
      <c r="M1829" s="8">
        <f t="shared" si="170"/>
        <v>40000</v>
      </c>
      <c r="N1829" s="5">
        <v>28000</v>
      </c>
      <c r="O1829" s="8">
        <f t="shared" si="171"/>
        <v>68000</v>
      </c>
      <c r="P1829" s="2" t="s">
        <v>35</v>
      </c>
      <c r="Q1829" s="10" t="str">
        <f>VLOOKUP(A1829,Status!A:B,2,0)</f>
        <v>Returned</v>
      </c>
      <c r="R1829" s="2" t="s">
        <v>82</v>
      </c>
      <c r="S1829" s="2">
        <v>5</v>
      </c>
      <c r="T1829" s="2" t="s">
        <v>37</v>
      </c>
      <c r="U1829" s="10" t="str">
        <f t="shared" si="173"/>
        <v>Nov</v>
      </c>
      <c r="V1829" s="10">
        <f t="shared" si="172"/>
        <v>2024</v>
      </c>
      <c r="W1829" t="e" cm="1">
        <f t="array" ref="W1829">_xlfn.IFS(U1829="January",1,U1829="February",2,U1829="March",3,U1829="April",4,U1829="May",5,U1829="June",6,U1829="July",7,U1829="August",8,U1829="September",9,U1829="October",10,U1829="November",11,U1829="December",12)</f>
        <v>#N/A</v>
      </c>
    </row>
    <row r="1830" spans="1:23" ht="15.75" customHeight="1" x14ac:dyDescent="0.25">
      <c r="A1830" s="2" t="s">
        <v>700</v>
      </c>
      <c r="B1830" s="3">
        <v>45624.811597222222</v>
      </c>
      <c r="C1830" s="2" t="s">
        <v>502</v>
      </c>
      <c r="D1830" s="2" t="s">
        <v>107</v>
      </c>
      <c r="E1830" s="2" t="s">
        <v>186</v>
      </c>
      <c r="F1830" s="2" t="str" cm="1">
        <f t="array" ref="F1830:G1830">_xlfn.TEXTSPLIT(E1830," - ")</f>
        <v>Susu Bubuk</v>
      </c>
      <c r="G1830" s="2" t="str">
        <v>Brand A</v>
      </c>
      <c r="H1830" s="5">
        <v>45000</v>
      </c>
      <c r="I1830" s="2">
        <v>4</v>
      </c>
      <c r="J1830" s="2">
        <v>20</v>
      </c>
      <c r="K1830" s="8">
        <f t="shared" si="168"/>
        <v>180000</v>
      </c>
      <c r="L1830" s="8">
        <f t="shared" si="169"/>
        <v>36000</v>
      </c>
      <c r="M1830" s="8">
        <f t="shared" si="170"/>
        <v>144000</v>
      </c>
      <c r="N1830" s="5">
        <v>97000</v>
      </c>
      <c r="O1830" s="8">
        <f t="shared" si="171"/>
        <v>241000</v>
      </c>
      <c r="P1830" s="2" t="s">
        <v>63</v>
      </c>
      <c r="Q1830" s="10" t="str">
        <f>VLOOKUP(A1830,Status!A:B,2,0)</f>
        <v>Completed</v>
      </c>
      <c r="R1830" s="2" t="s">
        <v>23</v>
      </c>
      <c r="S1830" s="2">
        <v>4</v>
      </c>
      <c r="T1830" s="2" t="s">
        <v>24</v>
      </c>
      <c r="U1830" s="10" t="str">
        <f t="shared" si="173"/>
        <v>Nov</v>
      </c>
      <c r="V1830" s="10">
        <f t="shared" si="172"/>
        <v>2024</v>
      </c>
      <c r="W1830" t="e" cm="1">
        <f t="array" ref="W1830">_xlfn.IFS(U1830="January",1,U1830="February",2,U1830="March",3,U1830="April",4,U1830="May",5,U1830="June",6,U1830="July",7,U1830="August",8,U1830="September",9,U1830="October",10,U1830="November",11,U1830="December",12)</f>
        <v>#N/A</v>
      </c>
    </row>
    <row r="1831" spans="1:23" ht="15.75" customHeight="1" x14ac:dyDescent="0.25">
      <c r="A1831" s="2" t="s">
        <v>701</v>
      </c>
      <c r="B1831" s="3">
        <v>45625.003437500003</v>
      </c>
      <c r="C1831" s="2" t="s">
        <v>593</v>
      </c>
      <c r="D1831" s="2" t="s">
        <v>195</v>
      </c>
      <c r="E1831" s="2" t="s">
        <v>75</v>
      </c>
      <c r="F1831" s="2" t="str" cm="1">
        <f t="array" ref="F1831:G1831">_xlfn.TEXTSPLIT(E1831," - ")</f>
        <v>Susu Bubuk</v>
      </c>
      <c r="G1831" s="2" t="str">
        <v>Brand C</v>
      </c>
      <c r="H1831" s="5">
        <v>55000</v>
      </c>
      <c r="I1831" s="2">
        <v>3</v>
      </c>
      <c r="J1831" s="2">
        <v>5</v>
      </c>
      <c r="K1831" s="8">
        <f t="shared" si="168"/>
        <v>165000</v>
      </c>
      <c r="L1831" s="8">
        <f t="shared" si="169"/>
        <v>8250</v>
      </c>
      <c r="M1831" s="8">
        <f t="shared" si="170"/>
        <v>156750</v>
      </c>
      <c r="N1831" s="5">
        <v>87000</v>
      </c>
      <c r="O1831" s="8">
        <f t="shared" si="171"/>
        <v>243750</v>
      </c>
      <c r="P1831" s="2" t="s">
        <v>29</v>
      </c>
      <c r="Q1831" s="10" t="str">
        <f>VLOOKUP(A1831,Status!A:B,2,0)</f>
        <v>Completed</v>
      </c>
      <c r="R1831" s="2" t="s">
        <v>82</v>
      </c>
      <c r="S1831" s="2">
        <v>2</v>
      </c>
      <c r="T1831" s="2" t="s">
        <v>24</v>
      </c>
      <c r="U1831" s="10" t="str">
        <f t="shared" si="173"/>
        <v>Nov</v>
      </c>
      <c r="V1831" s="10">
        <f t="shared" si="172"/>
        <v>2024</v>
      </c>
      <c r="W1831" t="e" cm="1">
        <f t="array" ref="W1831">_xlfn.IFS(U1831="January",1,U1831="February",2,U1831="March",3,U1831="April",4,U1831="May",5,U1831="June",6,U1831="July",7,U1831="August",8,U1831="September",9,U1831="October",10,U1831="November",11,U1831="December",12)</f>
        <v>#N/A</v>
      </c>
    </row>
    <row r="1832" spans="1:23" ht="15.75" customHeight="1" x14ac:dyDescent="0.25">
      <c r="A1832" s="2" t="s">
        <v>702</v>
      </c>
      <c r="B1832" s="3">
        <v>45625.054247685177</v>
      </c>
      <c r="C1832" s="2" t="s">
        <v>703</v>
      </c>
      <c r="D1832" s="2" t="s">
        <v>122</v>
      </c>
      <c r="E1832" s="2" t="s">
        <v>41</v>
      </c>
      <c r="F1832" s="2" t="str" cm="1">
        <f t="array" ref="F1832:G1832">_xlfn.TEXTSPLIT(E1832," - ")</f>
        <v>Garam</v>
      </c>
      <c r="G1832" s="2" t="str">
        <v>Brand A</v>
      </c>
      <c r="H1832" s="5">
        <v>4000</v>
      </c>
      <c r="I1832" s="2">
        <v>2</v>
      </c>
      <c r="J1832" s="2">
        <v>5</v>
      </c>
      <c r="K1832" s="8">
        <f t="shared" si="168"/>
        <v>8000</v>
      </c>
      <c r="L1832" s="8">
        <f t="shared" si="169"/>
        <v>400</v>
      </c>
      <c r="M1832" s="8">
        <f t="shared" si="170"/>
        <v>7600</v>
      </c>
      <c r="N1832" s="5">
        <v>78000</v>
      </c>
      <c r="O1832" s="8">
        <f t="shared" si="171"/>
        <v>85600</v>
      </c>
      <c r="P1832" s="2" t="s">
        <v>22</v>
      </c>
      <c r="Q1832" s="10" t="str">
        <f>VLOOKUP(A1832,Status!A:B,2,0)</f>
        <v>Completed</v>
      </c>
      <c r="R1832" s="2" t="s">
        <v>82</v>
      </c>
      <c r="S1832" s="2">
        <v>2</v>
      </c>
      <c r="T1832" s="2" t="s">
        <v>24</v>
      </c>
      <c r="U1832" s="10" t="str">
        <f t="shared" si="173"/>
        <v>Nov</v>
      </c>
      <c r="V1832" s="10">
        <f t="shared" si="172"/>
        <v>2024</v>
      </c>
      <c r="W1832" t="e" cm="1">
        <f t="array" ref="W1832">_xlfn.IFS(U1832="January",1,U1832="February",2,U1832="March",3,U1832="April",4,U1832="May",5,U1832="June",6,U1832="July",7,U1832="August",8,U1832="September",9,U1832="October",10,U1832="November",11,U1832="December",12)</f>
        <v>#N/A</v>
      </c>
    </row>
    <row r="1833" spans="1:23" ht="15.75" customHeight="1" x14ac:dyDescent="0.25">
      <c r="A1833" s="2" t="s">
        <v>704</v>
      </c>
      <c r="B1833" s="3">
        <v>45625.054560185177</v>
      </c>
      <c r="C1833" s="2" t="s">
        <v>705</v>
      </c>
      <c r="D1833" s="2" t="s">
        <v>189</v>
      </c>
      <c r="E1833" s="2" t="s">
        <v>67</v>
      </c>
      <c r="F1833" s="2" t="str" cm="1">
        <f t="array" ref="F1833:G1833">_xlfn.TEXTSPLIT(E1833," - ")</f>
        <v>Beras</v>
      </c>
      <c r="G1833" s="2" t="str">
        <v>Brand B</v>
      </c>
      <c r="H1833" s="5">
        <v>15000</v>
      </c>
      <c r="I1833" s="2">
        <v>2</v>
      </c>
      <c r="J1833" s="2">
        <v>10</v>
      </c>
      <c r="K1833" s="8">
        <f t="shared" si="168"/>
        <v>30000</v>
      </c>
      <c r="L1833" s="8">
        <f t="shared" si="169"/>
        <v>3000</v>
      </c>
      <c r="M1833" s="8">
        <f t="shared" si="170"/>
        <v>27000</v>
      </c>
      <c r="N1833" s="5">
        <v>57000</v>
      </c>
      <c r="O1833" s="8">
        <f t="shared" si="171"/>
        <v>84000</v>
      </c>
      <c r="P1833" s="2" t="s">
        <v>35</v>
      </c>
      <c r="Q1833" s="10" t="str">
        <f>VLOOKUP(A1833,Status!A:B,2,0)</f>
        <v>Completed</v>
      </c>
      <c r="R1833" s="2" t="s">
        <v>23</v>
      </c>
      <c r="S1833" s="2">
        <v>4</v>
      </c>
      <c r="T1833" s="2" t="s">
        <v>24</v>
      </c>
      <c r="U1833" s="10" t="str">
        <f t="shared" si="173"/>
        <v>Nov</v>
      </c>
      <c r="V1833" s="10">
        <f t="shared" si="172"/>
        <v>2024</v>
      </c>
      <c r="W1833" t="e" cm="1">
        <f t="array" ref="W1833">_xlfn.IFS(U1833="January",1,U1833="February",2,U1833="March",3,U1833="April",4,U1833="May",5,U1833="June",6,U1833="July",7,U1833="August",8,U1833="September",9,U1833="October",10,U1833="November",11,U1833="December",12)</f>
        <v>#N/A</v>
      </c>
    </row>
    <row r="1834" spans="1:23" ht="15.75" customHeight="1" x14ac:dyDescent="0.25">
      <c r="A1834" s="2" t="s">
        <v>706</v>
      </c>
      <c r="B1834" s="3">
        <v>45625.092488425929</v>
      </c>
      <c r="C1834" s="2" t="s">
        <v>100</v>
      </c>
      <c r="D1834" s="2" t="s">
        <v>66</v>
      </c>
      <c r="E1834" s="2" t="s">
        <v>250</v>
      </c>
      <c r="F1834" s="2" t="str" cm="1">
        <f t="array" ref="F1834:G1834">_xlfn.TEXTSPLIT(E1834," - ")</f>
        <v>Minyak Goreng</v>
      </c>
      <c r="G1834" s="2" t="str">
        <v>Brand C</v>
      </c>
      <c r="H1834" s="5">
        <v>18000</v>
      </c>
      <c r="I1834" s="2">
        <v>4</v>
      </c>
      <c r="J1834" s="2">
        <v>0</v>
      </c>
      <c r="K1834" s="8">
        <f t="shared" si="168"/>
        <v>72000</v>
      </c>
      <c r="L1834" s="8">
        <f t="shared" si="169"/>
        <v>0</v>
      </c>
      <c r="M1834" s="8">
        <f t="shared" si="170"/>
        <v>72000</v>
      </c>
      <c r="N1834" s="5">
        <v>59000</v>
      </c>
      <c r="O1834" s="8">
        <f t="shared" si="171"/>
        <v>131000</v>
      </c>
      <c r="P1834" s="2" t="s">
        <v>22</v>
      </c>
      <c r="Q1834" s="10" t="str">
        <f>VLOOKUP(A1834,Status!A:B,2,0)</f>
        <v>Completed</v>
      </c>
      <c r="R1834" s="2" t="s">
        <v>46</v>
      </c>
      <c r="S1834" s="2">
        <v>5</v>
      </c>
      <c r="T1834" s="2" t="s">
        <v>24</v>
      </c>
      <c r="U1834" s="10" t="str">
        <f t="shared" si="173"/>
        <v>Nov</v>
      </c>
      <c r="V1834" s="10">
        <f t="shared" si="172"/>
        <v>2024</v>
      </c>
      <c r="W1834" t="e" cm="1">
        <f t="array" ref="W1834">_xlfn.IFS(U1834="January",1,U1834="February",2,U1834="March",3,U1834="April",4,U1834="May",5,U1834="June",6,U1834="July",7,U1834="August",8,U1834="September",9,U1834="October",10,U1834="November",11,U1834="December",12)</f>
        <v>#N/A</v>
      </c>
    </row>
    <row r="1835" spans="1:23" ht="15.75" customHeight="1" x14ac:dyDescent="0.25">
      <c r="A1835" s="2" t="s">
        <v>707</v>
      </c>
      <c r="B1835" s="3">
        <v>45625.140717592592</v>
      </c>
      <c r="C1835" s="2" t="s">
        <v>708</v>
      </c>
      <c r="D1835" s="2" t="s">
        <v>116</v>
      </c>
      <c r="E1835" s="2" t="s">
        <v>104</v>
      </c>
      <c r="F1835" s="2" t="str" cm="1">
        <f t="array" ref="F1835:G1835">_xlfn.TEXTSPLIT(E1835," - ")</f>
        <v>Bawang Merah</v>
      </c>
      <c r="G1835" s="2" t="str">
        <v>Brand A</v>
      </c>
      <c r="H1835" s="5">
        <v>30000</v>
      </c>
      <c r="I1835" s="2">
        <v>4</v>
      </c>
      <c r="J1835" s="2">
        <v>20</v>
      </c>
      <c r="K1835" s="8">
        <f t="shared" si="168"/>
        <v>120000</v>
      </c>
      <c r="L1835" s="8">
        <f t="shared" si="169"/>
        <v>24000</v>
      </c>
      <c r="M1835" s="8">
        <f t="shared" si="170"/>
        <v>96000</v>
      </c>
      <c r="N1835" s="5">
        <v>72000</v>
      </c>
      <c r="O1835" s="8">
        <f t="shared" si="171"/>
        <v>168000</v>
      </c>
      <c r="P1835" s="2" t="s">
        <v>63</v>
      </c>
      <c r="Q1835" s="10" t="str">
        <f>VLOOKUP(A1835,Status!A:B,2,0)</f>
        <v>Completed</v>
      </c>
      <c r="R1835" s="2" t="s">
        <v>23</v>
      </c>
      <c r="S1835" s="2">
        <v>4</v>
      </c>
      <c r="T1835" s="2" t="s">
        <v>24</v>
      </c>
      <c r="U1835" s="10" t="str">
        <f t="shared" si="173"/>
        <v>Nov</v>
      </c>
      <c r="V1835" s="10">
        <f t="shared" si="172"/>
        <v>2024</v>
      </c>
      <c r="W1835" t="e" cm="1">
        <f t="array" ref="W1835">_xlfn.IFS(U1835="January",1,U1835="February",2,U1835="March",3,U1835="April",4,U1835="May",5,U1835="June",6,U1835="July",7,U1835="August",8,U1835="September",9,U1835="October",10,U1835="November",11,U1835="December",12)</f>
        <v>#N/A</v>
      </c>
    </row>
    <row r="1836" spans="1:23" ht="15.75" customHeight="1" x14ac:dyDescent="0.25">
      <c r="A1836" s="2" t="s">
        <v>709</v>
      </c>
      <c r="B1836" s="3">
        <v>45625.605902777781</v>
      </c>
      <c r="C1836" s="2" t="s">
        <v>100</v>
      </c>
      <c r="D1836" s="2" t="s">
        <v>66</v>
      </c>
      <c r="E1836" s="2" t="s">
        <v>190</v>
      </c>
      <c r="F1836" s="2" t="str" cm="1">
        <f t="array" ref="F1836:G1836">_xlfn.TEXTSPLIT(E1836," - ")</f>
        <v>Bawang Merah</v>
      </c>
      <c r="G1836" s="2" t="str">
        <v>Brand B</v>
      </c>
      <c r="H1836" s="5">
        <v>35000</v>
      </c>
      <c r="I1836" s="2">
        <v>2</v>
      </c>
      <c r="J1836" s="2">
        <v>20</v>
      </c>
      <c r="K1836" s="8">
        <f t="shared" si="168"/>
        <v>70000</v>
      </c>
      <c r="L1836" s="8">
        <f t="shared" si="169"/>
        <v>14000</v>
      </c>
      <c r="M1836" s="8">
        <f t="shared" si="170"/>
        <v>56000</v>
      </c>
      <c r="N1836" s="5">
        <v>59000</v>
      </c>
      <c r="O1836" s="8">
        <f t="shared" si="171"/>
        <v>115000</v>
      </c>
      <c r="P1836" s="2" t="s">
        <v>35</v>
      </c>
      <c r="Q1836" s="10" t="str">
        <f>VLOOKUP(A1836,Status!A:B,2,0)</f>
        <v>Completed</v>
      </c>
      <c r="R1836" s="2" t="s">
        <v>30</v>
      </c>
      <c r="S1836" s="2">
        <v>3</v>
      </c>
      <c r="T1836" s="2" t="s">
        <v>24</v>
      </c>
      <c r="U1836" s="10" t="str">
        <f t="shared" si="173"/>
        <v>Nov</v>
      </c>
      <c r="V1836" s="10">
        <f t="shared" si="172"/>
        <v>2024</v>
      </c>
      <c r="W1836" t="e" cm="1">
        <f t="array" ref="W1836">_xlfn.IFS(U1836="January",1,U1836="February",2,U1836="March",3,U1836="April",4,U1836="May",5,U1836="June",6,U1836="July",7,U1836="August",8,U1836="September",9,U1836="October",10,U1836="November",11,U1836="December",12)</f>
        <v>#N/A</v>
      </c>
    </row>
    <row r="1837" spans="1:23" ht="15.75" customHeight="1" x14ac:dyDescent="0.25">
      <c r="A1837" s="2" t="s">
        <v>710</v>
      </c>
      <c r="B1837" s="3">
        <v>45625.796550925923</v>
      </c>
      <c r="C1837" s="2" t="s">
        <v>711</v>
      </c>
      <c r="D1837" s="2" t="s">
        <v>177</v>
      </c>
      <c r="E1837" s="2" t="s">
        <v>21</v>
      </c>
      <c r="F1837" s="2" t="str" cm="1">
        <f t="array" ref="F1837:G1837">_xlfn.TEXTSPLIT(E1837," - ")</f>
        <v>Daging Ayam</v>
      </c>
      <c r="G1837" s="2" t="str">
        <v>Brand C</v>
      </c>
      <c r="H1837" s="5">
        <v>45000</v>
      </c>
      <c r="I1837" s="2">
        <v>4</v>
      </c>
      <c r="J1837" s="2">
        <v>10</v>
      </c>
      <c r="K1837" s="8">
        <f t="shared" si="168"/>
        <v>180000</v>
      </c>
      <c r="L1837" s="8">
        <f t="shared" si="169"/>
        <v>18000</v>
      </c>
      <c r="M1837" s="8">
        <f t="shared" si="170"/>
        <v>162000</v>
      </c>
      <c r="N1837" s="5">
        <v>56000</v>
      </c>
      <c r="O1837" s="8">
        <f t="shared" si="171"/>
        <v>218000</v>
      </c>
      <c r="P1837" s="2" t="s">
        <v>22</v>
      </c>
      <c r="Q1837" s="10" t="str">
        <f>VLOOKUP(A1837,Status!A:B,2,0)</f>
        <v>Completed</v>
      </c>
      <c r="R1837" s="2" t="s">
        <v>23</v>
      </c>
      <c r="S1837" s="2">
        <v>5</v>
      </c>
      <c r="T1837" s="2" t="s">
        <v>24</v>
      </c>
      <c r="U1837" s="10" t="str">
        <f t="shared" si="173"/>
        <v>Nov</v>
      </c>
      <c r="V1837" s="10">
        <f t="shared" si="172"/>
        <v>2024</v>
      </c>
      <c r="W1837" t="e" cm="1">
        <f t="array" ref="W1837">_xlfn.IFS(U1837="January",1,U1837="February",2,U1837="March",3,U1837="April",4,U1837="May",5,U1837="June",6,U1837="July",7,U1837="August",8,U1837="September",9,U1837="October",10,U1837="November",11,U1837="December",12)</f>
        <v>#N/A</v>
      </c>
    </row>
    <row r="1838" spans="1:23" ht="15.75" customHeight="1" x14ac:dyDescent="0.25">
      <c r="A1838" s="2" t="s">
        <v>712</v>
      </c>
      <c r="B1838" s="3">
        <v>45625.893275462957</v>
      </c>
      <c r="C1838" s="2" t="s">
        <v>323</v>
      </c>
      <c r="D1838" s="2" t="s">
        <v>103</v>
      </c>
      <c r="E1838" s="2" t="s">
        <v>250</v>
      </c>
      <c r="F1838" s="2" t="str" cm="1">
        <f t="array" ref="F1838:G1838">_xlfn.TEXTSPLIT(E1838," - ")</f>
        <v>Minyak Goreng</v>
      </c>
      <c r="G1838" s="2" t="str">
        <v>Brand C</v>
      </c>
      <c r="H1838" s="5">
        <v>18000</v>
      </c>
      <c r="I1838" s="2">
        <v>1</v>
      </c>
      <c r="J1838" s="2">
        <v>0</v>
      </c>
      <c r="K1838" s="8">
        <f t="shared" si="168"/>
        <v>18000</v>
      </c>
      <c r="L1838" s="8">
        <f t="shared" si="169"/>
        <v>0</v>
      </c>
      <c r="M1838" s="8">
        <f t="shared" si="170"/>
        <v>18000</v>
      </c>
      <c r="N1838" s="5">
        <v>85000</v>
      </c>
      <c r="O1838" s="8">
        <f t="shared" si="171"/>
        <v>103000</v>
      </c>
      <c r="P1838" s="2" t="s">
        <v>22</v>
      </c>
      <c r="Q1838" s="10" t="str">
        <f>VLOOKUP(A1838,Status!A:B,2,0)</f>
        <v>Returned</v>
      </c>
      <c r="R1838" s="2" t="s">
        <v>30</v>
      </c>
      <c r="S1838" s="2">
        <v>3</v>
      </c>
      <c r="T1838" s="2" t="s">
        <v>24</v>
      </c>
      <c r="U1838" s="10" t="str">
        <f t="shared" si="173"/>
        <v>Nov</v>
      </c>
      <c r="V1838" s="10">
        <f t="shared" si="172"/>
        <v>2024</v>
      </c>
      <c r="W1838" t="e" cm="1">
        <f t="array" ref="W1838">_xlfn.IFS(U1838="January",1,U1838="February",2,U1838="March",3,U1838="April",4,U1838="May",5,U1838="June",6,U1838="July",7,U1838="August",8,U1838="September",9,U1838="October",10,U1838="November",11,U1838="December",12)</f>
        <v>#N/A</v>
      </c>
    </row>
    <row r="1839" spans="1:23" ht="15.75" customHeight="1" x14ac:dyDescent="0.25">
      <c r="A1839" s="2" t="s">
        <v>713</v>
      </c>
      <c r="B1839" s="3">
        <v>45626.462916666656</v>
      </c>
      <c r="C1839" s="2" t="s">
        <v>714</v>
      </c>
      <c r="D1839" s="2" t="s">
        <v>262</v>
      </c>
      <c r="E1839" s="2" t="s">
        <v>62</v>
      </c>
      <c r="F1839" s="2" t="str" cm="1">
        <f t="array" ref="F1839:G1839">_xlfn.TEXTSPLIT(E1839," - ")</f>
        <v>Susu Bubuk</v>
      </c>
      <c r="G1839" s="2" t="str">
        <v>Brand B</v>
      </c>
      <c r="H1839" s="5">
        <v>50000</v>
      </c>
      <c r="I1839" s="2">
        <v>4</v>
      </c>
      <c r="J1839" s="2">
        <v>10</v>
      </c>
      <c r="K1839" s="8">
        <f t="shared" si="168"/>
        <v>200000</v>
      </c>
      <c r="L1839" s="8">
        <f t="shared" si="169"/>
        <v>20000</v>
      </c>
      <c r="M1839" s="8">
        <f t="shared" si="170"/>
        <v>180000</v>
      </c>
      <c r="N1839" s="5">
        <v>18000</v>
      </c>
      <c r="O1839" s="8">
        <f t="shared" si="171"/>
        <v>198000</v>
      </c>
      <c r="P1839" s="2" t="s">
        <v>29</v>
      </c>
      <c r="Q1839" s="10" t="str">
        <f>VLOOKUP(A1839,Status!A:B,2,0)</f>
        <v>Completed</v>
      </c>
      <c r="R1839" s="2" t="s">
        <v>46</v>
      </c>
      <c r="S1839" s="2">
        <v>4</v>
      </c>
      <c r="T1839" s="2" t="s">
        <v>24</v>
      </c>
      <c r="U1839" s="10" t="str">
        <f t="shared" si="173"/>
        <v>Nov</v>
      </c>
      <c r="V1839" s="10">
        <f t="shared" si="172"/>
        <v>2024</v>
      </c>
      <c r="W1839" t="e" cm="1">
        <f t="array" ref="W1839">_xlfn.IFS(U1839="January",1,U1839="February",2,U1839="March",3,U1839="April",4,U1839="May",5,U1839="June",6,U1839="July",7,U1839="August",8,U1839="September",9,U1839="October",10,U1839="November",11,U1839="December",12)</f>
        <v>#N/A</v>
      </c>
    </row>
    <row r="1840" spans="1:23" ht="15.75" customHeight="1" x14ac:dyDescent="0.25">
      <c r="A1840" s="2" t="s">
        <v>713</v>
      </c>
      <c r="B1840" s="3">
        <v>45626.462916666656</v>
      </c>
      <c r="C1840" s="2" t="s">
        <v>714</v>
      </c>
      <c r="D1840" s="2" t="s">
        <v>262</v>
      </c>
      <c r="E1840" s="2" t="s">
        <v>144</v>
      </c>
      <c r="F1840" s="2" t="str" cm="1">
        <f t="array" ref="F1840:G1840">_xlfn.TEXTSPLIT(E1840," - ")</f>
        <v>Gula Pasir</v>
      </c>
      <c r="G1840" s="2" t="str">
        <v>Brand C</v>
      </c>
      <c r="H1840" s="5">
        <v>18000</v>
      </c>
      <c r="I1840" s="2">
        <v>1</v>
      </c>
      <c r="J1840" s="2">
        <v>0</v>
      </c>
      <c r="K1840" s="8">
        <f t="shared" si="168"/>
        <v>18000</v>
      </c>
      <c r="L1840" s="8">
        <f t="shared" si="169"/>
        <v>0</v>
      </c>
      <c r="M1840" s="8">
        <f t="shared" si="170"/>
        <v>18000</v>
      </c>
      <c r="N1840" s="5">
        <v>0</v>
      </c>
      <c r="O1840" s="8">
        <f t="shared" si="171"/>
        <v>18000</v>
      </c>
      <c r="P1840" s="2" t="s">
        <v>29</v>
      </c>
      <c r="Q1840" s="10" t="str">
        <f>VLOOKUP(A1840,Status!A:B,2,0)</f>
        <v>Completed</v>
      </c>
      <c r="R1840" s="2" t="s">
        <v>46</v>
      </c>
      <c r="S1840" s="2">
        <v>4</v>
      </c>
      <c r="T1840" s="2" t="s">
        <v>24</v>
      </c>
      <c r="U1840" s="10" t="str">
        <f t="shared" si="173"/>
        <v>Nov</v>
      </c>
      <c r="V1840" s="10">
        <f t="shared" si="172"/>
        <v>2024</v>
      </c>
      <c r="W1840" t="e" cm="1">
        <f t="array" ref="W1840">_xlfn.IFS(U1840="January",1,U1840="February",2,U1840="March",3,U1840="April",4,U1840="May",5,U1840="June",6,U1840="July",7,U1840="August",8,U1840="September",9,U1840="October",10,U1840="November",11,U1840="December",12)</f>
        <v>#N/A</v>
      </c>
    </row>
    <row r="1841" spans="1:23" ht="15.75" customHeight="1" x14ac:dyDescent="0.25">
      <c r="A1841" s="2" t="s">
        <v>715</v>
      </c>
      <c r="B1841" s="3">
        <v>45626.525057870371</v>
      </c>
      <c r="C1841" s="2" t="s">
        <v>716</v>
      </c>
      <c r="D1841" s="2" t="s">
        <v>66</v>
      </c>
      <c r="E1841" s="2" t="s">
        <v>71</v>
      </c>
      <c r="F1841" s="2" t="str" cm="1">
        <f t="array" ref="F1841:G1841">_xlfn.TEXTSPLIT(E1841," - ")</f>
        <v>Bawang Merah</v>
      </c>
      <c r="G1841" s="2" t="str">
        <v>Brand C</v>
      </c>
      <c r="H1841" s="5">
        <v>40000</v>
      </c>
      <c r="I1841" s="2">
        <v>2</v>
      </c>
      <c r="J1841" s="2">
        <v>10</v>
      </c>
      <c r="K1841" s="8">
        <f t="shared" si="168"/>
        <v>80000</v>
      </c>
      <c r="L1841" s="8">
        <f t="shared" si="169"/>
        <v>8000</v>
      </c>
      <c r="M1841" s="8">
        <f t="shared" si="170"/>
        <v>72000</v>
      </c>
      <c r="N1841" s="5">
        <v>59000</v>
      </c>
      <c r="O1841" s="8">
        <f t="shared" si="171"/>
        <v>131000</v>
      </c>
      <c r="P1841" s="2" t="s">
        <v>29</v>
      </c>
      <c r="Q1841" s="10" t="str">
        <f>VLOOKUP(A1841,Status!A:B,2,0)</f>
        <v>Completed</v>
      </c>
      <c r="R1841" s="2" t="s">
        <v>82</v>
      </c>
      <c r="S1841" s="2">
        <v>4</v>
      </c>
      <c r="T1841" s="2" t="s">
        <v>24</v>
      </c>
      <c r="U1841" s="10" t="str">
        <f t="shared" si="173"/>
        <v>Nov</v>
      </c>
      <c r="V1841" s="10">
        <f t="shared" si="172"/>
        <v>2024</v>
      </c>
      <c r="W1841" t="e" cm="1">
        <f t="array" ref="W1841">_xlfn.IFS(U1841="January",1,U1841="February",2,U1841="March",3,U1841="April",4,U1841="May",5,U1841="June",6,U1841="July",7,U1841="August",8,U1841="September",9,U1841="October",10,U1841="November",11,U1841="December",12)</f>
        <v>#N/A</v>
      </c>
    </row>
    <row r="1842" spans="1:23" ht="15.75" customHeight="1" x14ac:dyDescent="0.25">
      <c r="A1842" s="2" t="s">
        <v>717</v>
      </c>
      <c r="B1842" s="3">
        <v>45626.606817129628</v>
      </c>
      <c r="C1842" s="2" t="s">
        <v>461</v>
      </c>
      <c r="D1842" s="2" t="s">
        <v>92</v>
      </c>
      <c r="E1842" s="2" t="s">
        <v>34</v>
      </c>
      <c r="F1842" s="2" t="str" cm="1">
        <f t="array" ref="F1842:G1842">_xlfn.TEXTSPLIT(E1842," - ")</f>
        <v>Minyak Goreng</v>
      </c>
      <c r="G1842" s="2" t="str">
        <v>Brand A</v>
      </c>
      <c r="H1842" s="5">
        <v>16000</v>
      </c>
      <c r="I1842" s="2">
        <v>3</v>
      </c>
      <c r="J1842" s="2">
        <v>0</v>
      </c>
      <c r="K1842" s="8">
        <f t="shared" si="168"/>
        <v>48000</v>
      </c>
      <c r="L1842" s="8">
        <f t="shared" si="169"/>
        <v>0</v>
      </c>
      <c r="M1842" s="8">
        <f t="shared" si="170"/>
        <v>48000</v>
      </c>
      <c r="N1842" s="5">
        <v>30000</v>
      </c>
      <c r="O1842" s="8">
        <f t="shared" si="171"/>
        <v>78000</v>
      </c>
      <c r="P1842" s="2" t="s">
        <v>35</v>
      </c>
      <c r="Q1842" s="10" t="str">
        <f>VLOOKUP(A1842,Status!A:B,2,0)</f>
        <v>Completed</v>
      </c>
      <c r="R1842" s="2" t="s">
        <v>82</v>
      </c>
      <c r="S1842" s="2">
        <v>4</v>
      </c>
      <c r="T1842" s="2" t="s">
        <v>37</v>
      </c>
      <c r="U1842" s="10" t="str">
        <f t="shared" si="173"/>
        <v>Nov</v>
      </c>
      <c r="V1842" s="10">
        <f t="shared" si="172"/>
        <v>2024</v>
      </c>
      <c r="W1842" t="e" cm="1">
        <f t="array" ref="W1842">_xlfn.IFS(U1842="January",1,U1842="February",2,U1842="March",3,U1842="April",4,U1842="May",5,U1842="June",6,U1842="July",7,U1842="August",8,U1842="September",9,U1842="October",10,U1842="November",11,U1842="December",12)</f>
        <v>#N/A</v>
      </c>
    </row>
    <row r="1843" spans="1:23" ht="15.75" customHeight="1" x14ac:dyDescent="0.25">
      <c r="A1843" s="2" t="s">
        <v>718</v>
      </c>
      <c r="B1843" s="3">
        <v>45626.795601851853</v>
      </c>
      <c r="C1843" s="2" t="s">
        <v>416</v>
      </c>
      <c r="D1843" s="2" t="s">
        <v>131</v>
      </c>
      <c r="E1843" s="2" t="s">
        <v>190</v>
      </c>
      <c r="F1843" s="2" t="str" cm="1">
        <f t="array" ref="F1843:G1843">_xlfn.TEXTSPLIT(E1843," - ")</f>
        <v>Bawang Merah</v>
      </c>
      <c r="G1843" s="2" t="str">
        <v>Brand B</v>
      </c>
      <c r="H1843" s="5">
        <v>35000</v>
      </c>
      <c r="I1843" s="2">
        <v>3</v>
      </c>
      <c r="J1843" s="2">
        <v>15</v>
      </c>
      <c r="K1843" s="8">
        <f t="shared" si="168"/>
        <v>105000</v>
      </c>
      <c r="L1843" s="8">
        <f t="shared" si="169"/>
        <v>15750</v>
      </c>
      <c r="M1843" s="8">
        <f t="shared" si="170"/>
        <v>89250</v>
      </c>
      <c r="N1843" s="5">
        <v>59000</v>
      </c>
      <c r="O1843" s="8">
        <f t="shared" si="171"/>
        <v>148250</v>
      </c>
      <c r="P1843" s="2" t="s">
        <v>63</v>
      </c>
      <c r="Q1843" s="10" t="str">
        <f>VLOOKUP(A1843,Status!A:B,2,0)</f>
        <v>Cancelled</v>
      </c>
      <c r="R1843" s="2" t="s">
        <v>46</v>
      </c>
      <c r="S1843" s="2">
        <v>5</v>
      </c>
      <c r="T1843" s="2" t="s">
        <v>24</v>
      </c>
      <c r="U1843" s="10" t="str">
        <f t="shared" si="173"/>
        <v>Nov</v>
      </c>
      <c r="V1843" s="10">
        <f t="shared" si="172"/>
        <v>2024</v>
      </c>
      <c r="W1843" t="e" cm="1">
        <f t="array" ref="W1843">_xlfn.IFS(U1843="January",1,U1843="February",2,U1843="March",3,U1843="April",4,U1843="May",5,U1843="June",6,U1843="July",7,U1843="August",8,U1843="September",9,U1843="October",10,U1843="November",11,U1843="December",12)</f>
        <v>#N/A</v>
      </c>
    </row>
    <row r="1844" spans="1:23" ht="15.75" customHeight="1" x14ac:dyDescent="0.25">
      <c r="A1844" s="2" t="s">
        <v>719</v>
      </c>
      <c r="B1844" s="3">
        <v>45627.091238425928</v>
      </c>
      <c r="C1844" s="2" t="s">
        <v>355</v>
      </c>
      <c r="D1844" s="2" t="s">
        <v>116</v>
      </c>
      <c r="E1844" s="2" t="s">
        <v>136</v>
      </c>
      <c r="F1844" s="2" t="str" cm="1">
        <f t="array" ref="F1844:G1844">_xlfn.TEXTSPLIT(E1844," - ")</f>
        <v>Tepung Terigu</v>
      </c>
      <c r="G1844" s="2" t="str">
        <v>Brand B</v>
      </c>
      <c r="H1844" s="5">
        <v>12000</v>
      </c>
      <c r="I1844" s="2">
        <v>3</v>
      </c>
      <c r="J1844" s="2">
        <v>20</v>
      </c>
      <c r="K1844" s="8">
        <f t="shared" si="168"/>
        <v>36000</v>
      </c>
      <c r="L1844" s="8">
        <f t="shared" si="169"/>
        <v>7200</v>
      </c>
      <c r="M1844" s="8">
        <f t="shared" si="170"/>
        <v>28800</v>
      </c>
      <c r="N1844" s="5">
        <v>72000</v>
      </c>
      <c r="O1844" s="8">
        <f t="shared" si="171"/>
        <v>100800</v>
      </c>
      <c r="P1844" s="2" t="s">
        <v>29</v>
      </c>
      <c r="Q1844" s="10" t="str">
        <f>VLOOKUP(A1844,Status!A:B,2,0)</f>
        <v>Completed</v>
      </c>
      <c r="R1844" s="2" t="s">
        <v>46</v>
      </c>
      <c r="S1844" s="2">
        <v>2</v>
      </c>
      <c r="T1844" s="2" t="s">
        <v>24</v>
      </c>
      <c r="U1844" s="10" t="str">
        <f t="shared" si="173"/>
        <v>Dec</v>
      </c>
      <c r="V1844" s="10">
        <f t="shared" si="172"/>
        <v>2024</v>
      </c>
      <c r="W1844" t="e" cm="1">
        <f t="array" ref="W1844">_xlfn.IFS(U1844="January",1,U1844="February",2,U1844="March",3,U1844="April",4,U1844="May",5,U1844="June",6,U1844="July",7,U1844="August",8,U1844="September",9,U1844="October",10,U1844="November",11,U1844="December",12)</f>
        <v>#N/A</v>
      </c>
    </row>
    <row r="1845" spans="1:23" ht="15.75" customHeight="1" x14ac:dyDescent="0.25">
      <c r="A1845" s="2" t="s">
        <v>720</v>
      </c>
      <c r="B1845" s="3">
        <v>45627.266261574077</v>
      </c>
      <c r="C1845" s="2" t="s">
        <v>269</v>
      </c>
      <c r="D1845" s="2" t="s">
        <v>173</v>
      </c>
      <c r="E1845" s="2" t="s">
        <v>28</v>
      </c>
      <c r="F1845" s="2" t="str" cm="1">
        <f t="array" ref="F1845:G1845">_xlfn.TEXTSPLIT(E1845," - ")</f>
        <v>Garam</v>
      </c>
      <c r="G1845" s="2" t="str">
        <v>Brand B</v>
      </c>
      <c r="H1845" s="5">
        <v>5000</v>
      </c>
      <c r="I1845" s="2">
        <v>2</v>
      </c>
      <c r="J1845" s="2">
        <v>15</v>
      </c>
      <c r="K1845" s="8">
        <f t="shared" si="168"/>
        <v>10000</v>
      </c>
      <c r="L1845" s="8">
        <f t="shared" si="169"/>
        <v>1500</v>
      </c>
      <c r="M1845" s="8">
        <f t="shared" si="170"/>
        <v>8500</v>
      </c>
      <c r="N1845" s="5">
        <v>49000</v>
      </c>
      <c r="O1845" s="8">
        <f t="shared" si="171"/>
        <v>57500</v>
      </c>
      <c r="P1845" s="2" t="s">
        <v>29</v>
      </c>
      <c r="Q1845" s="10" t="str">
        <f>VLOOKUP(A1845,Status!A:B,2,0)</f>
        <v>Completed</v>
      </c>
      <c r="R1845" s="2" t="s">
        <v>46</v>
      </c>
      <c r="S1845" s="2">
        <v>4</v>
      </c>
      <c r="T1845" s="2" t="s">
        <v>37</v>
      </c>
      <c r="U1845" s="10" t="str">
        <f t="shared" si="173"/>
        <v>Dec</v>
      </c>
      <c r="V1845" s="10">
        <f t="shared" si="172"/>
        <v>2024</v>
      </c>
      <c r="W1845" t="e" cm="1">
        <f t="array" ref="W1845">_xlfn.IFS(U1845="January",1,U1845="February",2,U1845="March",3,U1845="April",4,U1845="May",5,U1845="June",6,U1845="July",7,U1845="August",8,U1845="September",9,U1845="October",10,U1845="November",11,U1845="December",12)</f>
        <v>#N/A</v>
      </c>
    </row>
    <row r="1846" spans="1:23" ht="15.75" customHeight="1" x14ac:dyDescent="0.25">
      <c r="A1846" s="2" t="s">
        <v>721</v>
      </c>
      <c r="B1846" s="3">
        <v>45627.554027777784</v>
      </c>
      <c r="C1846" s="2" t="s">
        <v>722</v>
      </c>
      <c r="D1846" s="2" t="s">
        <v>57</v>
      </c>
      <c r="E1846" s="2" t="s">
        <v>138</v>
      </c>
      <c r="F1846" s="2" t="str" cm="1">
        <f t="array" ref="F1846:G1846">_xlfn.TEXTSPLIT(E1846," - ")</f>
        <v>Gula Pasir</v>
      </c>
      <c r="G1846" s="2" t="str">
        <v>Brand B</v>
      </c>
      <c r="H1846" s="5">
        <v>17000</v>
      </c>
      <c r="I1846" s="2">
        <v>1</v>
      </c>
      <c r="J1846" s="2">
        <v>0</v>
      </c>
      <c r="K1846" s="8">
        <f t="shared" si="168"/>
        <v>17000</v>
      </c>
      <c r="L1846" s="8">
        <f t="shared" si="169"/>
        <v>0</v>
      </c>
      <c r="M1846" s="8">
        <f t="shared" si="170"/>
        <v>17000</v>
      </c>
      <c r="N1846" s="5">
        <v>80000</v>
      </c>
      <c r="O1846" s="8">
        <f t="shared" si="171"/>
        <v>97000</v>
      </c>
      <c r="P1846" s="2" t="s">
        <v>35</v>
      </c>
      <c r="Q1846" s="10" t="str">
        <f>VLOOKUP(A1846,Status!A:B,2,0)</f>
        <v>Completed</v>
      </c>
      <c r="R1846" s="2" t="s">
        <v>82</v>
      </c>
      <c r="S1846" s="2">
        <v>1</v>
      </c>
      <c r="T1846" s="2" t="s">
        <v>24</v>
      </c>
      <c r="U1846" s="10" t="str">
        <f t="shared" si="173"/>
        <v>Dec</v>
      </c>
      <c r="V1846" s="10">
        <f t="shared" si="172"/>
        <v>2024</v>
      </c>
      <c r="W1846" t="e" cm="1">
        <f t="array" ref="W1846">_xlfn.IFS(U1846="January",1,U1846="February",2,U1846="March",3,U1846="April",4,U1846="May",5,U1846="June",6,U1846="July",7,U1846="August",8,U1846="September",9,U1846="October",10,U1846="November",11,U1846="December",12)</f>
        <v>#N/A</v>
      </c>
    </row>
    <row r="1847" spans="1:23" ht="15.75" customHeight="1" x14ac:dyDescent="0.25">
      <c r="A1847" s="2" t="s">
        <v>723</v>
      </c>
      <c r="B1847" s="3">
        <v>45627.61445601852</v>
      </c>
      <c r="C1847" s="2" t="s">
        <v>724</v>
      </c>
      <c r="D1847" s="2" t="s">
        <v>53</v>
      </c>
      <c r="E1847" s="2" t="s">
        <v>75</v>
      </c>
      <c r="F1847" s="2" t="str" cm="1">
        <f t="array" ref="F1847:G1847">_xlfn.TEXTSPLIT(E1847," - ")</f>
        <v>Susu Bubuk</v>
      </c>
      <c r="G1847" s="2" t="str">
        <v>Brand C</v>
      </c>
      <c r="H1847" s="5">
        <v>55000</v>
      </c>
      <c r="I1847" s="2">
        <v>3</v>
      </c>
      <c r="J1847" s="2">
        <v>0</v>
      </c>
      <c r="K1847" s="8">
        <f t="shared" si="168"/>
        <v>165000</v>
      </c>
      <c r="L1847" s="8">
        <f t="shared" si="169"/>
        <v>0</v>
      </c>
      <c r="M1847" s="8">
        <f t="shared" si="170"/>
        <v>165000</v>
      </c>
      <c r="N1847" s="5">
        <v>18000</v>
      </c>
      <c r="O1847" s="8">
        <f t="shared" si="171"/>
        <v>183000</v>
      </c>
      <c r="P1847" s="2" t="s">
        <v>22</v>
      </c>
      <c r="Q1847" s="10" t="str">
        <f>VLOOKUP(A1847,Status!A:B,2,0)</f>
        <v>Returned</v>
      </c>
      <c r="R1847" s="2" t="s">
        <v>36</v>
      </c>
      <c r="S1847" s="2">
        <v>3</v>
      </c>
      <c r="T1847" s="2" t="s">
        <v>24</v>
      </c>
      <c r="U1847" s="10" t="str">
        <f t="shared" si="173"/>
        <v>Dec</v>
      </c>
      <c r="V1847" s="10">
        <f t="shared" si="172"/>
        <v>2024</v>
      </c>
      <c r="W1847" t="e" cm="1">
        <f t="array" ref="W1847">_xlfn.IFS(U1847="January",1,U1847="February",2,U1847="March",3,U1847="April",4,U1847="May",5,U1847="June",6,U1847="July",7,U1847="August",8,U1847="September",9,U1847="October",10,U1847="November",11,U1847="December",12)</f>
        <v>#N/A</v>
      </c>
    </row>
    <row r="1848" spans="1:23" ht="15.75" customHeight="1" x14ac:dyDescent="0.25">
      <c r="A1848" s="2" t="s">
        <v>725</v>
      </c>
      <c r="B1848" s="3">
        <v>45627.638541666667</v>
      </c>
      <c r="C1848" s="2" t="s">
        <v>726</v>
      </c>
      <c r="D1848" s="2" t="s">
        <v>53</v>
      </c>
      <c r="E1848" s="2" t="s">
        <v>75</v>
      </c>
      <c r="F1848" s="2" t="str" cm="1">
        <f t="array" ref="F1848:G1848">_xlfn.TEXTSPLIT(E1848," - ")</f>
        <v>Susu Bubuk</v>
      </c>
      <c r="G1848" s="2" t="str">
        <v>Brand C</v>
      </c>
      <c r="H1848" s="5">
        <v>55000</v>
      </c>
      <c r="I1848" s="2">
        <v>1</v>
      </c>
      <c r="J1848" s="2">
        <v>0</v>
      </c>
      <c r="K1848" s="8">
        <f t="shared" si="168"/>
        <v>55000</v>
      </c>
      <c r="L1848" s="8">
        <f t="shared" si="169"/>
        <v>0</v>
      </c>
      <c r="M1848" s="8">
        <f t="shared" si="170"/>
        <v>55000</v>
      </c>
      <c r="N1848" s="5">
        <v>18000</v>
      </c>
      <c r="O1848" s="8">
        <f t="shared" si="171"/>
        <v>73000</v>
      </c>
      <c r="P1848" s="2" t="s">
        <v>63</v>
      </c>
      <c r="Q1848" s="10" t="str">
        <f>VLOOKUP(A1848,Status!A:B,2,0)</f>
        <v>Completed</v>
      </c>
      <c r="R1848" s="2" t="s">
        <v>36</v>
      </c>
      <c r="S1848" s="2">
        <v>4</v>
      </c>
      <c r="T1848" s="2" t="s">
        <v>37</v>
      </c>
      <c r="U1848" s="10" t="str">
        <f t="shared" si="173"/>
        <v>Dec</v>
      </c>
      <c r="V1848" s="10">
        <f t="shared" si="172"/>
        <v>2024</v>
      </c>
      <c r="W1848" t="e" cm="1">
        <f t="array" ref="W1848">_xlfn.IFS(U1848="January",1,U1848="February",2,U1848="March",3,U1848="April",4,U1848="May",5,U1848="June",6,U1848="July",7,U1848="August",8,U1848="September",9,U1848="October",10,U1848="November",11,U1848="December",12)</f>
        <v>#N/A</v>
      </c>
    </row>
    <row r="1849" spans="1:23" ht="15.75" customHeight="1" x14ac:dyDescent="0.25">
      <c r="A1849" s="2" t="s">
        <v>727</v>
      </c>
      <c r="B1849" s="3">
        <v>45627.976539351846</v>
      </c>
      <c r="C1849" s="2" t="s">
        <v>410</v>
      </c>
      <c r="D1849" s="2" t="s">
        <v>151</v>
      </c>
      <c r="E1849" s="2" t="s">
        <v>38</v>
      </c>
      <c r="F1849" s="2" t="str" cm="1">
        <f t="array" ref="F1849:G1849">_xlfn.TEXTSPLIT(E1849," - ")</f>
        <v>Telur Ayam</v>
      </c>
      <c r="G1849" s="2" t="str">
        <v>Brand C</v>
      </c>
      <c r="H1849" s="5">
        <v>28000</v>
      </c>
      <c r="I1849" s="2">
        <v>3</v>
      </c>
      <c r="J1849" s="2">
        <v>10</v>
      </c>
      <c r="K1849" s="8">
        <f t="shared" si="168"/>
        <v>84000</v>
      </c>
      <c r="L1849" s="8">
        <f t="shared" si="169"/>
        <v>8400</v>
      </c>
      <c r="M1849" s="8">
        <f t="shared" si="170"/>
        <v>75600</v>
      </c>
      <c r="N1849" s="5">
        <v>55000</v>
      </c>
      <c r="O1849" s="8">
        <f t="shared" si="171"/>
        <v>130600</v>
      </c>
      <c r="P1849" s="2" t="s">
        <v>22</v>
      </c>
      <c r="Q1849" s="10" t="str">
        <f>VLOOKUP(A1849,Status!A:B,2,0)</f>
        <v>Completed</v>
      </c>
      <c r="R1849" s="2" t="s">
        <v>82</v>
      </c>
      <c r="S1849" s="2">
        <v>5</v>
      </c>
      <c r="T1849" s="2" t="s">
        <v>24</v>
      </c>
      <c r="U1849" s="10" t="str">
        <f t="shared" si="173"/>
        <v>Dec</v>
      </c>
      <c r="V1849" s="10">
        <f t="shared" si="172"/>
        <v>2024</v>
      </c>
      <c r="W1849" t="e" cm="1">
        <f t="array" ref="W1849">_xlfn.IFS(U1849="January",1,U1849="February",2,U1849="March",3,U1849="April",4,U1849="May",5,U1849="June",6,U1849="July",7,U1849="August",8,U1849="September",9,U1849="October",10,U1849="November",11,U1849="December",12)</f>
        <v>#N/A</v>
      </c>
    </row>
    <row r="1850" spans="1:23" ht="15.75" customHeight="1" x14ac:dyDescent="0.25">
      <c r="A1850" s="2" t="s">
        <v>728</v>
      </c>
      <c r="B1850" s="3">
        <v>45628.068935185183</v>
      </c>
      <c r="C1850" s="2" t="s">
        <v>729</v>
      </c>
      <c r="D1850" s="2" t="s">
        <v>74</v>
      </c>
      <c r="E1850" s="2" t="s">
        <v>58</v>
      </c>
      <c r="F1850" s="2" t="str" cm="1">
        <f t="array" ref="F1850:G1850">_xlfn.TEXTSPLIT(E1850," - ")</f>
        <v>Gula Pasir</v>
      </c>
      <c r="G1850" s="2" t="str">
        <v>Brand A</v>
      </c>
      <c r="H1850" s="5">
        <v>16000</v>
      </c>
      <c r="I1850" s="2">
        <v>3</v>
      </c>
      <c r="J1850" s="2">
        <v>10</v>
      </c>
      <c r="K1850" s="8">
        <f t="shared" si="168"/>
        <v>48000</v>
      </c>
      <c r="L1850" s="8">
        <f t="shared" si="169"/>
        <v>4800</v>
      </c>
      <c r="M1850" s="8">
        <f t="shared" si="170"/>
        <v>43200</v>
      </c>
      <c r="N1850" s="5">
        <v>87000</v>
      </c>
      <c r="O1850" s="8">
        <f t="shared" si="171"/>
        <v>130200</v>
      </c>
      <c r="P1850" s="2" t="s">
        <v>63</v>
      </c>
      <c r="Q1850" s="10" t="str">
        <f>VLOOKUP(A1850,Status!A:B,2,0)</f>
        <v>Completed</v>
      </c>
      <c r="R1850" s="2" t="s">
        <v>30</v>
      </c>
      <c r="S1850" s="2">
        <v>5</v>
      </c>
      <c r="T1850" s="2" t="s">
        <v>24</v>
      </c>
      <c r="U1850" s="10" t="str">
        <f t="shared" si="173"/>
        <v>Dec</v>
      </c>
      <c r="V1850" s="10">
        <f t="shared" si="172"/>
        <v>2024</v>
      </c>
      <c r="W1850" t="e" cm="1">
        <f t="array" ref="W1850">_xlfn.IFS(U1850="January",1,U1850="February",2,U1850="March",3,U1850="April",4,U1850="May",5,U1850="June",6,U1850="July",7,U1850="August",8,U1850="September",9,U1850="October",10,U1850="November",11,U1850="December",12)</f>
        <v>#N/A</v>
      </c>
    </row>
    <row r="1851" spans="1:23" ht="15.75" customHeight="1" x14ac:dyDescent="0.25">
      <c r="A1851" s="2" t="s">
        <v>730</v>
      </c>
      <c r="B1851" s="3">
        <v>45628.098298611112</v>
      </c>
      <c r="C1851" s="2" t="s">
        <v>455</v>
      </c>
      <c r="D1851" s="2" t="s">
        <v>33</v>
      </c>
      <c r="E1851" s="2" t="s">
        <v>174</v>
      </c>
      <c r="F1851" s="2" t="str" cm="1">
        <f t="array" ref="F1851:G1851">_xlfn.TEXTSPLIT(E1851," - ")</f>
        <v>Tepung Terigu</v>
      </c>
      <c r="G1851" s="2" t="str">
        <v>Brand A</v>
      </c>
      <c r="H1851" s="5">
        <v>10000</v>
      </c>
      <c r="I1851" s="2">
        <v>5</v>
      </c>
      <c r="J1851" s="2">
        <v>0</v>
      </c>
      <c r="K1851" s="8">
        <f t="shared" si="168"/>
        <v>50000</v>
      </c>
      <c r="L1851" s="8">
        <f t="shared" si="169"/>
        <v>0</v>
      </c>
      <c r="M1851" s="8">
        <f t="shared" si="170"/>
        <v>50000</v>
      </c>
      <c r="N1851" s="5">
        <v>76000</v>
      </c>
      <c r="O1851" s="8">
        <f t="shared" si="171"/>
        <v>126000</v>
      </c>
      <c r="P1851" s="2" t="s">
        <v>35</v>
      </c>
      <c r="Q1851" s="10" t="str">
        <f>VLOOKUP(A1851,Status!A:B,2,0)</f>
        <v>Completed</v>
      </c>
      <c r="R1851" s="2" t="s">
        <v>46</v>
      </c>
      <c r="S1851" s="2">
        <v>1</v>
      </c>
      <c r="T1851" s="2" t="s">
        <v>24</v>
      </c>
      <c r="U1851" s="10" t="str">
        <f t="shared" si="173"/>
        <v>Dec</v>
      </c>
      <c r="V1851" s="10">
        <f t="shared" si="172"/>
        <v>2024</v>
      </c>
      <c r="W1851" t="e" cm="1">
        <f t="array" ref="W1851">_xlfn.IFS(U1851="January",1,U1851="February",2,U1851="March",3,U1851="April",4,U1851="May",5,U1851="June",6,U1851="July",7,U1851="August",8,U1851="September",9,U1851="October",10,U1851="November",11,U1851="December",12)</f>
        <v>#N/A</v>
      </c>
    </row>
    <row r="1852" spans="1:23" ht="15.75" customHeight="1" x14ac:dyDescent="0.25">
      <c r="A1852" s="2" t="s">
        <v>731</v>
      </c>
      <c r="B1852" s="3">
        <v>45628.253842592603</v>
      </c>
      <c r="C1852" s="2" t="s">
        <v>732</v>
      </c>
      <c r="D1852" s="2" t="s">
        <v>170</v>
      </c>
      <c r="E1852" s="2" t="s">
        <v>54</v>
      </c>
      <c r="F1852" s="2" t="str" cm="1">
        <f t="array" ref="F1852:G1852">_xlfn.TEXTSPLIT(E1852," - ")</f>
        <v>Beras</v>
      </c>
      <c r="G1852" s="2" t="str">
        <v>Brand C</v>
      </c>
      <c r="H1852" s="5">
        <v>16000</v>
      </c>
      <c r="I1852" s="2">
        <v>4</v>
      </c>
      <c r="J1852" s="2">
        <v>5</v>
      </c>
      <c r="K1852" s="8">
        <f t="shared" si="168"/>
        <v>64000</v>
      </c>
      <c r="L1852" s="8">
        <f t="shared" si="169"/>
        <v>3200</v>
      </c>
      <c r="M1852" s="8">
        <f t="shared" si="170"/>
        <v>60800</v>
      </c>
      <c r="N1852" s="5">
        <v>46000</v>
      </c>
      <c r="O1852" s="8">
        <f t="shared" si="171"/>
        <v>106800</v>
      </c>
      <c r="P1852" s="2" t="s">
        <v>35</v>
      </c>
      <c r="Q1852" s="10" t="str">
        <f>VLOOKUP(A1852,Status!A:B,2,0)</f>
        <v>Completed</v>
      </c>
      <c r="R1852" s="2" t="s">
        <v>82</v>
      </c>
      <c r="S1852" s="2">
        <v>1</v>
      </c>
      <c r="T1852" s="2" t="s">
        <v>24</v>
      </c>
      <c r="U1852" s="10" t="str">
        <f t="shared" si="173"/>
        <v>Dec</v>
      </c>
      <c r="V1852" s="10">
        <f t="shared" si="172"/>
        <v>2024</v>
      </c>
      <c r="W1852" t="e" cm="1">
        <f t="array" ref="W1852">_xlfn.IFS(U1852="January",1,U1852="February",2,U1852="March",3,U1852="April",4,U1852="May",5,U1852="June",6,U1852="July",7,U1852="August",8,U1852="September",9,U1852="October",10,U1852="November",11,U1852="December",12)</f>
        <v>#N/A</v>
      </c>
    </row>
    <row r="1853" spans="1:23" ht="15.75" customHeight="1" x14ac:dyDescent="0.25">
      <c r="A1853" s="2" t="s">
        <v>733</v>
      </c>
      <c r="B1853" s="3">
        <v>45628.472118055557</v>
      </c>
      <c r="C1853" s="2" t="s">
        <v>77</v>
      </c>
      <c r="D1853" s="2" t="s">
        <v>61</v>
      </c>
      <c r="E1853" s="2" t="s">
        <v>28</v>
      </c>
      <c r="F1853" s="2" t="str" cm="1">
        <f t="array" ref="F1853:G1853">_xlfn.TEXTSPLIT(E1853," - ")</f>
        <v>Garam</v>
      </c>
      <c r="G1853" s="2" t="str">
        <v>Brand B</v>
      </c>
      <c r="H1853" s="5">
        <v>5000</v>
      </c>
      <c r="I1853" s="2">
        <v>1</v>
      </c>
      <c r="J1853" s="2">
        <v>0</v>
      </c>
      <c r="K1853" s="8">
        <f t="shared" si="168"/>
        <v>5000</v>
      </c>
      <c r="L1853" s="8">
        <f t="shared" si="169"/>
        <v>0</v>
      </c>
      <c r="M1853" s="8">
        <f t="shared" si="170"/>
        <v>5000</v>
      </c>
      <c r="N1853" s="5">
        <v>26000</v>
      </c>
      <c r="O1853" s="8">
        <f t="shared" si="171"/>
        <v>31000</v>
      </c>
      <c r="P1853" s="2" t="s">
        <v>35</v>
      </c>
      <c r="Q1853" s="10" t="str">
        <f>VLOOKUP(A1853,Status!A:B,2,0)</f>
        <v>Completed</v>
      </c>
      <c r="R1853" s="2" t="s">
        <v>36</v>
      </c>
      <c r="S1853" s="2">
        <v>4</v>
      </c>
      <c r="T1853" s="2" t="s">
        <v>24</v>
      </c>
      <c r="U1853" s="10" t="str">
        <f t="shared" si="173"/>
        <v>Dec</v>
      </c>
      <c r="V1853" s="10">
        <f t="shared" si="172"/>
        <v>2024</v>
      </c>
      <c r="W1853" t="e" cm="1">
        <f t="array" ref="W1853">_xlfn.IFS(U1853="January",1,U1853="February",2,U1853="March",3,U1853="April",4,U1853="May",5,U1853="June",6,U1853="July",7,U1853="August",8,U1853="September",9,U1853="October",10,U1853="November",11,U1853="December",12)</f>
        <v>#N/A</v>
      </c>
    </row>
    <row r="1854" spans="1:23" ht="15.75" customHeight="1" x14ac:dyDescent="0.25">
      <c r="A1854" s="2" t="s">
        <v>734</v>
      </c>
      <c r="B1854" s="3">
        <v>45628.478425925918</v>
      </c>
      <c r="C1854" s="2" t="s">
        <v>644</v>
      </c>
      <c r="D1854" s="2" t="s">
        <v>244</v>
      </c>
      <c r="E1854" s="2" t="s">
        <v>93</v>
      </c>
      <c r="F1854" s="2" t="str" cm="1">
        <f t="array" ref="F1854:G1854">_xlfn.TEXTSPLIT(E1854," - ")</f>
        <v>Telur Ayam</v>
      </c>
      <c r="G1854" s="2" t="str">
        <v>Brand B</v>
      </c>
      <c r="H1854" s="5">
        <v>25000</v>
      </c>
      <c r="I1854" s="2">
        <v>1</v>
      </c>
      <c r="J1854" s="2">
        <v>10</v>
      </c>
      <c r="K1854" s="8">
        <f t="shared" si="168"/>
        <v>25000</v>
      </c>
      <c r="L1854" s="8">
        <f t="shared" si="169"/>
        <v>2500</v>
      </c>
      <c r="M1854" s="8">
        <f t="shared" si="170"/>
        <v>22500</v>
      </c>
      <c r="N1854" s="5">
        <v>80000</v>
      </c>
      <c r="O1854" s="8">
        <f t="shared" si="171"/>
        <v>102500</v>
      </c>
      <c r="P1854" s="2" t="s">
        <v>35</v>
      </c>
      <c r="Q1854" s="10" t="str">
        <f>VLOOKUP(A1854,Status!A:B,2,0)</f>
        <v>Cancelled</v>
      </c>
      <c r="R1854" s="2" t="s">
        <v>46</v>
      </c>
      <c r="S1854" s="2">
        <v>4</v>
      </c>
      <c r="T1854" s="2" t="s">
        <v>24</v>
      </c>
      <c r="U1854" s="10" t="str">
        <f t="shared" si="173"/>
        <v>Dec</v>
      </c>
      <c r="V1854" s="10">
        <f t="shared" si="172"/>
        <v>2024</v>
      </c>
      <c r="W1854" t="e" cm="1">
        <f t="array" ref="W1854">_xlfn.IFS(U1854="January",1,U1854="February",2,U1854="March",3,U1854="April",4,U1854="May",5,U1854="June",6,U1854="July",7,U1854="August",8,U1854="September",9,U1854="October",10,U1854="November",11,U1854="December",12)</f>
        <v>#N/A</v>
      </c>
    </row>
    <row r="1855" spans="1:23" ht="15.75" customHeight="1" x14ac:dyDescent="0.25">
      <c r="A1855" s="2" t="s">
        <v>735</v>
      </c>
      <c r="B1855" s="3">
        <v>45628.526504629634</v>
      </c>
      <c r="C1855" s="2" t="s">
        <v>229</v>
      </c>
      <c r="D1855" s="2" t="s">
        <v>195</v>
      </c>
      <c r="E1855" s="2" t="s">
        <v>186</v>
      </c>
      <c r="F1855" s="2" t="str" cm="1">
        <f t="array" ref="F1855:G1855">_xlfn.TEXTSPLIT(E1855," - ")</f>
        <v>Susu Bubuk</v>
      </c>
      <c r="G1855" s="2" t="str">
        <v>Brand A</v>
      </c>
      <c r="H1855" s="5">
        <v>45000</v>
      </c>
      <c r="I1855" s="2">
        <v>2</v>
      </c>
      <c r="J1855" s="2">
        <v>10</v>
      </c>
      <c r="K1855" s="8">
        <f t="shared" si="168"/>
        <v>90000</v>
      </c>
      <c r="L1855" s="8">
        <f t="shared" si="169"/>
        <v>9000</v>
      </c>
      <c r="M1855" s="8">
        <f t="shared" si="170"/>
        <v>81000</v>
      </c>
      <c r="N1855" s="5">
        <v>87000</v>
      </c>
      <c r="O1855" s="8">
        <f t="shared" si="171"/>
        <v>168000</v>
      </c>
      <c r="P1855" s="2" t="s">
        <v>29</v>
      </c>
      <c r="Q1855" s="10" t="str">
        <f>VLOOKUP(A1855,Status!A:B,2,0)</f>
        <v>Completed</v>
      </c>
      <c r="R1855" s="2" t="s">
        <v>36</v>
      </c>
      <c r="S1855" s="2">
        <v>5</v>
      </c>
      <c r="T1855" s="2" t="s">
        <v>24</v>
      </c>
      <c r="U1855" s="10" t="str">
        <f t="shared" si="173"/>
        <v>Dec</v>
      </c>
      <c r="V1855" s="10">
        <f t="shared" si="172"/>
        <v>2024</v>
      </c>
      <c r="W1855" t="e" cm="1">
        <f t="array" ref="W1855">_xlfn.IFS(U1855="January",1,U1855="February",2,U1855="March",3,U1855="April",4,U1855="May",5,U1855="June",6,U1855="July",7,U1855="August",8,U1855="September",9,U1855="October",10,U1855="November",11,U1855="December",12)</f>
        <v>#N/A</v>
      </c>
    </row>
    <row r="1856" spans="1:23" ht="15.75" customHeight="1" x14ac:dyDescent="0.25">
      <c r="A1856" s="2" t="s">
        <v>736</v>
      </c>
      <c r="B1856" s="3">
        <v>45628.564050925917</v>
      </c>
      <c r="C1856" s="2" t="s">
        <v>254</v>
      </c>
      <c r="D1856" s="2" t="s">
        <v>61</v>
      </c>
      <c r="E1856" s="2" t="s">
        <v>50</v>
      </c>
      <c r="F1856" s="2" t="str" cm="1">
        <f t="array" ref="F1856:G1856">_xlfn.TEXTSPLIT(E1856," - ")</f>
        <v>Tepung Terigu</v>
      </c>
      <c r="G1856" s="2" t="str">
        <v>Brand C</v>
      </c>
      <c r="H1856" s="5">
        <v>14000</v>
      </c>
      <c r="I1856" s="2">
        <v>5</v>
      </c>
      <c r="J1856" s="2">
        <v>0</v>
      </c>
      <c r="K1856" s="8">
        <f t="shared" si="168"/>
        <v>70000</v>
      </c>
      <c r="L1856" s="8">
        <f t="shared" si="169"/>
        <v>0</v>
      </c>
      <c r="M1856" s="8">
        <f t="shared" si="170"/>
        <v>70000</v>
      </c>
      <c r="N1856" s="5">
        <v>26000</v>
      </c>
      <c r="O1856" s="8">
        <f t="shared" si="171"/>
        <v>96000</v>
      </c>
      <c r="P1856" s="2" t="s">
        <v>63</v>
      </c>
      <c r="Q1856" s="10" t="str">
        <f>VLOOKUP(A1856,Status!A:B,2,0)</f>
        <v>Completed</v>
      </c>
      <c r="R1856" s="2" t="s">
        <v>46</v>
      </c>
      <c r="S1856" s="2">
        <v>5</v>
      </c>
      <c r="T1856" s="2" t="s">
        <v>24</v>
      </c>
      <c r="U1856" s="10" t="str">
        <f t="shared" si="173"/>
        <v>Dec</v>
      </c>
      <c r="V1856" s="10">
        <f t="shared" si="172"/>
        <v>2024</v>
      </c>
      <c r="W1856" t="e" cm="1">
        <f t="array" ref="W1856">_xlfn.IFS(U1856="January",1,U1856="February",2,U1856="March",3,U1856="April",4,U1856="May",5,U1856="June",6,U1856="July",7,U1856="August",8,U1856="September",9,U1856="October",10,U1856="November",11,U1856="December",12)</f>
        <v>#N/A</v>
      </c>
    </row>
    <row r="1857" spans="1:23" ht="15.75" customHeight="1" x14ac:dyDescent="0.25">
      <c r="A1857" s="2" t="s">
        <v>737</v>
      </c>
      <c r="B1857" s="3">
        <v>45628.596377314818</v>
      </c>
      <c r="C1857" s="2" t="s">
        <v>570</v>
      </c>
      <c r="D1857" s="2" t="s">
        <v>80</v>
      </c>
      <c r="E1857" s="2" t="s">
        <v>54</v>
      </c>
      <c r="F1857" s="2" t="str" cm="1">
        <f t="array" ref="F1857:G1857">_xlfn.TEXTSPLIT(E1857," - ")</f>
        <v>Beras</v>
      </c>
      <c r="G1857" s="2" t="str">
        <v>Brand C</v>
      </c>
      <c r="H1857" s="5">
        <v>16000</v>
      </c>
      <c r="I1857" s="2">
        <v>3</v>
      </c>
      <c r="J1857" s="2">
        <v>20</v>
      </c>
      <c r="K1857" s="8">
        <f t="shared" si="168"/>
        <v>48000</v>
      </c>
      <c r="L1857" s="8">
        <f t="shared" si="169"/>
        <v>9600</v>
      </c>
      <c r="M1857" s="8">
        <f t="shared" si="170"/>
        <v>38400</v>
      </c>
      <c r="N1857" s="5">
        <v>74000</v>
      </c>
      <c r="O1857" s="8">
        <f t="shared" si="171"/>
        <v>112400</v>
      </c>
      <c r="P1857" s="2" t="s">
        <v>35</v>
      </c>
      <c r="Q1857" s="10" t="str">
        <f>VLOOKUP(A1857,Status!A:B,2,0)</f>
        <v>Cancelled</v>
      </c>
      <c r="R1857" s="2" t="s">
        <v>36</v>
      </c>
      <c r="S1857" s="2">
        <v>5</v>
      </c>
      <c r="T1857" s="2" t="s">
        <v>24</v>
      </c>
      <c r="U1857" s="10" t="str">
        <f t="shared" si="173"/>
        <v>Dec</v>
      </c>
      <c r="V1857" s="10">
        <f t="shared" si="172"/>
        <v>2024</v>
      </c>
      <c r="W1857" t="e" cm="1">
        <f t="array" ref="W1857">_xlfn.IFS(U1857="January",1,U1857="February",2,U1857="March",3,U1857="April",4,U1857="May",5,U1857="June",6,U1857="July",7,U1857="August",8,U1857="September",9,U1857="October",10,U1857="November",11,U1857="December",12)</f>
        <v>#N/A</v>
      </c>
    </row>
    <row r="1858" spans="1:23" ht="15.75" customHeight="1" x14ac:dyDescent="0.25">
      <c r="A1858" s="2" t="s">
        <v>738</v>
      </c>
      <c r="B1858" s="3">
        <v>45629.14199074074</v>
      </c>
      <c r="C1858" s="2" t="s">
        <v>739</v>
      </c>
      <c r="D1858" s="2" t="s">
        <v>177</v>
      </c>
      <c r="E1858" s="2" t="s">
        <v>34</v>
      </c>
      <c r="F1858" s="2" t="str" cm="1">
        <f t="array" ref="F1858:G1858">_xlfn.TEXTSPLIT(E1858," - ")</f>
        <v>Minyak Goreng</v>
      </c>
      <c r="G1858" s="2" t="str">
        <v>Brand A</v>
      </c>
      <c r="H1858" s="5">
        <v>16000</v>
      </c>
      <c r="I1858" s="2">
        <v>1</v>
      </c>
      <c r="J1858" s="2">
        <v>0</v>
      </c>
      <c r="K1858" s="8">
        <f t="shared" ref="K1858:K1921" si="174">H1858*I1858</f>
        <v>16000</v>
      </c>
      <c r="L1858" s="8">
        <f t="shared" ref="L1858:L1921" si="175">K1858*J1858%</f>
        <v>0</v>
      </c>
      <c r="M1858" s="8">
        <f t="shared" ref="M1858:M1921" si="176">K1858-L1858</f>
        <v>16000</v>
      </c>
      <c r="N1858" s="5">
        <v>56000</v>
      </c>
      <c r="O1858" s="8">
        <f t="shared" ref="O1858:O1921" si="177">M1858+N1858</f>
        <v>72000</v>
      </c>
      <c r="P1858" s="2" t="s">
        <v>29</v>
      </c>
      <c r="Q1858" s="10" t="str">
        <f>VLOOKUP(A1858,Status!A:B,2,0)</f>
        <v>Returned</v>
      </c>
      <c r="R1858" s="2" t="s">
        <v>30</v>
      </c>
      <c r="S1858" s="2">
        <v>5</v>
      </c>
      <c r="T1858" s="2" t="s">
        <v>24</v>
      </c>
      <c r="U1858" s="10" t="str">
        <f t="shared" si="173"/>
        <v>Dec</v>
      </c>
      <c r="V1858" s="10">
        <f t="shared" ref="V1858:V1921" si="178">YEAR(B1858)</f>
        <v>2024</v>
      </c>
      <c r="W1858" t="e" cm="1">
        <f t="array" ref="W1858">_xlfn.IFS(U1858="January",1,U1858="February",2,U1858="March",3,U1858="April",4,U1858="May",5,U1858="June",6,U1858="July",7,U1858="August",8,U1858="September",9,U1858="October",10,U1858="November",11,U1858="December",12)</f>
        <v>#N/A</v>
      </c>
    </row>
    <row r="1859" spans="1:23" ht="15.75" customHeight="1" x14ac:dyDescent="0.25">
      <c r="A1859" s="2" t="s">
        <v>740</v>
      </c>
      <c r="B1859" s="3">
        <v>45629.167129629634</v>
      </c>
      <c r="C1859" s="2" t="s">
        <v>741</v>
      </c>
      <c r="D1859" s="2" t="s">
        <v>189</v>
      </c>
      <c r="E1859" s="2" t="s">
        <v>71</v>
      </c>
      <c r="F1859" s="2" t="str" cm="1">
        <f t="array" ref="F1859:G1859">_xlfn.TEXTSPLIT(E1859," - ")</f>
        <v>Bawang Merah</v>
      </c>
      <c r="G1859" s="2" t="str">
        <v>Brand C</v>
      </c>
      <c r="H1859" s="5">
        <v>40000</v>
      </c>
      <c r="I1859" s="2">
        <v>5</v>
      </c>
      <c r="J1859" s="2">
        <v>15</v>
      </c>
      <c r="K1859" s="8">
        <f t="shared" si="174"/>
        <v>200000</v>
      </c>
      <c r="L1859" s="8">
        <f t="shared" si="175"/>
        <v>30000</v>
      </c>
      <c r="M1859" s="8">
        <f t="shared" si="176"/>
        <v>170000</v>
      </c>
      <c r="N1859" s="5">
        <v>57000</v>
      </c>
      <c r="O1859" s="8">
        <f t="shared" si="177"/>
        <v>227000</v>
      </c>
      <c r="P1859" s="2" t="s">
        <v>22</v>
      </c>
      <c r="Q1859" s="10" t="str">
        <f>VLOOKUP(A1859,Status!A:B,2,0)</f>
        <v>Returned</v>
      </c>
      <c r="R1859" s="2" t="s">
        <v>36</v>
      </c>
      <c r="S1859" s="2">
        <v>4</v>
      </c>
      <c r="T1859" s="2" t="s">
        <v>24</v>
      </c>
      <c r="U1859" s="10" t="str">
        <f t="shared" ref="U1859:U1922" si="179">TEXT(B1859,"MMM")</f>
        <v>Dec</v>
      </c>
      <c r="V1859" s="10">
        <f t="shared" si="178"/>
        <v>2024</v>
      </c>
      <c r="W1859" t="e" cm="1">
        <f t="array" ref="W1859">_xlfn.IFS(U1859="January",1,U1859="February",2,U1859="March",3,U1859="April",4,U1859="May",5,U1859="June",6,U1859="July",7,U1859="August",8,U1859="September",9,U1859="October",10,U1859="November",11,U1859="December",12)</f>
        <v>#N/A</v>
      </c>
    </row>
    <row r="1860" spans="1:23" ht="15.75" customHeight="1" x14ac:dyDescent="0.25">
      <c r="A1860" s="2" t="s">
        <v>742</v>
      </c>
      <c r="B1860" s="3">
        <v>45629.321921296287</v>
      </c>
      <c r="C1860" s="2" t="s">
        <v>323</v>
      </c>
      <c r="D1860" s="2" t="s">
        <v>103</v>
      </c>
      <c r="E1860" s="2" t="s">
        <v>123</v>
      </c>
      <c r="F1860" s="2" t="str" cm="1">
        <f t="array" ref="F1860:G1860">_xlfn.TEXTSPLIT(E1860," - ")</f>
        <v>Telur Ayam</v>
      </c>
      <c r="G1860" s="2" t="str">
        <v>Brand A</v>
      </c>
      <c r="H1860" s="5">
        <v>22000</v>
      </c>
      <c r="I1860" s="2">
        <v>2</v>
      </c>
      <c r="J1860" s="2">
        <v>0</v>
      </c>
      <c r="K1860" s="8">
        <f t="shared" si="174"/>
        <v>44000</v>
      </c>
      <c r="L1860" s="8">
        <f t="shared" si="175"/>
        <v>0</v>
      </c>
      <c r="M1860" s="8">
        <f t="shared" si="176"/>
        <v>44000</v>
      </c>
      <c r="N1860" s="5">
        <v>85000</v>
      </c>
      <c r="O1860" s="8">
        <f t="shared" si="177"/>
        <v>129000</v>
      </c>
      <c r="P1860" s="2" t="s">
        <v>29</v>
      </c>
      <c r="Q1860" s="10" t="str">
        <f>VLOOKUP(A1860,Status!A:B,2,0)</f>
        <v>Completed</v>
      </c>
      <c r="R1860" s="2" t="s">
        <v>23</v>
      </c>
      <c r="S1860" s="2">
        <v>4</v>
      </c>
      <c r="T1860" s="2" t="s">
        <v>24</v>
      </c>
      <c r="U1860" s="10" t="str">
        <f t="shared" si="179"/>
        <v>Dec</v>
      </c>
      <c r="V1860" s="10">
        <f t="shared" si="178"/>
        <v>2024</v>
      </c>
      <c r="W1860" t="e" cm="1">
        <f t="array" ref="W1860">_xlfn.IFS(U1860="January",1,U1860="February",2,U1860="March",3,U1860="April",4,U1860="May",5,U1860="June",6,U1860="July",7,U1860="August",8,U1860="September",9,U1860="October",10,U1860="November",11,U1860="December",12)</f>
        <v>#N/A</v>
      </c>
    </row>
    <row r="1861" spans="1:23" ht="15.75" customHeight="1" x14ac:dyDescent="0.25">
      <c r="A1861" s="2" t="s">
        <v>742</v>
      </c>
      <c r="B1861" s="3">
        <v>45629.321921296287</v>
      </c>
      <c r="C1861" s="2" t="s">
        <v>323</v>
      </c>
      <c r="D1861" s="2" t="s">
        <v>103</v>
      </c>
      <c r="E1861" s="2" t="s">
        <v>136</v>
      </c>
      <c r="F1861" s="2" t="str" cm="1">
        <f t="array" ref="F1861:G1861">_xlfn.TEXTSPLIT(E1861," - ")</f>
        <v>Tepung Terigu</v>
      </c>
      <c r="G1861" s="2" t="str">
        <v>Brand B</v>
      </c>
      <c r="H1861" s="5">
        <v>12000</v>
      </c>
      <c r="I1861" s="2">
        <v>3</v>
      </c>
      <c r="J1861" s="2">
        <v>20</v>
      </c>
      <c r="K1861" s="8">
        <f t="shared" si="174"/>
        <v>36000</v>
      </c>
      <c r="L1861" s="8">
        <f t="shared" si="175"/>
        <v>7200</v>
      </c>
      <c r="M1861" s="8">
        <f t="shared" si="176"/>
        <v>28800</v>
      </c>
      <c r="N1861" s="5">
        <v>0</v>
      </c>
      <c r="O1861" s="8">
        <f t="shared" si="177"/>
        <v>28800</v>
      </c>
      <c r="P1861" s="2" t="s">
        <v>29</v>
      </c>
      <c r="Q1861" s="10" t="str">
        <f>VLOOKUP(A1861,Status!A:B,2,0)</f>
        <v>Completed</v>
      </c>
      <c r="R1861" s="2" t="s">
        <v>23</v>
      </c>
      <c r="S1861" s="2">
        <v>4</v>
      </c>
      <c r="T1861" s="2" t="s">
        <v>24</v>
      </c>
      <c r="U1861" s="10" t="str">
        <f t="shared" si="179"/>
        <v>Dec</v>
      </c>
      <c r="V1861" s="10">
        <f t="shared" si="178"/>
        <v>2024</v>
      </c>
      <c r="W1861" t="e" cm="1">
        <f t="array" ref="W1861">_xlfn.IFS(U1861="January",1,U1861="February",2,U1861="March",3,U1861="April",4,U1861="May",5,U1861="June",6,U1861="July",7,U1861="August",8,U1861="September",9,U1861="October",10,U1861="November",11,U1861="December",12)</f>
        <v>#N/A</v>
      </c>
    </row>
    <row r="1862" spans="1:23" ht="15.75" customHeight="1" x14ac:dyDescent="0.25">
      <c r="A1862" s="2" t="s">
        <v>743</v>
      </c>
      <c r="B1862" s="3">
        <v>45629.390451388892</v>
      </c>
      <c r="C1862" s="2" t="s">
        <v>744</v>
      </c>
      <c r="D1862" s="2" t="s">
        <v>375</v>
      </c>
      <c r="E1862" s="2" t="s">
        <v>85</v>
      </c>
      <c r="F1862" s="2" t="str" cm="1">
        <f t="array" ref="F1862:G1862">_xlfn.TEXTSPLIT(E1862," - ")</f>
        <v>Daging Ayam</v>
      </c>
      <c r="G1862" s="2" t="str">
        <v>Brand A</v>
      </c>
      <c r="H1862" s="5">
        <v>35000</v>
      </c>
      <c r="I1862" s="2">
        <v>2</v>
      </c>
      <c r="J1862" s="2">
        <v>0</v>
      </c>
      <c r="K1862" s="8">
        <f t="shared" si="174"/>
        <v>70000</v>
      </c>
      <c r="L1862" s="8">
        <f t="shared" si="175"/>
        <v>0</v>
      </c>
      <c r="M1862" s="8">
        <f t="shared" si="176"/>
        <v>70000</v>
      </c>
      <c r="N1862" s="5">
        <v>21000</v>
      </c>
      <c r="O1862" s="8">
        <f t="shared" si="177"/>
        <v>91000</v>
      </c>
      <c r="P1862" s="2" t="s">
        <v>35</v>
      </c>
      <c r="Q1862" s="10" t="str">
        <f>VLOOKUP(A1862,Status!A:B,2,0)</f>
        <v>Completed</v>
      </c>
      <c r="R1862" s="2" t="s">
        <v>30</v>
      </c>
      <c r="S1862" s="2">
        <v>1</v>
      </c>
      <c r="T1862" s="2" t="s">
        <v>24</v>
      </c>
      <c r="U1862" s="10" t="str">
        <f t="shared" si="179"/>
        <v>Dec</v>
      </c>
      <c r="V1862" s="10">
        <f t="shared" si="178"/>
        <v>2024</v>
      </c>
      <c r="W1862" t="e" cm="1">
        <f t="array" ref="W1862">_xlfn.IFS(U1862="January",1,U1862="February",2,U1862="March",3,U1862="April",4,U1862="May",5,U1862="June",6,U1862="July",7,U1862="August",8,U1862="September",9,U1862="October",10,U1862="November",11,U1862="December",12)</f>
        <v>#N/A</v>
      </c>
    </row>
    <row r="1863" spans="1:23" ht="15.75" customHeight="1" x14ac:dyDescent="0.25">
      <c r="A1863" s="2" t="s">
        <v>745</v>
      </c>
      <c r="B1863" s="3">
        <v>45629.426365740743</v>
      </c>
      <c r="C1863" s="2" t="s">
        <v>549</v>
      </c>
      <c r="D1863" s="2" t="s">
        <v>107</v>
      </c>
      <c r="E1863" s="2" t="s">
        <v>71</v>
      </c>
      <c r="F1863" s="2" t="str" cm="1">
        <f t="array" ref="F1863:G1863">_xlfn.TEXTSPLIT(E1863," - ")</f>
        <v>Bawang Merah</v>
      </c>
      <c r="G1863" s="2" t="str">
        <v>Brand C</v>
      </c>
      <c r="H1863" s="5">
        <v>40000</v>
      </c>
      <c r="I1863" s="2">
        <v>3</v>
      </c>
      <c r="J1863" s="2">
        <v>0</v>
      </c>
      <c r="K1863" s="8">
        <f t="shared" si="174"/>
        <v>120000</v>
      </c>
      <c r="L1863" s="8">
        <f t="shared" si="175"/>
        <v>0</v>
      </c>
      <c r="M1863" s="8">
        <f t="shared" si="176"/>
        <v>120000</v>
      </c>
      <c r="N1863" s="5">
        <v>97000</v>
      </c>
      <c r="O1863" s="8">
        <f t="shared" si="177"/>
        <v>217000</v>
      </c>
      <c r="P1863" s="2" t="s">
        <v>22</v>
      </c>
      <c r="Q1863" s="10" t="str">
        <f>VLOOKUP(A1863,Status!A:B,2,0)</f>
        <v>Completed</v>
      </c>
      <c r="R1863" s="2" t="s">
        <v>82</v>
      </c>
      <c r="S1863" s="2">
        <v>5</v>
      </c>
      <c r="T1863" s="2" t="s">
        <v>24</v>
      </c>
      <c r="U1863" s="10" t="str">
        <f t="shared" si="179"/>
        <v>Dec</v>
      </c>
      <c r="V1863" s="10">
        <f t="shared" si="178"/>
        <v>2024</v>
      </c>
      <c r="W1863" t="e" cm="1">
        <f t="array" ref="W1863">_xlfn.IFS(U1863="January",1,U1863="February",2,U1863="March",3,U1863="April",4,U1863="May",5,U1863="June",6,U1863="July",7,U1863="August",8,U1863="September",9,U1863="October",10,U1863="November",11,U1863="December",12)</f>
        <v>#N/A</v>
      </c>
    </row>
    <row r="1864" spans="1:23" ht="15.75" customHeight="1" x14ac:dyDescent="0.25">
      <c r="A1864" s="2" t="s">
        <v>746</v>
      </c>
      <c r="B1864" s="3">
        <v>45629.528148148151</v>
      </c>
      <c r="C1864" s="2" t="s">
        <v>56</v>
      </c>
      <c r="D1864" s="2" t="s">
        <v>57</v>
      </c>
      <c r="E1864" s="2" t="s">
        <v>50</v>
      </c>
      <c r="F1864" s="2" t="str" cm="1">
        <f t="array" ref="F1864:G1864">_xlfn.TEXTSPLIT(E1864," - ")</f>
        <v>Tepung Terigu</v>
      </c>
      <c r="G1864" s="2" t="str">
        <v>Brand C</v>
      </c>
      <c r="H1864" s="5">
        <v>14000</v>
      </c>
      <c r="I1864" s="2">
        <v>1</v>
      </c>
      <c r="J1864" s="2">
        <v>5</v>
      </c>
      <c r="K1864" s="8">
        <f t="shared" si="174"/>
        <v>14000</v>
      </c>
      <c r="L1864" s="8">
        <f t="shared" si="175"/>
        <v>700</v>
      </c>
      <c r="M1864" s="8">
        <f t="shared" si="176"/>
        <v>13300</v>
      </c>
      <c r="N1864" s="5">
        <v>80000</v>
      </c>
      <c r="O1864" s="8">
        <f t="shared" si="177"/>
        <v>93300</v>
      </c>
      <c r="P1864" s="2" t="s">
        <v>63</v>
      </c>
      <c r="Q1864" s="10" t="str">
        <f>VLOOKUP(A1864,Status!A:B,2,0)</f>
        <v>Completed</v>
      </c>
      <c r="R1864" s="2" t="s">
        <v>82</v>
      </c>
      <c r="S1864" s="2">
        <v>4</v>
      </c>
      <c r="T1864" s="2" t="s">
        <v>24</v>
      </c>
      <c r="U1864" s="10" t="str">
        <f t="shared" si="179"/>
        <v>Dec</v>
      </c>
      <c r="V1864" s="10">
        <f t="shared" si="178"/>
        <v>2024</v>
      </c>
      <c r="W1864" t="e" cm="1">
        <f t="array" ref="W1864">_xlfn.IFS(U1864="January",1,U1864="February",2,U1864="March",3,U1864="April",4,U1864="May",5,U1864="June",6,U1864="July",7,U1864="August",8,U1864="September",9,U1864="October",10,U1864="November",11,U1864="December",12)</f>
        <v>#N/A</v>
      </c>
    </row>
    <row r="1865" spans="1:23" ht="15.75" customHeight="1" x14ac:dyDescent="0.25">
      <c r="A1865" s="2" t="s">
        <v>747</v>
      </c>
      <c r="B1865" s="3">
        <v>45629.953587962962</v>
      </c>
      <c r="C1865" s="2" t="s">
        <v>748</v>
      </c>
      <c r="D1865" s="2" t="s">
        <v>160</v>
      </c>
      <c r="E1865" s="2" t="s">
        <v>50</v>
      </c>
      <c r="F1865" s="2" t="str" cm="1">
        <f t="array" ref="F1865:G1865">_xlfn.TEXTSPLIT(E1865," - ")</f>
        <v>Tepung Terigu</v>
      </c>
      <c r="G1865" s="2" t="str">
        <v>Brand C</v>
      </c>
      <c r="H1865" s="5">
        <v>14000</v>
      </c>
      <c r="I1865" s="2">
        <v>4</v>
      </c>
      <c r="J1865" s="2">
        <v>0</v>
      </c>
      <c r="K1865" s="8">
        <f t="shared" si="174"/>
        <v>56000</v>
      </c>
      <c r="L1865" s="8">
        <f t="shared" si="175"/>
        <v>0</v>
      </c>
      <c r="M1865" s="8">
        <f t="shared" si="176"/>
        <v>56000</v>
      </c>
      <c r="N1865" s="5">
        <v>68000</v>
      </c>
      <c r="O1865" s="8">
        <f t="shared" si="177"/>
        <v>124000</v>
      </c>
      <c r="P1865" s="2" t="s">
        <v>63</v>
      </c>
      <c r="Q1865" s="10" t="str">
        <f>VLOOKUP(A1865,Status!A:B,2,0)</f>
        <v>Completed</v>
      </c>
      <c r="R1865" s="2" t="s">
        <v>82</v>
      </c>
      <c r="S1865" s="2">
        <v>1</v>
      </c>
      <c r="T1865" s="2" t="s">
        <v>24</v>
      </c>
      <c r="U1865" s="10" t="str">
        <f t="shared" si="179"/>
        <v>Dec</v>
      </c>
      <c r="V1865" s="10">
        <f t="shared" si="178"/>
        <v>2024</v>
      </c>
      <c r="W1865" t="e" cm="1">
        <f t="array" ref="W1865">_xlfn.IFS(U1865="January",1,U1865="February",2,U1865="March",3,U1865="April",4,U1865="May",5,U1865="June",6,U1865="July",7,U1865="August",8,U1865="September",9,U1865="October",10,U1865="November",11,U1865="December",12)</f>
        <v>#N/A</v>
      </c>
    </row>
    <row r="1866" spans="1:23" ht="15.75" customHeight="1" x14ac:dyDescent="0.25">
      <c r="A1866" s="2" t="s">
        <v>749</v>
      </c>
      <c r="B1866" s="3">
        <v>45630.617152777777</v>
      </c>
      <c r="C1866" s="2" t="s">
        <v>133</v>
      </c>
      <c r="D1866" s="2" t="s">
        <v>33</v>
      </c>
      <c r="E1866" s="2" t="s">
        <v>186</v>
      </c>
      <c r="F1866" s="2" t="str" cm="1">
        <f t="array" ref="F1866:G1866">_xlfn.TEXTSPLIT(E1866," - ")</f>
        <v>Susu Bubuk</v>
      </c>
      <c r="G1866" s="2" t="str">
        <v>Brand A</v>
      </c>
      <c r="H1866" s="5">
        <v>45000</v>
      </c>
      <c r="I1866" s="2">
        <v>2</v>
      </c>
      <c r="J1866" s="2">
        <v>15</v>
      </c>
      <c r="K1866" s="8">
        <f t="shared" si="174"/>
        <v>90000</v>
      </c>
      <c r="L1866" s="8">
        <f t="shared" si="175"/>
        <v>13500</v>
      </c>
      <c r="M1866" s="8">
        <f t="shared" si="176"/>
        <v>76500</v>
      </c>
      <c r="N1866" s="5">
        <v>76000</v>
      </c>
      <c r="O1866" s="8">
        <f t="shared" si="177"/>
        <v>152500</v>
      </c>
      <c r="P1866" s="2" t="s">
        <v>63</v>
      </c>
      <c r="Q1866" s="10" t="str">
        <f>VLOOKUP(A1866,Status!A:B,2,0)</f>
        <v>Returned</v>
      </c>
      <c r="R1866" s="2" t="s">
        <v>36</v>
      </c>
      <c r="S1866" s="2">
        <v>4</v>
      </c>
      <c r="T1866" s="2" t="s">
        <v>24</v>
      </c>
      <c r="U1866" s="10" t="str">
        <f t="shared" si="179"/>
        <v>Dec</v>
      </c>
      <c r="V1866" s="10">
        <f t="shared" si="178"/>
        <v>2024</v>
      </c>
      <c r="W1866" t="e" cm="1">
        <f t="array" ref="W1866">_xlfn.IFS(U1866="January",1,U1866="February",2,U1866="March",3,U1866="April",4,U1866="May",5,U1866="June",6,U1866="July",7,U1866="August",8,U1866="September",9,U1866="October",10,U1866="November",11,U1866="December",12)</f>
        <v>#N/A</v>
      </c>
    </row>
    <row r="1867" spans="1:23" ht="15.75" customHeight="1" x14ac:dyDescent="0.25">
      <c r="A1867" s="2" t="s">
        <v>750</v>
      </c>
      <c r="B1867" s="3">
        <v>45631.069363425922</v>
      </c>
      <c r="C1867" s="2" t="s">
        <v>751</v>
      </c>
      <c r="D1867" s="2" t="s">
        <v>80</v>
      </c>
      <c r="E1867" s="2" t="s">
        <v>123</v>
      </c>
      <c r="F1867" s="2" t="str" cm="1">
        <f t="array" ref="F1867:G1867">_xlfn.TEXTSPLIT(E1867," - ")</f>
        <v>Telur Ayam</v>
      </c>
      <c r="G1867" s="2" t="str">
        <v>Brand A</v>
      </c>
      <c r="H1867" s="5">
        <v>22000</v>
      </c>
      <c r="I1867" s="2">
        <v>5</v>
      </c>
      <c r="J1867" s="2">
        <v>20</v>
      </c>
      <c r="K1867" s="8">
        <f t="shared" si="174"/>
        <v>110000</v>
      </c>
      <c r="L1867" s="8">
        <f t="shared" si="175"/>
        <v>22000</v>
      </c>
      <c r="M1867" s="8">
        <f t="shared" si="176"/>
        <v>88000</v>
      </c>
      <c r="N1867" s="5">
        <v>74000</v>
      </c>
      <c r="O1867" s="8">
        <f t="shared" si="177"/>
        <v>162000</v>
      </c>
      <c r="P1867" s="2" t="s">
        <v>63</v>
      </c>
      <c r="Q1867" s="10" t="str">
        <f>VLOOKUP(A1867,Status!A:B,2,0)</f>
        <v>Completed</v>
      </c>
      <c r="R1867" s="2" t="s">
        <v>82</v>
      </c>
      <c r="S1867" s="2">
        <v>4</v>
      </c>
      <c r="T1867" s="2" t="s">
        <v>24</v>
      </c>
      <c r="U1867" s="10" t="str">
        <f t="shared" si="179"/>
        <v>Dec</v>
      </c>
      <c r="V1867" s="10">
        <f t="shared" si="178"/>
        <v>2024</v>
      </c>
      <c r="W1867" t="e" cm="1">
        <f t="array" ref="W1867">_xlfn.IFS(U1867="January",1,U1867="February",2,U1867="March",3,U1867="April",4,U1867="May",5,U1867="June",6,U1867="July",7,U1867="August",8,U1867="September",9,U1867="October",10,U1867="November",11,U1867="December",12)</f>
        <v>#N/A</v>
      </c>
    </row>
    <row r="1868" spans="1:23" ht="15.75" customHeight="1" x14ac:dyDescent="0.25">
      <c r="A1868" s="2" t="s">
        <v>752</v>
      </c>
      <c r="B1868" s="3">
        <v>45631.320868055547</v>
      </c>
      <c r="C1868" s="2" t="s">
        <v>459</v>
      </c>
      <c r="D1868" s="2" t="s">
        <v>61</v>
      </c>
      <c r="E1868" s="2" t="s">
        <v>110</v>
      </c>
      <c r="F1868" s="2" t="str" cm="1">
        <f t="array" ref="F1868:G1868">_xlfn.TEXTSPLIT(E1868," - ")</f>
        <v>Garam</v>
      </c>
      <c r="G1868" s="2" t="str">
        <v>Brand C</v>
      </c>
      <c r="H1868" s="5">
        <v>6000</v>
      </c>
      <c r="I1868" s="2">
        <v>2</v>
      </c>
      <c r="J1868" s="2">
        <v>0</v>
      </c>
      <c r="K1868" s="8">
        <f t="shared" si="174"/>
        <v>12000</v>
      </c>
      <c r="L1868" s="8">
        <f t="shared" si="175"/>
        <v>0</v>
      </c>
      <c r="M1868" s="8">
        <f t="shared" si="176"/>
        <v>12000</v>
      </c>
      <c r="N1868" s="5">
        <v>26000</v>
      </c>
      <c r="O1868" s="8">
        <f t="shared" si="177"/>
        <v>38000</v>
      </c>
      <c r="P1868" s="2" t="s">
        <v>29</v>
      </c>
      <c r="Q1868" s="10" t="str">
        <f>VLOOKUP(A1868,Status!A:B,2,0)</f>
        <v>Completed</v>
      </c>
      <c r="R1868" s="2" t="s">
        <v>46</v>
      </c>
      <c r="S1868" s="2">
        <v>1</v>
      </c>
      <c r="T1868" s="2" t="s">
        <v>24</v>
      </c>
      <c r="U1868" s="10" t="str">
        <f t="shared" si="179"/>
        <v>Dec</v>
      </c>
      <c r="V1868" s="10">
        <f t="shared" si="178"/>
        <v>2024</v>
      </c>
      <c r="W1868" t="e" cm="1">
        <f t="array" ref="W1868">_xlfn.IFS(U1868="January",1,U1868="February",2,U1868="March",3,U1868="April",4,U1868="May",5,U1868="June",6,U1868="July",7,U1868="August",8,U1868="September",9,U1868="October",10,U1868="November",11,U1868="December",12)</f>
        <v>#N/A</v>
      </c>
    </row>
    <row r="1869" spans="1:23" ht="15.75" customHeight="1" x14ac:dyDescent="0.25">
      <c r="A1869" s="2" t="s">
        <v>753</v>
      </c>
      <c r="B1869" s="3">
        <v>45631.402430555558</v>
      </c>
      <c r="C1869" s="2" t="s">
        <v>754</v>
      </c>
      <c r="D1869" s="2" t="s">
        <v>238</v>
      </c>
      <c r="E1869" s="2" t="s">
        <v>250</v>
      </c>
      <c r="F1869" s="2" t="str" cm="1">
        <f t="array" ref="F1869:G1869">_xlfn.TEXTSPLIT(E1869," - ")</f>
        <v>Minyak Goreng</v>
      </c>
      <c r="G1869" s="2" t="str">
        <v>Brand C</v>
      </c>
      <c r="H1869" s="5">
        <v>18000</v>
      </c>
      <c r="I1869" s="2">
        <v>2</v>
      </c>
      <c r="J1869" s="2">
        <v>5</v>
      </c>
      <c r="K1869" s="8">
        <f t="shared" si="174"/>
        <v>36000</v>
      </c>
      <c r="L1869" s="8">
        <f t="shared" si="175"/>
        <v>1800</v>
      </c>
      <c r="M1869" s="8">
        <f t="shared" si="176"/>
        <v>34200</v>
      </c>
      <c r="N1869" s="5">
        <v>28000</v>
      </c>
      <c r="O1869" s="8">
        <f t="shared" si="177"/>
        <v>62200</v>
      </c>
      <c r="P1869" s="2" t="s">
        <v>63</v>
      </c>
      <c r="Q1869" s="10" t="str">
        <f>VLOOKUP(A1869,Status!A:B,2,0)</f>
        <v>Completed</v>
      </c>
      <c r="R1869" s="2" t="s">
        <v>82</v>
      </c>
      <c r="S1869" s="2">
        <v>3</v>
      </c>
      <c r="T1869" s="2" t="s">
        <v>37</v>
      </c>
      <c r="U1869" s="10" t="str">
        <f t="shared" si="179"/>
        <v>Dec</v>
      </c>
      <c r="V1869" s="10">
        <f t="shared" si="178"/>
        <v>2024</v>
      </c>
      <c r="W1869" t="e" cm="1">
        <f t="array" ref="W1869">_xlfn.IFS(U1869="January",1,U1869="February",2,U1869="March",3,U1869="April",4,U1869="May",5,U1869="June",6,U1869="July",7,U1869="August",8,U1869="September",9,U1869="October",10,U1869="November",11,U1869="December",12)</f>
        <v>#N/A</v>
      </c>
    </row>
    <row r="1870" spans="1:23" ht="15.75" customHeight="1" x14ac:dyDescent="0.25">
      <c r="A1870" s="2" t="s">
        <v>753</v>
      </c>
      <c r="B1870" s="3">
        <v>45631.402430555558</v>
      </c>
      <c r="C1870" s="2" t="s">
        <v>754</v>
      </c>
      <c r="D1870" s="2" t="s">
        <v>238</v>
      </c>
      <c r="E1870" s="2" t="s">
        <v>144</v>
      </c>
      <c r="F1870" s="2" t="str" cm="1">
        <f t="array" ref="F1870:G1870">_xlfn.TEXTSPLIT(E1870," - ")</f>
        <v>Gula Pasir</v>
      </c>
      <c r="G1870" s="2" t="str">
        <v>Brand C</v>
      </c>
      <c r="H1870" s="5">
        <v>18000</v>
      </c>
      <c r="I1870" s="2">
        <v>2</v>
      </c>
      <c r="J1870" s="2">
        <v>20</v>
      </c>
      <c r="K1870" s="8">
        <f t="shared" si="174"/>
        <v>36000</v>
      </c>
      <c r="L1870" s="8">
        <f t="shared" si="175"/>
        <v>7200</v>
      </c>
      <c r="M1870" s="8">
        <f t="shared" si="176"/>
        <v>28800</v>
      </c>
      <c r="N1870" s="5">
        <v>0</v>
      </c>
      <c r="O1870" s="8">
        <f t="shared" si="177"/>
        <v>28800</v>
      </c>
      <c r="P1870" s="2" t="s">
        <v>63</v>
      </c>
      <c r="Q1870" s="10" t="str">
        <f>VLOOKUP(A1870,Status!A:B,2,0)</f>
        <v>Completed</v>
      </c>
      <c r="R1870" s="2" t="s">
        <v>82</v>
      </c>
      <c r="S1870" s="2">
        <v>3</v>
      </c>
      <c r="T1870" s="2" t="s">
        <v>37</v>
      </c>
      <c r="U1870" s="10" t="str">
        <f t="shared" si="179"/>
        <v>Dec</v>
      </c>
      <c r="V1870" s="10">
        <f t="shared" si="178"/>
        <v>2024</v>
      </c>
      <c r="W1870" t="e" cm="1">
        <f t="array" ref="W1870">_xlfn.IFS(U1870="January",1,U1870="February",2,U1870="March",3,U1870="April",4,U1870="May",5,U1870="June",6,U1870="July",7,U1870="August",8,U1870="September",9,U1870="October",10,U1870="November",11,U1870="December",12)</f>
        <v>#N/A</v>
      </c>
    </row>
    <row r="1871" spans="1:23" ht="15.75" customHeight="1" x14ac:dyDescent="0.25">
      <c r="A1871" s="2" t="s">
        <v>755</v>
      </c>
      <c r="B1871" s="3">
        <v>45631.572511574072</v>
      </c>
      <c r="C1871" s="2" t="s">
        <v>439</v>
      </c>
      <c r="D1871" s="2" t="s">
        <v>119</v>
      </c>
      <c r="E1871" s="2" t="s">
        <v>138</v>
      </c>
      <c r="F1871" s="2" t="str" cm="1">
        <f t="array" ref="F1871:G1871">_xlfn.TEXTSPLIT(E1871," - ")</f>
        <v>Gula Pasir</v>
      </c>
      <c r="G1871" s="2" t="str">
        <v>Brand B</v>
      </c>
      <c r="H1871" s="5">
        <v>17000</v>
      </c>
      <c r="I1871" s="2">
        <v>3</v>
      </c>
      <c r="J1871" s="2">
        <v>20</v>
      </c>
      <c r="K1871" s="8">
        <f t="shared" si="174"/>
        <v>51000</v>
      </c>
      <c r="L1871" s="8">
        <f t="shared" si="175"/>
        <v>10200</v>
      </c>
      <c r="M1871" s="8">
        <f t="shared" si="176"/>
        <v>40800</v>
      </c>
      <c r="N1871" s="5">
        <v>0</v>
      </c>
      <c r="O1871" s="8">
        <f t="shared" si="177"/>
        <v>40800</v>
      </c>
      <c r="P1871" s="2" t="s">
        <v>35</v>
      </c>
      <c r="Q1871" s="10" t="str">
        <f>VLOOKUP(A1871,Status!A:B,2,0)</f>
        <v>Completed</v>
      </c>
      <c r="R1871" s="2" t="s">
        <v>46</v>
      </c>
      <c r="S1871" s="2">
        <v>4</v>
      </c>
      <c r="T1871" s="2" t="s">
        <v>37</v>
      </c>
      <c r="U1871" s="10" t="str">
        <f t="shared" si="179"/>
        <v>Dec</v>
      </c>
      <c r="V1871" s="10">
        <f t="shared" si="178"/>
        <v>2024</v>
      </c>
      <c r="W1871" t="e" cm="1">
        <f t="array" ref="W1871">_xlfn.IFS(U1871="January",1,U1871="February",2,U1871="March",3,U1871="April",4,U1871="May",5,U1871="June",6,U1871="July",7,U1871="August",8,U1871="September",9,U1871="October",10,U1871="November",11,U1871="December",12)</f>
        <v>#N/A</v>
      </c>
    </row>
    <row r="1872" spans="1:23" ht="15.75" customHeight="1" x14ac:dyDescent="0.25">
      <c r="A1872" s="2" t="s">
        <v>756</v>
      </c>
      <c r="B1872" s="3">
        <v>45631.768067129633</v>
      </c>
      <c r="C1872" s="2" t="s">
        <v>570</v>
      </c>
      <c r="D1872" s="2" t="s">
        <v>80</v>
      </c>
      <c r="E1872" s="2" t="s">
        <v>136</v>
      </c>
      <c r="F1872" s="2" t="str" cm="1">
        <f t="array" ref="F1872:G1872">_xlfn.TEXTSPLIT(E1872," - ")</f>
        <v>Tepung Terigu</v>
      </c>
      <c r="G1872" s="2" t="str">
        <v>Brand B</v>
      </c>
      <c r="H1872" s="5">
        <v>12000</v>
      </c>
      <c r="I1872" s="2">
        <v>4</v>
      </c>
      <c r="J1872" s="2">
        <v>20</v>
      </c>
      <c r="K1872" s="8">
        <f t="shared" si="174"/>
        <v>48000</v>
      </c>
      <c r="L1872" s="8">
        <f t="shared" si="175"/>
        <v>9600</v>
      </c>
      <c r="M1872" s="8">
        <f t="shared" si="176"/>
        <v>38400</v>
      </c>
      <c r="N1872" s="5">
        <v>74000</v>
      </c>
      <c r="O1872" s="8">
        <f t="shared" si="177"/>
        <v>112400</v>
      </c>
      <c r="P1872" s="2" t="s">
        <v>29</v>
      </c>
      <c r="Q1872" s="10" t="str">
        <f>VLOOKUP(A1872,Status!A:B,2,0)</f>
        <v>Completed</v>
      </c>
      <c r="R1872" s="2" t="s">
        <v>46</v>
      </c>
      <c r="S1872" s="2">
        <v>2</v>
      </c>
      <c r="T1872" s="2" t="s">
        <v>24</v>
      </c>
      <c r="U1872" s="10" t="str">
        <f t="shared" si="179"/>
        <v>Dec</v>
      </c>
      <c r="V1872" s="10">
        <f t="shared" si="178"/>
        <v>2024</v>
      </c>
      <c r="W1872" t="e" cm="1">
        <f t="array" ref="W1872">_xlfn.IFS(U1872="January",1,U1872="February",2,U1872="March",3,U1872="April",4,U1872="May",5,U1872="June",6,U1872="July",7,U1872="August",8,U1872="September",9,U1872="October",10,U1872="November",11,U1872="December",12)</f>
        <v>#N/A</v>
      </c>
    </row>
    <row r="1873" spans="1:23" ht="15.75" customHeight="1" x14ac:dyDescent="0.25">
      <c r="A1873" s="2" t="s">
        <v>757</v>
      </c>
      <c r="B1873" s="3">
        <v>45631.862500000003</v>
      </c>
      <c r="C1873" s="2" t="s">
        <v>758</v>
      </c>
      <c r="D1873" s="2" t="s">
        <v>238</v>
      </c>
      <c r="E1873" s="2" t="s">
        <v>75</v>
      </c>
      <c r="F1873" s="2" t="str" cm="1">
        <f t="array" ref="F1873:G1873">_xlfn.TEXTSPLIT(E1873," - ")</f>
        <v>Susu Bubuk</v>
      </c>
      <c r="G1873" s="2" t="str">
        <v>Brand C</v>
      </c>
      <c r="H1873" s="5">
        <v>55000</v>
      </c>
      <c r="I1873" s="2">
        <v>1</v>
      </c>
      <c r="J1873" s="2">
        <v>15</v>
      </c>
      <c r="K1873" s="8">
        <f t="shared" si="174"/>
        <v>55000</v>
      </c>
      <c r="L1873" s="8">
        <f t="shared" si="175"/>
        <v>8250</v>
      </c>
      <c r="M1873" s="8">
        <f t="shared" si="176"/>
        <v>46750</v>
      </c>
      <c r="N1873" s="5">
        <v>28000</v>
      </c>
      <c r="O1873" s="8">
        <f t="shared" si="177"/>
        <v>74750</v>
      </c>
      <c r="P1873" s="2" t="s">
        <v>63</v>
      </c>
      <c r="Q1873" s="10" t="str">
        <f>VLOOKUP(A1873,Status!A:B,2,0)</f>
        <v>Cancelled</v>
      </c>
      <c r="R1873" s="2" t="s">
        <v>30</v>
      </c>
      <c r="S1873" s="2">
        <v>5</v>
      </c>
      <c r="T1873" s="2" t="s">
        <v>24</v>
      </c>
      <c r="U1873" s="10" t="str">
        <f t="shared" si="179"/>
        <v>Dec</v>
      </c>
      <c r="V1873" s="10">
        <f t="shared" si="178"/>
        <v>2024</v>
      </c>
      <c r="W1873" t="e" cm="1">
        <f t="array" ref="W1873">_xlfn.IFS(U1873="January",1,U1873="February",2,U1873="March",3,U1873="April",4,U1873="May",5,U1873="June",6,U1873="July",7,U1873="August",8,U1873="September",9,U1873="October",10,U1873="November",11,U1873="December",12)</f>
        <v>#N/A</v>
      </c>
    </row>
    <row r="1874" spans="1:23" ht="15.75" customHeight="1" x14ac:dyDescent="0.25">
      <c r="A1874" s="2" t="s">
        <v>759</v>
      </c>
      <c r="B1874" s="3">
        <v>45632.22550925926</v>
      </c>
      <c r="C1874" s="2" t="s">
        <v>699</v>
      </c>
      <c r="D1874" s="2" t="s">
        <v>238</v>
      </c>
      <c r="E1874" s="2" t="s">
        <v>85</v>
      </c>
      <c r="F1874" s="2" t="str" cm="1">
        <f t="array" ref="F1874:G1874">_xlfn.TEXTSPLIT(E1874," - ")</f>
        <v>Daging Ayam</v>
      </c>
      <c r="G1874" s="2" t="str">
        <v>Brand A</v>
      </c>
      <c r="H1874" s="5">
        <v>35000</v>
      </c>
      <c r="I1874" s="2">
        <v>4</v>
      </c>
      <c r="J1874" s="2">
        <v>5</v>
      </c>
      <c r="K1874" s="8">
        <f t="shared" si="174"/>
        <v>140000</v>
      </c>
      <c r="L1874" s="8">
        <f t="shared" si="175"/>
        <v>7000</v>
      </c>
      <c r="M1874" s="8">
        <f t="shared" si="176"/>
        <v>133000</v>
      </c>
      <c r="N1874" s="5">
        <v>28000</v>
      </c>
      <c r="O1874" s="8">
        <f t="shared" si="177"/>
        <v>161000</v>
      </c>
      <c r="P1874" s="2" t="s">
        <v>22</v>
      </c>
      <c r="Q1874" s="10" t="str">
        <f>VLOOKUP(A1874,Status!A:B,2,0)</f>
        <v>Completed</v>
      </c>
      <c r="R1874" s="2" t="s">
        <v>23</v>
      </c>
      <c r="S1874" s="2">
        <v>1</v>
      </c>
      <c r="T1874" s="2" t="s">
        <v>37</v>
      </c>
      <c r="U1874" s="10" t="str">
        <f t="shared" si="179"/>
        <v>Dec</v>
      </c>
      <c r="V1874" s="10">
        <f t="shared" si="178"/>
        <v>2024</v>
      </c>
      <c r="W1874" t="e" cm="1">
        <f t="array" ref="W1874">_xlfn.IFS(U1874="January",1,U1874="February",2,U1874="March",3,U1874="April",4,U1874="May",5,U1874="June",6,U1874="July",7,U1874="August",8,U1874="September",9,U1874="October",10,U1874="November",11,U1874="December",12)</f>
        <v>#N/A</v>
      </c>
    </row>
    <row r="1875" spans="1:23" ht="15.75" customHeight="1" x14ac:dyDescent="0.25">
      <c r="A1875" s="2" t="s">
        <v>760</v>
      </c>
      <c r="B1875" s="3">
        <v>45632.448240740741</v>
      </c>
      <c r="C1875" s="2" t="s">
        <v>32</v>
      </c>
      <c r="D1875" s="2" t="s">
        <v>33</v>
      </c>
      <c r="E1875" s="2" t="s">
        <v>45</v>
      </c>
      <c r="F1875" s="2" t="str" cm="1">
        <f t="array" ref="F1875:G1875">_xlfn.TEXTSPLIT(E1875," - ")</f>
        <v>Daging Ayam</v>
      </c>
      <c r="G1875" s="2" t="str">
        <v>Brand B</v>
      </c>
      <c r="H1875" s="5">
        <v>40000</v>
      </c>
      <c r="I1875" s="2">
        <v>2</v>
      </c>
      <c r="J1875" s="2">
        <v>20</v>
      </c>
      <c r="K1875" s="8">
        <f t="shared" si="174"/>
        <v>80000</v>
      </c>
      <c r="L1875" s="8">
        <f t="shared" si="175"/>
        <v>16000</v>
      </c>
      <c r="M1875" s="8">
        <f t="shared" si="176"/>
        <v>64000</v>
      </c>
      <c r="N1875" s="5">
        <v>76000</v>
      </c>
      <c r="O1875" s="8">
        <f t="shared" si="177"/>
        <v>140000</v>
      </c>
      <c r="P1875" s="2" t="s">
        <v>29</v>
      </c>
      <c r="Q1875" s="10" t="str">
        <f>VLOOKUP(A1875,Status!A:B,2,0)</f>
        <v>Completed</v>
      </c>
      <c r="R1875" s="2" t="s">
        <v>30</v>
      </c>
      <c r="S1875" s="2">
        <v>5</v>
      </c>
      <c r="T1875" s="2" t="s">
        <v>37</v>
      </c>
      <c r="U1875" s="10" t="str">
        <f t="shared" si="179"/>
        <v>Dec</v>
      </c>
      <c r="V1875" s="10">
        <f t="shared" si="178"/>
        <v>2024</v>
      </c>
      <c r="W1875" t="e" cm="1">
        <f t="array" ref="W1875">_xlfn.IFS(U1875="January",1,U1875="February",2,U1875="March",3,U1875="April",4,U1875="May",5,U1875="June",6,U1875="July",7,U1875="August",8,U1875="September",9,U1875="October",10,U1875="November",11,U1875="December",12)</f>
        <v>#N/A</v>
      </c>
    </row>
    <row r="1876" spans="1:23" ht="15.75" customHeight="1" x14ac:dyDescent="0.25">
      <c r="A1876" s="2" t="s">
        <v>761</v>
      </c>
      <c r="B1876" s="3">
        <v>45633.222604166673</v>
      </c>
      <c r="C1876" s="2" t="s">
        <v>488</v>
      </c>
      <c r="D1876" s="2" t="s">
        <v>49</v>
      </c>
      <c r="E1876" s="2" t="s">
        <v>28</v>
      </c>
      <c r="F1876" s="2" t="str" cm="1">
        <f t="array" ref="F1876:G1876">_xlfn.TEXTSPLIT(E1876," - ")</f>
        <v>Garam</v>
      </c>
      <c r="G1876" s="2" t="str">
        <v>Brand B</v>
      </c>
      <c r="H1876" s="5">
        <v>5000</v>
      </c>
      <c r="I1876" s="2">
        <v>4</v>
      </c>
      <c r="J1876" s="2">
        <v>5</v>
      </c>
      <c r="K1876" s="8">
        <f t="shared" si="174"/>
        <v>20000</v>
      </c>
      <c r="L1876" s="8">
        <f t="shared" si="175"/>
        <v>1000</v>
      </c>
      <c r="M1876" s="8">
        <f t="shared" si="176"/>
        <v>19000</v>
      </c>
      <c r="N1876" s="5">
        <v>43000</v>
      </c>
      <c r="O1876" s="8">
        <f t="shared" si="177"/>
        <v>62000</v>
      </c>
      <c r="P1876" s="2" t="s">
        <v>63</v>
      </c>
      <c r="Q1876" s="10" t="str">
        <f>VLOOKUP(A1876,Status!A:B,2,0)</f>
        <v>Completed</v>
      </c>
      <c r="R1876" s="2" t="s">
        <v>36</v>
      </c>
      <c r="S1876" s="2">
        <v>3</v>
      </c>
      <c r="T1876" s="2" t="s">
        <v>24</v>
      </c>
      <c r="U1876" s="10" t="str">
        <f t="shared" si="179"/>
        <v>Dec</v>
      </c>
      <c r="V1876" s="10">
        <f t="shared" si="178"/>
        <v>2024</v>
      </c>
      <c r="W1876" t="e" cm="1">
        <f t="array" ref="W1876">_xlfn.IFS(U1876="January",1,U1876="February",2,U1876="March",3,U1876="April",4,U1876="May",5,U1876="June",6,U1876="July",7,U1876="August",8,U1876="September",9,U1876="October",10,U1876="November",11,U1876="December",12)</f>
        <v>#N/A</v>
      </c>
    </row>
    <row r="1877" spans="1:23" ht="15.75" customHeight="1" x14ac:dyDescent="0.25">
      <c r="A1877" s="2" t="s">
        <v>762</v>
      </c>
      <c r="B1877" s="3">
        <v>45633.321956018517</v>
      </c>
      <c r="C1877" s="2" t="s">
        <v>763</v>
      </c>
      <c r="D1877" s="2" t="s">
        <v>74</v>
      </c>
      <c r="E1877" s="2" t="s">
        <v>138</v>
      </c>
      <c r="F1877" s="2" t="str" cm="1">
        <f t="array" ref="F1877:G1877">_xlfn.TEXTSPLIT(E1877," - ")</f>
        <v>Gula Pasir</v>
      </c>
      <c r="G1877" s="2" t="str">
        <v>Brand B</v>
      </c>
      <c r="H1877" s="5">
        <v>17000</v>
      </c>
      <c r="I1877" s="2">
        <v>4</v>
      </c>
      <c r="J1877" s="2">
        <v>5</v>
      </c>
      <c r="K1877" s="8">
        <f t="shared" si="174"/>
        <v>68000</v>
      </c>
      <c r="L1877" s="8">
        <f t="shared" si="175"/>
        <v>3400</v>
      </c>
      <c r="M1877" s="8">
        <f t="shared" si="176"/>
        <v>64600</v>
      </c>
      <c r="N1877" s="5">
        <v>87000</v>
      </c>
      <c r="O1877" s="8">
        <f t="shared" si="177"/>
        <v>151600</v>
      </c>
      <c r="P1877" s="2" t="s">
        <v>22</v>
      </c>
      <c r="Q1877" s="10" t="str">
        <f>VLOOKUP(A1877,Status!A:B,2,0)</f>
        <v>Completed</v>
      </c>
      <c r="R1877" s="2" t="s">
        <v>46</v>
      </c>
      <c r="S1877" s="2">
        <v>1</v>
      </c>
      <c r="T1877" s="2" t="s">
        <v>24</v>
      </c>
      <c r="U1877" s="10" t="str">
        <f t="shared" si="179"/>
        <v>Dec</v>
      </c>
      <c r="V1877" s="10">
        <f t="shared" si="178"/>
        <v>2024</v>
      </c>
      <c r="W1877" t="e" cm="1">
        <f t="array" ref="W1877">_xlfn.IFS(U1877="January",1,U1877="February",2,U1877="March",3,U1877="April",4,U1877="May",5,U1877="June",6,U1877="July",7,U1877="August",8,U1877="September",9,U1877="October",10,U1877="November",11,U1877="December",12)</f>
        <v>#N/A</v>
      </c>
    </row>
    <row r="1878" spans="1:23" ht="15.75" customHeight="1" x14ac:dyDescent="0.25">
      <c r="A1878" s="2" t="s">
        <v>764</v>
      </c>
      <c r="B1878" s="3">
        <v>45633.470682870371</v>
      </c>
      <c r="C1878" s="2" t="s">
        <v>613</v>
      </c>
      <c r="D1878" s="2" t="s">
        <v>375</v>
      </c>
      <c r="E1878" s="2" t="s">
        <v>93</v>
      </c>
      <c r="F1878" s="2" t="str" cm="1">
        <f t="array" ref="F1878:G1878">_xlfn.TEXTSPLIT(E1878," - ")</f>
        <v>Telur Ayam</v>
      </c>
      <c r="G1878" s="2" t="str">
        <v>Brand B</v>
      </c>
      <c r="H1878" s="5">
        <v>25000</v>
      </c>
      <c r="I1878" s="2">
        <v>2</v>
      </c>
      <c r="J1878" s="2">
        <v>5</v>
      </c>
      <c r="K1878" s="8">
        <f t="shared" si="174"/>
        <v>50000</v>
      </c>
      <c r="L1878" s="8">
        <f t="shared" si="175"/>
        <v>2500</v>
      </c>
      <c r="M1878" s="8">
        <f t="shared" si="176"/>
        <v>47500</v>
      </c>
      <c r="N1878" s="5">
        <v>21000</v>
      </c>
      <c r="O1878" s="8">
        <f t="shared" si="177"/>
        <v>68500</v>
      </c>
      <c r="P1878" s="2" t="s">
        <v>63</v>
      </c>
      <c r="Q1878" s="10" t="str">
        <f>VLOOKUP(A1878,Status!A:B,2,0)</f>
        <v>Completed</v>
      </c>
      <c r="R1878" s="2" t="s">
        <v>82</v>
      </c>
      <c r="S1878" s="2">
        <v>5</v>
      </c>
      <c r="T1878" s="2" t="s">
        <v>24</v>
      </c>
      <c r="U1878" s="10" t="str">
        <f t="shared" si="179"/>
        <v>Dec</v>
      </c>
      <c r="V1878" s="10">
        <f t="shared" si="178"/>
        <v>2024</v>
      </c>
      <c r="W1878" t="e" cm="1">
        <f t="array" ref="W1878">_xlfn.IFS(U1878="January",1,U1878="February",2,U1878="March",3,U1878="April",4,U1878="May",5,U1878="June",6,U1878="July",7,U1878="August",8,U1878="September",9,U1878="October",10,U1878="November",11,U1878="December",12)</f>
        <v>#N/A</v>
      </c>
    </row>
    <row r="1879" spans="1:23" ht="15.75" customHeight="1" x14ac:dyDescent="0.25">
      <c r="A1879" s="2" t="s">
        <v>765</v>
      </c>
      <c r="B1879" s="3">
        <v>45633.724930555552</v>
      </c>
      <c r="C1879" s="2" t="s">
        <v>368</v>
      </c>
      <c r="D1879" s="2" t="s">
        <v>113</v>
      </c>
      <c r="E1879" s="2" t="s">
        <v>28</v>
      </c>
      <c r="F1879" s="2" t="str" cm="1">
        <f t="array" ref="F1879:G1879">_xlfn.TEXTSPLIT(E1879," - ")</f>
        <v>Garam</v>
      </c>
      <c r="G1879" s="2" t="str">
        <v>Brand B</v>
      </c>
      <c r="H1879" s="5">
        <v>5000</v>
      </c>
      <c r="I1879" s="2">
        <v>3</v>
      </c>
      <c r="J1879" s="2">
        <v>20</v>
      </c>
      <c r="K1879" s="8">
        <f t="shared" si="174"/>
        <v>15000</v>
      </c>
      <c r="L1879" s="8">
        <f t="shared" si="175"/>
        <v>3000</v>
      </c>
      <c r="M1879" s="8">
        <f t="shared" si="176"/>
        <v>12000</v>
      </c>
      <c r="N1879" s="5">
        <v>18000</v>
      </c>
      <c r="O1879" s="8">
        <f t="shared" si="177"/>
        <v>30000</v>
      </c>
      <c r="P1879" s="2" t="s">
        <v>35</v>
      </c>
      <c r="Q1879" s="10" t="str">
        <f>VLOOKUP(A1879,Status!A:B,2,0)</f>
        <v>Cancelled</v>
      </c>
      <c r="R1879" s="2" t="s">
        <v>82</v>
      </c>
      <c r="S1879" s="2">
        <v>4</v>
      </c>
      <c r="T1879" s="2" t="s">
        <v>37</v>
      </c>
      <c r="U1879" s="10" t="str">
        <f t="shared" si="179"/>
        <v>Dec</v>
      </c>
      <c r="V1879" s="10">
        <f t="shared" si="178"/>
        <v>2024</v>
      </c>
      <c r="W1879" t="e" cm="1">
        <f t="array" ref="W1879">_xlfn.IFS(U1879="January",1,U1879="February",2,U1879="March",3,U1879="April",4,U1879="May",5,U1879="June",6,U1879="July",7,U1879="August",8,U1879="September",9,U1879="October",10,U1879="November",11,U1879="December",12)</f>
        <v>#N/A</v>
      </c>
    </row>
    <row r="1880" spans="1:23" ht="15.75" customHeight="1" x14ac:dyDescent="0.25">
      <c r="A1880" s="2" t="s">
        <v>766</v>
      </c>
      <c r="B1880" s="3">
        <v>45634.066932870373</v>
      </c>
      <c r="C1880" s="2" t="s">
        <v>626</v>
      </c>
      <c r="D1880" s="2" t="s">
        <v>296</v>
      </c>
      <c r="E1880" s="2" t="s">
        <v>21</v>
      </c>
      <c r="F1880" s="2" t="str" cm="1">
        <f t="array" ref="F1880:G1880">_xlfn.TEXTSPLIT(E1880," - ")</f>
        <v>Daging Ayam</v>
      </c>
      <c r="G1880" s="2" t="str">
        <v>Brand C</v>
      </c>
      <c r="H1880" s="5">
        <v>45000</v>
      </c>
      <c r="I1880" s="2">
        <v>3</v>
      </c>
      <c r="J1880" s="2">
        <v>20</v>
      </c>
      <c r="K1880" s="8">
        <f t="shared" si="174"/>
        <v>135000</v>
      </c>
      <c r="L1880" s="8">
        <f t="shared" si="175"/>
        <v>27000</v>
      </c>
      <c r="M1880" s="8">
        <f t="shared" si="176"/>
        <v>108000</v>
      </c>
      <c r="N1880" s="5">
        <v>79000</v>
      </c>
      <c r="O1880" s="8">
        <f t="shared" si="177"/>
        <v>187000</v>
      </c>
      <c r="P1880" s="2" t="s">
        <v>35</v>
      </c>
      <c r="Q1880" s="10" t="str">
        <f>VLOOKUP(A1880,Status!A:B,2,0)</f>
        <v>Returned</v>
      </c>
      <c r="R1880" s="2" t="s">
        <v>46</v>
      </c>
      <c r="S1880" s="2">
        <v>5</v>
      </c>
      <c r="T1880" s="2" t="s">
        <v>24</v>
      </c>
      <c r="U1880" s="10" t="str">
        <f t="shared" si="179"/>
        <v>Dec</v>
      </c>
      <c r="V1880" s="10">
        <f t="shared" si="178"/>
        <v>2024</v>
      </c>
      <c r="W1880" t="e" cm="1">
        <f t="array" ref="W1880">_xlfn.IFS(U1880="January",1,U1880="February",2,U1880="March",3,U1880="April",4,U1880="May",5,U1880="June",6,U1880="July",7,U1880="August",8,U1880="September",9,U1880="October",10,U1880="November",11,U1880="December",12)</f>
        <v>#N/A</v>
      </c>
    </row>
    <row r="1881" spans="1:23" ht="15.75" customHeight="1" x14ac:dyDescent="0.25">
      <c r="A1881" s="2" t="s">
        <v>767</v>
      </c>
      <c r="B1881" s="3">
        <v>45634.884618055563</v>
      </c>
      <c r="C1881" s="2" t="s">
        <v>91</v>
      </c>
      <c r="D1881" s="2" t="s">
        <v>92</v>
      </c>
      <c r="E1881" s="2" t="s">
        <v>110</v>
      </c>
      <c r="F1881" s="2" t="str" cm="1">
        <f t="array" ref="F1881:G1881">_xlfn.TEXTSPLIT(E1881," - ")</f>
        <v>Garam</v>
      </c>
      <c r="G1881" s="2" t="str">
        <v>Brand C</v>
      </c>
      <c r="H1881" s="5">
        <v>6000</v>
      </c>
      <c r="I1881" s="2">
        <v>4</v>
      </c>
      <c r="J1881" s="2">
        <v>10</v>
      </c>
      <c r="K1881" s="8">
        <f t="shared" si="174"/>
        <v>24000</v>
      </c>
      <c r="L1881" s="8">
        <f t="shared" si="175"/>
        <v>2400</v>
      </c>
      <c r="M1881" s="8">
        <f t="shared" si="176"/>
        <v>21600</v>
      </c>
      <c r="N1881" s="5">
        <v>30000</v>
      </c>
      <c r="O1881" s="8">
        <f t="shared" si="177"/>
        <v>51600</v>
      </c>
      <c r="P1881" s="2" t="s">
        <v>35</v>
      </c>
      <c r="Q1881" s="10" t="str">
        <f>VLOOKUP(A1881,Status!A:B,2,0)</f>
        <v>Returned</v>
      </c>
      <c r="R1881" s="2" t="s">
        <v>23</v>
      </c>
      <c r="S1881" s="2">
        <v>2</v>
      </c>
      <c r="T1881" s="2" t="s">
        <v>24</v>
      </c>
      <c r="U1881" s="10" t="str">
        <f t="shared" si="179"/>
        <v>Dec</v>
      </c>
      <c r="V1881" s="10">
        <f t="shared" si="178"/>
        <v>2024</v>
      </c>
      <c r="W1881" t="e" cm="1">
        <f t="array" ref="W1881">_xlfn.IFS(U1881="January",1,U1881="February",2,U1881="March",3,U1881="April",4,U1881="May",5,U1881="June",6,U1881="July",7,U1881="August",8,U1881="September",9,U1881="October",10,U1881="November",11,U1881="December",12)</f>
        <v>#N/A</v>
      </c>
    </row>
    <row r="1882" spans="1:23" ht="15.75" customHeight="1" x14ac:dyDescent="0.25">
      <c r="A1882" s="2" t="s">
        <v>768</v>
      </c>
      <c r="B1882" s="3">
        <v>45635.087650462963</v>
      </c>
      <c r="C1882" s="2" t="s">
        <v>410</v>
      </c>
      <c r="D1882" s="2" t="s">
        <v>151</v>
      </c>
      <c r="E1882" s="2" t="s">
        <v>88</v>
      </c>
      <c r="F1882" s="2" t="str" cm="1">
        <f t="array" ref="F1882:G1882">_xlfn.TEXTSPLIT(E1882," - ")</f>
        <v>Beras</v>
      </c>
      <c r="G1882" s="2" t="str">
        <v>Brand A</v>
      </c>
      <c r="H1882" s="5">
        <v>14000</v>
      </c>
      <c r="I1882" s="2">
        <v>5</v>
      </c>
      <c r="J1882" s="2">
        <v>10</v>
      </c>
      <c r="K1882" s="8">
        <f t="shared" si="174"/>
        <v>70000</v>
      </c>
      <c r="L1882" s="8">
        <f t="shared" si="175"/>
        <v>7000</v>
      </c>
      <c r="M1882" s="8">
        <f t="shared" si="176"/>
        <v>63000</v>
      </c>
      <c r="N1882" s="5">
        <v>55000</v>
      </c>
      <c r="O1882" s="8">
        <f t="shared" si="177"/>
        <v>118000</v>
      </c>
      <c r="P1882" s="2" t="s">
        <v>35</v>
      </c>
      <c r="Q1882" s="10" t="str">
        <f>VLOOKUP(A1882,Status!A:B,2,0)</f>
        <v>Completed</v>
      </c>
      <c r="R1882" s="2" t="s">
        <v>36</v>
      </c>
      <c r="S1882" s="2">
        <v>2</v>
      </c>
      <c r="T1882" s="2" t="s">
        <v>24</v>
      </c>
      <c r="U1882" s="10" t="str">
        <f t="shared" si="179"/>
        <v>Dec</v>
      </c>
      <c r="V1882" s="10">
        <f t="shared" si="178"/>
        <v>2024</v>
      </c>
      <c r="W1882" t="e" cm="1">
        <f t="array" ref="W1882">_xlfn.IFS(U1882="January",1,U1882="February",2,U1882="March",3,U1882="April",4,U1882="May",5,U1882="June",6,U1882="July",7,U1882="August",8,U1882="September",9,U1882="October",10,U1882="November",11,U1882="December",12)</f>
        <v>#N/A</v>
      </c>
    </row>
    <row r="1883" spans="1:23" ht="15.75" customHeight="1" x14ac:dyDescent="0.25">
      <c r="A1883" s="2" t="s">
        <v>769</v>
      </c>
      <c r="B1883" s="3">
        <v>45635.399953703702</v>
      </c>
      <c r="C1883" s="2" t="s">
        <v>355</v>
      </c>
      <c r="D1883" s="2" t="s">
        <v>116</v>
      </c>
      <c r="E1883" s="2" t="s">
        <v>54</v>
      </c>
      <c r="F1883" s="2" t="str" cm="1">
        <f t="array" ref="F1883:G1883">_xlfn.TEXTSPLIT(E1883," - ")</f>
        <v>Beras</v>
      </c>
      <c r="G1883" s="2" t="str">
        <v>Brand C</v>
      </c>
      <c r="H1883" s="5">
        <v>16000</v>
      </c>
      <c r="I1883" s="2">
        <v>4</v>
      </c>
      <c r="J1883" s="2">
        <v>15</v>
      </c>
      <c r="K1883" s="8">
        <f t="shared" si="174"/>
        <v>64000</v>
      </c>
      <c r="L1883" s="8">
        <f t="shared" si="175"/>
        <v>9600</v>
      </c>
      <c r="M1883" s="8">
        <f t="shared" si="176"/>
        <v>54400</v>
      </c>
      <c r="N1883" s="5">
        <v>72000</v>
      </c>
      <c r="O1883" s="8">
        <f t="shared" si="177"/>
        <v>126400</v>
      </c>
      <c r="P1883" s="2" t="s">
        <v>22</v>
      </c>
      <c r="Q1883" s="10" t="str">
        <f>VLOOKUP(A1883,Status!A:B,2,0)</f>
        <v>Returned</v>
      </c>
      <c r="R1883" s="2" t="s">
        <v>46</v>
      </c>
      <c r="S1883" s="2">
        <v>5</v>
      </c>
      <c r="T1883" s="2" t="s">
        <v>24</v>
      </c>
      <c r="U1883" s="10" t="str">
        <f t="shared" si="179"/>
        <v>Dec</v>
      </c>
      <c r="V1883" s="10">
        <f t="shared" si="178"/>
        <v>2024</v>
      </c>
      <c r="W1883" t="e" cm="1">
        <f t="array" ref="W1883">_xlfn.IFS(U1883="January",1,U1883="February",2,U1883="March",3,U1883="April",4,U1883="May",5,U1883="June",6,U1883="July",7,U1883="August",8,U1883="September",9,U1883="October",10,U1883="November",11,U1883="December",12)</f>
        <v>#N/A</v>
      </c>
    </row>
    <row r="1884" spans="1:23" ht="15.75" customHeight="1" x14ac:dyDescent="0.25">
      <c r="A1884" s="2" t="s">
        <v>770</v>
      </c>
      <c r="B1884" s="3">
        <v>45635.575624999998</v>
      </c>
      <c r="C1884" s="2" t="s">
        <v>565</v>
      </c>
      <c r="D1884" s="2" t="s">
        <v>163</v>
      </c>
      <c r="E1884" s="2" t="s">
        <v>123</v>
      </c>
      <c r="F1884" s="2" t="str" cm="1">
        <f t="array" ref="F1884:G1884">_xlfn.TEXTSPLIT(E1884," - ")</f>
        <v>Telur Ayam</v>
      </c>
      <c r="G1884" s="2" t="str">
        <v>Brand A</v>
      </c>
      <c r="H1884" s="5">
        <v>22000</v>
      </c>
      <c r="I1884" s="2">
        <v>3</v>
      </c>
      <c r="J1884" s="2">
        <v>10</v>
      </c>
      <c r="K1884" s="8">
        <f t="shared" si="174"/>
        <v>66000</v>
      </c>
      <c r="L1884" s="8">
        <f t="shared" si="175"/>
        <v>6600</v>
      </c>
      <c r="M1884" s="8">
        <f t="shared" si="176"/>
        <v>59400</v>
      </c>
      <c r="N1884" s="5">
        <v>50000</v>
      </c>
      <c r="O1884" s="8">
        <f t="shared" si="177"/>
        <v>109400</v>
      </c>
      <c r="P1884" s="2" t="s">
        <v>22</v>
      </c>
      <c r="Q1884" s="10" t="str">
        <f>VLOOKUP(A1884,Status!A:B,2,0)</f>
        <v>Completed</v>
      </c>
      <c r="R1884" s="2" t="s">
        <v>23</v>
      </c>
      <c r="S1884" s="2">
        <v>5</v>
      </c>
      <c r="T1884" s="2" t="s">
        <v>24</v>
      </c>
      <c r="U1884" s="10" t="str">
        <f t="shared" si="179"/>
        <v>Dec</v>
      </c>
      <c r="V1884" s="10">
        <f t="shared" si="178"/>
        <v>2024</v>
      </c>
      <c r="W1884" t="e" cm="1">
        <f t="array" ref="W1884">_xlfn.IFS(U1884="January",1,U1884="February",2,U1884="March",3,U1884="April",4,U1884="May",5,U1884="June",6,U1884="July",7,U1884="August",8,U1884="September",9,U1884="October",10,U1884="November",11,U1884="December",12)</f>
        <v>#N/A</v>
      </c>
    </row>
    <row r="1885" spans="1:23" ht="15.75" customHeight="1" x14ac:dyDescent="0.25">
      <c r="A1885" s="2" t="s">
        <v>771</v>
      </c>
      <c r="B1885" s="3">
        <v>45635.641793981478</v>
      </c>
      <c r="C1885" s="2" t="s">
        <v>772</v>
      </c>
      <c r="D1885" s="2" t="s">
        <v>113</v>
      </c>
      <c r="E1885" s="2" t="s">
        <v>81</v>
      </c>
      <c r="F1885" s="2" t="str" cm="1">
        <f t="array" ref="F1885:G1885">_xlfn.TEXTSPLIT(E1885," - ")</f>
        <v>Minyak Goreng</v>
      </c>
      <c r="G1885" s="2" t="str">
        <v>Brand B</v>
      </c>
      <c r="H1885" s="5">
        <v>17000</v>
      </c>
      <c r="I1885" s="2">
        <v>5</v>
      </c>
      <c r="J1885" s="2">
        <v>20</v>
      </c>
      <c r="K1885" s="8">
        <f t="shared" si="174"/>
        <v>85000</v>
      </c>
      <c r="L1885" s="8">
        <f t="shared" si="175"/>
        <v>17000</v>
      </c>
      <c r="M1885" s="8">
        <f t="shared" si="176"/>
        <v>68000</v>
      </c>
      <c r="N1885" s="5">
        <v>18000</v>
      </c>
      <c r="O1885" s="8">
        <f t="shared" si="177"/>
        <v>86000</v>
      </c>
      <c r="P1885" s="2" t="s">
        <v>29</v>
      </c>
      <c r="Q1885" s="10" t="str">
        <f>VLOOKUP(A1885,Status!A:B,2,0)</f>
        <v>Completed</v>
      </c>
      <c r="R1885" s="2" t="s">
        <v>23</v>
      </c>
      <c r="S1885" s="2">
        <v>1</v>
      </c>
      <c r="T1885" s="2" t="s">
        <v>24</v>
      </c>
      <c r="U1885" s="10" t="str">
        <f t="shared" si="179"/>
        <v>Dec</v>
      </c>
      <c r="V1885" s="10">
        <f t="shared" si="178"/>
        <v>2024</v>
      </c>
      <c r="W1885" t="e" cm="1">
        <f t="array" ref="W1885">_xlfn.IFS(U1885="January",1,U1885="February",2,U1885="March",3,U1885="April",4,U1885="May",5,U1885="June",6,U1885="July",7,U1885="August",8,U1885="September",9,U1885="October",10,U1885="November",11,U1885="December",12)</f>
        <v>#N/A</v>
      </c>
    </row>
    <row r="1886" spans="1:23" ht="15.75" customHeight="1" x14ac:dyDescent="0.25">
      <c r="A1886" s="2" t="s">
        <v>773</v>
      </c>
      <c r="B1886" s="3">
        <v>45635.762002314812</v>
      </c>
      <c r="C1886" s="2" t="s">
        <v>774</v>
      </c>
      <c r="D1886" s="2" t="s">
        <v>262</v>
      </c>
      <c r="E1886" s="2" t="s">
        <v>144</v>
      </c>
      <c r="F1886" s="2" t="str" cm="1">
        <f t="array" ref="F1886:G1886">_xlfn.TEXTSPLIT(E1886," - ")</f>
        <v>Gula Pasir</v>
      </c>
      <c r="G1886" s="2" t="str">
        <v>Brand C</v>
      </c>
      <c r="H1886" s="5">
        <v>18000</v>
      </c>
      <c r="I1886" s="2">
        <v>1</v>
      </c>
      <c r="J1886" s="2">
        <v>5</v>
      </c>
      <c r="K1886" s="8">
        <f t="shared" si="174"/>
        <v>18000</v>
      </c>
      <c r="L1886" s="8">
        <f t="shared" si="175"/>
        <v>900</v>
      </c>
      <c r="M1886" s="8">
        <f t="shared" si="176"/>
        <v>17100</v>
      </c>
      <c r="N1886" s="5">
        <v>18000</v>
      </c>
      <c r="O1886" s="8">
        <f t="shared" si="177"/>
        <v>35100</v>
      </c>
      <c r="P1886" s="2" t="s">
        <v>22</v>
      </c>
      <c r="Q1886" s="10" t="str">
        <f>VLOOKUP(A1886,Status!A:B,2,0)</f>
        <v>Completed</v>
      </c>
      <c r="R1886" s="2" t="s">
        <v>82</v>
      </c>
      <c r="S1886" s="2">
        <v>3</v>
      </c>
      <c r="T1886" s="2" t="s">
        <v>24</v>
      </c>
      <c r="U1886" s="10" t="str">
        <f t="shared" si="179"/>
        <v>Dec</v>
      </c>
      <c r="V1886" s="10">
        <f t="shared" si="178"/>
        <v>2024</v>
      </c>
      <c r="W1886" t="e" cm="1">
        <f t="array" ref="W1886">_xlfn.IFS(U1886="January",1,U1886="February",2,U1886="March",3,U1886="April",4,U1886="May",5,U1886="June",6,U1886="July",7,U1886="August",8,U1886="September",9,U1886="October",10,U1886="November",11,U1886="December",12)</f>
        <v>#N/A</v>
      </c>
    </row>
    <row r="1887" spans="1:23" ht="15.75" customHeight="1" x14ac:dyDescent="0.25">
      <c r="A1887" s="2" t="s">
        <v>775</v>
      </c>
      <c r="B1887" s="3">
        <v>45636.287418981483</v>
      </c>
      <c r="C1887" s="2" t="s">
        <v>776</v>
      </c>
      <c r="D1887" s="2" t="s">
        <v>103</v>
      </c>
      <c r="E1887" s="2" t="s">
        <v>75</v>
      </c>
      <c r="F1887" s="2" t="str" cm="1">
        <f t="array" ref="F1887:G1887">_xlfn.TEXTSPLIT(E1887," - ")</f>
        <v>Susu Bubuk</v>
      </c>
      <c r="G1887" s="2" t="str">
        <v>Brand C</v>
      </c>
      <c r="H1887" s="5">
        <v>55000</v>
      </c>
      <c r="I1887" s="2">
        <v>4</v>
      </c>
      <c r="J1887" s="2">
        <v>10</v>
      </c>
      <c r="K1887" s="8">
        <f t="shared" si="174"/>
        <v>220000</v>
      </c>
      <c r="L1887" s="8">
        <f t="shared" si="175"/>
        <v>22000</v>
      </c>
      <c r="M1887" s="8">
        <f t="shared" si="176"/>
        <v>198000</v>
      </c>
      <c r="N1887" s="5">
        <v>85000</v>
      </c>
      <c r="O1887" s="8">
        <f t="shared" si="177"/>
        <v>283000</v>
      </c>
      <c r="P1887" s="2" t="s">
        <v>63</v>
      </c>
      <c r="Q1887" s="10" t="str">
        <f>VLOOKUP(A1887,Status!A:B,2,0)</f>
        <v>Completed</v>
      </c>
      <c r="R1887" s="2" t="s">
        <v>30</v>
      </c>
      <c r="S1887" s="2">
        <v>2</v>
      </c>
      <c r="T1887" s="2" t="s">
        <v>24</v>
      </c>
      <c r="U1887" s="10" t="str">
        <f t="shared" si="179"/>
        <v>Dec</v>
      </c>
      <c r="V1887" s="10">
        <f t="shared" si="178"/>
        <v>2024</v>
      </c>
      <c r="W1887" t="e" cm="1">
        <f t="array" ref="W1887">_xlfn.IFS(U1887="January",1,U1887="February",2,U1887="March",3,U1887="April",4,U1887="May",5,U1887="June",6,U1887="July",7,U1887="August",8,U1887="September",9,U1887="October",10,U1887="November",11,U1887="December",12)</f>
        <v>#N/A</v>
      </c>
    </row>
    <row r="1888" spans="1:23" ht="15.75" customHeight="1" x14ac:dyDescent="0.25">
      <c r="A1888" s="2" t="s">
        <v>777</v>
      </c>
      <c r="B1888" s="3">
        <v>45636.340405092589</v>
      </c>
      <c r="C1888" s="2" t="s">
        <v>277</v>
      </c>
      <c r="D1888" s="2" t="s">
        <v>119</v>
      </c>
      <c r="E1888" s="2" t="s">
        <v>250</v>
      </c>
      <c r="F1888" s="2" t="str" cm="1">
        <f t="array" ref="F1888:G1888">_xlfn.TEXTSPLIT(E1888," - ")</f>
        <v>Minyak Goreng</v>
      </c>
      <c r="G1888" s="2" t="str">
        <v>Brand C</v>
      </c>
      <c r="H1888" s="5">
        <v>18000</v>
      </c>
      <c r="I1888" s="2">
        <v>2</v>
      </c>
      <c r="J1888" s="2">
        <v>10</v>
      </c>
      <c r="K1888" s="8">
        <f t="shared" si="174"/>
        <v>36000</v>
      </c>
      <c r="L1888" s="8">
        <f t="shared" si="175"/>
        <v>3600</v>
      </c>
      <c r="M1888" s="8">
        <f t="shared" si="176"/>
        <v>32400</v>
      </c>
      <c r="N1888" s="5">
        <v>0</v>
      </c>
      <c r="O1888" s="8">
        <f t="shared" si="177"/>
        <v>32400</v>
      </c>
      <c r="P1888" s="2" t="s">
        <v>35</v>
      </c>
      <c r="Q1888" s="10" t="str">
        <f>VLOOKUP(A1888,Status!A:B,2,0)</f>
        <v>Completed</v>
      </c>
      <c r="R1888" s="2" t="s">
        <v>46</v>
      </c>
      <c r="S1888" s="2">
        <v>2</v>
      </c>
      <c r="T1888" s="2" t="s">
        <v>24</v>
      </c>
      <c r="U1888" s="10" t="str">
        <f t="shared" si="179"/>
        <v>Dec</v>
      </c>
      <c r="V1888" s="10">
        <f t="shared" si="178"/>
        <v>2024</v>
      </c>
      <c r="W1888" t="e" cm="1">
        <f t="array" ref="W1888">_xlfn.IFS(U1888="January",1,U1888="February",2,U1888="March",3,U1888="April",4,U1888="May",5,U1888="June",6,U1888="July",7,U1888="August",8,U1888="September",9,U1888="October",10,U1888="November",11,U1888="December",12)</f>
        <v>#N/A</v>
      </c>
    </row>
    <row r="1889" spans="1:23" ht="15.75" customHeight="1" x14ac:dyDescent="0.25">
      <c r="A1889" s="2" t="s">
        <v>778</v>
      </c>
      <c r="B1889" s="3">
        <v>45636.710740740738</v>
      </c>
      <c r="C1889" s="2" t="s">
        <v>739</v>
      </c>
      <c r="D1889" s="2" t="s">
        <v>177</v>
      </c>
      <c r="E1889" s="2" t="s">
        <v>45</v>
      </c>
      <c r="F1889" s="2" t="str" cm="1">
        <f t="array" ref="F1889:G1889">_xlfn.TEXTSPLIT(E1889," - ")</f>
        <v>Daging Ayam</v>
      </c>
      <c r="G1889" s="2" t="str">
        <v>Brand B</v>
      </c>
      <c r="H1889" s="5">
        <v>40000</v>
      </c>
      <c r="I1889" s="2">
        <v>5</v>
      </c>
      <c r="J1889" s="2">
        <v>15</v>
      </c>
      <c r="K1889" s="8">
        <f t="shared" si="174"/>
        <v>200000</v>
      </c>
      <c r="L1889" s="8">
        <f t="shared" si="175"/>
        <v>30000</v>
      </c>
      <c r="M1889" s="8">
        <f t="shared" si="176"/>
        <v>170000</v>
      </c>
      <c r="N1889" s="5">
        <v>56000</v>
      </c>
      <c r="O1889" s="8">
        <f t="shared" si="177"/>
        <v>226000</v>
      </c>
      <c r="P1889" s="2" t="s">
        <v>63</v>
      </c>
      <c r="Q1889" s="10" t="str">
        <f>VLOOKUP(A1889,Status!A:B,2,0)</f>
        <v>Completed</v>
      </c>
      <c r="R1889" s="2" t="s">
        <v>82</v>
      </c>
      <c r="S1889" s="2">
        <v>4</v>
      </c>
      <c r="T1889" s="2" t="s">
        <v>24</v>
      </c>
      <c r="U1889" s="10" t="str">
        <f t="shared" si="179"/>
        <v>Dec</v>
      </c>
      <c r="V1889" s="10">
        <f t="shared" si="178"/>
        <v>2024</v>
      </c>
      <c r="W1889" t="e" cm="1">
        <f t="array" ref="W1889">_xlfn.IFS(U1889="January",1,U1889="February",2,U1889="March",3,U1889="April",4,U1889="May",5,U1889="June",6,U1889="July",7,U1889="August",8,U1889="September",9,U1889="October",10,U1889="November",11,U1889="December",12)</f>
        <v>#N/A</v>
      </c>
    </row>
    <row r="1890" spans="1:23" ht="15.75" customHeight="1" x14ac:dyDescent="0.25">
      <c r="A1890" s="2" t="s">
        <v>779</v>
      </c>
      <c r="B1890" s="3">
        <v>45637.073472222219</v>
      </c>
      <c r="C1890" s="2" t="s">
        <v>780</v>
      </c>
      <c r="D1890" s="2" t="s">
        <v>113</v>
      </c>
      <c r="E1890" s="2" t="s">
        <v>50</v>
      </c>
      <c r="F1890" s="2" t="str" cm="1">
        <f t="array" ref="F1890:G1890">_xlfn.TEXTSPLIT(E1890," - ")</f>
        <v>Tepung Terigu</v>
      </c>
      <c r="G1890" s="2" t="str">
        <v>Brand C</v>
      </c>
      <c r="H1890" s="5">
        <v>14000</v>
      </c>
      <c r="I1890" s="2">
        <v>1</v>
      </c>
      <c r="J1890" s="2">
        <v>20</v>
      </c>
      <c r="K1890" s="8">
        <f t="shared" si="174"/>
        <v>14000</v>
      </c>
      <c r="L1890" s="8">
        <f t="shared" si="175"/>
        <v>2800</v>
      </c>
      <c r="M1890" s="8">
        <f t="shared" si="176"/>
        <v>11200</v>
      </c>
      <c r="N1890" s="5">
        <v>18000</v>
      </c>
      <c r="O1890" s="8">
        <f t="shared" si="177"/>
        <v>29200</v>
      </c>
      <c r="P1890" s="2" t="s">
        <v>63</v>
      </c>
      <c r="Q1890" s="10" t="str">
        <f>VLOOKUP(A1890,Status!A:B,2,0)</f>
        <v>Completed</v>
      </c>
      <c r="R1890" s="2" t="s">
        <v>46</v>
      </c>
      <c r="S1890" s="2">
        <v>2</v>
      </c>
      <c r="T1890" s="2" t="s">
        <v>24</v>
      </c>
      <c r="U1890" s="10" t="str">
        <f t="shared" si="179"/>
        <v>Dec</v>
      </c>
      <c r="V1890" s="10">
        <f t="shared" si="178"/>
        <v>2024</v>
      </c>
      <c r="W1890" t="e" cm="1">
        <f t="array" ref="W1890">_xlfn.IFS(U1890="January",1,U1890="February",2,U1890="March",3,U1890="April",4,U1890="May",5,U1890="June",6,U1890="July",7,U1890="August",8,U1890="September",9,U1890="October",10,U1890="November",11,U1890="December",12)</f>
        <v>#N/A</v>
      </c>
    </row>
    <row r="1891" spans="1:23" ht="15.75" customHeight="1" x14ac:dyDescent="0.25">
      <c r="A1891" s="2" t="s">
        <v>781</v>
      </c>
      <c r="B1891" s="3">
        <v>45637.589143518519</v>
      </c>
      <c r="C1891" s="2" t="s">
        <v>782</v>
      </c>
      <c r="D1891" s="2" t="s">
        <v>177</v>
      </c>
      <c r="E1891" s="2" t="s">
        <v>88</v>
      </c>
      <c r="F1891" s="2" t="str" cm="1">
        <f t="array" ref="F1891:G1891">_xlfn.TEXTSPLIT(E1891," - ")</f>
        <v>Beras</v>
      </c>
      <c r="G1891" s="2" t="str">
        <v>Brand A</v>
      </c>
      <c r="H1891" s="5">
        <v>14000</v>
      </c>
      <c r="I1891" s="2">
        <v>1</v>
      </c>
      <c r="J1891" s="2">
        <v>5</v>
      </c>
      <c r="K1891" s="8">
        <f t="shared" si="174"/>
        <v>14000</v>
      </c>
      <c r="L1891" s="8">
        <f t="shared" si="175"/>
        <v>700</v>
      </c>
      <c r="M1891" s="8">
        <f t="shared" si="176"/>
        <v>13300</v>
      </c>
      <c r="N1891" s="5">
        <v>56000</v>
      </c>
      <c r="O1891" s="8">
        <f t="shared" si="177"/>
        <v>69300</v>
      </c>
      <c r="P1891" s="2" t="s">
        <v>35</v>
      </c>
      <c r="Q1891" s="10" t="str">
        <f>VLOOKUP(A1891,Status!A:B,2,0)</f>
        <v>Completed</v>
      </c>
      <c r="R1891" s="2" t="s">
        <v>23</v>
      </c>
      <c r="S1891" s="2">
        <v>1</v>
      </c>
      <c r="T1891" s="2" t="s">
        <v>24</v>
      </c>
      <c r="U1891" s="10" t="str">
        <f t="shared" si="179"/>
        <v>Dec</v>
      </c>
      <c r="V1891" s="10">
        <f t="shared" si="178"/>
        <v>2024</v>
      </c>
      <c r="W1891" t="e" cm="1">
        <f t="array" ref="W1891">_xlfn.IFS(U1891="January",1,U1891="February",2,U1891="March",3,U1891="April",4,U1891="May",5,U1891="June",6,U1891="July",7,U1891="August",8,U1891="September",9,U1891="October",10,U1891="November",11,U1891="December",12)</f>
        <v>#N/A</v>
      </c>
    </row>
    <row r="1892" spans="1:23" ht="15.75" customHeight="1" x14ac:dyDescent="0.25">
      <c r="A1892" s="2" t="s">
        <v>783</v>
      </c>
      <c r="B1892" s="3">
        <v>45638.143275462957</v>
      </c>
      <c r="C1892" s="2" t="s">
        <v>784</v>
      </c>
      <c r="D1892" s="2" t="s">
        <v>116</v>
      </c>
      <c r="E1892" s="2" t="s">
        <v>21</v>
      </c>
      <c r="F1892" s="2" t="str" cm="1">
        <f t="array" ref="F1892:G1892">_xlfn.TEXTSPLIT(E1892," - ")</f>
        <v>Daging Ayam</v>
      </c>
      <c r="G1892" s="2" t="str">
        <v>Brand C</v>
      </c>
      <c r="H1892" s="5">
        <v>45000</v>
      </c>
      <c r="I1892" s="2">
        <v>2</v>
      </c>
      <c r="J1892" s="2">
        <v>10</v>
      </c>
      <c r="K1892" s="8">
        <f t="shared" si="174"/>
        <v>90000</v>
      </c>
      <c r="L1892" s="8">
        <f t="shared" si="175"/>
        <v>9000</v>
      </c>
      <c r="M1892" s="8">
        <f t="shared" si="176"/>
        <v>81000</v>
      </c>
      <c r="N1892" s="5">
        <v>72000</v>
      </c>
      <c r="O1892" s="8">
        <f t="shared" si="177"/>
        <v>153000</v>
      </c>
      <c r="P1892" s="2" t="s">
        <v>35</v>
      </c>
      <c r="Q1892" s="10" t="str">
        <f>VLOOKUP(A1892,Status!A:B,2,0)</f>
        <v>Returned</v>
      </c>
      <c r="R1892" s="2" t="s">
        <v>46</v>
      </c>
      <c r="S1892" s="2">
        <v>1</v>
      </c>
      <c r="T1892" s="2" t="s">
        <v>24</v>
      </c>
      <c r="U1892" s="10" t="str">
        <f t="shared" si="179"/>
        <v>Dec</v>
      </c>
      <c r="V1892" s="10">
        <f t="shared" si="178"/>
        <v>2024</v>
      </c>
      <c r="W1892" t="e" cm="1">
        <f t="array" ref="W1892">_xlfn.IFS(U1892="January",1,U1892="February",2,U1892="March",3,U1892="April",4,U1892="May",5,U1892="June",6,U1892="July",7,U1892="August",8,U1892="September",9,U1892="October",10,U1892="November",11,U1892="December",12)</f>
        <v>#N/A</v>
      </c>
    </row>
    <row r="1893" spans="1:23" ht="15.75" customHeight="1" x14ac:dyDescent="0.25">
      <c r="A1893" s="2" t="s">
        <v>785</v>
      </c>
      <c r="B1893" s="3">
        <v>45638.296215277784</v>
      </c>
      <c r="C1893" s="2" t="s">
        <v>786</v>
      </c>
      <c r="D1893" s="2" t="s">
        <v>107</v>
      </c>
      <c r="E1893" s="2" t="s">
        <v>54</v>
      </c>
      <c r="F1893" s="2" t="str" cm="1">
        <f t="array" ref="F1893:G1893">_xlfn.TEXTSPLIT(E1893," - ")</f>
        <v>Beras</v>
      </c>
      <c r="G1893" s="2" t="str">
        <v>Brand C</v>
      </c>
      <c r="H1893" s="5">
        <v>16000</v>
      </c>
      <c r="I1893" s="2">
        <v>2</v>
      </c>
      <c r="J1893" s="2">
        <v>5</v>
      </c>
      <c r="K1893" s="8">
        <f t="shared" si="174"/>
        <v>32000</v>
      </c>
      <c r="L1893" s="8">
        <f t="shared" si="175"/>
        <v>1600</v>
      </c>
      <c r="M1893" s="8">
        <f t="shared" si="176"/>
        <v>30400</v>
      </c>
      <c r="N1893" s="5">
        <v>97000</v>
      </c>
      <c r="O1893" s="8">
        <f t="shared" si="177"/>
        <v>127400</v>
      </c>
      <c r="P1893" s="2" t="s">
        <v>22</v>
      </c>
      <c r="Q1893" s="10" t="str">
        <f>VLOOKUP(A1893,Status!A:B,2,0)</f>
        <v>Completed</v>
      </c>
      <c r="R1893" s="2" t="s">
        <v>82</v>
      </c>
      <c r="S1893" s="2">
        <v>5</v>
      </c>
      <c r="T1893" s="2" t="s">
        <v>24</v>
      </c>
      <c r="U1893" s="10" t="str">
        <f t="shared" si="179"/>
        <v>Dec</v>
      </c>
      <c r="V1893" s="10">
        <f t="shared" si="178"/>
        <v>2024</v>
      </c>
      <c r="W1893" t="e" cm="1">
        <f t="array" ref="W1893">_xlfn.IFS(U1893="January",1,U1893="February",2,U1893="March",3,U1893="April",4,U1893="May",5,U1893="June",6,U1893="July",7,U1893="August",8,U1893="September",9,U1893="October",10,U1893="November",11,U1893="December",12)</f>
        <v>#N/A</v>
      </c>
    </row>
    <row r="1894" spans="1:23" ht="15.75" customHeight="1" x14ac:dyDescent="0.25">
      <c r="A1894" s="2" t="s">
        <v>787</v>
      </c>
      <c r="B1894" s="3">
        <v>45638.342916666668</v>
      </c>
      <c r="C1894" s="2" t="s">
        <v>412</v>
      </c>
      <c r="D1894" s="2" t="s">
        <v>70</v>
      </c>
      <c r="E1894" s="2" t="s">
        <v>38</v>
      </c>
      <c r="F1894" s="2" t="str" cm="1">
        <f t="array" ref="F1894:G1894">_xlfn.TEXTSPLIT(E1894," - ")</f>
        <v>Telur Ayam</v>
      </c>
      <c r="G1894" s="2" t="str">
        <v>Brand C</v>
      </c>
      <c r="H1894" s="5">
        <v>28000</v>
      </c>
      <c r="I1894" s="2">
        <v>3</v>
      </c>
      <c r="J1894" s="2">
        <v>20</v>
      </c>
      <c r="K1894" s="8">
        <f t="shared" si="174"/>
        <v>84000</v>
      </c>
      <c r="L1894" s="8">
        <f t="shared" si="175"/>
        <v>16800</v>
      </c>
      <c r="M1894" s="8">
        <f t="shared" si="176"/>
        <v>67200</v>
      </c>
      <c r="N1894" s="5">
        <v>89000</v>
      </c>
      <c r="O1894" s="8">
        <f t="shared" si="177"/>
        <v>156200</v>
      </c>
      <c r="P1894" s="2" t="s">
        <v>63</v>
      </c>
      <c r="Q1894" s="10" t="str">
        <f>VLOOKUP(A1894,Status!A:B,2,0)</f>
        <v>Cancelled</v>
      </c>
      <c r="R1894" s="2" t="s">
        <v>23</v>
      </c>
      <c r="S1894" s="2">
        <v>2</v>
      </c>
      <c r="T1894" s="2" t="s">
        <v>24</v>
      </c>
      <c r="U1894" s="10" t="str">
        <f t="shared" si="179"/>
        <v>Dec</v>
      </c>
      <c r="V1894" s="10">
        <f t="shared" si="178"/>
        <v>2024</v>
      </c>
      <c r="W1894" t="e" cm="1">
        <f t="array" ref="W1894">_xlfn.IFS(U1894="January",1,U1894="February",2,U1894="March",3,U1894="April",4,U1894="May",5,U1894="June",6,U1894="July",7,U1894="August",8,U1894="September",9,U1894="October",10,U1894="November",11,U1894="December",12)</f>
        <v>#N/A</v>
      </c>
    </row>
    <row r="1895" spans="1:23" ht="15.75" customHeight="1" x14ac:dyDescent="0.25">
      <c r="A1895" s="2" t="s">
        <v>788</v>
      </c>
      <c r="B1895" s="3">
        <v>45638.383379629631</v>
      </c>
      <c r="C1895" s="2" t="s">
        <v>318</v>
      </c>
      <c r="D1895" s="2" t="s">
        <v>244</v>
      </c>
      <c r="E1895" s="2" t="s">
        <v>50</v>
      </c>
      <c r="F1895" s="2" t="str" cm="1">
        <f t="array" ref="F1895:G1895">_xlfn.TEXTSPLIT(E1895," - ")</f>
        <v>Tepung Terigu</v>
      </c>
      <c r="G1895" s="2" t="str">
        <v>Brand C</v>
      </c>
      <c r="H1895" s="5">
        <v>14000</v>
      </c>
      <c r="I1895" s="2">
        <v>5</v>
      </c>
      <c r="J1895" s="2">
        <v>20</v>
      </c>
      <c r="K1895" s="8">
        <f t="shared" si="174"/>
        <v>70000</v>
      </c>
      <c r="L1895" s="8">
        <f t="shared" si="175"/>
        <v>14000</v>
      </c>
      <c r="M1895" s="8">
        <f t="shared" si="176"/>
        <v>56000</v>
      </c>
      <c r="N1895" s="5">
        <v>80000</v>
      </c>
      <c r="O1895" s="8">
        <f t="shared" si="177"/>
        <v>136000</v>
      </c>
      <c r="P1895" s="2" t="s">
        <v>22</v>
      </c>
      <c r="Q1895" s="10" t="str">
        <f>VLOOKUP(A1895,Status!A:B,2,0)</f>
        <v>Returned</v>
      </c>
      <c r="R1895" s="2" t="s">
        <v>46</v>
      </c>
      <c r="S1895" s="2">
        <v>5</v>
      </c>
      <c r="T1895" s="2" t="s">
        <v>37</v>
      </c>
      <c r="U1895" s="10" t="str">
        <f t="shared" si="179"/>
        <v>Dec</v>
      </c>
      <c r="V1895" s="10">
        <f t="shared" si="178"/>
        <v>2024</v>
      </c>
      <c r="W1895" t="e" cm="1">
        <f t="array" ref="W1895">_xlfn.IFS(U1895="January",1,U1895="February",2,U1895="March",3,U1895="April",4,U1895="May",5,U1895="June",6,U1895="July",7,U1895="August",8,U1895="September",9,U1895="October",10,U1895="November",11,U1895="December",12)</f>
        <v>#N/A</v>
      </c>
    </row>
    <row r="1896" spans="1:23" ht="15.75" customHeight="1" x14ac:dyDescent="0.25">
      <c r="A1896" s="2" t="s">
        <v>789</v>
      </c>
      <c r="B1896" s="3">
        <v>45638.577847222223</v>
      </c>
      <c r="C1896" s="2" t="s">
        <v>115</v>
      </c>
      <c r="D1896" s="2" t="s">
        <v>116</v>
      </c>
      <c r="E1896" s="2" t="s">
        <v>54</v>
      </c>
      <c r="F1896" s="2" t="str" cm="1">
        <f t="array" ref="F1896:G1896">_xlfn.TEXTSPLIT(E1896," - ")</f>
        <v>Beras</v>
      </c>
      <c r="G1896" s="2" t="str">
        <v>Brand C</v>
      </c>
      <c r="H1896" s="5">
        <v>16000</v>
      </c>
      <c r="I1896" s="2">
        <v>1</v>
      </c>
      <c r="J1896" s="2">
        <v>5</v>
      </c>
      <c r="K1896" s="8">
        <f t="shared" si="174"/>
        <v>16000</v>
      </c>
      <c r="L1896" s="8">
        <f t="shared" si="175"/>
        <v>800</v>
      </c>
      <c r="M1896" s="8">
        <f t="shared" si="176"/>
        <v>15200</v>
      </c>
      <c r="N1896" s="5">
        <v>72000</v>
      </c>
      <c r="O1896" s="8">
        <f t="shared" si="177"/>
        <v>87200</v>
      </c>
      <c r="P1896" s="2" t="s">
        <v>29</v>
      </c>
      <c r="Q1896" s="10" t="str">
        <f>VLOOKUP(A1896,Status!A:B,2,0)</f>
        <v>Completed</v>
      </c>
      <c r="R1896" s="2" t="s">
        <v>30</v>
      </c>
      <c r="S1896" s="2">
        <v>3</v>
      </c>
      <c r="T1896" s="2" t="s">
        <v>24</v>
      </c>
      <c r="U1896" s="10" t="str">
        <f t="shared" si="179"/>
        <v>Dec</v>
      </c>
      <c r="V1896" s="10">
        <f t="shared" si="178"/>
        <v>2024</v>
      </c>
      <c r="W1896" t="e" cm="1">
        <f t="array" ref="W1896">_xlfn.IFS(U1896="January",1,U1896="February",2,U1896="March",3,U1896="April",4,U1896="May",5,U1896="June",6,U1896="July",7,U1896="August",8,U1896="September",9,U1896="October",10,U1896="November",11,U1896="December",12)</f>
        <v>#N/A</v>
      </c>
    </row>
    <row r="1897" spans="1:23" ht="15.75" customHeight="1" x14ac:dyDescent="0.25">
      <c r="A1897" s="2" t="s">
        <v>790</v>
      </c>
      <c r="B1897" s="3">
        <v>45638.803784722222</v>
      </c>
      <c r="C1897" s="2" t="s">
        <v>118</v>
      </c>
      <c r="D1897" s="2" t="s">
        <v>119</v>
      </c>
      <c r="E1897" s="2" t="s">
        <v>104</v>
      </c>
      <c r="F1897" s="2" t="str" cm="1">
        <f t="array" ref="F1897:G1897">_xlfn.TEXTSPLIT(E1897," - ")</f>
        <v>Bawang Merah</v>
      </c>
      <c r="G1897" s="2" t="str">
        <v>Brand A</v>
      </c>
      <c r="H1897" s="5">
        <v>30000</v>
      </c>
      <c r="I1897" s="2">
        <v>1</v>
      </c>
      <c r="J1897" s="2">
        <v>15</v>
      </c>
      <c r="K1897" s="8">
        <f t="shared" si="174"/>
        <v>30000</v>
      </c>
      <c r="L1897" s="8">
        <f t="shared" si="175"/>
        <v>4500</v>
      </c>
      <c r="M1897" s="8">
        <f t="shared" si="176"/>
        <v>25500</v>
      </c>
      <c r="N1897" s="5">
        <v>0</v>
      </c>
      <c r="O1897" s="8">
        <f t="shared" si="177"/>
        <v>25500</v>
      </c>
      <c r="P1897" s="2" t="s">
        <v>35</v>
      </c>
      <c r="Q1897" s="10" t="str">
        <f>VLOOKUP(A1897,Status!A:B,2,0)</f>
        <v>Completed</v>
      </c>
      <c r="R1897" s="2" t="s">
        <v>46</v>
      </c>
      <c r="S1897" s="2">
        <v>4</v>
      </c>
      <c r="T1897" s="2" t="s">
        <v>24</v>
      </c>
      <c r="U1897" s="10" t="str">
        <f t="shared" si="179"/>
        <v>Dec</v>
      </c>
      <c r="V1897" s="10">
        <f t="shared" si="178"/>
        <v>2024</v>
      </c>
      <c r="W1897" t="e" cm="1">
        <f t="array" ref="W1897">_xlfn.IFS(U1897="January",1,U1897="February",2,U1897="March",3,U1897="April",4,U1897="May",5,U1897="June",6,U1897="July",7,U1897="August",8,U1897="September",9,U1897="October",10,U1897="November",11,U1897="December",12)</f>
        <v>#N/A</v>
      </c>
    </row>
    <row r="1898" spans="1:23" ht="15.75" customHeight="1" x14ac:dyDescent="0.25">
      <c r="A1898" s="2" t="s">
        <v>791</v>
      </c>
      <c r="B1898" s="3">
        <v>45638.838831018518</v>
      </c>
      <c r="C1898" s="2" t="s">
        <v>227</v>
      </c>
      <c r="D1898" s="2" t="s">
        <v>70</v>
      </c>
      <c r="E1898" s="2" t="s">
        <v>123</v>
      </c>
      <c r="F1898" s="2" t="str" cm="1">
        <f t="array" ref="F1898:G1898">_xlfn.TEXTSPLIT(E1898," - ")</f>
        <v>Telur Ayam</v>
      </c>
      <c r="G1898" s="2" t="str">
        <v>Brand A</v>
      </c>
      <c r="H1898" s="5">
        <v>22000</v>
      </c>
      <c r="I1898" s="2">
        <v>1</v>
      </c>
      <c r="J1898" s="2">
        <v>20</v>
      </c>
      <c r="K1898" s="8">
        <f t="shared" si="174"/>
        <v>22000</v>
      </c>
      <c r="L1898" s="8">
        <f t="shared" si="175"/>
        <v>4400</v>
      </c>
      <c r="M1898" s="8">
        <f t="shared" si="176"/>
        <v>17600</v>
      </c>
      <c r="N1898" s="5">
        <v>89000</v>
      </c>
      <c r="O1898" s="8">
        <f t="shared" si="177"/>
        <v>106600</v>
      </c>
      <c r="P1898" s="2" t="s">
        <v>35</v>
      </c>
      <c r="Q1898" s="10" t="str">
        <f>VLOOKUP(A1898,Status!A:B,2,0)</f>
        <v>Completed</v>
      </c>
      <c r="R1898" s="2" t="s">
        <v>46</v>
      </c>
      <c r="S1898" s="2">
        <v>2</v>
      </c>
      <c r="T1898" s="2" t="s">
        <v>24</v>
      </c>
      <c r="U1898" s="10" t="str">
        <f t="shared" si="179"/>
        <v>Dec</v>
      </c>
      <c r="V1898" s="10">
        <f t="shared" si="178"/>
        <v>2024</v>
      </c>
      <c r="W1898" t="e" cm="1">
        <f t="array" ref="W1898">_xlfn.IFS(U1898="January",1,U1898="February",2,U1898="March",3,U1898="April",4,U1898="May",5,U1898="June",6,U1898="July",7,U1898="August",8,U1898="September",9,U1898="October",10,U1898="November",11,U1898="December",12)</f>
        <v>#N/A</v>
      </c>
    </row>
    <row r="1899" spans="1:23" ht="15.75" customHeight="1" x14ac:dyDescent="0.25">
      <c r="A1899" s="2" t="s">
        <v>792</v>
      </c>
      <c r="B1899" s="3">
        <v>45638.972013888888</v>
      </c>
      <c r="C1899" s="2" t="s">
        <v>361</v>
      </c>
      <c r="D1899" s="2" t="s">
        <v>70</v>
      </c>
      <c r="E1899" s="2" t="s">
        <v>88</v>
      </c>
      <c r="F1899" s="2" t="str" cm="1">
        <f t="array" ref="F1899:G1899">_xlfn.TEXTSPLIT(E1899," - ")</f>
        <v>Beras</v>
      </c>
      <c r="G1899" s="2" t="str">
        <v>Brand A</v>
      </c>
      <c r="H1899" s="5">
        <v>14000</v>
      </c>
      <c r="I1899" s="2">
        <v>4</v>
      </c>
      <c r="J1899" s="2">
        <v>20</v>
      </c>
      <c r="K1899" s="8">
        <f t="shared" si="174"/>
        <v>56000</v>
      </c>
      <c r="L1899" s="8">
        <f t="shared" si="175"/>
        <v>11200</v>
      </c>
      <c r="M1899" s="8">
        <f t="shared" si="176"/>
        <v>44800</v>
      </c>
      <c r="N1899" s="5">
        <v>89000</v>
      </c>
      <c r="O1899" s="8">
        <f t="shared" si="177"/>
        <v>133800</v>
      </c>
      <c r="P1899" s="2" t="s">
        <v>22</v>
      </c>
      <c r="Q1899" s="10" t="str">
        <f>VLOOKUP(A1899,Status!A:B,2,0)</f>
        <v>Completed</v>
      </c>
      <c r="R1899" s="2" t="s">
        <v>36</v>
      </c>
      <c r="S1899" s="2">
        <v>2</v>
      </c>
      <c r="T1899" s="2" t="s">
        <v>37</v>
      </c>
      <c r="U1899" s="10" t="str">
        <f t="shared" si="179"/>
        <v>Dec</v>
      </c>
      <c r="V1899" s="10">
        <f t="shared" si="178"/>
        <v>2024</v>
      </c>
      <c r="W1899" t="e" cm="1">
        <f t="array" ref="W1899">_xlfn.IFS(U1899="January",1,U1899="February",2,U1899="March",3,U1899="April",4,U1899="May",5,U1899="June",6,U1899="July",7,U1899="August",8,U1899="September",9,U1899="October",10,U1899="November",11,U1899="December",12)</f>
        <v>#N/A</v>
      </c>
    </row>
    <row r="1900" spans="1:23" ht="15.75" customHeight="1" x14ac:dyDescent="0.25">
      <c r="A1900" s="2" t="s">
        <v>793</v>
      </c>
      <c r="B1900" s="3">
        <v>45639.236122685194</v>
      </c>
      <c r="C1900" s="2" t="s">
        <v>794</v>
      </c>
      <c r="D1900" s="2" t="s">
        <v>61</v>
      </c>
      <c r="E1900" s="2" t="s">
        <v>75</v>
      </c>
      <c r="F1900" s="2" t="str" cm="1">
        <f t="array" ref="F1900:G1900">_xlfn.TEXTSPLIT(E1900," - ")</f>
        <v>Susu Bubuk</v>
      </c>
      <c r="G1900" s="2" t="str">
        <v>Brand C</v>
      </c>
      <c r="H1900" s="5">
        <v>55000</v>
      </c>
      <c r="I1900" s="2">
        <v>2</v>
      </c>
      <c r="J1900" s="2">
        <v>5</v>
      </c>
      <c r="K1900" s="8">
        <f t="shared" si="174"/>
        <v>110000</v>
      </c>
      <c r="L1900" s="8">
        <f t="shared" si="175"/>
        <v>5500</v>
      </c>
      <c r="M1900" s="8">
        <f t="shared" si="176"/>
        <v>104500</v>
      </c>
      <c r="N1900" s="5">
        <v>26000</v>
      </c>
      <c r="O1900" s="8">
        <f t="shared" si="177"/>
        <v>130500</v>
      </c>
      <c r="P1900" s="2" t="s">
        <v>29</v>
      </c>
      <c r="Q1900" s="10" t="str">
        <f>VLOOKUP(A1900,Status!A:B,2,0)</f>
        <v>Completed</v>
      </c>
      <c r="R1900" s="2" t="s">
        <v>46</v>
      </c>
      <c r="S1900" s="2">
        <v>4</v>
      </c>
      <c r="T1900" s="2" t="s">
        <v>37</v>
      </c>
      <c r="U1900" s="10" t="str">
        <f t="shared" si="179"/>
        <v>Dec</v>
      </c>
      <c r="V1900" s="10">
        <f t="shared" si="178"/>
        <v>2024</v>
      </c>
      <c r="W1900" t="e" cm="1">
        <f t="array" ref="W1900">_xlfn.IFS(U1900="January",1,U1900="February",2,U1900="March",3,U1900="April",4,U1900="May",5,U1900="June",6,U1900="July",7,U1900="August",8,U1900="September",9,U1900="October",10,U1900="November",11,U1900="December",12)</f>
        <v>#N/A</v>
      </c>
    </row>
    <row r="1901" spans="1:23" ht="15.75" customHeight="1" x14ac:dyDescent="0.25">
      <c r="A1901" s="2" t="s">
        <v>795</v>
      </c>
      <c r="B1901" s="3">
        <v>45639.284942129627</v>
      </c>
      <c r="C1901" s="2" t="s">
        <v>796</v>
      </c>
      <c r="D1901" s="2" t="s">
        <v>119</v>
      </c>
      <c r="E1901" s="2" t="s">
        <v>28</v>
      </c>
      <c r="F1901" s="2" t="str" cm="1">
        <f t="array" ref="F1901:G1901">_xlfn.TEXTSPLIT(E1901," - ")</f>
        <v>Garam</v>
      </c>
      <c r="G1901" s="2" t="str">
        <v>Brand B</v>
      </c>
      <c r="H1901" s="5">
        <v>5000</v>
      </c>
      <c r="I1901" s="2">
        <v>4</v>
      </c>
      <c r="J1901" s="2">
        <v>0</v>
      </c>
      <c r="K1901" s="8">
        <f t="shared" si="174"/>
        <v>20000</v>
      </c>
      <c r="L1901" s="8">
        <f t="shared" si="175"/>
        <v>0</v>
      </c>
      <c r="M1901" s="8">
        <f t="shared" si="176"/>
        <v>20000</v>
      </c>
      <c r="N1901" s="5">
        <v>0</v>
      </c>
      <c r="O1901" s="8">
        <f t="shared" si="177"/>
        <v>20000</v>
      </c>
      <c r="P1901" s="2" t="s">
        <v>22</v>
      </c>
      <c r="Q1901" s="10" t="str">
        <f>VLOOKUP(A1901,Status!A:B,2,0)</f>
        <v>Completed</v>
      </c>
      <c r="R1901" s="2" t="s">
        <v>82</v>
      </c>
      <c r="S1901" s="2">
        <v>4</v>
      </c>
      <c r="T1901" s="2" t="s">
        <v>24</v>
      </c>
      <c r="U1901" s="10" t="str">
        <f t="shared" si="179"/>
        <v>Dec</v>
      </c>
      <c r="V1901" s="10">
        <f t="shared" si="178"/>
        <v>2024</v>
      </c>
      <c r="W1901" t="e" cm="1">
        <f t="array" ref="W1901">_xlfn.IFS(U1901="January",1,U1901="February",2,U1901="March",3,U1901="April",4,U1901="May",5,U1901="June",6,U1901="July",7,U1901="August",8,U1901="September",9,U1901="October",10,U1901="November",11,U1901="December",12)</f>
        <v>#N/A</v>
      </c>
    </row>
    <row r="1902" spans="1:23" ht="15.75" customHeight="1" x14ac:dyDescent="0.25">
      <c r="A1902" s="2" t="s">
        <v>797</v>
      </c>
      <c r="B1902" s="3">
        <v>45639.31113425926</v>
      </c>
      <c r="C1902" s="2" t="s">
        <v>412</v>
      </c>
      <c r="D1902" s="2" t="s">
        <v>70</v>
      </c>
      <c r="E1902" s="2" t="s">
        <v>136</v>
      </c>
      <c r="F1902" s="2" t="str" cm="1">
        <f t="array" ref="F1902:G1902">_xlfn.TEXTSPLIT(E1902," - ")</f>
        <v>Tepung Terigu</v>
      </c>
      <c r="G1902" s="2" t="str">
        <v>Brand B</v>
      </c>
      <c r="H1902" s="5">
        <v>12000</v>
      </c>
      <c r="I1902" s="2">
        <v>2</v>
      </c>
      <c r="J1902" s="2">
        <v>10</v>
      </c>
      <c r="K1902" s="8">
        <f t="shared" si="174"/>
        <v>24000</v>
      </c>
      <c r="L1902" s="8">
        <f t="shared" si="175"/>
        <v>2400</v>
      </c>
      <c r="M1902" s="8">
        <f t="shared" si="176"/>
        <v>21600</v>
      </c>
      <c r="N1902" s="5">
        <v>89000</v>
      </c>
      <c r="O1902" s="8">
        <f t="shared" si="177"/>
        <v>110600</v>
      </c>
      <c r="P1902" s="2" t="s">
        <v>63</v>
      </c>
      <c r="Q1902" s="10" t="str">
        <f>VLOOKUP(A1902,Status!A:B,2,0)</f>
        <v>Completed</v>
      </c>
      <c r="R1902" s="2" t="s">
        <v>46</v>
      </c>
      <c r="S1902" s="2">
        <v>5</v>
      </c>
      <c r="T1902" s="2" t="s">
        <v>24</v>
      </c>
      <c r="U1902" s="10" t="str">
        <f t="shared" si="179"/>
        <v>Dec</v>
      </c>
      <c r="V1902" s="10">
        <f t="shared" si="178"/>
        <v>2024</v>
      </c>
      <c r="W1902" t="e" cm="1">
        <f t="array" ref="W1902">_xlfn.IFS(U1902="January",1,U1902="February",2,U1902="March",3,U1902="April",4,U1902="May",5,U1902="June",6,U1902="July",7,U1902="August",8,U1902="September",9,U1902="October",10,U1902="November",11,U1902="December",12)</f>
        <v>#N/A</v>
      </c>
    </row>
    <row r="1903" spans="1:23" ht="15.75" customHeight="1" x14ac:dyDescent="0.25">
      <c r="A1903" s="2" t="s">
        <v>798</v>
      </c>
      <c r="B1903" s="3">
        <v>45639.444768518522</v>
      </c>
      <c r="C1903" s="2" t="s">
        <v>446</v>
      </c>
      <c r="D1903" s="2" t="s">
        <v>296</v>
      </c>
      <c r="E1903" s="2" t="s">
        <v>62</v>
      </c>
      <c r="F1903" s="2" t="str" cm="1">
        <f t="array" ref="F1903:G1903">_xlfn.TEXTSPLIT(E1903," - ")</f>
        <v>Susu Bubuk</v>
      </c>
      <c r="G1903" s="2" t="str">
        <v>Brand B</v>
      </c>
      <c r="H1903" s="5">
        <v>50000</v>
      </c>
      <c r="I1903" s="2">
        <v>2</v>
      </c>
      <c r="J1903" s="2">
        <v>15</v>
      </c>
      <c r="K1903" s="8">
        <f t="shared" si="174"/>
        <v>100000</v>
      </c>
      <c r="L1903" s="8">
        <f t="shared" si="175"/>
        <v>15000</v>
      </c>
      <c r="M1903" s="8">
        <f t="shared" si="176"/>
        <v>85000</v>
      </c>
      <c r="N1903" s="5">
        <v>79000</v>
      </c>
      <c r="O1903" s="8">
        <f t="shared" si="177"/>
        <v>164000</v>
      </c>
      <c r="P1903" s="2" t="s">
        <v>63</v>
      </c>
      <c r="Q1903" s="10" t="str">
        <f>VLOOKUP(A1903,Status!A:B,2,0)</f>
        <v>Completed</v>
      </c>
      <c r="R1903" s="2" t="s">
        <v>82</v>
      </c>
      <c r="S1903" s="2">
        <v>1</v>
      </c>
      <c r="T1903" s="2" t="s">
        <v>37</v>
      </c>
      <c r="U1903" s="10" t="str">
        <f t="shared" si="179"/>
        <v>Dec</v>
      </c>
      <c r="V1903" s="10">
        <f t="shared" si="178"/>
        <v>2024</v>
      </c>
      <c r="W1903" t="e" cm="1">
        <f t="array" ref="W1903">_xlfn.IFS(U1903="January",1,U1903="February",2,U1903="March",3,U1903="April",4,U1903="May",5,U1903="June",6,U1903="July",7,U1903="August",8,U1903="September",9,U1903="October",10,U1903="November",11,U1903="December",12)</f>
        <v>#N/A</v>
      </c>
    </row>
    <row r="1904" spans="1:23" ht="15.75" customHeight="1" x14ac:dyDescent="0.25">
      <c r="A1904" s="2" t="s">
        <v>799</v>
      </c>
      <c r="B1904" s="3">
        <v>45639.711747685193</v>
      </c>
      <c r="C1904" s="2" t="s">
        <v>557</v>
      </c>
      <c r="D1904" s="2" t="s">
        <v>173</v>
      </c>
      <c r="E1904" s="2" t="s">
        <v>50</v>
      </c>
      <c r="F1904" s="2" t="str" cm="1">
        <f t="array" ref="F1904:G1904">_xlfn.TEXTSPLIT(E1904," - ")</f>
        <v>Tepung Terigu</v>
      </c>
      <c r="G1904" s="2" t="str">
        <v>Brand C</v>
      </c>
      <c r="H1904" s="5">
        <v>14000</v>
      </c>
      <c r="I1904" s="2">
        <v>5</v>
      </c>
      <c r="J1904" s="2">
        <v>15</v>
      </c>
      <c r="K1904" s="8">
        <f t="shared" si="174"/>
        <v>70000</v>
      </c>
      <c r="L1904" s="8">
        <f t="shared" si="175"/>
        <v>10500</v>
      </c>
      <c r="M1904" s="8">
        <f t="shared" si="176"/>
        <v>59500</v>
      </c>
      <c r="N1904" s="5">
        <v>49000</v>
      </c>
      <c r="O1904" s="8">
        <f t="shared" si="177"/>
        <v>108500</v>
      </c>
      <c r="P1904" s="2" t="s">
        <v>22</v>
      </c>
      <c r="Q1904" s="10" t="str">
        <f>VLOOKUP(A1904,Status!A:B,2,0)</f>
        <v>Completed</v>
      </c>
      <c r="R1904" s="2" t="s">
        <v>30</v>
      </c>
      <c r="S1904" s="2">
        <v>4</v>
      </c>
      <c r="T1904" s="2" t="s">
        <v>24</v>
      </c>
      <c r="U1904" s="10" t="str">
        <f t="shared" si="179"/>
        <v>Dec</v>
      </c>
      <c r="V1904" s="10">
        <f t="shared" si="178"/>
        <v>2024</v>
      </c>
      <c r="W1904" t="e" cm="1">
        <f t="array" ref="W1904">_xlfn.IFS(U1904="January",1,U1904="February",2,U1904="March",3,U1904="April",4,U1904="May",5,U1904="June",6,U1904="July",7,U1904="August",8,U1904="September",9,U1904="October",10,U1904="November",11,U1904="December",12)</f>
        <v>#N/A</v>
      </c>
    </row>
    <row r="1905" spans="1:23" ht="15.75" customHeight="1" x14ac:dyDescent="0.25">
      <c r="A1905" s="2" t="s">
        <v>800</v>
      </c>
      <c r="B1905" s="3">
        <v>45640.079641203702</v>
      </c>
      <c r="C1905" s="2" t="s">
        <v>19</v>
      </c>
      <c r="D1905" s="2" t="s">
        <v>20</v>
      </c>
      <c r="E1905" s="2" t="s">
        <v>138</v>
      </c>
      <c r="F1905" s="2" t="str" cm="1">
        <f t="array" ref="F1905:G1905">_xlfn.TEXTSPLIT(E1905," - ")</f>
        <v>Gula Pasir</v>
      </c>
      <c r="G1905" s="2" t="str">
        <v>Brand B</v>
      </c>
      <c r="H1905" s="5">
        <v>17000</v>
      </c>
      <c r="I1905" s="2">
        <v>3</v>
      </c>
      <c r="J1905" s="2">
        <v>20</v>
      </c>
      <c r="K1905" s="8">
        <f t="shared" si="174"/>
        <v>51000</v>
      </c>
      <c r="L1905" s="8">
        <f t="shared" si="175"/>
        <v>10200</v>
      </c>
      <c r="M1905" s="8">
        <f t="shared" si="176"/>
        <v>40800</v>
      </c>
      <c r="N1905" s="5">
        <v>15000</v>
      </c>
      <c r="O1905" s="8">
        <f t="shared" si="177"/>
        <v>55800</v>
      </c>
      <c r="P1905" s="2" t="s">
        <v>35</v>
      </c>
      <c r="Q1905" s="10" t="str">
        <f>VLOOKUP(A1905,Status!A:B,2,0)</f>
        <v>Completed</v>
      </c>
      <c r="R1905" s="2" t="s">
        <v>36</v>
      </c>
      <c r="S1905" s="2">
        <v>4</v>
      </c>
      <c r="T1905" s="2" t="s">
        <v>24</v>
      </c>
      <c r="U1905" s="10" t="str">
        <f t="shared" si="179"/>
        <v>Dec</v>
      </c>
      <c r="V1905" s="10">
        <f t="shared" si="178"/>
        <v>2024</v>
      </c>
      <c r="W1905" t="e" cm="1">
        <f t="array" ref="W1905">_xlfn.IFS(U1905="January",1,U1905="February",2,U1905="March",3,U1905="April",4,U1905="May",5,U1905="June",6,U1905="July",7,U1905="August",8,U1905="September",9,U1905="October",10,U1905="November",11,U1905="December",12)</f>
        <v>#N/A</v>
      </c>
    </row>
    <row r="1906" spans="1:23" ht="15.75" customHeight="1" x14ac:dyDescent="0.25">
      <c r="A1906" s="2" t="s">
        <v>800</v>
      </c>
      <c r="B1906" s="3">
        <v>45640.079641203702</v>
      </c>
      <c r="C1906" s="2" t="s">
        <v>19</v>
      </c>
      <c r="D1906" s="2" t="s">
        <v>20</v>
      </c>
      <c r="E1906" s="2" t="s">
        <v>54</v>
      </c>
      <c r="F1906" s="2" t="str" cm="1">
        <f t="array" ref="F1906:G1906">_xlfn.TEXTSPLIT(E1906," - ")</f>
        <v>Beras</v>
      </c>
      <c r="G1906" s="2" t="str">
        <v>Brand C</v>
      </c>
      <c r="H1906" s="5">
        <v>16000</v>
      </c>
      <c r="I1906" s="2">
        <v>4</v>
      </c>
      <c r="J1906" s="2">
        <v>5</v>
      </c>
      <c r="K1906" s="8">
        <f t="shared" si="174"/>
        <v>64000</v>
      </c>
      <c r="L1906" s="8">
        <f t="shared" si="175"/>
        <v>3200</v>
      </c>
      <c r="M1906" s="8">
        <f t="shared" si="176"/>
        <v>60800</v>
      </c>
      <c r="N1906" s="5">
        <v>0</v>
      </c>
      <c r="O1906" s="8">
        <f t="shared" si="177"/>
        <v>60800</v>
      </c>
      <c r="P1906" s="2" t="s">
        <v>35</v>
      </c>
      <c r="Q1906" s="10" t="str">
        <f>VLOOKUP(A1906,Status!A:B,2,0)</f>
        <v>Completed</v>
      </c>
      <c r="R1906" s="2" t="s">
        <v>36</v>
      </c>
      <c r="S1906" s="2">
        <v>4</v>
      </c>
      <c r="T1906" s="2" t="s">
        <v>24</v>
      </c>
      <c r="U1906" s="10" t="str">
        <f t="shared" si="179"/>
        <v>Dec</v>
      </c>
      <c r="V1906" s="10">
        <f t="shared" si="178"/>
        <v>2024</v>
      </c>
      <c r="W1906" t="e" cm="1">
        <f t="array" ref="W1906">_xlfn.IFS(U1906="January",1,U1906="February",2,U1906="March",3,U1906="April",4,U1906="May",5,U1906="June",6,U1906="July",7,U1906="August",8,U1906="September",9,U1906="October",10,U1906="November",11,U1906="December",12)</f>
        <v>#N/A</v>
      </c>
    </row>
    <row r="1907" spans="1:23" ht="15.75" customHeight="1" x14ac:dyDescent="0.25">
      <c r="A1907" s="2" t="s">
        <v>801</v>
      </c>
      <c r="B1907" s="3">
        <v>45640.598009259258</v>
      </c>
      <c r="C1907" s="2" t="s">
        <v>802</v>
      </c>
      <c r="D1907" s="2" t="s">
        <v>126</v>
      </c>
      <c r="E1907" s="2" t="s">
        <v>28</v>
      </c>
      <c r="F1907" s="2" t="str" cm="1">
        <f t="array" ref="F1907:G1907">_xlfn.TEXTSPLIT(E1907," - ")</f>
        <v>Garam</v>
      </c>
      <c r="G1907" s="2" t="str">
        <v>Brand B</v>
      </c>
      <c r="H1907" s="5">
        <v>5000</v>
      </c>
      <c r="I1907" s="2">
        <v>3</v>
      </c>
      <c r="J1907" s="2">
        <v>20</v>
      </c>
      <c r="K1907" s="8">
        <f t="shared" si="174"/>
        <v>15000</v>
      </c>
      <c r="L1907" s="8">
        <f t="shared" si="175"/>
        <v>3000</v>
      </c>
      <c r="M1907" s="8">
        <f t="shared" si="176"/>
        <v>12000</v>
      </c>
      <c r="N1907" s="5">
        <v>84000</v>
      </c>
      <c r="O1907" s="8">
        <f t="shared" si="177"/>
        <v>96000</v>
      </c>
      <c r="P1907" s="2" t="s">
        <v>22</v>
      </c>
      <c r="Q1907" s="10" t="str">
        <f>VLOOKUP(A1907,Status!A:B,2,0)</f>
        <v>Completed</v>
      </c>
      <c r="R1907" s="2" t="s">
        <v>46</v>
      </c>
      <c r="S1907" s="2">
        <v>4</v>
      </c>
      <c r="T1907" s="2" t="s">
        <v>24</v>
      </c>
      <c r="U1907" s="10" t="str">
        <f t="shared" si="179"/>
        <v>Dec</v>
      </c>
      <c r="V1907" s="10">
        <f t="shared" si="178"/>
        <v>2024</v>
      </c>
      <c r="W1907" t="e" cm="1">
        <f t="array" ref="W1907">_xlfn.IFS(U1907="January",1,U1907="February",2,U1907="March",3,U1907="April",4,U1907="May",5,U1907="June",6,U1907="July",7,U1907="August",8,U1907="September",9,U1907="October",10,U1907="November",11,U1907="December",12)</f>
        <v>#N/A</v>
      </c>
    </row>
    <row r="1908" spans="1:23" ht="15.75" customHeight="1" x14ac:dyDescent="0.25">
      <c r="A1908" s="2" t="s">
        <v>803</v>
      </c>
      <c r="B1908" s="3">
        <v>45641.33452546296</v>
      </c>
      <c r="C1908" s="2" t="s">
        <v>804</v>
      </c>
      <c r="D1908" s="2" t="s">
        <v>49</v>
      </c>
      <c r="E1908" s="2" t="s">
        <v>71</v>
      </c>
      <c r="F1908" s="2" t="str" cm="1">
        <f t="array" ref="F1908:G1908">_xlfn.TEXTSPLIT(E1908," - ")</f>
        <v>Bawang Merah</v>
      </c>
      <c r="G1908" s="2" t="str">
        <v>Brand C</v>
      </c>
      <c r="H1908" s="5">
        <v>40000</v>
      </c>
      <c r="I1908" s="2">
        <v>2</v>
      </c>
      <c r="J1908" s="2">
        <v>5</v>
      </c>
      <c r="K1908" s="8">
        <f t="shared" si="174"/>
        <v>80000</v>
      </c>
      <c r="L1908" s="8">
        <f t="shared" si="175"/>
        <v>4000</v>
      </c>
      <c r="M1908" s="8">
        <f t="shared" si="176"/>
        <v>76000</v>
      </c>
      <c r="N1908" s="5">
        <v>43000</v>
      </c>
      <c r="O1908" s="8">
        <f t="shared" si="177"/>
        <v>119000</v>
      </c>
      <c r="P1908" s="2" t="s">
        <v>29</v>
      </c>
      <c r="Q1908" s="10" t="str">
        <f>VLOOKUP(A1908,Status!A:B,2,0)</f>
        <v>Cancelled</v>
      </c>
      <c r="R1908" s="2" t="s">
        <v>82</v>
      </c>
      <c r="S1908" s="2">
        <v>5</v>
      </c>
      <c r="T1908" s="2" t="s">
        <v>24</v>
      </c>
      <c r="U1908" s="10" t="str">
        <f t="shared" si="179"/>
        <v>Dec</v>
      </c>
      <c r="V1908" s="10">
        <f t="shared" si="178"/>
        <v>2024</v>
      </c>
      <c r="W1908" t="e" cm="1">
        <f t="array" ref="W1908">_xlfn.IFS(U1908="January",1,U1908="February",2,U1908="March",3,U1908="April",4,U1908="May",5,U1908="June",6,U1908="July",7,U1908="August",8,U1908="September",9,U1908="October",10,U1908="November",11,U1908="December",12)</f>
        <v>#N/A</v>
      </c>
    </row>
    <row r="1909" spans="1:23" ht="15.75" customHeight="1" x14ac:dyDescent="0.25">
      <c r="A1909" s="2" t="s">
        <v>805</v>
      </c>
      <c r="B1909" s="3">
        <v>45641.411006944443</v>
      </c>
      <c r="C1909" s="2" t="s">
        <v>295</v>
      </c>
      <c r="D1909" s="2" t="s">
        <v>296</v>
      </c>
      <c r="E1909" s="2" t="s">
        <v>144</v>
      </c>
      <c r="F1909" s="2" t="str" cm="1">
        <f t="array" ref="F1909:G1909">_xlfn.TEXTSPLIT(E1909," - ")</f>
        <v>Gula Pasir</v>
      </c>
      <c r="G1909" s="2" t="str">
        <v>Brand C</v>
      </c>
      <c r="H1909" s="5">
        <v>18000</v>
      </c>
      <c r="I1909" s="2">
        <v>2</v>
      </c>
      <c r="J1909" s="2">
        <v>15</v>
      </c>
      <c r="K1909" s="8">
        <f t="shared" si="174"/>
        <v>36000</v>
      </c>
      <c r="L1909" s="8">
        <f t="shared" si="175"/>
        <v>5400</v>
      </c>
      <c r="M1909" s="8">
        <f t="shared" si="176"/>
        <v>30600</v>
      </c>
      <c r="N1909" s="5">
        <v>79000</v>
      </c>
      <c r="O1909" s="8">
        <f t="shared" si="177"/>
        <v>109600</v>
      </c>
      <c r="P1909" s="2" t="s">
        <v>29</v>
      </c>
      <c r="Q1909" s="10" t="str">
        <f>VLOOKUP(A1909,Status!A:B,2,0)</f>
        <v>Completed</v>
      </c>
      <c r="R1909" s="2" t="s">
        <v>30</v>
      </c>
      <c r="S1909" s="2">
        <v>5</v>
      </c>
      <c r="T1909" s="2" t="s">
        <v>24</v>
      </c>
      <c r="U1909" s="10" t="str">
        <f t="shared" si="179"/>
        <v>Dec</v>
      </c>
      <c r="V1909" s="10">
        <f t="shared" si="178"/>
        <v>2024</v>
      </c>
      <c r="W1909" t="e" cm="1">
        <f t="array" ref="W1909">_xlfn.IFS(U1909="January",1,U1909="February",2,U1909="March",3,U1909="April",4,U1909="May",5,U1909="June",6,U1909="July",7,U1909="August",8,U1909="September",9,U1909="October",10,U1909="November",11,U1909="December",12)</f>
        <v>#N/A</v>
      </c>
    </row>
    <row r="1910" spans="1:23" ht="15.75" customHeight="1" x14ac:dyDescent="0.25">
      <c r="A1910" s="2" t="s">
        <v>806</v>
      </c>
      <c r="B1910" s="3">
        <v>45641.500902777778</v>
      </c>
      <c r="C1910" s="2" t="s">
        <v>649</v>
      </c>
      <c r="D1910" s="2" t="s">
        <v>177</v>
      </c>
      <c r="E1910" s="2" t="s">
        <v>54</v>
      </c>
      <c r="F1910" s="2" t="str" cm="1">
        <f t="array" ref="F1910:G1910">_xlfn.TEXTSPLIT(E1910," - ")</f>
        <v>Beras</v>
      </c>
      <c r="G1910" s="2" t="str">
        <v>Brand C</v>
      </c>
      <c r="H1910" s="5">
        <v>16000</v>
      </c>
      <c r="I1910" s="2">
        <v>5</v>
      </c>
      <c r="J1910" s="2">
        <v>15</v>
      </c>
      <c r="K1910" s="8">
        <f t="shared" si="174"/>
        <v>80000</v>
      </c>
      <c r="L1910" s="8">
        <f t="shared" si="175"/>
        <v>12000</v>
      </c>
      <c r="M1910" s="8">
        <f t="shared" si="176"/>
        <v>68000</v>
      </c>
      <c r="N1910" s="5">
        <v>56000</v>
      </c>
      <c r="O1910" s="8">
        <f t="shared" si="177"/>
        <v>124000</v>
      </c>
      <c r="P1910" s="2" t="s">
        <v>63</v>
      </c>
      <c r="Q1910" s="10" t="str">
        <f>VLOOKUP(A1910,Status!A:B,2,0)</f>
        <v>Completed</v>
      </c>
      <c r="R1910" s="2" t="s">
        <v>36</v>
      </c>
      <c r="S1910" s="2">
        <v>5</v>
      </c>
      <c r="T1910" s="2" t="s">
        <v>24</v>
      </c>
      <c r="U1910" s="10" t="str">
        <f t="shared" si="179"/>
        <v>Dec</v>
      </c>
      <c r="V1910" s="10">
        <f t="shared" si="178"/>
        <v>2024</v>
      </c>
      <c r="W1910" t="e" cm="1">
        <f t="array" ref="W1910">_xlfn.IFS(U1910="January",1,U1910="February",2,U1910="March",3,U1910="April",4,U1910="May",5,U1910="June",6,U1910="July",7,U1910="August",8,U1910="September",9,U1910="October",10,U1910="November",11,U1910="December",12)</f>
        <v>#N/A</v>
      </c>
    </row>
    <row r="1911" spans="1:23" ht="15.75" customHeight="1" x14ac:dyDescent="0.25">
      <c r="A1911" s="2" t="s">
        <v>807</v>
      </c>
      <c r="B1911" s="3">
        <v>45641.504328703697</v>
      </c>
      <c r="C1911" s="2" t="s">
        <v>808</v>
      </c>
      <c r="D1911" s="2" t="s">
        <v>61</v>
      </c>
      <c r="E1911" s="2" t="s">
        <v>34</v>
      </c>
      <c r="F1911" s="2" t="str" cm="1">
        <f t="array" ref="F1911:G1911">_xlfn.TEXTSPLIT(E1911," - ")</f>
        <v>Minyak Goreng</v>
      </c>
      <c r="G1911" s="2" t="str">
        <v>Brand A</v>
      </c>
      <c r="H1911" s="5">
        <v>16000</v>
      </c>
      <c r="I1911" s="2">
        <v>3</v>
      </c>
      <c r="J1911" s="2">
        <v>10</v>
      </c>
      <c r="K1911" s="8">
        <f t="shared" si="174"/>
        <v>48000</v>
      </c>
      <c r="L1911" s="8">
        <f t="shared" si="175"/>
        <v>4800</v>
      </c>
      <c r="M1911" s="8">
        <f t="shared" si="176"/>
        <v>43200</v>
      </c>
      <c r="N1911" s="5">
        <v>26000</v>
      </c>
      <c r="O1911" s="8">
        <f t="shared" si="177"/>
        <v>69200</v>
      </c>
      <c r="P1911" s="2" t="s">
        <v>29</v>
      </c>
      <c r="Q1911" s="10" t="str">
        <f>VLOOKUP(A1911,Status!A:B,2,0)</f>
        <v>Completed</v>
      </c>
      <c r="R1911" s="2" t="s">
        <v>82</v>
      </c>
      <c r="S1911" s="2">
        <v>1</v>
      </c>
      <c r="T1911" s="2" t="s">
        <v>24</v>
      </c>
      <c r="U1911" s="10" t="str">
        <f t="shared" si="179"/>
        <v>Dec</v>
      </c>
      <c r="V1911" s="10">
        <f t="shared" si="178"/>
        <v>2024</v>
      </c>
      <c r="W1911" t="e" cm="1">
        <f t="array" ref="W1911">_xlfn.IFS(U1911="January",1,U1911="February",2,U1911="March",3,U1911="April",4,U1911="May",5,U1911="June",6,U1911="July",7,U1911="August",8,U1911="September",9,U1911="October",10,U1911="November",11,U1911="December",12)</f>
        <v>#N/A</v>
      </c>
    </row>
    <row r="1912" spans="1:23" ht="15.75" customHeight="1" x14ac:dyDescent="0.25">
      <c r="A1912" s="2" t="s">
        <v>809</v>
      </c>
      <c r="B1912" s="3">
        <v>45641.529745370368</v>
      </c>
      <c r="C1912" s="2" t="s">
        <v>379</v>
      </c>
      <c r="D1912" s="2" t="s">
        <v>27</v>
      </c>
      <c r="E1912" s="2" t="s">
        <v>34</v>
      </c>
      <c r="F1912" s="2" t="str" cm="1">
        <f t="array" ref="F1912:G1912">_xlfn.TEXTSPLIT(E1912," - ")</f>
        <v>Minyak Goreng</v>
      </c>
      <c r="G1912" s="2" t="str">
        <v>Brand A</v>
      </c>
      <c r="H1912" s="5">
        <v>16000</v>
      </c>
      <c r="I1912" s="2">
        <v>3</v>
      </c>
      <c r="J1912" s="2">
        <v>0</v>
      </c>
      <c r="K1912" s="8">
        <f t="shared" si="174"/>
        <v>48000</v>
      </c>
      <c r="L1912" s="8">
        <f t="shared" si="175"/>
        <v>0</v>
      </c>
      <c r="M1912" s="8">
        <f t="shared" si="176"/>
        <v>48000</v>
      </c>
      <c r="N1912" s="5">
        <v>17000</v>
      </c>
      <c r="O1912" s="8">
        <f t="shared" si="177"/>
        <v>65000</v>
      </c>
      <c r="P1912" s="2" t="s">
        <v>63</v>
      </c>
      <c r="Q1912" s="10" t="str">
        <f>VLOOKUP(A1912,Status!A:B,2,0)</f>
        <v>Completed</v>
      </c>
      <c r="R1912" s="2" t="s">
        <v>82</v>
      </c>
      <c r="S1912" s="2">
        <v>5</v>
      </c>
      <c r="T1912" s="2" t="s">
        <v>24</v>
      </c>
      <c r="U1912" s="10" t="str">
        <f t="shared" si="179"/>
        <v>Dec</v>
      </c>
      <c r="V1912" s="10">
        <f t="shared" si="178"/>
        <v>2024</v>
      </c>
      <c r="W1912" t="e" cm="1">
        <f t="array" ref="W1912">_xlfn.IFS(U1912="January",1,U1912="February",2,U1912="March",3,U1912="April",4,U1912="May",5,U1912="June",6,U1912="July",7,U1912="August",8,U1912="September",9,U1912="October",10,U1912="November",11,U1912="December",12)</f>
        <v>#N/A</v>
      </c>
    </row>
    <row r="1913" spans="1:23" ht="15.75" customHeight="1" x14ac:dyDescent="0.25">
      <c r="A1913" s="2" t="s">
        <v>810</v>
      </c>
      <c r="B1913" s="3">
        <v>45641.617743055547</v>
      </c>
      <c r="C1913" s="2" t="s">
        <v>283</v>
      </c>
      <c r="D1913" s="2" t="s">
        <v>92</v>
      </c>
      <c r="E1913" s="2" t="s">
        <v>45</v>
      </c>
      <c r="F1913" s="2" t="str" cm="1">
        <f t="array" ref="F1913:G1913">_xlfn.TEXTSPLIT(E1913," - ")</f>
        <v>Daging Ayam</v>
      </c>
      <c r="G1913" s="2" t="str">
        <v>Brand B</v>
      </c>
      <c r="H1913" s="5">
        <v>40000</v>
      </c>
      <c r="I1913" s="2">
        <v>5</v>
      </c>
      <c r="J1913" s="2">
        <v>10</v>
      </c>
      <c r="K1913" s="8">
        <f t="shared" si="174"/>
        <v>200000</v>
      </c>
      <c r="L1913" s="8">
        <f t="shared" si="175"/>
        <v>20000</v>
      </c>
      <c r="M1913" s="8">
        <f t="shared" si="176"/>
        <v>180000</v>
      </c>
      <c r="N1913" s="5">
        <v>30000</v>
      </c>
      <c r="O1913" s="8">
        <f t="shared" si="177"/>
        <v>210000</v>
      </c>
      <c r="P1913" s="2" t="s">
        <v>29</v>
      </c>
      <c r="Q1913" s="10" t="str">
        <f>VLOOKUP(A1913,Status!A:B,2,0)</f>
        <v>Completed</v>
      </c>
      <c r="R1913" s="2" t="s">
        <v>30</v>
      </c>
      <c r="S1913" s="2">
        <v>3</v>
      </c>
      <c r="T1913" s="2" t="s">
        <v>24</v>
      </c>
      <c r="U1913" s="10" t="str">
        <f t="shared" si="179"/>
        <v>Dec</v>
      </c>
      <c r="V1913" s="10">
        <f t="shared" si="178"/>
        <v>2024</v>
      </c>
      <c r="W1913" t="e" cm="1">
        <f t="array" ref="W1913">_xlfn.IFS(U1913="January",1,U1913="February",2,U1913="March",3,U1913="April",4,U1913="May",5,U1913="June",6,U1913="July",7,U1913="August",8,U1913="September",9,U1913="October",10,U1913="November",11,U1913="December",12)</f>
        <v>#N/A</v>
      </c>
    </row>
    <row r="1914" spans="1:23" ht="15.75" customHeight="1" x14ac:dyDescent="0.25">
      <c r="A1914" s="2" t="s">
        <v>811</v>
      </c>
      <c r="B1914" s="3">
        <v>45642.436053240737</v>
      </c>
      <c r="C1914" s="2" t="s">
        <v>812</v>
      </c>
      <c r="D1914" s="2" t="s">
        <v>33</v>
      </c>
      <c r="E1914" s="2" t="s">
        <v>34</v>
      </c>
      <c r="F1914" s="2" t="str" cm="1">
        <f t="array" ref="F1914:G1914">_xlfn.TEXTSPLIT(E1914," - ")</f>
        <v>Minyak Goreng</v>
      </c>
      <c r="G1914" s="2" t="str">
        <v>Brand A</v>
      </c>
      <c r="H1914" s="5">
        <v>16000</v>
      </c>
      <c r="I1914" s="2">
        <v>3</v>
      </c>
      <c r="J1914" s="2">
        <v>0</v>
      </c>
      <c r="K1914" s="8">
        <f t="shared" si="174"/>
        <v>48000</v>
      </c>
      <c r="L1914" s="8">
        <f t="shared" si="175"/>
        <v>0</v>
      </c>
      <c r="M1914" s="8">
        <f t="shared" si="176"/>
        <v>48000</v>
      </c>
      <c r="N1914" s="5">
        <v>76000</v>
      </c>
      <c r="O1914" s="8">
        <f t="shared" si="177"/>
        <v>124000</v>
      </c>
      <c r="P1914" s="2" t="s">
        <v>22</v>
      </c>
      <c r="Q1914" s="10" t="str">
        <f>VLOOKUP(A1914,Status!A:B,2,0)</f>
        <v>Completed</v>
      </c>
      <c r="R1914" s="2" t="s">
        <v>30</v>
      </c>
      <c r="S1914" s="2">
        <v>3</v>
      </c>
      <c r="T1914" s="2" t="s">
        <v>24</v>
      </c>
      <c r="U1914" s="10" t="str">
        <f t="shared" si="179"/>
        <v>Dec</v>
      </c>
      <c r="V1914" s="10">
        <f t="shared" si="178"/>
        <v>2024</v>
      </c>
      <c r="W1914" t="e" cm="1">
        <f t="array" ref="W1914">_xlfn.IFS(U1914="January",1,U1914="February",2,U1914="March",3,U1914="April",4,U1914="May",5,U1914="June",6,U1914="July",7,U1914="August",8,U1914="September",9,U1914="October",10,U1914="November",11,U1914="December",12)</f>
        <v>#N/A</v>
      </c>
    </row>
    <row r="1915" spans="1:23" ht="15.75" customHeight="1" x14ac:dyDescent="0.25">
      <c r="A1915" s="2" t="s">
        <v>813</v>
      </c>
      <c r="B1915" s="3">
        <v>45642.484791666669</v>
      </c>
      <c r="C1915" s="2" t="s">
        <v>311</v>
      </c>
      <c r="D1915" s="2" t="s">
        <v>116</v>
      </c>
      <c r="E1915" s="2" t="s">
        <v>93</v>
      </c>
      <c r="F1915" s="2" t="str" cm="1">
        <f t="array" ref="F1915:G1915">_xlfn.TEXTSPLIT(E1915," - ")</f>
        <v>Telur Ayam</v>
      </c>
      <c r="G1915" s="2" t="str">
        <v>Brand B</v>
      </c>
      <c r="H1915" s="5">
        <v>25000</v>
      </c>
      <c r="I1915" s="2">
        <v>5</v>
      </c>
      <c r="J1915" s="2">
        <v>0</v>
      </c>
      <c r="K1915" s="8">
        <f t="shared" si="174"/>
        <v>125000</v>
      </c>
      <c r="L1915" s="8">
        <f t="shared" si="175"/>
        <v>0</v>
      </c>
      <c r="M1915" s="8">
        <f t="shared" si="176"/>
        <v>125000</v>
      </c>
      <c r="N1915" s="5">
        <v>72000</v>
      </c>
      <c r="O1915" s="8">
        <f t="shared" si="177"/>
        <v>197000</v>
      </c>
      <c r="P1915" s="2" t="s">
        <v>22</v>
      </c>
      <c r="Q1915" s="10" t="str">
        <f>VLOOKUP(A1915,Status!A:B,2,0)</f>
        <v>Completed</v>
      </c>
      <c r="R1915" s="2" t="s">
        <v>23</v>
      </c>
      <c r="S1915" s="2">
        <v>5</v>
      </c>
      <c r="T1915" s="2" t="s">
        <v>24</v>
      </c>
      <c r="U1915" s="10" t="str">
        <f t="shared" si="179"/>
        <v>Dec</v>
      </c>
      <c r="V1915" s="10">
        <f t="shared" si="178"/>
        <v>2024</v>
      </c>
      <c r="W1915" t="e" cm="1">
        <f t="array" ref="W1915">_xlfn.IFS(U1915="January",1,U1915="February",2,U1915="March",3,U1915="April",4,U1915="May",5,U1915="June",6,U1915="July",7,U1915="August",8,U1915="September",9,U1915="October",10,U1915="November",11,U1915="December",12)</f>
        <v>#N/A</v>
      </c>
    </row>
    <row r="1916" spans="1:23" ht="15.75" customHeight="1" x14ac:dyDescent="0.25">
      <c r="A1916" s="2" t="s">
        <v>814</v>
      </c>
      <c r="B1916" s="3">
        <v>45642.491030092591</v>
      </c>
      <c r="C1916" s="2" t="s">
        <v>207</v>
      </c>
      <c r="D1916" s="2" t="s">
        <v>96</v>
      </c>
      <c r="E1916" s="2" t="s">
        <v>62</v>
      </c>
      <c r="F1916" s="2" t="str" cm="1">
        <f t="array" ref="F1916:G1916">_xlfn.TEXTSPLIT(E1916," - ")</f>
        <v>Susu Bubuk</v>
      </c>
      <c r="G1916" s="2" t="str">
        <v>Brand B</v>
      </c>
      <c r="H1916" s="5">
        <v>50000</v>
      </c>
      <c r="I1916" s="2">
        <v>3</v>
      </c>
      <c r="J1916" s="2">
        <v>5</v>
      </c>
      <c r="K1916" s="8">
        <f t="shared" si="174"/>
        <v>150000</v>
      </c>
      <c r="L1916" s="8">
        <f t="shared" si="175"/>
        <v>7500</v>
      </c>
      <c r="M1916" s="8">
        <f t="shared" si="176"/>
        <v>142500</v>
      </c>
      <c r="N1916" s="5">
        <v>49000</v>
      </c>
      <c r="O1916" s="8">
        <f t="shared" si="177"/>
        <v>191500</v>
      </c>
      <c r="P1916" s="2" t="s">
        <v>29</v>
      </c>
      <c r="Q1916" s="10" t="str">
        <f>VLOOKUP(A1916,Status!A:B,2,0)</f>
        <v>Completed</v>
      </c>
      <c r="R1916" s="2" t="s">
        <v>36</v>
      </c>
      <c r="S1916" s="2">
        <v>1</v>
      </c>
      <c r="T1916" s="2" t="s">
        <v>24</v>
      </c>
      <c r="U1916" s="10" t="str">
        <f t="shared" si="179"/>
        <v>Dec</v>
      </c>
      <c r="V1916" s="10">
        <f t="shared" si="178"/>
        <v>2024</v>
      </c>
      <c r="W1916" t="e" cm="1">
        <f t="array" ref="W1916">_xlfn.IFS(U1916="January",1,U1916="February",2,U1916="March",3,U1916="April",4,U1916="May",5,U1916="June",6,U1916="July",7,U1916="August",8,U1916="September",9,U1916="October",10,U1916="November",11,U1916="December",12)</f>
        <v>#N/A</v>
      </c>
    </row>
    <row r="1917" spans="1:23" ht="15.75" customHeight="1" x14ac:dyDescent="0.25">
      <c r="A1917" s="2" t="s">
        <v>815</v>
      </c>
      <c r="B1917" s="3">
        <v>45642.536064814813</v>
      </c>
      <c r="C1917" s="2" t="s">
        <v>162</v>
      </c>
      <c r="D1917" s="2" t="s">
        <v>163</v>
      </c>
      <c r="E1917" s="2" t="s">
        <v>50</v>
      </c>
      <c r="F1917" s="2" t="str" cm="1">
        <f t="array" ref="F1917:G1917">_xlfn.TEXTSPLIT(E1917," - ")</f>
        <v>Tepung Terigu</v>
      </c>
      <c r="G1917" s="2" t="str">
        <v>Brand C</v>
      </c>
      <c r="H1917" s="5">
        <v>14000</v>
      </c>
      <c r="I1917" s="2">
        <v>4</v>
      </c>
      <c r="J1917" s="2">
        <v>20</v>
      </c>
      <c r="K1917" s="8">
        <f t="shared" si="174"/>
        <v>56000</v>
      </c>
      <c r="L1917" s="8">
        <f t="shared" si="175"/>
        <v>11200</v>
      </c>
      <c r="M1917" s="8">
        <f t="shared" si="176"/>
        <v>44800</v>
      </c>
      <c r="N1917" s="5">
        <v>50000</v>
      </c>
      <c r="O1917" s="8">
        <f t="shared" si="177"/>
        <v>94800</v>
      </c>
      <c r="P1917" s="2" t="s">
        <v>29</v>
      </c>
      <c r="Q1917" s="10" t="str">
        <f>VLOOKUP(A1917,Status!A:B,2,0)</f>
        <v>Completed</v>
      </c>
      <c r="R1917" s="2" t="s">
        <v>82</v>
      </c>
      <c r="S1917" s="2">
        <v>2</v>
      </c>
      <c r="T1917" s="2" t="s">
        <v>24</v>
      </c>
      <c r="U1917" s="10" t="str">
        <f t="shared" si="179"/>
        <v>Dec</v>
      </c>
      <c r="V1917" s="10">
        <f t="shared" si="178"/>
        <v>2024</v>
      </c>
      <c r="W1917" t="e" cm="1">
        <f t="array" ref="W1917">_xlfn.IFS(U1917="January",1,U1917="February",2,U1917="March",3,U1917="April",4,U1917="May",5,U1917="June",6,U1917="July",7,U1917="August",8,U1917="September",9,U1917="October",10,U1917="November",11,U1917="December",12)</f>
        <v>#N/A</v>
      </c>
    </row>
    <row r="1918" spans="1:23" ht="15.75" customHeight="1" x14ac:dyDescent="0.25">
      <c r="A1918" s="2" t="s">
        <v>816</v>
      </c>
      <c r="B1918" s="3">
        <v>45642.787106481483</v>
      </c>
      <c r="C1918" s="2" t="s">
        <v>557</v>
      </c>
      <c r="D1918" s="2" t="s">
        <v>173</v>
      </c>
      <c r="E1918" s="2" t="s">
        <v>45</v>
      </c>
      <c r="F1918" s="2" t="str" cm="1">
        <f t="array" ref="F1918:G1918">_xlfn.TEXTSPLIT(E1918," - ")</f>
        <v>Daging Ayam</v>
      </c>
      <c r="G1918" s="2" t="str">
        <v>Brand B</v>
      </c>
      <c r="H1918" s="5">
        <v>40000</v>
      </c>
      <c r="I1918" s="2">
        <v>4</v>
      </c>
      <c r="J1918" s="2">
        <v>15</v>
      </c>
      <c r="K1918" s="8">
        <f t="shared" si="174"/>
        <v>160000</v>
      </c>
      <c r="L1918" s="8">
        <f t="shared" si="175"/>
        <v>24000</v>
      </c>
      <c r="M1918" s="8">
        <f t="shared" si="176"/>
        <v>136000</v>
      </c>
      <c r="N1918" s="5">
        <v>49000</v>
      </c>
      <c r="O1918" s="8">
        <f t="shared" si="177"/>
        <v>185000</v>
      </c>
      <c r="P1918" s="2" t="s">
        <v>29</v>
      </c>
      <c r="Q1918" s="10" t="str">
        <f>VLOOKUP(A1918,Status!A:B,2,0)</f>
        <v>Completed</v>
      </c>
      <c r="R1918" s="2" t="s">
        <v>36</v>
      </c>
      <c r="S1918" s="2">
        <v>2</v>
      </c>
      <c r="T1918" s="2" t="s">
        <v>24</v>
      </c>
      <c r="U1918" s="10" t="str">
        <f t="shared" si="179"/>
        <v>Dec</v>
      </c>
      <c r="V1918" s="10">
        <f t="shared" si="178"/>
        <v>2024</v>
      </c>
      <c r="W1918" t="e" cm="1">
        <f t="array" ref="W1918">_xlfn.IFS(U1918="January",1,U1918="February",2,U1918="March",3,U1918="April",4,U1918="May",5,U1918="June",6,U1918="July",7,U1918="August",8,U1918="September",9,U1918="October",10,U1918="November",11,U1918="December",12)</f>
        <v>#N/A</v>
      </c>
    </row>
    <row r="1919" spans="1:23" ht="15.75" customHeight="1" x14ac:dyDescent="0.25">
      <c r="A1919" s="2" t="s">
        <v>817</v>
      </c>
      <c r="B1919" s="3">
        <v>45643.473877314813</v>
      </c>
      <c r="C1919" s="2" t="s">
        <v>383</v>
      </c>
      <c r="D1919" s="2" t="s">
        <v>122</v>
      </c>
      <c r="E1919" s="2" t="s">
        <v>62</v>
      </c>
      <c r="F1919" s="2" t="str" cm="1">
        <f t="array" ref="F1919:G1919">_xlfn.TEXTSPLIT(E1919," - ")</f>
        <v>Susu Bubuk</v>
      </c>
      <c r="G1919" s="2" t="str">
        <v>Brand B</v>
      </c>
      <c r="H1919" s="5">
        <v>50000</v>
      </c>
      <c r="I1919" s="2">
        <v>4</v>
      </c>
      <c r="J1919" s="2">
        <v>15</v>
      </c>
      <c r="K1919" s="8">
        <f t="shared" si="174"/>
        <v>200000</v>
      </c>
      <c r="L1919" s="8">
        <f t="shared" si="175"/>
        <v>30000</v>
      </c>
      <c r="M1919" s="8">
        <f t="shared" si="176"/>
        <v>170000</v>
      </c>
      <c r="N1919" s="5">
        <v>78000</v>
      </c>
      <c r="O1919" s="8">
        <f t="shared" si="177"/>
        <v>248000</v>
      </c>
      <c r="P1919" s="2" t="s">
        <v>63</v>
      </c>
      <c r="Q1919" s="10" t="str">
        <f>VLOOKUP(A1919,Status!A:B,2,0)</f>
        <v>Completed</v>
      </c>
      <c r="R1919" s="2" t="s">
        <v>30</v>
      </c>
      <c r="S1919" s="2">
        <v>2</v>
      </c>
      <c r="T1919" s="2" t="s">
        <v>24</v>
      </c>
      <c r="U1919" s="10" t="str">
        <f t="shared" si="179"/>
        <v>Dec</v>
      </c>
      <c r="V1919" s="10">
        <f t="shared" si="178"/>
        <v>2024</v>
      </c>
      <c r="W1919" t="e" cm="1">
        <f t="array" ref="W1919">_xlfn.IFS(U1919="January",1,U1919="February",2,U1919="March",3,U1919="April",4,U1919="May",5,U1919="June",6,U1919="July",7,U1919="August",8,U1919="September",9,U1919="October",10,U1919="November",11,U1919="December",12)</f>
        <v>#N/A</v>
      </c>
    </row>
    <row r="1920" spans="1:23" ht="15.75" customHeight="1" x14ac:dyDescent="0.25">
      <c r="A1920" s="2" t="s">
        <v>818</v>
      </c>
      <c r="B1920" s="3">
        <v>45643.491828703707</v>
      </c>
      <c r="C1920" s="2" t="s">
        <v>819</v>
      </c>
      <c r="D1920" s="2" t="s">
        <v>126</v>
      </c>
      <c r="E1920" s="2" t="s">
        <v>88</v>
      </c>
      <c r="F1920" s="2" t="str" cm="1">
        <f t="array" ref="F1920:G1920">_xlfn.TEXTSPLIT(E1920," - ")</f>
        <v>Beras</v>
      </c>
      <c r="G1920" s="2" t="str">
        <v>Brand A</v>
      </c>
      <c r="H1920" s="5">
        <v>14000</v>
      </c>
      <c r="I1920" s="2">
        <v>4</v>
      </c>
      <c r="J1920" s="2">
        <v>10</v>
      </c>
      <c r="K1920" s="8">
        <f t="shared" si="174"/>
        <v>56000</v>
      </c>
      <c r="L1920" s="8">
        <f t="shared" si="175"/>
        <v>5600</v>
      </c>
      <c r="M1920" s="8">
        <f t="shared" si="176"/>
        <v>50400</v>
      </c>
      <c r="N1920" s="5">
        <v>84000</v>
      </c>
      <c r="O1920" s="8">
        <f t="shared" si="177"/>
        <v>134400</v>
      </c>
      <c r="P1920" s="2" t="s">
        <v>22</v>
      </c>
      <c r="Q1920" s="10" t="str">
        <f>VLOOKUP(A1920,Status!A:B,2,0)</f>
        <v>Completed</v>
      </c>
      <c r="R1920" s="2" t="s">
        <v>36</v>
      </c>
      <c r="S1920" s="2">
        <v>5</v>
      </c>
      <c r="T1920" s="2" t="s">
        <v>24</v>
      </c>
      <c r="U1920" s="10" t="str">
        <f t="shared" si="179"/>
        <v>Dec</v>
      </c>
      <c r="V1920" s="10">
        <f t="shared" si="178"/>
        <v>2024</v>
      </c>
      <c r="W1920" t="e" cm="1">
        <f t="array" ref="W1920">_xlfn.IFS(U1920="January",1,U1920="February",2,U1920="March",3,U1920="April",4,U1920="May",5,U1920="June",6,U1920="July",7,U1920="August",8,U1920="September",9,U1920="October",10,U1920="November",11,U1920="December",12)</f>
        <v>#N/A</v>
      </c>
    </row>
    <row r="1921" spans="1:23" ht="15.75" customHeight="1" x14ac:dyDescent="0.25">
      <c r="A1921" s="2" t="s">
        <v>820</v>
      </c>
      <c r="B1921" s="3">
        <v>45643.807789351849</v>
      </c>
      <c r="C1921" s="2" t="s">
        <v>821</v>
      </c>
      <c r="D1921" s="2" t="s">
        <v>131</v>
      </c>
      <c r="E1921" s="2" t="s">
        <v>136</v>
      </c>
      <c r="F1921" s="2" t="str" cm="1">
        <f t="array" ref="F1921:G1921">_xlfn.TEXTSPLIT(E1921," - ")</f>
        <v>Tepung Terigu</v>
      </c>
      <c r="G1921" s="2" t="str">
        <v>Brand B</v>
      </c>
      <c r="H1921" s="5">
        <v>12000</v>
      </c>
      <c r="I1921" s="2">
        <v>4</v>
      </c>
      <c r="J1921" s="2">
        <v>20</v>
      </c>
      <c r="K1921" s="8">
        <f t="shared" si="174"/>
        <v>48000</v>
      </c>
      <c r="L1921" s="8">
        <f t="shared" si="175"/>
        <v>9600</v>
      </c>
      <c r="M1921" s="8">
        <f t="shared" si="176"/>
        <v>38400</v>
      </c>
      <c r="N1921" s="5">
        <v>59000</v>
      </c>
      <c r="O1921" s="8">
        <f t="shared" si="177"/>
        <v>97400</v>
      </c>
      <c r="P1921" s="2" t="s">
        <v>63</v>
      </c>
      <c r="Q1921" s="10" t="str">
        <f>VLOOKUP(A1921,Status!A:B,2,0)</f>
        <v>Completed</v>
      </c>
      <c r="R1921" s="2" t="s">
        <v>23</v>
      </c>
      <c r="S1921" s="2">
        <v>1</v>
      </c>
      <c r="T1921" s="2" t="s">
        <v>24</v>
      </c>
      <c r="U1921" s="10" t="str">
        <f t="shared" si="179"/>
        <v>Dec</v>
      </c>
      <c r="V1921" s="10">
        <f t="shared" si="178"/>
        <v>2024</v>
      </c>
      <c r="W1921" t="e" cm="1">
        <f t="array" ref="W1921">_xlfn.IFS(U1921="January",1,U1921="February",2,U1921="March",3,U1921="April",4,U1921="May",5,U1921="June",6,U1921="July",7,U1921="August",8,U1921="September",9,U1921="October",10,U1921="November",11,U1921="December",12)</f>
        <v>#N/A</v>
      </c>
    </row>
    <row r="1922" spans="1:23" ht="15.75" customHeight="1" x14ac:dyDescent="0.25">
      <c r="A1922" s="2" t="s">
        <v>822</v>
      </c>
      <c r="B1922" s="3">
        <v>45643.960775462961</v>
      </c>
      <c r="C1922" s="2" t="s">
        <v>125</v>
      </c>
      <c r="D1922" s="2" t="s">
        <v>126</v>
      </c>
      <c r="E1922" s="2" t="s">
        <v>28</v>
      </c>
      <c r="F1922" s="2" t="str" cm="1">
        <f t="array" ref="F1922:G1922">_xlfn.TEXTSPLIT(E1922," - ")</f>
        <v>Garam</v>
      </c>
      <c r="G1922" s="2" t="str">
        <v>Brand B</v>
      </c>
      <c r="H1922" s="5">
        <v>5000</v>
      </c>
      <c r="I1922" s="2">
        <v>2</v>
      </c>
      <c r="J1922" s="2">
        <v>0</v>
      </c>
      <c r="K1922" s="8">
        <f t="shared" ref="K1922:K1985" si="180">H1922*I1922</f>
        <v>10000</v>
      </c>
      <c r="L1922" s="8">
        <f t="shared" ref="L1922:L1985" si="181">K1922*J1922%</f>
        <v>0</v>
      </c>
      <c r="M1922" s="8">
        <f t="shared" ref="M1922:M1985" si="182">K1922-L1922</f>
        <v>10000</v>
      </c>
      <c r="N1922" s="5">
        <v>84000</v>
      </c>
      <c r="O1922" s="8">
        <f t="shared" ref="O1922:O1985" si="183">M1922+N1922</f>
        <v>94000</v>
      </c>
      <c r="P1922" s="2" t="s">
        <v>29</v>
      </c>
      <c r="Q1922" s="10" t="str">
        <f>VLOOKUP(A1922,Status!A:B,2,0)</f>
        <v>Completed</v>
      </c>
      <c r="R1922" s="2" t="s">
        <v>82</v>
      </c>
      <c r="S1922" s="2">
        <v>4</v>
      </c>
      <c r="T1922" s="2" t="s">
        <v>24</v>
      </c>
      <c r="U1922" s="10" t="str">
        <f t="shared" si="179"/>
        <v>Dec</v>
      </c>
      <c r="V1922" s="10">
        <f t="shared" ref="V1922:V1985" si="184">YEAR(B1922)</f>
        <v>2024</v>
      </c>
      <c r="W1922" t="e" cm="1">
        <f t="array" ref="W1922">_xlfn.IFS(U1922="January",1,U1922="February",2,U1922="March",3,U1922="April",4,U1922="May",5,U1922="June",6,U1922="July",7,U1922="August",8,U1922="September",9,U1922="October",10,U1922="November",11,U1922="December",12)</f>
        <v>#N/A</v>
      </c>
    </row>
    <row r="1923" spans="1:23" ht="15.75" customHeight="1" x14ac:dyDescent="0.25">
      <c r="A1923" s="2" t="s">
        <v>823</v>
      </c>
      <c r="B1923" s="3">
        <v>45644.162418981483</v>
      </c>
      <c r="C1923" s="2" t="s">
        <v>323</v>
      </c>
      <c r="D1923" s="2" t="s">
        <v>103</v>
      </c>
      <c r="E1923" s="2" t="s">
        <v>58</v>
      </c>
      <c r="F1923" s="2" t="str" cm="1">
        <f t="array" ref="F1923:G1923">_xlfn.TEXTSPLIT(E1923," - ")</f>
        <v>Gula Pasir</v>
      </c>
      <c r="G1923" s="2" t="str">
        <v>Brand A</v>
      </c>
      <c r="H1923" s="5">
        <v>16000</v>
      </c>
      <c r="I1923" s="2">
        <v>3</v>
      </c>
      <c r="J1923" s="2">
        <v>10</v>
      </c>
      <c r="K1923" s="8">
        <f t="shared" si="180"/>
        <v>48000</v>
      </c>
      <c r="L1923" s="8">
        <f t="shared" si="181"/>
        <v>4800</v>
      </c>
      <c r="M1923" s="8">
        <f t="shared" si="182"/>
        <v>43200</v>
      </c>
      <c r="N1923" s="5">
        <v>85000</v>
      </c>
      <c r="O1923" s="8">
        <f t="shared" si="183"/>
        <v>128200</v>
      </c>
      <c r="P1923" s="2" t="s">
        <v>35</v>
      </c>
      <c r="Q1923" s="10" t="str">
        <f>VLOOKUP(A1923,Status!A:B,2,0)</f>
        <v>Completed</v>
      </c>
      <c r="R1923" s="2" t="s">
        <v>46</v>
      </c>
      <c r="S1923" s="2">
        <v>1</v>
      </c>
      <c r="T1923" s="2" t="s">
        <v>24</v>
      </c>
      <c r="U1923" s="10" t="str">
        <f t="shared" ref="U1923:U1986" si="185">TEXT(B1923,"MMM")</f>
        <v>Dec</v>
      </c>
      <c r="V1923" s="10">
        <f t="shared" si="184"/>
        <v>2024</v>
      </c>
      <c r="W1923" t="e" cm="1">
        <f t="array" ref="W1923">_xlfn.IFS(U1923="January",1,U1923="February",2,U1923="March",3,U1923="April",4,U1923="May",5,U1923="June",6,U1923="July",7,U1923="August",8,U1923="September",9,U1923="October",10,U1923="November",11,U1923="December",12)</f>
        <v>#N/A</v>
      </c>
    </row>
    <row r="1924" spans="1:23" ht="15.75" customHeight="1" x14ac:dyDescent="0.25">
      <c r="A1924" s="2" t="s">
        <v>823</v>
      </c>
      <c r="B1924" s="3">
        <v>45644.162418981483</v>
      </c>
      <c r="C1924" s="2" t="s">
        <v>323</v>
      </c>
      <c r="D1924" s="2" t="s">
        <v>103</v>
      </c>
      <c r="E1924" s="2" t="s">
        <v>138</v>
      </c>
      <c r="F1924" s="2" t="str" cm="1">
        <f t="array" ref="F1924:G1924">_xlfn.TEXTSPLIT(E1924," - ")</f>
        <v>Gula Pasir</v>
      </c>
      <c r="G1924" s="2" t="str">
        <v>Brand B</v>
      </c>
      <c r="H1924" s="5">
        <v>17000</v>
      </c>
      <c r="I1924" s="2">
        <v>4</v>
      </c>
      <c r="J1924" s="2">
        <v>5</v>
      </c>
      <c r="K1924" s="8">
        <f t="shared" si="180"/>
        <v>68000</v>
      </c>
      <c r="L1924" s="8">
        <f t="shared" si="181"/>
        <v>3400</v>
      </c>
      <c r="M1924" s="8">
        <f t="shared" si="182"/>
        <v>64600</v>
      </c>
      <c r="N1924" s="5">
        <v>0</v>
      </c>
      <c r="O1924" s="8">
        <f t="shared" si="183"/>
        <v>64600</v>
      </c>
      <c r="P1924" s="2" t="s">
        <v>35</v>
      </c>
      <c r="Q1924" s="10" t="str">
        <f>VLOOKUP(A1924,Status!A:B,2,0)</f>
        <v>Completed</v>
      </c>
      <c r="R1924" s="2" t="s">
        <v>46</v>
      </c>
      <c r="S1924" s="2">
        <v>1</v>
      </c>
      <c r="T1924" s="2" t="s">
        <v>24</v>
      </c>
      <c r="U1924" s="10" t="str">
        <f t="shared" si="185"/>
        <v>Dec</v>
      </c>
      <c r="V1924" s="10">
        <f t="shared" si="184"/>
        <v>2024</v>
      </c>
      <c r="W1924" t="e" cm="1">
        <f t="array" ref="W1924">_xlfn.IFS(U1924="January",1,U1924="February",2,U1924="March",3,U1924="April",4,U1924="May",5,U1924="June",6,U1924="July",7,U1924="August",8,U1924="September",9,U1924="October",10,U1924="November",11,U1924="December",12)</f>
        <v>#N/A</v>
      </c>
    </row>
    <row r="1925" spans="1:23" ht="15.75" customHeight="1" x14ac:dyDescent="0.25">
      <c r="A1925" s="2" t="s">
        <v>824</v>
      </c>
      <c r="B1925" s="3">
        <v>45645.030231481483</v>
      </c>
      <c r="C1925" s="2" t="s">
        <v>547</v>
      </c>
      <c r="D1925" s="2" t="s">
        <v>119</v>
      </c>
      <c r="E1925" s="2" t="s">
        <v>123</v>
      </c>
      <c r="F1925" s="2" t="str" cm="1">
        <f t="array" ref="F1925:G1925">_xlfn.TEXTSPLIT(E1925," - ")</f>
        <v>Telur Ayam</v>
      </c>
      <c r="G1925" s="2" t="str">
        <v>Brand A</v>
      </c>
      <c r="H1925" s="5">
        <v>22000</v>
      </c>
      <c r="I1925" s="2">
        <v>1</v>
      </c>
      <c r="J1925" s="2">
        <v>20</v>
      </c>
      <c r="K1925" s="8">
        <f t="shared" si="180"/>
        <v>22000</v>
      </c>
      <c r="L1925" s="8">
        <f t="shared" si="181"/>
        <v>4400</v>
      </c>
      <c r="M1925" s="8">
        <f t="shared" si="182"/>
        <v>17600</v>
      </c>
      <c r="N1925" s="5">
        <v>0</v>
      </c>
      <c r="O1925" s="8">
        <f t="shared" si="183"/>
        <v>17600</v>
      </c>
      <c r="P1925" s="2" t="s">
        <v>35</v>
      </c>
      <c r="Q1925" s="10" t="str">
        <f>VLOOKUP(A1925,Status!A:B,2,0)</f>
        <v>Completed</v>
      </c>
      <c r="R1925" s="2" t="s">
        <v>46</v>
      </c>
      <c r="S1925" s="2">
        <v>1</v>
      </c>
      <c r="T1925" s="2" t="s">
        <v>37</v>
      </c>
      <c r="U1925" s="10" t="str">
        <f t="shared" si="185"/>
        <v>Dec</v>
      </c>
      <c r="V1925" s="10">
        <f t="shared" si="184"/>
        <v>2024</v>
      </c>
      <c r="W1925" t="e" cm="1">
        <f t="array" ref="W1925">_xlfn.IFS(U1925="January",1,U1925="February",2,U1925="March",3,U1925="April",4,U1925="May",5,U1925="June",6,U1925="July",7,U1925="August",8,U1925="September",9,U1925="October",10,U1925="November",11,U1925="December",12)</f>
        <v>#N/A</v>
      </c>
    </row>
    <row r="1926" spans="1:23" ht="15.75" customHeight="1" x14ac:dyDescent="0.25">
      <c r="A1926" s="2" t="s">
        <v>825</v>
      </c>
      <c r="B1926" s="3">
        <v>45645.036539351851</v>
      </c>
      <c r="C1926" s="2" t="s">
        <v>381</v>
      </c>
      <c r="D1926" s="2" t="s">
        <v>103</v>
      </c>
      <c r="E1926" s="2" t="s">
        <v>144</v>
      </c>
      <c r="F1926" s="2" t="str" cm="1">
        <f t="array" ref="F1926:G1926">_xlfn.TEXTSPLIT(E1926," - ")</f>
        <v>Gula Pasir</v>
      </c>
      <c r="G1926" s="2" t="str">
        <v>Brand C</v>
      </c>
      <c r="H1926" s="5">
        <v>18000</v>
      </c>
      <c r="I1926" s="2">
        <v>5</v>
      </c>
      <c r="J1926" s="2">
        <v>5</v>
      </c>
      <c r="K1926" s="8">
        <f t="shared" si="180"/>
        <v>90000</v>
      </c>
      <c r="L1926" s="8">
        <f t="shared" si="181"/>
        <v>4500</v>
      </c>
      <c r="M1926" s="8">
        <f t="shared" si="182"/>
        <v>85500</v>
      </c>
      <c r="N1926" s="5">
        <v>85000</v>
      </c>
      <c r="O1926" s="8">
        <f t="shared" si="183"/>
        <v>170500</v>
      </c>
      <c r="P1926" s="2" t="s">
        <v>63</v>
      </c>
      <c r="Q1926" s="10" t="str">
        <f>VLOOKUP(A1926,Status!A:B,2,0)</f>
        <v>Returned</v>
      </c>
      <c r="R1926" s="2" t="s">
        <v>36</v>
      </c>
      <c r="S1926" s="2">
        <v>5</v>
      </c>
      <c r="T1926" s="2" t="s">
        <v>24</v>
      </c>
      <c r="U1926" s="10" t="str">
        <f t="shared" si="185"/>
        <v>Dec</v>
      </c>
      <c r="V1926" s="10">
        <f t="shared" si="184"/>
        <v>2024</v>
      </c>
      <c r="W1926" t="e" cm="1">
        <f t="array" ref="W1926">_xlfn.IFS(U1926="January",1,U1926="February",2,U1926="March",3,U1926="April",4,U1926="May",5,U1926="June",6,U1926="July",7,U1926="August",8,U1926="September",9,U1926="October",10,U1926="November",11,U1926="December",12)</f>
        <v>#N/A</v>
      </c>
    </row>
    <row r="1927" spans="1:23" ht="15.75" customHeight="1" x14ac:dyDescent="0.25">
      <c r="A1927" s="2" t="s">
        <v>826</v>
      </c>
      <c r="B1927" s="3">
        <v>45645.045162037037</v>
      </c>
      <c r="C1927" s="2" t="s">
        <v>827</v>
      </c>
      <c r="D1927" s="2" t="s">
        <v>20</v>
      </c>
      <c r="E1927" s="2" t="s">
        <v>186</v>
      </c>
      <c r="F1927" s="2" t="str" cm="1">
        <f t="array" ref="F1927:G1927">_xlfn.TEXTSPLIT(E1927," - ")</f>
        <v>Susu Bubuk</v>
      </c>
      <c r="G1927" s="2" t="str">
        <v>Brand A</v>
      </c>
      <c r="H1927" s="5">
        <v>45000</v>
      </c>
      <c r="I1927" s="2">
        <v>1</v>
      </c>
      <c r="J1927" s="2">
        <v>20</v>
      </c>
      <c r="K1927" s="8">
        <f t="shared" si="180"/>
        <v>45000</v>
      </c>
      <c r="L1927" s="8">
        <f t="shared" si="181"/>
        <v>9000</v>
      </c>
      <c r="M1927" s="8">
        <f t="shared" si="182"/>
        <v>36000</v>
      </c>
      <c r="N1927" s="5">
        <v>15000</v>
      </c>
      <c r="O1927" s="8">
        <f t="shared" si="183"/>
        <v>51000</v>
      </c>
      <c r="P1927" s="2" t="s">
        <v>63</v>
      </c>
      <c r="Q1927" s="10" t="str">
        <f>VLOOKUP(A1927,Status!A:B,2,0)</f>
        <v>Completed</v>
      </c>
      <c r="R1927" s="2" t="s">
        <v>82</v>
      </c>
      <c r="S1927" s="2">
        <v>1</v>
      </c>
      <c r="T1927" s="2" t="s">
        <v>24</v>
      </c>
      <c r="U1927" s="10" t="str">
        <f t="shared" si="185"/>
        <v>Dec</v>
      </c>
      <c r="V1927" s="10">
        <f t="shared" si="184"/>
        <v>2024</v>
      </c>
      <c r="W1927" t="e" cm="1">
        <f t="array" ref="W1927">_xlfn.IFS(U1927="January",1,U1927="February",2,U1927="March",3,U1927="April",4,U1927="May",5,U1927="June",6,U1927="July",7,U1927="August",8,U1927="September",9,U1927="October",10,U1927="November",11,U1927="December",12)</f>
        <v>#N/A</v>
      </c>
    </row>
    <row r="1928" spans="1:23" ht="15.75" customHeight="1" x14ac:dyDescent="0.25">
      <c r="A1928" s="2" t="s">
        <v>828</v>
      </c>
      <c r="B1928" s="3">
        <v>45645.126064814824</v>
      </c>
      <c r="C1928" s="2" t="s">
        <v>79</v>
      </c>
      <c r="D1928" s="2" t="s">
        <v>80</v>
      </c>
      <c r="E1928" s="2" t="s">
        <v>38</v>
      </c>
      <c r="F1928" s="2" t="str" cm="1">
        <f t="array" ref="F1928:G1928">_xlfn.TEXTSPLIT(E1928," - ")</f>
        <v>Telur Ayam</v>
      </c>
      <c r="G1928" s="2" t="str">
        <v>Brand C</v>
      </c>
      <c r="H1928" s="5">
        <v>28000</v>
      </c>
      <c r="I1928" s="2">
        <v>3</v>
      </c>
      <c r="J1928" s="2">
        <v>15</v>
      </c>
      <c r="K1928" s="8">
        <f t="shared" si="180"/>
        <v>84000</v>
      </c>
      <c r="L1928" s="8">
        <f t="shared" si="181"/>
        <v>12600</v>
      </c>
      <c r="M1928" s="8">
        <f t="shared" si="182"/>
        <v>71400</v>
      </c>
      <c r="N1928" s="5">
        <v>74000</v>
      </c>
      <c r="O1928" s="8">
        <f t="shared" si="183"/>
        <v>145400</v>
      </c>
      <c r="P1928" s="2" t="s">
        <v>22</v>
      </c>
      <c r="Q1928" s="10" t="str">
        <f>VLOOKUP(A1928,Status!A:B,2,0)</f>
        <v>Returned</v>
      </c>
      <c r="R1928" s="2" t="s">
        <v>82</v>
      </c>
      <c r="S1928" s="2">
        <v>5</v>
      </c>
      <c r="T1928" s="2" t="s">
        <v>24</v>
      </c>
      <c r="U1928" s="10" t="str">
        <f t="shared" si="185"/>
        <v>Dec</v>
      </c>
      <c r="V1928" s="10">
        <f t="shared" si="184"/>
        <v>2024</v>
      </c>
      <c r="W1928" t="e" cm="1">
        <f t="array" ref="W1928">_xlfn.IFS(U1928="January",1,U1928="February",2,U1928="March",3,U1928="April",4,U1928="May",5,U1928="June",6,U1928="July",7,U1928="August",8,U1928="September",9,U1928="October",10,U1928="November",11,U1928="December",12)</f>
        <v>#N/A</v>
      </c>
    </row>
    <row r="1929" spans="1:23" ht="15.75" customHeight="1" x14ac:dyDescent="0.25">
      <c r="A1929" s="2" t="s">
        <v>828</v>
      </c>
      <c r="B1929" s="3">
        <v>45645.126064814824</v>
      </c>
      <c r="C1929" s="2" t="s">
        <v>79</v>
      </c>
      <c r="D1929" s="2" t="s">
        <v>80</v>
      </c>
      <c r="E1929" s="2" t="s">
        <v>67</v>
      </c>
      <c r="F1929" s="2" t="str" cm="1">
        <f t="array" ref="F1929:G1929">_xlfn.TEXTSPLIT(E1929," - ")</f>
        <v>Beras</v>
      </c>
      <c r="G1929" s="2" t="str">
        <v>Brand B</v>
      </c>
      <c r="H1929" s="5">
        <v>15000</v>
      </c>
      <c r="I1929" s="2">
        <v>4</v>
      </c>
      <c r="J1929" s="2">
        <v>15</v>
      </c>
      <c r="K1929" s="8">
        <f t="shared" si="180"/>
        <v>60000</v>
      </c>
      <c r="L1929" s="8">
        <f t="shared" si="181"/>
        <v>9000</v>
      </c>
      <c r="M1929" s="8">
        <f t="shared" si="182"/>
        <v>51000</v>
      </c>
      <c r="N1929" s="5">
        <v>0</v>
      </c>
      <c r="O1929" s="8">
        <f t="shared" si="183"/>
        <v>51000</v>
      </c>
      <c r="P1929" s="2" t="s">
        <v>22</v>
      </c>
      <c r="Q1929" s="10" t="str">
        <f>VLOOKUP(A1929,Status!A:B,2,0)</f>
        <v>Returned</v>
      </c>
      <c r="R1929" s="2" t="s">
        <v>82</v>
      </c>
      <c r="S1929" s="2">
        <v>5</v>
      </c>
      <c r="T1929" s="2" t="s">
        <v>24</v>
      </c>
      <c r="U1929" s="10" t="str">
        <f t="shared" si="185"/>
        <v>Dec</v>
      </c>
      <c r="V1929" s="10">
        <f t="shared" si="184"/>
        <v>2024</v>
      </c>
      <c r="W1929" t="e" cm="1">
        <f t="array" ref="W1929">_xlfn.IFS(U1929="January",1,U1929="February",2,U1929="March",3,U1929="April",4,U1929="May",5,U1929="June",6,U1929="July",7,U1929="August",8,U1929="September",9,U1929="October",10,U1929="November",11,U1929="December",12)</f>
        <v>#N/A</v>
      </c>
    </row>
    <row r="1930" spans="1:23" ht="15.75" customHeight="1" x14ac:dyDescent="0.25">
      <c r="A1930" s="2" t="s">
        <v>829</v>
      </c>
      <c r="B1930" s="3">
        <v>45645.420300925929</v>
      </c>
      <c r="C1930" s="2" t="s">
        <v>794</v>
      </c>
      <c r="D1930" s="2" t="s">
        <v>61</v>
      </c>
      <c r="E1930" s="2" t="s">
        <v>138</v>
      </c>
      <c r="F1930" s="2" t="str" cm="1">
        <f t="array" ref="F1930:G1930">_xlfn.TEXTSPLIT(E1930," - ")</f>
        <v>Gula Pasir</v>
      </c>
      <c r="G1930" s="2" t="str">
        <v>Brand B</v>
      </c>
      <c r="H1930" s="5">
        <v>17000</v>
      </c>
      <c r="I1930" s="2">
        <v>1</v>
      </c>
      <c r="J1930" s="2">
        <v>20</v>
      </c>
      <c r="K1930" s="8">
        <f t="shared" si="180"/>
        <v>17000</v>
      </c>
      <c r="L1930" s="8">
        <f t="shared" si="181"/>
        <v>3400</v>
      </c>
      <c r="M1930" s="8">
        <f t="shared" si="182"/>
        <v>13600</v>
      </c>
      <c r="N1930" s="5">
        <v>26000</v>
      </c>
      <c r="O1930" s="8">
        <f t="shared" si="183"/>
        <v>39600</v>
      </c>
      <c r="P1930" s="2" t="s">
        <v>22</v>
      </c>
      <c r="Q1930" s="10" t="str">
        <f>VLOOKUP(A1930,Status!A:B,2,0)</f>
        <v>Returned</v>
      </c>
      <c r="R1930" s="2" t="s">
        <v>23</v>
      </c>
      <c r="S1930" s="2">
        <v>4</v>
      </c>
      <c r="T1930" s="2" t="s">
        <v>37</v>
      </c>
      <c r="U1930" s="10" t="str">
        <f t="shared" si="185"/>
        <v>Dec</v>
      </c>
      <c r="V1930" s="10">
        <f t="shared" si="184"/>
        <v>2024</v>
      </c>
      <c r="W1930" t="e" cm="1">
        <f t="array" ref="W1930">_xlfn.IFS(U1930="January",1,U1930="February",2,U1930="March",3,U1930="April",4,U1930="May",5,U1930="June",6,U1930="July",7,U1930="August",8,U1930="September",9,U1930="October",10,U1930="November",11,U1930="December",12)</f>
        <v>#N/A</v>
      </c>
    </row>
    <row r="1931" spans="1:23" ht="15.75" customHeight="1" x14ac:dyDescent="0.25">
      <c r="A1931" s="2" t="s">
        <v>830</v>
      </c>
      <c r="B1931" s="3">
        <v>45645.752430555563</v>
      </c>
      <c r="C1931" s="2" t="s">
        <v>741</v>
      </c>
      <c r="D1931" s="2" t="s">
        <v>189</v>
      </c>
      <c r="E1931" s="2" t="s">
        <v>81</v>
      </c>
      <c r="F1931" s="2" t="str" cm="1">
        <f t="array" ref="F1931:G1931">_xlfn.TEXTSPLIT(E1931," - ")</f>
        <v>Minyak Goreng</v>
      </c>
      <c r="G1931" s="2" t="str">
        <v>Brand B</v>
      </c>
      <c r="H1931" s="5">
        <v>17000</v>
      </c>
      <c r="I1931" s="2">
        <v>3</v>
      </c>
      <c r="J1931" s="2">
        <v>5</v>
      </c>
      <c r="K1931" s="8">
        <f t="shared" si="180"/>
        <v>51000</v>
      </c>
      <c r="L1931" s="8">
        <f t="shared" si="181"/>
        <v>2550</v>
      </c>
      <c r="M1931" s="8">
        <f t="shared" si="182"/>
        <v>48450</v>
      </c>
      <c r="N1931" s="5">
        <v>57000</v>
      </c>
      <c r="O1931" s="8">
        <f t="shared" si="183"/>
        <v>105450</v>
      </c>
      <c r="P1931" s="2" t="s">
        <v>63</v>
      </c>
      <c r="Q1931" s="10" t="str">
        <f>VLOOKUP(A1931,Status!A:B,2,0)</f>
        <v>Completed</v>
      </c>
      <c r="R1931" s="2" t="s">
        <v>46</v>
      </c>
      <c r="S1931" s="2">
        <v>1</v>
      </c>
      <c r="T1931" s="2" t="s">
        <v>24</v>
      </c>
      <c r="U1931" s="10" t="str">
        <f t="shared" si="185"/>
        <v>Dec</v>
      </c>
      <c r="V1931" s="10">
        <f t="shared" si="184"/>
        <v>2024</v>
      </c>
      <c r="W1931" t="e" cm="1">
        <f t="array" ref="W1931">_xlfn.IFS(U1931="January",1,U1931="February",2,U1931="March",3,U1931="April",4,U1931="May",5,U1931="June",6,U1931="July",7,U1931="August",8,U1931="September",9,U1931="October",10,U1931="November",11,U1931="December",12)</f>
        <v>#N/A</v>
      </c>
    </row>
    <row r="1932" spans="1:23" ht="15.75" customHeight="1" x14ac:dyDescent="0.25">
      <c r="A1932" s="2" t="s">
        <v>831</v>
      </c>
      <c r="B1932" s="3">
        <v>45645.80196759259</v>
      </c>
      <c r="C1932" s="2" t="s">
        <v>832</v>
      </c>
      <c r="D1932" s="2" t="s">
        <v>131</v>
      </c>
      <c r="E1932" s="2" t="s">
        <v>81</v>
      </c>
      <c r="F1932" s="2" t="str" cm="1">
        <f t="array" ref="F1932:G1932">_xlfn.TEXTSPLIT(E1932," - ")</f>
        <v>Minyak Goreng</v>
      </c>
      <c r="G1932" s="2" t="str">
        <v>Brand B</v>
      </c>
      <c r="H1932" s="5">
        <v>17000</v>
      </c>
      <c r="I1932" s="2">
        <v>3</v>
      </c>
      <c r="J1932" s="2">
        <v>5</v>
      </c>
      <c r="K1932" s="8">
        <f t="shared" si="180"/>
        <v>51000</v>
      </c>
      <c r="L1932" s="8">
        <f t="shared" si="181"/>
        <v>2550</v>
      </c>
      <c r="M1932" s="8">
        <f t="shared" si="182"/>
        <v>48450</v>
      </c>
      <c r="N1932" s="5">
        <v>59000</v>
      </c>
      <c r="O1932" s="8">
        <f t="shared" si="183"/>
        <v>107450</v>
      </c>
      <c r="P1932" s="2" t="s">
        <v>63</v>
      </c>
      <c r="Q1932" s="10" t="str">
        <f>VLOOKUP(A1932,Status!A:B,2,0)</f>
        <v>Completed</v>
      </c>
      <c r="R1932" s="2" t="s">
        <v>23</v>
      </c>
      <c r="S1932" s="2">
        <v>4</v>
      </c>
      <c r="T1932" s="2" t="s">
        <v>24</v>
      </c>
      <c r="U1932" s="10" t="str">
        <f t="shared" si="185"/>
        <v>Dec</v>
      </c>
      <c r="V1932" s="10">
        <f t="shared" si="184"/>
        <v>2024</v>
      </c>
      <c r="W1932" t="e" cm="1">
        <f t="array" ref="W1932">_xlfn.IFS(U1932="January",1,U1932="February",2,U1932="March",3,U1932="April",4,U1932="May",5,U1932="June",6,U1932="July",7,U1932="August",8,U1932="September",9,U1932="October",10,U1932="November",11,U1932="December",12)</f>
        <v>#N/A</v>
      </c>
    </row>
    <row r="1933" spans="1:23" ht="15.75" customHeight="1" x14ac:dyDescent="0.25">
      <c r="A1933" s="2" t="s">
        <v>833</v>
      </c>
      <c r="B1933" s="3">
        <v>45645.90215277778</v>
      </c>
      <c r="C1933" s="2" t="s">
        <v>834</v>
      </c>
      <c r="D1933" s="2" t="s">
        <v>177</v>
      </c>
      <c r="E1933" s="2" t="s">
        <v>186</v>
      </c>
      <c r="F1933" s="2" t="str" cm="1">
        <f t="array" ref="F1933:G1933">_xlfn.TEXTSPLIT(E1933," - ")</f>
        <v>Susu Bubuk</v>
      </c>
      <c r="G1933" s="2" t="str">
        <v>Brand A</v>
      </c>
      <c r="H1933" s="5">
        <v>45000</v>
      </c>
      <c r="I1933" s="2">
        <v>1</v>
      </c>
      <c r="J1933" s="2">
        <v>10</v>
      </c>
      <c r="K1933" s="8">
        <f t="shared" si="180"/>
        <v>45000</v>
      </c>
      <c r="L1933" s="8">
        <f t="shared" si="181"/>
        <v>4500</v>
      </c>
      <c r="M1933" s="8">
        <f t="shared" si="182"/>
        <v>40500</v>
      </c>
      <c r="N1933" s="5">
        <v>56000</v>
      </c>
      <c r="O1933" s="8">
        <f t="shared" si="183"/>
        <v>96500</v>
      </c>
      <c r="P1933" s="2" t="s">
        <v>35</v>
      </c>
      <c r="Q1933" s="10" t="str">
        <f>VLOOKUP(A1933,Status!A:B,2,0)</f>
        <v>Completed</v>
      </c>
      <c r="R1933" s="2" t="s">
        <v>30</v>
      </c>
      <c r="S1933" s="2">
        <v>5</v>
      </c>
      <c r="T1933" s="2" t="s">
        <v>37</v>
      </c>
      <c r="U1933" s="10" t="str">
        <f t="shared" si="185"/>
        <v>Dec</v>
      </c>
      <c r="V1933" s="10">
        <f t="shared" si="184"/>
        <v>2024</v>
      </c>
      <c r="W1933" t="e" cm="1">
        <f t="array" ref="W1933">_xlfn.IFS(U1933="January",1,U1933="February",2,U1933="March",3,U1933="April",4,U1933="May",5,U1933="June",6,U1933="July",7,U1933="August",8,U1933="September",9,U1933="October",10,U1933="November",11,U1933="December",12)</f>
        <v>#N/A</v>
      </c>
    </row>
    <row r="1934" spans="1:23" ht="15.75" customHeight="1" x14ac:dyDescent="0.25">
      <c r="A1934" s="2" t="s">
        <v>835</v>
      </c>
      <c r="B1934" s="3">
        <v>45646.222916666673</v>
      </c>
      <c r="C1934" s="2" t="s">
        <v>836</v>
      </c>
      <c r="D1934" s="2" t="s">
        <v>33</v>
      </c>
      <c r="E1934" s="2" t="s">
        <v>71</v>
      </c>
      <c r="F1934" s="2" t="str" cm="1">
        <f t="array" ref="F1934:G1934">_xlfn.TEXTSPLIT(E1934," - ")</f>
        <v>Bawang Merah</v>
      </c>
      <c r="G1934" s="2" t="str">
        <v>Brand C</v>
      </c>
      <c r="H1934" s="5">
        <v>40000</v>
      </c>
      <c r="I1934" s="2">
        <v>2</v>
      </c>
      <c r="J1934" s="2">
        <v>5</v>
      </c>
      <c r="K1934" s="8">
        <f t="shared" si="180"/>
        <v>80000</v>
      </c>
      <c r="L1934" s="8">
        <f t="shared" si="181"/>
        <v>4000</v>
      </c>
      <c r="M1934" s="8">
        <f t="shared" si="182"/>
        <v>76000</v>
      </c>
      <c r="N1934" s="5">
        <v>76000</v>
      </c>
      <c r="O1934" s="8">
        <f t="shared" si="183"/>
        <v>152000</v>
      </c>
      <c r="P1934" s="2" t="s">
        <v>22</v>
      </c>
      <c r="Q1934" s="10" t="str">
        <f>VLOOKUP(A1934,Status!A:B,2,0)</f>
        <v>Returned</v>
      </c>
      <c r="R1934" s="2" t="s">
        <v>36</v>
      </c>
      <c r="S1934" s="2">
        <v>2</v>
      </c>
      <c r="T1934" s="2" t="s">
        <v>37</v>
      </c>
      <c r="U1934" s="10" t="str">
        <f t="shared" si="185"/>
        <v>Dec</v>
      </c>
      <c r="V1934" s="10">
        <f t="shared" si="184"/>
        <v>2024</v>
      </c>
      <c r="W1934" t="e" cm="1">
        <f t="array" ref="W1934">_xlfn.IFS(U1934="January",1,U1934="February",2,U1934="March",3,U1934="April",4,U1934="May",5,U1934="June",6,U1934="July",7,U1934="August",8,U1934="September",9,U1934="October",10,U1934="November",11,U1934="December",12)</f>
        <v>#N/A</v>
      </c>
    </row>
    <row r="1935" spans="1:23" ht="15.75" customHeight="1" x14ac:dyDescent="0.25">
      <c r="A1935" s="2" t="s">
        <v>837</v>
      </c>
      <c r="B1935" s="3">
        <v>45646.841527777768</v>
      </c>
      <c r="C1935" s="2" t="s">
        <v>697</v>
      </c>
      <c r="D1935" s="2" t="s">
        <v>143</v>
      </c>
      <c r="E1935" s="2" t="s">
        <v>250</v>
      </c>
      <c r="F1935" s="2" t="str" cm="1">
        <f t="array" ref="F1935:G1935">_xlfn.TEXTSPLIT(E1935," - ")</f>
        <v>Minyak Goreng</v>
      </c>
      <c r="G1935" s="2" t="str">
        <v>Brand C</v>
      </c>
      <c r="H1935" s="5">
        <v>18000</v>
      </c>
      <c r="I1935" s="2">
        <v>4</v>
      </c>
      <c r="J1935" s="2">
        <v>20</v>
      </c>
      <c r="K1935" s="8">
        <f t="shared" si="180"/>
        <v>72000</v>
      </c>
      <c r="L1935" s="8">
        <f t="shared" si="181"/>
        <v>14400</v>
      </c>
      <c r="M1935" s="8">
        <f t="shared" si="182"/>
        <v>57600</v>
      </c>
      <c r="N1935" s="5">
        <v>50000</v>
      </c>
      <c r="O1935" s="8">
        <f t="shared" si="183"/>
        <v>107600</v>
      </c>
      <c r="P1935" s="2" t="s">
        <v>22</v>
      </c>
      <c r="Q1935" s="10" t="str">
        <f>VLOOKUP(A1935,Status!A:B,2,0)</f>
        <v>Completed</v>
      </c>
      <c r="R1935" s="2" t="s">
        <v>23</v>
      </c>
      <c r="S1935" s="2">
        <v>2</v>
      </c>
      <c r="T1935" s="2" t="s">
        <v>37</v>
      </c>
      <c r="U1935" s="10" t="str">
        <f t="shared" si="185"/>
        <v>Dec</v>
      </c>
      <c r="V1935" s="10">
        <f t="shared" si="184"/>
        <v>2024</v>
      </c>
      <c r="W1935" t="e" cm="1">
        <f t="array" ref="W1935">_xlfn.IFS(U1935="January",1,U1935="February",2,U1935="March",3,U1935="April",4,U1935="May",5,U1935="June",6,U1935="July",7,U1935="August",8,U1935="September",9,U1935="October",10,U1935="November",11,U1935="December",12)</f>
        <v>#N/A</v>
      </c>
    </row>
    <row r="1936" spans="1:23" ht="15.75" customHeight="1" x14ac:dyDescent="0.25">
      <c r="A1936" s="2" t="s">
        <v>838</v>
      </c>
      <c r="B1936" s="3">
        <v>45647.412569444437</v>
      </c>
      <c r="C1936" s="2" t="s">
        <v>287</v>
      </c>
      <c r="D1936" s="2" t="s">
        <v>262</v>
      </c>
      <c r="E1936" s="2" t="s">
        <v>38</v>
      </c>
      <c r="F1936" s="2" t="str" cm="1">
        <f t="array" ref="F1936:G1936">_xlfn.TEXTSPLIT(E1936," - ")</f>
        <v>Telur Ayam</v>
      </c>
      <c r="G1936" s="2" t="str">
        <v>Brand C</v>
      </c>
      <c r="H1936" s="5">
        <v>28000</v>
      </c>
      <c r="I1936" s="2">
        <v>3</v>
      </c>
      <c r="J1936" s="2">
        <v>0</v>
      </c>
      <c r="K1936" s="8">
        <f t="shared" si="180"/>
        <v>84000</v>
      </c>
      <c r="L1936" s="8">
        <f t="shared" si="181"/>
        <v>0</v>
      </c>
      <c r="M1936" s="8">
        <f t="shared" si="182"/>
        <v>84000</v>
      </c>
      <c r="N1936" s="5">
        <v>18000</v>
      </c>
      <c r="O1936" s="8">
        <f t="shared" si="183"/>
        <v>102000</v>
      </c>
      <c r="P1936" s="2" t="s">
        <v>63</v>
      </c>
      <c r="Q1936" s="10" t="str">
        <f>VLOOKUP(A1936,Status!A:B,2,0)</f>
        <v>Returned</v>
      </c>
      <c r="R1936" s="2" t="s">
        <v>46</v>
      </c>
      <c r="S1936" s="2">
        <v>3</v>
      </c>
      <c r="T1936" s="2" t="s">
        <v>24</v>
      </c>
      <c r="U1936" s="10" t="str">
        <f t="shared" si="185"/>
        <v>Dec</v>
      </c>
      <c r="V1936" s="10">
        <f t="shared" si="184"/>
        <v>2024</v>
      </c>
      <c r="W1936" t="e" cm="1">
        <f t="array" ref="W1936">_xlfn.IFS(U1936="January",1,U1936="February",2,U1936="March",3,U1936="April",4,U1936="May",5,U1936="June",6,U1936="July",7,U1936="August",8,U1936="September",9,U1936="October",10,U1936="November",11,U1936="December",12)</f>
        <v>#N/A</v>
      </c>
    </row>
    <row r="1937" spans="1:23" ht="15.75" customHeight="1" x14ac:dyDescent="0.25">
      <c r="A1937" s="2" t="s">
        <v>839</v>
      </c>
      <c r="B1937" s="3">
        <v>45647.72111111111</v>
      </c>
      <c r="C1937" s="2" t="s">
        <v>576</v>
      </c>
      <c r="D1937" s="2" t="s">
        <v>57</v>
      </c>
      <c r="E1937" s="2" t="s">
        <v>123</v>
      </c>
      <c r="F1937" s="2" t="str" cm="1">
        <f t="array" ref="F1937:G1937">_xlfn.TEXTSPLIT(E1937," - ")</f>
        <v>Telur Ayam</v>
      </c>
      <c r="G1937" s="2" t="str">
        <v>Brand A</v>
      </c>
      <c r="H1937" s="5">
        <v>22000</v>
      </c>
      <c r="I1937" s="2">
        <v>1</v>
      </c>
      <c r="J1937" s="2">
        <v>10</v>
      </c>
      <c r="K1937" s="8">
        <f t="shared" si="180"/>
        <v>22000</v>
      </c>
      <c r="L1937" s="8">
        <f t="shared" si="181"/>
        <v>2200</v>
      </c>
      <c r="M1937" s="8">
        <f t="shared" si="182"/>
        <v>19800</v>
      </c>
      <c r="N1937" s="5">
        <v>80000</v>
      </c>
      <c r="O1937" s="8">
        <f t="shared" si="183"/>
        <v>99800</v>
      </c>
      <c r="P1937" s="2" t="s">
        <v>35</v>
      </c>
      <c r="Q1937" s="10" t="str">
        <f>VLOOKUP(A1937,Status!A:B,2,0)</f>
        <v>Completed</v>
      </c>
      <c r="R1937" s="2" t="s">
        <v>36</v>
      </c>
      <c r="S1937" s="2">
        <v>5</v>
      </c>
      <c r="T1937" s="2" t="s">
        <v>37</v>
      </c>
      <c r="U1937" s="10" t="str">
        <f t="shared" si="185"/>
        <v>Dec</v>
      </c>
      <c r="V1937" s="10">
        <f t="shared" si="184"/>
        <v>2024</v>
      </c>
      <c r="W1937" t="e" cm="1">
        <f t="array" ref="W1937">_xlfn.IFS(U1937="January",1,U1937="February",2,U1937="March",3,U1937="April",4,U1937="May",5,U1937="June",6,U1937="July",7,U1937="August",8,U1937="September",9,U1937="October",10,U1937="November",11,U1937="December",12)</f>
        <v>#N/A</v>
      </c>
    </row>
    <row r="1938" spans="1:23" ht="15.75" customHeight="1" x14ac:dyDescent="0.25">
      <c r="A1938" s="2" t="s">
        <v>840</v>
      </c>
      <c r="B1938" s="3">
        <v>45647.795694444438</v>
      </c>
      <c r="C1938" s="2" t="s">
        <v>553</v>
      </c>
      <c r="D1938" s="2" t="s">
        <v>107</v>
      </c>
      <c r="E1938" s="2" t="s">
        <v>186</v>
      </c>
      <c r="F1938" s="2" t="str" cm="1">
        <f t="array" ref="F1938:G1938">_xlfn.TEXTSPLIT(E1938," - ")</f>
        <v>Susu Bubuk</v>
      </c>
      <c r="G1938" s="2" t="str">
        <v>Brand A</v>
      </c>
      <c r="H1938" s="5">
        <v>45000</v>
      </c>
      <c r="I1938" s="2">
        <v>3</v>
      </c>
      <c r="J1938" s="2">
        <v>0</v>
      </c>
      <c r="K1938" s="8">
        <f t="shared" si="180"/>
        <v>135000</v>
      </c>
      <c r="L1938" s="8">
        <f t="shared" si="181"/>
        <v>0</v>
      </c>
      <c r="M1938" s="8">
        <f t="shared" si="182"/>
        <v>135000</v>
      </c>
      <c r="N1938" s="5">
        <v>97000</v>
      </c>
      <c r="O1938" s="8">
        <f t="shared" si="183"/>
        <v>232000</v>
      </c>
      <c r="P1938" s="2" t="s">
        <v>22</v>
      </c>
      <c r="Q1938" s="10" t="str">
        <f>VLOOKUP(A1938,Status!A:B,2,0)</f>
        <v>Cancelled</v>
      </c>
      <c r="R1938" s="2" t="s">
        <v>46</v>
      </c>
      <c r="S1938" s="2">
        <v>3</v>
      </c>
      <c r="T1938" s="2" t="s">
        <v>24</v>
      </c>
      <c r="U1938" s="10" t="str">
        <f t="shared" si="185"/>
        <v>Dec</v>
      </c>
      <c r="V1938" s="10">
        <f t="shared" si="184"/>
        <v>2024</v>
      </c>
      <c r="W1938" t="e" cm="1">
        <f t="array" ref="W1938">_xlfn.IFS(U1938="January",1,U1938="February",2,U1938="March",3,U1938="April",4,U1938="May",5,U1938="June",6,U1938="July",7,U1938="August",8,U1938="September",9,U1938="October",10,U1938="November",11,U1938="December",12)</f>
        <v>#N/A</v>
      </c>
    </row>
    <row r="1939" spans="1:23" ht="15.75" customHeight="1" x14ac:dyDescent="0.25">
      <c r="A1939" s="2" t="s">
        <v>841</v>
      </c>
      <c r="B1939" s="3">
        <v>45648.021932870368</v>
      </c>
      <c r="C1939" s="2" t="s">
        <v>142</v>
      </c>
      <c r="D1939" s="2" t="s">
        <v>143</v>
      </c>
      <c r="E1939" s="2" t="s">
        <v>186</v>
      </c>
      <c r="F1939" s="2" t="str" cm="1">
        <f t="array" ref="F1939:G1939">_xlfn.TEXTSPLIT(E1939," - ")</f>
        <v>Susu Bubuk</v>
      </c>
      <c r="G1939" s="2" t="str">
        <v>Brand A</v>
      </c>
      <c r="H1939" s="5">
        <v>45000</v>
      </c>
      <c r="I1939" s="2">
        <v>2</v>
      </c>
      <c r="J1939" s="2">
        <v>10</v>
      </c>
      <c r="K1939" s="8">
        <f t="shared" si="180"/>
        <v>90000</v>
      </c>
      <c r="L1939" s="8">
        <f t="shared" si="181"/>
        <v>9000</v>
      </c>
      <c r="M1939" s="8">
        <f t="shared" si="182"/>
        <v>81000</v>
      </c>
      <c r="N1939" s="5">
        <v>50000</v>
      </c>
      <c r="O1939" s="8">
        <f t="shared" si="183"/>
        <v>131000</v>
      </c>
      <c r="P1939" s="2" t="s">
        <v>35</v>
      </c>
      <c r="Q1939" s="10" t="str">
        <f>VLOOKUP(A1939,Status!A:B,2,0)</f>
        <v>Returned</v>
      </c>
      <c r="R1939" s="2" t="s">
        <v>82</v>
      </c>
      <c r="S1939" s="2">
        <v>5</v>
      </c>
      <c r="T1939" s="2" t="s">
        <v>24</v>
      </c>
      <c r="U1939" s="10" t="str">
        <f t="shared" si="185"/>
        <v>Dec</v>
      </c>
      <c r="V1939" s="10">
        <f t="shared" si="184"/>
        <v>2024</v>
      </c>
      <c r="W1939" t="e" cm="1">
        <f t="array" ref="W1939">_xlfn.IFS(U1939="January",1,U1939="February",2,U1939="March",3,U1939="April",4,U1939="May",5,U1939="June",6,U1939="July",7,U1939="August",8,U1939="September",9,U1939="October",10,U1939="November",11,U1939="December",12)</f>
        <v>#N/A</v>
      </c>
    </row>
    <row r="1940" spans="1:23" ht="15.75" customHeight="1" x14ac:dyDescent="0.25">
      <c r="A1940" s="2" t="s">
        <v>842</v>
      </c>
      <c r="B1940" s="3">
        <v>45648.123842592591</v>
      </c>
      <c r="C1940" s="2" t="s">
        <v>148</v>
      </c>
      <c r="D1940" s="2" t="s">
        <v>74</v>
      </c>
      <c r="E1940" s="2" t="s">
        <v>50</v>
      </c>
      <c r="F1940" s="2" t="str" cm="1">
        <f t="array" ref="F1940:G1940">_xlfn.TEXTSPLIT(E1940," - ")</f>
        <v>Tepung Terigu</v>
      </c>
      <c r="G1940" s="2" t="str">
        <v>Brand C</v>
      </c>
      <c r="H1940" s="5">
        <v>14000</v>
      </c>
      <c r="I1940" s="2">
        <v>5</v>
      </c>
      <c r="J1940" s="2">
        <v>20</v>
      </c>
      <c r="K1940" s="8">
        <f t="shared" si="180"/>
        <v>70000</v>
      </c>
      <c r="L1940" s="8">
        <f t="shared" si="181"/>
        <v>14000</v>
      </c>
      <c r="M1940" s="8">
        <f t="shared" si="182"/>
        <v>56000</v>
      </c>
      <c r="N1940" s="5">
        <v>87000</v>
      </c>
      <c r="O1940" s="8">
        <f t="shared" si="183"/>
        <v>143000</v>
      </c>
      <c r="P1940" s="2" t="s">
        <v>29</v>
      </c>
      <c r="Q1940" s="10" t="str">
        <f>VLOOKUP(A1940,Status!A:B,2,0)</f>
        <v>Completed</v>
      </c>
      <c r="R1940" s="2" t="s">
        <v>30</v>
      </c>
      <c r="S1940" s="2">
        <v>3</v>
      </c>
      <c r="T1940" s="2" t="s">
        <v>24</v>
      </c>
      <c r="U1940" s="10" t="str">
        <f t="shared" si="185"/>
        <v>Dec</v>
      </c>
      <c r="V1940" s="10">
        <f t="shared" si="184"/>
        <v>2024</v>
      </c>
      <c r="W1940" t="e" cm="1">
        <f t="array" ref="W1940">_xlfn.IFS(U1940="January",1,U1940="February",2,U1940="March",3,U1940="April",4,U1940="May",5,U1940="June",6,U1940="July",7,U1940="August",8,U1940="September",9,U1940="October",10,U1940="November",11,U1940="December",12)</f>
        <v>#N/A</v>
      </c>
    </row>
    <row r="1941" spans="1:23" ht="15.75" customHeight="1" x14ac:dyDescent="0.25">
      <c r="A1941" s="2" t="s">
        <v>843</v>
      </c>
      <c r="B1941" s="3">
        <v>45648.368576388893</v>
      </c>
      <c r="C1941" s="2" t="s">
        <v>844</v>
      </c>
      <c r="D1941" s="2" t="s">
        <v>119</v>
      </c>
      <c r="E1941" s="2" t="s">
        <v>81</v>
      </c>
      <c r="F1941" s="2" t="str" cm="1">
        <f t="array" ref="F1941:G1941">_xlfn.TEXTSPLIT(E1941," - ")</f>
        <v>Minyak Goreng</v>
      </c>
      <c r="G1941" s="2" t="str">
        <v>Brand B</v>
      </c>
      <c r="H1941" s="5">
        <v>17000</v>
      </c>
      <c r="I1941" s="2">
        <v>3</v>
      </c>
      <c r="J1941" s="2">
        <v>0</v>
      </c>
      <c r="K1941" s="8">
        <f t="shared" si="180"/>
        <v>51000</v>
      </c>
      <c r="L1941" s="8">
        <f t="shared" si="181"/>
        <v>0</v>
      </c>
      <c r="M1941" s="8">
        <f t="shared" si="182"/>
        <v>51000</v>
      </c>
      <c r="N1941" s="5">
        <v>0</v>
      </c>
      <c r="O1941" s="8">
        <f t="shared" si="183"/>
        <v>51000</v>
      </c>
      <c r="P1941" s="2" t="s">
        <v>63</v>
      </c>
      <c r="Q1941" s="10" t="str">
        <f>VLOOKUP(A1941,Status!A:B,2,0)</f>
        <v>Completed</v>
      </c>
      <c r="R1941" s="2" t="s">
        <v>36</v>
      </c>
      <c r="S1941" s="2">
        <v>1</v>
      </c>
      <c r="T1941" s="2" t="s">
        <v>24</v>
      </c>
      <c r="U1941" s="10" t="str">
        <f t="shared" si="185"/>
        <v>Dec</v>
      </c>
      <c r="V1941" s="10">
        <f t="shared" si="184"/>
        <v>2024</v>
      </c>
      <c r="W1941" t="e" cm="1">
        <f t="array" ref="W1941">_xlfn.IFS(U1941="January",1,U1941="February",2,U1941="March",3,U1941="April",4,U1941="May",5,U1941="June",6,U1941="July",7,U1941="August",8,U1941="September",9,U1941="October",10,U1941="November",11,U1941="December",12)</f>
        <v>#N/A</v>
      </c>
    </row>
    <row r="1942" spans="1:23" ht="15.75" customHeight="1" x14ac:dyDescent="0.25">
      <c r="A1942" s="2" t="s">
        <v>845</v>
      </c>
      <c r="B1942" s="3">
        <v>45648.407673611109</v>
      </c>
      <c r="C1942" s="2" t="s">
        <v>846</v>
      </c>
      <c r="D1942" s="2" t="s">
        <v>107</v>
      </c>
      <c r="E1942" s="2" t="s">
        <v>110</v>
      </c>
      <c r="F1942" s="2" t="str" cm="1">
        <f t="array" ref="F1942:G1942">_xlfn.TEXTSPLIT(E1942," - ")</f>
        <v>Garam</v>
      </c>
      <c r="G1942" s="2" t="str">
        <v>Brand C</v>
      </c>
      <c r="H1942" s="5">
        <v>6000</v>
      </c>
      <c r="I1942" s="2">
        <v>2</v>
      </c>
      <c r="J1942" s="2">
        <v>10</v>
      </c>
      <c r="K1942" s="8">
        <f t="shared" si="180"/>
        <v>12000</v>
      </c>
      <c r="L1942" s="8">
        <f t="shared" si="181"/>
        <v>1200</v>
      </c>
      <c r="M1942" s="8">
        <f t="shared" si="182"/>
        <v>10800</v>
      </c>
      <c r="N1942" s="5">
        <v>97000</v>
      </c>
      <c r="O1942" s="8">
        <f t="shared" si="183"/>
        <v>107800</v>
      </c>
      <c r="P1942" s="2" t="s">
        <v>35</v>
      </c>
      <c r="Q1942" s="10" t="str">
        <f>VLOOKUP(A1942,Status!A:B,2,0)</f>
        <v>Completed</v>
      </c>
      <c r="R1942" s="2" t="s">
        <v>30</v>
      </c>
      <c r="S1942" s="2">
        <v>2</v>
      </c>
      <c r="T1942" s="2" t="s">
        <v>24</v>
      </c>
      <c r="U1942" s="10" t="str">
        <f t="shared" si="185"/>
        <v>Dec</v>
      </c>
      <c r="V1942" s="10">
        <f t="shared" si="184"/>
        <v>2024</v>
      </c>
      <c r="W1942" t="e" cm="1">
        <f t="array" ref="W1942">_xlfn.IFS(U1942="January",1,U1942="February",2,U1942="March",3,U1942="April",4,U1942="May",5,U1942="June",6,U1942="July",7,U1942="August",8,U1942="September",9,U1942="October",10,U1942="November",11,U1942="December",12)</f>
        <v>#N/A</v>
      </c>
    </row>
    <row r="1943" spans="1:23" ht="15.75" customHeight="1" x14ac:dyDescent="0.25">
      <c r="A1943" s="2" t="s">
        <v>847</v>
      </c>
      <c r="B1943" s="3">
        <v>45648.446574074071</v>
      </c>
      <c r="C1943" s="2" t="s">
        <v>381</v>
      </c>
      <c r="D1943" s="2" t="s">
        <v>103</v>
      </c>
      <c r="E1943" s="2" t="s">
        <v>123</v>
      </c>
      <c r="F1943" s="2" t="str" cm="1">
        <f t="array" ref="F1943:G1943">_xlfn.TEXTSPLIT(E1943," - ")</f>
        <v>Telur Ayam</v>
      </c>
      <c r="G1943" s="2" t="str">
        <v>Brand A</v>
      </c>
      <c r="H1943" s="5">
        <v>22000</v>
      </c>
      <c r="I1943" s="2">
        <v>3</v>
      </c>
      <c r="J1943" s="2">
        <v>10</v>
      </c>
      <c r="K1943" s="8">
        <f t="shared" si="180"/>
        <v>66000</v>
      </c>
      <c r="L1943" s="8">
        <f t="shared" si="181"/>
        <v>6600</v>
      </c>
      <c r="M1943" s="8">
        <f t="shared" si="182"/>
        <v>59400</v>
      </c>
      <c r="N1943" s="5">
        <v>85000</v>
      </c>
      <c r="O1943" s="8">
        <f t="shared" si="183"/>
        <v>144400</v>
      </c>
      <c r="P1943" s="2" t="s">
        <v>63</v>
      </c>
      <c r="Q1943" s="10" t="str">
        <f>VLOOKUP(A1943,Status!A:B,2,0)</f>
        <v>Completed</v>
      </c>
      <c r="R1943" s="2" t="s">
        <v>23</v>
      </c>
      <c r="S1943" s="2">
        <v>2</v>
      </c>
      <c r="T1943" s="2" t="s">
        <v>24</v>
      </c>
      <c r="U1943" s="10" t="str">
        <f t="shared" si="185"/>
        <v>Dec</v>
      </c>
      <c r="V1943" s="10">
        <f t="shared" si="184"/>
        <v>2024</v>
      </c>
      <c r="W1943" t="e" cm="1">
        <f t="array" ref="W1943">_xlfn.IFS(U1943="January",1,U1943="February",2,U1943="March",3,U1943="April",4,U1943="May",5,U1943="June",6,U1943="July",7,U1943="August",8,U1943="September",9,U1943="October",10,U1943="November",11,U1943="December",12)</f>
        <v>#N/A</v>
      </c>
    </row>
    <row r="1944" spans="1:23" ht="15.75" customHeight="1" x14ac:dyDescent="0.25">
      <c r="A1944" s="2" t="s">
        <v>848</v>
      </c>
      <c r="B1944" s="3">
        <v>45648.832685185182</v>
      </c>
      <c r="C1944" s="2" t="s">
        <v>510</v>
      </c>
      <c r="D1944" s="2" t="s">
        <v>96</v>
      </c>
      <c r="E1944" s="2" t="s">
        <v>123</v>
      </c>
      <c r="F1944" s="2" t="str" cm="1">
        <f t="array" ref="F1944:G1944">_xlfn.TEXTSPLIT(E1944," - ")</f>
        <v>Telur Ayam</v>
      </c>
      <c r="G1944" s="2" t="str">
        <v>Brand A</v>
      </c>
      <c r="H1944" s="5">
        <v>22000</v>
      </c>
      <c r="I1944" s="2">
        <v>1</v>
      </c>
      <c r="J1944" s="2">
        <v>15</v>
      </c>
      <c r="K1944" s="8">
        <f t="shared" si="180"/>
        <v>22000</v>
      </c>
      <c r="L1944" s="8">
        <f t="shared" si="181"/>
        <v>3300</v>
      </c>
      <c r="M1944" s="8">
        <f t="shared" si="182"/>
        <v>18700</v>
      </c>
      <c r="N1944" s="5">
        <v>49000</v>
      </c>
      <c r="O1944" s="8">
        <f t="shared" si="183"/>
        <v>67700</v>
      </c>
      <c r="P1944" s="2" t="s">
        <v>22</v>
      </c>
      <c r="Q1944" s="10" t="str">
        <f>VLOOKUP(A1944,Status!A:B,2,0)</f>
        <v>Returned</v>
      </c>
      <c r="R1944" s="2" t="s">
        <v>30</v>
      </c>
      <c r="S1944" s="2">
        <v>4</v>
      </c>
      <c r="T1944" s="2" t="s">
        <v>24</v>
      </c>
      <c r="U1944" s="10" t="str">
        <f t="shared" si="185"/>
        <v>Dec</v>
      </c>
      <c r="V1944" s="10">
        <f t="shared" si="184"/>
        <v>2024</v>
      </c>
      <c r="W1944" t="e" cm="1">
        <f t="array" ref="W1944">_xlfn.IFS(U1944="January",1,U1944="February",2,U1944="March",3,U1944="April",4,U1944="May",5,U1944="June",6,U1944="July",7,U1944="August",8,U1944="September",9,U1944="October",10,U1944="November",11,U1944="December",12)</f>
        <v>#N/A</v>
      </c>
    </row>
    <row r="1945" spans="1:23" ht="15.75" customHeight="1" x14ac:dyDescent="0.25">
      <c r="A1945" s="2" t="s">
        <v>849</v>
      </c>
      <c r="B1945" s="3">
        <v>45648.892569444448</v>
      </c>
      <c r="C1945" s="2" t="s">
        <v>214</v>
      </c>
      <c r="D1945" s="2" t="s">
        <v>131</v>
      </c>
      <c r="E1945" s="2" t="s">
        <v>88</v>
      </c>
      <c r="F1945" s="2" t="str" cm="1">
        <f t="array" ref="F1945:G1945">_xlfn.TEXTSPLIT(E1945," - ")</f>
        <v>Beras</v>
      </c>
      <c r="G1945" s="2" t="str">
        <v>Brand A</v>
      </c>
      <c r="H1945" s="5">
        <v>14000</v>
      </c>
      <c r="I1945" s="2">
        <v>5</v>
      </c>
      <c r="J1945" s="2">
        <v>5</v>
      </c>
      <c r="K1945" s="8">
        <f t="shared" si="180"/>
        <v>70000</v>
      </c>
      <c r="L1945" s="8">
        <f t="shared" si="181"/>
        <v>3500</v>
      </c>
      <c r="M1945" s="8">
        <f t="shared" si="182"/>
        <v>66500</v>
      </c>
      <c r="N1945" s="5">
        <v>59000</v>
      </c>
      <c r="O1945" s="8">
        <f t="shared" si="183"/>
        <v>125500</v>
      </c>
      <c r="P1945" s="2" t="s">
        <v>63</v>
      </c>
      <c r="Q1945" s="10" t="str">
        <f>VLOOKUP(A1945,Status!A:B,2,0)</f>
        <v>Completed</v>
      </c>
      <c r="R1945" s="2" t="s">
        <v>36</v>
      </c>
      <c r="S1945" s="2">
        <v>1</v>
      </c>
      <c r="T1945" s="2" t="s">
        <v>24</v>
      </c>
      <c r="U1945" s="10" t="str">
        <f t="shared" si="185"/>
        <v>Dec</v>
      </c>
      <c r="V1945" s="10">
        <f t="shared" si="184"/>
        <v>2024</v>
      </c>
      <c r="W1945" t="e" cm="1">
        <f t="array" ref="W1945">_xlfn.IFS(U1945="January",1,U1945="February",2,U1945="March",3,U1945="April",4,U1945="May",5,U1945="June",6,U1945="July",7,U1945="August",8,U1945="September",9,U1945="October",10,U1945="November",11,U1945="December",12)</f>
        <v>#N/A</v>
      </c>
    </row>
    <row r="1946" spans="1:23" ht="15.75" customHeight="1" x14ac:dyDescent="0.25">
      <c r="A1946" s="2" t="s">
        <v>850</v>
      </c>
      <c r="B1946" s="3">
        <v>45649.169560185182</v>
      </c>
      <c r="C1946" s="2" t="s">
        <v>851</v>
      </c>
      <c r="D1946" s="2" t="s">
        <v>66</v>
      </c>
      <c r="E1946" s="2" t="s">
        <v>85</v>
      </c>
      <c r="F1946" s="2" t="str" cm="1">
        <f t="array" ref="F1946:G1946">_xlfn.TEXTSPLIT(E1946," - ")</f>
        <v>Daging Ayam</v>
      </c>
      <c r="G1946" s="2" t="str">
        <v>Brand A</v>
      </c>
      <c r="H1946" s="5">
        <v>35000</v>
      </c>
      <c r="I1946" s="2">
        <v>1</v>
      </c>
      <c r="J1946" s="2">
        <v>20</v>
      </c>
      <c r="K1946" s="8">
        <f t="shared" si="180"/>
        <v>35000</v>
      </c>
      <c r="L1946" s="8">
        <f t="shared" si="181"/>
        <v>7000</v>
      </c>
      <c r="M1946" s="8">
        <f t="shared" si="182"/>
        <v>28000</v>
      </c>
      <c r="N1946" s="5">
        <v>59000</v>
      </c>
      <c r="O1946" s="8">
        <f t="shared" si="183"/>
        <v>87000</v>
      </c>
      <c r="P1946" s="2" t="s">
        <v>63</v>
      </c>
      <c r="Q1946" s="10" t="str">
        <f>VLOOKUP(A1946,Status!A:B,2,0)</f>
        <v>Completed</v>
      </c>
      <c r="R1946" s="2" t="s">
        <v>36</v>
      </c>
      <c r="S1946" s="2">
        <v>5</v>
      </c>
      <c r="T1946" s="2" t="s">
        <v>37</v>
      </c>
      <c r="U1946" s="10" t="str">
        <f t="shared" si="185"/>
        <v>Dec</v>
      </c>
      <c r="V1946" s="10">
        <f t="shared" si="184"/>
        <v>2024</v>
      </c>
      <c r="W1946" t="e" cm="1">
        <f t="array" ref="W1946">_xlfn.IFS(U1946="January",1,U1946="February",2,U1946="March",3,U1946="April",4,U1946="May",5,U1946="June",6,U1946="July",7,U1946="August",8,U1946="September",9,U1946="October",10,U1946="November",11,U1946="December",12)</f>
        <v>#N/A</v>
      </c>
    </row>
    <row r="1947" spans="1:23" ht="15.75" customHeight="1" x14ac:dyDescent="0.25">
      <c r="A1947" s="2" t="s">
        <v>852</v>
      </c>
      <c r="B1947" s="3">
        <v>45649.226145833331</v>
      </c>
      <c r="C1947" s="2" t="s">
        <v>853</v>
      </c>
      <c r="D1947" s="2" t="s">
        <v>151</v>
      </c>
      <c r="E1947" s="2" t="s">
        <v>50</v>
      </c>
      <c r="F1947" s="2" t="str" cm="1">
        <f t="array" ref="F1947:G1947">_xlfn.TEXTSPLIT(E1947," - ")</f>
        <v>Tepung Terigu</v>
      </c>
      <c r="G1947" s="2" t="str">
        <v>Brand C</v>
      </c>
      <c r="H1947" s="5">
        <v>14000</v>
      </c>
      <c r="I1947" s="2">
        <v>3</v>
      </c>
      <c r="J1947" s="2">
        <v>20</v>
      </c>
      <c r="K1947" s="8">
        <f t="shared" si="180"/>
        <v>42000</v>
      </c>
      <c r="L1947" s="8">
        <f t="shared" si="181"/>
        <v>8400</v>
      </c>
      <c r="M1947" s="8">
        <f t="shared" si="182"/>
        <v>33600</v>
      </c>
      <c r="N1947" s="5">
        <v>55000</v>
      </c>
      <c r="O1947" s="8">
        <f t="shared" si="183"/>
        <v>88600</v>
      </c>
      <c r="P1947" s="2" t="s">
        <v>22</v>
      </c>
      <c r="Q1947" s="10" t="str">
        <f>VLOOKUP(A1947,Status!A:B,2,0)</f>
        <v>Completed</v>
      </c>
      <c r="R1947" s="2" t="s">
        <v>36</v>
      </c>
      <c r="S1947" s="2">
        <v>5</v>
      </c>
      <c r="T1947" s="2" t="s">
        <v>24</v>
      </c>
      <c r="U1947" s="10" t="str">
        <f t="shared" si="185"/>
        <v>Dec</v>
      </c>
      <c r="V1947" s="10">
        <f t="shared" si="184"/>
        <v>2024</v>
      </c>
      <c r="W1947" t="e" cm="1">
        <f t="array" ref="W1947">_xlfn.IFS(U1947="January",1,U1947="February",2,U1947="March",3,U1947="April",4,U1947="May",5,U1947="June",6,U1947="July",7,U1947="August",8,U1947="September",9,U1947="October",10,U1947="November",11,U1947="December",12)</f>
        <v>#N/A</v>
      </c>
    </row>
    <row r="1948" spans="1:23" ht="15.75" customHeight="1" x14ac:dyDescent="0.25">
      <c r="A1948" s="2" t="s">
        <v>854</v>
      </c>
      <c r="B1948" s="3">
        <v>45649.30395833333</v>
      </c>
      <c r="C1948" s="2" t="s">
        <v>146</v>
      </c>
      <c r="D1948" s="2" t="s">
        <v>92</v>
      </c>
      <c r="E1948" s="2" t="s">
        <v>67</v>
      </c>
      <c r="F1948" s="2" t="str" cm="1">
        <f t="array" ref="F1948:G1948">_xlfn.TEXTSPLIT(E1948," - ")</f>
        <v>Beras</v>
      </c>
      <c r="G1948" s="2" t="str">
        <v>Brand B</v>
      </c>
      <c r="H1948" s="5">
        <v>15000</v>
      </c>
      <c r="I1948" s="2">
        <v>4</v>
      </c>
      <c r="J1948" s="2">
        <v>15</v>
      </c>
      <c r="K1948" s="8">
        <f t="shared" si="180"/>
        <v>60000</v>
      </c>
      <c r="L1948" s="8">
        <f t="shared" si="181"/>
        <v>9000</v>
      </c>
      <c r="M1948" s="8">
        <f t="shared" si="182"/>
        <v>51000</v>
      </c>
      <c r="N1948" s="5">
        <v>30000</v>
      </c>
      <c r="O1948" s="8">
        <f t="shared" si="183"/>
        <v>81000</v>
      </c>
      <c r="P1948" s="2" t="s">
        <v>29</v>
      </c>
      <c r="Q1948" s="10" t="str">
        <f>VLOOKUP(A1948,Status!A:B,2,0)</f>
        <v>Completed</v>
      </c>
      <c r="R1948" s="2" t="s">
        <v>30</v>
      </c>
      <c r="S1948" s="2">
        <v>3</v>
      </c>
      <c r="T1948" s="2" t="s">
        <v>37</v>
      </c>
      <c r="U1948" s="10" t="str">
        <f t="shared" si="185"/>
        <v>Dec</v>
      </c>
      <c r="V1948" s="10">
        <f t="shared" si="184"/>
        <v>2024</v>
      </c>
      <c r="W1948" t="e" cm="1">
        <f t="array" ref="W1948">_xlfn.IFS(U1948="January",1,U1948="February",2,U1948="March",3,U1948="April",4,U1948="May",5,U1948="June",6,U1948="July",7,U1948="August",8,U1948="September",9,U1948="October",10,U1948="November",11,U1948="December",12)</f>
        <v>#N/A</v>
      </c>
    </row>
    <row r="1949" spans="1:23" ht="15.75" customHeight="1" x14ac:dyDescent="0.25">
      <c r="A1949" s="2" t="s">
        <v>855</v>
      </c>
      <c r="B1949" s="3">
        <v>45649.355266203696</v>
      </c>
      <c r="C1949" s="2" t="s">
        <v>856</v>
      </c>
      <c r="D1949" s="2" t="s">
        <v>244</v>
      </c>
      <c r="E1949" s="2" t="s">
        <v>58</v>
      </c>
      <c r="F1949" s="2" t="str" cm="1">
        <f t="array" ref="F1949:G1949">_xlfn.TEXTSPLIT(E1949," - ")</f>
        <v>Gula Pasir</v>
      </c>
      <c r="G1949" s="2" t="str">
        <v>Brand A</v>
      </c>
      <c r="H1949" s="5">
        <v>16000</v>
      </c>
      <c r="I1949" s="2">
        <v>5</v>
      </c>
      <c r="J1949" s="2">
        <v>0</v>
      </c>
      <c r="K1949" s="8">
        <f t="shared" si="180"/>
        <v>80000</v>
      </c>
      <c r="L1949" s="8">
        <f t="shared" si="181"/>
        <v>0</v>
      </c>
      <c r="M1949" s="8">
        <f t="shared" si="182"/>
        <v>80000</v>
      </c>
      <c r="N1949" s="5">
        <v>80000</v>
      </c>
      <c r="O1949" s="8">
        <f t="shared" si="183"/>
        <v>160000</v>
      </c>
      <c r="P1949" s="2" t="s">
        <v>22</v>
      </c>
      <c r="Q1949" s="10" t="str">
        <f>VLOOKUP(A1949,Status!A:B,2,0)</f>
        <v>Returned</v>
      </c>
      <c r="R1949" s="2" t="s">
        <v>36</v>
      </c>
      <c r="S1949" s="2">
        <v>2</v>
      </c>
      <c r="T1949" s="2" t="s">
        <v>24</v>
      </c>
      <c r="U1949" s="10" t="str">
        <f t="shared" si="185"/>
        <v>Dec</v>
      </c>
      <c r="V1949" s="10">
        <f t="shared" si="184"/>
        <v>2024</v>
      </c>
      <c r="W1949" t="e" cm="1">
        <f t="array" ref="W1949">_xlfn.IFS(U1949="January",1,U1949="February",2,U1949="March",3,U1949="April",4,U1949="May",5,U1949="June",6,U1949="July",7,U1949="August",8,U1949="September",9,U1949="October",10,U1949="November",11,U1949="December",12)</f>
        <v>#N/A</v>
      </c>
    </row>
    <row r="1950" spans="1:23" ht="15.75" customHeight="1" x14ac:dyDescent="0.25">
      <c r="A1950" s="2" t="s">
        <v>857</v>
      </c>
      <c r="B1950" s="3">
        <v>45649.702384259261</v>
      </c>
      <c r="C1950" s="2" t="s">
        <v>48</v>
      </c>
      <c r="D1950" s="2" t="s">
        <v>49</v>
      </c>
      <c r="E1950" s="2" t="s">
        <v>144</v>
      </c>
      <c r="F1950" s="2" t="str" cm="1">
        <f t="array" ref="F1950:G1950">_xlfn.TEXTSPLIT(E1950," - ")</f>
        <v>Gula Pasir</v>
      </c>
      <c r="G1950" s="2" t="str">
        <v>Brand C</v>
      </c>
      <c r="H1950" s="5">
        <v>18000</v>
      </c>
      <c r="I1950" s="2">
        <v>2</v>
      </c>
      <c r="J1950" s="2">
        <v>10</v>
      </c>
      <c r="K1950" s="8">
        <f t="shared" si="180"/>
        <v>36000</v>
      </c>
      <c r="L1950" s="8">
        <f t="shared" si="181"/>
        <v>3600</v>
      </c>
      <c r="M1950" s="8">
        <f t="shared" si="182"/>
        <v>32400</v>
      </c>
      <c r="N1950" s="5">
        <v>43000</v>
      </c>
      <c r="O1950" s="8">
        <f t="shared" si="183"/>
        <v>75400</v>
      </c>
      <c r="P1950" s="2" t="s">
        <v>63</v>
      </c>
      <c r="Q1950" s="10" t="str">
        <f>VLOOKUP(A1950,Status!A:B,2,0)</f>
        <v>Completed</v>
      </c>
      <c r="R1950" s="2" t="s">
        <v>82</v>
      </c>
      <c r="S1950" s="2">
        <v>4</v>
      </c>
      <c r="T1950" s="2" t="s">
        <v>24</v>
      </c>
      <c r="U1950" s="10" t="str">
        <f t="shared" si="185"/>
        <v>Dec</v>
      </c>
      <c r="V1950" s="10">
        <f t="shared" si="184"/>
        <v>2024</v>
      </c>
      <c r="W1950" t="e" cm="1">
        <f t="array" ref="W1950">_xlfn.IFS(U1950="January",1,U1950="February",2,U1950="March",3,U1950="April",4,U1950="May",5,U1950="June",6,U1950="July",7,U1950="August",8,U1950="September",9,U1950="October",10,U1950="November",11,U1950="December",12)</f>
        <v>#N/A</v>
      </c>
    </row>
    <row r="1951" spans="1:23" ht="15.75" customHeight="1" x14ac:dyDescent="0.25">
      <c r="A1951" s="2" t="s">
        <v>858</v>
      </c>
      <c r="B1951" s="3">
        <v>45650.087824074071</v>
      </c>
      <c r="C1951" s="2" t="s">
        <v>669</v>
      </c>
      <c r="D1951" s="2" t="s">
        <v>151</v>
      </c>
      <c r="E1951" s="2" t="s">
        <v>88</v>
      </c>
      <c r="F1951" s="2" t="str" cm="1">
        <f t="array" ref="F1951:G1951">_xlfn.TEXTSPLIT(E1951," - ")</f>
        <v>Beras</v>
      </c>
      <c r="G1951" s="2" t="str">
        <v>Brand A</v>
      </c>
      <c r="H1951" s="5">
        <v>14000</v>
      </c>
      <c r="I1951" s="2">
        <v>4</v>
      </c>
      <c r="J1951" s="2">
        <v>15</v>
      </c>
      <c r="K1951" s="8">
        <f t="shared" si="180"/>
        <v>56000</v>
      </c>
      <c r="L1951" s="8">
        <f t="shared" si="181"/>
        <v>8400</v>
      </c>
      <c r="M1951" s="8">
        <f t="shared" si="182"/>
        <v>47600</v>
      </c>
      <c r="N1951" s="5">
        <v>55000</v>
      </c>
      <c r="O1951" s="8">
        <f t="shared" si="183"/>
        <v>102600</v>
      </c>
      <c r="P1951" s="2" t="s">
        <v>35</v>
      </c>
      <c r="Q1951" s="10" t="str">
        <f>VLOOKUP(A1951,Status!A:B,2,0)</f>
        <v>Completed</v>
      </c>
      <c r="R1951" s="2" t="s">
        <v>82</v>
      </c>
      <c r="S1951" s="2">
        <v>5</v>
      </c>
      <c r="T1951" s="2" t="s">
        <v>24</v>
      </c>
      <c r="U1951" s="10" t="str">
        <f t="shared" si="185"/>
        <v>Dec</v>
      </c>
      <c r="V1951" s="10">
        <f t="shared" si="184"/>
        <v>2024</v>
      </c>
      <c r="W1951" t="e" cm="1">
        <f t="array" ref="W1951">_xlfn.IFS(U1951="January",1,U1951="February",2,U1951="March",3,U1951="April",4,U1951="May",5,U1951="June",6,U1951="July",7,U1951="August",8,U1951="September",9,U1951="October",10,U1951="November",11,U1951="December",12)</f>
        <v>#N/A</v>
      </c>
    </row>
    <row r="1952" spans="1:23" ht="15.75" customHeight="1" x14ac:dyDescent="0.25">
      <c r="A1952" s="2" t="s">
        <v>859</v>
      </c>
      <c r="B1952" s="3">
        <v>45650.222685185188</v>
      </c>
      <c r="C1952" s="2" t="s">
        <v>860</v>
      </c>
      <c r="D1952" s="2" t="s">
        <v>44</v>
      </c>
      <c r="E1952" s="2" t="s">
        <v>88</v>
      </c>
      <c r="F1952" s="2" t="str" cm="1">
        <f t="array" ref="F1952:G1952">_xlfn.TEXTSPLIT(E1952," - ")</f>
        <v>Beras</v>
      </c>
      <c r="G1952" s="2" t="str">
        <v>Brand A</v>
      </c>
      <c r="H1952" s="5">
        <v>14000</v>
      </c>
      <c r="I1952" s="2">
        <v>2</v>
      </c>
      <c r="J1952" s="2">
        <v>10</v>
      </c>
      <c r="K1952" s="8">
        <f t="shared" si="180"/>
        <v>28000</v>
      </c>
      <c r="L1952" s="8">
        <f t="shared" si="181"/>
        <v>2800</v>
      </c>
      <c r="M1952" s="8">
        <f t="shared" si="182"/>
        <v>25200</v>
      </c>
      <c r="N1952" s="5">
        <v>93000</v>
      </c>
      <c r="O1952" s="8">
        <f t="shared" si="183"/>
        <v>118200</v>
      </c>
      <c r="P1952" s="2" t="s">
        <v>63</v>
      </c>
      <c r="Q1952" s="10" t="str">
        <f>VLOOKUP(A1952,Status!A:B,2,0)</f>
        <v>Completed</v>
      </c>
      <c r="R1952" s="2" t="s">
        <v>30</v>
      </c>
      <c r="S1952" s="2">
        <v>1</v>
      </c>
      <c r="T1952" s="2" t="s">
        <v>37</v>
      </c>
      <c r="U1952" s="10" t="str">
        <f t="shared" si="185"/>
        <v>Dec</v>
      </c>
      <c r="V1952" s="10">
        <f t="shared" si="184"/>
        <v>2024</v>
      </c>
      <c r="W1952" t="e" cm="1">
        <f t="array" ref="W1952">_xlfn.IFS(U1952="January",1,U1952="February",2,U1952="March",3,U1952="April",4,U1952="May",5,U1952="June",6,U1952="July",7,U1952="August",8,U1952="September",9,U1952="October",10,U1952="November",11,U1952="December",12)</f>
        <v>#N/A</v>
      </c>
    </row>
    <row r="1953" spans="1:23" ht="15.75" customHeight="1" x14ac:dyDescent="0.25">
      <c r="A1953" s="2" t="s">
        <v>859</v>
      </c>
      <c r="B1953" s="3">
        <v>45650.222685185188</v>
      </c>
      <c r="C1953" s="2" t="s">
        <v>860</v>
      </c>
      <c r="D1953" s="2" t="s">
        <v>44</v>
      </c>
      <c r="E1953" s="2" t="s">
        <v>28</v>
      </c>
      <c r="F1953" s="2" t="str" cm="1">
        <f t="array" ref="F1953:G1953">_xlfn.TEXTSPLIT(E1953," - ")</f>
        <v>Garam</v>
      </c>
      <c r="G1953" s="2" t="str">
        <v>Brand B</v>
      </c>
      <c r="H1953" s="5">
        <v>5000</v>
      </c>
      <c r="I1953" s="2">
        <v>2</v>
      </c>
      <c r="J1953" s="2">
        <v>0</v>
      </c>
      <c r="K1953" s="8">
        <f t="shared" si="180"/>
        <v>10000</v>
      </c>
      <c r="L1953" s="8">
        <f t="shared" si="181"/>
        <v>0</v>
      </c>
      <c r="M1953" s="8">
        <f t="shared" si="182"/>
        <v>10000</v>
      </c>
      <c r="N1953" s="5">
        <v>0</v>
      </c>
      <c r="O1953" s="8">
        <f t="shared" si="183"/>
        <v>10000</v>
      </c>
      <c r="P1953" s="2" t="s">
        <v>63</v>
      </c>
      <c r="Q1953" s="10" t="str">
        <f>VLOOKUP(A1953,Status!A:B,2,0)</f>
        <v>Completed</v>
      </c>
      <c r="R1953" s="2" t="s">
        <v>30</v>
      </c>
      <c r="S1953" s="2">
        <v>1</v>
      </c>
      <c r="T1953" s="2" t="s">
        <v>37</v>
      </c>
      <c r="U1953" s="10" t="str">
        <f t="shared" si="185"/>
        <v>Dec</v>
      </c>
      <c r="V1953" s="10">
        <f t="shared" si="184"/>
        <v>2024</v>
      </c>
      <c r="W1953" t="e" cm="1">
        <f t="array" ref="W1953">_xlfn.IFS(U1953="January",1,U1953="February",2,U1953="March",3,U1953="April",4,U1953="May",5,U1953="June",6,U1953="July",7,U1953="August",8,U1953="September",9,U1953="October",10,U1953="November",11,U1953="December",12)</f>
        <v>#N/A</v>
      </c>
    </row>
    <row r="1954" spans="1:23" ht="15.75" customHeight="1" x14ac:dyDescent="0.25">
      <c r="A1954" s="2" t="s">
        <v>861</v>
      </c>
      <c r="B1954" s="3">
        <v>45650.247152777767</v>
      </c>
      <c r="C1954" s="2" t="s">
        <v>383</v>
      </c>
      <c r="D1954" s="2" t="s">
        <v>122</v>
      </c>
      <c r="E1954" s="2" t="s">
        <v>174</v>
      </c>
      <c r="F1954" s="2" t="str" cm="1">
        <f t="array" ref="F1954:G1954">_xlfn.TEXTSPLIT(E1954," - ")</f>
        <v>Tepung Terigu</v>
      </c>
      <c r="G1954" s="2" t="str">
        <v>Brand A</v>
      </c>
      <c r="H1954" s="5">
        <v>10000</v>
      </c>
      <c r="I1954" s="2">
        <v>4</v>
      </c>
      <c r="J1954" s="2">
        <v>20</v>
      </c>
      <c r="K1954" s="8">
        <f t="shared" si="180"/>
        <v>40000</v>
      </c>
      <c r="L1954" s="8">
        <f t="shared" si="181"/>
        <v>8000</v>
      </c>
      <c r="M1954" s="8">
        <f t="shared" si="182"/>
        <v>32000</v>
      </c>
      <c r="N1954" s="5">
        <v>78000</v>
      </c>
      <c r="O1954" s="8">
        <f t="shared" si="183"/>
        <v>110000</v>
      </c>
      <c r="P1954" s="2" t="s">
        <v>35</v>
      </c>
      <c r="Q1954" s="10" t="str">
        <f>VLOOKUP(A1954,Status!A:B,2,0)</f>
        <v>Completed</v>
      </c>
      <c r="R1954" s="2" t="s">
        <v>36</v>
      </c>
      <c r="S1954" s="2">
        <v>4</v>
      </c>
      <c r="T1954" s="2" t="s">
        <v>24</v>
      </c>
      <c r="U1954" s="10" t="str">
        <f t="shared" si="185"/>
        <v>Dec</v>
      </c>
      <c r="V1954" s="10">
        <f t="shared" si="184"/>
        <v>2024</v>
      </c>
      <c r="W1954" t="e" cm="1">
        <f t="array" ref="W1954">_xlfn.IFS(U1954="January",1,U1954="February",2,U1954="March",3,U1954="April",4,U1954="May",5,U1954="June",6,U1954="July",7,U1954="August",8,U1954="September",9,U1954="October",10,U1954="November",11,U1954="December",12)</f>
        <v>#N/A</v>
      </c>
    </row>
    <row r="1955" spans="1:23" ht="15.75" customHeight="1" x14ac:dyDescent="0.25">
      <c r="A1955" s="2" t="s">
        <v>862</v>
      </c>
      <c r="B1955" s="3">
        <v>45650.374699074076</v>
      </c>
      <c r="C1955" s="2" t="s">
        <v>305</v>
      </c>
      <c r="D1955" s="2" t="s">
        <v>143</v>
      </c>
      <c r="E1955" s="2" t="s">
        <v>123</v>
      </c>
      <c r="F1955" s="2" t="str" cm="1">
        <f t="array" ref="F1955:G1955">_xlfn.TEXTSPLIT(E1955," - ")</f>
        <v>Telur Ayam</v>
      </c>
      <c r="G1955" s="2" t="str">
        <v>Brand A</v>
      </c>
      <c r="H1955" s="5">
        <v>22000</v>
      </c>
      <c r="I1955" s="2">
        <v>1</v>
      </c>
      <c r="J1955" s="2">
        <v>5</v>
      </c>
      <c r="K1955" s="8">
        <f t="shared" si="180"/>
        <v>22000</v>
      </c>
      <c r="L1955" s="8">
        <f t="shared" si="181"/>
        <v>1100</v>
      </c>
      <c r="M1955" s="8">
        <f t="shared" si="182"/>
        <v>20900</v>
      </c>
      <c r="N1955" s="5">
        <v>50000</v>
      </c>
      <c r="O1955" s="8">
        <f t="shared" si="183"/>
        <v>70900</v>
      </c>
      <c r="P1955" s="2" t="s">
        <v>35</v>
      </c>
      <c r="Q1955" s="10" t="str">
        <f>VLOOKUP(A1955,Status!A:B,2,0)</f>
        <v>Completed</v>
      </c>
      <c r="R1955" s="2" t="s">
        <v>36</v>
      </c>
      <c r="S1955" s="2">
        <v>2</v>
      </c>
      <c r="T1955" s="2" t="s">
        <v>24</v>
      </c>
      <c r="U1955" s="10" t="str">
        <f t="shared" si="185"/>
        <v>Dec</v>
      </c>
      <c r="V1955" s="10">
        <f t="shared" si="184"/>
        <v>2024</v>
      </c>
      <c r="W1955" t="e" cm="1">
        <f t="array" ref="W1955">_xlfn.IFS(U1955="January",1,U1955="February",2,U1955="March",3,U1955="April",4,U1955="May",5,U1955="June",6,U1955="July",7,U1955="August",8,U1955="September",9,U1955="October",10,U1955="November",11,U1955="December",12)</f>
        <v>#N/A</v>
      </c>
    </row>
    <row r="1956" spans="1:23" ht="15.75" customHeight="1" x14ac:dyDescent="0.25">
      <c r="A1956" s="2" t="s">
        <v>863</v>
      </c>
      <c r="B1956" s="3">
        <v>45651.000578703701</v>
      </c>
      <c r="C1956" s="2" t="s">
        <v>311</v>
      </c>
      <c r="D1956" s="2" t="s">
        <v>116</v>
      </c>
      <c r="E1956" s="2" t="s">
        <v>123</v>
      </c>
      <c r="F1956" s="2" t="str" cm="1">
        <f t="array" ref="F1956:G1956">_xlfn.TEXTSPLIT(E1956," - ")</f>
        <v>Telur Ayam</v>
      </c>
      <c r="G1956" s="2" t="str">
        <v>Brand A</v>
      </c>
      <c r="H1956" s="5">
        <v>22000</v>
      </c>
      <c r="I1956" s="2">
        <v>1</v>
      </c>
      <c r="J1956" s="2">
        <v>0</v>
      </c>
      <c r="K1956" s="8">
        <f t="shared" si="180"/>
        <v>22000</v>
      </c>
      <c r="L1956" s="8">
        <f t="shared" si="181"/>
        <v>0</v>
      </c>
      <c r="M1956" s="8">
        <f t="shared" si="182"/>
        <v>22000</v>
      </c>
      <c r="N1956" s="5">
        <v>72000</v>
      </c>
      <c r="O1956" s="8">
        <f t="shared" si="183"/>
        <v>94000</v>
      </c>
      <c r="P1956" s="2" t="s">
        <v>22</v>
      </c>
      <c r="Q1956" s="10" t="str">
        <f>VLOOKUP(A1956,Status!A:B,2,0)</f>
        <v>Completed</v>
      </c>
      <c r="R1956" s="2" t="s">
        <v>36</v>
      </c>
      <c r="S1956" s="2">
        <v>2</v>
      </c>
      <c r="T1956" s="2" t="s">
        <v>24</v>
      </c>
      <c r="U1956" s="10" t="str">
        <f t="shared" si="185"/>
        <v>Dec</v>
      </c>
      <c r="V1956" s="10">
        <f t="shared" si="184"/>
        <v>2024</v>
      </c>
      <c r="W1956" t="e" cm="1">
        <f t="array" ref="W1956">_xlfn.IFS(U1956="January",1,U1956="February",2,U1956="March",3,U1956="April",4,U1956="May",5,U1956="June",6,U1956="July",7,U1956="August",8,U1956="September",9,U1956="October",10,U1956="November",11,U1956="December",12)</f>
        <v>#N/A</v>
      </c>
    </row>
    <row r="1957" spans="1:23" ht="15.75" customHeight="1" x14ac:dyDescent="0.25">
      <c r="A1957" s="2" t="s">
        <v>864</v>
      </c>
      <c r="B1957" s="3">
        <v>45651.293402777781</v>
      </c>
      <c r="C1957" s="2" t="s">
        <v>299</v>
      </c>
      <c r="D1957" s="2" t="s">
        <v>163</v>
      </c>
      <c r="E1957" s="2" t="s">
        <v>28</v>
      </c>
      <c r="F1957" s="2" t="str" cm="1">
        <f t="array" ref="F1957:G1957">_xlfn.TEXTSPLIT(E1957," - ")</f>
        <v>Garam</v>
      </c>
      <c r="G1957" s="2" t="str">
        <v>Brand B</v>
      </c>
      <c r="H1957" s="5">
        <v>5000</v>
      </c>
      <c r="I1957" s="2">
        <v>3</v>
      </c>
      <c r="J1957" s="2">
        <v>5</v>
      </c>
      <c r="K1957" s="8">
        <f t="shared" si="180"/>
        <v>15000</v>
      </c>
      <c r="L1957" s="8">
        <f t="shared" si="181"/>
        <v>750</v>
      </c>
      <c r="M1957" s="8">
        <f t="shared" si="182"/>
        <v>14250</v>
      </c>
      <c r="N1957" s="5">
        <v>50000</v>
      </c>
      <c r="O1957" s="8">
        <f t="shared" si="183"/>
        <v>64250</v>
      </c>
      <c r="P1957" s="2" t="s">
        <v>29</v>
      </c>
      <c r="Q1957" s="10" t="str">
        <f>VLOOKUP(A1957,Status!A:B,2,0)</f>
        <v>Completed</v>
      </c>
      <c r="R1957" s="2" t="s">
        <v>46</v>
      </c>
      <c r="S1957" s="2">
        <v>5</v>
      </c>
      <c r="T1957" s="2" t="s">
        <v>24</v>
      </c>
      <c r="U1957" s="10" t="str">
        <f t="shared" si="185"/>
        <v>Dec</v>
      </c>
      <c r="V1957" s="10">
        <f t="shared" si="184"/>
        <v>2024</v>
      </c>
      <c r="W1957" t="e" cm="1">
        <f t="array" ref="W1957">_xlfn.IFS(U1957="January",1,U1957="February",2,U1957="March",3,U1957="April",4,U1957="May",5,U1957="June",6,U1957="July",7,U1957="August",8,U1957="September",9,U1957="October",10,U1957="November",11,U1957="December",12)</f>
        <v>#N/A</v>
      </c>
    </row>
    <row r="1958" spans="1:23" ht="15.75" customHeight="1" x14ac:dyDescent="0.25">
      <c r="A1958" s="2" t="s">
        <v>865</v>
      </c>
      <c r="B1958" s="3">
        <v>45651.500891203701</v>
      </c>
      <c r="C1958" s="2" t="s">
        <v>412</v>
      </c>
      <c r="D1958" s="2" t="s">
        <v>70</v>
      </c>
      <c r="E1958" s="2" t="s">
        <v>104</v>
      </c>
      <c r="F1958" s="2" t="str" cm="1">
        <f t="array" ref="F1958:G1958">_xlfn.TEXTSPLIT(E1958," - ")</f>
        <v>Bawang Merah</v>
      </c>
      <c r="G1958" s="2" t="str">
        <v>Brand A</v>
      </c>
      <c r="H1958" s="5">
        <v>30000</v>
      </c>
      <c r="I1958" s="2">
        <v>1</v>
      </c>
      <c r="J1958" s="2">
        <v>10</v>
      </c>
      <c r="K1958" s="8">
        <f t="shared" si="180"/>
        <v>30000</v>
      </c>
      <c r="L1958" s="8">
        <f t="shared" si="181"/>
        <v>3000</v>
      </c>
      <c r="M1958" s="8">
        <f t="shared" si="182"/>
        <v>27000</v>
      </c>
      <c r="N1958" s="5">
        <v>89000</v>
      </c>
      <c r="O1958" s="8">
        <f t="shared" si="183"/>
        <v>116000</v>
      </c>
      <c r="P1958" s="2" t="s">
        <v>22</v>
      </c>
      <c r="Q1958" s="10" t="str">
        <f>VLOOKUP(A1958,Status!A:B,2,0)</f>
        <v>Completed</v>
      </c>
      <c r="R1958" s="2" t="s">
        <v>30</v>
      </c>
      <c r="S1958" s="2">
        <v>2</v>
      </c>
      <c r="T1958" s="2" t="s">
        <v>24</v>
      </c>
      <c r="U1958" s="10" t="str">
        <f t="shared" si="185"/>
        <v>Dec</v>
      </c>
      <c r="V1958" s="10">
        <f t="shared" si="184"/>
        <v>2024</v>
      </c>
      <c r="W1958" t="e" cm="1">
        <f t="array" ref="W1958">_xlfn.IFS(U1958="January",1,U1958="February",2,U1958="March",3,U1958="April",4,U1958="May",5,U1958="June",6,U1958="July",7,U1958="August",8,U1958="September",9,U1958="October",10,U1958="November",11,U1958="December",12)</f>
        <v>#N/A</v>
      </c>
    </row>
    <row r="1959" spans="1:23" ht="15.75" customHeight="1" x14ac:dyDescent="0.25">
      <c r="A1959" s="2" t="s">
        <v>866</v>
      </c>
      <c r="B1959" s="3">
        <v>45651.696226851847</v>
      </c>
      <c r="C1959" s="2" t="s">
        <v>867</v>
      </c>
      <c r="D1959" s="2" t="s">
        <v>20</v>
      </c>
      <c r="E1959" s="2" t="s">
        <v>123</v>
      </c>
      <c r="F1959" s="2" t="str" cm="1">
        <f t="array" ref="F1959:G1959">_xlfn.TEXTSPLIT(E1959," - ")</f>
        <v>Telur Ayam</v>
      </c>
      <c r="G1959" s="2" t="str">
        <v>Brand A</v>
      </c>
      <c r="H1959" s="5">
        <v>22000</v>
      </c>
      <c r="I1959" s="2">
        <v>1</v>
      </c>
      <c r="J1959" s="2">
        <v>0</v>
      </c>
      <c r="K1959" s="8">
        <f t="shared" si="180"/>
        <v>22000</v>
      </c>
      <c r="L1959" s="8">
        <f t="shared" si="181"/>
        <v>0</v>
      </c>
      <c r="M1959" s="8">
        <f t="shared" si="182"/>
        <v>22000</v>
      </c>
      <c r="N1959" s="5">
        <v>15000</v>
      </c>
      <c r="O1959" s="8">
        <f t="shared" si="183"/>
        <v>37000</v>
      </c>
      <c r="P1959" s="2" t="s">
        <v>63</v>
      </c>
      <c r="Q1959" s="10" t="str">
        <f>VLOOKUP(A1959,Status!A:B,2,0)</f>
        <v>Completed</v>
      </c>
      <c r="R1959" s="2" t="s">
        <v>23</v>
      </c>
      <c r="S1959" s="2">
        <v>5</v>
      </c>
      <c r="T1959" s="2" t="s">
        <v>37</v>
      </c>
      <c r="U1959" s="10" t="str">
        <f t="shared" si="185"/>
        <v>Dec</v>
      </c>
      <c r="V1959" s="10">
        <f t="shared" si="184"/>
        <v>2024</v>
      </c>
      <c r="W1959" t="e" cm="1">
        <f t="array" ref="W1959">_xlfn.IFS(U1959="January",1,U1959="February",2,U1959="March",3,U1959="April",4,U1959="May",5,U1959="June",6,U1959="July",7,U1959="August",8,U1959="September",9,U1959="October",10,U1959="November",11,U1959="December",12)</f>
        <v>#N/A</v>
      </c>
    </row>
    <row r="1960" spans="1:23" ht="15.75" customHeight="1" x14ac:dyDescent="0.25">
      <c r="A1960" s="2" t="s">
        <v>868</v>
      </c>
      <c r="B1960" s="3">
        <v>45651.779803240737</v>
      </c>
      <c r="C1960" s="2" t="s">
        <v>504</v>
      </c>
      <c r="D1960" s="2" t="s">
        <v>195</v>
      </c>
      <c r="E1960" s="2" t="s">
        <v>38</v>
      </c>
      <c r="F1960" s="2" t="str" cm="1">
        <f t="array" ref="F1960:G1960">_xlfn.TEXTSPLIT(E1960," - ")</f>
        <v>Telur Ayam</v>
      </c>
      <c r="G1960" s="2" t="str">
        <v>Brand C</v>
      </c>
      <c r="H1960" s="5">
        <v>28000</v>
      </c>
      <c r="I1960" s="2">
        <v>4</v>
      </c>
      <c r="J1960" s="2">
        <v>20</v>
      </c>
      <c r="K1960" s="8">
        <f t="shared" si="180"/>
        <v>112000</v>
      </c>
      <c r="L1960" s="8">
        <f t="shared" si="181"/>
        <v>22400</v>
      </c>
      <c r="M1960" s="8">
        <f t="shared" si="182"/>
        <v>89600</v>
      </c>
      <c r="N1960" s="5">
        <v>87000</v>
      </c>
      <c r="O1960" s="8">
        <f t="shared" si="183"/>
        <v>176600</v>
      </c>
      <c r="P1960" s="2" t="s">
        <v>22</v>
      </c>
      <c r="Q1960" s="10" t="str">
        <f>VLOOKUP(A1960,Status!A:B,2,0)</f>
        <v>Completed</v>
      </c>
      <c r="R1960" s="2" t="s">
        <v>36</v>
      </c>
      <c r="S1960" s="2">
        <v>3</v>
      </c>
      <c r="T1960" s="2" t="s">
        <v>24</v>
      </c>
      <c r="U1960" s="10" t="str">
        <f t="shared" si="185"/>
        <v>Dec</v>
      </c>
      <c r="V1960" s="10">
        <f t="shared" si="184"/>
        <v>2024</v>
      </c>
      <c r="W1960" t="e" cm="1">
        <f t="array" ref="W1960">_xlfn.IFS(U1960="January",1,U1960="February",2,U1960="March",3,U1960="April",4,U1960="May",5,U1960="June",6,U1960="July",7,U1960="August",8,U1960="September",9,U1960="October",10,U1960="November",11,U1960="December",12)</f>
        <v>#N/A</v>
      </c>
    </row>
    <row r="1961" spans="1:23" ht="15.75" customHeight="1" x14ac:dyDescent="0.25">
      <c r="A1961" s="2" t="s">
        <v>869</v>
      </c>
      <c r="B1961" s="3">
        <v>45652.07130787037</v>
      </c>
      <c r="C1961" s="2" t="s">
        <v>722</v>
      </c>
      <c r="D1961" s="2" t="s">
        <v>57</v>
      </c>
      <c r="E1961" s="2" t="s">
        <v>186</v>
      </c>
      <c r="F1961" s="2" t="str" cm="1">
        <f t="array" ref="F1961:G1961">_xlfn.TEXTSPLIT(E1961," - ")</f>
        <v>Susu Bubuk</v>
      </c>
      <c r="G1961" s="2" t="str">
        <v>Brand A</v>
      </c>
      <c r="H1961" s="5">
        <v>45000</v>
      </c>
      <c r="I1961" s="2">
        <v>3</v>
      </c>
      <c r="J1961" s="2">
        <v>0</v>
      </c>
      <c r="K1961" s="8">
        <f t="shared" si="180"/>
        <v>135000</v>
      </c>
      <c r="L1961" s="8">
        <f t="shared" si="181"/>
        <v>0</v>
      </c>
      <c r="M1961" s="8">
        <f t="shared" si="182"/>
        <v>135000</v>
      </c>
      <c r="N1961" s="5">
        <v>80000</v>
      </c>
      <c r="O1961" s="8">
        <f t="shared" si="183"/>
        <v>215000</v>
      </c>
      <c r="P1961" s="2" t="s">
        <v>29</v>
      </c>
      <c r="Q1961" s="10" t="str">
        <f>VLOOKUP(A1961,Status!A:B,2,0)</f>
        <v>Completed</v>
      </c>
      <c r="R1961" s="2" t="s">
        <v>23</v>
      </c>
      <c r="S1961" s="2">
        <v>4</v>
      </c>
      <c r="T1961" s="2" t="s">
        <v>24</v>
      </c>
      <c r="U1961" s="10" t="str">
        <f t="shared" si="185"/>
        <v>Dec</v>
      </c>
      <c r="V1961" s="10">
        <f t="shared" si="184"/>
        <v>2024</v>
      </c>
      <c r="W1961" t="e" cm="1">
        <f t="array" ref="W1961">_xlfn.IFS(U1961="January",1,U1961="February",2,U1961="March",3,U1961="April",4,U1961="May",5,U1961="June",6,U1961="July",7,U1961="August",8,U1961="September",9,U1961="October",10,U1961="November",11,U1961="December",12)</f>
        <v>#N/A</v>
      </c>
    </row>
    <row r="1962" spans="1:23" ht="15.75" customHeight="1" x14ac:dyDescent="0.25">
      <c r="A1962" s="2" t="s">
        <v>870</v>
      </c>
      <c r="B1962" s="3">
        <v>45652.446261574078</v>
      </c>
      <c r="C1962" s="2" t="s">
        <v>846</v>
      </c>
      <c r="D1962" s="2" t="s">
        <v>107</v>
      </c>
      <c r="E1962" s="2" t="s">
        <v>250</v>
      </c>
      <c r="F1962" s="2" t="str" cm="1">
        <f t="array" ref="F1962:G1962">_xlfn.TEXTSPLIT(E1962," - ")</f>
        <v>Minyak Goreng</v>
      </c>
      <c r="G1962" s="2" t="str">
        <v>Brand C</v>
      </c>
      <c r="H1962" s="5">
        <v>18000</v>
      </c>
      <c r="I1962" s="2">
        <v>1</v>
      </c>
      <c r="J1962" s="2">
        <v>5</v>
      </c>
      <c r="K1962" s="8">
        <f t="shared" si="180"/>
        <v>18000</v>
      </c>
      <c r="L1962" s="8">
        <f t="shared" si="181"/>
        <v>900</v>
      </c>
      <c r="M1962" s="8">
        <f t="shared" si="182"/>
        <v>17100</v>
      </c>
      <c r="N1962" s="5">
        <v>97000</v>
      </c>
      <c r="O1962" s="8">
        <f t="shared" si="183"/>
        <v>114100</v>
      </c>
      <c r="P1962" s="2" t="s">
        <v>63</v>
      </c>
      <c r="Q1962" s="10" t="str">
        <f>VLOOKUP(A1962,Status!A:B,2,0)</f>
        <v>Completed</v>
      </c>
      <c r="R1962" s="2" t="s">
        <v>82</v>
      </c>
      <c r="S1962" s="2">
        <v>3</v>
      </c>
      <c r="T1962" s="2" t="s">
        <v>24</v>
      </c>
      <c r="U1962" s="10" t="str">
        <f t="shared" si="185"/>
        <v>Dec</v>
      </c>
      <c r="V1962" s="10">
        <f t="shared" si="184"/>
        <v>2024</v>
      </c>
      <c r="W1962" t="e" cm="1">
        <f t="array" ref="W1962">_xlfn.IFS(U1962="January",1,U1962="February",2,U1962="March",3,U1962="April",4,U1962="May",5,U1962="June",6,U1962="July",7,U1962="August",8,U1962="September",9,U1962="October",10,U1962="November",11,U1962="December",12)</f>
        <v>#N/A</v>
      </c>
    </row>
    <row r="1963" spans="1:23" ht="15.75" customHeight="1" x14ac:dyDescent="0.25">
      <c r="A1963" s="2" t="s">
        <v>871</v>
      </c>
      <c r="B1963" s="3">
        <v>45652.465567129628</v>
      </c>
      <c r="C1963" s="2" t="s">
        <v>532</v>
      </c>
      <c r="D1963" s="2" t="s">
        <v>262</v>
      </c>
      <c r="E1963" s="2" t="s">
        <v>186</v>
      </c>
      <c r="F1963" s="2" t="str" cm="1">
        <f t="array" ref="F1963:G1963">_xlfn.TEXTSPLIT(E1963," - ")</f>
        <v>Susu Bubuk</v>
      </c>
      <c r="G1963" s="2" t="str">
        <v>Brand A</v>
      </c>
      <c r="H1963" s="5">
        <v>45000</v>
      </c>
      <c r="I1963" s="2">
        <v>1</v>
      </c>
      <c r="J1963" s="2">
        <v>10</v>
      </c>
      <c r="K1963" s="8">
        <f t="shared" si="180"/>
        <v>45000</v>
      </c>
      <c r="L1963" s="8">
        <f t="shared" si="181"/>
        <v>4500</v>
      </c>
      <c r="M1963" s="8">
        <f t="shared" si="182"/>
        <v>40500</v>
      </c>
      <c r="N1963" s="5">
        <v>18000</v>
      </c>
      <c r="O1963" s="8">
        <f t="shared" si="183"/>
        <v>58500</v>
      </c>
      <c r="P1963" s="2" t="s">
        <v>22</v>
      </c>
      <c r="Q1963" s="10" t="str">
        <f>VLOOKUP(A1963,Status!A:B,2,0)</f>
        <v>Returned</v>
      </c>
      <c r="R1963" s="2" t="s">
        <v>46</v>
      </c>
      <c r="S1963" s="2">
        <v>4</v>
      </c>
      <c r="T1963" s="2" t="s">
        <v>24</v>
      </c>
      <c r="U1963" s="10" t="str">
        <f t="shared" si="185"/>
        <v>Dec</v>
      </c>
      <c r="V1963" s="10">
        <f t="shared" si="184"/>
        <v>2024</v>
      </c>
      <c r="W1963" t="e" cm="1">
        <f t="array" ref="W1963">_xlfn.IFS(U1963="January",1,U1963="February",2,U1963="March",3,U1963="April",4,U1963="May",5,U1963="June",6,U1963="July",7,U1963="August",8,U1963="September",9,U1963="October",10,U1963="November",11,U1963="December",12)</f>
        <v>#N/A</v>
      </c>
    </row>
    <row r="1964" spans="1:23" ht="15.75" customHeight="1" x14ac:dyDescent="0.25">
      <c r="A1964" s="2" t="s">
        <v>872</v>
      </c>
      <c r="B1964" s="3">
        <v>45652.688263888893</v>
      </c>
      <c r="C1964" s="2" t="s">
        <v>748</v>
      </c>
      <c r="D1964" s="2" t="s">
        <v>160</v>
      </c>
      <c r="E1964" s="2" t="s">
        <v>136</v>
      </c>
      <c r="F1964" s="2" t="str" cm="1">
        <f t="array" ref="F1964:G1964">_xlfn.TEXTSPLIT(E1964," - ")</f>
        <v>Tepung Terigu</v>
      </c>
      <c r="G1964" s="2" t="str">
        <v>Brand B</v>
      </c>
      <c r="H1964" s="5">
        <v>12000</v>
      </c>
      <c r="I1964" s="2">
        <v>5</v>
      </c>
      <c r="J1964" s="2">
        <v>15</v>
      </c>
      <c r="K1964" s="8">
        <f t="shared" si="180"/>
        <v>60000</v>
      </c>
      <c r="L1964" s="8">
        <f t="shared" si="181"/>
        <v>9000</v>
      </c>
      <c r="M1964" s="8">
        <f t="shared" si="182"/>
        <v>51000</v>
      </c>
      <c r="N1964" s="5">
        <v>68000</v>
      </c>
      <c r="O1964" s="8">
        <f t="shared" si="183"/>
        <v>119000</v>
      </c>
      <c r="P1964" s="2" t="s">
        <v>63</v>
      </c>
      <c r="Q1964" s="10" t="str">
        <f>VLOOKUP(A1964,Status!A:B,2,0)</f>
        <v>Cancelled</v>
      </c>
      <c r="R1964" s="2" t="s">
        <v>46</v>
      </c>
      <c r="S1964" s="2">
        <v>5</v>
      </c>
      <c r="T1964" s="2" t="s">
        <v>24</v>
      </c>
      <c r="U1964" s="10" t="str">
        <f t="shared" si="185"/>
        <v>Dec</v>
      </c>
      <c r="V1964" s="10">
        <f t="shared" si="184"/>
        <v>2024</v>
      </c>
      <c r="W1964" t="e" cm="1">
        <f t="array" ref="W1964">_xlfn.IFS(U1964="January",1,U1964="February",2,U1964="March",3,U1964="April",4,U1964="May",5,U1964="June",6,U1964="July",7,U1964="August",8,U1964="September",9,U1964="October",10,U1964="November",11,U1964="December",12)</f>
        <v>#N/A</v>
      </c>
    </row>
    <row r="1965" spans="1:23" ht="15.75" customHeight="1" x14ac:dyDescent="0.25">
      <c r="A1965" s="2" t="s">
        <v>873</v>
      </c>
      <c r="B1965" s="3">
        <v>45652.693229166667</v>
      </c>
      <c r="C1965" s="2" t="s">
        <v>443</v>
      </c>
      <c r="D1965" s="2" t="s">
        <v>53</v>
      </c>
      <c r="E1965" s="2" t="s">
        <v>123</v>
      </c>
      <c r="F1965" s="2" t="str" cm="1">
        <f t="array" ref="F1965:G1965">_xlfn.TEXTSPLIT(E1965," - ")</f>
        <v>Telur Ayam</v>
      </c>
      <c r="G1965" s="2" t="str">
        <v>Brand A</v>
      </c>
      <c r="H1965" s="5">
        <v>22000</v>
      </c>
      <c r="I1965" s="2">
        <v>5</v>
      </c>
      <c r="J1965" s="2">
        <v>20</v>
      </c>
      <c r="K1965" s="8">
        <f t="shared" si="180"/>
        <v>110000</v>
      </c>
      <c r="L1965" s="8">
        <f t="shared" si="181"/>
        <v>22000</v>
      </c>
      <c r="M1965" s="8">
        <f t="shared" si="182"/>
        <v>88000</v>
      </c>
      <c r="N1965" s="5">
        <v>18000</v>
      </c>
      <c r="O1965" s="8">
        <f t="shared" si="183"/>
        <v>106000</v>
      </c>
      <c r="P1965" s="2" t="s">
        <v>22</v>
      </c>
      <c r="Q1965" s="10" t="str">
        <f>VLOOKUP(A1965,Status!A:B,2,0)</f>
        <v>Completed</v>
      </c>
      <c r="R1965" s="2" t="s">
        <v>30</v>
      </c>
      <c r="S1965" s="2">
        <v>1</v>
      </c>
      <c r="T1965" s="2" t="s">
        <v>24</v>
      </c>
      <c r="U1965" s="10" t="str">
        <f t="shared" si="185"/>
        <v>Dec</v>
      </c>
      <c r="V1965" s="10">
        <f t="shared" si="184"/>
        <v>2024</v>
      </c>
      <c r="W1965" t="e" cm="1">
        <f t="array" ref="W1965">_xlfn.IFS(U1965="January",1,U1965="February",2,U1965="March",3,U1965="April",4,U1965="May",5,U1965="June",6,U1965="July",7,U1965="August",8,U1965="September",9,U1965="October",10,U1965="November",11,U1965="December",12)</f>
        <v>#N/A</v>
      </c>
    </row>
    <row r="1966" spans="1:23" ht="15.75" customHeight="1" x14ac:dyDescent="0.25">
      <c r="A1966" s="2" t="s">
        <v>874</v>
      </c>
      <c r="B1966" s="3">
        <v>45652.890289351853</v>
      </c>
      <c r="C1966" s="2" t="s">
        <v>875</v>
      </c>
      <c r="D1966" s="2" t="s">
        <v>170</v>
      </c>
      <c r="E1966" s="2" t="s">
        <v>67</v>
      </c>
      <c r="F1966" s="2" t="str" cm="1">
        <f t="array" ref="F1966:G1966">_xlfn.TEXTSPLIT(E1966," - ")</f>
        <v>Beras</v>
      </c>
      <c r="G1966" s="2" t="str">
        <v>Brand B</v>
      </c>
      <c r="H1966" s="5">
        <v>15000</v>
      </c>
      <c r="I1966" s="2">
        <v>2</v>
      </c>
      <c r="J1966" s="2">
        <v>20</v>
      </c>
      <c r="K1966" s="8">
        <f t="shared" si="180"/>
        <v>30000</v>
      </c>
      <c r="L1966" s="8">
        <f t="shared" si="181"/>
        <v>6000</v>
      </c>
      <c r="M1966" s="8">
        <f t="shared" si="182"/>
        <v>24000</v>
      </c>
      <c r="N1966" s="5">
        <v>46000</v>
      </c>
      <c r="O1966" s="8">
        <f t="shared" si="183"/>
        <v>70000</v>
      </c>
      <c r="P1966" s="2" t="s">
        <v>22</v>
      </c>
      <c r="Q1966" s="10" t="str">
        <f>VLOOKUP(A1966,Status!A:B,2,0)</f>
        <v>Completed</v>
      </c>
      <c r="R1966" s="2" t="s">
        <v>46</v>
      </c>
      <c r="S1966" s="2">
        <v>2</v>
      </c>
      <c r="T1966" s="2" t="s">
        <v>24</v>
      </c>
      <c r="U1966" s="10" t="str">
        <f t="shared" si="185"/>
        <v>Dec</v>
      </c>
      <c r="V1966" s="10">
        <f t="shared" si="184"/>
        <v>2024</v>
      </c>
      <c r="W1966" t="e" cm="1">
        <f t="array" ref="W1966">_xlfn.IFS(U1966="January",1,U1966="February",2,U1966="March",3,U1966="April",4,U1966="May",5,U1966="June",6,U1966="July",7,U1966="August",8,U1966="September",9,U1966="October",10,U1966="November",11,U1966="December",12)</f>
        <v>#N/A</v>
      </c>
    </row>
    <row r="1967" spans="1:23" ht="15.75" customHeight="1" x14ac:dyDescent="0.25">
      <c r="A1967" s="2" t="s">
        <v>876</v>
      </c>
      <c r="B1967" s="3">
        <v>45652.929050925923</v>
      </c>
      <c r="C1967" s="2" t="s">
        <v>877</v>
      </c>
      <c r="D1967" s="2" t="s">
        <v>107</v>
      </c>
      <c r="E1967" s="2" t="s">
        <v>58</v>
      </c>
      <c r="F1967" s="2" t="str" cm="1">
        <f t="array" ref="F1967:G1967">_xlfn.TEXTSPLIT(E1967," - ")</f>
        <v>Gula Pasir</v>
      </c>
      <c r="G1967" s="2" t="str">
        <v>Brand A</v>
      </c>
      <c r="H1967" s="5">
        <v>16000</v>
      </c>
      <c r="I1967" s="2">
        <v>1</v>
      </c>
      <c r="J1967" s="2">
        <v>5</v>
      </c>
      <c r="K1967" s="8">
        <f t="shared" si="180"/>
        <v>16000</v>
      </c>
      <c r="L1967" s="8">
        <f t="shared" si="181"/>
        <v>800</v>
      </c>
      <c r="M1967" s="8">
        <f t="shared" si="182"/>
        <v>15200</v>
      </c>
      <c r="N1967" s="5">
        <v>97000</v>
      </c>
      <c r="O1967" s="8">
        <f t="shared" si="183"/>
        <v>112200</v>
      </c>
      <c r="P1967" s="2" t="s">
        <v>63</v>
      </c>
      <c r="Q1967" s="10" t="str">
        <f>VLOOKUP(A1967,Status!A:B,2,0)</f>
        <v>Returned</v>
      </c>
      <c r="R1967" s="2" t="s">
        <v>23</v>
      </c>
      <c r="S1967" s="2">
        <v>2</v>
      </c>
      <c r="T1967" s="2" t="s">
        <v>24</v>
      </c>
      <c r="U1967" s="10" t="str">
        <f t="shared" si="185"/>
        <v>Dec</v>
      </c>
      <c r="V1967" s="10">
        <f t="shared" si="184"/>
        <v>2024</v>
      </c>
      <c r="W1967" t="e" cm="1">
        <f t="array" ref="W1967">_xlfn.IFS(U1967="January",1,U1967="February",2,U1967="March",3,U1967="April",4,U1967="May",5,U1967="June",6,U1967="July",7,U1967="August",8,U1967="September",9,U1967="October",10,U1967="November",11,U1967="December",12)</f>
        <v>#N/A</v>
      </c>
    </row>
    <row r="1968" spans="1:23" ht="15.75" customHeight="1" x14ac:dyDescent="0.25">
      <c r="A1968" s="2" t="s">
        <v>878</v>
      </c>
      <c r="B1968" s="3">
        <v>45653.071111111109</v>
      </c>
      <c r="C1968" s="2" t="s">
        <v>201</v>
      </c>
      <c r="D1968" s="2" t="s">
        <v>107</v>
      </c>
      <c r="E1968" s="2" t="s">
        <v>67</v>
      </c>
      <c r="F1968" s="2" t="str" cm="1">
        <f t="array" ref="F1968:G1968">_xlfn.TEXTSPLIT(E1968," - ")</f>
        <v>Beras</v>
      </c>
      <c r="G1968" s="2" t="str">
        <v>Brand B</v>
      </c>
      <c r="H1968" s="5">
        <v>15000</v>
      </c>
      <c r="I1968" s="2">
        <v>5</v>
      </c>
      <c r="J1968" s="2">
        <v>20</v>
      </c>
      <c r="K1968" s="8">
        <f t="shared" si="180"/>
        <v>75000</v>
      </c>
      <c r="L1968" s="8">
        <f t="shared" si="181"/>
        <v>15000</v>
      </c>
      <c r="M1968" s="8">
        <f t="shared" si="182"/>
        <v>60000</v>
      </c>
      <c r="N1968" s="5">
        <v>97000</v>
      </c>
      <c r="O1968" s="8">
        <f t="shared" si="183"/>
        <v>157000</v>
      </c>
      <c r="P1968" s="2" t="s">
        <v>35</v>
      </c>
      <c r="Q1968" s="10" t="str">
        <f>VLOOKUP(A1968,Status!A:B,2,0)</f>
        <v>Completed</v>
      </c>
      <c r="R1968" s="2" t="s">
        <v>30</v>
      </c>
      <c r="S1968" s="2">
        <v>3</v>
      </c>
      <c r="T1968" s="2" t="s">
        <v>24</v>
      </c>
      <c r="U1968" s="10" t="str">
        <f t="shared" si="185"/>
        <v>Dec</v>
      </c>
      <c r="V1968" s="10">
        <f t="shared" si="184"/>
        <v>2024</v>
      </c>
      <c r="W1968" t="e" cm="1">
        <f t="array" ref="W1968">_xlfn.IFS(U1968="January",1,U1968="February",2,U1968="March",3,U1968="April",4,U1968="May",5,U1968="June",6,U1968="July",7,U1968="August",8,U1968="September",9,U1968="October",10,U1968="November",11,U1968="December",12)</f>
        <v>#N/A</v>
      </c>
    </row>
    <row r="1969" spans="1:23" ht="15.75" customHeight="1" x14ac:dyDescent="0.25">
      <c r="A1969" s="2" t="s">
        <v>879</v>
      </c>
      <c r="B1969" s="3">
        <v>45653.131284722222</v>
      </c>
      <c r="C1969" s="2" t="s">
        <v>148</v>
      </c>
      <c r="D1969" s="2" t="s">
        <v>74</v>
      </c>
      <c r="E1969" s="2" t="s">
        <v>50</v>
      </c>
      <c r="F1969" s="2" t="str" cm="1">
        <f t="array" ref="F1969:G1969">_xlfn.TEXTSPLIT(E1969," - ")</f>
        <v>Tepung Terigu</v>
      </c>
      <c r="G1969" s="2" t="str">
        <v>Brand C</v>
      </c>
      <c r="H1969" s="5">
        <v>14000</v>
      </c>
      <c r="I1969" s="2">
        <v>2</v>
      </c>
      <c r="J1969" s="2">
        <v>15</v>
      </c>
      <c r="K1969" s="8">
        <f t="shared" si="180"/>
        <v>28000</v>
      </c>
      <c r="L1969" s="8">
        <f t="shared" si="181"/>
        <v>4200</v>
      </c>
      <c r="M1969" s="8">
        <f t="shared" si="182"/>
        <v>23800</v>
      </c>
      <c r="N1969" s="5">
        <v>87000</v>
      </c>
      <c r="O1969" s="8">
        <f t="shared" si="183"/>
        <v>110800</v>
      </c>
      <c r="P1969" s="2" t="s">
        <v>22</v>
      </c>
      <c r="Q1969" s="10" t="str">
        <f>VLOOKUP(A1969,Status!A:B,2,0)</f>
        <v>Completed</v>
      </c>
      <c r="R1969" s="2" t="s">
        <v>30</v>
      </c>
      <c r="S1969" s="2">
        <v>4</v>
      </c>
      <c r="T1969" s="2" t="s">
        <v>24</v>
      </c>
      <c r="U1969" s="10" t="str">
        <f t="shared" si="185"/>
        <v>Dec</v>
      </c>
      <c r="V1969" s="10">
        <f t="shared" si="184"/>
        <v>2024</v>
      </c>
      <c r="W1969" t="e" cm="1">
        <f t="array" ref="W1969">_xlfn.IFS(U1969="January",1,U1969="February",2,U1969="March",3,U1969="April",4,U1969="May",5,U1969="June",6,U1969="July",7,U1969="August",8,U1969="September",9,U1969="October",10,U1969="November",11,U1969="December",12)</f>
        <v>#N/A</v>
      </c>
    </row>
    <row r="1970" spans="1:23" ht="15.75" customHeight="1" x14ac:dyDescent="0.25">
      <c r="A1970" s="2" t="s">
        <v>880</v>
      </c>
      <c r="B1970" s="3">
        <v>45654.395462962973</v>
      </c>
      <c r="C1970" s="2" t="s">
        <v>371</v>
      </c>
      <c r="D1970" s="2" t="s">
        <v>27</v>
      </c>
      <c r="E1970" s="2" t="s">
        <v>38</v>
      </c>
      <c r="F1970" s="2" t="str" cm="1">
        <f t="array" ref="F1970:G1970">_xlfn.TEXTSPLIT(E1970," - ")</f>
        <v>Telur Ayam</v>
      </c>
      <c r="G1970" s="2" t="str">
        <v>Brand C</v>
      </c>
      <c r="H1970" s="5">
        <v>28000</v>
      </c>
      <c r="I1970" s="2">
        <v>3</v>
      </c>
      <c r="J1970" s="2">
        <v>5</v>
      </c>
      <c r="K1970" s="8">
        <f t="shared" si="180"/>
        <v>84000</v>
      </c>
      <c r="L1970" s="8">
        <f t="shared" si="181"/>
        <v>4200</v>
      </c>
      <c r="M1970" s="8">
        <f t="shared" si="182"/>
        <v>79800</v>
      </c>
      <c r="N1970" s="5">
        <v>17000</v>
      </c>
      <c r="O1970" s="8">
        <f t="shared" si="183"/>
        <v>96800</v>
      </c>
      <c r="P1970" s="2" t="s">
        <v>22</v>
      </c>
      <c r="Q1970" s="10" t="str">
        <f>VLOOKUP(A1970,Status!A:B,2,0)</f>
        <v>Completed</v>
      </c>
      <c r="R1970" s="2" t="s">
        <v>82</v>
      </c>
      <c r="S1970" s="2">
        <v>2</v>
      </c>
      <c r="T1970" s="2" t="s">
        <v>24</v>
      </c>
      <c r="U1970" s="10" t="str">
        <f t="shared" si="185"/>
        <v>Dec</v>
      </c>
      <c r="V1970" s="10">
        <f t="shared" si="184"/>
        <v>2024</v>
      </c>
      <c r="W1970" t="e" cm="1">
        <f t="array" ref="W1970">_xlfn.IFS(U1970="January",1,U1970="February",2,U1970="March",3,U1970="April",4,U1970="May",5,U1970="June",6,U1970="July",7,U1970="August",8,U1970="September",9,U1970="October",10,U1970="November",11,U1970="December",12)</f>
        <v>#N/A</v>
      </c>
    </row>
    <row r="1971" spans="1:23" ht="15.75" customHeight="1" x14ac:dyDescent="0.25">
      <c r="A1971" s="2" t="s">
        <v>881</v>
      </c>
      <c r="B1971" s="3">
        <v>45654.502337962957</v>
      </c>
      <c r="C1971" s="2" t="s">
        <v>275</v>
      </c>
      <c r="D1971" s="2" t="s">
        <v>96</v>
      </c>
      <c r="E1971" s="2" t="s">
        <v>67</v>
      </c>
      <c r="F1971" s="2" t="str" cm="1">
        <f t="array" ref="F1971:G1971">_xlfn.TEXTSPLIT(E1971," - ")</f>
        <v>Beras</v>
      </c>
      <c r="G1971" s="2" t="str">
        <v>Brand B</v>
      </c>
      <c r="H1971" s="5">
        <v>15000</v>
      </c>
      <c r="I1971" s="2">
        <v>2</v>
      </c>
      <c r="J1971" s="2">
        <v>0</v>
      </c>
      <c r="K1971" s="8">
        <f t="shared" si="180"/>
        <v>30000</v>
      </c>
      <c r="L1971" s="8">
        <f t="shared" si="181"/>
        <v>0</v>
      </c>
      <c r="M1971" s="8">
        <f t="shared" si="182"/>
        <v>30000</v>
      </c>
      <c r="N1971" s="5">
        <v>49000</v>
      </c>
      <c r="O1971" s="8">
        <f t="shared" si="183"/>
        <v>79000</v>
      </c>
      <c r="P1971" s="2" t="s">
        <v>35</v>
      </c>
      <c r="Q1971" s="10" t="str">
        <f>VLOOKUP(A1971,Status!A:B,2,0)</f>
        <v>Completed</v>
      </c>
      <c r="R1971" s="2" t="s">
        <v>30</v>
      </c>
      <c r="S1971" s="2">
        <v>3</v>
      </c>
      <c r="T1971" s="2" t="s">
        <v>24</v>
      </c>
      <c r="U1971" s="10" t="str">
        <f t="shared" si="185"/>
        <v>Dec</v>
      </c>
      <c r="V1971" s="10">
        <f t="shared" si="184"/>
        <v>2024</v>
      </c>
      <c r="W1971" t="e" cm="1">
        <f t="array" ref="W1971">_xlfn.IFS(U1971="January",1,U1971="February",2,U1971="March",3,U1971="April",4,U1971="May",5,U1971="June",6,U1971="July",7,U1971="August",8,U1971="September",9,U1971="October",10,U1971="November",11,U1971="December",12)</f>
        <v>#N/A</v>
      </c>
    </row>
    <row r="1972" spans="1:23" ht="15.75" customHeight="1" x14ac:dyDescent="0.25">
      <c r="A1972" s="2" t="s">
        <v>881</v>
      </c>
      <c r="B1972" s="3">
        <v>45654.502337962957</v>
      </c>
      <c r="C1972" s="2" t="s">
        <v>275</v>
      </c>
      <c r="D1972" s="2" t="s">
        <v>96</v>
      </c>
      <c r="E1972" s="2" t="s">
        <v>85</v>
      </c>
      <c r="F1972" s="2" t="str" cm="1">
        <f t="array" ref="F1972:G1972">_xlfn.TEXTSPLIT(E1972," - ")</f>
        <v>Daging Ayam</v>
      </c>
      <c r="G1972" s="2" t="str">
        <v>Brand A</v>
      </c>
      <c r="H1972" s="5">
        <v>35000</v>
      </c>
      <c r="I1972" s="2">
        <v>1</v>
      </c>
      <c r="J1972" s="2">
        <v>5</v>
      </c>
      <c r="K1972" s="8">
        <f t="shared" si="180"/>
        <v>35000</v>
      </c>
      <c r="L1972" s="8">
        <f t="shared" si="181"/>
        <v>1750</v>
      </c>
      <c r="M1972" s="8">
        <f t="shared" si="182"/>
        <v>33250</v>
      </c>
      <c r="N1972" s="5">
        <v>0</v>
      </c>
      <c r="O1972" s="8">
        <f t="shared" si="183"/>
        <v>33250</v>
      </c>
      <c r="P1972" s="2" t="s">
        <v>35</v>
      </c>
      <c r="Q1972" s="10" t="str">
        <f>VLOOKUP(A1972,Status!A:B,2,0)</f>
        <v>Completed</v>
      </c>
      <c r="R1972" s="2" t="s">
        <v>30</v>
      </c>
      <c r="S1972" s="2">
        <v>3</v>
      </c>
      <c r="T1972" s="2" t="s">
        <v>24</v>
      </c>
      <c r="U1972" s="10" t="str">
        <f t="shared" si="185"/>
        <v>Dec</v>
      </c>
      <c r="V1972" s="10">
        <f t="shared" si="184"/>
        <v>2024</v>
      </c>
      <c r="W1972" t="e" cm="1">
        <f t="array" ref="W1972">_xlfn.IFS(U1972="January",1,U1972="February",2,U1972="March",3,U1972="April",4,U1972="May",5,U1972="June",6,U1972="July",7,U1972="August",8,U1972="September",9,U1972="October",10,U1972="November",11,U1972="December",12)</f>
        <v>#N/A</v>
      </c>
    </row>
    <row r="1973" spans="1:23" ht="15.75" customHeight="1" x14ac:dyDescent="0.25">
      <c r="A1973" s="2" t="s">
        <v>882</v>
      </c>
      <c r="B1973" s="3">
        <v>45654.514606481483</v>
      </c>
      <c r="C1973" s="2" t="s">
        <v>883</v>
      </c>
      <c r="D1973" s="2" t="s">
        <v>44</v>
      </c>
      <c r="E1973" s="2" t="s">
        <v>123</v>
      </c>
      <c r="F1973" s="2" t="str" cm="1">
        <f t="array" ref="F1973:G1973">_xlfn.TEXTSPLIT(E1973," - ")</f>
        <v>Telur Ayam</v>
      </c>
      <c r="G1973" s="2" t="str">
        <v>Brand A</v>
      </c>
      <c r="H1973" s="5">
        <v>22000</v>
      </c>
      <c r="I1973" s="2">
        <v>2</v>
      </c>
      <c r="J1973" s="2">
        <v>10</v>
      </c>
      <c r="K1973" s="8">
        <f t="shared" si="180"/>
        <v>44000</v>
      </c>
      <c r="L1973" s="8">
        <f t="shared" si="181"/>
        <v>4400</v>
      </c>
      <c r="M1973" s="8">
        <f t="shared" si="182"/>
        <v>39600</v>
      </c>
      <c r="N1973" s="5">
        <v>93000</v>
      </c>
      <c r="O1973" s="8">
        <f t="shared" si="183"/>
        <v>132600</v>
      </c>
      <c r="P1973" s="2" t="s">
        <v>63</v>
      </c>
      <c r="Q1973" s="10" t="str">
        <f>VLOOKUP(A1973,Status!A:B,2,0)</f>
        <v>Completed</v>
      </c>
      <c r="R1973" s="2" t="s">
        <v>30</v>
      </c>
      <c r="S1973" s="2">
        <v>1</v>
      </c>
      <c r="T1973" s="2" t="s">
        <v>37</v>
      </c>
      <c r="U1973" s="10" t="str">
        <f t="shared" si="185"/>
        <v>Dec</v>
      </c>
      <c r="V1973" s="10">
        <f t="shared" si="184"/>
        <v>2024</v>
      </c>
      <c r="W1973" t="e" cm="1">
        <f t="array" ref="W1973">_xlfn.IFS(U1973="January",1,U1973="February",2,U1973="March",3,U1973="April",4,U1973="May",5,U1973="June",6,U1973="July",7,U1973="August",8,U1973="September",9,U1973="October",10,U1973="November",11,U1973="December",12)</f>
        <v>#N/A</v>
      </c>
    </row>
    <row r="1974" spans="1:23" ht="15.75" customHeight="1" x14ac:dyDescent="0.25">
      <c r="A1974" s="2" t="s">
        <v>882</v>
      </c>
      <c r="B1974" s="3">
        <v>45654.514606481483</v>
      </c>
      <c r="C1974" s="2" t="s">
        <v>883</v>
      </c>
      <c r="D1974" s="2" t="s">
        <v>44</v>
      </c>
      <c r="E1974" s="2" t="s">
        <v>28</v>
      </c>
      <c r="F1974" s="2" t="str" cm="1">
        <f t="array" ref="F1974:G1974">_xlfn.TEXTSPLIT(E1974," - ")</f>
        <v>Garam</v>
      </c>
      <c r="G1974" s="2" t="str">
        <v>Brand B</v>
      </c>
      <c r="H1974" s="5">
        <v>5000</v>
      </c>
      <c r="I1974" s="2">
        <v>2</v>
      </c>
      <c r="J1974" s="2">
        <v>10</v>
      </c>
      <c r="K1974" s="8">
        <f t="shared" si="180"/>
        <v>10000</v>
      </c>
      <c r="L1974" s="8">
        <f t="shared" si="181"/>
        <v>1000</v>
      </c>
      <c r="M1974" s="8">
        <f t="shared" si="182"/>
        <v>9000</v>
      </c>
      <c r="N1974" s="5">
        <v>0</v>
      </c>
      <c r="O1974" s="8">
        <f t="shared" si="183"/>
        <v>9000</v>
      </c>
      <c r="P1974" s="2" t="s">
        <v>63</v>
      </c>
      <c r="Q1974" s="10" t="str">
        <f>VLOOKUP(A1974,Status!A:B,2,0)</f>
        <v>Completed</v>
      </c>
      <c r="R1974" s="2" t="s">
        <v>30</v>
      </c>
      <c r="S1974" s="2">
        <v>1</v>
      </c>
      <c r="T1974" s="2" t="s">
        <v>37</v>
      </c>
      <c r="U1974" s="10" t="str">
        <f t="shared" si="185"/>
        <v>Dec</v>
      </c>
      <c r="V1974" s="10">
        <f t="shared" si="184"/>
        <v>2024</v>
      </c>
      <c r="W1974" t="e" cm="1">
        <f t="array" ref="W1974">_xlfn.IFS(U1974="January",1,U1974="February",2,U1974="March",3,U1974="April",4,U1974="May",5,U1974="June",6,U1974="July",7,U1974="August",8,U1974="September",9,U1974="October",10,U1974="November",11,U1974="December",12)</f>
        <v>#N/A</v>
      </c>
    </row>
    <row r="1975" spans="1:23" ht="15.75" customHeight="1" x14ac:dyDescent="0.25">
      <c r="A1975" s="2" t="s">
        <v>884</v>
      </c>
      <c r="B1975" s="3">
        <v>45654.560034722221</v>
      </c>
      <c r="C1975" s="2" t="s">
        <v>261</v>
      </c>
      <c r="D1975" s="2" t="s">
        <v>262</v>
      </c>
      <c r="E1975" s="2" t="s">
        <v>110</v>
      </c>
      <c r="F1975" s="2" t="str" cm="1">
        <f t="array" ref="F1975:G1975">_xlfn.TEXTSPLIT(E1975," - ")</f>
        <v>Garam</v>
      </c>
      <c r="G1975" s="2" t="str">
        <v>Brand C</v>
      </c>
      <c r="H1975" s="5">
        <v>6000</v>
      </c>
      <c r="I1975" s="2">
        <v>3</v>
      </c>
      <c r="J1975" s="2">
        <v>15</v>
      </c>
      <c r="K1975" s="8">
        <f t="shared" si="180"/>
        <v>18000</v>
      </c>
      <c r="L1975" s="8">
        <f t="shared" si="181"/>
        <v>2700</v>
      </c>
      <c r="M1975" s="8">
        <f t="shared" si="182"/>
        <v>15300</v>
      </c>
      <c r="N1975" s="5">
        <v>18000</v>
      </c>
      <c r="O1975" s="8">
        <f t="shared" si="183"/>
        <v>33300</v>
      </c>
      <c r="P1975" s="2" t="s">
        <v>63</v>
      </c>
      <c r="Q1975" s="10" t="str">
        <f>VLOOKUP(A1975,Status!A:B,2,0)</f>
        <v>Completed</v>
      </c>
      <c r="R1975" s="2" t="s">
        <v>30</v>
      </c>
      <c r="S1975" s="2">
        <v>2</v>
      </c>
      <c r="T1975" s="2" t="s">
        <v>24</v>
      </c>
      <c r="U1975" s="10" t="str">
        <f t="shared" si="185"/>
        <v>Dec</v>
      </c>
      <c r="V1975" s="10">
        <f t="shared" si="184"/>
        <v>2024</v>
      </c>
      <c r="W1975" t="e" cm="1">
        <f t="array" ref="W1975">_xlfn.IFS(U1975="January",1,U1975="February",2,U1975="March",3,U1975="April",4,U1975="May",5,U1975="June",6,U1975="July",7,U1975="August",8,U1975="September",9,U1975="October",10,U1975="November",11,U1975="December",12)</f>
        <v>#N/A</v>
      </c>
    </row>
    <row r="1976" spans="1:23" ht="15.75" customHeight="1" x14ac:dyDescent="0.25">
      <c r="A1976" s="2" t="s">
        <v>885</v>
      </c>
      <c r="B1976" s="3">
        <v>45654.772094907406</v>
      </c>
      <c r="C1976" s="2" t="s">
        <v>400</v>
      </c>
      <c r="D1976" s="2" t="s">
        <v>27</v>
      </c>
      <c r="E1976" s="2" t="s">
        <v>28</v>
      </c>
      <c r="F1976" s="2" t="str" cm="1">
        <f t="array" ref="F1976:G1976">_xlfn.TEXTSPLIT(E1976," - ")</f>
        <v>Garam</v>
      </c>
      <c r="G1976" s="2" t="str">
        <v>Brand B</v>
      </c>
      <c r="H1976" s="5">
        <v>5000</v>
      </c>
      <c r="I1976" s="2">
        <v>4</v>
      </c>
      <c r="J1976" s="2">
        <v>15</v>
      </c>
      <c r="K1976" s="8">
        <f t="shared" si="180"/>
        <v>20000</v>
      </c>
      <c r="L1976" s="8">
        <f t="shared" si="181"/>
        <v>3000</v>
      </c>
      <c r="M1976" s="8">
        <f t="shared" si="182"/>
        <v>17000</v>
      </c>
      <c r="N1976" s="5">
        <v>17000</v>
      </c>
      <c r="O1976" s="8">
        <f t="shared" si="183"/>
        <v>34000</v>
      </c>
      <c r="P1976" s="2" t="s">
        <v>22</v>
      </c>
      <c r="Q1976" s="10" t="str">
        <f>VLOOKUP(A1976,Status!A:B,2,0)</f>
        <v>Completed</v>
      </c>
      <c r="R1976" s="2" t="s">
        <v>23</v>
      </c>
      <c r="S1976" s="2">
        <v>5</v>
      </c>
      <c r="T1976" s="2" t="s">
        <v>24</v>
      </c>
      <c r="U1976" s="10" t="str">
        <f t="shared" si="185"/>
        <v>Dec</v>
      </c>
      <c r="V1976" s="10">
        <f t="shared" si="184"/>
        <v>2024</v>
      </c>
      <c r="W1976" t="e" cm="1">
        <f t="array" ref="W1976">_xlfn.IFS(U1976="January",1,U1976="February",2,U1976="March",3,U1976="April",4,U1976="May",5,U1976="June",6,U1976="July",7,U1976="August",8,U1976="September",9,U1976="October",10,U1976="November",11,U1976="December",12)</f>
        <v>#N/A</v>
      </c>
    </row>
    <row r="1977" spans="1:23" ht="15.75" customHeight="1" x14ac:dyDescent="0.25">
      <c r="A1977" s="2" t="s">
        <v>886</v>
      </c>
      <c r="B1977" s="3">
        <v>45654.837314814817</v>
      </c>
      <c r="C1977" s="2" t="s">
        <v>488</v>
      </c>
      <c r="D1977" s="2" t="s">
        <v>49</v>
      </c>
      <c r="E1977" s="2" t="s">
        <v>123</v>
      </c>
      <c r="F1977" s="2" t="str" cm="1">
        <f t="array" ref="F1977:G1977">_xlfn.TEXTSPLIT(E1977," - ")</f>
        <v>Telur Ayam</v>
      </c>
      <c r="G1977" s="2" t="str">
        <v>Brand A</v>
      </c>
      <c r="H1977" s="5">
        <v>22000</v>
      </c>
      <c r="I1977" s="2">
        <v>2</v>
      </c>
      <c r="J1977" s="2">
        <v>15</v>
      </c>
      <c r="K1977" s="8">
        <f t="shared" si="180"/>
        <v>44000</v>
      </c>
      <c r="L1977" s="8">
        <f t="shared" si="181"/>
        <v>6600</v>
      </c>
      <c r="M1977" s="8">
        <f t="shared" si="182"/>
        <v>37400</v>
      </c>
      <c r="N1977" s="5">
        <v>43000</v>
      </c>
      <c r="O1977" s="8">
        <f t="shared" si="183"/>
        <v>80400</v>
      </c>
      <c r="P1977" s="2" t="s">
        <v>29</v>
      </c>
      <c r="Q1977" s="10" t="str">
        <f>VLOOKUP(A1977,Status!A:B,2,0)</f>
        <v>Cancelled</v>
      </c>
      <c r="R1977" s="2" t="s">
        <v>46</v>
      </c>
      <c r="S1977" s="2">
        <v>2</v>
      </c>
      <c r="T1977" s="2" t="s">
        <v>24</v>
      </c>
      <c r="U1977" s="10" t="str">
        <f t="shared" si="185"/>
        <v>Dec</v>
      </c>
      <c r="V1977" s="10">
        <f t="shared" si="184"/>
        <v>2024</v>
      </c>
      <c r="W1977" t="e" cm="1">
        <f t="array" ref="W1977">_xlfn.IFS(U1977="January",1,U1977="February",2,U1977="March",3,U1977="April",4,U1977="May",5,U1977="June",6,U1977="July",7,U1977="August",8,U1977="September",9,U1977="October",10,U1977="November",11,U1977="December",12)</f>
        <v>#N/A</v>
      </c>
    </row>
    <row r="1978" spans="1:23" ht="15.75" customHeight="1" x14ac:dyDescent="0.25">
      <c r="A1978" s="2" t="s">
        <v>887</v>
      </c>
      <c r="B1978" s="3">
        <v>45654.920648148152</v>
      </c>
      <c r="C1978" s="2" t="s">
        <v>128</v>
      </c>
      <c r="D1978" s="2" t="s">
        <v>103</v>
      </c>
      <c r="E1978" s="2" t="s">
        <v>93</v>
      </c>
      <c r="F1978" s="2" t="str" cm="1">
        <f t="array" ref="F1978:G1978">_xlfn.TEXTSPLIT(E1978," - ")</f>
        <v>Telur Ayam</v>
      </c>
      <c r="G1978" s="2" t="str">
        <v>Brand B</v>
      </c>
      <c r="H1978" s="5">
        <v>25000</v>
      </c>
      <c r="I1978" s="2">
        <v>5</v>
      </c>
      <c r="J1978" s="2">
        <v>20</v>
      </c>
      <c r="K1978" s="8">
        <f t="shared" si="180"/>
        <v>125000</v>
      </c>
      <c r="L1978" s="8">
        <f t="shared" si="181"/>
        <v>25000</v>
      </c>
      <c r="M1978" s="8">
        <f t="shared" si="182"/>
        <v>100000</v>
      </c>
      <c r="N1978" s="5">
        <v>85000</v>
      </c>
      <c r="O1978" s="8">
        <f t="shared" si="183"/>
        <v>185000</v>
      </c>
      <c r="P1978" s="2" t="s">
        <v>22</v>
      </c>
      <c r="Q1978" s="10" t="str">
        <f>VLOOKUP(A1978,Status!A:B,2,0)</f>
        <v>Completed</v>
      </c>
      <c r="R1978" s="2" t="s">
        <v>36</v>
      </c>
      <c r="S1978" s="2">
        <v>5</v>
      </c>
      <c r="T1978" s="2" t="s">
        <v>37</v>
      </c>
      <c r="U1978" s="10" t="str">
        <f t="shared" si="185"/>
        <v>Dec</v>
      </c>
      <c r="V1978" s="10">
        <f t="shared" si="184"/>
        <v>2024</v>
      </c>
      <c r="W1978" t="e" cm="1">
        <f t="array" ref="W1978">_xlfn.IFS(U1978="January",1,U1978="February",2,U1978="March",3,U1978="April",4,U1978="May",5,U1978="June",6,U1978="July",7,U1978="August",8,U1978="September",9,U1978="October",10,U1978="November",11,U1978="December",12)</f>
        <v>#N/A</v>
      </c>
    </row>
    <row r="1979" spans="1:23" ht="15.75" customHeight="1" x14ac:dyDescent="0.25">
      <c r="A1979" s="2" t="s">
        <v>888</v>
      </c>
      <c r="B1979" s="3">
        <v>45654.936238425929</v>
      </c>
      <c r="C1979" s="2" t="s">
        <v>782</v>
      </c>
      <c r="D1979" s="2" t="s">
        <v>177</v>
      </c>
      <c r="E1979" s="2" t="s">
        <v>138</v>
      </c>
      <c r="F1979" s="2" t="str" cm="1">
        <f t="array" ref="F1979:G1979">_xlfn.TEXTSPLIT(E1979," - ")</f>
        <v>Gula Pasir</v>
      </c>
      <c r="G1979" s="2" t="str">
        <v>Brand B</v>
      </c>
      <c r="H1979" s="5">
        <v>17000</v>
      </c>
      <c r="I1979" s="2">
        <v>4</v>
      </c>
      <c r="J1979" s="2">
        <v>20</v>
      </c>
      <c r="K1979" s="8">
        <f t="shared" si="180"/>
        <v>68000</v>
      </c>
      <c r="L1979" s="8">
        <f t="shared" si="181"/>
        <v>13600</v>
      </c>
      <c r="M1979" s="8">
        <f t="shared" si="182"/>
        <v>54400</v>
      </c>
      <c r="N1979" s="5">
        <v>56000</v>
      </c>
      <c r="O1979" s="8">
        <f t="shared" si="183"/>
        <v>110400</v>
      </c>
      <c r="P1979" s="2" t="s">
        <v>29</v>
      </c>
      <c r="Q1979" s="10" t="str">
        <f>VLOOKUP(A1979,Status!A:B,2,0)</f>
        <v>Completed</v>
      </c>
      <c r="R1979" s="2" t="s">
        <v>82</v>
      </c>
      <c r="S1979" s="2">
        <v>3</v>
      </c>
      <c r="T1979" s="2" t="s">
        <v>24</v>
      </c>
      <c r="U1979" s="10" t="str">
        <f t="shared" si="185"/>
        <v>Dec</v>
      </c>
      <c r="V1979" s="10">
        <f t="shared" si="184"/>
        <v>2024</v>
      </c>
      <c r="W1979" t="e" cm="1">
        <f t="array" ref="W1979">_xlfn.IFS(U1979="January",1,U1979="February",2,U1979="March",3,U1979="April",4,U1979="May",5,U1979="June",6,U1979="July",7,U1979="August",8,U1979="September",9,U1979="October",10,U1979="November",11,U1979="December",12)</f>
        <v>#N/A</v>
      </c>
    </row>
    <row r="1980" spans="1:23" ht="15.75" customHeight="1" x14ac:dyDescent="0.25">
      <c r="A1980" s="2" t="s">
        <v>889</v>
      </c>
      <c r="B1980" s="3">
        <v>45655.067314814813</v>
      </c>
      <c r="C1980" s="2" t="s">
        <v>167</v>
      </c>
      <c r="D1980" s="2" t="s">
        <v>44</v>
      </c>
      <c r="E1980" s="2" t="s">
        <v>62</v>
      </c>
      <c r="F1980" s="2" t="str" cm="1">
        <f t="array" ref="F1980:G1980">_xlfn.TEXTSPLIT(E1980," - ")</f>
        <v>Susu Bubuk</v>
      </c>
      <c r="G1980" s="2" t="str">
        <v>Brand B</v>
      </c>
      <c r="H1980" s="5">
        <v>50000</v>
      </c>
      <c r="I1980" s="2">
        <v>2</v>
      </c>
      <c r="J1980" s="2">
        <v>0</v>
      </c>
      <c r="K1980" s="8">
        <f t="shared" si="180"/>
        <v>100000</v>
      </c>
      <c r="L1980" s="8">
        <f t="shared" si="181"/>
        <v>0</v>
      </c>
      <c r="M1980" s="8">
        <f t="shared" si="182"/>
        <v>100000</v>
      </c>
      <c r="N1980" s="5">
        <v>93000</v>
      </c>
      <c r="O1980" s="8">
        <f t="shared" si="183"/>
        <v>193000</v>
      </c>
      <c r="P1980" s="2" t="s">
        <v>35</v>
      </c>
      <c r="Q1980" s="10" t="str">
        <f>VLOOKUP(A1980,Status!A:B,2,0)</f>
        <v>Completed</v>
      </c>
      <c r="R1980" s="2" t="s">
        <v>46</v>
      </c>
      <c r="S1980" s="2">
        <v>1</v>
      </c>
      <c r="T1980" s="2" t="s">
        <v>24</v>
      </c>
      <c r="U1980" s="10" t="str">
        <f t="shared" si="185"/>
        <v>Dec</v>
      </c>
      <c r="V1980" s="10">
        <f t="shared" si="184"/>
        <v>2024</v>
      </c>
      <c r="W1980" t="e" cm="1">
        <f t="array" ref="W1980">_xlfn.IFS(U1980="January",1,U1980="February",2,U1980="March",3,U1980="April",4,U1980="May",5,U1980="June",6,U1980="July",7,U1980="August",8,U1980="September",9,U1980="October",10,U1980="November",11,U1980="December",12)</f>
        <v>#N/A</v>
      </c>
    </row>
    <row r="1981" spans="1:23" ht="15.75" customHeight="1" x14ac:dyDescent="0.25">
      <c r="A1981" s="2" t="s">
        <v>890</v>
      </c>
      <c r="B1981" s="3">
        <v>45655.068379629629</v>
      </c>
      <c r="C1981" s="2" t="s">
        <v>891</v>
      </c>
      <c r="D1981" s="2" t="s">
        <v>126</v>
      </c>
      <c r="E1981" s="2" t="s">
        <v>144</v>
      </c>
      <c r="F1981" s="2" t="str" cm="1">
        <f t="array" ref="F1981:G1981">_xlfn.TEXTSPLIT(E1981," - ")</f>
        <v>Gula Pasir</v>
      </c>
      <c r="G1981" s="2" t="str">
        <v>Brand C</v>
      </c>
      <c r="H1981" s="5">
        <v>18000</v>
      </c>
      <c r="I1981" s="2">
        <v>4</v>
      </c>
      <c r="J1981" s="2">
        <v>5</v>
      </c>
      <c r="K1981" s="8">
        <f t="shared" si="180"/>
        <v>72000</v>
      </c>
      <c r="L1981" s="8">
        <f t="shared" si="181"/>
        <v>3600</v>
      </c>
      <c r="M1981" s="8">
        <f t="shared" si="182"/>
        <v>68400</v>
      </c>
      <c r="N1981" s="5">
        <v>84000</v>
      </c>
      <c r="O1981" s="8">
        <f t="shared" si="183"/>
        <v>152400</v>
      </c>
      <c r="P1981" s="2" t="s">
        <v>35</v>
      </c>
      <c r="Q1981" s="10" t="str">
        <f>VLOOKUP(A1981,Status!A:B,2,0)</f>
        <v>Completed</v>
      </c>
      <c r="R1981" s="2" t="s">
        <v>46</v>
      </c>
      <c r="S1981" s="2">
        <v>1</v>
      </c>
      <c r="T1981" s="2" t="s">
        <v>37</v>
      </c>
      <c r="U1981" s="10" t="str">
        <f t="shared" si="185"/>
        <v>Dec</v>
      </c>
      <c r="V1981" s="10">
        <f t="shared" si="184"/>
        <v>2024</v>
      </c>
      <c r="W1981" t="e" cm="1">
        <f t="array" ref="W1981">_xlfn.IFS(U1981="January",1,U1981="February",2,U1981="March",3,U1981="April",4,U1981="May",5,U1981="June",6,U1981="July",7,U1981="August",8,U1981="September",9,U1981="October",10,U1981="November",11,U1981="December",12)</f>
        <v>#N/A</v>
      </c>
    </row>
    <row r="1982" spans="1:23" ht="15.75" customHeight="1" x14ac:dyDescent="0.25">
      <c r="A1982" s="2" t="s">
        <v>892</v>
      </c>
      <c r="B1982" s="3">
        <v>45655.187175925923</v>
      </c>
      <c r="C1982" s="2" t="s">
        <v>91</v>
      </c>
      <c r="D1982" s="2" t="s">
        <v>92</v>
      </c>
      <c r="E1982" s="2" t="s">
        <v>190</v>
      </c>
      <c r="F1982" s="2" t="str" cm="1">
        <f t="array" ref="F1982:G1982">_xlfn.TEXTSPLIT(E1982," - ")</f>
        <v>Bawang Merah</v>
      </c>
      <c r="G1982" s="2" t="str">
        <v>Brand B</v>
      </c>
      <c r="H1982" s="5">
        <v>35000</v>
      </c>
      <c r="I1982" s="2">
        <v>1</v>
      </c>
      <c r="J1982" s="2">
        <v>10</v>
      </c>
      <c r="K1982" s="8">
        <f t="shared" si="180"/>
        <v>35000</v>
      </c>
      <c r="L1982" s="8">
        <f t="shared" si="181"/>
        <v>3500</v>
      </c>
      <c r="M1982" s="8">
        <f t="shared" si="182"/>
        <v>31500</v>
      </c>
      <c r="N1982" s="5">
        <v>30000</v>
      </c>
      <c r="O1982" s="8">
        <f t="shared" si="183"/>
        <v>61500</v>
      </c>
      <c r="P1982" s="2" t="s">
        <v>63</v>
      </c>
      <c r="Q1982" s="10" t="str">
        <f>VLOOKUP(A1982,Status!A:B,2,0)</f>
        <v>Completed</v>
      </c>
      <c r="R1982" s="2" t="s">
        <v>82</v>
      </c>
      <c r="S1982" s="2">
        <v>3</v>
      </c>
      <c r="T1982" s="2" t="s">
        <v>24</v>
      </c>
      <c r="U1982" s="10" t="str">
        <f t="shared" si="185"/>
        <v>Dec</v>
      </c>
      <c r="V1982" s="10">
        <f t="shared" si="184"/>
        <v>2024</v>
      </c>
      <c r="W1982" t="e" cm="1">
        <f t="array" ref="W1982">_xlfn.IFS(U1982="January",1,U1982="February",2,U1982="March",3,U1982="April",4,U1982="May",5,U1982="June",6,U1982="July",7,U1982="August",8,U1982="September",9,U1982="October",10,U1982="November",11,U1982="December",12)</f>
        <v>#N/A</v>
      </c>
    </row>
    <row r="1983" spans="1:23" ht="15.75" customHeight="1" x14ac:dyDescent="0.25">
      <c r="A1983" s="2" t="s">
        <v>893</v>
      </c>
      <c r="B1983" s="3">
        <v>45655.374756944453</v>
      </c>
      <c r="C1983" s="2" t="s">
        <v>331</v>
      </c>
      <c r="D1983" s="2" t="s">
        <v>20</v>
      </c>
      <c r="E1983" s="2" t="s">
        <v>104</v>
      </c>
      <c r="F1983" s="2" t="str" cm="1">
        <f t="array" ref="F1983:G1983">_xlfn.TEXTSPLIT(E1983," - ")</f>
        <v>Bawang Merah</v>
      </c>
      <c r="G1983" s="2" t="str">
        <v>Brand A</v>
      </c>
      <c r="H1983" s="5">
        <v>30000</v>
      </c>
      <c r="I1983" s="2">
        <v>2</v>
      </c>
      <c r="J1983" s="2">
        <v>20</v>
      </c>
      <c r="K1983" s="8">
        <f t="shared" si="180"/>
        <v>60000</v>
      </c>
      <c r="L1983" s="8">
        <f t="shared" si="181"/>
        <v>12000</v>
      </c>
      <c r="M1983" s="8">
        <f t="shared" si="182"/>
        <v>48000</v>
      </c>
      <c r="N1983" s="5">
        <v>15000</v>
      </c>
      <c r="O1983" s="8">
        <f t="shared" si="183"/>
        <v>63000</v>
      </c>
      <c r="P1983" s="2" t="s">
        <v>22</v>
      </c>
      <c r="Q1983" s="10" t="str">
        <f>VLOOKUP(A1983,Status!A:B,2,0)</f>
        <v>Completed</v>
      </c>
      <c r="R1983" s="2" t="s">
        <v>82</v>
      </c>
      <c r="S1983" s="2">
        <v>1</v>
      </c>
      <c r="T1983" s="2" t="s">
        <v>37</v>
      </c>
      <c r="U1983" s="10" t="str">
        <f t="shared" si="185"/>
        <v>Dec</v>
      </c>
      <c r="V1983" s="10">
        <f t="shared" si="184"/>
        <v>2024</v>
      </c>
      <c r="W1983" t="e" cm="1">
        <f t="array" ref="W1983">_xlfn.IFS(U1983="January",1,U1983="February",2,U1983="March",3,U1983="April",4,U1983="May",5,U1983="June",6,U1983="July",7,U1983="August",8,U1983="September",9,U1983="October",10,U1983="November",11,U1983="December",12)</f>
        <v>#N/A</v>
      </c>
    </row>
    <row r="1984" spans="1:23" ht="15.75" customHeight="1" x14ac:dyDescent="0.25">
      <c r="A1984" s="2" t="s">
        <v>894</v>
      </c>
      <c r="B1984" s="3">
        <v>45655.458425925928</v>
      </c>
      <c r="C1984" s="2" t="s">
        <v>100</v>
      </c>
      <c r="D1984" s="2" t="s">
        <v>66</v>
      </c>
      <c r="E1984" s="2" t="s">
        <v>28</v>
      </c>
      <c r="F1984" s="2" t="str" cm="1">
        <f t="array" ref="F1984:G1984">_xlfn.TEXTSPLIT(E1984," - ")</f>
        <v>Garam</v>
      </c>
      <c r="G1984" s="2" t="str">
        <v>Brand B</v>
      </c>
      <c r="H1984" s="5">
        <v>5000</v>
      </c>
      <c r="I1984" s="2">
        <v>3</v>
      </c>
      <c r="J1984" s="2">
        <v>10</v>
      </c>
      <c r="K1984" s="8">
        <f t="shared" si="180"/>
        <v>15000</v>
      </c>
      <c r="L1984" s="8">
        <f t="shared" si="181"/>
        <v>1500</v>
      </c>
      <c r="M1984" s="8">
        <f t="shared" si="182"/>
        <v>13500</v>
      </c>
      <c r="N1984" s="5">
        <v>59000</v>
      </c>
      <c r="O1984" s="8">
        <f t="shared" si="183"/>
        <v>72500</v>
      </c>
      <c r="P1984" s="2" t="s">
        <v>22</v>
      </c>
      <c r="Q1984" s="10" t="str">
        <f>VLOOKUP(A1984,Status!A:B,2,0)</f>
        <v>Returned</v>
      </c>
      <c r="R1984" s="2" t="s">
        <v>30</v>
      </c>
      <c r="S1984" s="2">
        <v>4</v>
      </c>
      <c r="T1984" s="2" t="s">
        <v>24</v>
      </c>
      <c r="U1984" s="10" t="str">
        <f t="shared" si="185"/>
        <v>Dec</v>
      </c>
      <c r="V1984" s="10">
        <f t="shared" si="184"/>
        <v>2024</v>
      </c>
      <c r="W1984" t="e" cm="1">
        <f t="array" ref="W1984">_xlfn.IFS(U1984="January",1,U1984="February",2,U1984="March",3,U1984="April",4,U1984="May",5,U1984="June",6,U1984="July",7,U1984="August",8,U1984="September",9,U1984="October",10,U1984="November",11,U1984="December",12)</f>
        <v>#N/A</v>
      </c>
    </row>
    <row r="1985" spans="1:23" ht="15.75" customHeight="1" x14ac:dyDescent="0.25">
      <c r="A1985" s="2" t="s">
        <v>895</v>
      </c>
      <c r="B1985" s="3">
        <v>45655.817673611113</v>
      </c>
      <c r="C1985" s="2" t="s">
        <v>551</v>
      </c>
      <c r="D1985" s="2" t="s">
        <v>262</v>
      </c>
      <c r="E1985" s="2" t="s">
        <v>144</v>
      </c>
      <c r="F1985" s="2" t="str" cm="1">
        <f t="array" ref="F1985:G1985">_xlfn.TEXTSPLIT(E1985," - ")</f>
        <v>Gula Pasir</v>
      </c>
      <c r="G1985" s="2" t="str">
        <v>Brand C</v>
      </c>
      <c r="H1985" s="5">
        <v>18000</v>
      </c>
      <c r="I1985" s="2">
        <v>2</v>
      </c>
      <c r="J1985" s="2">
        <v>0</v>
      </c>
      <c r="K1985" s="8">
        <f t="shared" si="180"/>
        <v>36000</v>
      </c>
      <c r="L1985" s="8">
        <f t="shared" si="181"/>
        <v>0</v>
      </c>
      <c r="M1985" s="8">
        <f t="shared" si="182"/>
        <v>36000</v>
      </c>
      <c r="N1985" s="5">
        <v>18000</v>
      </c>
      <c r="O1985" s="8">
        <f t="shared" si="183"/>
        <v>54000</v>
      </c>
      <c r="P1985" s="2" t="s">
        <v>29</v>
      </c>
      <c r="Q1985" s="10" t="str">
        <f>VLOOKUP(A1985,Status!A:B,2,0)</f>
        <v>Cancelled</v>
      </c>
      <c r="R1985" s="2" t="s">
        <v>46</v>
      </c>
      <c r="S1985" s="2">
        <v>2</v>
      </c>
      <c r="T1985" s="2" t="s">
        <v>37</v>
      </c>
      <c r="U1985" s="10" t="str">
        <f t="shared" si="185"/>
        <v>Dec</v>
      </c>
      <c r="V1985" s="10">
        <f t="shared" si="184"/>
        <v>2024</v>
      </c>
      <c r="W1985" t="e" cm="1">
        <f t="array" ref="W1985">_xlfn.IFS(U1985="January",1,U1985="February",2,U1985="March",3,U1985="April",4,U1985="May",5,U1985="June",6,U1985="July",7,U1985="August",8,U1985="September",9,U1985="October",10,U1985="November",11,U1985="December",12)</f>
        <v>#N/A</v>
      </c>
    </row>
    <row r="1986" spans="1:23" ht="15.75" customHeight="1" x14ac:dyDescent="0.25">
      <c r="A1986" s="2" t="s">
        <v>896</v>
      </c>
      <c r="B1986" s="3">
        <v>45656.280972222223</v>
      </c>
      <c r="C1986" s="2" t="s">
        <v>299</v>
      </c>
      <c r="D1986" s="2" t="s">
        <v>163</v>
      </c>
      <c r="E1986" s="2" t="s">
        <v>88</v>
      </c>
      <c r="F1986" s="2" t="str" cm="1">
        <f t="array" ref="F1986:G1986">_xlfn.TEXTSPLIT(E1986," - ")</f>
        <v>Beras</v>
      </c>
      <c r="G1986" s="2" t="str">
        <v>Brand A</v>
      </c>
      <c r="H1986" s="5">
        <v>14000</v>
      </c>
      <c r="I1986" s="2">
        <v>5</v>
      </c>
      <c r="J1986" s="2">
        <v>15</v>
      </c>
      <c r="K1986" s="8">
        <f t="shared" ref="K1986:K2001" si="186">H1986*I1986</f>
        <v>70000</v>
      </c>
      <c r="L1986" s="8">
        <f t="shared" ref="L1986:L2001" si="187">K1986*J1986%</f>
        <v>10500</v>
      </c>
      <c r="M1986" s="8">
        <f t="shared" ref="M1986:M2001" si="188">K1986-L1986</f>
        <v>59500</v>
      </c>
      <c r="N1986" s="5">
        <v>50000</v>
      </c>
      <c r="O1986" s="8">
        <f t="shared" ref="O1986:O2001" si="189">M1986+N1986</f>
        <v>109500</v>
      </c>
      <c r="P1986" s="2" t="s">
        <v>22</v>
      </c>
      <c r="Q1986" s="10" t="str">
        <f>VLOOKUP(A1986,Status!A:B,2,0)</f>
        <v>Completed</v>
      </c>
      <c r="R1986" s="2" t="s">
        <v>46</v>
      </c>
      <c r="S1986" s="2">
        <v>5</v>
      </c>
      <c r="T1986" s="2" t="s">
        <v>24</v>
      </c>
      <c r="U1986" s="10" t="str">
        <f t="shared" si="185"/>
        <v>Dec</v>
      </c>
      <c r="V1986" s="10">
        <f t="shared" ref="V1986:V2001" si="190">YEAR(B1986)</f>
        <v>2024</v>
      </c>
      <c r="W1986" t="e" cm="1">
        <f t="array" ref="W1986">_xlfn.IFS(U1986="January",1,U1986="February",2,U1986="March",3,U1986="April",4,U1986="May",5,U1986="June",6,U1986="July",7,U1986="August",8,U1986="September",9,U1986="October",10,U1986="November",11,U1986="December",12)</f>
        <v>#N/A</v>
      </c>
    </row>
    <row r="1987" spans="1:23" ht="15.75" customHeight="1" x14ac:dyDescent="0.25">
      <c r="A1987" s="2" t="s">
        <v>897</v>
      </c>
      <c r="B1987" s="3">
        <v>45656.804756944453</v>
      </c>
      <c r="C1987" s="2" t="s">
        <v>898</v>
      </c>
      <c r="D1987" s="2" t="s">
        <v>195</v>
      </c>
      <c r="E1987" s="2" t="s">
        <v>174</v>
      </c>
      <c r="F1987" s="2" t="str" cm="1">
        <f t="array" ref="F1987:G1987">_xlfn.TEXTSPLIT(E1987," - ")</f>
        <v>Tepung Terigu</v>
      </c>
      <c r="G1987" s="2" t="str">
        <v>Brand A</v>
      </c>
      <c r="H1987" s="5">
        <v>10000</v>
      </c>
      <c r="I1987" s="2">
        <v>4</v>
      </c>
      <c r="J1987" s="2">
        <v>5</v>
      </c>
      <c r="K1987" s="8">
        <f t="shared" si="186"/>
        <v>40000</v>
      </c>
      <c r="L1987" s="8">
        <f t="shared" si="187"/>
        <v>2000</v>
      </c>
      <c r="M1987" s="8">
        <f t="shared" si="188"/>
        <v>38000</v>
      </c>
      <c r="N1987" s="5">
        <v>87000</v>
      </c>
      <c r="O1987" s="8">
        <f t="shared" si="189"/>
        <v>125000</v>
      </c>
      <c r="P1987" s="2" t="s">
        <v>29</v>
      </c>
      <c r="Q1987" s="10" t="str">
        <f>VLOOKUP(A1987,Status!A:B,2,0)</f>
        <v>Completed</v>
      </c>
      <c r="R1987" s="2" t="s">
        <v>82</v>
      </c>
      <c r="S1987" s="2">
        <v>2</v>
      </c>
      <c r="T1987" s="2" t="s">
        <v>24</v>
      </c>
      <c r="U1987" s="10" t="str">
        <f t="shared" ref="U1987:U2001" si="191">TEXT(B1987,"MMM")</f>
        <v>Dec</v>
      </c>
      <c r="V1987" s="10">
        <f t="shared" si="190"/>
        <v>2024</v>
      </c>
      <c r="W1987" t="e" cm="1">
        <f t="array" ref="W1987">_xlfn.IFS(U1987="January",1,U1987="February",2,U1987="March",3,U1987="April",4,U1987="May",5,U1987="June",6,U1987="July",7,U1987="August",8,U1987="September",9,U1987="October",10,U1987="November",11,U1987="December",12)</f>
        <v>#N/A</v>
      </c>
    </row>
    <row r="1988" spans="1:23" ht="15.75" customHeight="1" x14ac:dyDescent="0.25">
      <c r="A1988" s="2" t="s">
        <v>899</v>
      </c>
      <c r="B1988" s="3">
        <v>45656.917453703703</v>
      </c>
      <c r="C1988" s="2" t="s">
        <v>900</v>
      </c>
      <c r="D1988" s="2" t="s">
        <v>27</v>
      </c>
      <c r="E1988" s="2" t="s">
        <v>34</v>
      </c>
      <c r="F1988" s="2" t="str" cm="1">
        <f t="array" ref="F1988:G1988">_xlfn.TEXTSPLIT(E1988," - ")</f>
        <v>Minyak Goreng</v>
      </c>
      <c r="G1988" s="2" t="str">
        <v>Brand A</v>
      </c>
      <c r="H1988" s="5">
        <v>16000</v>
      </c>
      <c r="I1988" s="2">
        <v>4</v>
      </c>
      <c r="J1988" s="2">
        <v>15</v>
      </c>
      <c r="K1988" s="8">
        <f t="shared" si="186"/>
        <v>64000</v>
      </c>
      <c r="L1988" s="8">
        <f t="shared" si="187"/>
        <v>9600</v>
      </c>
      <c r="M1988" s="8">
        <f t="shared" si="188"/>
        <v>54400</v>
      </c>
      <c r="N1988" s="5">
        <v>17000</v>
      </c>
      <c r="O1988" s="8">
        <f t="shared" si="189"/>
        <v>71400</v>
      </c>
      <c r="P1988" s="2" t="s">
        <v>29</v>
      </c>
      <c r="Q1988" s="10" t="str">
        <f>VLOOKUP(A1988,Status!A:B,2,0)</f>
        <v>Returned</v>
      </c>
      <c r="R1988" s="2" t="s">
        <v>82</v>
      </c>
      <c r="S1988" s="2">
        <v>2</v>
      </c>
      <c r="T1988" s="2" t="s">
        <v>24</v>
      </c>
      <c r="U1988" s="10" t="str">
        <f t="shared" si="191"/>
        <v>Dec</v>
      </c>
      <c r="V1988" s="10">
        <f t="shared" si="190"/>
        <v>2024</v>
      </c>
      <c r="W1988" t="e" cm="1">
        <f t="array" ref="W1988">_xlfn.IFS(U1988="January",1,U1988="February",2,U1988="March",3,U1988="April",4,U1988="May",5,U1988="June",6,U1988="July",7,U1988="August",8,U1988="September",9,U1988="October",10,U1988="November",11,U1988="December",12)</f>
        <v>#N/A</v>
      </c>
    </row>
    <row r="1989" spans="1:23" ht="15.75" customHeight="1" x14ac:dyDescent="0.25">
      <c r="A1989" s="2" t="s">
        <v>901</v>
      </c>
      <c r="B1989" s="3">
        <v>45656.930266203701</v>
      </c>
      <c r="C1989" s="2" t="s">
        <v>758</v>
      </c>
      <c r="D1989" s="2" t="s">
        <v>238</v>
      </c>
      <c r="E1989" s="2" t="s">
        <v>41</v>
      </c>
      <c r="F1989" s="2" t="str" cm="1">
        <f t="array" ref="F1989:G1989">_xlfn.TEXTSPLIT(E1989," - ")</f>
        <v>Garam</v>
      </c>
      <c r="G1989" s="2" t="str">
        <v>Brand A</v>
      </c>
      <c r="H1989" s="5">
        <v>4000</v>
      </c>
      <c r="I1989" s="2">
        <v>1</v>
      </c>
      <c r="J1989" s="2">
        <v>5</v>
      </c>
      <c r="K1989" s="8">
        <f t="shared" si="186"/>
        <v>4000</v>
      </c>
      <c r="L1989" s="8">
        <f t="shared" si="187"/>
        <v>200</v>
      </c>
      <c r="M1989" s="8">
        <f t="shared" si="188"/>
        <v>3800</v>
      </c>
      <c r="N1989" s="5">
        <v>28000</v>
      </c>
      <c r="O1989" s="8">
        <f t="shared" si="189"/>
        <v>31800</v>
      </c>
      <c r="P1989" s="2" t="s">
        <v>35</v>
      </c>
      <c r="Q1989" s="10" t="str">
        <f>VLOOKUP(A1989,Status!A:B,2,0)</f>
        <v>Completed</v>
      </c>
      <c r="R1989" s="2" t="s">
        <v>30</v>
      </c>
      <c r="S1989" s="2">
        <v>1</v>
      </c>
      <c r="T1989" s="2" t="s">
        <v>24</v>
      </c>
      <c r="U1989" s="10" t="str">
        <f t="shared" si="191"/>
        <v>Dec</v>
      </c>
      <c r="V1989" s="10">
        <f t="shared" si="190"/>
        <v>2024</v>
      </c>
      <c r="W1989" t="e" cm="1">
        <f t="array" ref="W1989">_xlfn.IFS(U1989="January",1,U1989="February",2,U1989="March",3,U1989="April",4,U1989="May",5,U1989="June",6,U1989="July",7,U1989="August",8,U1989="September",9,U1989="October",10,U1989="November",11,U1989="December",12)</f>
        <v>#N/A</v>
      </c>
    </row>
    <row r="1990" spans="1:23" ht="15.75" customHeight="1" x14ac:dyDescent="0.25">
      <c r="A1990" s="2" t="s">
        <v>902</v>
      </c>
      <c r="B1990" s="3">
        <v>45657.015648148154</v>
      </c>
      <c r="C1990" s="2" t="s">
        <v>381</v>
      </c>
      <c r="D1990" s="2" t="s">
        <v>103</v>
      </c>
      <c r="E1990" s="2" t="s">
        <v>138</v>
      </c>
      <c r="F1990" s="2" t="str" cm="1">
        <f t="array" ref="F1990:G1990">_xlfn.TEXTSPLIT(E1990," - ")</f>
        <v>Gula Pasir</v>
      </c>
      <c r="G1990" s="2" t="str">
        <v>Brand B</v>
      </c>
      <c r="H1990" s="5">
        <v>17000</v>
      </c>
      <c r="I1990" s="2">
        <v>3</v>
      </c>
      <c r="J1990" s="2">
        <v>0</v>
      </c>
      <c r="K1990" s="8">
        <f t="shared" si="186"/>
        <v>51000</v>
      </c>
      <c r="L1990" s="8">
        <f t="shared" si="187"/>
        <v>0</v>
      </c>
      <c r="M1990" s="8">
        <f t="shared" si="188"/>
        <v>51000</v>
      </c>
      <c r="N1990" s="5">
        <v>85000</v>
      </c>
      <c r="O1990" s="8">
        <f t="shared" si="189"/>
        <v>136000</v>
      </c>
      <c r="P1990" s="2" t="s">
        <v>63</v>
      </c>
      <c r="Q1990" s="10" t="str">
        <f>VLOOKUP(A1990,Status!A:B,2,0)</f>
        <v>Returned</v>
      </c>
      <c r="R1990" s="2" t="s">
        <v>30</v>
      </c>
      <c r="S1990" s="2">
        <v>4</v>
      </c>
      <c r="T1990" s="2" t="s">
        <v>24</v>
      </c>
      <c r="U1990" s="10" t="str">
        <f t="shared" si="191"/>
        <v>Dec</v>
      </c>
      <c r="V1990" s="10">
        <f t="shared" si="190"/>
        <v>2024</v>
      </c>
      <c r="W1990" t="e" cm="1">
        <f t="array" ref="W1990">_xlfn.IFS(U1990="January",1,U1990="February",2,U1990="March",3,U1990="April",4,U1990="May",5,U1990="June",6,U1990="July",7,U1990="August",8,U1990="September",9,U1990="October",10,U1990="November",11,U1990="December",12)</f>
        <v>#N/A</v>
      </c>
    </row>
    <row r="1991" spans="1:23" ht="15.75" customHeight="1" x14ac:dyDescent="0.25">
      <c r="A1991" s="2" t="s">
        <v>903</v>
      </c>
      <c r="B1991" s="3">
        <v>45657.066030092603</v>
      </c>
      <c r="C1991" s="2" t="s">
        <v>904</v>
      </c>
      <c r="D1991" s="2" t="s">
        <v>296</v>
      </c>
      <c r="E1991" s="2" t="s">
        <v>81</v>
      </c>
      <c r="F1991" s="2" t="str" cm="1">
        <f t="array" ref="F1991:G1991">_xlfn.TEXTSPLIT(E1991," - ")</f>
        <v>Minyak Goreng</v>
      </c>
      <c r="G1991" s="2" t="str">
        <v>Brand B</v>
      </c>
      <c r="H1991" s="5">
        <v>17000</v>
      </c>
      <c r="I1991" s="2">
        <v>3</v>
      </c>
      <c r="J1991" s="2">
        <v>0</v>
      </c>
      <c r="K1991" s="8">
        <f t="shared" si="186"/>
        <v>51000</v>
      </c>
      <c r="L1991" s="8">
        <f t="shared" si="187"/>
        <v>0</v>
      </c>
      <c r="M1991" s="8">
        <f t="shared" si="188"/>
        <v>51000</v>
      </c>
      <c r="N1991" s="5">
        <v>79000</v>
      </c>
      <c r="O1991" s="8">
        <f t="shared" si="189"/>
        <v>130000</v>
      </c>
      <c r="P1991" s="2" t="s">
        <v>29</v>
      </c>
      <c r="Q1991" s="10" t="str">
        <f>VLOOKUP(A1991,Status!A:B,2,0)</f>
        <v>Returned</v>
      </c>
      <c r="R1991" s="2" t="s">
        <v>36</v>
      </c>
      <c r="S1991" s="2">
        <v>4</v>
      </c>
      <c r="T1991" s="2" t="s">
        <v>37</v>
      </c>
      <c r="U1991" s="10" t="str">
        <f t="shared" si="191"/>
        <v>Dec</v>
      </c>
      <c r="V1991" s="10">
        <f t="shared" si="190"/>
        <v>2024</v>
      </c>
      <c r="W1991" t="e" cm="1">
        <f t="array" ref="W1991">_xlfn.IFS(U1991="January",1,U1991="February",2,U1991="March",3,U1991="April",4,U1991="May",5,U1991="June",6,U1991="July",7,U1991="August",8,U1991="September",9,U1991="October",10,U1991="November",11,U1991="December",12)</f>
        <v>#N/A</v>
      </c>
    </row>
    <row r="1992" spans="1:23" ht="15.75" customHeight="1" x14ac:dyDescent="0.25">
      <c r="A1992" s="2" t="s">
        <v>905</v>
      </c>
      <c r="B1992" s="3">
        <v>45657.206493055557</v>
      </c>
      <c r="C1992" s="2" t="s">
        <v>269</v>
      </c>
      <c r="D1992" s="2" t="s">
        <v>173</v>
      </c>
      <c r="E1992" s="2" t="s">
        <v>67</v>
      </c>
      <c r="F1992" s="2" t="str" cm="1">
        <f t="array" ref="F1992:G1992">_xlfn.TEXTSPLIT(E1992," - ")</f>
        <v>Beras</v>
      </c>
      <c r="G1992" s="2" t="str">
        <v>Brand B</v>
      </c>
      <c r="H1992" s="5">
        <v>15000</v>
      </c>
      <c r="I1992" s="2">
        <v>2</v>
      </c>
      <c r="J1992" s="2">
        <v>0</v>
      </c>
      <c r="K1992" s="8">
        <f t="shared" si="186"/>
        <v>30000</v>
      </c>
      <c r="L1992" s="8">
        <f t="shared" si="187"/>
        <v>0</v>
      </c>
      <c r="M1992" s="8">
        <f t="shared" si="188"/>
        <v>30000</v>
      </c>
      <c r="N1992" s="5">
        <v>49000</v>
      </c>
      <c r="O1992" s="8">
        <f t="shared" si="189"/>
        <v>79000</v>
      </c>
      <c r="P1992" s="2" t="s">
        <v>29</v>
      </c>
      <c r="Q1992" s="10" t="str">
        <f>VLOOKUP(A1992,Status!A:B,2,0)</f>
        <v>Completed</v>
      </c>
      <c r="R1992" s="2" t="s">
        <v>23</v>
      </c>
      <c r="S1992" s="2">
        <v>4</v>
      </c>
      <c r="T1992" s="2" t="s">
        <v>37</v>
      </c>
      <c r="U1992" s="10" t="str">
        <f t="shared" si="191"/>
        <v>Dec</v>
      </c>
      <c r="V1992" s="10">
        <f t="shared" si="190"/>
        <v>2024</v>
      </c>
      <c r="W1992" t="e" cm="1">
        <f t="array" ref="W1992">_xlfn.IFS(U1992="January",1,U1992="February",2,U1992="March",3,U1992="April",4,U1992="May",5,U1992="June",6,U1992="July",7,U1992="August",8,U1992="September",9,U1992="October",10,U1992="November",11,U1992="December",12)</f>
        <v>#N/A</v>
      </c>
    </row>
    <row r="1993" spans="1:23" ht="15.75" customHeight="1" x14ac:dyDescent="0.25">
      <c r="A1993" s="2" t="s">
        <v>906</v>
      </c>
      <c r="B1993" s="3">
        <v>45657.253738425927</v>
      </c>
      <c r="C1993" s="2" t="s">
        <v>359</v>
      </c>
      <c r="D1993" s="2" t="s">
        <v>70</v>
      </c>
      <c r="E1993" s="2" t="s">
        <v>50</v>
      </c>
      <c r="F1993" s="2" t="str" cm="1">
        <f t="array" ref="F1993:G1993">_xlfn.TEXTSPLIT(E1993," - ")</f>
        <v>Tepung Terigu</v>
      </c>
      <c r="G1993" s="2" t="str">
        <v>Brand C</v>
      </c>
      <c r="H1993" s="5">
        <v>14000</v>
      </c>
      <c r="I1993" s="2">
        <v>1</v>
      </c>
      <c r="J1993" s="2">
        <v>10</v>
      </c>
      <c r="K1993" s="8">
        <f t="shared" si="186"/>
        <v>14000</v>
      </c>
      <c r="L1993" s="8">
        <f t="shared" si="187"/>
        <v>1400</v>
      </c>
      <c r="M1993" s="8">
        <f t="shared" si="188"/>
        <v>12600</v>
      </c>
      <c r="N1993" s="5">
        <v>89000</v>
      </c>
      <c r="O1993" s="8">
        <f t="shared" si="189"/>
        <v>101600</v>
      </c>
      <c r="P1993" s="2" t="s">
        <v>29</v>
      </c>
      <c r="Q1993" s="10" t="str">
        <f>VLOOKUP(A1993,Status!A:B,2,0)</f>
        <v>Completed</v>
      </c>
      <c r="R1993" s="2" t="s">
        <v>23</v>
      </c>
      <c r="S1993" s="2">
        <v>1</v>
      </c>
      <c r="T1993" s="2" t="s">
        <v>24</v>
      </c>
      <c r="U1993" s="10" t="str">
        <f t="shared" si="191"/>
        <v>Dec</v>
      </c>
      <c r="V1993" s="10">
        <f t="shared" si="190"/>
        <v>2024</v>
      </c>
      <c r="W1993" t="e" cm="1">
        <f t="array" ref="W1993">_xlfn.IFS(U1993="January",1,U1993="February",2,U1993="March",3,U1993="April",4,U1993="May",5,U1993="June",6,U1993="July",7,U1993="August",8,U1993="September",9,U1993="October",10,U1993="November",11,U1993="December",12)</f>
        <v>#N/A</v>
      </c>
    </row>
    <row r="1994" spans="1:23" ht="15.75" customHeight="1" x14ac:dyDescent="0.25">
      <c r="A1994" s="2" t="s">
        <v>907</v>
      </c>
      <c r="B1994" s="3">
        <v>45657.470694444448</v>
      </c>
      <c r="C1994" s="2" t="s">
        <v>425</v>
      </c>
      <c r="D1994" s="2" t="s">
        <v>44</v>
      </c>
      <c r="E1994" s="2" t="s">
        <v>75</v>
      </c>
      <c r="F1994" s="2" t="str" cm="1">
        <f t="array" ref="F1994:G1994">_xlfn.TEXTSPLIT(E1994," - ")</f>
        <v>Susu Bubuk</v>
      </c>
      <c r="G1994" s="2" t="str">
        <v>Brand C</v>
      </c>
      <c r="H1994" s="5">
        <v>55000</v>
      </c>
      <c r="I1994" s="2">
        <v>2</v>
      </c>
      <c r="J1994" s="2">
        <v>10</v>
      </c>
      <c r="K1994" s="8">
        <f t="shared" si="186"/>
        <v>110000</v>
      </c>
      <c r="L1994" s="8">
        <f t="shared" si="187"/>
        <v>11000</v>
      </c>
      <c r="M1994" s="8">
        <f t="shared" si="188"/>
        <v>99000</v>
      </c>
      <c r="N1994" s="5">
        <v>93000</v>
      </c>
      <c r="O1994" s="8">
        <f t="shared" si="189"/>
        <v>192000</v>
      </c>
      <c r="P1994" s="2" t="s">
        <v>22</v>
      </c>
      <c r="Q1994" s="10" t="str">
        <f>VLOOKUP(A1994,Status!A:B,2,0)</f>
        <v>Completed</v>
      </c>
      <c r="R1994" s="2" t="s">
        <v>46</v>
      </c>
      <c r="S1994" s="2">
        <v>1</v>
      </c>
      <c r="T1994" s="2" t="s">
        <v>37</v>
      </c>
      <c r="U1994" s="10" t="str">
        <f t="shared" si="191"/>
        <v>Dec</v>
      </c>
      <c r="V1994" s="10">
        <f t="shared" si="190"/>
        <v>2024</v>
      </c>
      <c r="W1994" t="e" cm="1">
        <f t="array" ref="W1994">_xlfn.IFS(U1994="January",1,U1994="February",2,U1994="March",3,U1994="April",4,U1994="May",5,U1994="June",6,U1994="July",7,U1994="August",8,U1994="September",9,U1994="October",10,U1994="November",11,U1994="December",12)</f>
        <v>#N/A</v>
      </c>
    </row>
    <row r="1995" spans="1:23" ht="15.75" customHeight="1" x14ac:dyDescent="0.25">
      <c r="A1995" s="2" t="s">
        <v>908</v>
      </c>
      <c r="B1995" s="3">
        <v>45657.500381944446</v>
      </c>
      <c r="C1995" s="2" t="s">
        <v>532</v>
      </c>
      <c r="D1995" s="2" t="s">
        <v>262</v>
      </c>
      <c r="E1995" s="2" t="s">
        <v>110</v>
      </c>
      <c r="F1995" s="2" t="str" cm="1">
        <f t="array" ref="F1995:G1995">_xlfn.TEXTSPLIT(E1995," - ")</f>
        <v>Garam</v>
      </c>
      <c r="G1995" s="2" t="str">
        <v>Brand C</v>
      </c>
      <c r="H1995" s="5">
        <v>6000</v>
      </c>
      <c r="I1995" s="2">
        <v>5</v>
      </c>
      <c r="J1995" s="2">
        <v>5</v>
      </c>
      <c r="K1995" s="8">
        <f t="shared" si="186"/>
        <v>30000</v>
      </c>
      <c r="L1995" s="8">
        <f t="shared" si="187"/>
        <v>1500</v>
      </c>
      <c r="M1995" s="8">
        <f t="shared" si="188"/>
        <v>28500</v>
      </c>
      <c r="N1995" s="5">
        <v>18000</v>
      </c>
      <c r="O1995" s="8">
        <f t="shared" si="189"/>
        <v>46500</v>
      </c>
      <c r="P1995" s="2" t="s">
        <v>35</v>
      </c>
      <c r="Q1995" s="10" t="str">
        <f>VLOOKUP(A1995,Status!A:B,2,0)</f>
        <v>Completed</v>
      </c>
      <c r="R1995" s="2" t="s">
        <v>23</v>
      </c>
      <c r="S1995" s="2">
        <v>3</v>
      </c>
      <c r="T1995" s="2" t="s">
        <v>24</v>
      </c>
      <c r="U1995" s="10" t="str">
        <f t="shared" si="191"/>
        <v>Dec</v>
      </c>
      <c r="V1995" s="10">
        <f t="shared" si="190"/>
        <v>2024</v>
      </c>
      <c r="W1995" t="e" cm="1">
        <f t="array" ref="W1995">_xlfn.IFS(U1995="January",1,U1995="February",2,U1995="March",3,U1995="April",4,U1995="May",5,U1995="June",6,U1995="July",7,U1995="August",8,U1995="September",9,U1995="October",10,U1995="November",11,U1995="December",12)</f>
        <v>#N/A</v>
      </c>
    </row>
    <row r="1996" spans="1:23" ht="15.75" customHeight="1" x14ac:dyDescent="0.25">
      <c r="A1996" s="2" t="s">
        <v>909</v>
      </c>
      <c r="B1996" s="3">
        <v>45657.556770833333</v>
      </c>
      <c r="C1996" s="2" t="s">
        <v>703</v>
      </c>
      <c r="D1996" s="2" t="s">
        <v>122</v>
      </c>
      <c r="E1996" s="2" t="s">
        <v>85</v>
      </c>
      <c r="F1996" s="2" t="str" cm="1">
        <f t="array" ref="F1996:G1996">_xlfn.TEXTSPLIT(E1996," - ")</f>
        <v>Daging Ayam</v>
      </c>
      <c r="G1996" s="2" t="str">
        <v>Brand A</v>
      </c>
      <c r="H1996" s="5">
        <v>35000</v>
      </c>
      <c r="I1996" s="2">
        <v>3</v>
      </c>
      <c r="J1996" s="2">
        <v>0</v>
      </c>
      <c r="K1996" s="8">
        <f t="shared" si="186"/>
        <v>105000</v>
      </c>
      <c r="L1996" s="8">
        <f t="shared" si="187"/>
        <v>0</v>
      </c>
      <c r="M1996" s="8">
        <f t="shared" si="188"/>
        <v>105000</v>
      </c>
      <c r="N1996" s="5">
        <v>78000</v>
      </c>
      <c r="O1996" s="8">
        <f t="shared" si="189"/>
        <v>183000</v>
      </c>
      <c r="P1996" s="2" t="s">
        <v>29</v>
      </c>
      <c r="Q1996" s="10" t="str">
        <f>VLOOKUP(A1996,Status!A:B,2,0)</f>
        <v>Completed</v>
      </c>
      <c r="R1996" s="2" t="s">
        <v>30</v>
      </c>
      <c r="S1996" s="2">
        <v>5</v>
      </c>
      <c r="T1996" s="2" t="s">
        <v>24</v>
      </c>
      <c r="U1996" s="10" t="str">
        <f t="shared" si="191"/>
        <v>Dec</v>
      </c>
      <c r="V1996" s="10">
        <f t="shared" si="190"/>
        <v>2024</v>
      </c>
      <c r="W1996" t="e" cm="1">
        <f t="array" ref="W1996">_xlfn.IFS(U1996="January",1,U1996="February",2,U1996="March",3,U1996="April",4,U1996="May",5,U1996="June",6,U1996="July",7,U1996="August",8,U1996="September",9,U1996="October",10,U1996="November",11,U1996="December",12)</f>
        <v>#N/A</v>
      </c>
    </row>
    <row r="1997" spans="1:23" ht="15.75" customHeight="1" x14ac:dyDescent="0.25">
      <c r="A1997" s="2" t="s">
        <v>910</v>
      </c>
      <c r="B1997" s="3">
        <v>45657.661597222221</v>
      </c>
      <c r="C1997" s="2" t="s">
        <v>87</v>
      </c>
      <c r="D1997" s="2" t="s">
        <v>80</v>
      </c>
      <c r="E1997" s="2" t="s">
        <v>41</v>
      </c>
      <c r="F1997" s="2" t="str" cm="1">
        <f t="array" ref="F1997:G1997">_xlfn.TEXTSPLIT(E1997," - ")</f>
        <v>Garam</v>
      </c>
      <c r="G1997" s="2" t="str">
        <v>Brand A</v>
      </c>
      <c r="H1997" s="5">
        <v>4000</v>
      </c>
      <c r="I1997" s="2">
        <v>4</v>
      </c>
      <c r="J1997" s="2">
        <v>10</v>
      </c>
      <c r="K1997" s="8">
        <f t="shared" si="186"/>
        <v>16000</v>
      </c>
      <c r="L1997" s="8">
        <f t="shared" si="187"/>
        <v>1600</v>
      </c>
      <c r="M1997" s="8">
        <f t="shared" si="188"/>
        <v>14400</v>
      </c>
      <c r="N1997" s="5">
        <v>74000</v>
      </c>
      <c r="O1997" s="8">
        <f t="shared" si="189"/>
        <v>88400</v>
      </c>
      <c r="P1997" s="2" t="s">
        <v>35</v>
      </c>
      <c r="Q1997" s="10" t="str">
        <f>VLOOKUP(A1997,Status!A:B,2,0)</f>
        <v>Returned</v>
      </c>
      <c r="R1997" s="2" t="s">
        <v>46</v>
      </c>
      <c r="S1997" s="2">
        <v>5</v>
      </c>
      <c r="T1997" s="2" t="s">
        <v>24</v>
      </c>
      <c r="U1997" s="10" t="str">
        <f t="shared" si="191"/>
        <v>Dec</v>
      </c>
      <c r="V1997" s="10">
        <f t="shared" si="190"/>
        <v>2024</v>
      </c>
      <c r="W1997" t="e" cm="1">
        <f t="array" ref="W1997">_xlfn.IFS(U1997="January",1,U1997="February",2,U1997="March",3,U1997="April",4,U1997="May",5,U1997="June",6,U1997="July",7,U1997="August",8,U1997="September",9,U1997="October",10,U1997="November",11,U1997="December",12)</f>
        <v>#N/A</v>
      </c>
    </row>
    <row r="1998" spans="1:23" ht="15.75" customHeight="1" x14ac:dyDescent="0.25">
      <c r="A1998" s="2" t="s">
        <v>911</v>
      </c>
      <c r="B1998" s="3">
        <v>45657.785000000003</v>
      </c>
      <c r="C1998" s="2" t="s">
        <v>812</v>
      </c>
      <c r="D1998" s="2" t="s">
        <v>33</v>
      </c>
      <c r="E1998" s="2" t="s">
        <v>174</v>
      </c>
      <c r="F1998" s="2" t="str" cm="1">
        <f t="array" ref="F1998:G1998">_xlfn.TEXTSPLIT(E1998," - ")</f>
        <v>Tepung Terigu</v>
      </c>
      <c r="G1998" s="2" t="str">
        <v>Brand A</v>
      </c>
      <c r="H1998" s="5">
        <v>10000</v>
      </c>
      <c r="I1998" s="2">
        <v>4</v>
      </c>
      <c r="J1998" s="2">
        <v>10</v>
      </c>
      <c r="K1998" s="8">
        <f t="shared" si="186"/>
        <v>40000</v>
      </c>
      <c r="L1998" s="8">
        <f t="shared" si="187"/>
        <v>4000</v>
      </c>
      <c r="M1998" s="8">
        <f t="shared" si="188"/>
        <v>36000</v>
      </c>
      <c r="N1998" s="5">
        <v>76000</v>
      </c>
      <c r="O1998" s="8">
        <f t="shared" si="189"/>
        <v>112000</v>
      </c>
      <c r="P1998" s="2" t="s">
        <v>29</v>
      </c>
      <c r="Q1998" s="10" t="str">
        <f>VLOOKUP(A1998,Status!A:B,2,0)</f>
        <v>Completed</v>
      </c>
      <c r="R1998" s="2" t="s">
        <v>36</v>
      </c>
      <c r="S1998" s="2">
        <v>1</v>
      </c>
      <c r="T1998" s="2" t="s">
        <v>24</v>
      </c>
      <c r="U1998" s="10" t="str">
        <f t="shared" si="191"/>
        <v>Dec</v>
      </c>
      <c r="V1998" s="10">
        <f t="shared" si="190"/>
        <v>2024</v>
      </c>
      <c r="W1998" t="e" cm="1">
        <f t="array" ref="W1998">_xlfn.IFS(U1998="January",1,U1998="February",2,U1998="March",3,U1998="April",4,U1998="May",5,U1998="June",6,U1998="July",7,U1998="August",8,U1998="September",9,U1998="October",10,U1998="November",11,U1998="December",12)</f>
        <v>#N/A</v>
      </c>
    </row>
    <row r="1999" spans="1:23" ht="15.75" customHeight="1" x14ac:dyDescent="0.25">
      <c r="A1999" s="2" t="s">
        <v>911</v>
      </c>
      <c r="B1999" s="3">
        <v>45657.785000000003</v>
      </c>
      <c r="C1999" s="2" t="s">
        <v>812</v>
      </c>
      <c r="D1999" s="2" t="s">
        <v>33</v>
      </c>
      <c r="E1999" s="2" t="s">
        <v>75</v>
      </c>
      <c r="F1999" s="2" t="str" cm="1">
        <f t="array" ref="F1999:G1999">_xlfn.TEXTSPLIT(E1999," - ")</f>
        <v>Susu Bubuk</v>
      </c>
      <c r="G1999" s="2" t="str">
        <v>Brand C</v>
      </c>
      <c r="H1999" s="5">
        <v>55000</v>
      </c>
      <c r="I1999" s="2">
        <v>2</v>
      </c>
      <c r="J1999" s="2">
        <v>15</v>
      </c>
      <c r="K1999" s="8">
        <f t="shared" si="186"/>
        <v>110000</v>
      </c>
      <c r="L1999" s="8">
        <f t="shared" si="187"/>
        <v>16500</v>
      </c>
      <c r="M1999" s="8">
        <f t="shared" si="188"/>
        <v>93500</v>
      </c>
      <c r="N1999" s="5">
        <v>0</v>
      </c>
      <c r="O1999" s="8">
        <f t="shared" si="189"/>
        <v>93500</v>
      </c>
      <c r="P1999" s="2" t="s">
        <v>29</v>
      </c>
      <c r="Q1999" s="10" t="str">
        <f>VLOOKUP(A1999,Status!A:B,2,0)</f>
        <v>Completed</v>
      </c>
      <c r="R1999" s="2" t="s">
        <v>36</v>
      </c>
      <c r="S1999" s="2">
        <v>1</v>
      </c>
      <c r="T1999" s="2" t="s">
        <v>24</v>
      </c>
      <c r="U1999" s="10" t="str">
        <f t="shared" si="191"/>
        <v>Dec</v>
      </c>
      <c r="V1999" s="10">
        <f t="shared" si="190"/>
        <v>2024</v>
      </c>
      <c r="W1999" t="e" cm="1">
        <f t="array" ref="W1999">_xlfn.IFS(U1999="January",1,U1999="February",2,U1999="March",3,U1999="April",4,U1999="May",5,U1999="June",6,U1999="July",7,U1999="August",8,U1999="September",9,U1999="October",10,U1999="November",11,U1999="December",12)</f>
        <v>#N/A</v>
      </c>
    </row>
    <row r="2000" spans="1:23" ht="15.75" customHeight="1" x14ac:dyDescent="0.25">
      <c r="A2000" s="2" t="s">
        <v>912</v>
      </c>
      <c r="B2000" s="3">
        <v>45657.819618055553</v>
      </c>
      <c r="C2000" s="2" t="s">
        <v>619</v>
      </c>
      <c r="D2000" s="2" t="s">
        <v>435</v>
      </c>
      <c r="E2000" s="2" t="s">
        <v>50</v>
      </c>
      <c r="F2000" s="2" t="str" cm="1">
        <f t="array" ref="F2000:G2000">_xlfn.TEXTSPLIT(E2000," - ")</f>
        <v>Tepung Terigu</v>
      </c>
      <c r="G2000" s="2" t="str">
        <v>Brand C</v>
      </c>
      <c r="H2000" s="5">
        <v>14000</v>
      </c>
      <c r="I2000" s="2">
        <v>1</v>
      </c>
      <c r="J2000" s="2">
        <v>20</v>
      </c>
      <c r="K2000" s="8">
        <f t="shared" si="186"/>
        <v>14000</v>
      </c>
      <c r="L2000" s="8">
        <f t="shared" si="187"/>
        <v>2800</v>
      </c>
      <c r="M2000" s="8">
        <f t="shared" si="188"/>
        <v>11200</v>
      </c>
      <c r="N2000" s="5">
        <v>67000</v>
      </c>
      <c r="O2000" s="8">
        <f t="shared" si="189"/>
        <v>78200</v>
      </c>
      <c r="P2000" s="2" t="s">
        <v>35</v>
      </c>
      <c r="Q2000" s="10" t="str">
        <f>VLOOKUP(A2000,Status!A:B,2,0)</f>
        <v>Completed</v>
      </c>
      <c r="R2000" s="2" t="s">
        <v>82</v>
      </c>
      <c r="S2000" s="2">
        <v>4</v>
      </c>
      <c r="T2000" s="2" t="s">
        <v>24</v>
      </c>
      <c r="U2000" s="10" t="str">
        <f t="shared" si="191"/>
        <v>Dec</v>
      </c>
      <c r="V2000" s="10">
        <f t="shared" si="190"/>
        <v>2024</v>
      </c>
      <c r="W2000" t="e" cm="1">
        <f t="array" ref="W2000">_xlfn.IFS(U2000="January",1,U2000="February",2,U2000="March",3,U2000="April",4,U2000="May",5,U2000="June",6,U2000="July",7,U2000="August",8,U2000="September",9,U2000="October",10,U2000="November",11,U2000="December",12)</f>
        <v>#N/A</v>
      </c>
    </row>
    <row r="2001" spans="1:23" ht="15.75" customHeight="1" x14ac:dyDescent="0.25">
      <c r="A2001" s="2" t="s">
        <v>913</v>
      </c>
      <c r="B2001" s="3">
        <v>45657.956782407397</v>
      </c>
      <c r="C2001" s="2" t="s">
        <v>385</v>
      </c>
      <c r="D2001" s="2" t="s">
        <v>375</v>
      </c>
      <c r="E2001" s="2" t="s">
        <v>110</v>
      </c>
      <c r="F2001" s="2" t="str" cm="1">
        <f t="array" ref="F2001:G2001">_xlfn.TEXTSPLIT(E2001," - ")</f>
        <v>Garam</v>
      </c>
      <c r="G2001" s="2" t="str">
        <v>Brand C</v>
      </c>
      <c r="H2001" s="5">
        <v>6000</v>
      </c>
      <c r="I2001" s="2">
        <v>3</v>
      </c>
      <c r="J2001" s="2">
        <v>20</v>
      </c>
      <c r="K2001" s="8">
        <f t="shared" si="186"/>
        <v>18000</v>
      </c>
      <c r="L2001" s="8">
        <f t="shared" si="187"/>
        <v>3600</v>
      </c>
      <c r="M2001" s="8">
        <f t="shared" si="188"/>
        <v>14400</v>
      </c>
      <c r="N2001" s="5">
        <v>21000</v>
      </c>
      <c r="O2001" s="8">
        <f t="shared" si="189"/>
        <v>35400</v>
      </c>
      <c r="P2001" s="2" t="s">
        <v>35</v>
      </c>
      <c r="Q2001" s="10" t="str">
        <f>VLOOKUP(A2001,Status!A:B,2,0)</f>
        <v>Completed</v>
      </c>
      <c r="R2001" s="2" t="s">
        <v>46</v>
      </c>
      <c r="S2001" s="2">
        <v>5</v>
      </c>
      <c r="T2001" s="2" t="s">
        <v>24</v>
      </c>
      <c r="U2001" s="10" t="str">
        <f t="shared" si="191"/>
        <v>Dec</v>
      </c>
      <c r="V2001" s="10">
        <f t="shared" si="190"/>
        <v>2024</v>
      </c>
      <c r="W2001" t="e" cm="1">
        <f t="array" ref="W2001">_xlfn.IFS(U2001="January",1,U2001="February",2,U2001="March",3,U2001="April",4,U2001="May",5,U2001="June",6,U2001="July",7,U2001="August",8,U2001="September",9,U2001="October",10,U2001="November",11,U2001="December",12)</f>
        <v>#N/A</v>
      </c>
    </row>
  </sheetData>
  <autoFilter ref="A1:W2001" xr:uid="{00000000-0001-0000-0000-000000000000}">
    <sortState xmlns:xlrd2="http://schemas.microsoft.com/office/spreadsheetml/2017/richdata2" ref="A2:W2001">
      <sortCondition ref="W1"/>
    </sortState>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workbookViewId="0">
      <selection activeCell="B5" sqref="B5"/>
    </sheetView>
  </sheetViews>
  <sheetFormatPr defaultColWidth="14.42578125" defaultRowHeight="15" customHeight="1" x14ac:dyDescent="0.25"/>
  <cols>
    <col min="1" max="1" width="9.85546875" bestFit="1" customWidth="1"/>
    <col min="2" max="2" width="12" bestFit="1" customWidth="1"/>
    <col min="3" max="6" width="10.7109375" customWidth="1"/>
  </cols>
  <sheetData>
    <row r="1" spans="1:2" x14ac:dyDescent="0.25">
      <c r="A1" s="1" t="s">
        <v>0</v>
      </c>
      <c r="B1" s="1" t="s">
        <v>14</v>
      </c>
    </row>
    <row r="2" spans="1:2" x14ac:dyDescent="0.25">
      <c r="A2" s="2" t="s">
        <v>2245</v>
      </c>
      <c r="B2" s="2" t="s">
        <v>2356</v>
      </c>
    </row>
    <row r="3" spans="1:2" x14ac:dyDescent="0.25">
      <c r="A3" s="2" t="s">
        <v>1830</v>
      </c>
      <c r="B3" s="2" t="s">
        <v>2357</v>
      </c>
    </row>
    <row r="4" spans="1:2" x14ac:dyDescent="0.25">
      <c r="A4" s="2" t="s">
        <v>1389</v>
      </c>
      <c r="B4" s="2" t="s">
        <v>2356</v>
      </c>
    </row>
    <row r="5" spans="1:2" x14ac:dyDescent="0.25">
      <c r="A5" s="2" t="s">
        <v>2117</v>
      </c>
      <c r="B5" s="2" t="s">
        <v>2358</v>
      </c>
    </row>
    <row r="6" spans="1:2" x14ac:dyDescent="0.25">
      <c r="A6" s="2" t="s">
        <v>996</v>
      </c>
      <c r="B6" s="2" t="s">
        <v>2359</v>
      </c>
    </row>
    <row r="7" spans="1:2" x14ac:dyDescent="0.25">
      <c r="A7" s="2" t="s">
        <v>1011</v>
      </c>
      <c r="B7" s="2" t="s">
        <v>2357</v>
      </c>
    </row>
    <row r="8" spans="1:2" x14ac:dyDescent="0.25">
      <c r="A8" s="2" t="s">
        <v>2236</v>
      </c>
      <c r="B8" s="2" t="s">
        <v>2357</v>
      </c>
    </row>
    <row r="9" spans="1:2" x14ac:dyDescent="0.25">
      <c r="A9" s="2" t="s">
        <v>1316</v>
      </c>
      <c r="B9" s="2" t="s">
        <v>2356</v>
      </c>
    </row>
    <row r="10" spans="1:2" x14ac:dyDescent="0.25">
      <c r="A10" s="2" t="s">
        <v>948</v>
      </c>
      <c r="B10" s="2" t="s">
        <v>2357</v>
      </c>
    </row>
    <row r="11" spans="1:2" x14ac:dyDescent="0.25">
      <c r="A11" s="2" t="s">
        <v>1991</v>
      </c>
      <c r="B11" s="2" t="s">
        <v>2357</v>
      </c>
    </row>
    <row r="12" spans="1:2" x14ac:dyDescent="0.25">
      <c r="A12" s="2" t="s">
        <v>1268</v>
      </c>
      <c r="B12" s="2" t="s">
        <v>2357</v>
      </c>
    </row>
    <row r="13" spans="1:2" x14ac:dyDescent="0.25">
      <c r="A13" s="2" t="s">
        <v>500</v>
      </c>
      <c r="B13" s="2" t="s">
        <v>2357</v>
      </c>
    </row>
    <row r="14" spans="1:2" x14ac:dyDescent="0.25">
      <c r="A14" s="2" t="s">
        <v>208</v>
      </c>
      <c r="B14" s="2" t="s">
        <v>2357</v>
      </c>
    </row>
    <row r="15" spans="1:2" x14ac:dyDescent="0.25">
      <c r="A15" s="2" t="s">
        <v>349</v>
      </c>
      <c r="B15" s="2" t="s">
        <v>2357</v>
      </c>
    </row>
    <row r="16" spans="1:2" x14ac:dyDescent="0.25">
      <c r="A16" s="2" t="s">
        <v>1195</v>
      </c>
      <c r="B16" s="2" t="s">
        <v>2359</v>
      </c>
    </row>
    <row r="17" spans="1:2" x14ac:dyDescent="0.25">
      <c r="A17" s="2" t="s">
        <v>31</v>
      </c>
      <c r="B17" s="2" t="s">
        <v>2357</v>
      </c>
    </row>
    <row r="18" spans="1:2" x14ac:dyDescent="0.25">
      <c r="A18" s="2" t="s">
        <v>720</v>
      </c>
      <c r="B18" s="2" t="s">
        <v>2357</v>
      </c>
    </row>
    <row r="19" spans="1:2" x14ac:dyDescent="0.25">
      <c r="A19" s="2" t="s">
        <v>2027</v>
      </c>
      <c r="B19" s="2" t="s">
        <v>2357</v>
      </c>
    </row>
    <row r="20" spans="1:2" x14ac:dyDescent="0.25">
      <c r="A20" s="2" t="s">
        <v>1772</v>
      </c>
      <c r="B20" s="2" t="s">
        <v>2357</v>
      </c>
    </row>
    <row r="21" spans="1:2" ht="15.75" customHeight="1" x14ac:dyDescent="0.25">
      <c r="A21" s="2" t="s">
        <v>2123</v>
      </c>
      <c r="B21" s="2" t="s">
        <v>2357</v>
      </c>
    </row>
    <row r="22" spans="1:2" ht="15.75" customHeight="1" x14ac:dyDescent="0.25">
      <c r="A22" s="2" t="s">
        <v>1375</v>
      </c>
      <c r="B22" s="2" t="s">
        <v>2357</v>
      </c>
    </row>
    <row r="23" spans="1:2" ht="15.75" customHeight="1" x14ac:dyDescent="0.25">
      <c r="A23" s="2" t="s">
        <v>232</v>
      </c>
      <c r="B23" s="2" t="s">
        <v>2357</v>
      </c>
    </row>
    <row r="24" spans="1:2" ht="15.75" customHeight="1" x14ac:dyDescent="0.25">
      <c r="A24" s="2" t="s">
        <v>341</v>
      </c>
      <c r="B24" s="2" t="s">
        <v>2357</v>
      </c>
    </row>
    <row r="25" spans="1:2" ht="15.75" customHeight="1" x14ac:dyDescent="0.25">
      <c r="A25" s="2" t="s">
        <v>422</v>
      </c>
      <c r="B25" s="2" t="s">
        <v>2356</v>
      </c>
    </row>
    <row r="26" spans="1:2" ht="15.75" customHeight="1" x14ac:dyDescent="0.25">
      <c r="A26" s="2" t="s">
        <v>696</v>
      </c>
      <c r="B26" s="2" t="s">
        <v>2357</v>
      </c>
    </row>
    <row r="27" spans="1:2" ht="15.75" customHeight="1" x14ac:dyDescent="0.25">
      <c r="A27" s="2" t="s">
        <v>1020</v>
      </c>
      <c r="B27" s="2" t="s">
        <v>2357</v>
      </c>
    </row>
    <row r="28" spans="1:2" ht="15.75" customHeight="1" x14ac:dyDescent="0.25">
      <c r="A28" s="2" t="s">
        <v>2338</v>
      </c>
      <c r="B28" s="2" t="s">
        <v>2357</v>
      </c>
    </row>
    <row r="29" spans="1:2" ht="15.75" customHeight="1" x14ac:dyDescent="0.25">
      <c r="A29" s="2" t="s">
        <v>753</v>
      </c>
      <c r="B29" s="2" t="s">
        <v>2357</v>
      </c>
    </row>
    <row r="30" spans="1:2" ht="15.75" customHeight="1" x14ac:dyDescent="0.25">
      <c r="A30" s="2" t="s">
        <v>290</v>
      </c>
      <c r="B30" s="2" t="s">
        <v>2356</v>
      </c>
    </row>
    <row r="31" spans="1:2" ht="15.75" customHeight="1" x14ac:dyDescent="0.25">
      <c r="A31" s="2" t="s">
        <v>829</v>
      </c>
      <c r="B31" s="2" t="s">
        <v>2356</v>
      </c>
    </row>
    <row r="32" spans="1:2" ht="15.75" customHeight="1" x14ac:dyDescent="0.25">
      <c r="A32" s="2" t="s">
        <v>859</v>
      </c>
      <c r="B32" s="2" t="s">
        <v>2357</v>
      </c>
    </row>
    <row r="33" spans="1:2" ht="15.75" customHeight="1" x14ac:dyDescent="0.25">
      <c r="A33" s="2" t="s">
        <v>1636</v>
      </c>
      <c r="B33" s="2" t="s">
        <v>2357</v>
      </c>
    </row>
    <row r="34" spans="1:2" ht="15.75" customHeight="1" x14ac:dyDescent="0.25">
      <c r="A34" s="2" t="s">
        <v>2044</v>
      </c>
      <c r="B34" s="2" t="s">
        <v>2357</v>
      </c>
    </row>
    <row r="35" spans="1:2" ht="15.75" customHeight="1" x14ac:dyDescent="0.25">
      <c r="A35" s="2" t="s">
        <v>460</v>
      </c>
      <c r="B35" s="2" t="s">
        <v>2357</v>
      </c>
    </row>
    <row r="36" spans="1:2" ht="15.75" customHeight="1" x14ac:dyDescent="0.25">
      <c r="A36" s="2" t="s">
        <v>982</v>
      </c>
      <c r="B36" s="2" t="s">
        <v>2356</v>
      </c>
    </row>
    <row r="37" spans="1:2" ht="15.75" customHeight="1" x14ac:dyDescent="0.25">
      <c r="A37" s="2" t="s">
        <v>2226</v>
      </c>
      <c r="B37" s="2" t="s">
        <v>2358</v>
      </c>
    </row>
    <row r="38" spans="1:2" ht="15.75" customHeight="1" x14ac:dyDescent="0.25">
      <c r="A38" s="2" t="s">
        <v>438</v>
      </c>
      <c r="B38" s="2" t="s">
        <v>2357</v>
      </c>
    </row>
    <row r="39" spans="1:2" ht="15.75" customHeight="1" x14ac:dyDescent="0.25">
      <c r="A39" s="2" t="s">
        <v>682</v>
      </c>
      <c r="B39" s="2" t="s">
        <v>2356</v>
      </c>
    </row>
    <row r="40" spans="1:2" ht="15.75" customHeight="1" x14ac:dyDescent="0.25">
      <c r="A40" s="2" t="s">
        <v>2346</v>
      </c>
      <c r="B40" s="2" t="s">
        <v>2358</v>
      </c>
    </row>
    <row r="41" spans="1:2" ht="15.75" customHeight="1" x14ac:dyDescent="0.25">
      <c r="A41" s="2" t="s">
        <v>1351</v>
      </c>
      <c r="B41" s="2" t="s">
        <v>2357</v>
      </c>
    </row>
    <row r="42" spans="1:2" ht="15.75" customHeight="1" x14ac:dyDescent="0.25">
      <c r="A42" s="2" t="s">
        <v>1944</v>
      </c>
      <c r="B42" s="2" t="s">
        <v>2357</v>
      </c>
    </row>
    <row r="43" spans="1:2" ht="15.75" customHeight="1" x14ac:dyDescent="0.25">
      <c r="A43" s="2" t="s">
        <v>1221</v>
      </c>
      <c r="B43" s="2" t="s">
        <v>2357</v>
      </c>
    </row>
    <row r="44" spans="1:2" ht="15.75" customHeight="1" x14ac:dyDescent="0.25">
      <c r="A44" s="2" t="s">
        <v>1144</v>
      </c>
      <c r="B44" s="2" t="s">
        <v>2356</v>
      </c>
    </row>
    <row r="45" spans="1:2" ht="15.75" customHeight="1" x14ac:dyDescent="0.25">
      <c r="A45" s="2" t="s">
        <v>907</v>
      </c>
      <c r="B45" s="2" t="s">
        <v>2357</v>
      </c>
    </row>
    <row r="46" spans="1:2" ht="15.75" customHeight="1" x14ac:dyDescent="0.25">
      <c r="A46" s="2" t="s">
        <v>1110</v>
      </c>
      <c r="B46" s="2" t="s">
        <v>2357</v>
      </c>
    </row>
    <row r="47" spans="1:2" ht="15.75" customHeight="1" x14ac:dyDescent="0.25">
      <c r="A47" s="2" t="s">
        <v>2095</v>
      </c>
      <c r="B47" s="2" t="s">
        <v>2357</v>
      </c>
    </row>
    <row r="48" spans="1:2" ht="15.75" customHeight="1" x14ac:dyDescent="0.25">
      <c r="A48" s="2" t="s">
        <v>2019</v>
      </c>
      <c r="B48" s="2" t="s">
        <v>2357</v>
      </c>
    </row>
    <row r="49" spans="1:2" ht="15.75" customHeight="1" x14ac:dyDescent="0.25">
      <c r="A49" s="2" t="s">
        <v>1670</v>
      </c>
      <c r="B49" s="2" t="s">
        <v>2359</v>
      </c>
    </row>
    <row r="50" spans="1:2" ht="15.75" customHeight="1" x14ac:dyDescent="0.25">
      <c r="A50" s="2" t="s">
        <v>64</v>
      </c>
      <c r="B50" s="2" t="s">
        <v>2357</v>
      </c>
    </row>
    <row r="51" spans="1:2" ht="15.75" customHeight="1" x14ac:dyDescent="0.25">
      <c r="A51" s="2" t="s">
        <v>1016</v>
      </c>
      <c r="B51" s="2" t="s">
        <v>2359</v>
      </c>
    </row>
    <row r="52" spans="1:2" ht="15.75" customHeight="1" x14ac:dyDescent="0.25">
      <c r="A52" s="2" t="s">
        <v>83</v>
      </c>
      <c r="B52" s="2" t="s">
        <v>2357</v>
      </c>
    </row>
    <row r="53" spans="1:2" ht="15.75" customHeight="1" x14ac:dyDescent="0.25">
      <c r="A53" s="2" t="s">
        <v>2071</v>
      </c>
      <c r="B53" s="2" t="s">
        <v>2356</v>
      </c>
    </row>
    <row r="54" spans="1:2" ht="15.75" customHeight="1" x14ac:dyDescent="0.25">
      <c r="A54" s="2" t="s">
        <v>1349</v>
      </c>
      <c r="B54" s="2" t="s">
        <v>2357</v>
      </c>
    </row>
    <row r="55" spans="1:2" ht="15.75" customHeight="1" x14ac:dyDescent="0.25">
      <c r="A55" s="2" t="s">
        <v>2070</v>
      </c>
      <c r="B55" s="2" t="s">
        <v>2357</v>
      </c>
    </row>
    <row r="56" spans="1:2" ht="15.75" customHeight="1" x14ac:dyDescent="0.25">
      <c r="A56" s="2" t="s">
        <v>1793</v>
      </c>
      <c r="B56" s="2" t="s">
        <v>2357</v>
      </c>
    </row>
    <row r="57" spans="1:2" ht="15.75" customHeight="1" x14ac:dyDescent="0.25">
      <c r="A57" s="2" t="s">
        <v>1803</v>
      </c>
      <c r="B57" s="2" t="s">
        <v>2357</v>
      </c>
    </row>
    <row r="58" spans="1:2" ht="15.75" customHeight="1" x14ac:dyDescent="0.25">
      <c r="A58" s="2" t="s">
        <v>1730</v>
      </c>
      <c r="B58" s="2" t="s">
        <v>2359</v>
      </c>
    </row>
    <row r="59" spans="1:2" ht="15.75" customHeight="1" x14ac:dyDescent="0.25">
      <c r="A59" s="2" t="s">
        <v>550</v>
      </c>
      <c r="B59" s="2" t="s">
        <v>2359</v>
      </c>
    </row>
    <row r="60" spans="1:2" ht="15.75" customHeight="1" x14ac:dyDescent="0.25">
      <c r="A60" s="2" t="s">
        <v>689</v>
      </c>
      <c r="B60" s="2" t="s">
        <v>2356</v>
      </c>
    </row>
    <row r="61" spans="1:2" ht="15.75" customHeight="1" x14ac:dyDescent="0.25">
      <c r="A61" s="2" t="s">
        <v>1651</v>
      </c>
      <c r="B61" s="2" t="s">
        <v>2357</v>
      </c>
    </row>
    <row r="62" spans="1:2" ht="15.75" customHeight="1" x14ac:dyDescent="0.25">
      <c r="A62" s="2" t="s">
        <v>1090</v>
      </c>
      <c r="B62" s="2" t="s">
        <v>2357</v>
      </c>
    </row>
    <row r="63" spans="1:2" ht="15.75" customHeight="1" x14ac:dyDescent="0.25">
      <c r="A63" s="2" t="s">
        <v>259</v>
      </c>
      <c r="B63" s="2" t="s">
        <v>2357</v>
      </c>
    </row>
    <row r="64" spans="1:2" ht="15.75" customHeight="1" x14ac:dyDescent="0.25">
      <c r="A64" s="2" t="s">
        <v>957</v>
      </c>
      <c r="B64" s="2" t="s">
        <v>2357</v>
      </c>
    </row>
    <row r="65" spans="1:2" ht="15.75" customHeight="1" x14ac:dyDescent="0.25">
      <c r="A65" s="2" t="s">
        <v>2035</v>
      </c>
      <c r="B65" s="2" t="s">
        <v>2357</v>
      </c>
    </row>
    <row r="66" spans="1:2" ht="15.75" customHeight="1" x14ac:dyDescent="0.25">
      <c r="A66" s="2" t="s">
        <v>1759</v>
      </c>
      <c r="B66" s="2" t="s">
        <v>2357</v>
      </c>
    </row>
    <row r="67" spans="1:2" ht="15.75" customHeight="1" x14ac:dyDescent="0.25">
      <c r="A67" s="2" t="s">
        <v>1702</v>
      </c>
      <c r="B67" s="2" t="s">
        <v>2357</v>
      </c>
    </row>
    <row r="68" spans="1:2" ht="15.75" customHeight="1" x14ac:dyDescent="0.25">
      <c r="A68" s="2" t="s">
        <v>2053</v>
      </c>
      <c r="B68" s="2" t="s">
        <v>2357</v>
      </c>
    </row>
    <row r="69" spans="1:2" ht="15.75" customHeight="1" x14ac:dyDescent="0.25">
      <c r="A69" s="2" t="s">
        <v>1324</v>
      </c>
      <c r="B69" s="2" t="s">
        <v>2357</v>
      </c>
    </row>
    <row r="70" spans="1:2" ht="15.75" customHeight="1" x14ac:dyDescent="0.25">
      <c r="A70" s="2" t="s">
        <v>491</v>
      </c>
      <c r="B70" s="2" t="s">
        <v>2356</v>
      </c>
    </row>
    <row r="71" spans="1:2" ht="15.75" customHeight="1" x14ac:dyDescent="0.25">
      <c r="A71" s="2" t="s">
        <v>2220</v>
      </c>
      <c r="B71" s="2" t="s">
        <v>2359</v>
      </c>
    </row>
    <row r="72" spans="1:2" ht="15.75" customHeight="1" x14ac:dyDescent="0.25">
      <c r="A72" s="2" t="s">
        <v>882</v>
      </c>
      <c r="B72" s="2" t="s">
        <v>2357</v>
      </c>
    </row>
    <row r="73" spans="1:2" ht="15.75" customHeight="1" x14ac:dyDescent="0.25">
      <c r="A73" s="2" t="s">
        <v>559</v>
      </c>
      <c r="B73" s="2" t="s">
        <v>2357</v>
      </c>
    </row>
    <row r="74" spans="1:2" ht="15.75" customHeight="1" x14ac:dyDescent="0.25">
      <c r="A74" s="2" t="s">
        <v>1592</v>
      </c>
      <c r="B74" s="2" t="s">
        <v>2357</v>
      </c>
    </row>
    <row r="75" spans="1:2" ht="15.75" customHeight="1" x14ac:dyDescent="0.25">
      <c r="A75" s="2" t="s">
        <v>1197</v>
      </c>
      <c r="B75" s="2" t="s">
        <v>2356</v>
      </c>
    </row>
    <row r="76" spans="1:2" ht="15.75" customHeight="1" x14ac:dyDescent="0.25">
      <c r="A76" s="2" t="s">
        <v>1215</v>
      </c>
      <c r="B76" s="2" t="s">
        <v>2359</v>
      </c>
    </row>
    <row r="77" spans="1:2" ht="15.75" customHeight="1" x14ac:dyDescent="0.25">
      <c r="A77" s="2" t="s">
        <v>1890</v>
      </c>
      <c r="B77" s="2" t="s">
        <v>2357</v>
      </c>
    </row>
    <row r="78" spans="1:2" ht="15.75" customHeight="1" x14ac:dyDescent="0.25">
      <c r="A78" s="2" t="s">
        <v>1363</v>
      </c>
      <c r="B78" s="2" t="s">
        <v>2359</v>
      </c>
    </row>
    <row r="79" spans="1:2" ht="15.75" customHeight="1" x14ac:dyDescent="0.25">
      <c r="A79" s="2" t="s">
        <v>2201</v>
      </c>
      <c r="B79" s="2" t="s">
        <v>2358</v>
      </c>
    </row>
    <row r="80" spans="1:2" ht="15.75" customHeight="1" x14ac:dyDescent="0.25">
      <c r="A80" s="2" t="s">
        <v>1613</v>
      </c>
      <c r="B80" s="2" t="s">
        <v>2357</v>
      </c>
    </row>
    <row r="81" spans="1:2" ht="15.75" customHeight="1" x14ac:dyDescent="0.25">
      <c r="A81" s="2" t="s">
        <v>1923</v>
      </c>
      <c r="B81" s="2" t="s">
        <v>2357</v>
      </c>
    </row>
    <row r="82" spans="1:2" ht="15.75" customHeight="1" x14ac:dyDescent="0.25">
      <c r="A82" s="2" t="s">
        <v>944</v>
      </c>
      <c r="B82" s="2" t="s">
        <v>2357</v>
      </c>
    </row>
    <row r="83" spans="1:2" ht="15.75" customHeight="1" x14ac:dyDescent="0.25">
      <c r="A83" s="2" t="s">
        <v>1099</v>
      </c>
      <c r="B83" s="2" t="s">
        <v>2357</v>
      </c>
    </row>
    <row r="84" spans="1:2" ht="15.75" customHeight="1" x14ac:dyDescent="0.25">
      <c r="A84" s="2" t="s">
        <v>1335</v>
      </c>
      <c r="B84" s="2" t="s">
        <v>2357</v>
      </c>
    </row>
    <row r="85" spans="1:2" ht="15.75" customHeight="1" x14ac:dyDescent="0.25">
      <c r="A85" s="2" t="s">
        <v>686</v>
      </c>
      <c r="B85" s="2" t="s">
        <v>2359</v>
      </c>
    </row>
    <row r="86" spans="1:2" ht="15.75" customHeight="1" x14ac:dyDescent="0.25">
      <c r="A86" s="2" t="s">
        <v>1475</v>
      </c>
      <c r="B86" s="2" t="s">
        <v>2357</v>
      </c>
    </row>
    <row r="87" spans="1:2" ht="15.75" customHeight="1" x14ac:dyDescent="0.25">
      <c r="A87" s="2" t="s">
        <v>903</v>
      </c>
      <c r="B87" s="2" t="s">
        <v>2356</v>
      </c>
    </row>
    <row r="88" spans="1:2" ht="15.75" customHeight="1" x14ac:dyDescent="0.25">
      <c r="A88" s="2" t="s">
        <v>2042</v>
      </c>
      <c r="B88" s="2" t="s">
        <v>2357</v>
      </c>
    </row>
    <row r="89" spans="1:2" ht="15.75" customHeight="1" x14ac:dyDescent="0.25">
      <c r="A89" s="2" t="s">
        <v>563</v>
      </c>
      <c r="B89" s="2" t="s">
        <v>2357</v>
      </c>
    </row>
    <row r="90" spans="1:2" ht="15.75" customHeight="1" x14ac:dyDescent="0.25">
      <c r="A90" s="2" t="s">
        <v>1987</v>
      </c>
      <c r="B90" s="2" t="s">
        <v>2357</v>
      </c>
    </row>
    <row r="91" spans="1:2" ht="15.75" customHeight="1" x14ac:dyDescent="0.25">
      <c r="A91" s="2" t="s">
        <v>637</v>
      </c>
      <c r="B91" s="2" t="s">
        <v>2357</v>
      </c>
    </row>
    <row r="92" spans="1:2" ht="15.75" customHeight="1" x14ac:dyDescent="0.25">
      <c r="A92" s="2" t="s">
        <v>1861</v>
      </c>
      <c r="B92" s="2" t="s">
        <v>2357</v>
      </c>
    </row>
    <row r="93" spans="1:2" ht="15.75" customHeight="1" x14ac:dyDescent="0.25">
      <c r="A93" s="2" t="s">
        <v>1746</v>
      </c>
      <c r="B93" s="2" t="s">
        <v>2357</v>
      </c>
    </row>
    <row r="94" spans="1:2" ht="15.75" customHeight="1" x14ac:dyDescent="0.25">
      <c r="A94" s="2" t="s">
        <v>2219</v>
      </c>
      <c r="B94" s="2" t="s">
        <v>2357</v>
      </c>
    </row>
    <row r="95" spans="1:2" ht="15.75" customHeight="1" x14ac:dyDescent="0.25">
      <c r="A95" s="2" t="s">
        <v>1275</v>
      </c>
      <c r="B95" s="2" t="s">
        <v>2357</v>
      </c>
    </row>
    <row r="96" spans="1:2" ht="15.75" customHeight="1" x14ac:dyDescent="0.25">
      <c r="A96" s="2" t="s">
        <v>1340</v>
      </c>
      <c r="B96" s="2" t="s">
        <v>2359</v>
      </c>
    </row>
    <row r="97" spans="1:2" ht="15.75" customHeight="1" x14ac:dyDescent="0.25">
      <c r="A97" s="2" t="s">
        <v>475</v>
      </c>
      <c r="B97" s="2" t="s">
        <v>2357</v>
      </c>
    </row>
    <row r="98" spans="1:2" ht="15.75" customHeight="1" x14ac:dyDescent="0.25">
      <c r="A98" s="2" t="s">
        <v>1690</v>
      </c>
      <c r="B98" s="2" t="s">
        <v>2356</v>
      </c>
    </row>
    <row r="99" spans="1:2" ht="15.75" customHeight="1" x14ac:dyDescent="0.25">
      <c r="A99" s="2" t="s">
        <v>854</v>
      </c>
      <c r="B99" s="2" t="s">
        <v>2357</v>
      </c>
    </row>
    <row r="100" spans="1:2" ht="15.75" customHeight="1" x14ac:dyDescent="0.25">
      <c r="A100" s="2" t="s">
        <v>1577</v>
      </c>
      <c r="B100" s="2" t="s">
        <v>2357</v>
      </c>
    </row>
    <row r="101" spans="1:2" ht="15.75" customHeight="1" x14ac:dyDescent="0.25">
      <c r="A101" s="2" t="s">
        <v>2262</v>
      </c>
      <c r="B101" s="2" t="s">
        <v>2357</v>
      </c>
    </row>
    <row r="102" spans="1:2" ht="15.75" customHeight="1" x14ac:dyDescent="0.25">
      <c r="A102" s="2" t="s">
        <v>1821</v>
      </c>
      <c r="B102" s="2" t="s">
        <v>2357</v>
      </c>
    </row>
    <row r="103" spans="1:2" ht="15.75" customHeight="1" x14ac:dyDescent="0.25">
      <c r="A103" s="2" t="s">
        <v>1034</v>
      </c>
      <c r="B103" s="2" t="s">
        <v>2357</v>
      </c>
    </row>
    <row r="104" spans="1:2" ht="15.75" customHeight="1" x14ac:dyDescent="0.25">
      <c r="A104" s="2" t="s">
        <v>2046</v>
      </c>
      <c r="B104" s="2" t="s">
        <v>2356</v>
      </c>
    </row>
    <row r="105" spans="1:2" ht="15.75" customHeight="1" x14ac:dyDescent="0.25">
      <c r="A105" s="2" t="s">
        <v>251</v>
      </c>
      <c r="B105" s="2" t="s">
        <v>2356</v>
      </c>
    </row>
    <row r="106" spans="1:2" ht="15.75" customHeight="1" x14ac:dyDescent="0.25">
      <c r="A106" s="2" t="s">
        <v>672</v>
      </c>
      <c r="B106" s="2" t="s">
        <v>2357</v>
      </c>
    </row>
    <row r="107" spans="1:2" ht="15.75" customHeight="1" x14ac:dyDescent="0.25">
      <c r="A107" s="2" t="s">
        <v>2203</v>
      </c>
      <c r="B107" s="2" t="s">
        <v>2357</v>
      </c>
    </row>
    <row r="108" spans="1:2" ht="15.75" customHeight="1" x14ac:dyDescent="0.25">
      <c r="A108" s="2" t="s">
        <v>1185</v>
      </c>
      <c r="B108" s="2" t="s">
        <v>2357</v>
      </c>
    </row>
    <row r="109" spans="1:2" ht="15.75" customHeight="1" x14ac:dyDescent="0.25">
      <c r="A109" s="2" t="s">
        <v>897</v>
      </c>
      <c r="B109" s="2" t="s">
        <v>2357</v>
      </c>
    </row>
    <row r="110" spans="1:2" ht="15.75" customHeight="1" x14ac:dyDescent="0.25">
      <c r="A110" s="2" t="s">
        <v>1545</v>
      </c>
      <c r="B110" s="2" t="s">
        <v>2357</v>
      </c>
    </row>
    <row r="111" spans="1:2" ht="15.75" customHeight="1" x14ac:dyDescent="0.25">
      <c r="A111" s="2" t="s">
        <v>1169</v>
      </c>
      <c r="B111" s="2" t="s">
        <v>2357</v>
      </c>
    </row>
    <row r="112" spans="1:2" ht="15.75" customHeight="1" x14ac:dyDescent="0.25">
      <c r="A112" s="2" t="s">
        <v>409</v>
      </c>
      <c r="B112" s="2" t="s">
        <v>2357</v>
      </c>
    </row>
    <row r="113" spans="1:2" ht="15.75" customHeight="1" x14ac:dyDescent="0.25">
      <c r="A113" s="2" t="s">
        <v>2194</v>
      </c>
      <c r="B113" s="2" t="s">
        <v>2360</v>
      </c>
    </row>
    <row r="114" spans="1:2" ht="15.75" customHeight="1" x14ac:dyDescent="0.25">
      <c r="A114" s="2" t="s">
        <v>2089</v>
      </c>
      <c r="B114" s="2" t="s">
        <v>2357</v>
      </c>
    </row>
    <row r="115" spans="1:2" ht="15.75" customHeight="1" x14ac:dyDescent="0.25">
      <c r="A115" s="2" t="s">
        <v>301</v>
      </c>
      <c r="B115" s="2" t="s">
        <v>2357</v>
      </c>
    </row>
    <row r="116" spans="1:2" ht="15.75" customHeight="1" x14ac:dyDescent="0.25">
      <c r="A116" s="2" t="s">
        <v>1855</v>
      </c>
      <c r="B116" s="2" t="s">
        <v>2357</v>
      </c>
    </row>
    <row r="117" spans="1:2" ht="15.75" customHeight="1" x14ac:dyDescent="0.25">
      <c r="A117" s="2" t="s">
        <v>1699</v>
      </c>
      <c r="B117" s="2" t="s">
        <v>2356</v>
      </c>
    </row>
    <row r="118" spans="1:2" ht="15.75" customHeight="1" x14ac:dyDescent="0.25">
      <c r="A118" s="2" t="s">
        <v>2181</v>
      </c>
      <c r="B118" s="2" t="s">
        <v>2360</v>
      </c>
    </row>
    <row r="119" spans="1:2" ht="15.75" customHeight="1" x14ac:dyDescent="0.25">
      <c r="A119" s="2" t="s">
        <v>1953</v>
      </c>
      <c r="B119" s="2" t="s">
        <v>2357</v>
      </c>
    </row>
    <row r="120" spans="1:2" ht="15.75" customHeight="1" x14ac:dyDescent="0.25">
      <c r="A120" s="2" t="s">
        <v>2188</v>
      </c>
      <c r="B120" s="2" t="s">
        <v>2359</v>
      </c>
    </row>
    <row r="121" spans="1:2" ht="15.75" customHeight="1" x14ac:dyDescent="0.25">
      <c r="A121" s="2" t="s">
        <v>885</v>
      </c>
      <c r="B121" s="2" t="s">
        <v>2357</v>
      </c>
    </row>
    <row r="122" spans="1:2" ht="15.75" customHeight="1" x14ac:dyDescent="0.25">
      <c r="A122" s="2" t="s">
        <v>1921</v>
      </c>
      <c r="B122" s="2" t="s">
        <v>2357</v>
      </c>
    </row>
    <row r="123" spans="1:2" ht="15.75" customHeight="1" x14ac:dyDescent="0.25">
      <c r="A123" s="2" t="s">
        <v>1680</v>
      </c>
      <c r="B123" s="2" t="s">
        <v>2357</v>
      </c>
    </row>
    <row r="124" spans="1:2" ht="15.75" customHeight="1" x14ac:dyDescent="0.25">
      <c r="A124" s="2" t="s">
        <v>2103</v>
      </c>
      <c r="B124" s="2" t="s">
        <v>2357</v>
      </c>
    </row>
    <row r="125" spans="1:2" ht="15.75" customHeight="1" x14ac:dyDescent="0.25">
      <c r="A125" s="2" t="s">
        <v>1077</v>
      </c>
      <c r="B125" s="2" t="s">
        <v>2357</v>
      </c>
    </row>
    <row r="126" spans="1:2" ht="15.75" customHeight="1" x14ac:dyDescent="0.25">
      <c r="A126" s="2" t="s">
        <v>2143</v>
      </c>
      <c r="B126" s="2" t="s">
        <v>2358</v>
      </c>
    </row>
    <row r="127" spans="1:2" ht="15.75" customHeight="1" x14ac:dyDescent="0.25">
      <c r="A127" s="2" t="s">
        <v>1955</v>
      </c>
      <c r="B127" s="2" t="s">
        <v>2357</v>
      </c>
    </row>
    <row r="128" spans="1:2" ht="15.75" customHeight="1" x14ac:dyDescent="0.25">
      <c r="A128" s="2" t="s">
        <v>1605</v>
      </c>
      <c r="B128" s="2" t="s">
        <v>2357</v>
      </c>
    </row>
    <row r="129" spans="1:2" ht="15.75" customHeight="1" x14ac:dyDescent="0.25">
      <c r="A129" s="2" t="s">
        <v>320</v>
      </c>
      <c r="B129" s="2" t="s">
        <v>2357</v>
      </c>
    </row>
    <row r="130" spans="1:2" ht="15.75" customHeight="1" x14ac:dyDescent="0.25">
      <c r="A130" s="2" t="s">
        <v>1054</v>
      </c>
      <c r="B130" s="2" t="s">
        <v>2357</v>
      </c>
    </row>
    <row r="131" spans="1:2" ht="15.75" customHeight="1" x14ac:dyDescent="0.25">
      <c r="A131" s="2" t="s">
        <v>1709</v>
      </c>
      <c r="B131" s="2" t="s">
        <v>2357</v>
      </c>
    </row>
    <row r="132" spans="1:2" ht="15.75" customHeight="1" x14ac:dyDescent="0.25">
      <c r="A132" s="2" t="s">
        <v>413</v>
      </c>
      <c r="B132" s="2" t="s">
        <v>2357</v>
      </c>
    </row>
    <row r="133" spans="1:2" ht="15.75" customHeight="1" x14ac:dyDescent="0.25">
      <c r="A133" s="2" t="s">
        <v>1596</v>
      </c>
      <c r="B133" s="2" t="s">
        <v>2357</v>
      </c>
    </row>
    <row r="134" spans="1:2" ht="15.75" customHeight="1" x14ac:dyDescent="0.25">
      <c r="A134" s="2" t="s">
        <v>1187</v>
      </c>
      <c r="B134" s="2" t="s">
        <v>2357</v>
      </c>
    </row>
    <row r="135" spans="1:2" ht="15.75" customHeight="1" x14ac:dyDescent="0.25">
      <c r="A135" s="2" t="s">
        <v>1954</v>
      </c>
      <c r="B135" s="2" t="s">
        <v>2357</v>
      </c>
    </row>
    <row r="136" spans="1:2" ht="15.75" customHeight="1" x14ac:dyDescent="0.25">
      <c r="A136" s="2" t="s">
        <v>1731</v>
      </c>
      <c r="B136" s="2" t="s">
        <v>2357</v>
      </c>
    </row>
    <row r="137" spans="1:2" ht="15.75" customHeight="1" x14ac:dyDescent="0.25">
      <c r="A137" s="2" t="s">
        <v>1886</v>
      </c>
      <c r="B137" s="2" t="s">
        <v>2357</v>
      </c>
    </row>
    <row r="138" spans="1:2" ht="15.75" customHeight="1" x14ac:dyDescent="0.25">
      <c r="A138" s="2" t="s">
        <v>1585</v>
      </c>
      <c r="B138" s="2" t="s">
        <v>2357</v>
      </c>
    </row>
    <row r="139" spans="1:2" ht="15.75" customHeight="1" x14ac:dyDescent="0.25">
      <c r="A139" s="2" t="s">
        <v>1177</v>
      </c>
      <c r="B139" s="2" t="s">
        <v>2359</v>
      </c>
    </row>
    <row r="140" spans="1:2" ht="15.75" customHeight="1" x14ac:dyDescent="0.25">
      <c r="A140" s="2" t="s">
        <v>1299</v>
      </c>
      <c r="B140" s="2" t="s">
        <v>2357</v>
      </c>
    </row>
    <row r="141" spans="1:2" ht="15.75" customHeight="1" x14ac:dyDescent="0.25">
      <c r="A141" s="2" t="s">
        <v>2279</v>
      </c>
      <c r="B141" s="2" t="s">
        <v>2360</v>
      </c>
    </row>
    <row r="142" spans="1:2" ht="15.75" customHeight="1" x14ac:dyDescent="0.25">
      <c r="A142" s="2" t="s">
        <v>1383</v>
      </c>
      <c r="B142" s="2" t="s">
        <v>2357</v>
      </c>
    </row>
    <row r="143" spans="1:2" ht="15.75" customHeight="1" x14ac:dyDescent="0.25">
      <c r="A143" s="2" t="s">
        <v>2304</v>
      </c>
      <c r="B143" s="2" t="s">
        <v>2357</v>
      </c>
    </row>
    <row r="144" spans="1:2" ht="15.75" customHeight="1" x14ac:dyDescent="0.25">
      <c r="A144" s="2" t="s">
        <v>430</v>
      </c>
      <c r="B144" s="2" t="s">
        <v>2356</v>
      </c>
    </row>
    <row r="145" spans="1:2" ht="15.75" customHeight="1" x14ac:dyDescent="0.25">
      <c r="A145" s="2" t="s">
        <v>600</v>
      </c>
      <c r="B145" s="2" t="s">
        <v>2357</v>
      </c>
    </row>
    <row r="146" spans="1:2" ht="15.75" customHeight="1" x14ac:dyDescent="0.25">
      <c r="A146" s="2" t="s">
        <v>901</v>
      </c>
      <c r="B146" s="2" t="s">
        <v>2357</v>
      </c>
    </row>
    <row r="147" spans="1:2" ht="15.75" customHeight="1" x14ac:dyDescent="0.25">
      <c r="A147" s="2" t="s">
        <v>1867</v>
      </c>
      <c r="B147" s="2" t="s">
        <v>2357</v>
      </c>
    </row>
    <row r="148" spans="1:2" ht="15.75" customHeight="1" x14ac:dyDescent="0.25">
      <c r="A148" s="2" t="s">
        <v>2342</v>
      </c>
      <c r="B148" s="2" t="s">
        <v>2360</v>
      </c>
    </row>
    <row r="149" spans="1:2" ht="15.75" customHeight="1" x14ac:dyDescent="0.25">
      <c r="A149" s="2" t="s">
        <v>988</v>
      </c>
      <c r="B149" s="2" t="s">
        <v>2359</v>
      </c>
    </row>
    <row r="150" spans="1:2" ht="15.75" customHeight="1" x14ac:dyDescent="0.25">
      <c r="A150" s="2" t="s">
        <v>1220</v>
      </c>
      <c r="B150" s="2" t="s">
        <v>2356</v>
      </c>
    </row>
    <row r="151" spans="1:2" ht="15.75" customHeight="1" x14ac:dyDescent="0.25">
      <c r="A151" s="2" t="s">
        <v>2284</v>
      </c>
      <c r="B151" s="2" t="s">
        <v>2357</v>
      </c>
    </row>
    <row r="152" spans="1:2" ht="15.75" customHeight="1" x14ac:dyDescent="0.25">
      <c r="A152" s="2" t="s">
        <v>1368</v>
      </c>
      <c r="B152" s="2" t="s">
        <v>2357</v>
      </c>
    </row>
    <row r="153" spans="1:2" ht="15.75" customHeight="1" x14ac:dyDescent="0.25">
      <c r="A153" s="2" t="s">
        <v>1198</v>
      </c>
      <c r="B153" s="2" t="s">
        <v>2356</v>
      </c>
    </row>
    <row r="154" spans="1:2" ht="15.75" customHeight="1" x14ac:dyDescent="0.25">
      <c r="A154" s="2" t="s">
        <v>1244</v>
      </c>
      <c r="B154" s="2" t="s">
        <v>2357</v>
      </c>
    </row>
    <row r="155" spans="1:2" ht="15.75" customHeight="1" x14ac:dyDescent="0.25">
      <c r="A155" s="2" t="s">
        <v>2323</v>
      </c>
      <c r="B155" s="2" t="s">
        <v>2359</v>
      </c>
    </row>
    <row r="156" spans="1:2" ht="15.75" customHeight="1" x14ac:dyDescent="0.25">
      <c r="A156" s="2" t="s">
        <v>329</v>
      </c>
      <c r="B156" s="2" t="s">
        <v>2357</v>
      </c>
    </row>
    <row r="157" spans="1:2" ht="15.75" customHeight="1" x14ac:dyDescent="0.25">
      <c r="A157" s="2" t="s">
        <v>356</v>
      </c>
      <c r="B157" s="2" t="s">
        <v>2357</v>
      </c>
    </row>
    <row r="158" spans="1:2" ht="15.75" customHeight="1" x14ac:dyDescent="0.25">
      <c r="A158" s="2" t="s">
        <v>1533</v>
      </c>
      <c r="B158" s="2" t="s">
        <v>2357</v>
      </c>
    </row>
    <row r="159" spans="1:2" ht="15.75" customHeight="1" x14ac:dyDescent="0.25">
      <c r="A159" s="2" t="s">
        <v>1678</v>
      </c>
      <c r="B159" s="2" t="s">
        <v>2357</v>
      </c>
    </row>
    <row r="160" spans="1:2" ht="15.75" customHeight="1" x14ac:dyDescent="0.25">
      <c r="A160" s="2" t="s">
        <v>1463</v>
      </c>
      <c r="B160" s="2" t="s">
        <v>2357</v>
      </c>
    </row>
    <row r="161" spans="1:2" ht="15.75" customHeight="1" x14ac:dyDescent="0.25">
      <c r="A161" s="2" t="s">
        <v>1435</v>
      </c>
      <c r="B161" s="2" t="s">
        <v>2357</v>
      </c>
    </row>
    <row r="162" spans="1:2" ht="15.75" customHeight="1" x14ac:dyDescent="0.25">
      <c r="A162" s="2" t="s">
        <v>1768</v>
      </c>
      <c r="B162" s="2" t="s">
        <v>2357</v>
      </c>
    </row>
    <row r="163" spans="1:2" ht="15.75" customHeight="1" x14ac:dyDescent="0.25">
      <c r="A163" s="2" t="s">
        <v>623</v>
      </c>
      <c r="B163" s="2" t="s">
        <v>2357</v>
      </c>
    </row>
    <row r="164" spans="1:2" ht="15.75" customHeight="1" x14ac:dyDescent="0.25">
      <c r="A164" s="2" t="s">
        <v>1413</v>
      </c>
      <c r="B164" s="2" t="s">
        <v>2357</v>
      </c>
    </row>
    <row r="165" spans="1:2" ht="15.75" customHeight="1" x14ac:dyDescent="0.25">
      <c r="A165" s="2" t="s">
        <v>1934</v>
      </c>
      <c r="B165" s="2" t="s">
        <v>2357</v>
      </c>
    </row>
    <row r="166" spans="1:2" ht="15.75" customHeight="1" x14ac:dyDescent="0.25">
      <c r="A166" s="2" t="s">
        <v>1751</v>
      </c>
      <c r="B166" s="2" t="s">
        <v>2357</v>
      </c>
    </row>
    <row r="167" spans="1:2" ht="15.75" customHeight="1" x14ac:dyDescent="0.25">
      <c r="A167" s="2" t="s">
        <v>1105</v>
      </c>
      <c r="B167" s="2" t="s">
        <v>2359</v>
      </c>
    </row>
    <row r="168" spans="1:2" ht="15.75" customHeight="1" x14ac:dyDescent="0.25">
      <c r="A168" s="2" t="s">
        <v>742</v>
      </c>
      <c r="B168" s="2" t="s">
        <v>2357</v>
      </c>
    </row>
    <row r="169" spans="1:2" ht="15.75" customHeight="1" x14ac:dyDescent="0.25">
      <c r="A169" s="2" t="s">
        <v>2335</v>
      </c>
      <c r="B169" s="2" t="s">
        <v>2358</v>
      </c>
    </row>
    <row r="170" spans="1:2" ht="15.75" customHeight="1" x14ac:dyDescent="0.25">
      <c r="A170" s="2" t="s">
        <v>968</v>
      </c>
      <c r="B170" s="2" t="s">
        <v>2357</v>
      </c>
    </row>
    <row r="171" spans="1:2" ht="15.75" customHeight="1" x14ac:dyDescent="0.25">
      <c r="A171" s="2" t="s">
        <v>1010</v>
      </c>
      <c r="B171" s="2" t="s">
        <v>2357</v>
      </c>
    </row>
    <row r="172" spans="1:2" ht="15.75" customHeight="1" x14ac:dyDescent="0.25">
      <c r="A172" s="2" t="s">
        <v>1332</v>
      </c>
      <c r="B172" s="2" t="s">
        <v>2357</v>
      </c>
    </row>
    <row r="173" spans="1:2" ht="15.75" customHeight="1" x14ac:dyDescent="0.25">
      <c r="A173" s="2" t="s">
        <v>1397</v>
      </c>
      <c r="B173" s="2" t="s">
        <v>2357</v>
      </c>
    </row>
    <row r="174" spans="1:2" ht="15.75" customHeight="1" x14ac:dyDescent="0.25">
      <c r="A174" s="2" t="s">
        <v>997</v>
      </c>
      <c r="B174" s="2" t="s">
        <v>2357</v>
      </c>
    </row>
    <row r="175" spans="1:2" ht="15.75" customHeight="1" x14ac:dyDescent="0.25">
      <c r="A175" s="2" t="s">
        <v>1271</v>
      </c>
      <c r="B175" s="2" t="s">
        <v>2357</v>
      </c>
    </row>
    <row r="176" spans="1:2" ht="15.75" customHeight="1" x14ac:dyDescent="0.25">
      <c r="A176" s="2" t="s">
        <v>713</v>
      </c>
      <c r="B176" s="2" t="s">
        <v>2357</v>
      </c>
    </row>
    <row r="177" spans="1:2" ht="15.75" customHeight="1" x14ac:dyDescent="0.25">
      <c r="A177" s="2" t="s">
        <v>2324</v>
      </c>
      <c r="B177" s="2" t="s">
        <v>2357</v>
      </c>
    </row>
    <row r="178" spans="1:2" ht="15.75" customHeight="1" x14ac:dyDescent="0.25">
      <c r="A178" s="2" t="s">
        <v>1603</v>
      </c>
      <c r="B178" s="2" t="s">
        <v>2357</v>
      </c>
    </row>
    <row r="179" spans="1:2" ht="15.75" customHeight="1" x14ac:dyDescent="0.25">
      <c r="A179" s="2" t="s">
        <v>2285</v>
      </c>
      <c r="B179" s="2" t="s">
        <v>2360</v>
      </c>
    </row>
    <row r="180" spans="1:2" ht="15.75" customHeight="1" x14ac:dyDescent="0.25">
      <c r="A180" s="2" t="s">
        <v>132</v>
      </c>
      <c r="B180" s="2" t="s">
        <v>2357</v>
      </c>
    </row>
    <row r="181" spans="1:2" ht="15.75" customHeight="1" x14ac:dyDescent="0.25">
      <c r="A181" s="2" t="s">
        <v>2255</v>
      </c>
      <c r="B181" s="2" t="s">
        <v>2357</v>
      </c>
    </row>
    <row r="182" spans="1:2" ht="15.75" customHeight="1" x14ac:dyDescent="0.25">
      <c r="A182" s="2" t="s">
        <v>97</v>
      </c>
      <c r="B182" s="2" t="s">
        <v>2357</v>
      </c>
    </row>
    <row r="183" spans="1:2" ht="15.75" customHeight="1" x14ac:dyDescent="0.25">
      <c r="A183" s="2" t="s">
        <v>1358</v>
      </c>
      <c r="B183" s="2" t="s">
        <v>2357</v>
      </c>
    </row>
    <row r="184" spans="1:2" ht="15.75" customHeight="1" x14ac:dyDescent="0.25">
      <c r="A184" s="2" t="s">
        <v>2096</v>
      </c>
      <c r="B184" s="2" t="s">
        <v>2357</v>
      </c>
    </row>
    <row r="185" spans="1:2" ht="15.75" customHeight="1" x14ac:dyDescent="0.25">
      <c r="A185" s="2" t="s">
        <v>938</v>
      </c>
      <c r="B185" s="2" t="s">
        <v>2357</v>
      </c>
    </row>
    <row r="186" spans="1:2" ht="15.75" customHeight="1" x14ac:dyDescent="0.25">
      <c r="A186" s="2" t="s">
        <v>1049</v>
      </c>
      <c r="B186" s="2" t="s">
        <v>2357</v>
      </c>
    </row>
    <row r="187" spans="1:2" ht="15.75" customHeight="1" x14ac:dyDescent="0.25">
      <c r="A187" s="2" t="s">
        <v>304</v>
      </c>
      <c r="B187" s="2" t="s">
        <v>2357</v>
      </c>
    </row>
    <row r="188" spans="1:2" ht="15.75" customHeight="1" x14ac:dyDescent="0.25">
      <c r="A188" s="2" t="s">
        <v>1039</v>
      </c>
      <c r="B188" s="2" t="s">
        <v>2357</v>
      </c>
    </row>
    <row r="189" spans="1:2" ht="15.75" customHeight="1" x14ac:dyDescent="0.25">
      <c r="A189" s="2" t="s">
        <v>1762</v>
      </c>
      <c r="B189" s="2" t="s">
        <v>2359</v>
      </c>
    </row>
    <row r="190" spans="1:2" ht="15.75" customHeight="1" x14ac:dyDescent="0.25">
      <c r="A190" s="2" t="s">
        <v>134</v>
      </c>
      <c r="B190" s="2" t="s">
        <v>2357</v>
      </c>
    </row>
    <row r="191" spans="1:2" ht="15.75" customHeight="1" x14ac:dyDescent="0.25">
      <c r="A191" s="2" t="s">
        <v>1874</v>
      </c>
      <c r="B191" s="2" t="s">
        <v>2359</v>
      </c>
    </row>
    <row r="192" spans="1:2" ht="15.75" customHeight="1" x14ac:dyDescent="0.25">
      <c r="A192" s="2" t="s">
        <v>665</v>
      </c>
      <c r="B192" s="2" t="s">
        <v>2357</v>
      </c>
    </row>
    <row r="193" spans="1:2" ht="15.75" customHeight="1" x14ac:dyDescent="0.25">
      <c r="A193" s="2" t="s">
        <v>2340</v>
      </c>
      <c r="B193" s="2" t="s">
        <v>2357</v>
      </c>
    </row>
    <row r="194" spans="1:2" ht="15.75" customHeight="1" x14ac:dyDescent="0.25">
      <c r="A194" s="2" t="s">
        <v>223</v>
      </c>
      <c r="B194" s="2" t="s">
        <v>2357</v>
      </c>
    </row>
    <row r="195" spans="1:2" ht="15.75" customHeight="1" x14ac:dyDescent="0.25">
      <c r="A195" s="2" t="s">
        <v>1344</v>
      </c>
      <c r="B195" s="2" t="s">
        <v>2357</v>
      </c>
    </row>
    <row r="196" spans="1:2" ht="15.75" customHeight="1" x14ac:dyDescent="0.25">
      <c r="A196" s="2" t="s">
        <v>1667</v>
      </c>
      <c r="B196" s="2" t="s">
        <v>2357</v>
      </c>
    </row>
    <row r="197" spans="1:2" ht="15.75" customHeight="1" x14ac:dyDescent="0.25">
      <c r="A197" s="2" t="s">
        <v>1392</v>
      </c>
      <c r="B197" s="2" t="s">
        <v>2357</v>
      </c>
    </row>
    <row r="198" spans="1:2" ht="15.75" customHeight="1" x14ac:dyDescent="0.25">
      <c r="A198" s="2" t="s">
        <v>266</v>
      </c>
      <c r="B198" s="2" t="s">
        <v>2356</v>
      </c>
    </row>
    <row r="199" spans="1:2" ht="15.75" customHeight="1" x14ac:dyDescent="0.25">
      <c r="A199" s="2" t="s">
        <v>280</v>
      </c>
      <c r="B199" s="2" t="s">
        <v>2357</v>
      </c>
    </row>
    <row r="200" spans="1:2" ht="15.75" customHeight="1" x14ac:dyDescent="0.25">
      <c r="A200" s="2" t="s">
        <v>995</v>
      </c>
      <c r="B200" s="2" t="s">
        <v>2357</v>
      </c>
    </row>
    <row r="201" spans="1:2" ht="15.75" customHeight="1" x14ac:dyDescent="0.25">
      <c r="A201" s="2" t="s">
        <v>288</v>
      </c>
      <c r="B201" s="2" t="s">
        <v>2357</v>
      </c>
    </row>
    <row r="202" spans="1:2" ht="15.75" customHeight="1" x14ac:dyDescent="0.25">
      <c r="A202" s="2" t="s">
        <v>2008</v>
      </c>
      <c r="B202" s="2" t="s">
        <v>2357</v>
      </c>
    </row>
    <row r="203" spans="1:2" ht="15.75" customHeight="1" x14ac:dyDescent="0.25">
      <c r="A203" s="2" t="s">
        <v>1506</v>
      </c>
      <c r="B203" s="2" t="s">
        <v>2357</v>
      </c>
    </row>
    <row r="204" spans="1:2" ht="15.75" customHeight="1" x14ac:dyDescent="0.25">
      <c r="A204" s="2" t="s">
        <v>1999</v>
      </c>
      <c r="B204" s="2" t="s">
        <v>2357</v>
      </c>
    </row>
    <row r="205" spans="1:2" ht="15.75" customHeight="1" x14ac:dyDescent="0.25">
      <c r="A205" s="2" t="s">
        <v>1062</v>
      </c>
      <c r="B205" s="2" t="s">
        <v>2357</v>
      </c>
    </row>
    <row r="206" spans="1:2" ht="15.75" customHeight="1" x14ac:dyDescent="0.25">
      <c r="A206" s="2" t="s">
        <v>1995</v>
      </c>
      <c r="B206" s="2" t="s">
        <v>2356</v>
      </c>
    </row>
    <row r="207" spans="1:2" ht="15.75" customHeight="1" x14ac:dyDescent="0.25">
      <c r="A207" s="2" t="s">
        <v>1112</v>
      </c>
      <c r="B207" s="2" t="s">
        <v>2359</v>
      </c>
    </row>
    <row r="208" spans="1:2" ht="15.75" customHeight="1" x14ac:dyDescent="0.25">
      <c r="A208" s="2" t="s">
        <v>989</v>
      </c>
      <c r="B208" s="2" t="s">
        <v>2357</v>
      </c>
    </row>
    <row r="209" spans="1:2" ht="15.75" customHeight="1" x14ac:dyDescent="0.25">
      <c r="A209" s="2" t="s">
        <v>1322</v>
      </c>
      <c r="B209" s="2" t="s">
        <v>2357</v>
      </c>
    </row>
    <row r="210" spans="1:2" ht="15.75" customHeight="1" x14ac:dyDescent="0.25">
      <c r="A210" s="2" t="s">
        <v>1658</v>
      </c>
      <c r="B210" s="2" t="s">
        <v>2356</v>
      </c>
    </row>
    <row r="211" spans="1:2" ht="15.75" customHeight="1" x14ac:dyDescent="0.25">
      <c r="A211" s="2" t="s">
        <v>1575</v>
      </c>
      <c r="B211" s="2" t="s">
        <v>2357</v>
      </c>
    </row>
    <row r="212" spans="1:2" ht="15.75" customHeight="1" x14ac:dyDescent="0.25">
      <c r="A212" s="2" t="s">
        <v>1329</v>
      </c>
      <c r="B212" s="2" t="s">
        <v>2357</v>
      </c>
    </row>
    <row r="213" spans="1:2" ht="15.75" customHeight="1" x14ac:dyDescent="0.25">
      <c r="A213" s="2" t="s">
        <v>931</v>
      </c>
      <c r="B213" s="2" t="s">
        <v>2356</v>
      </c>
    </row>
    <row r="214" spans="1:2" ht="15.75" customHeight="1" x14ac:dyDescent="0.25">
      <c r="A214" s="2" t="s">
        <v>657</v>
      </c>
      <c r="B214" s="2" t="s">
        <v>2357</v>
      </c>
    </row>
    <row r="215" spans="1:2" ht="15.75" customHeight="1" x14ac:dyDescent="0.25">
      <c r="A215" s="2" t="s">
        <v>845</v>
      </c>
      <c r="B215" s="2" t="s">
        <v>2357</v>
      </c>
    </row>
    <row r="216" spans="1:2" ht="15.75" customHeight="1" x14ac:dyDescent="0.25">
      <c r="A216" s="2" t="s">
        <v>313</v>
      </c>
      <c r="B216" s="2" t="s">
        <v>2357</v>
      </c>
    </row>
    <row r="217" spans="1:2" ht="15.75" customHeight="1" x14ac:dyDescent="0.25">
      <c r="A217" s="2" t="s">
        <v>1370</v>
      </c>
      <c r="B217" s="2" t="s">
        <v>2357</v>
      </c>
    </row>
    <row r="218" spans="1:2" ht="15.75" customHeight="1" x14ac:dyDescent="0.25">
      <c r="A218" s="2" t="s">
        <v>1240</v>
      </c>
      <c r="B218" s="2" t="s">
        <v>2357</v>
      </c>
    </row>
    <row r="219" spans="1:2" ht="15.75" customHeight="1" x14ac:dyDescent="0.25">
      <c r="A219" s="2" t="s">
        <v>166</v>
      </c>
      <c r="B219" s="2" t="s">
        <v>2359</v>
      </c>
    </row>
    <row r="220" spans="1:2" ht="15.75" customHeight="1" x14ac:dyDescent="0.25">
      <c r="A220" s="2" t="s">
        <v>432</v>
      </c>
      <c r="B220" s="2" t="s">
        <v>2356</v>
      </c>
    </row>
    <row r="221" spans="1:2" ht="15.75" customHeight="1" x14ac:dyDescent="0.25">
      <c r="A221" s="2" t="s">
        <v>677</v>
      </c>
      <c r="B221" s="2" t="s">
        <v>2357</v>
      </c>
    </row>
    <row r="222" spans="1:2" ht="15.75" customHeight="1" x14ac:dyDescent="0.25">
      <c r="A222" s="2" t="s">
        <v>934</v>
      </c>
      <c r="B222" s="2" t="s">
        <v>2357</v>
      </c>
    </row>
    <row r="223" spans="1:2" ht="15.75" customHeight="1" x14ac:dyDescent="0.25">
      <c r="A223" s="2" t="s">
        <v>1326</v>
      </c>
      <c r="B223" s="2" t="s">
        <v>2357</v>
      </c>
    </row>
    <row r="224" spans="1:2" ht="15.75" customHeight="1" x14ac:dyDescent="0.25">
      <c r="A224" s="2" t="s">
        <v>917</v>
      </c>
      <c r="B224" s="2" t="s">
        <v>2357</v>
      </c>
    </row>
    <row r="225" spans="1:2" ht="15.75" customHeight="1" x14ac:dyDescent="0.25">
      <c r="A225" s="2" t="s">
        <v>1124</v>
      </c>
      <c r="B225" s="2" t="s">
        <v>2357</v>
      </c>
    </row>
    <row r="226" spans="1:2" ht="15.75" customHeight="1" x14ac:dyDescent="0.25">
      <c r="A226" s="2" t="s">
        <v>454</v>
      </c>
      <c r="B226" s="2" t="s">
        <v>2357</v>
      </c>
    </row>
    <row r="227" spans="1:2" ht="15.75" customHeight="1" x14ac:dyDescent="0.25">
      <c r="A227" s="2" t="s">
        <v>1004</v>
      </c>
      <c r="B227" s="2" t="s">
        <v>2357</v>
      </c>
    </row>
    <row r="228" spans="1:2" ht="15.75" customHeight="1" x14ac:dyDescent="0.25">
      <c r="A228" s="2" t="s">
        <v>1512</v>
      </c>
      <c r="B228" s="2" t="s">
        <v>2357</v>
      </c>
    </row>
    <row r="229" spans="1:2" ht="15.75" customHeight="1" x14ac:dyDescent="0.25">
      <c r="A229" s="2" t="s">
        <v>433</v>
      </c>
      <c r="B229" s="2" t="s">
        <v>2356</v>
      </c>
    </row>
    <row r="230" spans="1:2" ht="15.75" customHeight="1" x14ac:dyDescent="0.25">
      <c r="A230" s="2" t="s">
        <v>352</v>
      </c>
      <c r="B230" s="2" t="s">
        <v>2357</v>
      </c>
    </row>
    <row r="231" spans="1:2" ht="15.75" customHeight="1" x14ac:dyDescent="0.25">
      <c r="A231" s="2" t="s">
        <v>415</v>
      </c>
      <c r="B231" s="2" t="s">
        <v>2357</v>
      </c>
    </row>
    <row r="232" spans="1:2" ht="15.75" customHeight="1" x14ac:dyDescent="0.25">
      <c r="A232" s="2" t="s">
        <v>1301</v>
      </c>
      <c r="B232" s="2" t="s">
        <v>2357</v>
      </c>
    </row>
    <row r="233" spans="1:2" ht="15.75" customHeight="1" x14ac:dyDescent="0.25">
      <c r="A233" s="2" t="s">
        <v>1353</v>
      </c>
      <c r="B233" s="2" t="s">
        <v>2357</v>
      </c>
    </row>
    <row r="234" spans="1:2" ht="15.75" customHeight="1" x14ac:dyDescent="0.25">
      <c r="A234" s="2" t="s">
        <v>912</v>
      </c>
      <c r="B234" s="2" t="s">
        <v>2357</v>
      </c>
    </row>
    <row r="235" spans="1:2" ht="15.75" customHeight="1" x14ac:dyDescent="0.25">
      <c r="A235" s="2" t="s">
        <v>840</v>
      </c>
      <c r="B235" s="2" t="s">
        <v>2359</v>
      </c>
    </row>
    <row r="236" spans="1:2" ht="15.75" customHeight="1" x14ac:dyDescent="0.25">
      <c r="A236" s="2" t="s">
        <v>1203</v>
      </c>
      <c r="B236" s="2" t="s">
        <v>2357</v>
      </c>
    </row>
    <row r="237" spans="1:2" ht="15.75" customHeight="1" x14ac:dyDescent="0.25">
      <c r="A237" s="2" t="s">
        <v>2298</v>
      </c>
      <c r="B237" s="2" t="s">
        <v>2357</v>
      </c>
    </row>
    <row r="238" spans="1:2" ht="15.75" customHeight="1" x14ac:dyDescent="0.25">
      <c r="A238" s="2" t="s">
        <v>276</v>
      </c>
      <c r="B238" s="2" t="s">
        <v>2357</v>
      </c>
    </row>
    <row r="239" spans="1:2" ht="15.75" customHeight="1" x14ac:dyDescent="0.25">
      <c r="A239" s="2" t="s">
        <v>480</v>
      </c>
      <c r="B239" s="2" t="s">
        <v>2357</v>
      </c>
    </row>
    <row r="240" spans="1:2" ht="15.75" customHeight="1" x14ac:dyDescent="0.25">
      <c r="A240" s="2" t="s">
        <v>111</v>
      </c>
      <c r="B240" s="2" t="s">
        <v>2357</v>
      </c>
    </row>
    <row r="241" spans="1:2" ht="15.75" customHeight="1" x14ac:dyDescent="0.25">
      <c r="A241" s="2" t="s">
        <v>1355</v>
      </c>
      <c r="B241" s="2" t="s">
        <v>2357</v>
      </c>
    </row>
    <row r="242" spans="1:2" ht="15.75" customHeight="1" x14ac:dyDescent="0.25">
      <c r="A242" s="2" t="s">
        <v>1860</v>
      </c>
      <c r="B242" s="2" t="s">
        <v>2357</v>
      </c>
    </row>
    <row r="243" spans="1:2" ht="15.75" customHeight="1" x14ac:dyDescent="0.25">
      <c r="A243" s="2" t="s">
        <v>1848</v>
      </c>
      <c r="B243" s="2" t="s">
        <v>2357</v>
      </c>
    </row>
    <row r="244" spans="1:2" ht="15.75" customHeight="1" x14ac:dyDescent="0.25">
      <c r="A244" s="2" t="s">
        <v>2316</v>
      </c>
      <c r="B244" s="2" t="s">
        <v>2357</v>
      </c>
    </row>
    <row r="245" spans="1:2" ht="15.75" customHeight="1" x14ac:dyDescent="0.25">
      <c r="A245" s="2" t="s">
        <v>1137</v>
      </c>
      <c r="B245" s="2" t="s">
        <v>2359</v>
      </c>
    </row>
    <row r="246" spans="1:2" ht="15.75" customHeight="1" x14ac:dyDescent="0.25">
      <c r="A246" s="2" t="s">
        <v>2215</v>
      </c>
      <c r="B246" s="2" t="s">
        <v>2357</v>
      </c>
    </row>
    <row r="247" spans="1:2" ht="15.75" customHeight="1" x14ac:dyDescent="0.25">
      <c r="A247" s="2" t="s">
        <v>2202</v>
      </c>
      <c r="B247" s="2" t="s">
        <v>2357</v>
      </c>
    </row>
    <row r="248" spans="1:2" ht="15.75" customHeight="1" x14ac:dyDescent="0.25">
      <c r="A248" s="2" t="s">
        <v>1733</v>
      </c>
      <c r="B248" s="2" t="s">
        <v>2357</v>
      </c>
    </row>
    <row r="249" spans="1:2" ht="15.75" customHeight="1" x14ac:dyDescent="0.25">
      <c r="A249" s="2" t="s">
        <v>1165</v>
      </c>
      <c r="B249" s="2" t="s">
        <v>2357</v>
      </c>
    </row>
    <row r="250" spans="1:2" ht="15.75" customHeight="1" x14ac:dyDescent="0.25">
      <c r="A250" s="2" t="s">
        <v>662</v>
      </c>
      <c r="B250" s="2" t="s">
        <v>2357</v>
      </c>
    </row>
    <row r="251" spans="1:2" ht="15.75" customHeight="1" x14ac:dyDescent="0.25">
      <c r="A251" s="2" t="s">
        <v>1554</v>
      </c>
      <c r="B251" s="2" t="s">
        <v>2356</v>
      </c>
    </row>
    <row r="252" spans="1:2" ht="15.75" customHeight="1" x14ac:dyDescent="0.25">
      <c r="A252" s="2" t="s">
        <v>1460</v>
      </c>
      <c r="B252" s="2" t="s">
        <v>2357</v>
      </c>
    </row>
    <row r="253" spans="1:2" ht="15.75" customHeight="1" x14ac:dyDescent="0.25">
      <c r="A253" s="2" t="s">
        <v>1809</v>
      </c>
      <c r="B253" s="2" t="s">
        <v>2356</v>
      </c>
    </row>
    <row r="254" spans="1:2" ht="15.75" customHeight="1" x14ac:dyDescent="0.25">
      <c r="A254" s="2" t="s">
        <v>1798</v>
      </c>
      <c r="B254" s="2" t="s">
        <v>2357</v>
      </c>
    </row>
    <row r="255" spans="1:2" ht="15.75" customHeight="1" x14ac:dyDescent="0.25">
      <c r="A255" s="2" t="s">
        <v>1094</v>
      </c>
      <c r="B255" s="2" t="s">
        <v>2357</v>
      </c>
    </row>
    <row r="256" spans="1:2" ht="15.75" customHeight="1" x14ac:dyDescent="0.25">
      <c r="A256" s="2" t="s">
        <v>2200</v>
      </c>
      <c r="B256" s="2" t="s">
        <v>2358</v>
      </c>
    </row>
    <row r="257" spans="1:2" ht="15.75" customHeight="1" x14ac:dyDescent="0.25">
      <c r="A257" s="2" t="s">
        <v>1018</v>
      </c>
      <c r="B257" s="2" t="s">
        <v>2357</v>
      </c>
    </row>
    <row r="258" spans="1:2" ht="15.75" customHeight="1" x14ac:dyDescent="0.25">
      <c r="A258" s="2" t="s">
        <v>1492</v>
      </c>
      <c r="B258" s="2" t="s">
        <v>2357</v>
      </c>
    </row>
    <row r="259" spans="1:2" ht="15.75" customHeight="1" x14ac:dyDescent="0.25">
      <c r="A259" s="2" t="s">
        <v>1629</v>
      </c>
      <c r="B259" s="2" t="s">
        <v>2357</v>
      </c>
    </row>
    <row r="260" spans="1:2" ht="15.75" customHeight="1" x14ac:dyDescent="0.25">
      <c r="A260" s="2" t="s">
        <v>1714</v>
      </c>
      <c r="B260" s="2" t="s">
        <v>2357</v>
      </c>
    </row>
    <row r="261" spans="1:2" ht="15.75" customHeight="1" x14ac:dyDescent="0.25">
      <c r="A261" s="2" t="s">
        <v>1283</v>
      </c>
      <c r="B261" s="2" t="s">
        <v>2357</v>
      </c>
    </row>
    <row r="262" spans="1:2" ht="15.75" customHeight="1" x14ac:dyDescent="0.25">
      <c r="A262" s="2" t="s">
        <v>746</v>
      </c>
      <c r="B262" s="2" t="s">
        <v>2357</v>
      </c>
    </row>
    <row r="263" spans="1:2" ht="15.75" customHeight="1" x14ac:dyDescent="0.25">
      <c r="A263" s="2" t="s">
        <v>909</v>
      </c>
      <c r="B263" s="2" t="s">
        <v>2357</v>
      </c>
    </row>
    <row r="264" spans="1:2" ht="15.75" customHeight="1" x14ac:dyDescent="0.25">
      <c r="A264" s="2" t="s">
        <v>2023</v>
      </c>
      <c r="B264" s="2" t="s">
        <v>2356</v>
      </c>
    </row>
    <row r="265" spans="1:2" ht="15.75" customHeight="1" x14ac:dyDescent="0.25">
      <c r="A265" s="2" t="s">
        <v>1108</v>
      </c>
      <c r="B265" s="2" t="s">
        <v>2357</v>
      </c>
    </row>
    <row r="266" spans="1:2" ht="15.75" customHeight="1" x14ac:dyDescent="0.25">
      <c r="A266" s="2" t="s">
        <v>1388</v>
      </c>
      <c r="B266" s="2" t="s">
        <v>2357</v>
      </c>
    </row>
    <row r="267" spans="1:2" ht="15.75" customHeight="1" x14ac:dyDescent="0.25">
      <c r="A267" s="2" t="s">
        <v>2308</v>
      </c>
      <c r="B267" s="2" t="s">
        <v>2358</v>
      </c>
    </row>
    <row r="268" spans="1:2" ht="15.75" customHeight="1" x14ac:dyDescent="0.25">
      <c r="A268" s="2" t="s">
        <v>1737</v>
      </c>
      <c r="B268" s="2" t="s">
        <v>2357</v>
      </c>
    </row>
    <row r="269" spans="1:2" ht="15.75" customHeight="1" x14ac:dyDescent="0.25">
      <c r="A269" s="2" t="s">
        <v>1997</v>
      </c>
      <c r="B269" s="2" t="s">
        <v>2357</v>
      </c>
    </row>
    <row r="270" spans="1:2" ht="15.75" customHeight="1" x14ac:dyDescent="0.25">
      <c r="A270" s="2" t="s">
        <v>380</v>
      </c>
      <c r="B270" s="2" t="s">
        <v>2356</v>
      </c>
    </row>
    <row r="271" spans="1:2" ht="15.75" customHeight="1" x14ac:dyDescent="0.25">
      <c r="A271" s="2" t="s">
        <v>2020</v>
      </c>
      <c r="B271" s="2" t="s">
        <v>2357</v>
      </c>
    </row>
    <row r="272" spans="1:2" ht="15.75" customHeight="1" x14ac:dyDescent="0.25">
      <c r="A272" s="2" t="s">
        <v>2222</v>
      </c>
      <c r="B272" s="2" t="s">
        <v>2360</v>
      </c>
    </row>
    <row r="273" spans="1:2" ht="15.75" customHeight="1" x14ac:dyDescent="0.25">
      <c r="A273" s="2" t="s">
        <v>372</v>
      </c>
      <c r="B273" s="2" t="s">
        <v>2357</v>
      </c>
    </row>
    <row r="274" spans="1:2" ht="15.75" customHeight="1" x14ac:dyDescent="0.25">
      <c r="A274" s="2" t="s">
        <v>704</v>
      </c>
      <c r="B274" s="2" t="s">
        <v>2357</v>
      </c>
    </row>
    <row r="275" spans="1:2" ht="15.75" customHeight="1" x14ac:dyDescent="0.25">
      <c r="A275" s="2" t="s">
        <v>2155</v>
      </c>
      <c r="B275" s="2" t="s">
        <v>2360</v>
      </c>
    </row>
    <row r="276" spans="1:2" ht="15.75" customHeight="1" x14ac:dyDescent="0.25">
      <c r="A276" s="2" t="s">
        <v>1347</v>
      </c>
      <c r="B276" s="2" t="s">
        <v>2356</v>
      </c>
    </row>
    <row r="277" spans="1:2" ht="15.75" customHeight="1" x14ac:dyDescent="0.25">
      <c r="A277" s="2" t="s">
        <v>1183</v>
      </c>
      <c r="B277" s="2" t="s">
        <v>2357</v>
      </c>
    </row>
    <row r="278" spans="1:2" ht="15.75" customHeight="1" x14ac:dyDescent="0.25">
      <c r="A278" s="2" t="s">
        <v>447</v>
      </c>
      <c r="B278" s="2" t="s">
        <v>2357</v>
      </c>
    </row>
    <row r="279" spans="1:2" ht="15.75" customHeight="1" x14ac:dyDescent="0.25">
      <c r="A279" s="2" t="s">
        <v>407</v>
      </c>
      <c r="B279" s="2" t="s">
        <v>2357</v>
      </c>
    </row>
    <row r="280" spans="1:2" ht="15.75" customHeight="1" x14ac:dyDescent="0.25">
      <c r="A280" s="2" t="s">
        <v>2006</v>
      </c>
      <c r="B280" s="2" t="s">
        <v>2357</v>
      </c>
    </row>
    <row r="281" spans="1:2" ht="15.75" customHeight="1" x14ac:dyDescent="0.25">
      <c r="A281" s="2" t="s">
        <v>1517</v>
      </c>
      <c r="B281" s="2" t="s">
        <v>2357</v>
      </c>
    </row>
    <row r="282" spans="1:2" ht="15.75" customHeight="1" x14ac:dyDescent="0.25">
      <c r="A282" s="2" t="s">
        <v>1032</v>
      </c>
      <c r="B282" s="2" t="s">
        <v>2357</v>
      </c>
    </row>
    <row r="283" spans="1:2" ht="15.75" customHeight="1" x14ac:dyDescent="0.25">
      <c r="A283" s="2" t="s">
        <v>2026</v>
      </c>
      <c r="B283" s="2" t="s">
        <v>2357</v>
      </c>
    </row>
    <row r="284" spans="1:2" ht="15.75" customHeight="1" x14ac:dyDescent="0.25">
      <c r="A284" s="2" t="s">
        <v>1284</v>
      </c>
      <c r="B284" s="2" t="s">
        <v>2357</v>
      </c>
    </row>
    <row r="285" spans="1:2" ht="15.75" customHeight="1" x14ac:dyDescent="0.25">
      <c r="A285" s="2" t="s">
        <v>2011</v>
      </c>
      <c r="B285" s="2" t="s">
        <v>2356</v>
      </c>
    </row>
    <row r="286" spans="1:2" ht="15.75" customHeight="1" x14ac:dyDescent="0.25">
      <c r="A286" s="2" t="s">
        <v>2132</v>
      </c>
      <c r="B286" s="2" t="s">
        <v>2357</v>
      </c>
    </row>
    <row r="287" spans="1:2" ht="15.75" customHeight="1" x14ac:dyDescent="0.25">
      <c r="A287" s="2" t="s">
        <v>345</v>
      </c>
      <c r="B287" s="2" t="s">
        <v>2357</v>
      </c>
    </row>
    <row r="288" spans="1:2" ht="15.75" customHeight="1" x14ac:dyDescent="0.25">
      <c r="A288" s="2" t="s">
        <v>1257</v>
      </c>
      <c r="B288" s="2" t="s">
        <v>2357</v>
      </c>
    </row>
    <row r="289" spans="1:2" ht="15.75" customHeight="1" x14ac:dyDescent="0.25">
      <c r="A289" s="2" t="s">
        <v>1893</v>
      </c>
      <c r="B289" s="2" t="s">
        <v>2357</v>
      </c>
    </row>
    <row r="290" spans="1:2" ht="15.75" customHeight="1" x14ac:dyDescent="0.25">
      <c r="A290" s="2" t="s">
        <v>807</v>
      </c>
      <c r="B290" s="2" t="s">
        <v>2357</v>
      </c>
    </row>
    <row r="291" spans="1:2" ht="15.75" customHeight="1" x14ac:dyDescent="0.25">
      <c r="A291" s="2" t="s">
        <v>1822</v>
      </c>
      <c r="B291" s="2" t="s">
        <v>2356</v>
      </c>
    </row>
    <row r="292" spans="1:2" ht="15.75" customHeight="1" x14ac:dyDescent="0.25">
      <c r="A292" s="2" t="s">
        <v>1162</v>
      </c>
      <c r="B292" s="2" t="s">
        <v>2359</v>
      </c>
    </row>
    <row r="293" spans="1:2" ht="15.75" customHeight="1" x14ac:dyDescent="0.25">
      <c r="A293" s="2" t="s">
        <v>1924</v>
      </c>
      <c r="B293" s="2" t="s">
        <v>2357</v>
      </c>
    </row>
    <row r="294" spans="1:2" ht="15.75" customHeight="1" x14ac:dyDescent="0.25">
      <c r="A294" s="2" t="s">
        <v>2079</v>
      </c>
      <c r="B294" s="2" t="s">
        <v>2357</v>
      </c>
    </row>
    <row r="295" spans="1:2" ht="15.75" customHeight="1" x14ac:dyDescent="0.25">
      <c r="A295" s="2" t="s">
        <v>2263</v>
      </c>
      <c r="B295" s="2" t="s">
        <v>2357</v>
      </c>
    </row>
    <row r="296" spans="1:2" ht="15.75" customHeight="1" x14ac:dyDescent="0.25">
      <c r="A296" s="2" t="s">
        <v>2113</v>
      </c>
      <c r="B296" s="2" t="s">
        <v>2357</v>
      </c>
    </row>
    <row r="297" spans="1:2" ht="15.75" customHeight="1" x14ac:dyDescent="0.25">
      <c r="A297" s="2" t="s">
        <v>1464</v>
      </c>
      <c r="B297" s="2" t="s">
        <v>2357</v>
      </c>
    </row>
    <row r="298" spans="1:2" ht="15.75" customHeight="1" x14ac:dyDescent="0.25">
      <c r="A298" s="2" t="s">
        <v>604</v>
      </c>
      <c r="B298" s="2" t="s">
        <v>2357</v>
      </c>
    </row>
    <row r="299" spans="1:2" ht="15.75" customHeight="1" x14ac:dyDescent="0.25">
      <c r="A299" s="2" t="s">
        <v>2012</v>
      </c>
      <c r="B299" s="2" t="s">
        <v>2357</v>
      </c>
    </row>
    <row r="300" spans="1:2" ht="15.75" customHeight="1" x14ac:dyDescent="0.25">
      <c r="A300" s="2" t="s">
        <v>2341</v>
      </c>
      <c r="B300" s="2" t="s">
        <v>2357</v>
      </c>
    </row>
    <row r="301" spans="1:2" ht="15.75" customHeight="1" x14ac:dyDescent="0.25">
      <c r="A301" s="2" t="s">
        <v>818</v>
      </c>
      <c r="B301" s="2" t="s">
        <v>2357</v>
      </c>
    </row>
    <row r="302" spans="1:2" ht="15.75" customHeight="1" x14ac:dyDescent="0.25">
      <c r="A302" s="2" t="s">
        <v>1929</v>
      </c>
      <c r="B302" s="2" t="s">
        <v>2357</v>
      </c>
    </row>
    <row r="303" spans="1:2" ht="15.75" customHeight="1" x14ac:dyDescent="0.25">
      <c r="A303" s="2" t="s">
        <v>1276</v>
      </c>
      <c r="B303" s="2" t="s">
        <v>2357</v>
      </c>
    </row>
    <row r="304" spans="1:2" ht="15.75" customHeight="1" x14ac:dyDescent="0.25">
      <c r="A304" s="2" t="s">
        <v>2339</v>
      </c>
      <c r="B304" s="2" t="s">
        <v>2357</v>
      </c>
    </row>
    <row r="305" spans="1:2" ht="15.75" customHeight="1" x14ac:dyDescent="0.25">
      <c r="A305" s="2" t="s">
        <v>2343</v>
      </c>
      <c r="B305" s="2" t="s">
        <v>2357</v>
      </c>
    </row>
    <row r="306" spans="1:2" ht="15.75" customHeight="1" x14ac:dyDescent="0.25">
      <c r="A306" s="2" t="s">
        <v>388</v>
      </c>
      <c r="B306" s="2" t="s">
        <v>2357</v>
      </c>
    </row>
    <row r="307" spans="1:2" ht="15.75" customHeight="1" x14ac:dyDescent="0.25">
      <c r="A307" s="2" t="s">
        <v>1403</v>
      </c>
      <c r="B307" s="2" t="s">
        <v>2357</v>
      </c>
    </row>
    <row r="308" spans="1:2" ht="15.75" customHeight="1" x14ac:dyDescent="0.25">
      <c r="A308" s="2" t="s">
        <v>417</v>
      </c>
      <c r="B308" s="2" t="s">
        <v>2357</v>
      </c>
    </row>
    <row r="309" spans="1:2" ht="15.75" customHeight="1" x14ac:dyDescent="0.25">
      <c r="A309" s="2" t="s">
        <v>1957</v>
      </c>
      <c r="B309" s="2" t="s">
        <v>2356</v>
      </c>
    </row>
    <row r="310" spans="1:2" ht="15.75" customHeight="1" x14ac:dyDescent="0.25">
      <c r="A310" s="2" t="s">
        <v>1664</v>
      </c>
      <c r="B310" s="2" t="s">
        <v>2357</v>
      </c>
    </row>
    <row r="311" spans="1:2" ht="15.75" customHeight="1" x14ac:dyDescent="0.25">
      <c r="A311" s="2" t="s">
        <v>1878</v>
      </c>
      <c r="B311" s="2" t="s">
        <v>2357</v>
      </c>
    </row>
    <row r="312" spans="1:2" ht="15.75" customHeight="1" x14ac:dyDescent="0.25">
      <c r="A312" s="2" t="s">
        <v>1132</v>
      </c>
      <c r="B312" s="2" t="s">
        <v>2357</v>
      </c>
    </row>
    <row r="313" spans="1:2" ht="15.75" customHeight="1" x14ac:dyDescent="0.25">
      <c r="A313" s="2" t="s">
        <v>1969</v>
      </c>
      <c r="B313" s="2" t="s">
        <v>2356</v>
      </c>
    </row>
    <row r="314" spans="1:2" ht="15.75" customHeight="1" x14ac:dyDescent="0.25">
      <c r="A314" s="2" t="s">
        <v>1261</v>
      </c>
      <c r="B314" s="2" t="s">
        <v>2356</v>
      </c>
    </row>
    <row r="315" spans="1:2" ht="15.75" customHeight="1" x14ac:dyDescent="0.25">
      <c r="A315" s="2" t="s">
        <v>1802</v>
      </c>
      <c r="B315" s="2" t="s">
        <v>2357</v>
      </c>
    </row>
    <row r="316" spans="1:2" ht="15.75" customHeight="1" x14ac:dyDescent="0.25">
      <c r="A316" s="2" t="s">
        <v>723</v>
      </c>
      <c r="B316" s="2" t="s">
        <v>2356</v>
      </c>
    </row>
    <row r="317" spans="1:2" ht="15.75" customHeight="1" x14ac:dyDescent="0.25">
      <c r="A317" s="2" t="s">
        <v>880</v>
      </c>
      <c r="B317" s="2" t="s">
        <v>2357</v>
      </c>
    </row>
    <row r="318" spans="1:2" ht="15.75" customHeight="1" x14ac:dyDescent="0.25">
      <c r="A318" s="2" t="s">
        <v>1705</v>
      </c>
      <c r="B318" s="2" t="s">
        <v>2357</v>
      </c>
    </row>
    <row r="319" spans="1:2" ht="15.75" customHeight="1" x14ac:dyDescent="0.25">
      <c r="A319" s="2" t="s">
        <v>1824</v>
      </c>
      <c r="B319" s="2" t="s">
        <v>2357</v>
      </c>
    </row>
    <row r="320" spans="1:2" ht="15.75" customHeight="1" x14ac:dyDescent="0.25">
      <c r="A320" s="2" t="s">
        <v>1716</v>
      </c>
      <c r="B320" s="2" t="s">
        <v>2356</v>
      </c>
    </row>
    <row r="321" spans="1:2" ht="15.75" customHeight="1" x14ac:dyDescent="0.25">
      <c r="A321" s="2" t="s">
        <v>800</v>
      </c>
      <c r="B321" s="2" t="s">
        <v>2357</v>
      </c>
    </row>
    <row r="322" spans="1:2" ht="15.75" customHeight="1" x14ac:dyDescent="0.25">
      <c r="A322" s="2" t="s">
        <v>1990</v>
      </c>
      <c r="B322" s="2" t="s">
        <v>2356</v>
      </c>
    </row>
    <row r="323" spans="1:2" ht="15.75" customHeight="1" x14ac:dyDescent="0.25">
      <c r="A323" s="2" t="s">
        <v>2278</v>
      </c>
      <c r="B323" s="2" t="s">
        <v>2359</v>
      </c>
    </row>
    <row r="324" spans="1:2" ht="15.75" customHeight="1" x14ac:dyDescent="0.25">
      <c r="A324" s="2" t="s">
        <v>1399</v>
      </c>
      <c r="B324" s="2" t="s">
        <v>2357</v>
      </c>
    </row>
    <row r="325" spans="1:2" ht="15.75" customHeight="1" x14ac:dyDescent="0.25">
      <c r="A325" s="2" t="s">
        <v>2052</v>
      </c>
      <c r="B325" s="2" t="s">
        <v>2357</v>
      </c>
    </row>
    <row r="326" spans="1:2" ht="15.75" customHeight="1" x14ac:dyDescent="0.25">
      <c r="A326" s="2" t="s">
        <v>1587</v>
      </c>
      <c r="B326" s="2" t="s">
        <v>2357</v>
      </c>
    </row>
    <row r="327" spans="1:2" ht="15.75" customHeight="1" x14ac:dyDescent="0.25">
      <c r="A327" s="2" t="s">
        <v>42</v>
      </c>
      <c r="B327" s="2" t="s">
        <v>2357</v>
      </c>
    </row>
    <row r="328" spans="1:2" ht="15.75" customHeight="1" x14ac:dyDescent="0.25">
      <c r="A328" s="2" t="s">
        <v>1294</v>
      </c>
      <c r="B328" s="2" t="s">
        <v>2356</v>
      </c>
    </row>
    <row r="329" spans="1:2" ht="15.75" customHeight="1" x14ac:dyDescent="0.25">
      <c r="A329" s="2" t="s">
        <v>471</v>
      </c>
      <c r="B329" s="2" t="s">
        <v>2357</v>
      </c>
    </row>
    <row r="330" spans="1:2" ht="15.75" customHeight="1" x14ac:dyDescent="0.25">
      <c r="A330" s="2" t="s">
        <v>1634</v>
      </c>
      <c r="B330" s="2" t="s">
        <v>2356</v>
      </c>
    </row>
    <row r="331" spans="1:2" ht="15.75" customHeight="1" x14ac:dyDescent="0.25">
      <c r="A331" s="2" t="s">
        <v>710</v>
      </c>
      <c r="B331" s="2" t="s">
        <v>2357</v>
      </c>
    </row>
    <row r="332" spans="1:2" ht="15.75" customHeight="1" x14ac:dyDescent="0.25">
      <c r="A332" s="2" t="s">
        <v>951</v>
      </c>
      <c r="B332" s="2" t="s">
        <v>2357</v>
      </c>
    </row>
    <row r="333" spans="1:2" ht="15.75" customHeight="1" x14ac:dyDescent="0.25">
      <c r="A333" s="2" t="s">
        <v>2305</v>
      </c>
      <c r="B333" s="2" t="s">
        <v>2357</v>
      </c>
    </row>
    <row r="334" spans="1:2" ht="15.75" customHeight="1" x14ac:dyDescent="0.25">
      <c r="A334" s="2" t="s">
        <v>2115</v>
      </c>
      <c r="B334" s="2" t="s">
        <v>2357</v>
      </c>
    </row>
    <row r="335" spans="1:2" ht="15.75" customHeight="1" x14ac:dyDescent="0.25">
      <c r="A335" s="2" t="s">
        <v>573</v>
      </c>
      <c r="B335" s="2" t="s">
        <v>2359</v>
      </c>
    </row>
    <row r="336" spans="1:2" ht="15.75" customHeight="1" x14ac:dyDescent="0.25">
      <c r="A336" s="2" t="s">
        <v>1915</v>
      </c>
      <c r="B336" s="2" t="s">
        <v>2357</v>
      </c>
    </row>
    <row r="337" spans="1:2" ht="15.75" customHeight="1" x14ac:dyDescent="0.25">
      <c r="A337" s="2" t="s">
        <v>315</v>
      </c>
      <c r="B337" s="2" t="s">
        <v>2357</v>
      </c>
    </row>
    <row r="338" spans="1:2" ht="15.75" customHeight="1" x14ac:dyDescent="0.25">
      <c r="A338" s="2" t="s">
        <v>1042</v>
      </c>
      <c r="B338" s="2" t="s">
        <v>2357</v>
      </c>
    </row>
    <row r="339" spans="1:2" ht="15.75" customHeight="1" x14ac:dyDescent="0.25">
      <c r="A339" s="2" t="s">
        <v>2131</v>
      </c>
      <c r="B339" s="2" t="s">
        <v>2357</v>
      </c>
    </row>
    <row r="340" spans="1:2" ht="15.75" customHeight="1" x14ac:dyDescent="0.25">
      <c r="A340" s="2" t="s">
        <v>2182</v>
      </c>
      <c r="B340" s="2" t="s">
        <v>2357</v>
      </c>
    </row>
    <row r="341" spans="1:2" ht="15.75" customHeight="1" x14ac:dyDescent="0.25">
      <c r="A341" s="2" t="s">
        <v>1994</v>
      </c>
      <c r="B341" s="2" t="s">
        <v>2357</v>
      </c>
    </row>
    <row r="342" spans="1:2" ht="15.75" customHeight="1" x14ac:dyDescent="0.25">
      <c r="A342" s="2" t="s">
        <v>1430</v>
      </c>
      <c r="B342" s="2" t="s">
        <v>2357</v>
      </c>
    </row>
    <row r="343" spans="1:2" ht="15.75" customHeight="1" x14ac:dyDescent="0.25">
      <c r="A343" s="2" t="s">
        <v>1914</v>
      </c>
      <c r="B343" s="2" t="s">
        <v>2357</v>
      </c>
    </row>
    <row r="344" spans="1:2" ht="15.75" customHeight="1" x14ac:dyDescent="0.25">
      <c r="A344" s="2" t="s">
        <v>1727</v>
      </c>
      <c r="B344" s="2" t="s">
        <v>2357</v>
      </c>
    </row>
    <row r="345" spans="1:2" ht="15.75" customHeight="1" x14ac:dyDescent="0.25">
      <c r="A345" s="2" t="s">
        <v>1950</v>
      </c>
      <c r="B345" s="2" t="s">
        <v>2356</v>
      </c>
    </row>
    <row r="346" spans="1:2" ht="15.75" customHeight="1" x14ac:dyDescent="0.25">
      <c r="A346" s="2" t="s">
        <v>2217</v>
      </c>
      <c r="B346" s="2" t="s">
        <v>2360</v>
      </c>
    </row>
    <row r="347" spans="1:2" ht="15.75" customHeight="1" x14ac:dyDescent="0.25">
      <c r="A347" s="2" t="s">
        <v>639</v>
      </c>
      <c r="B347" s="2" t="s">
        <v>2357</v>
      </c>
    </row>
    <row r="348" spans="1:2" ht="15.75" customHeight="1" x14ac:dyDescent="0.25">
      <c r="A348" s="2" t="s">
        <v>2240</v>
      </c>
      <c r="B348" s="2" t="s">
        <v>2360</v>
      </c>
    </row>
    <row r="349" spans="1:2" ht="15.75" customHeight="1" x14ac:dyDescent="0.25">
      <c r="A349" s="2" t="s">
        <v>1774</v>
      </c>
      <c r="B349" s="2" t="s">
        <v>2359</v>
      </c>
    </row>
    <row r="350" spans="1:2" ht="15.75" customHeight="1" x14ac:dyDescent="0.25">
      <c r="A350" s="2" t="s">
        <v>1443</v>
      </c>
      <c r="B350" s="2" t="s">
        <v>2357</v>
      </c>
    </row>
    <row r="351" spans="1:2" ht="15.75" customHeight="1" x14ac:dyDescent="0.25">
      <c r="A351" s="2" t="s">
        <v>1660</v>
      </c>
      <c r="B351" s="2" t="s">
        <v>2357</v>
      </c>
    </row>
    <row r="352" spans="1:2" ht="15.75" customHeight="1" x14ac:dyDescent="0.25">
      <c r="A352" s="2" t="s">
        <v>1621</v>
      </c>
      <c r="B352" s="2" t="s">
        <v>2357</v>
      </c>
    </row>
    <row r="353" spans="1:2" ht="15.75" customHeight="1" x14ac:dyDescent="0.25">
      <c r="A353" s="2" t="s">
        <v>828</v>
      </c>
      <c r="B353" s="2" t="s">
        <v>2356</v>
      </c>
    </row>
    <row r="354" spans="1:2" ht="15.75" customHeight="1" x14ac:dyDescent="0.25">
      <c r="A354" s="2" t="s">
        <v>1212</v>
      </c>
      <c r="B354" s="2" t="s">
        <v>2357</v>
      </c>
    </row>
    <row r="355" spans="1:2" ht="15.75" customHeight="1" x14ac:dyDescent="0.25">
      <c r="A355" s="2" t="s">
        <v>1486</v>
      </c>
      <c r="B355" s="2" t="s">
        <v>2359</v>
      </c>
    </row>
    <row r="356" spans="1:2" ht="15.75" customHeight="1" x14ac:dyDescent="0.25">
      <c r="A356" s="2" t="s">
        <v>822</v>
      </c>
      <c r="B356" s="2" t="s">
        <v>2357</v>
      </c>
    </row>
    <row r="357" spans="1:2" ht="15.75" customHeight="1" x14ac:dyDescent="0.25">
      <c r="A357" s="2" t="s">
        <v>2178</v>
      </c>
      <c r="B357" s="2" t="s">
        <v>2358</v>
      </c>
    </row>
    <row r="358" spans="1:2" ht="15.75" customHeight="1" x14ac:dyDescent="0.25">
      <c r="A358" s="2" t="s">
        <v>2207</v>
      </c>
      <c r="B358" s="2" t="s">
        <v>2357</v>
      </c>
    </row>
    <row r="359" spans="1:2" ht="15.75" customHeight="1" x14ac:dyDescent="0.25">
      <c r="A359" s="2" t="s">
        <v>620</v>
      </c>
      <c r="B359" s="2" t="s">
        <v>2357</v>
      </c>
    </row>
    <row r="360" spans="1:2" ht="15.75" customHeight="1" x14ac:dyDescent="0.25">
      <c r="A360" s="2" t="s">
        <v>2145</v>
      </c>
      <c r="B360" s="2" t="s">
        <v>2358</v>
      </c>
    </row>
    <row r="361" spans="1:2" ht="15.75" customHeight="1" x14ac:dyDescent="0.25">
      <c r="A361" s="2" t="s">
        <v>2101</v>
      </c>
      <c r="B361" s="2" t="s">
        <v>2357</v>
      </c>
    </row>
    <row r="362" spans="1:2" ht="15.75" customHeight="1" x14ac:dyDescent="0.25">
      <c r="A362" s="2" t="s">
        <v>852</v>
      </c>
      <c r="B362" s="2" t="s">
        <v>2357</v>
      </c>
    </row>
    <row r="363" spans="1:2" ht="15.75" customHeight="1" x14ac:dyDescent="0.25">
      <c r="A363" s="2" t="s">
        <v>973</v>
      </c>
      <c r="B363" s="2" t="s">
        <v>2357</v>
      </c>
    </row>
    <row r="364" spans="1:2" ht="15.75" customHeight="1" x14ac:dyDescent="0.25">
      <c r="A364" s="2" t="s">
        <v>1431</v>
      </c>
      <c r="B364" s="2" t="s">
        <v>2357</v>
      </c>
    </row>
    <row r="365" spans="1:2" ht="15.75" customHeight="1" x14ac:dyDescent="0.25">
      <c r="A365" s="2" t="s">
        <v>1562</v>
      </c>
      <c r="B365" s="2" t="s">
        <v>2357</v>
      </c>
    </row>
    <row r="366" spans="1:2" ht="15.75" customHeight="1" x14ac:dyDescent="0.25">
      <c r="A366" s="2" t="s">
        <v>718</v>
      </c>
      <c r="B366" s="2" t="s">
        <v>2359</v>
      </c>
    </row>
    <row r="367" spans="1:2" ht="15.75" customHeight="1" x14ac:dyDescent="0.25">
      <c r="A367" s="2" t="s">
        <v>611</v>
      </c>
      <c r="B367" s="2" t="s">
        <v>2357</v>
      </c>
    </row>
    <row r="368" spans="1:2" ht="15.75" customHeight="1" x14ac:dyDescent="0.25">
      <c r="A368" s="2" t="s">
        <v>2242</v>
      </c>
      <c r="B368" s="2" t="s">
        <v>2356</v>
      </c>
    </row>
    <row r="369" spans="1:2" ht="15.75" customHeight="1" x14ac:dyDescent="0.25">
      <c r="A369" s="2" t="s">
        <v>1619</v>
      </c>
      <c r="B369" s="2" t="s">
        <v>2357</v>
      </c>
    </row>
    <row r="370" spans="1:2" ht="15.75" customHeight="1" x14ac:dyDescent="0.25">
      <c r="A370" s="2" t="s">
        <v>171</v>
      </c>
      <c r="B370" s="2" t="s">
        <v>2357</v>
      </c>
    </row>
    <row r="371" spans="1:2" ht="15.75" customHeight="1" x14ac:dyDescent="0.25">
      <c r="A371" s="2" t="s">
        <v>1978</v>
      </c>
      <c r="B371" s="2" t="s">
        <v>2356</v>
      </c>
    </row>
    <row r="372" spans="1:2" ht="15.75" customHeight="1" x14ac:dyDescent="0.25">
      <c r="A372" s="2" t="s">
        <v>1006</v>
      </c>
      <c r="B372" s="2" t="s">
        <v>2357</v>
      </c>
    </row>
    <row r="373" spans="1:2" ht="15.75" customHeight="1" x14ac:dyDescent="0.25">
      <c r="A373" s="2" t="s">
        <v>817</v>
      </c>
      <c r="B373" s="2" t="s">
        <v>2357</v>
      </c>
    </row>
    <row r="374" spans="1:2" ht="15.75" customHeight="1" x14ac:dyDescent="0.25">
      <c r="A374" s="2" t="s">
        <v>2165</v>
      </c>
      <c r="B374" s="2" t="s">
        <v>2360</v>
      </c>
    </row>
    <row r="375" spans="1:2" ht="15.75" customHeight="1" x14ac:dyDescent="0.25">
      <c r="A375" s="2" t="s">
        <v>1494</v>
      </c>
      <c r="B375" s="2" t="s">
        <v>2357</v>
      </c>
    </row>
    <row r="376" spans="1:2" ht="15.75" customHeight="1" x14ac:dyDescent="0.25">
      <c r="A376" s="2" t="s">
        <v>1172</v>
      </c>
      <c r="B376" s="2" t="s">
        <v>2357</v>
      </c>
    </row>
    <row r="377" spans="1:2" ht="15.75" customHeight="1" x14ac:dyDescent="0.25">
      <c r="A377" s="2" t="s">
        <v>648</v>
      </c>
      <c r="B377" s="2" t="s">
        <v>2357</v>
      </c>
    </row>
    <row r="378" spans="1:2" ht="15.75" customHeight="1" x14ac:dyDescent="0.25">
      <c r="A378" s="2" t="s">
        <v>2186</v>
      </c>
      <c r="B378" s="2" t="s">
        <v>2358</v>
      </c>
    </row>
    <row r="379" spans="1:2" ht="15.75" customHeight="1" x14ac:dyDescent="0.25">
      <c r="A379" s="2" t="s">
        <v>312</v>
      </c>
      <c r="B379" s="2" t="s">
        <v>2356</v>
      </c>
    </row>
    <row r="380" spans="1:2" ht="15.75" customHeight="1" x14ac:dyDescent="0.25">
      <c r="A380" s="2" t="s">
        <v>659</v>
      </c>
      <c r="B380" s="2" t="s">
        <v>2357</v>
      </c>
    </row>
    <row r="381" spans="1:2" ht="15.75" customHeight="1" x14ac:dyDescent="0.25">
      <c r="A381" s="2" t="s">
        <v>617</v>
      </c>
      <c r="B381" s="2" t="s">
        <v>2357</v>
      </c>
    </row>
    <row r="382" spans="1:2" ht="15.75" customHeight="1" x14ac:dyDescent="0.25">
      <c r="A382" s="2" t="s">
        <v>2109</v>
      </c>
      <c r="B382" s="2" t="s">
        <v>2356</v>
      </c>
    </row>
    <row r="383" spans="1:2" ht="15.75" customHeight="1" x14ac:dyDescent="0.25">
      <c r="A383" s="2" t="s">
        <v>1882</v>
      </c>
      <c r="B383" s="2" t="s">
        <v>2359</v>
      </c>
    </row>
    <row r="384" spans="1:2" ht="15.75" customHeight="1" x14ac:dyDescent="0.25">
      <c r="A384" s="2" t="s">
        <v>392</v>
      </c>
      <c r="B384" s="2" t="s">
        <v>2356</v>
      </c>
    </row>
    <row r="385" spans="1:2" ht="15.75" customHeight="1" x14ac:dyDescent="0.25">
      <c r="A385" s="2" t="s">
        <v>1642</v>
      </c>
      <c r="B385" s="2" t="s">
        <v>2356</v>
      </c>
    </row>
    <row r="386" spans="1:2" ht="15.75" customHeight="1" x14ac:dyDescent="0.25">
      <c r="A386" s="2" t="s">
        <v>1640</v>
      </c>
      <c r="B386" s="2" t="s">
        <v>2357</v>
      </c>
    </row>
    <row r="387" spans="1:2" ht="15.75" customHeight="1" x14ac:dyDescent="0.25">
      <c r="A387" s="2" t="s">
        <v>736</v>
      </c>
      <c r="B387" s="2" t="s">
        <v>2357</v>
      </c>
    </row>
    <row r="388" spans="1:2" ht="15.75" customHeight="1" x14ac:dyDescent="0.25">
      <c r="A388" s="2" t="s">
        <v>1939</v>
      </c>
      <c r="B388" s="2" t="s">
        <v>2357</v>
      </c>
    </row>
    <row r="389" spans="1:2" ht="15.75" customHeight="1" x14ac:dyDescent="0.25">
      <c r="A389" s="2" t="s">
        <v>1566</v>
      </c>
      <c r="B389" s="2" t="s">
        <v>2357</v>
      </c>
    </row>
    <row r="390" spans="1:2" ht="15.75" customHeight="1" x14ac:dyDescent="0.25">
      <c r="A390" s="2" t="s">
        <v>2329</v>
      </c>
      <c r="B390" s="2" t="s">
        <v>2357</v>
      </c>
    </row>
    <row r="391" spans="1:2" ht="15.75" customHeight="1" x14ac:dyDescent="0.25">
      <c r="A391" s="2" t="s">
        <v>137</v>
      </c>
      <c r="B391" s="2" t="s">
        <v>2356</v>
      </c>
    </row>
    <row r="392" spans="1:2" ht="15.75" customHeight="1" x14ac:dyDescent="0.25">
      <c r="A392" s="2" t="s">
        <v>531</v>
      </c>
      <c r="B392" s="2" t="s">
        <v>2357</v>
      </c>
    </row>
    <row r="393" spans="1:2" ht="15.75" customHeight="1" x14ac:dyDescent="0.25">
      <c r="A393" s="2" t="s">
        <v>2266</v>
      </c>
      <c r="B393" s="2" t="s">
        <v>2357</v>
      </c>
    </row>
    <row r="394" spans="1:2" ht="15.75" customHeight="1" x14ac:dyDescent="0.25">
      <c r="A394" s="2" t="s">
        <v>963</v>
      </c>
      <c r="B394" s="2" t="s">
        <v>2356</v>
      </c>
    </row>
    <row r="395" spans="1:2" ht="15.75" customHeight="1" x14ac:dyDescent="0.25">
      <c r="A395" s="2" t="s">
        <v>658</v>
      </c>
      <c r="B395" s="2" t="s">
        <v>2356</v>
      </c>
    </row>
    <row r="396" spans="1:2" ht="15.75" customHeight="1" x14ac:dyDescent="0.25">
      <c r="A396" s="2" t="s">
        <v>970</v>
      </c>
      <c r="B396" s="2" t="s">
        <v>2357</v>
      </c>
    </row>
    <row r="397" spans="1:2" ht="15.75" customHeight="1" x14ac:dyDescent="0.25">
      <c r="A397" s="2" t="s">
        <v>1611</v>
      </c>
      <c r="B397" s="2" t="s">
        <v>2357</v>
      </c>
    </row>
    <row r="398" spans="1:2" ht="15.75" customHeight="1" x14ac:dyDescent="0.25">
      <c r="A398" s="2" t="s">
        <v>660</v>
      </c>
      <c r="B398" s="2" t="s">
        <v>2357</v>
      </c>
    </row>
    <row r="399" spans="1:2" ht="15.75" customHeight="1" x14ac:dyDescent="0.25">
      <c r="A399" s="2" t="s">
        <v>1333</v>
      </c>
      <c r="B399" s="2" t="s">
        <v>2357</v>
      </c>
    </row>
    <row r="400" spans="1:2" ht="15.75" customHeight="1" x14ac:dyDescent="0.25">
      <c r="A400" s="2" t="s">
        <v>2099</v>
      </c>
      <c r="B400" s="2" t="s">
        <v>2357</v>
      </c>
    </row>
    <row r="401" spans="1:2" ht="15.75" customHeight="1" x14ac:dyDescent="0.25">
      <c r="A401" s="2" t="s">
        <v>823</v>
      </c>
      <c r="B401" s="2" t="s">
        <v>2357</v>
      </c>
    </row>
    <row r="402" spans="1:2" ht="15.75" customHeight="1" x14ac:dyDescent="0.25">
      <c r="A402" s="2" t="s">
        <v>2238</v>
      </c>
      <c r="B402" s="2" t="s">
        <v>2360</v>
      </c>
    </row>
    <row r="403" spans="1:2" ht="15.75" customHeight="1" x14ac:dyDescent="0.25">
      <c r="A403" s="2" t="s">
        <v>670</v>
      </c>
      <c r="B403" s="2" t="s">
        <v>2356</v>
      </c>
    </row>
    <row r="404" spans="1:2" ht="15.75" customHeight="1" x14ac:dyDescent="0.25">
      <c r="A404" s="2" t="s">
        <v>114</v>
      </c>
      <c r="B404" s="2" t="s">
        <v>2357</v>
      </c>
    </row>
    <row r="405" spans="1:2" ht="15.75" customHeight="1" x14ac:dyDescent="0.25">
      <c r="A405" s="2" t="s">
        <v>692</v>
      </c>
      <c r="B405" s="2" t="s">
        <v>2356</v>
      </c>
    </row>
    <row r="406" spans="1:2" ht="15.75" customHeight="1" x14ac:dyDescent="0.25">
      <c r="A406" s="2" t="s">
        <v>1247</v>
      </c>
      <c r="B406" s="2" t="s">
        <v>2357</v>
      </c>
    </row>
    <row r="407" spans="1:2" ht="15.75" customHeight="1" x14ac:dyDescent="0.25">
      <c r="A407" s="2" t="s">
        <v>911</v>
      </c>
      <c r="B407" s="2" t="s">
        <v>2357</v>
      </c>
    </row>
    <row r="408" spans="1:2" ht="15.75" customHeight="1" x14ac:dyDescent="0.25">
      <c r="A408" s="2" t="s">
        <v>1525</v>
      </c>
      <c r="B408" s="2" t="s">
        <v>2357</v>
      </c>
    </row>
    <row r="409" spans="1:2" ht="15.75" customHeight="1" x14ac:dyDescent="0.25">
      <c r="A409" s="2" t="s">
        <v>2161</v>
      </c>
      <c r="B409" s="2" t="s">
        <v>2360</v>
      </c>
    </row>
    <row r="410" spans="1:2" ht="15.75" customHeight="1" x14ac:dyDescent="0.25">
      <c r="A410" s="2" t="s">
        <v>629</v>
      </c>
      <c r="B410" s="2" t="s">
        <v>2357</v>
      </c>
    </row>
    <row r="411" spans="1:2" ht="15.75" customHeight="1" x14ac:dyDescent="0.25">
      <c r="A411" s="2" t="s">
        <v>1000</v>
      </c>
      <c r="B411" s="2" t="s">
        <v>2357</v>
      </c>
    </row>
    <row r="412" spans="1:2" ht="15.75" customHeight="1" x14ac:dyDescent="0.25">
      <c r="A412" s="2" t="s">
        <v>39</v>
      </c>
      <c r="B412" s="2" t="s">
        <v>2357</v>
      </c>
    </row>
    <row r="413" spans="1:2" ht="15.75" customHeight="1" x14ac:dyDescent="0.25">
      <c r="A413" s="2" t="s">
        <v>1362</v>
      </c>
      <c r="B413" s="2" t="s">
        <v>2357</v>
      </c>
    </row>
    <row r="414" spans="1:2" ht="15.75" customHeight="1" x14ac:dyDescent="0.25">
      <c r="A414" s="2" t="s">
        <v>929</v>
      </c>
      <c r="B414" s="2" t="s">
        <v>2357</v>
      </c>
    </row>
    <row r="415" spans="1:2" ht="15.75" customHeight="1" x14ac:dyDescent="0.25">
      <c r="A415" s="2" t="s">
        <v>1394</v>
      </c>
      <c r="B415" s="2" t="s">
        <v>2356</v>
      </c>
    </row>
    <row r="416" spans="1:2" ht="15.75" customHeight="1" x14ac:dyDescent="0.25">
      <c r="A416" s="2" t="s">
        <v>1801</v>
      </c>
      <c r="B416" s="2" t="s">
        <v>2357</v>
      </c>
    </row>
    <row r="417" spans="1:2" ht="15.75" customHeight="1" x14ac:dyDescent="0.25">
      <c r="A417" s="2" t="s">
        <v>2036</v>
      </c>
      <c r="B417" s="2" t="s">
        <v>2357</v>
      </c>
    </row>
    <row r="418" spans="1:2" ht="15.75" customHeight="1" x14ac:dyDescent="0.25">
      <c r="A418" s="2" t="s">
        <v>1677</v>
      </c>
      <c r="B418" s="2" t="s">
        <v>2357</v>
      </c>
    </row>
    <row r="419" spans="1:2" ht="15.75" customHeight="1" x14ac:dyDescent="0.25">
      <c r="A419" s="2" t="s">
        <v>2076</v>
      </c>
      <c r="B419" s="2" t="s">
        <v>2357</v>
      </c>
    </row>
    <row r="420" spans="1:2" ht="15.75" customHeight="1" x14ac:dyDescent="0.25">
      <c r="A420" s="2" t="s">
        <v>1043</v>
      </c>
      <c r="B420" s="2" t="s">
        <v>2357</v>
      </c>
    </row>
    <row r="421" spans="1:2" ht="15.75" customHeight="1" x14ac:dyDescent="0.25">
      <c r="A421" s="2" t="s">
        <v>1245</v>
      </c>
      <c r="B421" s="2" t="s">
        <v>2356</v>
      </c>
    </row>
    <row r="422" spans="1:2" ht="15.75" customHeight="1" x14ac:dyDescent="0.25">
      <c r="A422" s="2" t="s">
        <v>977</v>
      </c>
      <c r="B422" s="2" t="s">
        <v>2356</v>
      </c>
    </row>
    <row r="423" spans="1:2" ht="15.75" customHeight="1" x14ac:dyDescent="0.25">
      <c r="A423" s="2" t="s">
        <v>286</v>
      </c>
      <c r="B423" s="2" t="s">
        <v>2357</v>
      </c>
    </row>
    <row r="424" spans="1:2" ht="15.75" customHeight="1" x14ac:dyDescent="0.25">
      <c r="A424" s="2" t="s">
        <v>1710</v>
      </c>
      <c r="B424" s="2" t="s">
        <v>2357</v>
      </c>
    </row>
    <row r="425" spans="1:2" ht="15.75" customHeight="1" x14ac:dyDescent="0.25">
      <c r="A425" s="2" t="s">
        <v>1983</v>
      </c>
      <c r="B425" s="2" t="s">
        <v>2357</v>
      </c>
    </row>
    <row r="426" spans="1:2" ht="15.75" customHeight="1" x14ac:dyDescent="0.25">
      <c r="A426" s="2" t="s">
        <v>1925</v>
      </c>
      <c r="B426" s="2" t="s">
        <v>2356</v>
      </c>
    </row>
    <row r="427" spans="1:2" ht="15.75" customHeight="1" x14ac:dyDescent="0.25">
      <c r="A427" s="2" t="s">
        <v>1850</v>
      </c>
      <c r="B427" s="2" t="s">
        <v>2357</v>
      </c>
    </row>
    <row r="428" spans="1:2" ht="15.75" customHeight="1" x14ac:dyDescent="0.25">
      <c r="A428" s="2" t="s">
        <v>1175</v>
      </c>
      <c r="B428" s="2" t="s">
        <v>2357</v>
      </c>
    </row>
    <row r="429" spans="1:2" ht="15.75" customHeight="1" x14ac:dyDescent="0.25">
      <c r="A429" s="2" t="s">
        <v>612</v>
      </c>
      <c r="B429" s="2" t="s">
        <v>2357</v>
      </c>
    </row>
    <row r="430" spans="1:2" ht="15.75" customHeight="1" x14ac:dyDescent="0.25">
      <c r="A430" s="2" t="s">
        <v>2043</v>
      </c>
      <c r="B430" s="2" t="s">
        <v>2357</v>
      </c>
    </row>
    <row r="431" spans="1:2" ht="15.75" customHeight="1" x14ac:dyDescent="0.25">
      <c r="A431" s="2" t="s">
        <v>945</v>
      </c>
      <c r="B431" s="2" t="s">
        <v>2356</v>
      </c>
    </row>
    <row r="432" spans="1:2" ht="15.75" customHeight="1" x14ac:dyDescent="0.25">
      <c r="A432" s="2" t="s">
        <v>769</v>
      </c>
      <c r="B432" s="2" t="s">
        <v>2356</v>
      </c>
    </row>
    <row r="433" spans="1:2" ht="15.75" customHeight="1" x14ac:dyDescent="0.25">
      <c r="A433" s="2" t="s">
        <v>1186</v>
      </c>
      <c r="B433" s="2" t="s">
        <v>2357</v>
      </c>
    </row>
    <row r="434" spans="1:2" ht="15.75" customHeight="1" x14ac:dyDescent="0.25">
      <c r="A434" s="2" t="s">
        <v>212</v>
      </c>
      <c r="B434" s="2" t="s">
        <v>2357</v>
      </c>
    </row>
    <row r="435" spans="1:2" ht="15.75" customHeight="1" x14ac:dyDescent="0.25">
      <c r="A435" s="2" t="s">
        <v>872</v>
      </c>
      <c r="B435" s="2" t="s">
        <v>2359</v>
      </c>
    </row>
    <row r="436" spans="1:2" ht="15.75" customHeight="1" x14ac:dyDescent="0.25">
      <c r="A436" s="2" t="s">
        <v>1243</v>
      </c>
      <c r="B436" s="2" t="s">
        <v>2357</v>
      </c>
    </row>
    <row r="437" spans="1:2" ht="15.75" customHeight="1" x14ac:dyDescent="0.25">
      <c r="A437" s="2" t="s">
        <v>1433</v>
      </c>
      <c r="B437" s="2" t="s">
        <v>2356</v>
      </c>
    </row>
    <row r="438" spans="1:2" ht="15.75" customHeight="1" x14ac:dyDescent="0.25">
      <c r="A438" s="2" t="s">
        <v>1536</v>
      </c>
      <c r="B438" s="2" t="s">
        <v>2357</v>
      </c>
    </row>
    <row r="439" spans="1:2" ht="15.75" customHeight="1" x14ac:dyDescent="0.25">
      <c r="A439" s="2" t="s">
        <v>574</v>
      </c>
      <c r="B439" s="2" t="s">
        <v>2357</v>
      </c>
    </row>
    <row r="440" spans="1:2" ht="15.75" customHeight="1" x14ac:dyDescent="0.25">
      <c r="A440" s="2" t="s">
        <v>766</v>
      </c>
      <c r="B440" s="2" t="s">
        <v>2356</v>
      </c>
    </row>
    <row r="441" spans="1:2" ht="15.75" customHeight="1" x14ac:dyDescent="0.25">
      <c r="A441" s="2" t="s">
        <v>1811</v>
      </c>
      <c r="B441" s="2" t="s">
        <v>2357</v>
      </c>
    </row>
    <row r="442" spans="1:2" ht="15.75" customHeight="1" x14ac:dyDescent="0.25">
      <c r="A442" s="2" t="s">
        <v>1295</v>
      </c>
      <c r="B442" s="2" t="s">
        <v>2359</v>
      </c>
    </row>
    <row r="443" spans="1:2" ht="15.75" customHeight="1" x14ac:dyDescent="0.25">
      <c r="A443" s="2" t="s">
        <v>915</v>
      </c>
      <c r="B443" s="2" t="s">
        <v>2357</v>
      </c>
    </row>
    <row r="444" spans="1:2" ht="15.75" customHeight="1" x14ac:dyDescent="0.25">
      <c r="A444" s="2" t="s">
        <v>1204</v>
      </c>
      <c r="B444" s="2" t="s">
        <v>2357</v>
      </c>
    </row>
    <row r="445" spans="1:2" ht="15.75" customHeight="1" x14ac:dyDescent="0.25">
      <c r="A445" s="2" t="s">
        <v>645</v>
      </c>
      <c r="B445" s="2" t="s">
        <v>2357</v>
      </c>
    </row>
    <row r="446" spans="1:2" ht="15.75" customHeight="1" x14ac:dyDescent="0.25">
      <c r="A446" s="2" t="s">
        <v>953</v>
      </c>
      <c r="B446" s="2" t="s">
        <v>2357</v>
      </c>
    </row>
    <row r="447" spans="1:2" ht="15.75" customHeight="1" x14ac:dyDescent="0.25">
      <c r="A447" s="2" t="s">
        <v>1941</v>
      </c>
      <c r="B447" s="2" t="s">
        <v>2357</v>
      </c>
    </row>
    <row r="448" spans="1:2" ht="15.75" customHeight="1" x14ac:dyDescent="0.25">
      <c r="A448" s="2" t="s">
        <v>2345</v>
      </c>
      <c r="B448" s="2" t="s">
        <v>2360</v>
      </c>
    </row>
    <row r="449" spans="1:2" ht="15.75" customHeight="1" x14ac:dyDescent="0.25">
      <c r="A449" s="2" t="s">
        <v>1964</v>
      </c>
      <c r="B449" s="2" t="s">
        <v>2357</v>
      </c>
    </row>
    <row r="450" spans="1:2" ht="15.75" customHeight="1" x14ac:dyDescent="0.25">
      <c r="A450" s="2" t="s">
        <v>1222</v>
      </c>
      <c r="B450" s="2" t="s">
        <v>2357</v>
      </c>
    </row>
    <row r="451" spans="1:2" ht="15.75" customHeight="1" x14ac:dyDescent="0.25">
      <c r="A451" s="2" t="s">
        <v>1232</v>
      </c>
      <c r="B451" s="2" t="s">
        <v>2357</v>
      </c>
    </row>
    <row r="452" spans="1:2" ht="15.75" customHeight="1" x14ac:dyDescent="0.25">
      <c r="A452" s="2" t="s">
        <v>691</v>
      </c>
      <c r="B452" s="2" t="s">
        <v>2357</v>
      </c>
    </row>
    <row r="453" spans="1:2" ht="15.75" customHeight="1" x14ac:dyDescent="0.25">
      <c r="A453" s="2" t="s">
        <v>147</v>
      </c>
      <c r="B453" s="2" t="s">
        <v>2356</v>
      </c>
    </row>
    <row r="454" spans="1:2" ht="15.75" customHeight="1" x14ac:dyDescent="0.25">
      <c r="A454" s="2" t="s">
        <v>580</v>
      </c>
      <c r="B454" s="2" t="s">
        <v>2357</v>
      </c>
    </row>
    <row r="455" spans="1:2" ht="15.75" customHeight="1" x14ac:dyDescent="0.25">
      <c r="A455" s="2" t="s">
        <v>2135</v>
      </c>
      <c r="B455" s="2" t="s">
        <v>2357</v>
      </c>
    </row>
    <row r="456" spans="1:2" ht="15.75" customHeight="1" x14ac:dyDescent="0.25">
      <c r="A456" s="2" t="s">
        <v>327</v>
      </c>
      <c r="B456" s="2" t="s">
        <v>2359</v>
      </c>
    </row>
    <row r="457" spans="1:2" ht="15.75" customHeight="1" x14ac:dyDescent="0.25">
      <c r="A457" s="2" t="s">
        <v>1632</v>
      </c>
      <c r="B457" s="2" t="s">
        <v>2357</v>
      </c>
    </row>
    <row r="458" spans="1:2" ht="15.75" customHeight="1" x14ac:dyDescent="0.25">
      <c r="A458" s="2" t="s">
        <v>1209</v>
      </c>
      <c r="B458" s="2" t="s">
        <v>2356</v>
      </c>
    </row>
    <row r="459" spans="1:2" ht="15.75" customHeight="1" x14ac:dyDescent="0.25">
      <c r="A459" s="2" t="s">
        <v>709</v>
      </c>
      <c r="B459" s="2" t="s">
        <v>2357</v>
      </c>
    </row>
    <row r="460" spans="1:2" ht="15.75" customHeight="1" x14ac:dyDescent="0.25">
      <c r="A460" s="2" t="s">
        <v>1700</v>
      </c>
      <c r="B460" s="2" t="s">
        <v>2357</v>
      </c>
    </row>
    <row r="461" spans="1:2" ht="15.75" customHeight="1" x14ac:dyDescent="0.25">
      <c r="A461" s="2" t="s">
        <v>2149</v>
      </c>
      <c r="B461" s="2" t="s">
        <v>2357</v>
      </c>
    </row>
    <row r="462" spans="1:2" ht="15.75" customHeight="1" x14ac:dyDescent="0.25">
      <c r="A462" s="2" t="s">
        <v>1565</v>
      </c>
      <c r="B462" s="2" t="s">
        <v>2357</v>
      </c>
    </row>
    <row r="463" spans="1:2" ht="15.75" customHeight="1" x14ac:dyDescent="0.25">
      <c r="A463" s="2" t="s">
        <v>1100</v>
      </c>
      <c r="B463" s="2" t="s">
        <v>2357</v>
      </c>
    </row>
    <row r="464" spans="1:2" ht="15.75" customHeight="1" x14ac:dyDescent="0.25">
      <c r="A464" s="2" t="s">
        <v>1877</v>
      </c>
      <c r="B464" s="2" t="s">
        <v>2357</v>
      </c>
    </row>
    <row r="465" spans="1:2" ht="15.75" customHeight="1" x14ac:dyDescent="0.25">
      <c r="A465" s="2" t="s">
        <v>1121</v>
      </c>
      <c r="B465" s="2" t="s">
        <v>2356</v>
      </c>
    </row>
    <row r="466" spans="1:2" ht="15.75" customHeight="1" x14ac:dyDescent="0.25">
      <c r="A466" s="2" t="s">
        <v>202</v>
      </c>
      <c r="B466" s="2" t="s">
        <v>2357</v>
      </c>
    </row>
    <row r="467" spans="1:2" ht="15.75" customHeight="1" x14ac:dyDescent="0.25">
      <c r="A467" s="2" t="s">
        <v>2333</v>
      </c>
      <c r="B467" s="2" t="s">
        <v>2357</v>
      </c>
    </row>
    <row r="468" spans="1:2" ht="15.75" customHeight="1" x14ac:dyDescent="0.25">
      <c r="A468" s="2" t="s">
        <v>2276</v>
      </c>
      <c r="B468" s="2" t="s">
        <v>2357</v>
      </c>
    </row>
    <row r="469" spans="1:2" ht="15.75" customHeight="1" x14ac:dyDescent="0.25">
      <c r="A469" s="2" t="s">
        <v>1807</v>
      </c>
      <c r="B469" s="2" t="s">
        <v>2357</v>
      </c>
    </row>
    <row r="470" spans="1:2" ht="15.75" customHeight="1" x14ac:dyDescent="0.25">
      <c r="A470" s="2" t="s">
        <v>1959</v>
      </c>
      <c r="B470" s="2" t="s">
        <v>2356</v>
      </c>
    </row>
    <row r="471" spans="1:2" ht="15.75" customHeight="1" x14ac:dyDescent="0.25">
      <c r="A471" s="2" t="s">
        <v>1438</v>
      </c>
      <c r="B471" s="2" t="s">
        <v>2357</v>
      </c>
    </row>
    <row r="472" spans="1:2" ht="15.75" customHeight="1" x14ac:dyDescent="0.25">
      <c r="A472" s="2" t="s">
        <v>594</v>
      </c>
      <c r="B472" s="2" t="s">
        <v>2357</v>
      </c>
    </row>
    <row r="473" spans="1:2" ht="15.75" customHeight="1" x14ac:dyDescent="0.25">
      <c r="A473" s="2" t="s">
        <v>1947</v>
      </c>
      <c r="B473" s="2" t="s">
        <v>2357</v>
      </c>
    </row>
    <row r="474" spans="1:2" ht="15.75" customHeight="1" x14ac:dyDescent="0.25">
      <c r="A474" s="2" t="s">
        <v>1372</v>
      </c>
      <c r="B474" s="2" t="s">
        <v>2357</v>
      </c>
    </row>
    <row r="475" spans="1:2" ht="15.75" customHeight="1" x14ac:dyDescent="0.25">
      <c r="A475" s="2" t="s">
        <v>1248</v>
      </c>
      <c r="B475" s="2" t="s">
        <v>2357</v>
      </c>
    </row>
    <row r="476" spans="1:2" ht="15.75" customHeight="1" x14ac:dyDescent="0.25">
      <c r="A476" s="2" t="s">
        <v>881</v>
      </c>
      <c r="B476" s="2" t="s">
        <v>2357</v>
      </c>
    </row>
    <row r="477" spans="1:2" ht="15.75" customHeight="1" x14ac:dyDescent="0.25">
      <c r="A477" s="2" t="s">
        <v>2033</v>
      </c>
      <c r="B477" s="2" t="s">
        <v>2357</v>
      </c>
    </row>
    <row r="478" spans="1:2" ht="15.75" customHeight="1" x14ac:dyDescent="0.25">
      <c r="A478" s="2" t="s">
        <v>1075</v>
      </c>
      <c r="B478" s="2" t="s">
        <v>2357</v>
      </c>
    </row>
    <row r="479" spans="1:2" ht="15.75" customHeight="1" x14ac:dyDescent="0.25">
      <c r="A479" s="2" t="s">
        <v>2292</v>
      </c>
      <c r="B479" s="2" t="s">
        <v>2360</v>
      </c>
    </row>
    <row r="480" spans="1:2" ht="15.75" customHeight="1" x14ac:dyDescent="0.25">
      <c r="A480" s="2" t="s">
        <v>1074</v>
      </c>
      <c r="B480" s="2" t="s">
        <v>2357</v>
      </c>
    </row>
    <row r="481" spans="1:2" ht="15.75" customHeight="1" x14ac:dyDescent="0.25">
      <c r="A481" s="2" t="s">
        <v>1052</v>
      </c>
      <c r="B481" s="2" t="s">
        <v>2356</v>
      </c>
    </row>
    <row r="482" spans="1:2" ht="15.75" customHeight="1" x14ac:dyDescent="0.25">
      <c r="A482" s="2" t="s">
        <v>2017</v>
      </c>
      <c r="B482" s="2" t="s">
        <v>2356</v>
      </c>
    </row>
    <row r="483" spans="1:2" ht="15.75" customHeight="1" x14ac:dyDescent="0.25">
      <c r="A483" s="2" t="s">
        <v>1917</v>
      </c>
      <c r="B483" s="2" t="s">
        <v>2356</v>
      </c>
    </row>
    <row r="484" spans="1:2" ht="15.75" customHeight="1" x14ac:dyDescent="0.25">
      <c r="A484" s="2" t="s">
        <v>370</v>
      </c>
      <c r="B484" s="2" t="s">
        <v>2357</v>
      </c>
    </row>
    <row r="485" spans="1:2" ht="15.75" customHeight="1" x14ac:dyDescent="0.25">
      <c r="A485" s="2" t="s">
        <v>1689</v>
      </c>
      <c r="B485" s="2" t="s">
        <v>2359</v>
      </c>
    </row>
    <row r="486" spans="1:2" ht="15.75" customHeight="1" x14ac:dyDescent="0.25">
      <c r="A486" s="2" t="s">
        <v>2045</v>
      </c>
      <c r="B486" s="2" t="s">
        <v>2357</v>
      </c>
    </row>
    <row r="487" spans="1:2" ht="15.75" customHeight="1" x14ac:dyDescent="0.25">
      <c r="A487" s="2" t="s">
        <v>1142</v>
      </c>
      <c r="B487" s="2" t="s">
        <v>2357</v>
      </c>
    </row>
    <row r="488" spans="1:2" ht="15.75" customHeight="1" x14ac:dyDescent="0.25">
      <c r="A488" s="2" t="s">
        <v>1599</v>
      </c>
      <c r="B488" s="2" t="s">
        <v>2357</v>
      </c>
    </row>
    <row r="489" spans="1:2" ht="15.75" customHeight="1" x14ac:dyDescent="0.25">
      <c r="A489" s="2" t="s">
        <v>1786</v>
      </c>
      <c r="B489" s="2" t="s">
        <v>2357</v>
      </c>
    </row>
    <row r="490" spans="1:2" ht="15.75" customHeight="1" x14ac:dyDescent="0.25">
      <c r="A490" s="2" t="s">
        <v>1606</v>
      </c>
      <c r="B490" s="2" t="s">
        <v>2357</v>
      </c>
    </row>
    <row r="491" spans="1:2" ht="15.75" customHeight="1" x14ac:dyDescent="0.25">
      <c r="A491" s="2" t="s">
        <v>1883</v>
      </c>
      <c r="B491" s="2" t="s">
        <v>2359</v>
      </c>
    </row>
    <row r="492" spans="1:2" ht="15.75" customHeight="1" x14ac:dyDescent="0.25">
      <c r="A492" s="2" t="s">
        <v>1648</v>
      </c>
      <c r="B492" s="2" t="s">
        <v>2356</v>
      </c>
    </row>
    <row r="493" spans="1:2" ht="15.75" customHeight="1" x14ac:dyDescent="0.25">
      <c r="A493" s="2" t="s">
        <v>1615</v>
      </c>
      <c r="B493" s="2" t="s">
        <v>2357</v>
      </c>
    </row>
    <row r="494" spans="1:2" ht="15.75" customHeight="1" x14ac:dyDescent="0.25">
      <c r="A494" s="2" t="s">
        <v>874</v>
      </c>
      <c r="B494" s="2" t="s">
        <v>2357</v>
      </c>
    </row>
    <row r="495" spans="1:2" ht="15.75" customHeight="1" x14ac:dyDescent="0.25">
      <c r="A495" s="2" t="s">
        <v>1116</v>
      </c>
      <c r="B495" s="2" t="s">
        <v>2356</v>
      </c>
    </row>
    <row r="496" spans="1:2" ht="15.75" customHeight="1" x14ac:dyDescent="0.25">
      <c r="A496" s="2" t="s">
        <v>1297</v>
      </c>
      <c r="B496" s="2" t="s">
        <v>2356</v>
      </c>
    </row>
    <row r="497" spans="1:2" ht="15.75" customHeight="1" x14ac:dyDescent="0.25">
      <c r="A497" s="2" t="s">
        <v>1289</v>
      </c>
      <c r="B497" s="2" t="s">
        <v>2357</v>
      </c>
    </row>
    <row r="498" spans="1:2" ht="15.75" customHeight="1" x14ac:dyDescent="0.25">
      <c r="A498" s="2" t="s">
        <v>1508</v>
      </c>
      <c r="B498" s="2" t="s">
        <v>2356</v>
      </c>
    </row>
    <row r="499" spans="1:2" ht="15.75" customHeight="1" x14ac:dyDescent="0.25">
      <c r="A499" s="2" t="s">
        <v>161</v>
      </c>
      <c r="B499" s="2" t="s">
        <v>2357</v>
      </c>
    </row>
    <row r="500" spans="1:2" ht="15.75" customHeight="1" x14ac:dyDescent="0.25">
      <c r="A500" s="2" t="s">
        <v>2126</v>
      </c>
      <c r="B500" s="2" t="s">
        <v>2358</v>
      </c>
    </row>
    <row r="501" spans="1:2" ht="15.75" customHeight="1" x14ac:dyDescent="0.25">
      <c r="A501" s="2" t="s">
        <v>1319</v>
      </c>
      <c r="B501" s="2" t="s">
        <v>2357</v>
      </c>
    </row>
    <row r="502" spans="1:2" ht="15.75" customHeight="1" x14ac:dyDescent="0.25">
      <c r="A502" s="2" t="s">
        <v>1703</v>
      </c>
      <c r="B502" s="2" t="s">
        <v>2357</v>
      </c>
    </row>
    <row r="503" spans="1:2" ht="15.75" customHeight="1" x14ac:dyDescent="0.25">
      <c r="A503" s="2" t="s">
        <v>1628</v>
      </c>
      <c r="B503" s="2" t="s">
        <v>2357</v>
      </c>
    </row>
    <row r="504" spans="1:2" ht="15.75" customHeight="1" x14ac:dyDescent="0.25">
      <c r="A504" s="2" t="s">
        <v>228</v>
      </c>
      <c r="B504" s="2" t="s">
        <v>2359</v>
      </c>
    </row>
    <row r="505" spans="1:2" ht="15.75" customHeight="1" x14ac:dyDescent="0.25">
      <c r="A505" s="2" t="s">
        <v>634</v>
      </c>
      <c r="B505" s="2" t="s">
        <v>2357</v>
      </c>
    </row>
    <row r="506" spans="1:2" ht="15.75" customHeight="1" x14ac:dyDescent="0.25">
      <c r="A506" s="2" t="s">
        <v>1626</v>
      </c>
      <c r="B506" s="2" t="s">
        <v>2356</v>
      </c>
    </row>
    <row r="507" spans="1:2" ht="15.75" customHeight="1" x14ac:dyDescent="0.25">
      <c r="A507" s="2" t="s">
        <v>2085</v>
      </c>
      <c r="B507" s="2" t="s">
        <v>2357</v>
      </c>
    </row>
    <row r="508" spans="1:2" ht="15.75" customHeight="1" x14ac:dyDescent="0.25">
      <c r="A508" s="2" t="s">
        <v>1211</v>
      </c>
      <c r="B508" s="2" t="s">
        <v>2357</v>
      </c>
    </row>
    <row r="509" spans="1:2" ht="15.75" customHeight="1" x14ac:dyDescent="0.25">
      <c r="A509" s="2" t="s">
        <v>892</v>
      </c>
      <c r="B509" s="2" t="s">
        <v>2357</v>
      </c>
    </row>
    <row r="510" spans="1:2" ht="15.75" customHeight="1" x14ac:dyDescent="0.25">
      <c r="A510" s="2" t="s">
        <v>888</v>
      </c>
      <c r="B510" s="2" t="s">
        <v>2357</v>
      </c>
    </row>
    <row r="511" spans="1:2" ht="15.75" customHeight="1" x14ac:dyDescent="0.25">
      <c r="A511" s="2" t="s">
        <v>472</v>
      </c>
      <c r="B511" s="2" t="s">
        <v>2356</v>
      </c>
    </row>
    <row r="512" spans="1:2" ht="15.75" customHeight="1" x14ac:dyDescent="0.25">
      <c r="A512" s="2" t="s">
        <v>632</v>
      </c>
      <c r="B512" s="2" t="s">
        <v>2357</v>
      </c>
    </row>
    <row r="513" spans="1:2" ht="15.75" customHeight="1" x14ac:dyDescent="0.25">
      <c r="A513" s="2" t="s">
        <v>861</v>
      </c>
      <c r="B513" s="2" t="s">
        <v>2357</v>
      </c>
    </row>
    <row r="514" spans="1:2" ht="15.75" customHeight="1" x14ac:dyDescent="0.25">
      <c r="A514" s="2" t="s">
        <v>606</v>
      </c>
      <c r="B514" s="2" t="s">
        <v>2357</v>
      </c>
    </row>
    <row r="515" spans="1:2" ht="15.75" customHeight="1" x14ac:dyDescent="0.25">
      <c r="A515" s="2" t="s">
        <v>1303</v>
      </c>
      <c r="B515" s="2" t="s">
        <v>2357</v>
      </c>
    </row>
    <row r="516" spans="1:2" ht="15.75" customHeight="1" x14ac:dyDescent="0.25">
      <c r="A516" s="2" t="s">
        <v>668</v>
      </c>
      <c r="B516" s="2" t="s">
        <v>2357</v>
      </c>
    </row>
    <row r="517" spans="1:2" ht="15.75" customHeight="1" x14ac:dyDescent="0.25">
      <c r="A517" s="2" t="s">
        <v>1960</v>
      </c>
      <c r="B517" s="2" t="s">
        <v>2357</v>
      </c>
    </row>
    <row r="518" spans="1:2" ht="15.75" customHeight="1" x14ac:dyDescent="0.25">
      <c r="A518" s="2" t="s">
        <v>1178</v>
      </c>
      <c r="B518" s="2" t="s">
        <v>2357</v>
      </c>
    </row>
    <row r="519" spans="1:2" ht="15.75" customHeight="1" x14ac:dyDescent="0.25">
      <c r="A519" s="2" t="s">
        <v>1724</v>
      </c>
      <c r="B519" s="2" t="s">
        <v>2357</v>
      </c>
    </row>
    <row r="520" spans="1:2" ht="15.75" customHeight="1" x14ac:dyDescent="0.25">
      <c r="A520" s="2" t="s">
        <v>463</v>
      </c>
      <c r="B520" s="2" t="s">
        <v>2357</v>
      </c>
    </row>
    <row r="521" spans="1:2" ht="15.75" customHeight="1" x14ac:dyDescent="0.25">
      <c r="A521" s="2" t="s">
        <v>865</v>
      </c>
      <c r="B521" s="2" t="s">
        <v>2357</v>
      </c>
    </row>
    <row r="522" spans="1:2" ht="15.75" customHeight="1" x14ac:dyDescent="0.25">
      <c r="A522" s="2" t="s">
        <v>234</v>
      </c>
      <c r="B522" s="2" t="s">
        <v>2357</v>
      </c>
    </row>
    <row r="523" spans="1:2" ht="15.75" customHeight="1" x14ac:dyDescent="0.25">
      <c r="A523" s="2" t="s">
        <v>376</v>
      </c>
      <c r="B523" s="2" t="s">
        <v>2357</v>
      </c>
    </row>
    <row r="524" spans="1:2" ht="15.75" customHeight="1" x14ac:dyDescent="0.25">
      <c r="A524" s="2" t="s">
        <v>1029</v>
      </c>
      <c r="B524" s="2" t="s">
        <v>2357</v>
      </c>
    </row>
    <row r="525" spans="1:2" ht="15.75" customHeight="1" x14ac:dyDescent="0.25">
      <c r="A525" s="2" t="s">
        <v>1256</v>
      </c>
      <c r="B525" s="2" t="s">
        <v>2357</v>
      </c>
    </row>
    <row r="526" spans="1:2" ht="15.75" customHeight="1" x14ac:dyDescent="0.25">
      <c r="A526" s="2" t="s">
        <v>1201</v>
      </c>
      <c r="B526" s="2" t="s">
        <v>2357</v>
      </c>
    </row>
    <row r="527" spans="1:2" ht="15.75" customHeight="1" x14ac:dyDescent="0.25">
      <c r="A527" s="2" t="s">
        <v>1163</v>
      </c>
      <c r="B527" s="2" t="s">
        <v>2357</v>
      </c>
    </row>
    <row r="528" spans="1:2" ht="15.75" customHeight="1" x14ac:dyDescent="0.25">
      <c r="A528" s="2" t="s">
        <v>2325</v>
      </c>
      <c r="B528" s="2" t="s">
        <v>2357</v>
      </c>
    </row>
    <row r="529" spans="1:2" ht="15.75" customHeight="1" x14ac:dyDescent="0.25">
      <c r="A529" s="2" t="s">
        <v>927</v>
      </c>
      <c r="B529" s="2" t="s">
        <v>2356</v>
      </c>
    </row>
    <row r="530" spans="1:2" ht="15.75" customHeight="1" x14ac:dyDescent="0.25">
      <c r="A530" s="2" t="s">
        <v>1298</v>
      </c>
      <c r="B530" s="2" t="s">
        <v>2359</v>
      </c>
    </row>
    <row r="531" spans="1:2" ht="15.75" customHeight="1" x14ac:dyDescent="0.25">
      <c r="A531" s="2" t="s">
        <v>1484</v>
      </c>
      <c r="B531" s="2" t="s">
        <v>2357</v>
      </c>
    </row>
    <row r="532" spans="1:2" ht="15.75" customHeight="1" x14ac:dyDescent="0.25">
      <c r="A532" s="2" t="s">
        <v>1048</v>
      </c>
      <c r="B532" s="2" t="s">
        <v>2357</v>
      </c>
    </row>
    <row r="533" spans="1:2" ht="15.75" customHeight="1" x14ac:dyDescent="0.25">
      <c r="A533" s="2" t="s">
        <v>1571</v>
      </c>
      <c r="B533" s="2" t="s">
        <v>2357</v>
      </c>
    </row>
    <row r="534" spans="1:2" ht="15.75" customHeight="1" x14ac:dyDescent="0.25">
      <c r="A534" s="2" t="s">
        <v>319</v>
      </c>
      <c r="B534" s="2" t="s">
        <v>2357</v>
      </c>
    </row>
    <row r="535" spans="1:2" ht="15.75" customHeight="1" x14ac:dyDescent="0.25">
      <c r="A535" s="2" t="s">
        <v>1031</v>
      </c>
      <c r="B535" s="2" t="s">
        <v>2357</v>
      </c>
    </row>
    <row r="536" spans="1:2" ht="15.75" customHeight="1" x14ac:dyDescent="0.25">
      <c r="A536" s="2" t="s">
        <v>653</v>
      </c>
      <c r="B536" s="2" t="s">
        <v>2357</v>
      </c>
    </row>
    <row r="537" spans="1:2" ht="15.75" customHeight="1" x14ac:dyDescent="0.25">
      <c r="A537" s="2" t="s">
        <v>762</v>
      </c>
      <c r="B537" s="2" t="s">
        <v>2357</v>
      </c>
    </row>
    <row r="538" spans="1:2" ht="15.75" customHeight="1" x14ac:dyDescent="0.25">
      <c r="A538" s="2" t="s">
        <v>1406</v>
      </c>
      <c r="B538" s="2" t="s">
        <v>2356</v>
      </c>
    </row>
    <row r="539" spans="1:2" ht="15.75" customHeight="1" x14ac:dyDescent="0.25">
      <c r="A539" s="2" t="s">
        <v>674</v>
      </c>
      <c r="B539" s="2" t="s">
        <v>2357</v>
      </c>
    </row>
    <row r="540" spans="1:2" ht="15.75" customHeight="1" x14ac:dyDescent="0.25">
      <c r="A540" s="2" t="s">
        <v>728</v>
      </c>
      <c r="B540" s="2" t="s">
        <v>2357</v>
      </c>
    </row>
    <row r="541" spans="1:2" ht="15.75" customHeight="1" x14ac:dyDescent="0.25">
      <c r="A541" s="2" t="s">
        <v>2233</v>
      </c>
      <c r="B541" s="2" t="s">
        <v>2357</v>
      </c>
    </row>
    <row r="542" spans="1:2" ht="15.75" customHeight="1" x14ac:dyDescent="0.25">
      <c r="A542" s="2" t="s">
        <v>586</v>
      </c>
      <c r="B542" s="2" t="s">
        <v>2357</v>
      </c>
    </row>
    <row r="543" spans="1:2" ht="15.75" customHeight="1" x14ac:dyDescent="0.25">
      <c r="A543" s="2" t="s">
        <v>747</v>
      </c>
      <c r="B543" s="2" t="s">
        <v>2357</v>
      </c>
    </row>
    <row r="544" spans="1:2" ht="15.75" customHeight="1" x14ac:dyDescent="0.25">
      <c r="A544" s="2" t="s">
        <v>149</v>
      </c>
      <c r="B544" s="2" t="s">
        <v>2356</v>
      </c>
    </row>
    <row r="545" spans="1:2" ht="15.75" customHeight="1" x14ac:dyDescent="0.25">
      <c r="A545" s="2" t="s">
        <v>384</v>
      </c>
      <c r="B545" s="2" t="s">
        <v>2359</v>
      </c>
    </row>
    <row r="546" spans="1:2" ht="15.75" customHeight="1" x14ac:dyDescent="0.25">
      <c r="A546" s="2" t="s">
        <v>2205</v>
      </c>
      <c r="B546" s="2" t="s">
        <v>2357</v>
      </c>
    </row>
    <row r="547" spans="1:2" ht="15.75" customHeight="1" x14ac:dyDescent="0.25">
      <c r="A547" s="2" t="s">
        <v>972</v>
      </c>
      <c r="B547" s="2" t="s">
        <v>2356</v>
      </c>
    </row>
    <row r="548" spans="1:2" ht="15.75" customHeight="1" x14ac:dyDescent="0.25">
      <c r="A548" s="2" t="s">
        <v>1998</v>
      </c>
      <c r="B548" s="2" t="s">
        <v>2356</v>
      </c>
    </row>
    <row r="549" spans="1:2" ht="15.75" customHeight="1" x14ac:dyDescent="0.25">
      <c r="A549" s="2" t="s">
        <v>633</v>
      </c>
      <c r="B549" s="2" t="s">
        <v>2357</v>
      </c>
    </row>
    <row r="550" spans="1:2" ht="15.75" customHeight="1" x14ac:dyDescent="0.25">
      <c r="A550" s="2" t="s">
        <v>1482</v>
      </c>
      <c r="B550" s="2" t="s">
        <v>2357</v>
      </c>
    </row>
    <row r="551" spans="1:2" ht="15.75" customHeight="1" x14ac:dyDescent="0.25">
      <c r="A551" s="2" t="s">
        <v>1988</v>
      </c>
      <c r="B551" s="2" t="s">
        <v>2357</v>
      </c>
    </row>
    <row r="552" spans="1:2" ht="15.75" customHeight="1" x14ac:dyDescent="0.25">
      <c r="A552" s="2" t="s">
        <v>1171</v>
      </c>
      <c r="B552" s="2" t="s">
        <v>2357</v>
      </c>
    </row>
    <row r="553" spans="1:2" ht="15.75" customHeight="1" x14ac:dyDescent="0.25">
      <c r="A553" s="2" t="s">
        <v>2246</v>
      </c>
      <c r="B553" s="2" t="s">
        <v>2357</v>
      </c>
    </row>
    <row r="554" spans="1:2" ht="15.75" customHeight="1" x14ac:dyDescent="0.25">
      <c r="A554" s="2" t="s">
        <v>2355</v>
      </c>
      <c r="B554" s="2" t="s">
        <v>2358</v>
      </c>
    </row>
    <row r="555" spans="1:2" ht="15.75" customHeight="1" x14ac:dyDescent="0.25">
      <c r="A555" s="2" t="s">
        <v>1688</v>
      </c>
      <c r="B555" s="2" t="s">
        <v>2356</v>
      </c>
    </row>
    <row r="556" spans="1:2" ht="15.75" customHeight="1" x14ac:dyDescent="0.25">
      <c r="A556" s="2" t="s">
        <v>2319</v>
      </c>
      <c r="B556" s="2" t="s">
        <v>2360</v>
      </c>
    </row>
    <row r="557" spans="1:2" ht="15.75" customHeight="1" x14ac:dyDescent="0.25">
      <c r="A557" s="2" t="s">
        <v>933</v>
      </c>
      <c r="B557" s="2" t="s">
        <v>2357</v>
      </c>
    </row>
    <row r="558" spans="1:2" ht="15.75" customHeight="1" x14ac:dyDescent="0.25">
      <c r="A558" s="2" t="s">
        <v>2146</v>
      </c>
      <c r="B558" s="2" t="s">
        <v>2358</v>
      </c>
    </row>
    <row r="559" spans="1:2" ht="15.75" customHeight="1" x14ac:dyDescent="0.25">
      <c r="A559" s="2" t="s">
        <v>2128</v>
      </c>
      <c r="B559" s="2" t="s">
        <v>2357</v>
      </c>
    </row>
    <row r="560" spans="1:2" ht="15.75" customHeight="1" x14ac:dyDescent="0.25">
      <c r="A560" s="2" t="s">
        <v>86</v>
      </c>
      <c r="B560" s="2" t="s">
        <v>2357</v>
      </c>
    </row>
    <row r="561" spans="1:2" ht="15.75" customHeight="1" x14ac:dyDescent="0.25">
      <c r="A561" s="2" t="s">
        <v>1913</v>
      </c>
      <c r="B561" s="2" t="s">
        <v>2357</v>
      </c>
    </row>
    <row r="562" spans="1:2" ht="15.75" customHeight="1" x14ac:dyDescent="0.25">
      <c r="A562" s="2" t="s">
        <v>2100</v>
      </c>
      <c r="B562" s="2" t="s">
        <v>2357</v>
      </c>
    </row>
    <row r="563" spans="1:2" ht="15.75" customHeight="1" x14ac:dyDescent="0.25">
      <c r="A563" s="2" t="s">
        <v>191</v>
      </c>
      <c r="B563" s="2" t="s">
        <v>2357</v>
      </c>
    </row>
    <row r="564" spans="1:2" ht="15.75" customHeight="1" x14ac:dyDescent="0.25">
      <c r="A564" s="2" t="s">
        <v>2239</v>
      </c>
      <c r="B564" s="2" t="s">
        <v>2357</v>
      </c>
    </row>
    <row r="565" spans="1:2" ht="15.75" customHeight="1" x14ac:dyDescent="0.25">
      <c r="A565" s="2" t="s">
        <v>787</v>
      </c>
      <c r="B565" s="2" t="s">
        <v>2359</v>
      </c>
    </row>
    <row r="566" spans="1:2" ht="15.75" customHeight="1" x14ac:dyDescent="0.25">
      <c r="A566" s="2" t="s">
        <v>1386</v>
      </c>
      <c r="B566" s="2" t="s">
        <v>2357</v>
      </c>
    </row>
    <row r="567" spans="1:2" ht="15.75" customHeight="1" x14ac:dyDescent="0.25">
      <c r="A567" s="2" t="s">
        <v>759</v>
      </c>
      <c r="B567" s="2" t="s">
        <v>2357</v>
      </c>
    </row>
    <row r="568" spans="1:2" ht="15.75" customHeight="1" x14ac:dyDescent="0.25">
      <c r="A568" s="2" t="s">
        <v>2209</v>
      </c>
      <c r="B568" s="2" t="s">
        <v>2357</v>
      </c>
    </row>
    <row r="569" spans="1:2" ht="15.75" customHeight="1" x14ac:dyDescent="0.25">
      <c r="A569" s="2" t="s">
        <v>2056</v>
      </c>
      <c r="B569" s="2" t="s">
        <v>2357</v>
      </c>
    </row>
    <row r="570" spans="1:2" ht="15.75" customHeight="1" x14ac:dyDescent="0.25">
      <c r="A570" s="2" t="s">
        <v>991</v>
      </c>
      <c r="B570" s="2" t="s">
        <v>2359</v>
      </c>
    </row>
    <row r="571" spans="1:2" ht="15.75" customHeight="1" x14ac:dyDescent="0.25">
      <c r="A571" s="2" t="s">
        <v>1738</v>
      </c>
      <c r="B571" s="2" t="s">
        <v>2357</v>
      </c>
    </row>
    <row r="572" spans="1:2" ht="15.75" customHeight="1" x14ac:dyDescent="0.25">
      <c r="A572" s="2" t="s">
        <v>1769</v>
      </c>
      <c r="B572" s="2" t="s">
        <v>2357</v>
      </c>
    </row>
    <row r="573" spans="1:2" ht="15.75" customHeight="1" x14ac:dyDescent="0.25">
      <c r="A573" s="2" t="s">
        <v>2127</v>
      </c>
      <c r="B573" s="2" t="s">
        <v>2357</v>
      </c>
    </row>
    <row r="574" spans="1:2" ht="15.75" customHeight="1" x14ac:dyDescent="0.25">
      <c r="A574" s="2" t="s">
        <v>814</v>
      </c>
      <c r="B574" s="2" t="s">
        <v>2357</v>
      </c>
    </row>
    <row r="575" spans="1:2" ht="15.75" customHeight="1" x14ac:dyDescent="0.25">
      <c r="A575" s="2" t="s">
        <v>1127</v>
      </c>
      <c r="B575" s="2" t="s">
        <v>2357</v>
      </c>
    </row>
    <row r="576" spans="1:2" ht="15.75" customHeight="1" x14ac:dyDescent="0.25">
      <c r="A576" s="2" t="s">
        <v>503</v>
      </c>
      <c r="B576" s="2" t="s">
        <v>2359</v>
      </c>
    </row>
    <row r="577" spans="1:2" ht="15.75" customHeight="1" x14ac:dyDescent="0.25">
      <c r="A577" s="2" t="s">
        <v>585</v>
      </c>
      <c r="B577" s="2" t="s">
        <v>2356</v>
      </c>
    </row>
    <row r="578" spans="1:2" ht="15.75" customHeight="1" x14ac:dyDescent="0.25">
      <c r="A578" s="2" t="s">
        <v>2068</v>
      </c>
      <c r="B578" s="2" t="s">
        <v>2357</v>
      </c>
    </row>
    <row r="579" spans="1:2" ht="15.75" customHeight="1" x14ac:dyDescent="0.25">
      <c r="A579" s="2" t="s">
        <v>1872</v>
      </c>
      <c r="B579" s="2" t="s">
        <v>2357</v>
      </c>
    </row>
    <row r="580" spans="1:2" ht="15.75" customHeight="1" x14ac:dyDescent="0.25">
      <c r="A580" s="2" t="s">
        <v>1637</v>
      </c>
      <c r="B580" s="2" t="s">
        <v>2357</v>
      </c>
    </row>
    <row r="581" spans="1:2" ht="15.75" customHeight="1" x14ac:dyDescent="0.25">
      <c r="A581" s="2" t="s">
        <v>652</v>
      </c>
      <c r="B581" s="2" t="s">
        <v>2357</v>
      </c>
    </row>
    <row r="582" spans="1:2" ht="15.75" customHeight="1" x14ac:dyDescent="0.25">
      <c r="A582" s="2" t="s">
        <v>2232</v>
      </c>
      <c r="B582" s="2" t="s">
        <v>2359</v>
      </c>
    </row>
    <row r="583" spans="1:2" ht="15.75" customHeight="1" x14ac:dyDescent="0.25">
      <c r="A583" s="2" t="s">
        <v>1657</v>
      </c>
      <c r="B583" s="2" t="s">
        <v>2357</v>
      </c>
    </row>
    <row r="584" spans="1:2" ht="15.75" customHeight="1" x14ac:dyDescent="0.25">
      <c r="A584" s="2" t="s">
        <v>2122</v>
      </c>
      <c r="B584" s="2" t="s">
        <v>2357</v>
      </c>
    </row>
    <row r="585" spans="1:2" ht="15.75" customHeight="1" x14ac:dyDescent="0.25">
      <c r="A585" s="2" t="s">
        <v>798</v>
      </c>
      <c r="B585" s="2" t="s">
        <v>2357</v>
      </c>
    </row>
    <row r="586" spans="1:2" ht="15.75" customHeight="1" x14ac:dyDescent="0.25">
      <c r="A586" s="2" t="s">
        <v>336</v>
      </c>
      <c r="B586" s="2" t="s">
        <v>2357</v>
      </c>
    </row>
    <row r="587" spans="1:2" ht="15.75" customHeight="1" x14ac:dyDescent="0.25">
      <c r="A587" s="2" t="s">
        <v>1096</v>
      </c>
      <c r="B587" s="2" t="s">
        <v>2357</v>
      </c>
    </row>
    <row r="588" spans="1:2" ht="15.75" customHeight="1" x14ac:dyDescent="0.25">
      <c r="A588" s="2" t="s">
        <v>1980</v>
      </c>
      <c r="B588" s="2" t="s">
        <v>2357</v>
      </c>
    </row>
    <row r="589" spans="1:2" ht="15.75" customHeight="1" x14ac:dyDescent="0.25">
      <c r="A589" s="2" t="s">
        <v>1181</v>
      </c>
      <c r="B589" s="2" t="s">
        <v>2357</v>
      </c>
    </row>
    <row r="590" spans="1:2" ht="15.75" customHeight="1" x14ac:dyDescent="0.25">
      <c r="A590" s="2" t="s">
        <v>469</v>
      </c>
      <c r="B590" s="2" t="s">
        <v>2357</v>
      </c>
    </row>
    <row r="591" spans="1:2" ht="15.75" customHeight="1" x14ac:dyDescent="0.25">
      <c r="A591" s="2" t="s">
        <v>956</v>
      </c>
      <c r="B591" s="2" t="s">
        <v>2357</v>
      </c>
    </row>
    <row r="592" spans="1:2" ht="15.75" customHeight="1" x14ac:dyDescent="0.25">
      <c r="A592" s="2" t="s">
        <v>811</v>
      </c>
      <c r="B592" s="2" t="s">
        <v>2357</v>
      </c>
    </row>
    <row r="593" spans="1:2" ht="15.75" customHeight="1" x14ac:dyDescent="0.25">
      <c r="A593" s="2" t="s">
        <v>1071</v>
      </c>
      <c r="B593" s="2" t="s">
        <v>2357</v>
      </c>
    </row>
    <row r="594" spans="1:2" ht="15.75" customHeight="1" x14ac:dyDescent="0.25">
      <c r="A594" s="2" t="s">
        <v>2350</v>
      </c>
      <c r="B594" s="2" t="s">
        <v>2357</v>
      </c>
    </row>
    <row r="595" spans="1:2" ht="15.75" customHeight="1" x14ac:dyDescent="0.25">
      <c r="A595" s="2" t="s">
        <v>1898</v>
      </c>
      <c r="B595" s="2" t="s">
        <v>2357</v>
      </c>
    </row>
    <row r="596" spans="1:2" ht="15.75" customHeight="1" x14ac:dyDescent="0.25">
      <c r="A596" s="2" t="s">
        <v>1723</v>
      </c>
      <c r="B596" s="2" t="s">
        <v>2357</v>
      </c>
    </row>
    <row r="597" spans="1:2" ht="15.75" customHeight="1" x14ac:dyDescent="0.25">
      <c r="A597" s="2" t="s">
        <v>1419</v>
      </c>
      <c r="B597" s="2" t="s">
        <v>2357</v>
      </c>
    </row>
    <row r="598" spans="1:2" ht="15.75" customHeight="1" x14ac:dyDescent="0.25">
      <c r="A598" s="2" t="s">
        <v>2086</v>
      </c>
      <c r="B598" s="2" t="s">
        <v>2357</v>
      </c>
    </row>
    <row r="599" spans="1:2" ht="15.75" customHeight="1" x14ac:dyDescent="0.25">
      <c r="A599" s="2" t="s">
        <v>2198</v>
      </c>
      <c r="B599" s="2" t="s">
        <v>2357</v>
      </c>
    </row>
    <row r="600" spans="1:2" ht="15.75" customHeight="1" x14ac:dyDescent="0.25">
      <c r="A600" s="2" t="s">
        <v>993</v>
      </c>
      <c r="B600" s="2" t="s">
        <v>2357</v>
      </c>
    </row>
    <row r="601" spans="1:2" ht="15.75" customHeight="1" x14ac:dyDescent="0.25">
      <c r="A601" s="2" t="s">
        <v>210</v>
      </c>
      <c r="B601" s="2" t="s">
        <v>2357</v>
      </c>
    </row>
    <row r="602" spans="1:2" ht="15.75" customHeight="1" x14ac:dyDescent="0.25">
      <c r="A602" s="2" t="s">
        <v>961</v>
      </c>
      <c r="B602" s="2" t="s">
        <v>2357</v>
      </c>
    </row>
    <row r="603" spans="1:2" ht="15.75" customHeight="1" x14ac:dyDescent="0.25">
      <c r="A603" s="2" t="s">
        <v>2140</v>
      </c>
      <c r="B603" s="2" t="s">
        <v>2357</v>
      </c>
    </row>
    <row r="604" spans="1:2" ht="15.75" customHeight="1" x14ac:dyDescent="0.25">
      <c r="A604" s="2" t="s">
        <v>1459</v>
      </c>
      <c r="B604" s="2" t="s">
        <v>2357</v>
      </c>
    </row>
    <row r="605" spans="1:2" ht="15.75" customHeight="1" x14ac:dyDescent="0.25">
      <c r="A605" s="2" t="s">
        <v>2025</v>
      </c>
      <c r="B605" s="2" t="s">
        <v>2357</v>
      </c>
    </row>
    <row r="606" spans="1:2" ht="15.75" customHeight="1" x14ac:dyDescent="0.25">
      <c r="A606" s="2" t="s">
        <v>1328</v>
      </c>
      <c r="B606" s="2" t="s">
        <v>2357</v>
      </c>
    </row>
    <row r="607" spans="1:2" ht="15.75" customHeight="1" x14ac:dyDescent="0.25">
      <c r="A607" s="2" t="s">
        <v>1453</v>
      </c>
      <c r="B607" s="2" t="s">
        <v>2357</v>
      </c>
    </row>
    <row r="608" spans="1:2" ht="15.75" customHeight="1" x14ac:dyDescent="0.25">
      <c r="A608" s="2" t="s">
        <v>1791</v>
      </c>
      <c r="B608" s="2" t="s">
        <v>2357</v>
      </c>
    </row>
    <row r="609" spans="1:2" ht="15.75" customHeight="1" x14ac:dyDescent="0.25">
      <c r="A609" s="2" t="s">
        <v>1380</v>
      </c>
      <c r="B609" s="2" t="s">
        <v>2357</v>
      </c>
    </row>
    <row r="610" spans="1:2" ht="15.75" customHeight="1" x14ac:dyDescent="0.25">
      <c r="A610" s="2" t="s">
        <v>1107</v>
      </c>
      <c r="B610" s="2" t="s">
        <v>2357</v>
      </c>
    </row>
    <row r="611" spans="1:2" ht="15.75" customHeight="1" x14ac:dyDescent="0.25">
      <c r="A611" s="2" t="s">
        <v>2332</v>
      </c>
      <c r="B611" s="2" t="s">
        <v>2357</v>
      </c>
    </row>
    <row r="612" spans="1:2" ht="15.75" customHeight="1" x14ac:dyDescent="0.25">
      <c r="A612" s="2" t="s">
        <v>2179</v>
      </c>
      <c r="B612" s="2" t="s">
        <v>2358</v>
      </c>
    </row>
    <row r="613" spans="1:2" ht="15.75" customHeight="1" x14ac:dyDescent="0.25">
      <c r="A613" s="2" t="s">
        <v>292</v>
      </c>
      <c r="B613" s="2" t="s">
        <v>2359</v>
      </c>
    </row>
    <row r="614" spans="1:2" ht="15.75" customHeight="1" x14ac:dyDescent="0.25">
      <c r="A614" s="2" t="s">
        <v>1857</v>
      </c>
      <c r="B614" s="2" t="s">
        <v>2356</v>
      </c>
    </row>
    <row r="615" spans="1:2" ht="15.75" customHeight="1" x14ac:dyDescent="0.25">
      <c r="A615" s="2" t="s">
        <v>1041</v>
      </c>
      <c r="B615" s="2" t="s">
        <v>2357</v>
      </c>
    </row>
    <row r="616" spans="1:2" ht="15.75" customHeight="1" x14ac:dyDescent="0.25">
      <c r="A616" s="2" t="s">
        <v>2166</v>
      </c>
      <c r="B616" s="2" t="s">
        <v>2360</v>
      </c>
    </row>
    <row r="617" spans="1:2" ht="15.75" customHeight="1" x14ac:dyDescent="0.25">
      <c r="A617" s="2" t="s">
        <v>926</v>
      </c>
      <c r="B617" s="2" t="s">
        <v>2357</v>
      </c>
    </row>
    <row r="618" spans="1:2" ht="15.75" customHeight="1" x14ac:dyDescent="0.25">
      <c r="A618" s="2" t="s">
        <v>2087</v>
      </c>
      <c r="B618" s="2" t="s">
        <v>2357</v>
      </c>
    </row>
    <row r="619" spans="1:2" ht="15.75" customHeight="1" x14ac:dyDescent="0.25">
      <c r="A619" s="2" t="s">
        <v>610</v>
      </c>
      <c r="B619" s="2" t="s">
        <v>2357</v>
      </c>
    </row>
    <row r="620" spans="1:2" ht="15.75" customHeight="1" x14ac:dyDescent="0.25">
      <c r="A620" s="2" t="s">
        <v>200</v>
      </c>
      <c r="B620" s="2" t="s">
        <v>2357</v>
      </c>
    </row>
    <row r="621" spans="1:2" ht="15.75" customHeight="1" x14ac:dyDescent="0.25">
      <c r="A621" s="2" t="s">
        <v>1361</v>
      </c>
      <c r="B621" s="2" t="s">
        <v>2357</v>
      </c>
    </row>
    <row r="622" spans="1:2" ht="15.75" customHeight="1" x14ac:dyDescent="0.25">
      <c r="A622" s="2" t="s">
        <v>1952</v>
      </c>
      <c r="B622" s="2" t="s">
        <v>2357</v>
      </c>
    </row>
    <row r="623" spans="1:2" ht="15.75" customHeight="1" x14ac:dyDescent="0.25">
      <c r="A623" s="2" t="s">
        <v>2192</v>
      </c>
      <c r="B623" s="2" t="s">
        <v>2360</v>
      </c>
    </row>
    <row r="624" spans="1:2" ht="15.75" customHeight="1" x14ac:dyDescent="0.25">
      <c r="A624" s="2" t="s">
        <v>1001</v>
      </c>
      <c r="B624" s="2" t="s">
        <v>2357</v>
      </c>
    </row>
    <row r="625" spans="1:2" ht="15.75" customHeight="1" x14ac:dyDescent="0.25">
      <c r="A625" s="2" t="s">
        <v>257</v>
      </c>
      <c r="B625" s="2" t="s">
        <v>2357</v>
      </c>
    </row>
    <row r="626" spans="1:2" ht="15.75" customHeight="1" x14ac:dyDescent="0.25">
      <c r="A626" s="2" t="s">
        <v>1467</v>
      </c>
      <c r="B626" s="2" t="s">
        <v>2357</v>
      </c>
    </row>
    <row r="627" spans="1:2" ht="15.75" customHeight="1" x14ac:dyDescent="0.25">
      <c r="A627" s="2" t="s">
        <v>2162</v>
      </c>
      <c r="B627" s="2" t="s">
        <v>2357</v>
      </c>
    </row>
    <row r="628" spans="1:2" ht="15.75" customHeight="1" x14ac:dyDescent="0.25">
      <c r="A628" s="2" t="s">
        <v>558</v>
      </c>
      <c r="B628" s="2" t="s">
        <v>2357</v>
      </c>
    </row>
    <row r="629" spans="1:2" ht="15.75" customHeight="1" x14ac:dyDescent="0.25">
      <c r="A629" s="2" t="s">
        <v>59</v>
      </c>
      <c r="B629" s="2" t="s">
        <v>2357</v>
      </c>
    </row>
    <row r="630" spans="1:2" ht="15.75" customHeight="1" x14ac:dyDescent="0.25">
      <c r="A630" s="2" t="s">
        <v>2327</v>
      </c>
      <c r="B630" s="2" t="s">
        <v>2360</v>
      </c>
    </row>
    <row r="631" spans="1:2" ht="15.75" customHeight="1" x14ac:dyDescent="0.25">
      <c r="A631" s="2" t="s">
        <v>1643</v>
      </c>
      <c r="B631" s="2" t="s">
        <v>2357</v>
      </c>
    </row>
    <row r="632" spans="1:2" ht="15.75" customHeight="1" x14ac:dyDescent="0.25">
      <c r="A632" s="2" t="s">
        <v>2133</v>
      </c>
      <c r="B632" s="2" t="s">
        <v>2357</v>
      </c>
    </row>
    <row r="633" spans="1:2" ht="15.75" customHeight="1" x14ac:dyDescent="0.25">
      <c r="A633" s="2" t="s">
        <v>278</v>
      </c>
      <c r="B633" s="2" t="s">
        <v>2357</v>
      </c>
    </row>
    <row r="634" spans="1:2" ht="15.75" customHeight="1" x14ac:dyDescent="0.25">
      <c r="A634" s="2" t="s">
        <v>154</v>
      </c>
      <c r="B634" s="2" t="s">
        <v>2357</v>
      </c>
    </row>
    <row r="635" spans="1:2" ht="15.75" customHeight="1" x14ac:dyDescent="0.25">
      <c r="A635" s="2" t="s">
        <v>68</v>
      </c>
      <c r="B635" s="2" t="s">
        <v>2357</v>
      </c>
    </row>
    <row r="636" spans="1:2" ht="15.75" customHeight="1" x14ac:dyDescent="0.25">
      <c r="A636" s="2" t="s">
        <v>1795</v>
      </c>
      <c r="B636" s="2" t="s">
        <v>2359</v>
      </c>
    </row>
    <row r="637" spans="1:2" ht="15.75" customHeight="1" x14ac:dyDescent="0.25">
      <c r="A637" s="2" t="s">
        <v>1713</v>
      </c>
      <c r="B637" s="2" t="s">
        <v>2357</v>
      </c>
    </row>
    <row r="638" spans="1:2" ht="15.75" customHeight="1" x14ac:dyDescent="0.25">
      <c r="A638" s="2" t="s">
        <v>1697</v>
      </c>
      <c r="B638" s="2" t="s">
        <v>2356</v>
      </c>
    </row>
    <row r="639" spans="1:2" ht="15.75" customHeight="1" x14ac:dyDescent="0.25">
      <c r="A639" s="2" t="s">
        <v>824</v>
      </c>
      <c r="B639" s="2" t="s">
        <v>2357</v>
      </c>
    </row>
    <row r="640" spans="1:2" ht="15.75" customHeight="1" x14ac:dyDescent="0.25">
      <c r="A640" s="2" t="s">
        <v>1617</v>
      </c>
      <c r="B640" s="2" t="s">
        <v>2356</v>
      </c>
    </row>
    <row r="641" spans="1:2" ht="15.75" customHeight="1" x14ac:dyDescent="0.25">
      <c r="A641" s="2" t="s">
        <v>357</v>
      </c>
      <c r="B641" s="2" t="s">
        <v>2357</v>
      </c>
    </row>
    <row r="642" spans="1:2" ht="15.75" customHeight="1" x14ac:dyDescent="0.25">
      <c r="A642" s="2" t="s">
        <v>978</v>
      </c>
      <c r="B642" s="2" t="s">
        <v>2357</v>
      </c>
    </row>
    <row r="643" spans="1:2" ht="15.75" customHeight="1" x14ac:dyDescent="0.25">
      <c r="A643" s="2" t="s">
        <v>923</v>
      </c>
      <c r="B643" s="2" t="s">
        <v>2357</v>
      </c>
    </row>
    <row r="644" spans="1:2" ht="15.75" customHeight="1" x14ac:dyDescent="0.25">
      <c r="A644" s="2" t="s">
        <v>1213</v>
      </c>
      <c r="B644" s="2" t="s">
        <v>2356</v>
      </c>
    </row>
    <row r="645" spans="1:2" ht="15.75" customHeight="1" x14ac:dyDescent="0.25">
      <c r="A645" s="2" t="s">
        <v>55</v>
      </c>
      <c r="B645" s="2" t="s">
        <v>2357</v>
      </c>
    </row>
    <row r="646" spans="1:2" ht="15.75" customHeight="1" x14ac:dyDescent="0.25">
      <c r="A646" s="2" t="s">
        <v>715</v>
      </c>
      <c r="B646" s="2" t="s">
        <v>2357</v>
      </c>
    </row>
    <row r="647" spans="1:2" ht="15.75" customHeight="1" x14ac:dyDescent="0.25">
      <c r="A647" s="2" t="s">
        <v>650</v>
      </c>
      <c r="B647" s="2" t="s">
        <v>2356</v>
      </c>
    </row>
    <row r="648" spans="1:2" ht="15.75" customHeight="1" x14ac:dyDescent="0.25">
      <c r="A648" s="2" t="s">
        <v>2315</v>
      </c>
      <c r="B648" s="2" t="s">
        <v>2360</v>
      </c>
    </row>
    <row r="649" spans="1:2" ht="15.75" customHeight="1" x14ac:dyDescent="0.25">
      <c r="A649" s="2" t="s">
        <v>1653</v>
      </c>
      <c r="B649" s="2" t="s">
        <v>2356</v>
      </c>
    </row>
    <row r="650" spans="1:2" ht="15.75" customHeight="1" x14ac:dyDescent="0.25">
      <c r="A650" s="2" t="s">
        <v>420</v>
      </c>
      <c r="B650" s="2" t="s">
        <v>2357</v>
      </c>
    </row>
    <row r="651" spans="1:2" ht="15.75" customHeight="1" x14ac:dyDescent="0.25">
      <c r="A651" s="2" t="s">
        <v>1864</v>
      </c>
      <c r="B651" s="2" t="s">
        <v>2357</v>
      </c>
    </row>
    <row r="652" spans="1:2" ht="15.75" customHeight="1" x14ac:dyDescent="0.25">
      <c r="A652" s="2" t="s">
        <v>1390</v>
      </c>
      <c r="B652" s="2" t="s">
        <v>2357</v>
      </c>
    </row>
    <row r="653" spans="1:2" ht="15.75" customHeight="1" x14ac:dyDescent="0.25">
      <c r="A653" s="2" t="s">
        <v>2147</v>
      </c>
      <c r="B653" s="2" t="s">
        <v>2357</v>
      </c>
    </row>
    <row r="654" spans="1:2" ht="15.75" customHeight="1" x14ac:dyDescent="0.25">
      <c r="A654" s="2" t="s">
        <v>518</v>
      </c>
      <c r="B654" s="2" t="s">
        <v>2356</v>
      </c>
    </row>
    <row r="655" spans="1:2" ht="15.75" customHeight="1" x14ac:dyDescent="0.25">
      <c r="A655" s="2" t="s">
        <v>2022</v>
      </c>
      <c r="B655" s="2" t="s">
        <v>2357</v>
      </c>
    </row>
    <row r="656" spans="1:2" ht="15.75" customHeight="1" x14ac:dyDescent="0.25">
      <c r="A656" s="2" t="s">
        <v>2224</v>
      </c>
      <c r="B656" s="2" t="s">
        <v>2357</v>
      </c>
    </row>
    <row r="657" spans="1:2" ht="15.75" customHeight="1" x14ac:dyDescent="0.25">
      <c r="A657" s="2" t="s">
        <v>939</v>
      </c>
      <c r="B657" s="2" t="s">
        <v>2357</v>
      </c>
    </row>
    <row r="658" spans="1:2" ht="15.75" customHeight="1" x14ac:dyDescent="0.25">
      <c r="A658" s="2" t="s">
        <v>627</v>
      </c>
      <c r="B658" s="2" t="s">
        <v>2357</v>
      </c>
    </row>
    <row r="659" spans="1:2" ht="15.75" customHeight="1" x14ac:dyDescent="0.25">
      <c r="A659" s="2" t="s">
        <v>1009</v>
      </c>
      <c r="B659" s="2" t="s">
        <v>2357</v>
      </c>
    </row>
    <row r="660" spans="1:2" ht="15.75" customHeight="1" x14ac:dyDescent="0.25">
      <c r="A660" s="2" t="s">
        <v>2334</v>
      </c>
      <c r="B660" s="2" t="s">
        <v>2357</v>
      </c>
    </row>
    <row r="661" spans="1:2" ht="15.75" customHeight="1" x14ac:dyDescent="0.25">
      <c r="A661" s="2" t="s">
        <v>424</v>
      </c>
      <c r="B661" s="2" t="s">
        <v>2359</v>
      </c>
    </row>
    <row r="662" spans="1:2" ht="15.75" customHeight="1" x14ac:dyDescent="0.25">
      <c r="A662" s="2" t="s">
        <v>587</v>
      </c>
      <c r="B662" s="2" t="s">
        <v>2357</v>
      </c>
    </row>
    <row r="663" spans="1:2" ht="15.75" customHeight="1" x14ac:dyDescent="0.25">
      <c r="A663" s="2" t="s">
        <v>641</v>
      </c>
      <c r="B663" s="2" t="s">
        <v>2357</v>
      </c>
    </row>
    <row r="664" spans="1:2" ht="15.75" customHeight="1" x14ac:dyDescent="0.25">
      <c r="A664" s="2" t="s">
        <v>890</v>
      </c>
      <c r="B664" s="2" t="s">
        <v>2357</v>
      </c>
    </row>
    <row r="665" spans="1:2" ht="15.75" customHeight="1" x14ac:dyDescent="0.25">
      <c r="A665" s="2" t="s">
        <v>2191</v>
      </c>
      <c r="B665" s="2" t="s">
        <v>2358</v>
      </c>
    </row>
    <row r="666" spans="1:2" ht="15.75" customHeight="1" x14ac:dyDescent="0.25">
      <c r="A666" s="2" t="s">
        <v>2074</v>
      </c>
      <c r="B666" s="2" t="s">
        <v>2357</v>
      </c>
    </row>
    <row r="667" spans="1:2" ht="15.75" customHeight="1" x14ac:dyDescent="0.25">
      <c r="A667" s="2" t="s">
        <v>1546</v>
      </c>
      <c r="B667" s="2" t="s">
        <v>2357</v>
      </c>
    </row>
    <row r="668" spans="1:2" ht="15.75" customHeight="1" x14ac:dyDescent="0.25">
      <c r="A668" s="2" t="s">
        <v>835</v>
      </c>
      <c r="B668" s="2" t="s">
        <v>2356</v>
      </c>
    </row>
    <row r="669" spans="1:2" ht="15.75" customHeight="1" x14ac:dyDescent="0.25">
      <c r="A669" s="2" t="s">
        <v>1909</v>
      </c>
      <c r="B669" s="2" t="s">
        <v>2357</v>
      </c>
    </row>
    <row r="670" spans="1:2" ht="15.75" customHeight="1" x14ac:dyDescent="0.25">
      <c r="A670" s="2" t="s">
        <v>2119</v>
      </c>
      <c r="B670" s="2" t="s">
        <v>2360</v>
      </c>
    </row>
    <row r="671" spans="1:2" ht="15.75" customHeight="1" x14ac:dyDescent="0.25">
      <c r="A671" s="2" t="s">
        <v>932</v>
      </c>
      <c r="B671" s="2" t="s">
        <v>2356</v>
      </c>
    </row>
    <row r="672" spans="1:2" ht="15.75" customHeight="1" x14ac:dyDescent="0.25">
      <c r="A672" s="2" t="s">
        <v>1884</v>
      </c>
      <c r="B672" s="2" t="s">
        <v>2357</v>
      </c>
    </row>
    <row r="673" spans="1:2" ht="15.75" customHeight="1" x14ac:dyDescent="0.25">
      <c r="A673" s="2" t="s">
        <v>1649</v>
      </c>
      <c r="B673" s="2" t="s">
        <v>2356</v>
      </c>
    </row>
    <row r="674" spans="1:2" ht="15.75" customHeight="1" x14ac:dyDescent="0.25">
      <c r="A674" s="2" t="s">
        <v>1647</v>
      </c>
      <c r="B674" s="2" t="s">
        <v>2356</v>
      </c>
    </row>
    <row r="675" spans="1:2" ht="15.75" customHeight="1" x14ac:dyDescent="0.25">
      <c r="A675" s="2" t="s">
        <v>552</v>
      </c>
      <c r="B675" s="2" t="s">
        <v>2357</v>
      </c>
    </row>
    <row r="676" spans="1:2" ht="15.75" customHeight="1" x14ac:dyDescent="0.25">
      <c r="A676" s="2" t="s">
        <v>1138</v>
      </c>
      <c r="B676" s="2" t="s">
        <v>2357</v>
      </c>
    </row>
    <row r="677" spans="1:2" ht="15.75" customHeight="1" x14ac:dyDescent="0.25">
      <c r="A677" s="2" t="s">
        <v>2349</v>
      </c>
      <c r="B677" s="2" t="s">
        <v>2357</v>
      </c>
    </row>
    <row r="678" spans="1:2" ht="15.75" customHeight="1" x14ac:dyDescent="0.25">
      <c r="A678" s="2" t="s">
        <v>930</v>
      </c>
      <c r="B678" s="2" t="s">
        <v>2357</v>
      </c>
    </row>
    <row r="679" spans="1:2" ht="15.75" customHeight="1" x14ac:dyDescent="0.25">
      <c r="A679" s="2" t="s">
        <v>756</v>
      </c>
      <c r="B679" s="2" t="s">
        <v>2357</v>
      </c>
    </row>
    <row r="680" spans="1:2" ht="15.75" customHeight="1" x14ac:dyDescent="0.25">
      <c r="A680" s="2" t="s">
        <v>303</v>
      </c>
      <c r="B680" s="2" t="s">
        <v>2357</v>
      </c>
    </row>
    <row r="681" spans="1:2" ht="15.75" customHeight="1" x14ac:dyDescent="0.25">
      <c r="A681" s="2" t="s">
        <v>2227</v>
      </c>
      <c r="B681" s="2" t="s">
        <v>2357</v>
      </c>
    </row>
    <row r="682" spans="1:2" ht="15.75" customHeight="1" x14ac:dyDescent="0.25">
      <c r="A682" s="2" t="s">
        <v>511</v>
      </c>
      <c r="B682" s="2" t="s">
        <v>2357</v>
      </c>
    </row>
    <row r="683" spans="1:2" ht="15.75" customHeight="1" x14ac:dyDescent="0.25">
      <c r="A683" s="2" t="s">
        <v>1728</v>
      </c>
      <c r="B683" s="2" t="s">
        <v>2357</v>
      </c>
    </row>
    <row r="684" spans="1:2" ht="15.75" customHeight="1" x14ac:dyDescent="0.25">
      <c r="A684" s="2" t="s">
        <v>1818</v>
      </c>
      <c r="B684" s="2" t="s">
        <v>2357</v>
      </c>
    </row>
    <row r="685" spans="1:2" ht="15.75" customHeight="1" x14ac:dyDescent="0.25">
      <c r="A685" s="2" t="s">
        <v>588</v>
      </c>
      <c r="B685" s="2" t="s">
        <v>2357</v>
      </c>
    </row>
    <row r="686" spans="1:2" ht="15.75" customHeight="1" x14ac:dyDescent="0.25">
      <c r="A686" s="2" t="s">
        <v>1722</v>
      </c>
      <c r="B686" s="2" t="s">
        <v>2356</v>
      </c>
    </row>
    <row r="687" spans="1:2" ht="15.75" customHeight="1" x14ac:dyDescent="0.25">
      <c r="A687" s="2" t="s">
        <v>219</v>
      </c>
      <c r="B687" s="2" t="s">
        <v>2357</v>
      </c>
    </row>
    <row r="688" spans="1:2" ht="15.75" customHeight="1" x14ac:dyDescent="0.25">
      <c r="A688" s="2" t="s">
        <v>2352</v>
      </c>
      <c r="B688" s="2" t="s">
        <v>2357</v>
      </c>
    </row>
    <row r="689" spans="1:2" ht="15.75" customHeight="1" x14ac:dyDescent="0.25">
      <c r="A689" s="2" t="s">
        <v>1633</v>
      </c>
      <c r="B689" s="2" t="s">
        <v>2356</v>
      </c>
    </row>
    <row r="690" spans="1:2" ht="15.75" customHeight="1" x14ac:dyDescent="0.25">
      <c r="A690" s="2" t="s">
        <v>180</v>
      </c>
      <c r="B690" s="2" t="s">
        <v>2357</v>
      </c>
    </row>
    <row r="691" spans="1:2" ht="15.75" customHeight="1" x14ac:dyDescent="0.25">
      <c r="A691" s="2" t="s">
        <v>1806</v>
      </c>
      <c r="B691" s="2" t="s">
        <v>2357</v>
      </c>
    </row>
    <row r="692" spans="1:2" ht="15.75" customHeight="1" x14ac:dyDescent="0.25">
      <c r="A692" s="2" t="s">
        <v>1880</v>
      </c>
      <c r="B692" s="2" t="s">
        <v>2357</v>
      </c>
    </row>
    <row r="693" spans="1:2" ht="15.75" customHeight="1" x14ac:dyDescent="0.25">
      <c r="A693" s="2" t="s">
        <v>1827</v>
      </c>
      <c r="B693" s="2" t="s">
        <v>2357</v>
      </c>
    </row>
    <row r="694" spans="1:2" ht="15.75" customHeight="1" x14ac:dyDescent="0.25">
      <c r="A694" s="2" t="s">
        <v>1814</v>
      </c>
      <c r="B694" s="2" t="s">
        <v>2357</v>
      </c>
    </row>
    <row r="695" spans="1:2" ht="15.75" customHeight="1" x14ac:dyDescent="0.25">
      <c r="A695" s="2" t="s">
        <v>1840</v>
      </c>
      <c r="B695" s="2" t="s">
        <v>2357</v>
      </c>
    </row>
    <row r="696" spans="1:2" ht="15.75" customHeight="1" x14ac:dyDescent="0.25">
      <c r="A696" s="2" t="s">
        <v>156</v>
      </c>
      <c r="B696" s="2" t="s">
        <v>2357</v>
      </c>
    </row>
    <row r="697" spans="1:2" ht="15.75" customHeight="1" x14ac:dyDescent="0.25">
      <c r="A697" s="2" t="s">
        <v>484</v>
      </c>
      <c r="B697" s="2" t="s">
        <v>2357</v>
      </c>
    </row>
    <row r="698" spans="1:2" ht="15.75" customHeight="1" x14ac:dyDescent="0.25">
      <c r="A698" s="2" t="s">
        <v>554</v>
      </c>
      <c r="B698" s="2" t="s">
        <v>2357</v>
      </c>
    </row>
    <row r="699" spans="1:2" ht="15.75" customHeight="1" x14ac:dyDescent="0.25">
      <c r="A699" s="2" t="s">
        <v>1602</v>
      </c>
      <c r="B699" s="2" t="s">
        <v>2357</v>
      </c>
    </row>
    <row r="700" spans="1:2" ht="15.75" customHeight="1" x14ac:dyDescent="0.25">
      <c r="A700" s="2" t="s">
        <v>306</v>
      </c>
      <c r="B700" s="2" t="s">
        <v>2357</v>
      </c>
    </row>
    <row r="701" spans="1:2" ht="15.75" customHeight="1" x14ac:dyDescent="0.25">
      <c r="A701" s="2" t="s">
        <v>2354</v>
      </c>
      <c r="B701" s="2" t="s">
        <v>2360</v>
      </c>
    </row>
    <row r="702" spans="1:2" ht="15.75" customHeight="1" x14ac:dyDescent="0.25">
      <c r="A702" s="2" t="s">
        <v>215</v>
      </c>
      <c r="B702" s="2" t="s">
        <v>2357</v>
      </c>
    </row>
    <row r="703" spans="1:2" ht="15.75" customHeight="1" x14ac:dyDescent="0.25">
      <c r="A703" s="2" t="s">
        <v>1182</v>
      </c>
      <c r="B703" s="2" t="s">
        <v>2357</v>
      </c>
    </row>
    <row r="704" spans="1:2" ht="15.75" customHeight="1" x14ac:dyDescent="0.25">
      <c r="A704" s="2" t="s">
        <v>2037</v>
      </c>
      <c r="B704" s="2" t="s">
        <v>2357</v>
      </c>
    </row>
    <row r="705" spans="1:2" ht="15.75" customHeight="1" x14ac:dyDescent="0.25">
      <c r="A705" s="2" t="s">
        <v>952</v>
      </c>
      <c r="B705" s="2" t="s">
        <v>2357</v>
      </c>
    </row>
    <row r="706" spans="1:2" ht="15.75" customHeight="1" x14ac:dyDescent="0.25">
      <c r="A706" s="2" t="s">
        <v>1564</v>
      </c>
      <c r="B706" s="2" t="s">
        <v>2357</v>
      </c>
    </row>
    <row r="707" spans="1:2" ht="15.75" customHeight="1" x14ac:dyDescent="0.25">
      <c r="A707" s="2" t="s">
        <v>602</v>
      </c>
      <c r="B707" s="2" t="s">
        <v>2356</v>
      </c>
    </row>
    <row r="708" spans="1:2" ht="15.75" customHeight="1" x14ac:dyDescent="0.25">
      <c r="A708" s="2" t="s">
        <v>1687</v>
      </c>
      <c r="B708" s="2" t="s">
        <v>2357</v>
      </c>
    </row>
    <row r="709" spans="1:2" ht="15.75" customHeight="1" x14ac:dyDescent="0.25">
      <c r="A709" s="2" t="s">
        <v>2330</v>
      </c>
      <c r="B709" s="2" t="s">
        <v>2359</v>
      </c>
    </row>
    <row r="710" spans="1:2" ht="15.75" customHeight="1" x14ac:dyDescent="0.25">
      <c r="A710" s="2" t="s">
        <v>1601</v>
      </c>
      <c r="B710" s="2" t="s">
        <v>2357</v>
      </c>
    </row>
    <row r="711" spans="1:2" ht="15.75" customHeight="1" x14ac:dyDescent="0.25">
      <c r="A711" s="2" t="s">
        <v>887</v>
      </c>
      <c r="B711" s="2" t="s">
        <v>2357</v>
      </c>
    </row>
    <row r="712" spans="1:2" ht="15.75" customHeight="1" x14ac:dyDescent="0.25">
      <c r="A712" s="2" t="s">
        <v>2136</v>
      </c>
      <c r="B712" s="2" t="s">
        <v>2360</v>
      </c>
    </row>
    <row r="713" spans="1:2" ht="15.75" customHeight="1" x14ac:dyDescent="0.25">
      <c r="A713" s="2" t="s">
        <v>1046</v>
      </c>
      <c r="B713" s="2" t="s">
        <v>2357</v>
      </c>
    </row>
    <row r="714" spans="1:2" ht="15.75" customHeight="1" x14ac:dyDescent="0.25">
      <c r="A714" s="2" t="s">
        <v>1318</v>
      </c>
      <c r="B714" s="2" t="s">
        <v>2357</v>
      </c>
    </row>
    <row r="715" spans="1:2" ht="15.75" customHeight="1" x14ac:dyDescent="0.25">
      <c r="A715" s="2" t="s">
        <v>1542</v>
      </c>
      <c r="B715" s="2" t="s">
        <v>2357</v>
      </c>
    </row>
    <row r="716" spans="1:2" ht="15.75" customHeight="1" x14ac:dyDescent="0.25">
      <c r="A716" s="2" t="s">
        <v>1761</v>
      </c>
      <c r="B716" s="2" t="s">
        <v>2357</v>
      </c>
    </row>
    <row r="717" spans="1:2" ht="15.75" customHeight="1" x14ac:dyDescent="0.25">
      <c r="A717" s="2" t="s">
        <v>330</v>
      </c>
      <c r="B717" s="2" t="s">
        <v>2357</v>
      </c>
    </row>
    <row r="718" spans="1:2" ht="15.75" customHeight="1" x14ac:dyDescent="0.25">
      <c r="A718" s="2" t="s">
        <v>2112</v>
      </c>
      <c r="B718" s="2" t="s">
        <v>2357</v>
      </c>
    </row>
    <row r="719" spans="1:2" ht="15.75" customHeight="1" x14ac:dyDescent="0.25">
      <c r="A719" s="2" t="s">
        <v>2228</v>
      </c>
      <c r="B719" s="2" t="s">
        <v>2357</v>
      </c>
    </row>
    <row r="720" spans="1:2" ht="15.75" customHeight="1" x14ac:dyDescent="0.25">
      <c r="A720" s="2" t="s">
        <v>1868</v>
      </c>
      <c r="B720" s="2" t="s">
        <v>2357</v>
      </c>
    </row>
    <row r="721" spans="1:2" ht="15.75" customHeight="1" x14ac:dyDescent="0.25">
      <c r="A721" s="2" t="s">
        <v>2120</v>
      </c>
      <c r="B721" s="2" t="s">
        <v>2360</v>
      </c>
    </row>
    <row r="722" spans="1:2" ht="15.75" customHeight="1" x14ac:dyDescent="0.25">
      <c r="A722" s="2" t="s">
        <v>2066</v>
      </c>
      <c r="B722" s="2" t="s">
        <v>2357</v>
      </c>
    </row>
    <row r="723" spans="1:2" ht="15.75" customHeight="1" x14ac:dyDescent="0.25">
      <c r="A723" s="2" t="s">
        <v>2075</v>
      </c>
      <c r="B723" s="2" t="s">
        <v>2357</v>
      </c>
    </row>
    <row r="724" spans="1:2" ht="15.75" customHeight="1" x14ac:dyDescent="0.25">
      <c r="A724" s="2" t="s">
        <v>2269</v>
      </c>
      <c r="B724" s="2" t="s">
        <v>2358</v>
      </c>
    </row>
    <row r="725" spans="1:2" ht="15.75" customHeight="1" x14ac:dyDescent="0.25">
      <c r="A725" s="2" t="s">
        <v>919</v>
      </c>
      <c r="B725" s="2" t="s">
        <v>2357</v>
      </c>
    </row>
    <row r="726" spans="1:2" ht="15.75" customHeight="1" x14ac:dyDescent="0.25">
      <c r="A726" s="2" t="s">
        <v>869</v>
      </c>
      <c r="B726" s="2" t="s">
        <v>2357</v>
      </c>
    </row>
    <row r="727" spans="1:2" ht="15.75" customHeight="1" x14ac:dyDescent="0.25">
      <c r="A727" s="2" t="s">
        <v>2184</v>
      </c>
      <c r="B727" s="2" t="s">
        <v>2360</v>
      </c>
    </row>
    <row r="728" spans="1:2" ht="15.75" customHeight="1" x14ac:dyDescent="0.25">
      <c r="A728" s="2" t="s">
        <v>1180</v>
      </c>
      <c r="B728" s="2" t="s">
        <v>2356</v>
      </c>
    </row>
    <row r="729" spans="1:2" ht="15.75" customHeight="1" x14ac:dyDescent="0.25">
      <c r="A729" s="2" t="s">
        <v>1457</v>
      </c>
      <c r="B729" s="2" t="s">
        <v>2357</v>
      </c>
    </row>
    <row r="730" spans="1:2" ht="15.75" customHeight="1" x14ac:dyDescent="0.25">
      <c r="A730" s="2" t="s">
        <v>1549</v>
      </c>
      <c r="B730" s="2" t="s">
        <v>2357</v>
      </c>
    </row>
    <row r="731" spans="1:2" ht="15.75" customHeight="1" x14ac:dyDescent="0.25">
      <c r="A731" s="2" t="s">
        <v>1593</v>
      </c>
      <c r="B731" s="2" t="s">
        <v>2357</v>
      </c>
    </row>
    <row r="732" spans="1:2" ht="15.75" customHeight="1" x14ac:dyDescent="0.25">
      <c r="A732" s="2" t="s">
        <v>2326</v>
      </c>
      <c r="B732" s="2" t="s">
        <v>2357</v>
      </c>
    </row>
    <row r="733" spans="1:2" ht="15.75" customHeight="1" x14ac:dyDescent="0.25">
      <c r="A733" s="2" t="s">
        <v>1570</v>
      </c>
      <c r="B733" s="2" t="s">
        <v>2357</v>
      </c>
    </row>
    <row r="734" spans="1:2" ht="15.75" customHeight="1" x14ac:dyDescent="0.25">
      <c r="A734" s="2" t="s">
        <v>382</v>
      </c>
      <c r="B734" s="2" t="s">
        <v>2357</v>
      </c>
    </row>
    <row r="735" spans="1:2" ht="15.75" customHeight="1" x14ac:dyDescent="0.25">
      <c r="A735" s="2" t="s">
        <v>1192</v>
      </c>
      <c r="B735" s="2" t="s">
        <v>2357</v>
      </c>
    </row>
    <row r="736" spans="1:2" ht="15.75" customHeight="1" x14ac:dyDescent="0.25">
      <c r="A736" s="2" t="s">
        <v>481</v>
      </c>
      <c r="B736" s="2" t="s">
        <v>2357</v>
      </c>
    </row>
    <row r="737" spans="1:2" ht="15.75" customHeight="1" x14ac:dyDescent="0.25">
      <c r="A737" s="2" t="s">
        <v>1948</v>
      </c>
      <c r="B737" s="2" t="s">
        <v>2357</v>
      </c>
    </row>
    <row r="738" spans="1:2" ht="15.75" customHeight="1" x14ac:dyDescent="0.25">
      <c r="A738" s="2" t="s">
        <v>1903</v>
      </c>
      <c r="B738" s="2" t="s">
        <v>2357</v>
      </c>
    </row>
    <row r="739" spans="1:2" ht="15.75" customHeight="1" x14ac:dyDescent="0.25">
      <c r="A739" s="2" t="s">
        <v>2139</v>
      </c>
      <c r="B739" s="2" t="s">
        <v>2358</v>
      </c>
    </row>
    <row r="740" spans="1:2" ht="15.75" customHeight="1" x14ac:dyDescent="0.25">
      <c r="A740" s="2" t="s">
        <v>2282</v>
      </c>
      <c r="B740" s="2" t="s">
        <v>2357</v>
      </c>
    </row>
    <row r="741" spans="1:2" ht="15.75" customHeight="1" x14ac:dyDescent="0.25">
      <c r="A741" s="2" t="s">
        <v>1845</v>
      </c>
      <c r="B741" s="2" t="s">
        <v>2357</v>
      </c>
    </row>
    <row r="742" spans="1:2" ht="15.75" customHeight="1" x14ac:dyDescent="0.25">
      <c r="A742" s="2" t="s">
        <v>270</v>
      </c>
      <c r="B742" s="2" t="s">
        <v>2357</v>
      </c>
    </row>
    <row r="743" spans="1:2" ht="15.75" customHeight="1" x14ac:dyDescent="0.25">
      <c r="A743" s="2" t="s">
        <v>1665</v>
      </c>
      <c r="B743" s="2" t="s">
        <v>2357</v>
      </c>
    </row>
    <row r="744" spans="1:2" ht="15.75" customHeight="1" x14ac:dyDescent="0.25">
      <c r="A744" s="2" t="s">
        <v>1594</v>
      </c>
      <c r="B744" s="2" t="s">
        <v>2357</v>
      </c>
    </row>
    <row r="745" spans="1:2" ht="15.75" customHeight="1" x14ac:dyDescent="0.25">
      <c r="A745" s="2" t="s">
        <v>1505</v>
      </c>
      <c r="B745" s="2" t="s">
        <v>2356</v>
      </c>
    </row>
    <row r="746" spans="1:2" ht="15.75" customHeight="1" x14ac:dyDescent="0.25">
      <c r="A746" s="2" t="s">
        <v>2093</v>
      </c>
      <c r="B746" s="2" t="s">
        <v>2359</v>
      </c>
    </row>
    <row r="747" spans="1:2" ht="15.75" customHeight="1" x14ac:dyDescent="0.25">
      <c r="A747" s="2" t="s">
        <v>351</v>
      </c>
      <c r="B747" s="2" t="s">
        <v>2356</v>
      </c>
    </row>
    <row r="748" spans="1:2" ht="15.75" customHeight="1" x14ac:dyDescent="0.25">
      <c r="A748" s="2" t="s">
        <v>406</v>
      </c>
      <c r="B748" s="2" t="s">
        <v>2357</v>
      </c>
    </row>
    <row r="749" spans="1:2" ht="15.75" customHeight="1" x14ac:dyDescent="0.25">
      <c r="A749" s="2" t="s">
        <v>906</v>
      </c>
      <c r="B749" s="2" t="s">
        <v>2357</v>
      </c>
    </row>
    <row r="750" spans="1:2" ht="15.75" customHeight="1" x14ac:dyDescent="0.25">
      <c r="A750" s="2" t="s">
        <v>1044</v>
      </c>
      <c r="B750" s="2" t="s">
        <v>2356</v>
      </c>
    </row>
    <row r="751" spans="1:2" ht="15.75" customHeight="1" x14ac:dyDescent="0.25">
      <c r="A751" s="2" t="s">
        <v>1426</v>
      </c>
      <c r="B751" s="2" t="s">
        <v>2357</v>
      </c>
    </row>
    <row r="752" spans="1:2" ht="15.75" customHeight="1" x14ac:dyDescent="0.25">
      <c r="A752" s="2" t="s">
        <v>1583</v>
      </c>
      <c r="B752" s="2" t="s">
        <v>2357</v>
      </c>
    </row>
    <row r="753" spans="1:2" ht="15.75" customHeight="1" x14ac:dyDescent="0.25">
      <c r="A753" s="2" t="s">
        <v>1725</v>
      </c>
      <c r="B753" s="2" t="s">
        <v>2356</v>
      </c>
    </row>
    <row r="754" spans="1:2" ht="15.75" customHeight="1" x14ac:dyDescent="0.25">
      <c r="A754" s="2" t="s">
        <v>529</v>
      </c>
      <c r="B754" s="2" t="s">
        <v>2357</v>
      </c>
    </row>
    <row r="755" spans="1:2" ht="15.75" customHeight="1" x14ac:dyDescent="0.25">
      <c r="A755" s="2" t="s">
        <v>348</v>
      </c>
      <c r="B755" s="2" t="s">
        <v>2357</v>
      </c>
    </row>
    <row r="756" spans="1:2" ht="15.75" customHeight="1" x14ac:dyDescent="0.25">
      <c r="A756" s="2" t="s">
        <v>2351</v>
      </c>
      <c r="B756" s="2" t="s">
        <v>2360</v>
      </c>
    </row>
    <row r="757" spans="1:2" ht="15.75" customHeight="1" x14ac:dyDescent="0.25">
      <c r="A757" s="2" t="s">
        <v>2144</v>
      </c>
      <c r="B757" s="2" t="s">
        <v>2358</v>
      </c>
    </row>
    <row r="758" spans="1:2" ht="15.75" customHeight="1" x14ac:dyDescent="0.25">
      <c r="A758" s="2" t="s">
        <v>2174</v>
      </c>
      <c r="B758" s="2" t="s">
        <v>2358</v>
      </c>
    </row>
    <row r="759" spans="1:2" ht="15.75" customHeight="1" x14ac:dyDescent="0.25">
      <c r="A759" s="2" t="s">
        <v>1780</v>
      </c>
      <c r="B759" s="2" t="s">
        <v>2357</v>
      </c>
    </row>
    <row r="760" spans="1:2" ht="15.75" customHeight="1" x14ac:dyDescent="0.25">
      <c r="A760" s="2" t="s">
        <v>1365</v>
      </c>
      <c r="B760" s="2" t="s">
        <v>2357</v>
      </c>
    </row>
    <row r="761" spans="1:2" ht="15.75" customHeight="1" x14ac:dyDescent="0.25">
      <c r="A761" s="2" t="s">
        <v>2302</v>
      </c>
      <c r="B761" s="2" t="s">
        <v>2357</v>
      </c>
    </row>
    <row r="762" spans="1:2" ht="15.75" customHeight="1" x14ac:dyDescent="0.25">
      <c r="A762" s="2" t="s">
        <v>675</v>
      </c>
      <c r="B762" s="2" t="s">
        <v>2356</v>
      </c>
    </row>
    <row r="763" spans="1:2" ht="15.75" customHeight="1" x14ac:dyDescent="0.25">
      <c r="A763" s="2" t="s">
        <v>790</v>
      </c>
      <c r="B763" s="2" t="s">
        <v>2357</v>
      </c>
    </row>
    <row r="764" spans="1:2" ht="15.75" customHeight="1" x14ac:dyDescent="0.25">
      <c r="A764" s="2" t="s">
        <v>1030</v>
      </c>
      <c r="B764" s="2" t="s">
        <v>2357</v>
      </c>
    </row>
    <row r="765" spans="1:2" ht="15.75" customHeight="1" x14ac:dyDescent="0.25">
      <c r="A765" s="2" t="s">
        <v>1581</v>
      </c>
      <c r="B765" s="2" t="s">
        <v>2359</v>
      </c>
    </row>
    <row r="766" spans="1:2" ht="15.75" customHeight="1" x14ac:dyDescent="0.25">
      <c r="A766" s="2" t="s">
        <v>2055</v>
      </c>
      <c r="B766" s="2" t="s">
        <v>2356</v>
      </c>
    </row>
    <row r="767" spans="1:2" ht="15.75" customHeight="1" x14ac:dyDescent="0.25">
      <c r="A767" s="2" t="s">
        <v>1763</v>
      </c>
      <c r="B767" s="2" t="s">
        <v>2356</v>
      </c>
    </row>
    <row r="768" spans="1:2" ht="15.75" customHeight="1" x14ac:dyDescent="0.25">
      <c r="A768" s="2" t="s">
        <v>2091</v>
      </c>
      <c r="B768" s="2" t="s">
        <v>2356</v>
      </c>
    </row>
    <row r="769" spans="1:2" ht="15.75" customHeight="1" x14ac:dyDescent="0.25">
      <c r="A769" s="2" t="s">
        <v>1816</v>
      </c>
      <c r="B769" s="2" t="s">
        <v>2357</v>
      </c>
    </row>
    <row r="770" spans="1:2" ht="15.75" customHeight="1" x14ac:dyDescent="0.25">
      <c r="A770" s="2" t="s">
        <v>1873</v>
      </c>
      <c r="B770" s="2" t="s">
        <v>2357</v>
      </c>
    </row>
    <row r="771" spans="1:2" ht="15.75" customHeight="1" x14ac:dyDescent="0.25">
      <c r="A771" s="2" t="s">
        <v>1904</v>
      </c>
      <c r="B771" s="2" t="s">
        <v>2357</v>
      </c>
    </row>
    <row r="772" spans="1:2" ht="15.75" customHeight="1" x14ac:dyDescent="0.25">
      <c r="A772" s="2" t="s">
        <v>1497</v>
      </c>
      <c r="B772" s="2" t="s">
        <v>2359</v>
      </c>
    </row>
    <row r="773" spans="1:2" ht="15.75" customHeight="1" x14ac:dyDescent="0.25">
      <c r="A773" s="2" t="s">
        <v>1471</v>
      </c>
      <c r="B773" s="2" t="s">
        <v>2357</v>
      </c>
    </row>
    <row r="774" spans="1:2" ht="15.75" customHeight="1" x14ac:dyDescent="0.25">
      <c r="A774" s="2" t="s">
        <v>1093</v>
      </c>
      <c r="B774" s="2" t="s">
        <v>2357</v>
      </c>
    </row>
    <row r="775" spans="1:2" ht="15.75" customHeight="1" x14ac:dyDescent="0.25">
      <c r="A775" s="2" t="s">
        <v>1711</v>
      </c>
      <c r="B775" s="2" t="s">
        <v>2357</v>
      </c>
    </row>
    <row r="776" spans="1:2" ht="15.75" customHeight="1" x14ac:dyDescent="0.25">
      <c r="A776" s="2" t="s">
        <v>1191</v>
      </c>
      <c r="B776" s="2" t="s">
        <v>2359</v>
      </c>
    </row>
    <row r="777" spans="1:2" ht="15.75" customHeight="1" x14ac:dyDescent="0.25">
      <c r="A777" s="2" t="s">
        <v>2058</v>
      </c>
      <c r="B777" s="2" t="s">
        <v>2359</v>
      </c>
    </row>
    <row r="778" spans="1:2" ht="15.75" customHeight="1" x14ac:dyDescent="0.25">
      <c r="A778" s="2" t="s">
        <v>1304</v>
      </c>
      <c r="B778" s="2" t="s">
        <v>2357</v>
      </c>
    </row>
    <row r="779" spans="1:2" ht="15.75" customHeight="1" x14ac:dyDescent="0.25">
      <c r="A779" s="2" t="s">
        <v>1696</v>
      </c>
      <c r="B779" s="2" t="s">
        <v>2357</v>
      </c>
    </row>
    <row r="780" spans="1:2" ht="15.75" customHeight="1" x14ac:dyDescent="0.25">
      <c r="A780" s="2" t="s">
        <v>771</v>
      </c>
      <c r="B780" s="2" t="s">
        <v>2357</v>
      </c>
    </row>
    <row r="781" spans="1:2" ht="15.75" customHeight="1" x14ac:dyDescent="0.25">
      <c r="A781" s="2" t="s">
        <v>687</v>
      </c>
      <c r="B781" s="2" t="s">
        <v>2357</v>
      </c>
    </row>
    <row r="782" spans="1:2" ht="15.75" customHeight="1" x14ac:dyDescent="0.25">
      <c r="A782" s="2" t="s">
        <v>569</v>
      </c>
      <c r="B782" s="2" t="s">
        <v>2357</v>
      </c>
    </row>
    <row r="783" spans="1:2" ht="15.75" customHeight="1" x14ac:dyDescent="0.25">
      <c r="A783" s="2" t="s">
        <v>442</v>
      </c>
      <c r="B783" s="2" t="s">
        <v>2357</v>
      </c>
    </row>
    <row r="784" spans="1:2" ht="15.75" customHeight="1" x14ac:dyDescent="0.25">
      <c r="A784" s="2" t="s">
        <v>2283</v>
      </c>
      <c r="B784" s="2" t="s">
        <v>2358</v>
      </c>
    </row>
    <row r="785" spans="1:2" ht="15.75" customHeight="1" x14ac:dyDescent="0.25">
      <c r="A785" s="2" t="s">
        <v>1384</v>
      </c>
      <c r="B785" s="2" t="s">
        <v>2359</v>
      </c>
    </row>
    <row r="786" spans="1:2" ht="15.75" customHeight="1" x14ac:dyDescent="0.25">
      <c r="A786" s="2" t="s">
        <v>899</v>
      </c>
      <c r="B786" s="2" t="s">
        <v>2356</v>
      </c>
    </row>
    <row r="787" spans="1:2" ht="15.75" customHeight="1" x14ac:dyDescent="0.25">
      <c r="A787" s="2" t="s">
        <v>2021</v>
      </c>
      <c r="B787" s="2" t="s">
        <v>2359</v>
      </c>
    </row>
    <row r="788" spans="1:2" ht="15.75" customHeight="1" x14ac:dyDescent="0.25">
      <c r="A788" s="2" t="s">
        <v>1461</v>
      </c>
      <c r="B788" s="2" t="s">
        <v>2356</v>
      </c>
    </row>
    <row r="789" spans="1:2" ht="15.75" customHeight="1" x14ac:dyDescent="0.25">
      <c r="A789" s="2" t="s">
        <v>1310</v>
      </c>
      <c r="B789" s="2" t="s">
        <v>2357</v>
      </c>
    </row>
    <row r="790" spans="1:2" ht="15.75" customHeight="1" x14ac:dyDescent="0.25">
      <c r="A790" s="2" t="s">
        <v>702</v>
      </c>
      <c r="B790" s="2" t="s">
        <v>2357</v>
      </c>
    </row>
    <row r="791" spans="1:2" ht="15.75" customHeight="1" x14ac:dyDescent="0.25">
      <c r="A791" s="2" t="s">
        <v>1338</v>
      </c>
      <c r="B791" s="2" t="s">
        <v>2357</v>
      </c>
    </row>
    <row r="792" spans="1:2" ht="15.75" customHeight="1" x14ac:dyDescent="0.25">
      <c r="A792" s="2" t="s">
        <v>2286</v>
      </c>
      <c r="B792" s="2" t="s">
        <v>2357</v>
      </c>
    </row>
    <row r="793" spans="1:2" ht="15.75" customHeight="1" x14ac:dyDescent="0.25">
      <c r="A793" s="2" t="s">
        <v>2062</v>
      </c>
      <c r="B793" s="2" t="s">
        <v>2357</v>
      </c>
    </row>
    <row r="794" spans="1:2" ht="15.75" customHeight="1" x14ac:dyDescent="0.25">
      <c r="A794" s="2" t="s">
        <v>1242</v>
      </c>
      <c r="B794" s="2" t="s">
        <v>2357</v>
      </c>
    </row>
    <row r="795" spans="1:2" ht="15.75" customHeight="1" x14ac:dyDescent="0.25">
      <c r="A795" s="2" t="s">
        <v>543</v>
      </c>
      <c r="B795" s="2" t="s">
        <v>2357</v>
      </c>
    </row>
    <row r="796" spans="1:2" ht="15.75" customHeight="1" x14ac:dyDescent="0.25">
      <c r="A796" s="2" t="s">
        <v>538</v>
      </c>
      <c r="B796" s="2" t="s">
        <v>2357</v>
      </c>
    </row>
    <row r="797" spans="1:2" ht="15.75" customHeight="1" x14ac:dyDescent="0.25">
      <c r="A797" s="2" t="s">
        <v>456</v>
      </c>
      <c r="B797" s="2" t="s">
        <v>2357</v>
      </c>
    </row>
    <row r="798" spans="1:2" ht="15.75" customHeight="1" x14ac:dyDescent="0.25">
      <c r="A798" s="2" t="s">
        <v>1635</v>
      </c>
      <c r="B798" s="2" t="s">
        <v>2356</v>
      </c>
    </row>
    <row r="799" spans="1:2" ht="15.75" customHeight="1" x14ac:dyDescent="0.25">
      <c r="A799" s="2" t="s">
        <v>1291</v>
      </c>
      <c r="B799" s="2" t="s">
        <v>2357</v>
      </c>
    </row>
    <row r="800" spans="1:2" ht="15.75" customHeight="1" x14ac:dyDescent="0.25">
      <c r="A800" s="2" t="s">
        <v>1305</v>
      </c>
      <c r="B800" s="2" t="s">
        <v>2357</v>
      </c>
    </row>
    <row r="801" spans="1:2" ht="15.75" customHeight="1" x14ac:dyDescent="0.25">
      <c r="A801" s="2" t="s">
        <v>274</v>
      </c>
      <c r="B801" s="2" t="s">
        <v>2356</v>
      </c>
    </row>
    <row r="802" spans="1:2" ht="15.75" customHeight="1" x14ac:dyDescent="0.25">
      <c r="A802" s="2" t="s">
        <v>428</v>
      </c>
      <c r="B802" s="2" t="s">
        <v>2356</v>
      </c>
    </row>
    <row r="803" spans="1:2" ht="15.75" customHeight="1" x14ac:dyDescent="0.25">
      <c r="A803" s="2" t="s">
        <v>1659</v>
      </c>
      <c r="B803" s="2" t="s">
        <v>2357</v>
      </c>
    </row>
    <row r="804" spans="1:2" ht="15.75" customHeight="1" x14ac:dyDescent="0.25">
      <c r="A804" s="2" t="s">
        <v>1102</v>
      </c>
      <c r="B804" s="2" t="s">
        <v>2357</v>
      </c>
    </row>
    <row r="805" spans="1:2" ht="15.75" customHeight="1" x14ac:dyDescent="0.25">
      <c r="A805" s="2" t="s">
        <v>1691</v>
      </c>
      <c r="B805" s="2" t="s">
        <v>2357</v>
      </c>
    </row>
    <row r="806" spans="1:2" ht="15.75" customHeight="1" x14ac:dyDescent="0.25">
      <c r="A806" s="2" t="s">
        <v>1364</v>
      </c>
      <c r="B806" s="2" t="s">
        <v>2356</v>
      </c>
    </row>
    <row r="807" spans="1:2" ht="15.75" customHeight="1" x14ac:dyDescent="0.25">
      <c r="A807" s="2" t="s">
        <v>1437</v>
      </c>
      <c r="B807" s="2" t="s">
        <v>2357</v>
      </c>
    </row>
    <row r="808" spans="1:2" ht="15.75" customHeight="1" x14ac:dyDescent="0.25">
      <c r="A808" s="2" t="s">
        <v>378</v>
      </c>
      <c r="B808" s="2" t="s">
        <v>2357</v>
      </c>
    </row>
    <row r="809" spans="1:2" ht="15.75" customHeight="1" x14ac:dyDescent="0.25">
      <c r="A809" s="2" t="s">
        <v>795</v>
      </c>
      <c r="B809" s="2" t="s">
        <v>2357</v>
      </c>
    </row>
    <row r="810" spans="1:2" ht="15.75" customHeight="1" x14ac:dyDescent="0.25">
      <c r="A810" s="2" t="s">
        <v>928</v>
      </c>
      <c r="B810" s="2" t="s">
        <v>2357</v>
      </c>
    </row>
    <row r="811" spans="1:2" ht="15.75" customHeight="1" x14ac:dyDescent="0.25">
      <c r="A811" s="2" t="s">
        <v>2310</v>
      </c>
      <c r="B811" s="2" t="s">
        <v>2357</v>
      </c>
    </row>
    <row r="812" spans="1:2" ht="15.75" customHeight="1" x14ac:dyDescent="0.25">
      <c r="A812" s="2" t="s">
        <v>127</v>
      </c>
      <c r="B812" s="2" t="s">
        <v>2357</v>
      </c>
    </row>
    <row r="813" spans="1:2" ht="15.75" customHeight="1" x14ac:dyDescent="0.25">
      <c r="A813" s="2" t="s">
        <v>1021</v>
      </c>
      <c r="B813" s="2" t="s">
        <v>2357</v>
      </c>
    </row>
    <row r="814" spans="1:2" ht="15.75" customHeight="1" x14ac:dyDescent="0.25">
      <c r="A814" s="2" t="s">
        <v>1422</v>
      </c>
      <c r="B814" s="2" t="s">
        <v>2357</v>
      </c>
    </row>
    <row r="815" spans="1:2" ht="15.75" customHeight="1" x14ac:dyDescent="0.25">
      <c r="A815" s="2" t="s">
        <v>2295</v>
      </c>
      <c r="B815" s="2" t="s">
        <v>2357</v>
      </c>
    </row>
    <row r="816" spans="1:2" ht="15.75" customHeight="1" x14ac:dyDescent="0.25">
      <c r="A816" s="2" t="s">
        <v>2237</v>
      </c>
      <c r="B816" s="2" t="s">
        <v>2360</v>
      </c>
    </row>
    <row r="817" spans="1:2" ht="15.75" customHeight="1" x14ac:dyDescent="0.25">
      <c r="A817" s="2" t="s">
        <v>505</v>
      </c>
      <c r="B817" s="2" t="s">
        <v>2357</v>
      </c>
    </row>
    <row r="818" spans="1:2" ht="15.75" customHeight="1" x14ac:dyDescent="0.25">
      <c r="A818" s="2" t="s">
        <v>1580</v>
      </c>
      <c r="B818" s="2" t="s">
        <v>2357</v>
      </c>
    </row>
    <row r="819" spans="1:2" ht="15.75" customHeight="1" x14ac:dyDescent="0.25">
      <c r="A819" s="2" t="s">
        <v>1876</v>
      </c>
      <c r="B819" s="2" t="s">
        <v>2357</v>
      </c>
    </row>
    <row r="820" spans="1:2" ht="15.75" customHeight="1" x14ac:dyDescent="0.25">
      <c r="A820" s="2" t="s">
        <v>1777</v>
      </c>
      <c r="B820" s="2" t="s">
        <v>2356</v>
      </c>
    </row>
    <row r="821" spans="1:2" ht="15.75" customHeight="1" x14ac:dyDescent="0.25">
      <c r="A821" s="2" t="s">
        <v>2257</v>
      </c>
      <c r="B821" s="2" t="s">
        <v>2357</v>
      </c>
    </row>
    <row r="822" spans="1:2" ht="15.75" customHeight="1" x14ac:dyDescent="0.25">
      <c r="A822" s="2" t="s">
        <v>524</v>
      </c>
      <c r="B822" s="2" t="s">
        <v>2357</v>
      </c>
    </row>
    <row r="823" spans="1:2" ht="15.75" customHeight="1" x14ac:dyDescent="0.25">
      <c r="A823" s="2" t="s">
        <v>2208</v>
      </c>
      <c r="B823" s="2" t="s">
        <v>2358</v>
      </c>
    </row>
    <row r="824" spans="1:2" ht="15.75" customHeight="1" x14ac:dyDescent="0.25">
      <c r="A824" s="2" t="s">
        <v>873</v>
      </c>
      <c r="B824" s="2" t="s">
        <v>2357</v>
      </c>
    </row>
    <row r="825" spans="1:2" ht="15.75" customHeight="1" x14ac:dyDescent="0.25">
      <c r="A825" s="2" t="s">
        <v>893</v>
      </c>
      <c r="B825" s="2" t="s">
        <v>2357</v>
      </c>
    </row>
    <row r="826" spans="1:2" ht="15.75" customHeight="1" x14ac:dyDescent="0.25">
      <c r="A826" s="2" t="s">
        <v>1852</v>
      </c>
      <c r="B826" s="2" t="s">
        <v>2357</v>
      </c>
    </row>
    <row r="827" spans="1:2" ht="15.75" customHeight="1" x14ac:dyDescent="0.25">
      <c r="A827" s="2" t="s">
        <v>1149</v>
      </c>
      <c r="B827" s="2" t="s">
        <v>2357</v>
      </c>
    </row>
    <row r="828" spans="1:2" ht="15.75" customHeight="1" x14ac:dyDescent="0.25">
      <c r="A828" s="2" t="s">
        <v>567</v>
      </c>
      <c r="B828" s="2" t="s">
        <v>2357</v>
      </c>
    </row>
    <row r="829" spans="1:2" ht="15.75" customHeight="1" x14ac:dyDescent="0.25">
      <c r="A829" s="2" t="s">
        <v>242</v>
      </c>
      <c r="B829" s="2" t="s">
        <v>2357</v>
      </c>
    </row>
    <row r="830" spans="1:2" ht="15.75" customHeight="1" x14ac:dyDescent="0.25">
      <c r="A830" s="2" t="s">
        <v>1825</v>
      </c>
      <c r="B830" s="2" t="s">
        <v>2356</v>
      </c>
    </row>
    <row r="831" spans="1:2" ht="15.75" customHeight="1" x14ac:dyDescent="0.25">
      <c r="A831" s="2" t="s">
        <v>1007</v>
      </c>
      <c r="B831" s="2" t="s">
        <v>2357</v>
      </c>
    </row>
    <row r="832" spans="1:2" ht="15.75" customHeight="1" x14ac:dyDescent="0.25">
      <c r="A832" s="2" t="s">
        <v>1526</v>
      </c>
      <c r="B832" s="2" t="s">
        <v>2359</v>
      </c>
    </row>
    <row r="833" spans="1:2" ht="15.75" customHeight="1" x14ac:dyDescent="0.25">
      <c r="A833" s="2" t="s">
        <v>636</v>
      </c>
      <c r="B833" s="2" t="s">
        <v>2356</v>
      </c>
    </row>
    <row r="834" spans="1:2" ht="15.75" customHeight="1" x14ac:dyDescent="0.25">
      <c r="A834" s="2" t="s">
        <v>2152</v>
      </c>
      <c r="B834" s="2" t="s">
        <v>2360</v>
      </c>
    </row>
    <row r="835" spans="1:2" ht="15.75" customHeight="1" x14ac:dyDescent="0.25">
      <c r="A835" s="2" t="s">
        <v>1491</v>
      </c>
      <c r="B835" s="2" t="s">
        <v>2357</v>
      </c>
    </row>
    <row r="836" spans="1:2" ht="15.75" customHeight="1" x14ac:dyDescent="0.25">
      <c r="A836" s="2" t="s">
        <v>476</v>
      </c>
      <c r="B836" s="2" t="s">
        <v>2356</v>
      </c>
    </row>
    <row r="837" spans="1:2" ht="15.75" customHeight="1" x14ac:dyDescent="0.25">
      <c r="A837" s="2" t="s">
        <v>501</v>
      </c>
      <c r="B837" s="2" t="s">
        <v>2357</v>
      </c>
    </row>
    <row r="838" spans="1:2" ht="15.75" customHeight="1" x14ac:dyDescent="0.25">
      <c r="A838" s="2" t="s">
        <v>1202</v>
      </c>
      <c r="B838" s="2" t="s">
        <v>2356</v>
      </c>
    </row>
    <row r="839" spans="1:2" ht="15.75" customHeight="1" x14ac:dyDescent="0.25">
      <c r="A839" s="2" t="s">
        <v>1455</v>
      </c>
      <c r="B839" s="2" t="s">
        <v>2357</v>
      </c>
    </row>
    <row r="840" spans="1:2" ht="15.75" customHeight="1" x14ac:dyDescent="0.25">
      <c r="A840" s="2" t="s">
        <v>2142</v>
      </c>
      <c r="B840" s="2" t="s">
        <v>2358</v>
      </c>
    </row>
    <row r="841" spans="1:2" ht="15.75" customHeight="1" x14ac:dyDescent="0.25">
      <c r="A841" s="2" t="s">
        <v>1541</v>
      </c>
      <c r="B841" s="2" t="s">
        <v>2356</v>
      </c>
    </row>
    <row r="842" spans="1:2" ht="15.75" customHeight="1" x14ac:dyDescent="0.25">
      <c r="A842" s="2" t="s">
        <v>1465</v>
      </c>
      <c r="B842" s="2" t="s">
        <v>2357</v>
      </c>
    </row>
    <row r="843" spans="1:2" ht="15.75" customHeight="1" x14ac:dyDescent="0.25">
      <c r="A843" s="2" t="s">
        <v>2098</v>
      </c>
      <c r="B843" s="2" t="s">
        <v>2357</v>
      </c>
    </row>
    <row r="844" spans="1:2" ht="15.75" customHeight="1" x14ac:dyDescent="0.25">
      <c r="A844" s="2" t="s">
        <v>624</v>
      </c>
      <c r="B844" s="2" t="s">
        <v>2356</v>
      </c>
    </row>
    <row r="845" spans="1:2" ht="15.75" customHeight="1" x14ac:dyDescent="0.25">
      <c r="A845" s="2" t="s">
        <v>76</v>
      </c>
      <c r="B845" s="2" t="s">
        <v>2357</v>
      </c>
    </row>
    <row r="846" spans="1:2" ht="15.75" customHeight="1" x14ac:dyDescent="0.25">
      <c r="A846" s="2" t="s">
        <v>958</v>
      </c>
      <c r="B846" s="2" t="s">
        <v>2357</v>
      </c>
    </row>
    <row r="847" spans="1:2" ht="15.75" customHeight="1" x14ac:dyDescent="0.25">
      <c r="A847" s="2" t="s">
        <v>2277</v>
      </c>
      <c r="B847" s="2" t="s">
        <v>2360</v>
      </c>
    </row>
    <row r="848" spans="1:2" ht="15.75" customHeight="1" x14ac:dyDescent="0.25">
      <c r="A848" s="2" t="s">
        <v>1862</v>
      </c>
      <c r="B848" s="2" t="s">
        <v>2357</v>
      </c>
    </row>
    <row r="849" spans="1:2" ht="15.75" customHeight="1" x14ac:dyDescent="0.25">
      <c r="A849" s="2" t="s">
        <v>1644</v>
      </c>
      <c r="B849" s="2" t="s">
        <v>2357</v>
      </c>
    </row>
    <row r="850" spans="1:2" ht="15.75" customHeight="1" x14ac:dyDescent="0.25">
      <c r="A850" s="2" t="s">
        <v>1895</v>
      </c>
      <c r="B850" s="2" t="s">
        <v>2357</v>
      </c>
    </row>
    <row r="851" spans="1:2" ht="15.75" customHeight="1" x14ac:dyDescent="0.25">
      <c r="A851" s="2" t="s">
        <v>1196</v>
      </c>
      <c r="B851" s="2" t="s">
        <v>2356</v>
      </c>
    </row>
    <row r="852" spans="1:2" ht="15.75" customHeight="1" x14ac:dyDescent="0.25">
      <c r="A852" s="2" t="s">
        <v>941</v>
      </c>
      <c r="B852" s="2" t="s">
        <v>2357</v>
      </c>
    </row>
    <row r="853" spans="1:2" ht="15.75" customHeight="1" x14ac:dyDescent="0.25">
      <c r="A853" s="2" t="s">
        <v>1488</v>
      </c>
      <c r="B853" s="2" t="s">
        <v>2357</v>
      </c>
    </row>
    <row r="854" spans="1:2" ht="15.75" customHeight="1" x14ac:dyDescent="0.25">
      <c r="A854" s="2" t="s">
        <v>2311</v>
      </c>
      <c r="B854" s="2" t="s">
        <v>2358</v>
      </c>
    </row>
    <row r="855" spans="1:2" ht="15.75" customHeight="1" x14ac:dyDescent="0.25">
      <c r="A855" s="2" t="s">
        <v>1150</v>
      </c>
      <c r="B855" s="2" t="s">
        <v>2357</v>
      </c>
    </row>
    <row r="856" spans="1:2" ht="15.75" customHeight="1" x14ac:dyDescent="0.25">
      <c r="A856" s="2" t="s">
        <v>1528</v>
      </c>
      <c r="B856" s="2" t="s">
        <v>2357</v>
      </c>
    </row>
    <row r="857" spans="1:2" ht="15.75" customHeight="1" x14ac:dyDescent="0.25">
      <c r="A857" s="2" t="s">
        <v>1409</v>
      </c>
      <c r="B857" s="2" t="s">
        <v>2357</v>
      </c>
    </row>
    <row r="858" spans="1:2" ht="15.75" customHeight="1" x14ac:dyDescent="0.25">
      <c r="A858" s="2" t="s">
        <v>158</v>
      </c>
      <c r="B858" s="2" t="s">
        <v>2357</v>
      </c>
    </row>
    <row r="859" spans="1:2" ht="15.75" customHeight="1" x14ac:dyDescent="0.25">
      <c r="A859" s="2" t="s">
        <v>2048</v>
      </c>
      <c r="B859" s="2" t="s">
        <v>2357</v>
      </c>
    </row>
    <row r="860" spans="1:2" ht="15.75" customHeight="1" x14ac:dyDescent="0.25">
      <c r="A860" s="2" t="s">
        <v>478</v>
      </c>
      <c r="B860" s="2" t="s">
        <v>2357</v>
      </c>
    </row>
    <row r="861" spans="1:2" ht="15.75" customHeight="1" x14ac:dyDescent="0.25">
      <c r="A861" s="2" t="s">
        <v>2344</v>
      </c>
      <c r="B861" s="2" t="s">
        <v>2357</v>
      </c>
    </row>
    <row r="862" spans="1:2" ht="15.75" customHeight="1" x14ac:dyDescent="0.25">
      <c r="A862" s="2" t="s">
        <v>896</v>
      </c>
      <c r="B862" s="2" t="s">
        <v>2357</v>
      </c>
    </row>
    <row r="863" spans="1:2" ht="15.75" customHeight="1" x14ac:dyDescent="0.25">
      <c r="A863" s="2" t="s">
        <v>221</v>
      </c>
      <c r="B863" s="2" t="s">
        <v>2357</v>
      </c>
    </row>
    <row r="864" spans="1:2" ht="15.75" customHeight="1" x14ac:dyDescent="0.25">
      <c r="A864" s="2" t="s">
        <v>1604</v>
      </c>
      <c r="B864" s="2" t="s">
        <v>2357</v>
      </c>
    </row>
    <row r="865" spans="1:2" ht="15.75" customHeight="1" x14ac:dyDescent="0.25">
      <c r="A865" s="2" t="s">
        <v>1742</v>
      </c>
      <c r="B865" s="2" t="s">
        <v>2356</v>
      </c>
    </row>
    <row r="866" spans="1:2" ht="15.75" customHeight="1" x14ac:dyDescent="0.25">
      <c r="A866" s="2" t="s">
        <v>866</v>
      </c>
      <c r="B866" s="2" t="s">
        <v>2357</v>
      </c>
    </row>
    <row r="867" spans="1:2" ht="15.75" customHeight="1" x14ac:dyDescent="0.25">
      <c r="A867" s="2" t="s">
        <v>1325</v>
      </c>
      <c r="B867" s="2" t="s">
        <v>2357</v>
      </c>
    </row>
    <row r="868" spans="1:2" ht="15.75" customHeight="1" x14ac:dyDescent="0.25">
      <c r="A868" s="2" t="s">
        <v>2290</v>
      </c>
      <c r="B868" s="2" t="s">
        <v>2359</v>
      </c>
    </row>
    <row r="869" spans="1:2" ht="15.75" customHeight="1" x14ac:dyDescent="0.25">
      <c r="A869" s="2" t="s">
        <v>364</v>
      </c>
      <c r="B869" s="2" t="s">
        <v>2357</v>
      </c>
    </row>
    <row r="870" spans="1:2" ht="15.75" customHeight="1" x14ac:dyDescent="0.25">
      <c r="A870" s="2" t="s">
        <v>2300</v>
      </c>
      <c r="B870" s="2" t="s">
        <v>2357</v>
      </c>
    </row>
    <row r="871" spans="1:2" ht="15.75" customHeight="1" x14ac:dyDescent="0.25">
      <c r="A871" s="2" t="s">
        <v>597</v>
      </c>
      <c r="B871" s="2" t="s">
        <v>2357</v>
      </c>
    </row>
    <row r="872" spans="1:2" ht="15.75" customHeight="1" x14ac:dyDescent="0.25">
      <c r="A872" s="2" t="s">
        <v>791</v>
      </c>
      <c r="B872" s="2" t="s">
        <v>2357</v>
      </c>
    </row>
    <row r="873" spans="1:2" ht="15.75" customHeight="1" x14ac:dyDescent="0.25">
      <c r="A873" s="2" t="s">
        <v>1072</v>
      </c>
      <c r="B873" s="2" t="s">
        <v>2357</v>
      </c>
    </row>
    <row r="874" spans="1:2" ht="15.75" customHeight="1" x14ac:dyDescent="0.25">
      <c r="A874" s="2" t="s">
        <v>2256</v>
      </c>
      <c r="B874" s="2" t="s">
        <v>2360</v>
      </c>
    </row>
    <row r="875" spans="1:2" ht="15.75" customHeight="1" x14ac:dyDescent="0.25">
      <c r="A875" s="2" t="s">
        <v>294</v>
      </c>
      <c r="B875" s="2" t="s">
        <v>2356</v>
      </c>
    </row>
    <row r="876" spans="1:2" ht="15.75" customHeight="1" x14ac:dyDescent="0.25">
      <c r="A876" s="2" t="s">
        <v>575</v>
      </c>
      <c r="B876" s="2" t="s">
        <v>2357</v>
      </c>
    </row>
    <row r="877" spans="1:2" ht="15.75" customHeight="1" x14ac:dyDescent="0.25">
      <c r="A877" s="2" t="s">
        <v>755</v>
      </c>
      <c r="B877" s="2" t="s">
        <v>2357</v>
      </c>
    </row>
    <row r="878" spans="1:2" ht="15.75" customHeight="1" x14ac:dyDescent="0.25">
      <c r="A878" s="2" t="s">
        <v>1686</v>
      </c>
      <c r="B878" s="2" t="s">
        <v>2357</v>
      </c>
    </row>
    <row r="879" spans="1:2" ht="15.75" customHeight="1" x14ac:dyDescent="0.25">
      <c r="A879" s="2" t="s">
        <v>1900</v>
      </c>
      <c r="B879" s="2" t="s">
        <v>2357</v>
      </c>
    </row>
    <row r="880" spans="1:2" ht="15.75" customHeight="1" x14ac:dyDescent="0.25">
      <c r="A880" s="2" t="s">
        <v>679</v>
      </c>
      <c r="B880" s="2" t="s">
        <v>2357</v>
      </c>
    </row>
    <row r="881" spans="1:2" ht="15.75" customHeight="1" x14ac:dyDescent="0.25">
      <c r="A881" s="2" t="s">
        <v>2154</v>
      </c>
      <c r="B881" s="2" t="s">
        <v>2360</v>
      </c>
    </row>
    <row r="882" spans="1:2" ht="15.75" customHeight="1" x14ac:dyDescent="0.25">
      <c r="A882" s="2" t="s">
        <v>1630</v>
      </c>
      <c r="B882" s="2" t="s">
        <v>2357</v>
      </c>
    </row>
    <row r="883" spans="1:2" ht="15.75" customHeight="1" x14ac:dyDescent="0.25">
      <c r="A883" s="2" t="s">
        <v>878</v>
      </c>
      <c r="B883" s="2" t="s">
        <v>2357</v>
      </c>
    </row>
    <row r="884" spans="1:2" ht="15.75" customHeight="1" x14ac:dyDescent="0.25">
      <c r="A884" s="2" t="s">
        <v>1551</v>
      </c>
      <c r="B884" s="2" t="s">
        <v>2357</v>
      </c>
    </row>
    <row r="885" spans="1:2" ht="15.75" customHeight="1" x14ac:dyDescent="0.25">
      <c r="A885" s="2" t="s">
        <v>2061</v>
      </c>
      <c r="B885" s="2" t="s">
        <v>2357</v>
      </c>
    </row>
    <row r="886" spans="1:2" ht="15.75" customHeight="1" x14ac:dyDescent="0.25">
      <c r="A886" s="2" t="s">
        <v>264</v>
      </c>
      <c r="B886" s="2" t="s">
        <v>2357</v>
      </c>
    </row>
    <row r="887" spans="1:2" ht="15.75" customHeight="1" x14ac:dyDescent="0.25">
      <c r="A887" s="2" t="s">
        <v>1415</v>
      </c>
      <c r="B887" s="2" t="s">
        <v>2357</v>
      </c>
    </row>
    <row r="888" spans="1:2" ht="15.75" customHeight="1" x14ac:dyDescent="0.25">
      <c r="A888" s="2" t="s">
        <v>792</v>
      </c>
      <c r="B888" s="2" t="s">
        <v>2357</v>
      </c>
    </row>
    <row r="889" spans="1:2" ht="15.75" customHeight="1" x14ac:dyDescent="0.25">
      <c r="A889" s="2" t="s">
        <v>643</v>
      </c>
      <c r="B889" s="2" t="s">
        <v>2357</v>
      </c>
    </row>
    <row r="890" spans="1:2" ht="15.75" customHeight="1" x14ac:dyDescent="0.25">
      <c r="A890" s="2" t="s">
        <v>1251</v>
      </c>
      <c r="B890" s="2" t="s">
        <v>2357</v>
      </c>
    </row>
    <row r="891" spans="1:2" ht="15.75" customHeight="1" x14ac:dyDescent="0.25">
      <c r="A891" s="2" t="s">
        <v>1841</v>
      </c>
      <c r="B891" s="2" t="s">
        <v>2357</v>
      </c>
    </row>
    <row r="892" spans="1:2" ht="15.75" customHeight="1" x14ac:dyDescent="0.25">
      <c r="A892" s="2" t="s">
        <v>1519</v>
      </c>
      <c r="B892" s="2" t="s">
        <v>2357</v>
      </c>
    </row>
    <row r="893" spans="1:2" ht="15.75" customHeight="1" x14ac:dyDescent="0.25">
      <c r="A893" s="2" t="s">
        <v>1253</v>
      </c>
      <c r="B893" s="2" t="s">
        <v>2359</v>
      </c>
    </row>
    <row r="894" spans="1:2" ht="15.75" customHeight="1" x14ac:dyDescent="0.25">
      <c r="A894" s="2" t="s">
        <v>1352</v>
      </c>
      <c r="B894" s="2" t="s">
        <v>2357</v>
      </c>
    </row>
    <row r="895" spans="1:2" ht="15.75" customHeight="1" x14ac:dyDescent="0.25">
      <c r="A895" s="2" t="s">
        <v>1892</v>
      </c>
      <c r="B895" s="2" t="s">
        <v>2356</v>
      </c>
    </row>
    <row r="896" spans="1:2" ht="15.75" customHeight="1" x14ac:dyDescent="0.25">
      <c r="A896" s="2" t="s">
        <v>1194</v>
      </c>
      <c r="B896" s="2" t="s">
        <v>2356</v>
      </c>
    </row>
    <row r="897" spans="1:2" ht="15.75" customHeight="1" x14ac:dyDescent="0.25">
      <c r="A897" s="2" t="s">
        <v>1623</v>
      </c>
      <c r="B897" s="2" t="s">
        <v>2357</v>
      </c>
    </row>
    <row r="898" spans="1:2" ht="15.75" customHeight="1" x14ac:dyDescent="0.25">
      <c r="A898" s="2" t="s">
        <v>1590</v>
      </c>
      <c r="B898" s="2" t="s">
        <v>2357</v>
      </c>
    </row>
    <row r="899" spans="1:2" ht="15.75" customHeight="1" x14ac:dyDescent="0.25">
      <c r="A899" s="2" t="s">
        <v>2130</v>
      </c>
      <c r="B899" s="2" t="s">
        <v>2357</v>
      </c>
    </row>
    <row r="900" spans="1:2" ht="15.75" customHeight="1" x14ac:dyDescent="0.25">
      <c r="A900" s="2" t="s">
        <v>1631</v>
      </c>
      <c r="B900" s="2" t="s">
        <v>2357</v>
      </c>
    </row>
    <row r="901" spans="1:2" ht="15.75" customHeight="1" x14ac:dyDescent="0.25">
      <c r="A901" s="2" t="s">
        <v>1279</v>
      </c>
      <c r="B901" s="2" t="s">
        <v>2357</v>
      </c>
    </row>
    <row r="902" spans="1:2" ht="15.75" customHeight="1" x14ac:dyDescent="0.25">
      <c r="A902" s="2" t="s">
        <v>1567</v>
      </c>
      <c r="B902" s="2" t="s">
        <v>2357</v>
      </c>
    </row>
    <row r="903" spans="1:2" ht="15.75" customHeight="1" x14ac:dyDescent="0.25">
      <c r="A903" s="2" t="s">
        <v>2322</v>
      </c>
      <c r="B903" s="2" t="s">
        <v>2357</v>
      </c>
    </row>
    <row r="904" spans="1:2" ht="15.75" customHeight="1" x14ac:dyDescent="0.25">
      <c r="A904" s="2" t="s">
        <v>684</v>
      </c>
      <c r="B904" s="2" t="s">
        <v>2357</v>
      </c>
    </row>
    <row r="905" spans="1:2" ht="15.75" customHeight="1" x14ac:dyDescent="0.25">
      <c r="A905" s="2" t="s">
        <v>571</v>
      </c>
      <c r="B905" s="2" t="s">
        <v>2356</v>
      </c>
    </row>
    <row r="906" spans="1:2" ht="15.75" customHeight="1" x14ac:dyDescent="0.25">
      <c r="A906" s="2" t="s">
        <v>467</v>
      </c>
      <c r="B906" s="2" t="s">
        <v>2357</v>
      </c>
    </row>
    <row r="907" spans="1:2" ht="15.75" customHeight="1" x14ac:dyDescent="0.25">
      <c r="A907" s="2" t="s">
        <v>2291</v>
      </c>
      <c r="B907" s="2" t="s">
        <v>2357</v>
      </c>
    </row>
    <row r="908" spans="1:2" ht="15.75" customHeight="1" x14ac:dyDescent="0.25">
      <c r="A908" s="2" t="s">
        <v>1155</v>
      </c>
      <c r="B908" s="2" t="s">
        <v>2356</v>
      </c>
    </row>
    <row r="909" spans="1:2" ht="15.75" customHeight="1" x14ac:dyDescent="0.25">
      <c r="A909" s="2" t="s">
        <v>579</v>
      </c>
      <c r="B909" s="2" t="s">
        <v>2357</v>
      </c>
    </row>
    <row r="910" spans="1:2" ht="15.75" customHeight="1" x14ac:dyDescent="0.25">
      <c r="A910" s="2" t="s">
        <v>506</v>
      </c>
      <c r="B910" s="2" t="s">
        <v>2359</v>
      </c>
    </row>
    <row r="911" spans="1:2" ht="15.75" customHeight="1" x14ac:dyDescent="0.25">
      <c r="A911" s="2" t="s">
        <v>386</v>
      </c>
      <c r="B911" s="2" t="s">
        <v>2357</v>
      </c>
    </row>
    <row r="912" spans="1:2" ht="15.75" customHeight="1" x14ac:dyDescent="0.25">
      <c r="A912" s="2" t="s">
        <v>2216</v>
      </c>
      <c r="B912" s="2" t="s">
        <v>2357</v>
      </c>
    </row>
    <row r="913" spans="1:2" ht="15.75" customHeight="1" x14ac:dyDescent="0.25">
      <c r="A913" s="2" t="s">
        <v>2193</v>
      </c>
      <c r="B913" s="2" t="s">
        <v>2357</v>
      </c>
    </row>
    <row r="914" spans="1:2" ht="15.75" customHeight="1" x14ac:dyDescent="0.25">
      <c r="A914" s="2" t="s">
        <v>2114</v>
      </c>
      <c r="B914" s="2" t="s">
        <v>2357</v>
      </c>
    </row>
    <row r="915" spans="1:2" ht="15.75" customHeight="1" x14ac:dyDescent="0.25">
      <c r="A915" s="2" t="s">
        <v>2038</v>
      </c>
      <c r="B915" s="2" t="s">
        <v>2357</v>
      </c>
    </row>
    <row r="916" spans="1:2" ht="15.75" customHeight="1" x14ac:dyDescent="0.25">
      <c r="A916" s="2" t="s">
        <v>1376</v>
      </c>
      <c r="B916" s="2" t="s">
        <v>2356</v>
      </c>
    </row>
    <row r="917" spans="1:2" ht="15.75" customHeight="1" x14ac:dyDescent="0.25">
      <c r="A917" s="2" t="s">
        <v>894</v>
      </c>
      <c r="B917" s="2" t="s">
        <v>2356</v>
      </c>
    </row>
    <row r="918" spans="1:2" ht="15.75" customHeight="1" x14ac:dyDescent="0.25">
      <c r="A918" s="2" t="s">
        <v>1817</v>
      </c>
      <c r="B918" s="2" t="s">
        <v>2357</v>
      </c>
    </row>
    <row r="919" spans="1:2" ht="15.75" customHeight="1" x14ac:dyDescent="0.25">
      <c r="A919" s="2" t="s">
        <v>761</v>
      </c>
      <c r="B919" s="2" t="s">
        <v>2357</v>
      </c>
    </row>
    <row r="920" spans="1:2" ht="15.75" customHeight="1" x14ac:dyDescent="0.25">
      <c r="A920" s="2" t="s">
        <v>1176</v>
      </c>
      <c r="B920" s="2" t="s">
        <v>2356</v>
      </c>
    </row>
    <row r="921" spans="1:2" ht="15.75" customHeight="1" x14ac:dyDescent="0.25">
      <c r="A921" s="2" t="s">
        <v>2110</v>
      </c>
      <c r="B921" s="2" t="s">
        <v>2356</v>
      </c>
    </row>
    <row r="922" spans="1:2" ht="15.75" customHeight="1" x14ac:dyDescent="0.25">
      <c r="A922" s="2" t="s">
        <v>1502</v>
      </c>
      <c r="B922" s="2" t="s">
        <v>2357</v>
      </c>
    </row>
    <row r="923" spans="1:2" ht="15.75" customHeight="1" x14ac:dyDescent="0.25">
      <c r="A923" s="2" t="s">
        <v>805</v>
      </c>
      <c r="B923" s="2" t="s">
        <v>2357</v>
      </c>
    </row>
    <row r="924" spans="1:2" ht="15.75" customHeight="1" x14ac:dyDescent="0.25">
      <c r="A924" s="2" t="s">
        <v>1945</v>
      </c>
      <c r="B924" s="2" t="s">
        <v>2357</v>
      </c>
    </row>
    <row r="925" spans="1:2" ht="15.75" customHeight="1" x14ac:dyDescent="0.25">
      <c r="A925" s="2" t="s">
        <v>1679</v>
      </c>
      <c r="B925" s="2" t="s">
        <v>2357</v>
      </c>
    </row>
    <row r="926" spans="1:2" ht="15.75" customHeight="1" x14ac:dyDescent="0.25">
      <c r="A926" s="2" t="s">
        <v>1008</v>
      </c>
      <c r="B926" s="2" t="s">
        <v>2357</v>
      </c>
    </row>
    <row r="927" spans="1:2" ht="15.75" customHeight="1" x14ac:dyDescent="0.25">
      <c r="A927" s="2" t="s">
        <v>1233</v>
      </c>
      <c r="B927" s="2" t="s">
        <v>2357</v>
      </c>
    </row>
    <row r="928" spans="1:2" ht="15.75" customHeight="1" x14ac:dyDescent="0.25">
      <c r="A928" s="2" t="s">
        <v>347</v>
      </c>
      <c r="B928" s="2" t="s">
        <v>2357</v>
      </c>
    </row>
    <row r="929" spans="1:2" ht="15.75" customHeight="1" x14ac:dyDescent="0.25">
      <c r="A929" s="2" t="s">
        <v>260</v>
      </c>
      <c r="B929" s="2" t="s">
        <v>2357</v>
      </c>
    </row>
    <row r="930" spans="1:2" ht="15.75" customHeight="1" x14ac:dyDescent="0.25">
      <c r="A930" s="2" t="s">
        <v>1879</v>
      </c>
      <c r="B930" s="2" t="s">
        <v>2357</v>
      </c>
    </row>
    <row r="931" spans="1:2" ht="15.75" customHeight="1" x14ac:dyDescent="0.25">
      <c r="A931" s="2" t="s">
        <v>562</v>
      </c>
      <c r="B931" s="2" t="s">
        <v>2357</v>
      </c>
    </row>
    <row r="932" spans="1:2" ht="15.75" customHeight="1" x14ac:dyDescent="0.25">
      <c r="A932" s="2" t="s">
        <v>1026</v>
      </c>
      <c r="B932" s="2" t="s">
        <v>2357</v>
      </c>
    </row>
    <row r="933" spans="1:2" ht="15.75" customHeight="1" x14ac:dyDescent="0.25">
      <c r="A933" s="2" t="s">
        <v>752</v>
      </c>
      <c r="B933" s="2" t="s">
        <v>2357</v>
      </c>
    </row>
    <row r="934" spans="1:2" ht="15.75" customHeight="1" x14ac:dyDescent="0.25">
      <c r="A934" s="2" t="s">
        <v>117</v>
      </c>
      <c r="B934" s="2" t="s">
        <v>2357</v>
      </c>
    </row>
    <row r="935" spans="1:2" ht="15.75" customHeight="1" x14ac:dyDescent="0.25">
      <c r="A935" s="2" t="s">
        <v>1750</v>
      </c>
      <c r="B935" s="2" t="s">
        <v>2357</v>
      </c>
    </row>
    <row r="936" spans="1:2" ht="15.75" customHeight="1" x14ac:dyDescent="0.25">
      <c r="A936" s="2" t="s">
        <v>2253</v>
      </c>
      <c r="B936" s="2" t="s">
        <v>2360</v>
      </c>
    </row>
    <row r="937" spans="1:2" ht="15.75" customHeight="1" x14ac:dyDescent="0.25">
      <c r="A937" s="2" t="s">
        <v>806</v>
      </c>
      <c r="B937" s="2" t="s">
        <v>2357</v>
      </c>
    </row>
    <row r="938" spans="1:2" ht="15.75" customHeight="1" x14ac:dyDescent="0.25">
      <c r="A938" s="2" t="s">
        <v>2296</v>
      </c>
      <c r="B938" s="2" t="s">
        <v>2358</v>
      </c>
    </row>
    <row r="939" spans="1:2" ht="15.75" customHeight="1" x14ac:dyDescent="0.25">
      <c r="A939" s="2" t="s">
        <v>2105</v>
      </c>
      <c r="B939" s="2" t="s">
        <v>2357</v>
      </c>
    </row>
    <row r="940" spans="1:2" ht="15.75" customHeight="1" x14ac:dyDescent="0.25">
      <c r="A940" s="2" t="s">
        <v>541</v>
      </c>
      <c r="B940" s="2" t="s">
        <v>2357</v>
      </c>
    </row>
    <row r="941" spans="1:2" ht="15.75" customHeight="1" x14ac:dyDescent="0.25">
      <c r="A941" s="2" t="s">
        <v>770</v>
      </c>
      <c r="B941" s="2" t="s">
        <v>2357</v>
      </c>
    </row>
    <row r="942" spans="1:2" ht="15.75" customHeight="1" x14ac:dyDescent="0.25">
      <c r="A942" s="2" t="s">
        <v>1538</v>
      </c>
      <c r="B942" s="2" t="s">
        <v>2357</v>
      </c>
    </row>
    <row r="943" spans="1:2" ht="15.75" customHeight="1" x14ac:dyDescent="0.25">
      <c r="A943" s="2" t="s">
        <v>1578</v>
      </c>
      <c r="B943" s="2" t="s">
        <v>2357</v>
      </c>
    </row>
    <row r="944" spans="1:2" ht="15.75" customHeight="1" x14ac:dyDescent="0.25">
      <c r="A944" s="2" t="s">
        <v>841</v>
      </c>
      <c r="B944" s="2" t="s">
        <v>2356</v>
      </c>
    </row>
    <row r="945" spans="1:2" ht="15.75" customHeight="1" x14ac:dyDescent="0.25">
      <c r="A945" s="2" t="s">
        <v>1870</v>
      </c>
      <c r="B945" s="2" t="s">
        <v>2357</v>
      </c>
    </row>
    <row r="946" spans="1:2" ht="15.75" customHeight="1" x14ac:dyDescent="0.25">
      <c r="A946" s="2" t="s">
        <v>1563</v>
      </c>
      <c r="B946" s="2" t="s">
        <v>2357</v>
      </c>
    </row>
    <row r="947" spans="1:2" ht="15.75" customHeight="1" x14ac:dyDescent="0.25">
      <c r="A947" s="2" t="s">
        <v>78</v>
      </c>
      <c r="B947" s="2" t="s">
        <v>2357</v>
      </c>
    </row>
    <row r="948" spans="1:2" ht="15.75" customHeight="1" x14ac:dyDescent="0.25">
      <c r="A948" s="2" t="s">
        <v>1833</v>
      </c>
      <c r="B948" s="2" t="s">
        <v>2357</v>
      </c>
    </row>
    <row r="949" spans="1:2" ht="15.75" customHeight="1" x14ac:dyDescent="0.25">
      <c r="A949" s="2" t="s">
        <v>1051</v>
      </c>
      <c r="B949" s="2" t="s">
        <v>2357</v>
      </c>
    </row>
    <row r="950" spans="1:2" ht="15.75" customHeight="1" x14ac:dyDescent="0.25">
      <c r="A950" s="2" t="s">
        <v>1450</v>
      </c>
      <c r="B950" s="2" t="s">
        <v>2357</v>
      </c>
    </row>
    <row r="951" spans="1:2" ht="15.75" customHeight="1" x14ac:dyDescent="0.25">
      <c r="A951" s="2" t="s">
        <v>1800</v>
      </c>
      <c r="B951" s="2" t="s">
        <v>2357</v>
      </c>
    </row>
    <row r="952" spans="1:2" ht="15.75" customHeight="1" x14ac:dyDescent="0.25">
      <c r="A952" s="2" t="s">
        <v>947</v>
      </c>
      <c r="B952" s="2" t="s">
        <v>2357</v>
      </c>
    </row>
    <row r="953" spans="1:2" ht="15.75" customHeight="1" x14ac:dyDescent="0.25">
      <c r="A953" s="2" t="s">
        <v>487</v>
      </c>
      <c r="B953" s="2" t="s">
        <v>2357</v>
      </c>
    </row>
    <row r="954" spans="1:2" ht="15.75" customHeight="1" x14ac:dyDescent="0.25">
      <c r="A954" s="2" t="s">
        <v>2248</v>
      </c>
      <c r="B954" s="2" t="s">
        <v>2360</v>
      </c>
    </row>
    <row r="955" spans="1:2" ht="15.75" customHeight="1" x14ac:dyDescent="0.25">
      <c r="A955" s="2" t="s">
        <v>72</v>
      </c>
      <c r="B955" s="2" t="s">
        <v>2356</v>
      </c>
    </row>
    <row r="956" spans="1:2" ht="15.75" customHeight="1" x14ac:dyDescent="0.25">
      <c r="A956" s="2" t="s">
        <v>1391</v>
      </c>
      <c r="B956" s="2" t="s">
        <v>2357</v>
      </c>
    </row>
    <row r="957" spans="1:2" ht="15.75" customHeight="1" x14ac:dyDescent="0.25">
      <c r="A957" s="2" t="s">
        <v>322</v>
      </c>
      <c r="B957" s="2" t="s">
        <v>2357</v>
      </c>
    </row>
    <row r="958" spans="1:2" ht="15.75" customHeight="1" x14ac:dyDescent="0.25">
      <c r="A958" s="2" t="s">
        <v>1331</v>
      </c>
      <c r="B958" s="2" t="s">
        <v>2357</v>
      </c>
    </row>
    <row r="959" spans="1:2" ht="15.75" customHeight="1" x14ac:dyDescent="0.25">
      <c r="A959" s="2" t="s">
        <v>178</v>
      </c>
      <c r="B959" s="2" t="s">
        <v>2357</v>
      </c>
    </row>
    <row r="960" spans="1:2" ht="15.75" customHeight="1" x14ac:dyDescent="0.25">
      <c r="A960" s="2" t="s">
        <v>426</v>
      </c>
      <c r="B960" s="2" t="s">
        <v>2357</v>
      </c>
    </row>
    <row r="961" spans="1:2" ht="15.75" customHeight="1" x14ac:dyDescent="0.25">
      <c r="A961" s="2" t="s">
        <v>964</v>
      </c>
      <c r="B961" s="2" t="s">
        <v>2357</v>
      </c>
    </row>
    <row r="962" spans="1:2" ht="15.75" customHeight="1" x14ac:dyDescent="0.25">
      <c r="A962" s="2" t="s">
        <v>908</v>
      </c>
      <c r="B962" s="2" t="s">
        <v>2357</v>
      </c>
    </row>
    <row r="963" spans="1:2" ht="15.75" customHeight="1" x14ac:dyDescent="0.25">
      <c r="A963" s="2" t="s">
        <v>1931</v>
      </c>
      <c r="B963" s="2" t="s">
        <v>2359</v>
      </c>
    </row>
    <row r="964" spans="1:2" ht="15.75" customHeight="1" x14ac:dyDescent="0.25">
      <c r="A964" s="2" t="s">
        <v>2014</v>
      </c>
      <c r="B964" s="2" t="s">
        <v>2357</v>
      </c>
    </row>
    <row r="965" spans="1:2" ht="15.75" customHeight="1" x14ac:dyDescent="0.25">
      <c r="A965" s="2" t="s">
        <v>1308</v>
      </c>
      <c r="B965" s="2" t="s">
        <v>2357</v>
      </c>
    </row>
    <row r="966" spans="1:2" ht="15.75" customHeight="1" x14ac:dyDescent="0.25">
      <c r="A966" s="2" t="s">
        <v>1614</v>
      </c>
      <c r="B966" s="2" t="s">
        <v>2357</v>
      </c>
    </row>
    <row r="967" spans="1:2" ht="15.75" customHeight="1" x14ac:dyDescent="0.25">
      <c r="A967" s="2" t="s">
        <v>1214</v>
      </c>
      <c r="B967" s="2" t="s">
        <v>2357</v>
      </c>
    </row>
    <row r="968" spans="1:2" ht="15.75" customHeight="1" x14ac:dyDescent="0.25">
      <c r="A968" s="2" t="s">
        <v>546</v>
      </c>
      <c r="B968" s="2" t="s">
        <v>2357</v>
      </c>
    </row>
    <row r="969" spans="1:2" ht="15.75" customHeight="1" x14ac:dyDescent="0.25">
      <c r="A969" s="2" t="s">
        <v>1067</v>
      </c>
      <c r="B969" s="2" t="s">
        <v>2357</v>
      </c>
    </row>
    <row r="970" spans="1:2" ht="15.75" customHeight="1" x14ac:dyDescent="0.25">
      <c r="A970" s="2" t="s">
        <v>1524</v>
      </c>
      <c r="B970" s="2" t="s">
        <v>2357</v>
      </c>
    </row>
    <row r="971" spans="1:2" ht="15.75" customHeight="1" x14ac:dyDescent="0.25">
      <c r="A971" s="2" t="s">
        <v>1265</v>
      </c>
      <c r="B971" s="2" t="s">
        <v>2357</v>
      </c>
    </row>
    <row r="972" spans="1:2" ht="15.75" customHeight="1" x14ac:dyDescent="0.25">
      <c r="A972" s="2" t="s">
        <v>1490</v>
      </c>
      <c r="B972" s="2" t="s">
        <v>2357</v>
      </c>
    </row>
    <row r="973" spans="1:2" ht="15.75" customHeight="1" x14ac:dyDescent="0.25">
      <c r="A973" s="2" t="s">
        <v>512</v>
      </c>
      <c r="B973" s="2" t="s">
        <v>2357</v>
      </c>
    </row>
    <row r="974" spans="1:2" ht="15.75" customHeight="1" x14ac:dyDescent="0.25">
      <c r="A974" s="2" t="s">
        <v>1516</v>
      </c>
      <c r="B974" s="2" t="s">
        <v>2357</v>
      </c>
    </row>
    <row r="975" spans="1:2" ht="15.75" customHeight="1" x14ac:dyDescent="0.25">
      <c r="A975" s="2" t="s">
        <v>962</v>
      </c>
      <c r="B975" s="2" t="s">
        <v>2359</v>
      </c>
    </row>
    <row r="976" spans="1:2" ht="15.75" customHeight="1" x14ac:dyDescent="0.25">
      <c r="A976" s="2" t="s">
        <v>1174</v>
      </c>
      <c r="B976" s="2" t="s">
        <v>2359</v>
      </c>
    </row>
    <row r="977" spans="1:2" ht="15.75" customHeight="1" x14ac:dyDescent="0.25">
      <c r="A977" s="2" t="s">
        <v>1109</v>
      </c>
      <c r="B977" s="2" t="s">
        <v>2357</v>
      </c>
    </row>
    <row r="978" spans="1:2" ht="15.75" customHeight="1" x14ac:dyDescent="0.25">
      <c r="A978" s="2" t="s">
        <v>980</v>
      </c>
      <c r="B978" s="2" t="s">
        <v>2359</v>
      </c>
    </row>
    <row r="979" spans="1:2" ht="15.75" customHeight="1" x14ac:dyDescent="0.25">
      <c r="A979" s="2" t="s">
        <v>1971</v>
      </c>
      <c r="B979" s="2" t="s">
        <v>2357</v>
      </c>
    </row>
    <row r="980" spans="1:2" ht="15.75" customHeight="1" x14ac:dyDescent="0.25">
      <c r="A980" s="2" t="s">
        <v>1576</v>
      </c>
      <c r="B980" s="2" t="s">
        <v>2357</v>
      </c>
    </row>
    <row r="981" spans="1:2" ht="15.75" customHeight="1" x14ac:dyDescent="0.25">
      <c r="A981" s="2" t="s">
        <v>1002</v>
      </c>
      <c r="B981" s="2" t="s">
        <v>2357</v>
      </c>
    </row>
    <row r="982" spans="1:2" ht="15.75" customHeight="1" x14ac:dyDescent="0.25">
      <c r="A982" s="2" t="s">
        <v>2288</v>
      </c>
      <c r="B982" s="2" t="s">
        <v>2357</v>
      </c>
    </row>
    <row r="983" spans="1:2" ht="15.75" customHeight="1" x14ac:dyDescent="0.25">
      <c r="A983" s="2" t="s">
        <v>1266</v>
      </c>
      <c r="B983" s="2" t="s">
        <v>2357</v>
      </c>
    </row>
    <row r="984" spans="1:2" ht="15.75" customHeight="1" x14ac:dyDescent="0.25">
      <c r="A984" s="2" t="s">
        <v>1539</v>
      </c>
      <c r="B984" s="2" t="s">
        <v>2357</v>
      </c>
    </row>
    <row r="985" spans="1:2" ht="15.75" customHeight="1" x14ac:dyDescent="0.25">
      <c r="A985" s="2" t="s">
        <v>2137</v>
      </c>
      <c r="B985" s="2" t="s">
        <v>2360</v>
      </c>
    </row>
    <row r="986" spans="1:2" ht="15.75" customHeight="1" x14ac:dyDescent="0.25">
      <c r="A986" s="2" t="s">
        <v>1531</v>
      </c>
      <c r="B986" s="2" t="s">
        <v>2356</v>
      </c>
    </row>
    <row r="987" spans="1:2" ht="15.75" customHeight="1" x14ac:dyDescent="0.25">
      <c r="A987" s="2" t="s">
        <v>2031</v>
      </c>
      <c r="B987" s="2" t="s">
        <v>2359</v>
      </c>
    </row>
    <row r="988" spans="1:2" ht="15.75" customHeight="1" x14ac:dyDescent="0.25">
      <c r="A988" s="2" t="s">
        <v>411</v>
      </c>
      <c r="B988" s="2" t="s">
        <v>2357</v>
      </c>
    </row>
    <row r="989" spans="1:2" ht="15.75" customHeight="1" x14ac:dyDescent="0.25">
      <c r="A989" s="2" t="s">
        <v>1123</v>
      </c>
      <c r="B989" s="2" t="s">
        <v>2357</v>
      </c>
    </row>
    <row r="990" spans="1:2" ht="15.75" customHeight="1" x14ac:dyDescent="0.25">
      <c r="A990" s="2" t="s">
        <v>870</v>
      </c>
      <c r="B990" s="2" t="s">
        <v>2357</v>
      </c>
    </row>
    <row r="991" spans="1:2" ht="15.75" customHeight="1" x14ac:dyDescent="0.25">
      <c r="A991" s="2" t="s">
        <v>1652</v>
      </c>
      <c r="B991" s="2" t="s">
        <v>2357</v>
      </c>
    </row>
    <row r="992" spans="1:2" ht="15.75" customHeight="1" x14ac:dyDescent="0.25">
      <c r="A992" s="2" t="s">
        <v>793</v>
      </c>
      <c r="B992" s="2" t="s">
        <v>2357</v>
      </c>
    </row>
    <row r="993" spans="1:2" ht="15.75" customHeight="1" x14ac:dyDescent="0.25">
      <c r="A993" s="2" t="s">
        <v>1510</v>
      </c>
      <c r="B993" s="2" t="s">
        <v>2357</v>
      </c>
    </row>
    <row r="994" spans="1:2" ht="15.75" customHeight="1" x14ac:dyDescent="0.25">
      <c r="A994" s="2" t="s">
        <v>494</v>
      </c>
      <c r="B994" s="2" t="s">
        <v>2357</v>
      </c>
    </row>
    <row r="995" spans="1:2" ht="15.75" customHeight="1" x14ac:dyDescent="0.25">
      <c r="A995" s="2" t="s">
        <v>1339</v>
      </c>
      <c r="B995" s="2" t="s">
        <v>2357</v>
      </c>
    </row>
    <row r="996" spans="1:2" ht="15.75" customHeight="1" x14ac:dyDescent="0.25">
      <c r="A996" s="2" t="s">
        <v>414</v>
      </c>
      <c r="B996" s="2" t="s">
        <v>2356</v>
      </c>
    </row>
    <row r="997" spans="1:2" ht="15.75" customHeight="1" x14ac:dyDescent="0.25">
      <c r="A997" s="2" t="s">
        <v>889</v>
      </c>
      <c r="B997" s="2" t="s">
        <v>2357</v>
      </c>
    </row>
    <row r="998" spans="1:2" ht="15.75" customHeight="1" x14ac:dyDescent="0.25">
      <c r="A998" s="2" t="s">
        <v>1906</v>
      </c>
      <c r="B998" s="2" t="s">
        <v>2357</v>
      </c>
    </row>
    <row r="999" spans="1:2" ht="15.75" customHeight="1" x14ac:dyDescent="0.25">
      <c r="A999" s="2" t="s">
        <v>1671</v>
      </c>
      <c r="B999" s="2" t="s">
        <v>2357</v>
      </c>
    </row>
    <row r="1000" spans="1:2" ht="15.75" customHeight="1" x14ac:dyDescent="0.25">
      <c r="A1000" s="2" t="s">
        <v>1095</v>
      </c>
      <c r="B1000" s="2" t="s">
        <v>2357</v>
      </c>
    </row>
    <row r="1001" spans="1:2" ht="15.75" customHeight="1" x14ac:dyDescent="0.25">
      <c r="A1001" s="2" t="s">
        <v>1835</v>
      </c>
      <c r="B1001" s="2" t="s">
        <v>2357</v>
      </c>
    </row>
    <row r="1002" spans="1:2" ht="15.75" customHeight="1" x14ac:dyDescent="0.25">
      <c r="A1002" s="2" t="s">
        <v>855</v>
      </c>
      <c r="B1002" s="2" t="s">
        <v>2356</v>
      </c>
    </row>
    <row r="1003" spans="1:2" ht="15.75" customHeight="1" x14ac:dyDescent="0.25">
      <c r="A1003" s="2" t="s">
        <v>2331</v>
      </c>
      <c r="B1003" s="2" t="s">
        <v>2360</v>
      </c>
    </row>
    <row r="1004" spans="1:2" ht="15.75" customHeight="1" x14ac:dyDescent="0.25">
      <c r="A1004" s="2" t="s">
        <v>548</v>
      </c>
      <c r="B1004" s="2" t="s">
        <v>2359</v>
      </c>
    </row>
    <row r="1005" spans="1:2" ht="15.75" customHeight="1" x14ac:dyDescent="0.25">
      <c r="A1005" s="2" t="s">
        <v>1188</v>
      </c>
      <c r="B1005" s="2" t="s">
        <v>2357</v>
      </c>
    </row>
    <row r="1006" spans="1:2" ht="15.75" customHeight="1" x14ac:dyDescent="0.25">
      <c r="A1006" s="2" t="s">
        <v>1507</v>
      </c>
      <c r="B1006" s="2" t="s">
        <v>2357</v>
      </c>
    </row>
    <row r="1007" spans="1:2" ht="15.75" customHeight="1" x14ac:dyDescent="0.25">
      <c r="A1007" s="2" t="s">
        <v>777</v>
      </c>
      <c r="B1007" s="2" t="s">
        <v>2357</v>
      </c>
    </row>
    <row r="1008" spans="1:2" ht="15.75" customHeight="1" x14ac:dyDescent="0.25">
      <c r="A1008" s="2" t="s">
        <v>2030</v>
      </c>
      <c r="B1008" s="2" t="s">
        <v>2357</v>
      </c>
    </row>
    <row r="1009" spans="1:2" ht="15.75" customHeight="1" x14ac:dyDescent="0.25">
      <c r="A1009" s="2" t="s">
        <v>1065</v>
      </c>
      <c r="B1009" s="2" t="s">
        <v>2356</v>
      </c>
    </row>
    <row r="1010" spans="1:2" ht="15.75" customHeight="1" x14ac:dyDescent="0.25">
      <c r="A1010" s="2" t="s">
        <v>1407</v>
      </c>
      <c r="B1010" s="2" t="s">
        <v>2357</v>
      </c>
    </row>
    <row r="1011" spans="1:2" ht="15.75" customHeight="1" x14ac:dyDescent="0.25">
      <c r="A1011" s="2" t="s">
        <v>765</v>
      </c>
      <c r="B1011" s="2" t="s">
        <v>2359</v>
      </c>
    </row>
    <row r="1012" spans="1:2" ht="15.75" customHeight="1" x14ac:dyDescent="0.25">
      <c r="A1012" s="2" t="s">
        <v>2313</v>
      </c>
      <c r="B1012" s="2" t="s">
        <v>2360</v>
      </c>
    </row>
    <row r="1013" spans="1:2" ht="15.75" customHeight="1" x14ac:dyDescent="0.25">
      <c r="A1013" s="2" t="s">
        <v>1962</v>
      </c>
      <c r="B1013" s="2" t="s">
        <v>2357</v>
      </c>
    </row>
    <row r="1014" spans="1:2" ht="15.75" customHeight="1" x14ac:dyDescent="0.25">
      <c r="A1014" s="2" t="s">
        <v>1951</v>
      </c>
      <c r="B1014" s="2" t="s">
        <v>2357</v>
      </c>
    </row>
    <row r="1015" spans="1:2" ht="15.75" customHeight="1" x14ac:dyDescent="0.25">
      <c r="A1015" s="2" t="s">
        <v>332</v>
      </c>
      <c r="B1015" s="2" t="s">
        <v>2357</v>
      </c>
    </row>
    <row r="1016" spans="1:2" ht="15.75" customHeight="1" x14ac:dyDescent="0.25">
      <c r="A1016" s="2" t="s">
        <v>1521</v>
      </c>
      <c r="B1016" s="2" t="s">
        <v>2357</v>
      </c>
    </row>
    <row r="1017" spans="1:2" ht="15.75" customHeight="1" x14ac:dyDescent="0.25">
      <c r="A1017" s="2" t="s">
        <v>1400</v>
      </c>
      <c r="B1017" s="2" t="s">
        <v>2356</v>
      </c>
    </row>
    <row r="1018" spans="1:2" ht="15.75" customHeight="1" x14ac:dyDescent="0.25">
      <c r="A1018" s="2" t="s">
        <v>842</v>
      </c>
      <c r="B1018" s="2" t="s">
        <v>2357</v>
      </c>
    </row>
    <row r="1019" spans="1:2" ht="15.75" customHeight="1" x14ac:dyDescent="0.25">
      <c r="A1019" s="2" t="s">
        <v>1846</v>
      </c>
      <c r="B1019" s="2" t="s">
        <v>2356</v>
      </c>
    </row>
    <row r="1020" spans="1:2" ht="15.75" customHeight="1" x14ac:dyDescent="0.25">
      <c r="A1020" s="2" t="s">
        <v>1984</v>
      </c>
      <c r="B1020" s="2" t="s">
        <v>2357</v>
      </c>
    </row>
    <row r="1021" spans="1:2" ht="15.75" customHeight="1" x14ac:dyDescent="0.25">
      <c r="A1021" s="2" t="s">
        <v>1532</v>
      </c>
      <c r="B1021" s="2" t="s">
        <v>2357</v>
      </c>
    </row>
    <row r="1022" spans="1:2" ht="15.75" customHeight="1" x14ac:dyDescent="0.25">
      <c r="A1022" s="2" t="s">
        <v>1452</v>
      </c>
      <c r="B1022" s="2" t="s">
        <v>2357</v>
      </c>
    </row>
    <row r="1023" spans="1:2" ht="15.75" customHeight="1" x14ac:dyDescent="0.25">
      <c r="A1023" s="2" t="s">
        <v>960</v>
      </c>
      <c r="B1023" s="2" t="s">
        <v>2357</v>
      </c>
    </row>
    <row r="1024" spans="1:2" ht="15.75" customHeight="1" x14ac:dyDescent="0.25">
      <c r="A1024" s="2" t="s">
        <v>858</v>
      </c>
      <c r="B1024" s="2" t="s">
        <v>2357</v>
      </c>
    </row>
    <row r="1025" spans="1:2" ht="15.75" customHeight="1" x14ac:dyDescent="0.25">
      <c r="A1025" s="2" t="s">
        <v>1473</v>
      </c>
      <c r="B1025" s="2" t="s">
        <v>2357</v>
      </c>
    </row>
    <row r="1026" spans="1:2" ht="15.75" customHeight="1" x14ac:dyDescent="0.25">
      <c r="A1026" s="2" t="s">
        <v>1360</v>
      </c>
      <c r="B1026" s="2" t="s">
        <v>2357</v>
      </c>
    </row>
    <row r="1027" spans="1:2" ht="15.75" customHeight="1" x14ac:dyDescent="0.25">
      <c r="A1027" s="2" t="s">
        <v>1785</v>
      </c>
      <c r="B1027" s="2" t="s">
        <v>2357</v>
      </c>
    </row>
    <row r="1028" spans="1:2" ht="15.75" customHeight="1" x14ac:dyDescent="0.25">
      <c r="A1028" s="2" t="s">
        <v>1765</v>
      </c>
      <c r="B1028" s="2" t="s">
        <v>2357</v>
      </c>
    </row>
    <row r="1029" spans="1:2" ht="15.75" customHeight="1" x14ac:dyDescent="0.25">
      <c r="A1029" s="2" t="s">
        <v>1309</v>
      </c>
      <c r="B1029" s="2" t="s">
        <v>2357</v>
      </c>
    </row>
    <row r="1030" spans="1:2" ht="15.75" customHeight="1" x14ac:dyDescent="0.25">
      <c r="A1030" s="2" t="s">
        <v>905</v>
      </c>
      <c r="B1030" s="2" t="s">
        <v>2357</v>
      </c>
    </row>
    <row r="1031" spans="1:2" ht="15.75" customHeight="1" x14ac:dyDescent="0.25">
      <c r="A1031" s="2" t="s">
        <v>436</v>
      </c>
      <c r="B1031" s="2" t="s">
        <v>2357</v>
      </c>
    </row>
    <row r="1032" spans="1:2" ht="15.75" customHeight="1" x14ac:dyDescent="0.25">
      <c r="A1032" s="2" t="s">
        <v>1974</v>
      </c>
      <c r="B1032" s="2" t="s">
        <v>2357</v>
      </c>
    </row>
    <row r="1033" spans="1:2" ht="15.75" customHeight="1" x14ac:dyDescent="0.25">
      <c r="A1033" s="2" t="s">
        <v>2268</v>
      </c>
      <c r="B1033" s="2" t="s">
        <v>2357</v>
      </c>
    </row>
    <row r="1034" spans="1:2" ht="15.75" customHeight="1" x14ac:dyDescent="0.25">
      <c r="A1034" s="2" t="s">
        <v>1869</v>
      </c>
      <c r="B1034" s="2" t="s">
        <v>2357</v>
      </c>
    </row>
    <row r="1035" spans="1:2" ht="15.75" customHeight="1" x14ac:dyDescent="0.25">
      <c r="A1035" s="2" t="s">
        <v>868</v>
      </c>
      <c r="B1035" s="2" t="s">
        <v>2357</v>
      </c>
    </row>
    <row r="1036" spans="1:2" ht="15.75" customHeight="1" x14ac:dyDescent="0.25">
      <c r="A1036" s="2" t="s">
        <v>1961</v>
      </c>
      <c r="B1036" s="2" t="s">
        <v>2357</v>
      </c>
    </row>
    <row r="1037" spans="1:2" ht="15.75" customHeight="1" x14ac:dyDescent="0.25">
      <c r="A1037" s="2" t="s">
        <v>825</v>
      </c>
      <c r="B1037" s="2" t="s">
        <v>2356</v>
      </c>
    </row>
    <row r="1038" spans="1:2" ht="15.75" customHeight="1" x14ac:dyDescent="0.25">
      <c r="A1038" s="2" t="s">
        <v>2111</v>
      </c>
      <c r="B1038" s="2" t="s">
        <v>2357</v>
      </c>
    </row>
    <row r="1039" spans="1:2" ht="15.75" customHeight="1" x14ac:dyDescent="0.25">
      <c r="A1039" s="2" t="s">
        <v>1831</v>
      </c>
      <c r="B1039" s="2" t="s">
        <v>2356</v>
      </c>
    </row>
    <row r="1040" spans="1:2" ht="15.75" customHeight="1" x14ac:dyDescent="0.25">
      <c r="A1040" s="2" t="s">
        <v>1851</v>
      </c>
      <c r="B1040" s="2" t="s">
        <v>2357</v>
      </c>
    </row>
    <row r="1041" spans="1:2" ht="15.75" customHeight="1" x14ac:dyDescent="0.25">
      <c r="A1041" s="2" t="s">
        <v>1411</v>
      </c>
      <c r="B1041" s="2" t="s">
        <v>2357</v>
      </c>
    </row>
    <row r="1042" spans="1:2" ht="15.75" customHeight="1" x14ac:dyDescent="0.25">
      <c r="A1042" s="2" t="s">
        <v>1853</v>
      </c>
      <c r="B1042" s="2" t="s">
        <v>2357</v>
      </c>
    </row>
    <row r="1043" spans="1:2" ht="15.75" customHeight="1" x14ac:dyDescent="0.25">
      <c r="A1043" s="2" t="s">
        <v>206</v>
      </c>
      <c r="B1043" s="2" t="s">
        <v>2357</v>
      </c>
    </row>
    <row r="1044" spans="1:2" ht="15.75" customHeight="1" x14ac:dyDescent="0.25">
      <c r="A1044" s="2" t="s">
        <v>2211</v>
      </c>
      <c r="B1044" s="2" t="s">
        <v>2360</v>
      </c>
    </row>
    <row r="1045" spans="1:2" ht="15.75" customHeight="1" x14ac:dyDescent="0.25">
      <c r="A1045" s="2" t="s">
        <v>815</v>
      </c>
      <c r="B1045" s="2" t="s">
        <v>2357</v>
      </c>
    </row>
    <row r="1046" spans="1:2" ht="15.75" customHeight="1" x14ac:dyDescent="0.25">
      <c r="A1046" s="2" t="s">
        <v>843</v>
      </c>
      <c r="B1046" s="2" t="s">
        <v>2357</v>
      </c>
    </row>
    <row r="1047" spans="1:2" ht="15.75" customHeight="1" x14ac:dyDescent="0.25">
      <c r="A1047" s="2" t="s">
        <v>450</v>
      </c>
      <c r="B1047" s="2" t="s">
        <v>2357</v>
      </c>
    </row>
    <row r="1048" spans="1:2" ht="15.75" customHeight="1" x14ac:dyDescent="0.25">
      <c r="A1048" s="2" t="s">
        <v>164</v>
      </c>
      <c r="B1048" s="2" t="s">
        <v>2357</v>
      </c>
    </row>
    <row r="1049" spans="1:2" ht="15.75" customHeight="1" x14ac:dyDescent="0.25">
      <c r="A1049" s="2" t="s">
        <v>2293</v>
      </c>
      <c r="B1049" s="2" t="s">
        <v>2357</v>
      </c>
    </row>
    <row r="1050" spans="1:2" ht="15.75" customHeight="1" x14ac:dyDescent="0.25">
      <c r="A1050" s="2" t="s">
        <v>2328</v>
      </c>
      <c r="B1050" s="2" t="s">
        <v>2357</v>
      </c>
    </row>
    <row r="1051" spans="1:2" ht="15.75" customHeight="1" x14ac:dyDescent="0.25">
      <c r="A1051" s="2" t="s">
        <v>516</v>
      </c>
      <c r="B1051" s="2" t="s">
        <v>2357</v>
      </c>
    </row>
    <row r="1052" spans="1:2" ht="15.75" customHeight="1" x14ac:dyDescent="0.25">
      <c r="A1052" s="2" t="s">
        <v>955</v>
      </c>
      <c r="B1052" s="2" t="s">
        <v>2357</v>
      </c>
    </row>
    <row r="1053" spans="1:2" ht="15.75" customHeight="1" x14ac:dyDescent="0.25">
      <c r="A1053" s="2" t="s">
        <v>328</v>
      </c>
      <c r="B1053" s="2" t="s">
        <v>2357</v>
      </c>
    </row>
    <row r="1054" spans="1:2" ht="15.75" customHeight="1" x14ac:dyDescent="0.25">
      <c r="A1054" s="2" t="s">
        <v>1058</v>
      </c>
      <c r="B1054" s="2" t="s">
        <v>2356</v>
      </c>
    </row>
    <row r="1055" spans="1:2" ht="15.75" customHeight="1" x14ac:dyDescent="0.25">
      <c r="A1055" s="2" t="s">
        <v>949</v>
      </c>
      <c r="B1055" s="2" t="s">
        <v>2357</v>
      </c>
    </row>
    <row r="1056" spans="1:2" ht="15.75" customHeight="1" x14ac:dyDescent="0.25">
      <c r="A1056" s="2" t="s">
        <v>1260</v>
      </c>
      <c r="B1056" s="2" t="s">
        <v>2357</v>
      </c>
    </row>
    <row r="1057" spans="1:2" ht="15.75" customHeight="1" x14ac:dyDescent="0.25">
      <c r="A1057" s="2" t="s">
        <v>2050</v>
      </c>
      <c r="B1057" s="2" t="s">
        <v>2357</v>
      </c>
    </row>
    <row r="1058" spans="1:2" ht="15.75" customHeight="1" x14ac:dyDescent="0.25">
      <c r="A1058" s="2" t="s">
        <v>599</v>
      </c>
      <c r="B1058" s="2" t="s">
        <v>2357</v>
      </c>
    </row>
    <row r="1059" spans="1:2" ht="15.75" customHeight="1" x14ac:dyDescent="0.25">
      <c r="A1059" s="2" t="s">
        <v>1315</v>
      </c>
      <c r="B1059" s="2" t="s">
        <v>2357</v>
      </c>
    </row>
    <row r="1060" spans="1:2" ht="15.75" customHeight="1" x14ac:dyDescent="0.25">
      <c r="A1060" s="2" t="s">
        <v>224</v>
      </c>
      <c r="B1060" s="2" t="s">
        <v>2357</v>
      </c>
    </row>
    <row r="1061" spans="1:2" ht="15.75" customHeight="1" x14ac:dyDescent="0.25">
      <c r="A1061" s="2" t="s">
        <v>94</v>
      </c>
      <c r="B1061" s="2" t="s">
        <v>2357</v>
      </c>
    </row>
    <row r="1062" spans="1:2" ht="15.75" customHeight="1" x14ac:dyDescent="0.25">
      <c r="A1062" s="2" t="s">
        <v>1956</v>
      </c>
      <c r="B1062" s="2" t="s">
        <v>2357</v>
      </c>
    </row>
    <row r="1063" spans="1:2" ht="15.75" customHeight="1" x14ac:dyDescent="0.25">
      <c r="A1063" s="2" t="s">
        <v>1023</v>
      </c>
      <c r="B1063" s="2" t="s">
        <v>2356</v>
      </c>
    </row>
    <row r="1064" spans="1:2" ht="15.75" customHeight="1" x14ac:dyDescent="0.25">
      <c r="A1064" s="2" t="s">
        <v>324</v>
      </c>
      <c r="B1064" s="2" t="s">
        <v>2357</v>
      </c>
    </row>
    <row r="1065" spans="1:2" ht="15.75" customHeight="1" x14ac:dyDescent="0.25">
      <c r="A1065" s="2" t="s">
        <v>1729</v>
      </c>
      <c r="B1065" s="2" t="s">
        <v>2357</v>
      </c>
    </row>
    <row r="1066" spans="1:2" ht="15.75" customHeight="1" x14ac:dyDescent="0.25">
      <c r="A1066" s="2" t="s">
        <v>913</v>
      </c>
      <c r="B1066" s="2" t="s">
        <v>2357</v>
      </c>
    </row>
    <row r="1067" spans="1:2" ht="15.75" customHeight="1" x14ac:dyDescent="0.25">
      <c r="A1067" s="2" t="s">
        <v>975</v>
      </c>
      <c r="B1067" s="2" t="s">
        <v>2357</v>
      </c>
    </row>
    <row r="1068" spans="1:2" ht="15.75" customHeight="1" x14ac:dyDescent="0.25">
      <c r="A1068" s="2" t="s">
        <v>1207</v>
      </c>
      <c r="B1068" s="2" t="s">
        <v>2357</v>
      </c>
    </row>
    <row r="1069" spans="1:2" ht="15.75" customHeight="1" x14ac:dyDescent="0.25">
      <c r="A1069" s="2" t="s">
        <v>1706</v>
      </c>
      <c r="B1069" s="2" t="s">
        <v>2356</v>
      </c>
    </row>
    <row r="1070" spans="1:2" ht="15.75" customHeight="1" x14ac:dyDescent="0.25">
      <c r="A1070" s="2" t="s">
        <v>1547</v>
      </c>
      <c r="B1070" s="2" t="s">
        <v>2357</v>
      </c>
    </row>
    <row r="1071" spans="1:2" ht="15.75" customHeight="1" x14ac:dyDescent="0.25">
      <c r="A1071" s="2" t="s">
        <v>2073</v>
      </c>
      <c r="B1071" s="2" t="s">
        <v>2356</v>
      </c>
    </row>
    <row r="1072" spans="1:2" ht="15.75" customHeight="1" x14ac:dyDescent="0.25">
      <c r="A1072" s="2" t="s">
        <v>950</v>
      </c>
      <c r="B1072" s="2" t="s">
        <v>2357</v>
      </c>
    </row>
    <row r="1073" spans="1:2" ht="15.75" customHeight="1" x14ac:dyDescent="0.25">
      <c r="A1073" s="2" t="s">
        <v>1504</v>
      </c>
      <c r="B1073" s="2" t="s">
        <v>2357</v>
      </c>
    </row>
    <row r="1074" spans="1:2" ht="15.75" customHeight="1" x14ac:dyDescent="0.25">
      <c r="A1074" s="2" t="s">
        <v>1254</v>
      </c>
      <c r="B1074" s="2" t="s">
        <v>2357</v>
      </c>
    </row>
    <row r="1075" spans="1:2" ht="15.75" customHeight="1" x14ac:dyDescent="0.25">
      <c r="A1075" s="2" t="s">
        <v>1487</v>
      </c>
      <c r="B1075" s="2" t="s">
        <v>2357</v>
      </c>
    </row>
    <row r="1076" spans="1:2" ht="15.75" customHeight="1" x14ac:dyDescent="0.25">
      <c r="A1076" s="2" t="s">
        <v>1663</v>
      </c>
      <c r="B1076" s="2" t="s">
        <v>2357</v>
      </c>
    </row>
    <row r="1077" spans="1:2" ht="15.75" customHeight="1" x14ac:dyDescent="0.25">
      <c r="A1077" s="2" t="s">
        <v>1434</v>
      </c>
      <c r="B1077" s="2" t="s">
        <v>2357</v>
      </c>
    </row>
    <row r="1078" spans="1:2" ht="15.75" customHeight="1" x14ac:dyDescent="0.25">
      <c r="A1078" s="2" t="s">
        <v>1079</v>
      </c>
      <c r="B1078" s="2" t="s">
        <v>2357</v>
      </c>
    </row>
    <row r="1079" spans="1:2" ht="15.75" customHeight="1" x14ac:dyDescent="0.25">
      <c r="A1079" s="2" t="s">
        <v>830</v>
      </c>
      <c r="B1079" s="2" t="s">
        <v>2357</v>
      </c>
    </row>
    <row r="1080" spans="1:2" ht="15.75" customHeight="1" x14ac:dyDescent="0.25">
      <c r="A1080" s="2" t="s">
        <v>245</v>
      </c>
      <c r="B1080" s="2" t="s">
        <v>2357</v>
      </c>
    </row>
    <row r="1081" spans="1:2" ht="15.75" customHeight="1" x14ac:dyDescent="0.25">
      <c r="A1081" s="2" t="s">
        <v>1675</v>
      </c>
      <c r="B1081" s="2" t="s">
        <v>2357</v>
      </c>
    </row>
    <row r="1082" spans="1:2" ht="15.75" customHeight="1" x14ac:dyDescent="0.25">
      <c r="A1082" s="2" t="s">
        <v>1140</v>
      </c>
      <c r="B1082" s="2" t="s">
        <v>2357</v>
      </c>
    </row>
    <row r="1083" spans="1:2" ht="15.75" customHeight="1" x14ac:dyDescent="0.25">
      <c r="A1083" s="2" t="s">
        <v>1753</v>
      </c>
      <c r="B1083" s="2" t="s">
        <v>2357</v>
      </c>
    </row>
    <row r="1084" spans="1:2" ht="15.75" customHeight="1" x14ac:dyDescent="0.25">
      <c r="A1084" s="2" t="s">
        <v>1429</v>
      </c>
      <c r="B1084" s="2" t="s">
        <v>2357</v>
      </c>
    </row>
    <row r="1085" spans="1:2" ht="15.75" customHeight="1" x14ac:dyDescent="0.25">
      <c r="A1085" s="2" t="s">
        <v>248</v>
      </c>
      <c r="B1085" s="2" t="s">
        <v>2357</v>
      </c>
    </row>
    <row r="1086" spans="1:2" ht="15.75" customHeight="1" x14ac:dyDescent="0.25">
      <c r="A1086" s="2" t="s">
        <v>2247</v>
      </c>
      <c r="B1086" s="2" t="s">
        <v>2357</v>
      </c>
    </row>
    <row r="1087" spans="1:2" ht="15.75" customHeight="1" x14ac:dyDescent="0.25">
      <c r="A1087" s="2" t="s">
        <v>1734</v>
      </c>
      <c r="B1087" s="2" t="s">
        <v>2356</v>
      </c>
    </row>
    <row r="1088" spans="1:2" ht="15.75" customHeight="1" x14ac:dyDescent="0.25">
      <c r="A1088" s="2" t="s">
        <v>1229</v>
      </c>
      <c r="B1088" s="2" t="s">
        <v>2357</v>
      </c>
    </row>
    <row r="1089" spans="1:2" ht="15.75" customHeight="1" x14ac:dyDescent="0.25">
      <c r="A1089" s="2" t="s">
        <v>465</v>
      </c>
      <c r="B1089" s="2" t="s">
        <v>2357</v>
      </c>
    </row>
    <row r="1090" spans="1:2" ht="15.75" customHeight="1" x14ac:dyDescent="0.25">
      <c r="A1090" s="2" t="s">
        <v>2289</v>
      </c>
      <c r="B1090" s="2" t="s">
        <v>2357</v>
      </c>
    </row>
    <row r="1091" spans="1:2" ht="15.75" customHeight="1" x14ac:dyDescent="0.25">
      <c r="A1091" s="2" t="s">
        <v>1548</v>
      </c>
      <c r="B1091" s="2" t="s">
        <v>2356</v>
      </c>
    </row>
    <row r="1092" spans="1:2" ht="15.75" customHeight="1" x14ac:dyDescent="0.25">
      <c r="A1092" s="2" t="s">
        <v>1103</v>
      </c>
      <c r="B1092" s="2" t="s">
        <v>2357</v>
      </c>
    </row>
    <row r="1093" spans="1:2" ht="15.75" customHeight="1" x14ac:dyDescent="0.25">
      <c r="A1093" s="2" t="s">
        <v>2004</v>
      </c>
      <c r="B1093" s="2" t="s">
        <v>2357</v>
      </c>
    </row>
    <row r="1094" spans="1:2" ht="15.75" customHeight="1" x14ac:dyDescent="0.25">
      <c r="A1094" s="2" t="s">
        <v>2064</v>
      </c>
      <c r="B1094" s="2" t="s">
        <v>2357</v>
      </c>
    </row>
    <row r="1095" spans="1:2" ht="15.75" customHeight="1" x14ac:dyDescent="0.25">
      <c r="A1095" s="2" t="s">
        <v>2082</v>
      </c>
      <c r="B1095" s="2" t="s">
        <v>2357</v>
      </c>
    </row>
    <row r="1096" spans="1:2" ht="15.75" customHeight="1" x14ac:dyDescent="0.25">
      <c r="A1096" s="2" t="s">
        <v>1154</v>
      </c>
      <c r="B1096" s="2" t="s">
        <v>2357</v>
      </c>
    </row>
    <row r="1097" spans="1:2" ht="15.75" customHeight="1" x14ac:dyDescent="0.25">
      <c r="A1097" s="2" t="s">
        <v>2013</v>
      </c>
      <c r="B1097" s="2" t="s">
        <v>2357</v>
      </c>
    </row>
    <row r="1098" spans="1:2" ht="15.75" customHeight="1" x14ac:dyDescent="0.25">
      <c r="A1098" s="2" t="s">
        <v>2301</v>
      </c>
      <c r="B1098" s="2" t="s">
        <v>2358</v>
      </c>
    </row>
    <row r="1099" spans="1:2" ht="15.75" customHeight="1" x14ac:dyDescent="0.25">
      <c r="A1099" s="2" t="s">
        <v>2090</v>
      </c>
      <c r="B1099" s="2" t="s">
        <v>2357</v>
      </c>
    </row>
    <row r="1100" spans="1:2" ht="15.75" customHeight="1" x14ac:dyDescent="0.25">
      <c r="A1100" s="2" t="s">
        <v>773</v>
      </c>
      <c r="B1100" s="2" t="s">
        <v>2357</v>
      </c>
    </row>
    <row r="1101" spans="1:2" ht="15.75" customHeight="1" x14ac:dyDescent="0.25">
      <c r="A1101" s="2" t="s">
        <v>1823</v>
      </c>
      <c r="B1101" s="2" t="s">
        <v>2357</v>
      </c>
    </row>
    <row r="1102" spans="1:2" ht="15.75" customHeight="1" x14ac:dyDescent="0.25">
      <c r="A1102" s="2" t="s">
        <v>555</v>
      </c>
      <c r="B1102" s="2" t="s">
        <v>2357</v>
      </c>
    </row>
    <row r="1103" spans="1:2" ht="15.75" customHeight="1" x14ac:dyDescent="0.25">
      <c r="A1103" s="2" t="s">
        <v>1500</v>
      </c>
      <c r="B1103" s="2" t="s">
        <v>2357</v>
      </c>
    </row>
    <row r="1104" spans="1:2" ht="15.75" customHeight="1" x14ac:dyDescent="0.25">
      <c r="A1104" s="2" t="s">
        <v>1949</v>
      </c>
      <c r="B1104" s="2" t="s">
        <v>2356</v>
      </c>
    </row>
    <row r="1105" spans="1:2" ht="15.75" customHeight="1" x14ac:dyDescent="0.25">
      <c r="A1105" s="2" t="s">
        <v>373</v>
      </c>
      <c r="B1105" s="2" t="s">
        <v>2357</v>
      </c>
    </row>
    <row r="1106" spans="1:2" ht="15.75" customHeight="1" x14ac:dyDescent="0.25">
      <c r="A1106" s="2" t="s">
        <v>496</v>
      </c>
      <c r="B1106" s="2" t="s">
        <v>2356</v>
      </c>
    </row>
    <row r="1107" spans="1:2" ht="15.75" customHeight="1" x14ac:dyDescent="0.25">
      <c r="A1107" s="2" t="s">
        <v>358</v>
      </c>
      <c r="B1107" s="2" t="s">
        <v>2357</v>
      </c>
    </row>
    <row r="1108" spans="1:2" ht="15.75" customHeight="1" x14ac:dyDescent="0.25">
      <c r="A1108" s="2" t="s">
        <v>1462</v>
      </c>
      <c r="B1108" s="2" t="s">
        <v>2357</v>
      </c>
    </row>
    <row r="1109" spans="1:2" ht="15.75" customHeight="1" x14ac:dyDescent="0.25">
      <c r="A1109" s="2" t="s">
        <v>616</v>
      </c>
      <c r="B1109" s="2" t="s">
        <v>2356</v>
      </c>
    </row>
    <row r="1110" spans="1:2" ht="15.75" customHeight="1" x14ac:dyDescent="0.25">
      <c r="A1110" s="2" t="s">
        <v>706</v>
      </c>
      <c r="B1110" s="2" t="s">
        <v>2357</v>
      </c>
    </row>
    <row r="1111" spans="1:2" ht="15.75" customHeight="1" x14ac:dyDescent="0.25">
      <c r="A1111" s="2" t="s">
        <v>1804</v>
      </c>
      <c r="B1111" s="2" t="s">
        <v>2357</v>
      </c>
    </row>
    <row r="1112" spans="1:2" ht="15.75" customHeight="1" x14ac:dyDescent="0.25">
      <c r="A1112" s="2" t="s">
        <v>1609</v>
      </c>
      <c r="B1112" s="2" t="s">
        <v>2357</v>
      </c>
    </row>
    <row r="1113" spans="1:2" ht="15.75" customHeight="1" x14ac:dyDescent="0.25">
      <c r="A1113" s="2" t="s">
        <v>1668</v>
      </c>
      <c r="B1113" s="2" t="s">
        <v>2357</v>
      </c>
    </row>
    <row r="1114" spans="1:2" ht="15.75" customHeight="1" x14ac:dyDescent="0.25">
      <c r="A1114" s="2" t="s">
        <v>213</v>
      </c>
      <c r="B1114" s="2" t="s">
        <v>2357</v>
      </c>
    </row>
    <row r="1115" spans="1:2" ht="15.75" customHeight="1" x14ac:dyDescent="0.25">
      <c r="A1115" s="2" t="s">
        <v>2125</v>
      </c>
      <c r="B1115" s="2" t="s">
        <v>2356</v>
      </c>
    </row>
    <row r="1116" spans="1:2" ht="15.75" customHeight="1" x14ac:dyDescent="0.25">
      <c r="A1116" s="2" t="s">
        <v>1813</v>
      </c>
      <c r="B1116" s="2" t="s">
        <v>2359</v>
      </c>
    </row>
    <row r="1117" spans="1:2" ht="15.75" customHeight="1" x14ac:dyDescent="0.25">
      <c r="A1117" s="2" t="s">
        <v>577</v>
      </c>
      <c r="B1117" s="2" t="s">
        <v>2357</v>
      </c>
    </row>
    <row r="1118" spans="1:2" ht="15.75" customHeight="1" x14ac:dyDescent="0.25">
      <c r="A1118" s="2" t="s">
        <v>2018</v>
      </c>
      <c r="B1118" s="2" t="s">
        <v>2357</v>
      </c>
    </row>
    <row r="1119" spans="1:2" ht="15.75" customHeight="1" x14ac:dyDescent="0.25">
      <c r="A1119" s="2" t="s">
        <v>1314</v>
      </c>
      <c r="B1119" s="2" t="s">
        <v>2357</v>
      </c>
    </row>
    <row r="1120" spans="1:2" ht="15.75" customHeight="1" x14ac:dyDescent="0.25">
      <c r="A1120" s="2" t="s">
        <v>556</v>
      </c>
      <c r="B1120" s="2" t="s">
        <v>2357</v>
      </c>
    </row>
    <row r="1121" spans="1:2" ht="15.75" customHeight="1" x14ac:dyDescent="0.25">
      <c r="A1121" s="2" t="s">
        <v>2213</v>
      </c>
      <c r="B1121" s="2" t="s">
        <v>2357</v>
      </c>
    </row>
    <row r="1122" spans="1:2" ht="15.75" customHeight="1" x14ac:dyDescent="0.25">
      <c r="A1122" s="2" t="s">
        <v>935</v>
      </c>
      <c r="B1122" s="2" t="s">
        <v>2357</v>
      </c>
    </row>
    <row r="1123" spans="1:2" ht="15.75" customHeight="1" x14ac:dyDescent="0.25">
      <c r="A1123" s="2" t="s">
        <v>1200</v>
      </c>
      <c r="B1123" s="2" t="s">
        <v>2357</v>
      </c>
    </row>
    <row r="1124" spans="1:2" ht="15.75" customHeight="1" x14ac:dyDescent="0.25">
      <c r="A1124" s="2" t="s">
        <v>717</v>
      </c>
      <c r="B1124" s="2" t="s">
        <v>2357</v>
      </c>
    </row>
    <row r="1125" spans="1:2" ht="15.75" customHeight="1" x14ac:dyDescent="0.25">
      <c r="A1125" s="2" t="s">
        <v>528</v>
      </c>
      <c r="B1125" s="2" t="s">
        <v>2356</v>
      </c>
    </row>
    <row r="1126" spans="1:2" ht="15.75" customHeight="1" x14ac:dyDescent="0.25">
      <c r="A1126" s="2" t="s">
        <v>533</v>
      </c>
      <c r="B1126" s="2" t="s">
        <v>2357</v>
      </c>
    </row>
    <row r="1127" spans="1:2" ht="15.75" customHeight="1" x14ac:dyDescent="0.25">
      <c r="A1127" s="2" t="s">
        <v>1141</v>
      </c>
      <c r="B1127" s="2" t="s">
        <v>2357</v>
      </c>
    </row>
    <row r="1128" spans="1:2" ht="15.75" customHeight="1" x14ac:dyDescent="0.25">
      <c r="A1128" s="2" t="s">
        <v>1070</v>
      </c>
      <c r="B1128" s="2" t="s">
        <v>2357</v>
      </c>
    </row>
    <row r="1129" spans="1:2" ht="15.75" customHeight="1" x14ac:dyDescent="0.25">
      <c r="A1129" s="2" t="s">
        <v>139</v>
      </c>
      <c r="B1129" s="2" t="s">
        <v>2356</v>
      </c>
    </row>
    <row r="1130" spans="1:2" ht="15.75" customHeight="1" x14ac:dyDescent="0.25">
      <c r="A1130" s="2" t="s">
        <v>1977</v>
      </c>
      <c r="B1130" s="2" t="s">
        <v>2356</v>
      </c>
    </row>
    <row r="1131" spans="1:2" ht="15.75" customHeight="1" x14ac:dyDescent="0.25">
      <c r="A1131" s="2" t="s">
        <v>1673</v>
      </c>
      <c r="B1131" s="2" t="s">
        <v>2357</v>
      </c>
    </row>
    <row r="1132" spans="1:2" ht="15.75" customHeight="1" x14ac:dyDescent="0.25">
      <c r="A1132" s="2" t="s">
        <v>725</v>
      </c>
      <c r="B1132" s="2" t="s">
        <v>2357</v>
      </c>
    </row>
    <row r="1133" spans="1:2" ht="15.75" customHeight="1" x14ac:dyDescent="0.25">
      <c r="A1133" s="2" t="s">
        <v>1350</v>
      </c>
      <c r="B1133" s="2" t="s">
        <v>2359</v>
      </c>
    </row>
    <row r="1134" spans="1:2" ht="15.75" customHeight="1" x14ac:dyDescent="0.25">
      <c r="A1134" s="2" t="s">
        <v>965</v>
      </c>
      <c r="B1134" s="2" t="s">
        <v>2357</v>
      </c>
    </row>
    <row r="1135" spans="1:2" ht="15.75" customHeight="1" x14ac:dyDescent="0.25">
      <c r="A1135" s="2" t="s">
        <v>1771</v>
      </c>
      <c r="B1135" s="2" t="s">
        <v>2357</v>
      </c>
    </row>
    <row r="1136" spans="1:2" ht="15.75" customHeight="1" x14ac:dyDescent="0.25">
      <c r="A1136" s="2" t="s">
        <v>1306</v>
      </c>
      <c r="B1136" s="2" t="s">
        <v>2357</v>
      </c>
    </row>
    <row r="1137" spans="1:2" ht="15.75" customHeight="1" x14ac:dyDescent="0.25">
      <c r="A1137" s="2" t="s">
        <v>2000</v>
      </c>
      <c r="B1137" s="2" t="s">
        <v>2357</v>
      </c>
    </row>
    <row r="1138" spans="1:2" ht="15.75" customHeight="1" x14ac:dyDescent="0.25">
      <c r="A1138" s="2" t="s">
        <v>1875</v>
      </c>
      <c r="B1138" s="2" t="s">
        <v>2357</v>
      </c>
    </row>
    <row r="1139" spans="1:2" ht="15.75" customHeight="1" x14ac:dyDescent="0.25">
      <c r="A1139" s="2" t="s">
        <v>785</v>
      </c>
      <c r="B1139" s="2" t="s">
        <v>2357</v>
      </c>
    </row>
    <row r="1140" spans="1:2" ht="15.75" customHeight="1" x14ac:dyDescent="0.25">
      <c r="A1140" s="2" t="s">
        <v>884</v>
      </c>
      <c r="B1140" s="2" t="s">
        <v>2357</v>
      </c>
    </row>
    <row r="1141" spans="1:2" ht="15.75" customHeight="1" x14ac:dyDescent="0.25">
      <c r="A1141" s="2" t="s">
        <v>1655</v>
      </c>
      <c r="B1141" s="2" t="s">
        <v>2357</v>
      </c>
    </row>
    <row r="1142" spans="1:2" ht="15.75" customHeight="1" x14ac:dyDescent="0.25">
      <c r="A1142" s="2" t="s">
        <v>1489</v>
      </c>
      <c r="B1142" s="2" t="s">
        <v>2356</v>
      </c>
    </row>
    <row r="1143" spans="1:2" ht="15.75" customHeight="1" x14ac:dyDescent="0.25">
      <c r="A1143" s="2" t="s">
        <v>1919</v>
      </c>
      <c r="B1143" s="2" t="s">
        <v>2357</v>
      </c>
    </row>
    <row r="1144" spans="1:2" ht="15.75" customHeight="1" x14ac:dyDescent="0.25">
      <c r="A1144" s="2" t="s">
        <v>1989</v>
      </c>
      <c r="B1144" s="2" t="s">
        <v>2357</v>
      </c>
    </row>
    <row r="1145" spans="1:2" ht="15.75" customHeight="1" x14ac:dyDescent="0.25">
      <c r="A1145" s="2" t="s">
        <v>864</v>
      </c>
      <c r="B1145" s="2" t="s">
        <v>2357</v>
      </c>
    </row>
    <row r="1146" spans="1:2" ht="15.75" customHeight="1" x14ac:dyDescent="0.25">
      <c r="A1146" s="2" t="s">
        <v>183</v>
      </c>
      <c r="B1146" s="2" t="s">
        <v>2357</v>
      </c>
    </row>
    <row r="1147" spans="1:2" ht="15.75" customHeight="1" x14ac:dyDescent="0.25">
      <c r="A1147" s="2" t="s">
        <v>839</v>
      </c>
      <c r="B1147" s="2" t="s">
        <v>2357</v>
      </c>
    </row>
    <row r="1148" spans="1:2" ht="15.75" customHeight="1" x14ac:dyDescent="0.25">
      <c r="A1148" s="2" t="s">
        <v>1246</v>
      </c>
      <c r="B1148" s="2" t="s">
        <v>2357</v>
      </c>
    </row>
    <row r="1149" spans="1:2" ht="15.75" customHeight="1" x14ac:dyDescent="0.25">
      <c r="A1149" s="2" t="s">
        <v>1839</v>
      </c>
      <c r="B1149" s="2" t="s">
        <v>2357</v>
      </c>
    </row>
    <row r="1150" spans="1:2" ht="15.75" customHeight="1" x14ac:dyDescent="0.25">
      <c r="A1150" s="2" t="s">
        <v>366</v>
      </c>
      <c r="B1150" s="2" t="s">
        <v>2357</v>
      </c>
    </row>
    <row r="1151" spans="1:2" ht="15.75" customHeight="1" x14ac:dyDescent="0.25">
      <c r="A1151" s="2" t="s">
        <v>1417</v>
      </c>
      <c r="B1151" s="2" t="s">
        <v>2357</v>
      </c>
    </row>
    <row r="1152" spans="1:2" ht="15.75" customHeight="1" x14ac:dyDescent="0.25">
      <c r="A1152" s="2" t="s">
        <v>217</v>
      </c>
      <c r="B1152" s="2" t="s">
        <v>2357</v>
      </c>
    </row>
    <row r="1153" spans="1:2" ht="15.75" customHeight="1" x14ac:dyDescent="0.25">
      <c r="A1153" s="2" t="s">
        <v>1745</v>
      </c>
      <c r="B1153" s="2" t="s">
        <v>2357</v>
      </c>
    </row>
    <row r="1154" spans="1:2" ht="15.75" customHeight="1" x14ac:dyDescent="0.25">
      <c r="A1154" s="2" t="s">
        <v>2176</v>
      </c>
      <c r="B1154" s="2" t="s">
        <v>2357</v>
      </c>
    </row>
    <row r="1155" spans="1:2" ht="15.75" customHeight="1" x14ac:dyDescent="0.25">
      <c r="A1155" s="2" t="s">
        <v>1280</v>
      </c>
      <c r="B1155" s="2" t="s">
        <v>2357</v>
      </c>
    </row>
    <row r="1156" spans="1:2" ht="15.75" customHeight="1" x14ac:dyDescent="0.25">
      <c r="A1156" s="2" t="s">
        <v>1735</v>
      </c>
      <c r="B1156" s="2" t="s">
        <v>2357</v>
      </c>
    </row>
    <row r="1157" spans="1:2" ht="15.75" customHeight="1" x14ac:dyDescent="0.25">
      <c r="A1157" s="2" t="s">
        <v>405</v>
      </c>
      <c r="B1157" s="2" t="s">
        <v>2357</v>
      </c>
    </row>
    <row r="1158" spans="1:2" ht="15.75" customHeight="1" x14ac:dyDescent="0.25">
      <c r="A1158" s="2" t="s">
        <v>1573</v>
      </c>
      <c r="B1158" s="2" t="s">
        <v>2357</v>
      </c>
    </row>
    <row r="1159" spans="1:2" ht="15.75" customHeight="1" x14ac:dyDescent="0.25">
      <c r="A1159" s="2" t="s">
        <v>2254</v>
      </c>
      <c r="B1159" s="2" t="s">
        <v>2360</v>
      </c>
    </row>
    <row r="1160" spans="1:2" ht="15.75" customHeight="1" x14ac:dyDescent="0.25">
      <c r="A1160" s="2" t="s">
        <v>2167</v>
      </c>
      <c r="B1160" s="2" t="s">
        <v>2357</v>
      </c>
    </row>
    <row r="1161" spans="1:2" ht="15.75" customHeight="1" x14ac:dyDescent="0.25">
      <c r="A1161" s="2" t="s">
        <v>90</v>
      </c>
      <c r="B1161" s="2" t="s">
        <v>2357</v>
      </c>
    </row>
    <row r="1162" spans="1:2" ht="15.75" customHeight="1" x14ac:dyDescent="0.25">
      <c r="A1162" s="2" t="s">
        <v>1607</v>
      </c>
      <c r="B1162" s="2" t="s">
        <v>2357</v>
      </c>
    </row>
    <row r="1163" spans="1:2" ht="15.75" customHeight="1" x14ac:dyDescent="0.25">
      <c r="A1163" s="2" t="s">
        <v>2083</v>
      </c>
      <c r="B1163" s="2" t="s">
        <v>2357</v>
      </c>
    </row>
    <row r="1164" spans="1:2" ht="15.75" customHeight="1" x14ac:dyDescent="0.25">
      <c r="A1164" s="2" t="s">
        <v>300</v>
      </c>
      <c r="B1164" s="2" t="s">
        <v>2356</v>
      </c>
    </row>
    <row r="1165" spans="1:2" ht="15.75" customHeight="1" x14ac:dyDescent="0.25">
      <c r="A1165" s="2" t="s">
        <v>1610</v>
      </c>
      <c r="B1165" s="2" t="s">
        <v>2357</v>
      </c>
    </row>
    <row r="1166" spans="1:2" ht="15.75" customHeight="1" x14ac:dyDescent="0.25">
      <c r="A1166" s="2" t="s">
        <v>1557</v>
      </c>
      <c r="B1166" s="2" t="s">
        <v>2357</v>
      </c>
    </row>
    <row r="1167" spans="1:2" ht="15.75" customHeight="1" x14ac:dyDescent="0.25">
      <c r="A1167" s="2" t="s">
        <v>2169</v>
      </c>
      <c r="B1167" s="2" t="s">
        <v>2358</v>
      </c>
    </row>
    <row r="1168" spans="1:2" ht="15.75" customHeight="1" x14ac:dyDescent="0.25">
      <c r="A1168" s="2" t="s">
        <v>1719</v>
      </c>
      <c r="B1168" s="2" t="s">
        <v>2356</v>
      </c>
    </row>
    <row r="1169" spans="1:2" ht="15.75" customHeight="1" x14ac:dyDescent="0.25">
      <c r="A1169" s="2" t="s">
        <v>1114</v>
      </c>
      <c r="B1169" s="2" t="s">
        <v>2357</v>
      </c>
    </row>
    <row r="1170" spans="1:2" ht="15.75" customHeight="1" x14ac:dyDescent="0.25">
      <c r="A1170" s="2" t="s">
        <v>255</v>
      </c>
      <c r="B1170" s="2" t="s">
        <v>2357</v>
      </c>
    </row>
    <row r="1171" spans="1:2" ht="15.75" customHeight="1" x14ac:dyDescent="0.25">
      <c r="A1171" s="2" t="s">
        <v>1579</v>
      </c>
      <c r="B1171" s="2" t="s">
        <v>2357</v>
      </c>
    </row>
    <row r="1172" spans="1:2" ht="15.75" customHeight="1" x14ac:dyDescent="0.25">
      <c r="A1172" s="2" t="s">
        <v>1168</v>
      </c>
      <c r="B1172" s="2" t="s">
        <v>2357</v>
      </c>
    </row>
    <row r="1173" spans="1:2" ht="15.75" customHeight="1" x14ac:dyDescent="0.25">
      <c r="A1173" s="2" t="s">
        <v>1501</v>
      </c>
      <c r="B1173" s="2" t="s">
        <v>2357</v>
      </c>
    </row>
    <row r="1174" spans="1:2" ht="15.75" customHeight="1" x14ac:dyDescent="0.25">
      <c r="A1174" s="2" t="s">
        <v>1157</v>
      </c>
      <c r="B1174" s="2" t="s">
        <v>2357</v>
      </c>
    </row>
    <row r="1175" spans="1:2" ht="15.75" customHeight="1" x14ac:dyDescent="0.25">
      <c r="A1175" s="2" t="s">
        <v>1695</v>
      </c>
      <c r="B1175" s="2" t="s">
        <v>2357</v>
      </c>
    </row>
    <row r="1176" spans="1:2" ht="15.75" customHeight="1" x14ac:dyDescent="0.25">
      <c r="A1176" s="2" t="s">
        <v>1374</v>
      </c>
      <c r="B1176" s="2" t="s">
        <v>2357</v>
      </c>
    </row>
    <row r="1177" spans="1:2" ht="15.75" customHeight="1" x14ac:dyDescent="0.25">
      <c r="A1177" s="2" t="s">
        <v>1828</v>
      </c>
      <c r="B1177" s="2" t="s">
        <v>2357</v>
      </c>
    </row>
    <row r="1178" spans="1:2" ht="15.75" customHeight="1" x14ac:dyDescent="0.25">
      <c r="A1178" s="2" t="s">
        <v>595</v>
      </c>
      <c r="B1178" s="2" t="s">
        <v>2357</v>
      </c>
    </row>
    <row r="1179" spans="1:2" ht="15.75" customHeight="1" x14ac:dyDescent="0.25">
      <c r="A1179" s="2" t="s">
        <v>1373</v>
      </c>
      <c r="B1179" s="2" t="s">
        <v>2356</v>
      </c>
    </row>
    <row r="1180" spans="1:2" ht="15.75" customHeight="1" x14ac:dyDescent="0.25">
      <c r="A1180" s="2" t="s">
        <v>1760</v>
      </c>
      <c r="B1180" s="2" t="s">
        <v>2357</v>
      </c>
    </row>
    <row r="1181" spans="1:2" ht="15.75" customHeight="1" x14ac:dyDescent="0.25">
      <c r="A1181" s="2" t="s">
        <v>1101</v>
      </c>
      <c r="B1181" s="2" t="s">
        <v>2357</v>
      </c>
    </row>
    <row r="1182" spans="1:2" ht="15.75" customHeight="1" x14ac:dyDescent="0.25">
      <c r="A1182" s="2" t="s">
        <v>1812</v>
      </c>
      <c r="B1182" s="2" t="s">
        <v>2357</v>
      </c>
    </row>
    <row r="1183" spans="1:2" ht="15.75" customHeight="1" x14ac:dyDescent="0.25">
      <c r="A1183" s="2" t="s">
        <v>974</v>
      </c>
      <c r="B1183" s="2" t="s">
        <v>2357</v>
      </c>
    </row>
    <row r="1184" spans="1:2" ht="15.75" customHeight="1" x14ac:dyDescent="0.25">
      <c r="A1184" s="2" t="s">
        <v>2321</v>
      </c>
      <c r="B1184" s="2" t="s">
        <v>2360</v>
      </c>
    </row>
    <row r="1185" spans="1:2" ht="15.75" customHeight="1" x14ac:dyDescent="0.25">
      <c r="A1185" s="2" t="s">
        <v>1916</v>
      </c>
      <c r="B1185" s="2" t="s">
        <v>2357</v>
      </c>
    </row>
    <row r="1186" spans="1:2" ht="15.75" customHeight="1" x14ac:dyDescent="0.25">
      <c r="A1186" s="2" t="s">
        <v>2170</v>
      </c>
      <c r="B1186" s="2" t="s">
        <v>2357</v>
      </c>
    </row>
    <row r="1187" spans="1:2" ht="15.75" customHeight="1" x14ac:dyDescent="0.25">
      <c r="A1187" s="2" t="s">
        <v>1905</v>
      </c>
      <c r="B1187" s="2" t="s">
        <v>2356</v>
      </c>
    </row>
    <row r="1188" spans="1:2" ht="15.75" customHeight="1" x14ac:dyDescent="0.25">
      <c r="A1188" s="2" t="s">
        <v>820</v>
      </c>
      <c r="B1188" s="2" t="s">
        <v>2357</v>
      </c>
    </row>
    <row r="1189" spans="1:2" ht="15.75" customHeight="1" x14ac:dyDescent="0.25">
      <c r="A1189" s="2" t="s">
        <v>1410</v>
      </c>
      <c r="B1189" s="2" t="s">
        <v>2357</v>
      </c>
    </row>
    <row r="1190" spans="1:2" ht="15.75" customHeight="1" x14ac:dyDescent="0.25">
      <c r="A1190" s="2" t="s">
        <v>1119</v>
      </c>
      <c r="B1190" s="2" t="s">
        <v>2357</v>
      </c>
    </row>
    <row r="1191" spans="1:2" ht="15.75" customHeight="1" x14ac:dyDescent="0.25">
      <c r="A1191" s="2" t="s">
        <v>175</v>
      </c>
      <c r="B1191" s="2" t="s">
        <v>2357</v>
      </c>
    </row>
    <row r="1192" spans="1:2" ht="15.75" customHeight="1" x14ac:dyDescent="0.25">
      <c r="A1192" s="2" t="s">
        <v>1170</v>
      </c>
      <c r="B1192" s="2" t="s">
        <v>2357</v>
      </c>
    </row>
    <row r="1193" spans="1:2" ht="15.75" customHeight="1" x14ac:dyDescent="0.25">
      <c r="A1193" s="2" t="s">
        <v>764</v>
      </c>
      <c r="B1193" s="2" t="s">
        <v>2357</v>
      </c>
    </row>
    <row r="1194" spans="1:2" ht="15.75" customHeight="1" x14ac:dyDescent="0.25">
      <c r="A1194" s="2" t="s">
        <v>735</v>
      </c>
      <c r="B1194" s="2" t="s">
        <v>2357</v>
      </c>
    </row>
    <row r="1195" spans="1:2" ht="15.75" customHeight="1" x14ac:dyDescent="0.25">
      <c r="A1195" s="2" t="s">
        <v>1456</v>
      </c>
      <c r="B1195" s="2" t="s">
        <v>2357</v>
      </c>
    </row>
    <row r="1196" spans="1:2" ht="15.75" customHeight="1" x14ac:dyDescent="0.25">
      <c r="A1196" s="2" t="s">
        <v>1683</v>
      </c>
      <c r="B1196" s="2" t="s">
        <v>2357</v>
      </c>
    </row>
    <row r="1197" spans="1:2" ht="15.75" customHeight="1" x14ac:dyDescent="0.25">
      <c r="A1197" s="2" t="s">
        <v>1920</v>
      </c>
      <c r="B1197" s="2" t="s">
        <v>2357</v>
      </c>
    </row>
    <row r="1198" spans="1:2" ht="15.75" customHeight="1" x14ac:dyDescent="0.25">
      <c r="A1198" s="2" t="s">
        <v>198</v>
      </c>
      <c r="B1198" s="2" t="s">
        <v>2357</v>
      </c>
    </row>
    <row r="1199" spans="1:2" ht="15.75" customHeight="1" x14ac:dyDescent="0.25">
      <c r="A1199" s="2" t="s">
        <v>680</v>
      </c>
      <c r="B1199" s="2" t="s">
        <v>2357</v>
      </c>
    </row>
    <row r="1200" spans="1:2" ht="15.75" customHeight="1" x14ac:dyDescent="0.25">
      <c r="A1200" s="2" t="s">
        <v>2264</v>
      </c>
      <c r="B1200" s="2" t="s">
        <v>2360</v>
      </c>
    </row>
    <row r="1201" spans="1:2" ht="15.75" customHeight="1" x14ac:dyDescent="0.25">
      <c r="A1201" s="2" t="s">
        <v>564</v>
      </c>
      <c r="B1201" s="2" t="s">
        <v>2357</v>
      </c>
    </row>
    <row r="1202" spans="1:2" ht="15.75" customHeight="1" x14ac:dyDescent="0.25">
      <c r="A1202" s="2" t="s">
        <v>354</v>
      </c>
      <c r="B1202" s="2" t="s">
        <v>2356</v>
      </c>
    </row>
    <row r="1203" spans="1:2" ht="15.75" customHeight="1" x14ac:dyDescent="0.25">
      <c r="A1203" s="2" t="s">
        <v>418</v>
      </c>
      <c r="B1203" s="2" t="s">
        <v>2356</v>
      </c>
    </row>
    <row r="1204" spans="1:2" ht="15.75" customHeight="1" x14ac:dyDescent="0.25">
      <c r="A1204" s="2" t="s">
        <v>1672</v>
      </c>
      <c r="B1204" s="2" t="s">
        <v>2357</v>
      </c>
    </row>
    <row r="1205" spans="1:2" ht="15.75" customHeight="1" x14ac:dyDescent="0.25">
      <c r="A1205" s="2" t="s">
        <v>1627</v>
      </c>
      <c r="B1205" s="2" t="s">
        <v>2357</v>
      </c>
    </row>
    <row r="1206" spans="1:2" ht="15.75" customHeight="1" x14ac:dyDescent="0.25">
      <c r="A1206" s="2" t="s">
        <v>673</v>
      </c>
      <c r="B1206" s="2" t="s">
        <v>2357</v>
      </c>
    </row>
    <row r="1207" spans="1:2" ht="15.75" customHeight="1" x14ac:dyDescent="0.25">
      <c r="A1207" s="2" t="s">
        <v>514</v>
      </c>
      <c r="B1207" s="2" t="s">
        <v>2357</v>
      </c>
    </row>
    <row r="1208" spans="1:2" ht="15.75" customHeight="1" x14ac:dyDescent="0.25">
      <c r="A1208" s="2" t="s">
        <v>1820</v>
      </c>
      <c r="B1208" s="2" t="s">
        <v>2357</v>
      </c>
    </row>
    <row r="1209" spans="1:2" ht="15.75" customHeight="1" x14ac:dyDescent="0.25">
      <c r="A1209" s="2" t="s">
        <v>47</v>
      </c>
      <c r="B1209" s="2" t="s">
        <v>2357</v>
      </c>
    </row>
    <row r="1210" spans="1:2" ht="15.75" customHeight="1" x14ac:dyDescent="0.25">
      <c r="A1210" s="2" t="s">
        <v>1231</v>
      </c>
      <c r="B1210" s="2" t="s">
        <v>2359</v>
      </c>
    </row>
    <row r="1211" spans="1:2" ht="15.75" customHeight="1" x14ac:dyDescent="0.25">
      <c r="A1211" s="2" t="s">
        <v>1718</v>
      </c>
      <c r="B1211" s="2" t="s">
        <v>2357</v>
      </c>
    </row>
    <row r="1212" spans="1:2" ht="15.75" customHeight="1" x14ac:dyDescent="0.25">
      <c r="A1212" s="2" t="s">
        <v>1404</v>
      </c>
      <c r="B1212" s="2" t="s">
        <v>2357</v>
      </c>
    </row>
    <row r="1213" spans="1:2" ht="15.75" customHeight="1" x14ac:dyDescent="0.25">
      <c r="A1213" s="2" t="s">
        <v>760</v>
      </c>
      <c r="B1213" s="2" t="s">
        <v>2357</v>
      </c>
    </row>
    <row r="1214" spans="1:2" ht="15.75" customHeight="1" x14ac:dyDescent="0.25">
      <c r="A1214" s="2" t="s">
        <v>1715</v>
      </c>
      <c r="B1214" s="2" t="s">
        <v>2357</v>
      </c>
    </row>
    <row r="1215" spans="1:2" ht="15.75" customHeight="1" x14ac:dyDescent="0.25">
      <c r="A1215" s="2" t="s">
        <v>618</v>
      </c>
      <c r="B1215" s="2" t="s">
        <v>2357</v>
      </c>
    </row>
    <row r="1216" spans="1:2" ht="15.75" customHeight="1" x14ac:dyDescent="0.25">
      <c r="A1216" s="2" t="s">
        <v>2150</v>
      </c>
      <c r="B1216" s="2" t="s">
        <v>2357</v>
      </c>
    </row>
    <row r="1217" spans="1:2" ht="15.75" customHeight="1" x14ac:dyDescent="0.25">
      <c r="A1217" s="2" t="s">
        <v>1965</v>
      </c>
      <c r="B1217" s="2" t="s">
        <v>2357</v>
      </c>
    </row>
    <row r="1218" spans="1:2" ht="15.75" customHeight="1" x14ac:dyDescent="0.25">
      <c r="A1218" s="2" t="s">
        <v>1387</v>
      </c>
      <c r="B1218" s="2" t="s">
        <v>2357</v>
      </c>
    </row>
    <row r="1219" spans="1:2" ht="15.75" customHeight="1" x14ac:dyDescent="0.25">
      <c r="A1219" s="2" t="s">
        <v>534</v>
      </c>
      <c r="B1219" s="2" t="s">
        <v>2357</v>
      </c>
    </row>
    <row r="1220" spans="1:2" ht="15.75" customHeight="1" x14ac:dyDescent="0.25">
      <c r="A1220" s="2" t="s">
        <v>1441</v>
      </c>
      <c r="B1220" s="2" t="s">
        <v>2357</v>
      </c>
    </row>
    <row r="1221" spans="1:2" ht="15.75" customHeight="1" x14ac:dyDescent="0.25">
      <c r="A1221" s="2" t="s">
        <v>1267</v>
      </c>
      <c r="B1221" s="2" t="s">
        <v>2357</v>
      </c>
    </row>
    <row r="1222" spans="1:2" ht="15.75" customHeight="1" x14ac:dyDescent="0.25">
      <c r="A1222" s="2" t="s">
        <v>1485</v>
      </c>
      <c r="B1222" s="2" t="s">
        <v>2357</v>
      </c>
    </row>
    <row r="1223" spans="1:2" ht="15.75" customHeight="1" x14ac:dyDescent="0.25">
      <c r="A1223" s="2" t="s">
        <v>1966</v>
      </c>
      <c r="B1223" s="2" t="s">
        <v>2356</v>
      </c>
    </row>
    <row r="1224" spans="1:2" ht="15.75" customHeight="1" x14ac:dyDescent="0.25">
      <c r="A1224" s="2" t="s">
        <v>1184</v>
      </c>
      <c r="B1224" s="2" t="s">
        <v>2359</v>
      </c>
    </row>
    <row r="1225" spans="1:2" ht="15.75" customHeight="1" x14ac:dyDescent="0.25">
      <c r="A1225" s="2" t="s">
        <v>1781</v>
      </c>
      <c r="B1225" s="2" t="s">
        <v>2357</v>
      </c>
    </row>
    <row r="1226" spans="1:2" ht="15.75" customHeight="1" x14ac:dyDescent="0.25">
      <c r="A1226" s="2" t="s">
        <v>1770</v>
      </c>
      <c r="B1226" s="2" t="s">
        <v>2357</v>
      </c>
    </row>
    <row r="1227" spans="1:2" ht="15.75" customHeight="1" x14ac:dyDescent="0.25">
      <c r="A1227" s="2" t="s">
        <v>1369</v>
      </c>
      <c r="B1227" s="2" t="s">
        <v>2357</v>
      </c>
    </row>
    <row r="1228" spans="1:2" ht="15.75" customHeight="1" x14ac:dyDescent="0.25">
      <c r="A1228" s="2" t="s">
        <v>1717</v>
      </c>
      <c r="B1228" s="2" t="s">
        <v>2357</v>
      </c>
    </row>
    <row r="1229" spans="1:2" ht="15.75" customHeight="1" x14ac:dyDescent="0.25">
      <c r="A1229" s="2" t="s">
        <v>1942</v>
      </c>
      <c r="B1229" s="2" t="s">
        <v>2356</v>
      </c>
    </row>
    <row r="1230" spans="1:2" ht="15.75" customHeight="1" x14ac:dyDescent="0.25">
      <c r="A1230" s="2" t="s">
        <v>1863</v>
      </c>
      <c r="B1230" s="2" t="s">
        <v>2357</v>
      </c>
    </row>
    <row r="1231" spans="1:2" ht="15.75" customHeight="1" x14ac:dyDescent="0.25">
      <c r="A1231" s="2" t="s">
        <v>1843</v>
      </c>
      <c r="B1231" s="2" t="s">
        <v>2357</v>
      </c>
    </row>
    <row r="1232" spans="1:2" ht="15.75" customHeight="1" x14ac:dyDescent="0.25">
      <c r="A1232" s="2" t="s">
        <v>1720</v>
      </c>
      <c r="B1232" s="2" t="s">
        <v>2357</v>
      </c>
    </row>
    <row r="1233" spans="1:2" ht="15.75" customHeight="1" x14ac:dyDescent="0.25">
      <c r="A1233" s="2" t="s">
        <v>397</v>
      </c>
      <c r="B1233" s="2" t="s">
        <v>2356</v>
      </c>
    </row>
    <row r="1234" spans="1:2" ht="15.75" customHeight="1" x14ac:dyDescent="0.25">
      <c r="A1234" s="2" t="s">
        <v>253</v>
      </c>
      <c r="B1234" s="2" t="s">
        <v>2357</v>
      </c>
    </row>
    <row r="1235" spans="1:2" ht="15.75" customHeight="1" x14ac:dyDescent="0.25">
      <c r="A1235" s="2" t="s">
        <v>999</v>
      </c>
      <c r="B1235" s="2" t="s">
        <v>2357</v>
      </c>
    </row>
    <row r="1236" spans="1:2" ht="15.75" customHeight="1" x14ac:dyDescent="0.25">
      <c r="A1236" s="2" t="s">
        <v>1085</v>
      </c>
      <c r="B1236" s="2" t="s">
        <v>2357</v>
      </c>
    </row>
    <row r="1237" spans="1:2" ht="15.75" customHeight="1" x14ac:dyDescent="0.25">
      <c r="A1237" s="2" t="s">
        <v>2175</v>
      </c>
      <c r="B1237" s="2" t="s">
        <v>2357</v>
      </c>
    </row>
    <row r="1238" spans="1:2" ht="15.75" customHeight="1" x14ac:dyDescent="0.25">
      <c r="A1238" s="2" t="s">
        <v>1286</v>
      </c>
      <c r="B1238" s="2" t="s">
        <v>2359</v>
      </c>
    </row>
    <row r="1239" spans="1:2" ht="15.75" customHeight="1" x14ac:dyDescent="0.25">
      <c r="A1239" s="2" t="s">
        <v>1081</v>
      </c>
      <c r="B1239" s="2" t="s">
        <v>2357</v>
      </c>
    </row>
    <row r="1240" spans="1:2" ht="15.75" customHeight="1" x14ac:dyDescent="0.25">
      <c r="A1240" s="2" t="s">
        <v>1068</v>
      </c>
      <c r="B1240" s="2" t="s">
        <v>2356</v>
      </c>
    </row>
    <row r="1241" spans="1:2" ht="15.75" customHeight="1" x14ac:dyDescent="0.25">
      <c r="A1241" s="2" t="s">
        <v>1084</v>
      </c>
      <c r="B1241" s="2" t="s">
        <v>2357</v>
      </c>
    </row>
    <row r="1242" spans="1:2" ht="15.75" customHeight="1" x14ac:dyDescent="0.25">
      <c r="A1242" s="2" t="s">
        <v>2199</v>
      </c>
      <c r="B1242" s="2" t="s">
        <v>2358</v>
      </c>
    </row>
    <row r="1243" spans="1:2" ht="15.75" customHeight="1" x14ac:dyDescent="0.25">
      <c r="A1243" s="2" t="s">
        <v>2225</v>
      </c>
      <c r="B1243" s="2" t="s">
        <v>2360</v>
      </c>
    </row>
    <row r="1244" spans="1:2" ht="15.75" customHeight="1" x14ac:dyDescent="0.25">
      <c r="A1244" s="2" t="s">
        <v>2249</v>
      </c>
      <c r="B1244" s="2" t="s">
        <v>2358</v>
      </c>
    </row>
    <row r="1245" spans="1:2" ht="15.75" customHeight="1" x14ac:dyDescent="0.25">
      <c r="A1245" s="2" t="s">
        <v>1230</v>
      </c>
      <c r="B1245" s="2" t="s">
        <v>2357</v>
      </c>
    </row>
    <row r="1246" spans="1:2" ht="15.75" customHeight="1" x14ac:dyDescent="0.25">
      <c r="A1246" s="2" t="s">
        <v>1926</v>
      </c>
      <c r="B1246" s="2" t="s">
        <v>2357</v>
      </c>
    </row>
    <row r="1247" spans="1:2" ht="15.75" customHeight="1" x14ac:dyDescent="0.25">
      <c r="A1247" s="2" t="s">
        <v>743</v>
      </c>
      <c r="B1247" s="2" t="s">
        <v>2357</v>
      </c>
    </row>
    <row r="1248" spans="1:2" ht="15.75" customHeight="1" x14ac:dyDescent="0.25">
      <c r="A1248" s="2" t="s">
        <v>1797</v>
      </c>
      <c r="B1248" s="2" t="s">
        <v>2356</v>
      </c>
    </row>
    <row r="1249" spans="1:2" ht="15.75" customHeight="1" x14ac:dyDescent="0.25">
      <c r="A1249" s="2" t="s">
        <v>813</v>
      </c>
      <c r="B1249" s="2" t="s">
        <v>2357</v>
      </c>
    </row>
    <row r="1250" spans="1:2" ht="15.75" customHeight="1" x14ac:dyDescent="0.25">
      <c r="A1250" s="2" t="s">
        <v>2306</v>
      </c>
      <c r="B1250" s="2" t="s">
        <v>2358</v>
      </c>
    </row>
    <row r="1251" spans="1:2" ht="15.75" customHeight="1" x14ac:dyDescent="0.25">
      <c r="A1251" s="2" t="s">
        <v>2040</v>
      </c>
      <c r="B1251" s="2" t="s">
        <v>2357</v>
      </c>
    </row>
    <row r="1252" spans="1:2" ht="15.75" customHeight="1" x14ac:dyDescent="0.25">
      <c r="A1252" s="2" t="s">
        <v>984</v>
      </c>
      <c r="B1252" s="2" t="s">
        <v>2356</v>
      </c>
    </row>
    <row r="1253" spans="1:2" ht="15.75" customHeight="1" x14ac:dyDescent="0.25">
      <c r="A1253" s="2" t="s">
        <v>1766</v>
      </c>
      <c r="B1253" s="2" t="s">
        <v>2357</v>
      </c>
    </row>
    <row r="1254" spans="1:2" ht="15.75" customHeight="1" x14ac:dyDescent="0.25">
      <c r="A1254" s="2" t="s">
        <v>1986</v>
      </c>
      <c r="B1254" s="2" t="s">
        <v>2357</v>
      </c>
    </row>
    <row r="1255" spans="1:2" ht="15.75" customHeight="1" x14ac:dyDescent="0.25">
      <c r="A1255" s="2" t="s">
        <v>1405</v>
      </c>
      <c r="B1255" s="2" t="s">
        <v>2356</v>
      </c>
    </row>
    <row r="1256" spans="1:2" ht="15.75" customHeight="1" x14ac:dyDescent="0.25">
      <c r="A1256" s="2" t="s">
        <v>1371</v>
      </c>
      <c r="B1256" s="2" t="s">
        <v>2357</v>
      </c>
    </row>
    <row r="1257" spans="1:2" ht="15.75" customHeight="1" x14ac:dyDescent="0.25">
      <c r="A1257" s="2" t="s">
        <v>2164</v>
      </c>
      <c r="B1257" s="2" t="s">
        <v>2358</v>
      </c>
    </row>
    <row r="1258" spans="1:2" ht="15.75" customHeight="1" x14ac:dyDescent="0.25">
      <c r="A1258" s="2" t="s">
        <v>1996</v>
      </c>
      <c r="B1258" s="2" t="s">
        <v>2357</v>
      </c>
    </row>
    <row r="1259" spans="1:2" ht="15.75" customHeight="1" x14ac:dyDescent="0.25">
      <c r="A1259" s="2" t="s">
        <v>1466</v>
      </c>
      <c r="B1259" s="2" t="s">
        <v>2357</v>
      </c>
    </row>
    <row r="1260" spans="1:2" ht="15.75" customHeight="1" x14ac:dyDescent="0.25">
      <c r="A1260" s="2" t="s">
        <v>509</v>
      </c>
      <c r="B1260" s="2" t="s">
        <v>2357</v>
      </c>
    </row>
    <row r="1261" spans="1:2" ht="15.75" customHeight="1" x14ac:dyDescent="0.25">
      <c r="A1261" s="2" t="s">
        <v>2270</v>
      </c>
      <c r="B1261" s="2" t="s">
        <v>2360</v>
      </c>
    </row>
    <row r="1262" spans="1:2" ht="15.75" customHeight="1" x14ac:dyDescent="0.25">
      <c r="A1262" s="2" t="s">
        <v>1963</v>
      </c>
      <c r="B1262" s="2" t="s">
        <v>2357</v>
      </c>
    </row>
    <row r="1263" spans="1:2" ht="15.75" customHeight="1" x14ac:dyDescent="0.25">
      <c r="A1263" s="2" t="s">
        <v>2047</v>
      </c>
      <c r="B1263" s="2" t="s">
        <v>2357</v>
      </c>
    </row>
    <row r="1264" spans="1:2" ht="15.75" customHeight="1" x14ac:dyDescent="0.25">
      <c r="A1264" s="2" t="s">
        <v>440</v>
      </c>
      <c r="B1264" s="2" t="s">
        <v>2357</v>
      </c>
    </row>
    <row r="1265" spans="1:2" ht="15.75" customHeight="1" x14ac:dyDescent="0.25">
      <c r="A1265" s="2" t="s">
        <v>1764</v>
      </c>
      <c r="B1265" s="2" t="s">
        <v>2356</v>
      </c>
    </row>
    <row r="1266" spans="1:2" ht="15.75" customHeight="1" x14ac:dyDescent="0.25">
      <c r="A1266" s="2" t="s">
        <v>871</v>
      </c>
      <c r="B1266" s="2" t="s">
        <v>2356</v>
      </c>
    </row>
    <row r="1267" spans="1:2" ht="15.75" customHeight="1" x14ac:dyDescent="0.25">
      <c r="A1267" s="2" t="s">
        <v>1134</v>
      </c>
      <c r="B1267" s="2" t="s">
        <v>2357</v>
      </c>
    </row>
    <row r="1268" spans="1:2" ht="15.75" customHeight="1" x14ac:dyDescent="0.25">
      <c r="A1268" s="2" t="s">
        <v>1732</v>
      </c>
      <c r="B1268" s="2" t="s">
        <v>2357</v>
      </c>
    </row>
    <row r="1269" spans="1:2" ht="15.75" customHeight="1" x14ac:dyDescent="0.25">
      <c r="A1269" s="2" t="s">
        <v>2106</v>
      </c>
      <c r="B1269" s="2" t="s">
        <v>2356</v>
      </c>
    </row>
    <row r="1270" spans="1:2" ht="15.75" customHeight="1" x14ac:dyDescent="0.25">
      <c r="A1270" s="2" t="s">
        <v>1478</v>
      </c>
      <c r="B1270" s="2" t="s">
        <v>2357</v>
      </c>
    </row>
    <row r="1271" spans="1:2" ht="15.75" customHeight="1" x14ac:dyDescent="0.25">
      <c r="A1271" s="2" t="s">
        <v>2221</v>
      </c>
      <c r="B1271" s="2" t="s">
        <v>2357</v>
      </c>
    </row>
    <row r="1272" spans="1:2" ht="15.75" customHeight="1" x14ac:dyDescent="0.25">
      <c r="A1272" s="2" t="s">
        <v>1343</v>
      </c>
      <c r="B1272" s="2" t="s">
        <v>2357</v>
      </c>
    </row>
    <row r="1273" spans="1:2" ht="15.75" customHeight="1" x14ac:dyDescent="0.25">
      <c r="A1273" s="2" t="s">
        <v>1752</v>
      </c>
      <c r="B1273" s="2" t="s">
        <v>2357</v>
      </c>
    </row>
    <row r="1274" spans="1:2" ht="15.75" customHeight="1" x14ac:dyDescent="0.25">
      <c r="A1274" s="2" t="s">
        <v>2159</v>
      </c>
      <c r="B1274" s="2" t="s">
        <v>2360</v>
      </c>
    </row>
    <row r="1275" spans="1:2" ht="15.75" customHeight="1" x14ac:dyDescent="0.25">
      <c r="A1275" s="2" t="s">
        <v>1439</v>
      </c>
      <c r="B1275" s="2" t="s">
        <v>2359</v>
      </c>
    </row>
    <row r="1276" spans="1:2" ht="15.75" customHeight="1" x14ac:dyDescent="0.25">
      <c r="A1276" s="2" t="s">
        <v>1236</v>
      </c>
      <c r="B1276" s="2" t="s">
        <v>2357</v>
      </c>
    </row>
    <row r="1277" spans="1:2" ht="15.75" customHeight="1" x14ac:dyDescent="0.25">
      <c r="A1277" s="2" t="s">
        <v>1420</v>
      </c>
      <c r="B1277" s="2" t="s">
        <v>2357</v>
      </c>
    </row>
    <row r="1278" spans="1:2" ht="15.75" customHeight="1" x14ac:dyDescent="0.25">
      <c r="A1278" s="2" t="s">
        <v>1859</v>
      </c>
      <c r="B1278" s="2" t="s">
        <v>2357</v>
      </c>
    </row>
    <row r="1279" spans="1:2" ht="15.75" customHeight="1" x14ac:dyDescent="0.25">
      <c r="A1279" s="2" t="s">
        <v>731</v>
      </c>
      <c r="B1279" s="2" t="s">
        <v>2357</v>
      </c>
    </row>
    <row r="1280" spans="1:2" ht="15.75" customHeight="1" x14ac:dyDescent="0.25">
      <c r="A1280" s="2" t="s">
        <v>1428</v>
      </c>
      <c r="B1280" s="2" t="s">
        <v>2357</v>
      </c>
    </row>
    <row r="1281" spans="1:2" ht="15.75" customHeight="1" x14ac:dyDescent="0.25">
      <c r="A1281" s="2" t="s">
        <v>445</v>
      </c>
      <c r="B1281" s="2" t="s">
        <v>2356</v>
      </c>
    </row>
    <row r="1282" spans="1:2" ht="15.75" customHeight="1" x14ac:dyDescent="0.25">
      <c r="A1282" s="2" t="s">
        <v>1225</v>
      </c>
      <c r="B1282" s="2" t="s">
        <v>2357</v>
      </c>
    </row>
    <row r="1283" spans="1:2" ht="15.75" customHeight="1" x14ac:dyDescent="0.25">
      <c r="A1283" s="2" t="s">
        <v>1258</v>
      </c>
      <c r="B1283" s="2" t="s">
        <v>2357</v>
      </c>
    </row>
    <row r="1284" spans="1:2" ht="15.75" customHeight="1" x14ac:dyDescent="0.25">
      <c r="A1284" s="2" t="s">
        <v>241</v>
      </c>
      <c r="B1284" s="2" t="s">
        <v>2359</v>
      </c>
    </row>
    <row r="1285" spans="1:2" ht="15.75" customHeight="1" x14ac:dyDescent="0.25">
      <c r="A1285" s="2" t="s">
        <v>2049</v>
      </c>
      <c r="B1285" s="2" t="s">
        <v>2357</v>
      </c>
    </row>
    <row r="1286" spans="1:2" ht="15.75" customHeight="1" x14ac:dyDescent="0.25">
      <c r="A1286" s="2" t="s">
        <v>2171</v>
      </c>
      <c r="B1286" s="2" t="s">
        <v>2360</v>
      </c>
    </row>
    <row r="1287" spans="1:2" ht="15.75" customHeight="1" x14ac:dyDescent="0.25">
      <c r="A1287" s="2" t="s">
        <v>1515</v>
      </c>
      <c r="B1287" s="2" t="s">
        <v>2357</v>
      </c>
    </row>
    <row r="1288" spans="1:2" ht="15.75" customHeight="1" x14ac:dyDescent="0.25">
      <c r="A1288" s="2" t="s">
        <v>2251</v>
      </c>
      <c r="B1288" s="2" t="s">
        <v>2360</v>
      </c>
    </row>
    <row r="1289" spans="1:2" ht="15.75" customHeight="1" x14ac:dyDescent="0.25">
      <c r="A1289" s="2" t="s">
        <v>1076</v>
      </c>
      <c r="B1289" s="2" t="s">
        <v>2357</v>
      </c>
    </row>
    <row r="1290" spans="1:2" ht="15.75" customHeight="1" x14ac:dyDescent="0.25">
      <c r="A1290" s="2" t="s">
        <v>2214</v>
      </c>
      <c r="B1290" s="2" t="s">
        <v>2357</v>
      </c>
    </row>
    <row r="1291" spans="1:2" ht="15.75" customHeight="1" x14ac:dyDescent="0.25">
      <c r="A1291" s="2" t="s">
        <v>831</v>
      </c>
      <c r="B1291" s="2" t="s">
        <v>2357</v>
      </c>
    </row>
    <row r="1292" spans="1:2" ht="15.75" customHeight="1" x14ac:dyDescent="0.25">
      <c r="A1292" s="2" t="s">
        <v>971</v>
      </c>
      <c r="B1292" s="2" t="s">
        <v>2356</v>
      </c>
    </row>
    <row r="1293" spans="1:2" ht="15.75" customHeight="1" x14ac:dyDescent="0.25">
      <c r="A1293" s="2" t="s">
        <v>1019</v>
      </c>
      <c r="B1293" s="2" t="s">
        <v>2357</v>
      </c>
    </row>
    <row r="1294" spans="1:2" ht="15.75" customHeight="1" x14ac:dyDescent="0.25">
      <c r="A1294" s="2" t="s">
        <v>540</v>
      </c>
      <c r="B1294" s="2" t="s">
        <v>2357</v>
      </c>
    </row>
    <row r="1295" spans="1:2" ht="15.75" customHeight="1" x14ac:dyDescent="0.25">
      <c r="A1295" s="2" t="s">
        <v>1503</v>
      </c>
      <c r="B1295" s="2" t="s">
        <v>2357</v>
      </c>
    </row>
    <row r="1296" spans="1:2" ht="15.75" customHeight="1" x14ac:dyDescent="0.25">
      <c r="A1296" s="2" t="s">
        <v>1600</v>
      </c>
      <c r="B1296" s="2" t="s">
        <v>2357</v>
      </c>
    </row>
    <row r="1297" spans="1:2" ht="15.75" customHeight="1" x14ac:dyDescent="0.25">
      <c r="A1297" s="2" t="s">
        <v>1454</v>
      </c>
      <c r="B1297" s="2" t="s">
        <v>2357</v>
      </c>
    </row>
    <row r="1298" spans="1:2" ht="15.75" customHeight="1" x14ac:dyDescent="0.25">
      <c r="A1298" s="2" t="s">
        <v>1933</v>
      </c>
      <c r="B1298" s="2" t="s">
        <v>2357</v>
      </c>
    </row>
    <row r="1299" spans="1:2" ht="15.75" customHeight="1" x14ac:dyDescent="0.25">
      <c r="A1299" s="2" t="s">
        <v>2299</v>
      </c>
      <c r="B1299" s="2" t="s">
        <v>2357</v>
      </c>
    </row>
    <row r="1300" spans="1:2" ht="15.75" customHeight="1" x14ac:dyDescent="0.25">
      <c r="A1300" s="2" t="s">
        <v>2303</v>
      </c>
      <c r="B1300" s="2" t="s">
        <v>2357</v>
      </c>
    </row>
    <row r="1301" spans="1:2" ht="15.75" customHeight="1" x14ac:dyDescent="0.25">
      <c r="A1301" s="2" t="s">
        <v>1147</v>
      </c>
      <c r="B1301" s="2" t="s">
        <v>2357</v>
      </c>
    </row>
    <row r="1302" spans="1:2" ht="15.75" customHeight="1" x14ac:dyDescent="0.25">
      <c r="A1302" s="2" t="s">
        <v>1423</v>
      </c>
      <c r="B1302" s="2" t="s">
        <v>2357</v>
      </c>
    </row>
    <row r="1303" spans="1:2" ht="15.75" customHeight="1" x14ac:dyDescent="0.25">
      <c r="A1303" s="2" t="s">
        <v>1588</v>
      </c>
      <c r="B1303" s="2" t="s">
        <v>2357</v>
      </c>
    </row>
    <row r="1304" spans="1:2" ht="15.75" customHeight="1" x14ac:dyDescent="0.25">
      <c r="A1304" s="2" t="s">
        <v>1598</v>
      </c>
      <c r="B1304" s="2" t="s">
        <v>2357</v>
      </c>
    </row>
    <row r="1305" spans="1:2" ht="15.75" customHeight="1" x14ac:dyDescent="0.25">
      <c r="A1305" s="2" t="s">
        <v>737</v>
      </c>
      <c r="B1305" s="2" t="s">
        <v>2359</v>
      </c>
    </row>
    <row r="1306" spans="1:2" ht="15.75" customHeight="1" x14ac:dyDescent="0.25">
      <c r="A1306" s="2" t="s">
        <v>2069</v>
      </c>
      <c r="B1306" s="2" t="s">
        <v>2357</v>
      </c>
    </row>
    <row r="1307" spans="1:2" ht="15.75" customHeight="1" x14ac:dyDescent="0.25">
      <c r="A1307" s="2" t="s">
        <v>1159</v>
      </c>
      <c r="B1307" s="2" t="s">
        <v>2356</v>
      </c>
    </row>
    <row r="1308" spans="1:2" ht="15.75" customHeight="1" x14ac:dyDescent="0.25">
      <c r="A1308" s="2" t="s">
        <v>535</v>
      </c>
      <c r="B1308" s="2" t="s">
        <v>2357</v>
      </c>
    </row>
    <row r="1309" spans="1:2" ht="15.75" customHeight="1" x14ac:dyDescent="0.25">
      <c r="A1309" s="2" t="s">
        <v>334</v>
      </c>
      <c r="B1309" s="2" t="s">
        <v>2357</v>
      </c>
    </row>
    <row r="1310" spans="1:2" ht="15.75" customHeight="1" x14ac:dyDescent="0.25">
      <c r="A1310" s="2" t="s">
        <v>2265</v>
      </c>
      <c r="B1310" s="2" t="s">
        <v>2360</v>
      </c>
    </row>
    <row r="1311" spans="1:2" ht="15.75" customHeight="1" x14ac:dyDescent="0.25">
      <c r="A1311" s="2" t="s">
        <v>850</v>
      </c>
      <c r="B1311" s="2" t="s">
        <v>2357</v>
      </c>
    </row>
    <row r="1312" spans="1:2" ht="15.75" customHeight="1" x14ac:dyDescent="0.25">
      <c r="A1312" s="2" t="s">
        <v>1217</v>
      </c>
      <c r="B1312" s="2" t="s">
        <v>2357</v>
      </c>
    </row>
    <row r="1313" spans="1:2" ht="15.75" customHeight="1" x14ac:dyDescent="0.25">
      <c r="A1313" s="2" t="s">
        <v>1556</v>
      </c>
      <c r="B1313" s="2" t="s">
        <v>2357</v>
      </c>
    </row>
    <row r="1314" spans="1:2" ht="15.75" customHeight="1" x14ac:dyDescent="0.25">
      <c r="A1314" s="2" t="s">
        <v>1496</v>
      </c>
      <c r="B1314" s="2" t="s">
        <v>2357</v>
      </c>
    </row>
    <row r="1315" spans="1:2" ht="15.75" customHeight="1" x14ac:dyDescent="0.25">
      <c r="A1315" s="2" t="s">
        <v>2347</v>
      </c>
      <c r="B1315" s="2" t="s">
        <v>2359</v>
      </c>
    </row>
    <row r="1316" spans="1:2" ht="15.75" customHeight="1" x14ac:dyDescent="0.25">
      <c r="A1316" s="2" t="s">
        <v>1938</v>
      </c>
      <c r="B1316" s="2" t="s">
        <v>2357</v>
      </c>
    </row>
    <row r="1317" spans="1:2" ht="15.75" customHeight="1" x14ac:dyDescent="0.25">
      <c r="A1317" s="2" t="s">
        <v>545</v>
      </c>
      <c r="B1317" s="2" t="s">
        <v>2357</v>
      </c>
    </row>
    <row r="1318" spans="1:2" ht="15.75" customHeight="1" x14ac:dyDescent="0.25">
      <c r="A1318" s="2" t="s">
        <v>1427</v>
      </c>
      <c r="B1318" s="2" t="s">
        <v>2357</v>
      </c>
    </row>
    <row r="1319" spans="1:2" ht="15.75" customHeight="1" x14ac:dyDescent="0.25">
      <c r="A1319" s="2" t="s">
        <v>1092</v>
      </c>
      <c r="B1319" s="2" t="s">
        <v>2357</v>
      </c>
    </row>
    <row r="1320" spans="1:2" ht="15.75" customHeight="1" x14ac:dyDescent="0.25">
      <c r="A1320" s="2" t="s">
        <v>1513</v>
      </c>
      <c r="B1320" s="2" t="s">
        <v>2357</v>
      </c>
    </row>
    <row r="1321" spans="1:2" ht="15.75" customHeight="1" x14ac:dyDescent="0.25">
      <c r="A1321" s="2" t="s">
        <v>1056</v>
      </c>
      <c r="B1321" s="2" t="s">
        <v>2357</v>
      </c>
    </row>
    <row r="1322" spans="1:2" ht="15.75" customHeight="1" x14ac:dyDescent="0.25">
      <c r="A1322" s="2" t="s">
        <v>2160</v>
      </c>
      <c r="B1322" s="2" t="s">
        <v>2357</v>
      </c>
    </row>
    <row r="1323" spans="1:2" ht="15.75" customHeight="1" x14ac:dyDescent="0.25">
      <c r="A1323" s="2" t="s">
        <v>2212</v>
      </c>
      <c r="B1323" s="2" t="s">
        <v>2358</v>
      </c>
    </row>
    <row r="1324" spans="1:2" ht="15.75" customHeight="1" x14ac:dyDescent="0.25">
      <c r="A1324" s="2" t="s">
        <v>485</v>
      </c>
      <c r="B1324" s="2" t="s">
        <v>2357</v>
      </c>
    </row>
    <row r="1325" spans="1:2" ht="15.75" customHeight="1" x14ac:dyDescent="0.25">
      <c r="A1325" s="2" t="s">
        <v>2183</v>
      </c>
      <c r="B1325" s="2" t="s">
        <v>2357</v>
      </c>
    </row>
    <row r="1326" spans="1:2" ht="15.75" customHeight="1" x14ac:dyDescent="0.25">
      <c r="A1326" s="2" t="s">
        <v>474</v>
      </c>
      <c r="B1326" s="2" t="s">
        <v>2357</v>
      </c>
    </row>
    <row r="1327" spans="1:2" ht="15.75" customHeight="1" x14ac:dyDescent="0.25">
      <c r="A1327" s="2" t="s">
        <v>1701</v>
      </c>
      <c r="B1327" s="2" t="s">
        <v>2356</v>
      </c>
    </row>
    <row r="1328" spans="1:2" ht="15.75" customHeight="1" x14ac:dyDescent="0.25">
      <c r="A1328" s="2" t="s">
        <v>561</v>
      </c>
      <c r="B1328" s="2" t="s">
        <v>2357</v>
      </c>
    </row>
    <row r="1329" spans="1:2" ht="15.75" customHeight="1" x14ac:dyDescent="0.25">
      <c r="A1329" s="2" t="s">
        <v>507</v>
      </c>
      <c r="B1329" s="2" t="s">
        <v>2357</v>
      </c>
    </row>
    <row r="1330" spans="1:2" ht="15.75" customHeight="1" x14ac:dyDescent="0.25">
      <c r="A1330" s="2" t="s">
        <v>2015</v>
      </c>
      <c r="B1330" s="2" t="s">
        <v>2357</v>
      </c>
    </row>
    <row r="1331" spans="1:2" ht="15.75" customHeight="1" x14ac:dyDescent="0.25">
      <c r="A1331" s="2" t="s">
        <v>701</v>
      </c>
      <c r="B1331" s="2" t="s">
        <v>2357</v>
      </c>
    </row>
    <row r="1332" spans="1:2" ht="15.75" customHeight="1" x14ac:dyDescent="0.25">
      <c r="A1332" s="2" t="s">
        <v>1896</v>
      </c>
      <c r="B1332" s="2" t="s">
        <v>2357</v>
      </c>
    </row>
    <row r="1333" spans="1:2" ht="15.75" customHeight="1" x14ac:dyDescent="0.25">
      <c r="A1333" s="2" t="s">
        <v>2243</v>
      </c>
      <c r="B1333" s="2" t="s">
        <v>2358</v>
      </c>
    </row>
    <row r="1334" spans="1:2" ht="15.75" customHeight="1" x14ac:dyDescent="0.25">
      <c r="A1334" s="2" t="s">
        <v>1656</v>
      </c>
      <c r="B1334" s="2" t="s">
        <v>2359</v>
      </c>
    </row>
    <row r="1335" spans="1:2" ht="15.75" customHeight="1" x14ac:dyDescent="0.25">
      <c r="A1335" s="2" t="s">
        <v>390</v>
      </c>
      <c r="B1335" s="2" t="s">
        <v>2357</v>
      </c>
    </row>
    <row r="1336" spans="1:2" ht="15.75" customHeight="1" x14ac:dyDescent="0.25">
      <c r="A1336" s="2" t="s">
        <v>1097</v>
      </c>
      <c r="B1336" s="2" t="s">
        <v>2357</v>
      </c>
    </row>
    <row r="1337" spans="1:2" ht="15.75" customHeight="1" x14ac:dyDescent="0.25">
      <c r="A1337" s="2" t="s">
        <v>1479</v>
      </c>
      <c r="B1337" s="2" t="s">
        <v>2357</v>
      </c>
    </row>
    <row r="1338" spans="1:2" ht="15.75" customHeight="1" x14ac:dyDescent="0.25">
      <c r="A1338" s="2" t="s">
        <v>946</v>
      </c>
      <c r="B1338" s="2" t="s">
        <v>2357</v>
      </c>
    </row>
    <row r="1339" spans="1:2" ht="15.75" customHeight="1" x14ac:dyDescent="0.25">
      <c r="A1339" s="2" t="s">
        <v>2168</v>
      </c>
      <c r="B1339" s="2" t="s">
        <v>2357</v>
      </c>
    </row>
    <row r="1340" spans="1:2" ht="15.75" customHeight="1" x14ac:dyDescent="0.25">
      <c r="A1340" s="2" t="s">
        <v>1618</v>
      </c>
      <c r="B1340" s="2" t="s">
        <v>2357</v>
      </c>
    </row>
    <row r="1341" spans="1:2" ht="15.75" customHeight="1" x14ac:dyDescent="0.25">
      <c r="A1341" s="2" t="s">
        <v>581</v>
      </c>
      <c r="B1341" s="2" t="s">
        <v>2356</v>
      </c>
    </row>
    <row r="1342" spans="1:2" ht="15.75" customHeight="1" x14ac:dyDescent="0.25">
      <c r="A1342" s="2" t="s">
        <v>1118</v>
      </c>
      <c r="B1342" s="2" t="s">
        <v>2357</v>
      </c>
    </row>
    <row r="1343" spans="1:2" ht="15.75" customHeight="1" x14ac:dyDescent="0.25">
      <c r="A1343" s="2" t="s">
        <v>1017</v>
      </c>
      <c r="B1343" s="2" t="s">
        <v>2357</v>
      </c>
    </row>
    <row r="1344" spans="1:2" ht="15.75" customHeight="1" x14ac:dyDescent="0.25">
      <c r="A1344" s="2" t="s">
        <v>2148</v>
      </c>
      <c r="B1344" s="2" t="s">
        <v>2357</v>
      </c>
    </row>
    <row r="1345" spans="1:2" ht="15.75" customHeight="1" x14ac:dyDescent="0.25">
      <c r="A1345" s="2" t="s">
        <v>2041</v>
      </c>
      <c r="B1345" s="2" t="s">
        <v>2357</v>
      </c>
    </row>
    <row r="1346" spans="1:2" ht="15.75" customHeight="1" x14ac:dyDescent="0.25">
      <c r="A1346" s="2" t="s">
        <v>849</v>
      </c>
      <c r="B1346" s="2" t="s">
        <v>2357</v>
      </c>
    </row>
    <row r="1347" spans="1:2" ht="15.75" customHeight="1" x14ac:dyDescent="0.25">
      <c r="A1347" s="2" t="s">
        <v>2317</v>
      </c>
      <c r="B1347" s="2" t="s">
        <v>2358</v>
      </c>
    </row>
    <row r="1348" spans="1:2" ht="15.75" customHeight="1" x14ac:dyDescent="0.25">
      <c r="A1348" s="2" t="s">
        <v>493</v>
      </c>
      <c r="B1348" s="2" t="s">
        <v>2357</v>
      </c>
    </row>
    <row r="1349" spans="1:2" ht="15.75" customHeight="1" x14ac:dyDescent="0.25">
      <c r="A1349" s="2" t="s">
        <v>1432</v>
      </c>
      <c r="B1349" s="2" t="s">
        <v>2359</v>
      </c>
    </row>
    <row r="1350" spans="1:2" ht="15.75" customHeight="1" x14ac:dyDescent="0.25">
      <c r="A1350" s="2" t="s">
        <v>1208</v>
      </c>
      <c r="B1350" s="2" t="s">
        <v>2357</v>
      </c>
    </row>
    <row r="1351" spans="1:2" ht="15.75" customHeight="1" x14ac:dyDescent="0.25">
      <c r="A1351" s="2" t="s">
        <v>2234</v>
      </c>
      <c r="B1351" s="2" t="s">
        <v>2358</v>
      </c>
    </row>
    <row r="1352" spans="1:2" ht="15.75" customHeight="1" x14ac:dyDescent="0.25">
      <c r="A1352" s="2" t="s">
        <v>1721</v>
      </c>
      <c r="B1352" s="2" t="s">
        <v>2357</v>
      </c>
    </row>
    <row r="1353" spans="1:2" ht="15.75" customHeight="1" x14ac:dyDescent="0.25">
      <c r="A1353" s="2" t="s">
        <v>925</v>
      </c>
      <c r="B1353" s="2" t="s">
        <v>2357</v>
      </c>
    </row>
    <row r="1354" spans="1:2" ht="15.75" customHeight="1" x14ac:dyDescent="0.25">
      <c r="A1354" s="2" t="s">
        <v>630</v>
      </c>
      <c r="B1354" s="2" t="s">
        <v>2357</v>
      </c>
    </row>
    <row r="1355" spans="1:2" ht="15.75" customHeight="1" x14ac:dyDescent="0.25">
      <c r="A1355" s="2" t="s">
        <v>1669</v>
      </c>
      <c r="B1355" s="2" t="s">
        <v>2357</v>
      </c>
    </row>
    <row r="1356" spans="1:2" ht="15.75" customHeight="1" x14ac:dyDescent="0.25">
      <c r="A1356" s="2" t="s">
        <v>1468</v>
      </c>
      <c r="B1356" s="2" t="s">
        <v>2357</v>
      </c>
    </row>
    <row r="1357" spans="1:2" ht="15.75" customHeight="1" x14ac:dyDescent="0.25">
      <c r="A1357" s="2" t="s">
        <v>204</v>
      </c>
      <c r="B1357" s="2" t="s">
        <v>2357</v>
      </c>
    </row>
    <row r="1358" spans="1:2" ht="15.75" customHeight="1" x14ac:dyDescent="0.25">
      <c r="A1358" s="2" t="s">
        <v>879</v>
      </c>
      <c r="B1358" s="2" t="s">
        <v>2357</v>
      </c>
    </row>
    <row r="1359" spans="1:2" ht="15.75" customHeight="1" x14ac:dyDescent="0.25">
      <c r="A1359" s="2" t="s">
        <v>1894</v>
      </c>
      <c r="B1359" s="2" t="s">
        <v>2357</v>
      </c>
    </row>
    <row r="1360" spans="1:2" ht="15.75" customHeight="1" x14ac:dyDescent="0.25">
      <c r="A1360" s="2" t="s">
        <v>1911</v>
      </c>
      <c r="B1360" s="2" t="s">
        <v>2357</v>
      </c>
    </row>
    <row r="1361" spans="1:2" ht="15.75" customHeight="1" x14ac:dyDescent="0.25">
      <c r="A1361" s="2" t="s">
        <v>1937</v>
      </c>
      <c r="B1361" s="2" t="s">
        <v>2356</v>
      </c>
    </row>
    <row r="1362" spans="1:2" ht="15.75" customHeight="1" x14ac:dyDescent="0.25">
      <c r="A1362" s="2" t="s">
        <v>1356</v>
      </c>
      <c r="B1362" s="2" t="s">
        <v>2357</v>
      </c>
    </row>
    <row r="1363" spans="1:2" ht="15.75" customHeight="1" x14ac:dyDescent="0.25">
      <c r="A1363" s="2" t="s">
        <v>1661</v>
      </c>
      <c r="B1363" s="2" t="s">
        <v>2356</v>
      </c>
    </row>
    <row r="1364" spans="1:2" ht="15.75" customHeight="1" x14ac:dyDescent="0.25">
      <c r="A1364" s="2" t="s">
        <v>1064</v>
      </c>
      <c r="B1364" s="2" t="s">
        <v>2357</v>
      </c>
    </row>
    <row r="1365" spans="1:2" ht="15.75" customHeight="1" x14ac:dyDescent="0.25">
      <c r="A1365" s="2" t="s">
        <v>1357</v>
      </c>
      <c r="B1365" s="2" t="s">
        <v>2357</v>
      </c>
    </row>
    <row r="1366" spans="1:2" ht="15.75" customHeight="1" x14ac:dyDescent="0.25">
      <c r="A1366" s="2" t="s">
        <v>1976</v>
      </c>
      <c r="B1366" s="2" t="s">
        <v>2357</v>
      </c>
    </row>
    <row r="1367" spans="1:2" ht="15.75" customHeight="1" x14ac:dyDescent="0.25">
      <c r="A1367" s="2" t="s">
        <v>1946</v>
      </c>
      <c r="B1367" s="2" t="s">
        <v>2357</v>
      </c>
    </row>
    <row r="1368" spans="1:2" ht="15.75" customHeight="1" x14ac:dyDescent="0.25">
      <c r="A1368" s="2" t="s">
        <v>2029</v>
      </c>
      <c r="B1368" s="2" t="s">
        <v>2357</v>
      </c>
    </row>
    <row r="1369" spans="1:2" ht="15.75" customHeight="1" x14ac:dyDescent="0.25">
      <c r="A1369" s="2" t="s">
        <v>2039</v>
      </c>
      <c r="B1369" s="2" t="s">
        <v>2356</v>
      </c>
    </row>
    <row r="1370" spans="1:2" ht="15.75" customHeight="1" x14ac:dyDescent="0.25">
      <c r="A1370" s="2" t="s">
        <v>1028</v>
      </c>
      <c r="B1370" s="2" t="s">
        <v>2357</v>
      </c>
    </row>
    <row r="1371" spans="1:2" ht="15.75" customHeight="1" x14ac:dyDescent="0.25">
      <c r="A1371" s="2" t="s">
        <v>1553</v>
      </c>
      <c r="B1371" s="2" t="s">
        <v>2356</v>
      </c>
    </row>
    <row r="1372" spans="1:2" ht="15.75" customHeight="1" x14ac:dyDescent="0.25">
      <c r="A1372" s="2" t="s">
        <v>1086</v>
      </c>
      <c r="B1372" s="2" t="s">
        <v>2357</v>
      </c>
    </row>
    <row r="1373" spans="1:2" ht="15.75" customHeight="1" x14ac:dyDescent="0.25">
      <c r="A1373" s="2" t="s">
        <v>1540</v>
      </c>
      <c r="B1373" s="2" t="s">
        <v>2357</v>
      </c>
    </row>
    <row r="1374" spans="1:2" ht="15.75" customHeight="1" x14ac:dyDescent="0.25">
      <c r="A1374" s="2" t="s">
        <v>801</v>
      </c>
      <c r="B1374" s="2" t="s">
        <v>2357</v>
      </c>
    </row>
    <row r="1375" spans="1:2" ht="15.75" customHeight="1" x14ac:dyDescent="0.25">
      <c r="A1375" s="2" t="s">
        <v>1354</v>
      </c>
      <c r="B1375" s="2" t="s">
        <v>2357</v>
      </c>
    </row>
    <row r="1376" spans="1:2" ht="15.75" customHeight="1" x14ac:dyDescent="0.25">
      <c r="A1376" s="2" t="s">
        <v>768</v>
      </c>
      <c r="B1376" s="2" t="s">
        <v>2357</v>
      </c>
    </row>
    <row r="1377" spans="1:2" ht="15.75" customHeight="1" x14ac:dyDescent="0.25">
      <c r="A1377" s="2" t="s">
        <v>1089</v>
      </c>
      <c r="B1377" s="2" t="s">
        <v>2356</v>
      </c>
    </row>
    <row r="1378" spans="1:2" ht="15.75" customHeight="1" x14ac:dyDescent="0.25">
      <c r="A1378" s="2" t="s">
        <v>236</v>
      </c>
      <c r="B1378" s="2" t="s">
        <v>2357</v>
      </c>
    </row>
    <row r="1379" spans="1:2" ht="15.75" customHeight="1" x14ac:dyDescent="0.25">
      <c r="A1379" s="2" t="s">
        <v>1616</v>
      </c>
      <c r="B1379" s="2" t="s">
        <v>2357</v>
      </c>
    </row>
    <row r="1380" spans="1:2" ht="15.75" customHeight="1" x14ac:dyDescent="0.25">
      <c r="A1380" s="2" t="s">
        <v>1608</v>
      </c>
      <c r="B1380" s="2" t="s">
        <v>2357</v>
      </c>
    </row>
    <row r="1381" spans="1:2" ht="15.75" customHeight="1" x14ac:dyDescent="0.25">
      <c r="A1381" s="2" t="s">
        <v>833</v>
      </c>
      <c r="B1381" s="2" t="s">
        <v>2357</v>
      </c>
    </row>
    <row r="1382" spans="1:2" ht="15.75" customHeight="1" x14ac:dyDescent="0.25">
      <c r="A1382" s="2" t="s">
        <v>2060</v>
      </c>
      <c r="B1382" s="2" t="s">
        <v>2357</v>
      </c>
    </row>
    <row r="1383" spans="1:2" ht="15.75" customHeight="1" x14ac:dyDescent="0.25">
      <c r="A1383" s="2" t="s">
        <v>1837</v>
      </c>
      <c r="B1383" s="2" t="s">
        <v>2359</v>
      </c>
    </row>
    <row r="1384" spans="1:2" ht="15.75" customHeight="1" x14ac:dyDescent="0.25">
      <c r="A1384" s="2" t="s">
        <v>1499</v>
      </c>
      <c r="B1384" s="2" t="s">
        <v>2356</v>
      </c>
    </row>
    <row r="1385" spans="1:2" ht="15.75" customHeight="1" x14ac:dyDescent="0.25">
      <c r="A1385" s="2" t="s">
        <v>1815</v>
      </c>
      <c r="B1385" s="2" t="s">
        <v>2357</v>
      </c>
    </row>
    <row r="1386" spans="1:2" ht="15.75" customHeight="1" x14ac:dyDescent="0.25">
      <c r="A1386" s="2" t="s">
        <v>2272</v>
      </c>
      <c r="B1386" s="2" t="s">
        <v>2360</v>
      </c>
    </row>
    <row r="1387" spans="1:2" ht="15.75" customHeight="1" x14ac:dyDescent="0.25">
      <c r="A1387" s="2" t="s">
        <v>2163</v>
      </c>
      <c r="B1387" s="2" t="s">
        <v>2357</v>
      </c>
    </row>
    <row r="1388" spans="1:2" ht="15.75" customHeight="1" x14ac:dyDescent="0.25">
      <c r="A1388" s="2" t="s">
        <v>1782</v>
      </c>
      <c r="B1388" s="2" t="s">
        <v>2357</v>
      </c>
    </row>
    <row r="1389" spans="1:2" ht="15.75" customHeight="1" x14ac:dyDescent="0.25">
      <c r="A1389" s="2" t="s">
        <v>1398</v>
      </c>
      <c r="B1389" s="2" t="s">
        <v>2357</v>
      </c>
    </row>
    <row r="1390" spans="1:2" ht="15.75" customHeight="1" x14ac:dyDescent="0.25">
      <c r="A1390" s="2" t="s">
        <v>1262</v>
      </c>
      <c r="B1390" s="2" t="s">
        <v>2357</v>
      </c>
    </row>
    <row r="1391" spans="1:2" ht="15.75" customHeight="1" x14ac:dyDescent="0.25">
      <c r="A1391" s="2" t="s">
        <v>2063</v>
      </c>
      <c r="B1391" s="2" t="s">
        <v>2357</v>
      </c>
    </row>
    <row r="1392" spans="1:2" ht="15.75" customHeight="1" x14ac:dyDescent="0.25">
      <c r="A1392" s="2" t="s">
        <v>2294</v>
      </c>
      <c r="B1392" s="2" t="s">
        <v>2358</v>
      </c>
    </row>
    <row r="1393" spans="1:2" ht="15.75" customHeight="1" x14ac:dyDescent="0.25">
      <c r="A1393" s="2" t="s">
        <v>1272</v>
      </c>
      <c r="B1393" s="2" t="s">
        <v>2357</v>
      </c>
    </row>
    <row r="1394" spans="1:2" ht="15.75" customHeight="1" x14ac:dyDescent="0.25">
      <c r="A1394" s="2" t="s">
        <v>1681</v>
      </c>
      <c r="B1394" s="2" t="s">
        <v>2357</v>
      </c>
    </row>
    <row r="1395" spans="1:2" ht="15.75" customHeight="1" x14ac:dyDescent="0.25">
      <c r="A1395" s="2" t="s">
        <v>936</v>
      </c>
      <c r="B1395" s="2" t="s">
        <v>2357</v>
      </c>
    </row>
    <row r="1396" spans="1:2" ht="15.75" customHeight="1" x14ac:dyDescent="0.25">
      <c r="A1396" s="2" t="s">
        <v>230</v>
      </c>
      <c r="B1396" s="2" t="s">
        <v>2357</v>
      </c>
    </row>
    <row r="1397" spans="1:2" ht="15.75" customHeight="1" x14ac:dyDescent="0.25">
      <c r="A1397" s="2" t="s">
        <v>1796</v>
      </c>
      <c r="B1397" s="2" t="s">
        <v>2356</v>
      </c>
    </row>
    <row r="1398" spans="1:2" ht="15.75" customHeight="1" x14ac:dyDescent="0.25">
      <c r="A1398" s="2" t="s">
        <v>1881</v>
      </c>
      <c r="B1398" s="2" t="s">
        <v>2357</v>
      </c>
    </row>
    <row r="1399" spans="1:2" ht="15.75" customHeight="1" x14ac:dyDescent="0.25">
      <c r="A1399" s="2" t="s">
        <v>2235</v>
      </c>
      <c r="B1399" s="2" t="s">
        <v>2360</v>
      </c>
    </row>
    <row r="1400" spans="1:2" ht="15.75" customHeight="1" x14ac:dyDescent="0.25">
      <c r="A1400" s="2" t="s">
        <v>2003</v>
      </c>
      <c r="B1400" s="2" t="s">
        <v>2357</v>
      </c>
    </row>
    <row r="1401" spans="1:2" ht="15.75" customHeight="1" x14ac:dyDescent="0.25">
      <c r="A1401" s="2" t="s">
        <v>2104</v>
      </c>
      <c r="B1401" s="2" t="s">
        <v>2356</v>
      </c>
    </row>
    <row r="1402" spans="1:2" ht="15.75" customHeight="1" x14ac:dyDescent="0.25">
      <c r="A1402" s="2" t="s">
        <v>1274</v>
      </c>
      <c r="B1402" s="2" t="s">
        <v>2356</v>
      </c>
    </row>
    <row r="1403" spans="1:2" ht="15.75" customHeight="1" x14ac:dyDescent="0.25">
      <c r="A1403" s="2" t="s">
        <v>1425</v>
      </c>
      <c r="B1403" s="2" t="s">
        <v>2357</v>
      </c>
    </row>
    <row r="1404" spans="1:2" ht="15.75" customHeight="1" x14ac:dyDescent="0.25">
      <c r="A1404" s="2" t="s">
        <v>663</v>
      </c>
      <c r="B1404" s="2" t="s">
        <v>2356</v>
      </c>
    </row>
    <row r="1405" spans="1:2" ht="15.75" customHeight="1" x14ac:dyDescent="0.25">
      <c r="A1405" s="2" t="s">
        <v>809</v>
      </c>
      <c r="B1405" s="2" t="s">
        <v>2357</v>
      </c>
    </row>
    <row r="1406" spans="1:2" ht="15.75" customHeight="1" x14ac:dyDescent="0.25">
      <c r="A1406" s="2" t="s">
        <v>2107</v>
      </c>
      <c r="B1406" s="2" t="s">
        <v>2357</v>
      </c>
    </row>
    <row r="1407" spans="1:2" ht="15.75" customHeight="1" x14ac:dyDescent="0.25">
      <c r="A1407" s="2" t="s">
        <v>655</v>
      </c>
      <c r="B1407" s="2" t="s">
        <v>2357</v>
      </c>
    </row>
    <row r="1408" spans="1:2" ht="15.75" customHeight="1" x14ac:dyDescent="0.25">
      <c r="A1408" s="2" t="s">
        <v>1113</v>
      </c>
      <c r="B1408" s="2" t="s">
        <v>2357</v>
      </c>
    </row>
    <row r="1409" spans="1:2" ht="15.75" customHeight="1" x14ac:dyDescent="0.25">
      <c r="A1409" s="2" t="s">
        <v>1662</v>
      </c>
      <c r="B1409" s="2" t="s">
        <v>2356</v>
      </c>
    </row>
    <row r="1410" spans="1:2" ht="15.75" customHeight="1" x14ac:dyDescent="0.25">
      <c r="A1410" s="2" t="s">
        <v>399</v>
      </c>
      <c r="B1410" s="2" t="s">
        <v>2356</v>
      </c>
    </row>
    <row r="1411" spans="1:2" ht="15.75" customHeight="1" x14ac:dyDescent="0.25">
      <c r="A1411" s="2" t="s">
        <v>522</v>
      </c>
      <c r="B1411" s="2" t="s">
        <v>2357</v>
      </c>
    </row>
    <row r="1412" spans="1:2" ht="15.75" customHeight="1" x14ac:dyDescent="0.25">
      <c r="A1412" s="2" t="s">
        <v>1698</v>
      </c>
      <c r="B1412" s="2" t="s">
        <v>2357</v>
      </c>
    </row>
    <row r="1413" spans="1:2" ht="15.75" customHeight="1" x14ac:dyDescent="0.25">
      <c r="A1413" s="2" t="s">
        <v>2102</v>
      </c>
      <c r="B1413" s="2" t="s">
        <v>2357</v>
      </c>
    </row>
    <row r="1414" spans="1:2" ht="15.75" customHeight="1" x14ac:dyDescent="0.25">
      <c r="A1414" s="2" t="s">
        <v>590</v>
      </c>
      <c r="B1414" s="2" t="s">
        <v>2357</v>
      </c>
    </row>
    <row r="1415" spans="1:2" ht="15.75" customHeight="1" x14ac:dyDescent="0.25">
      <c r="A1415" s="2" t="s">
        <v>124</v>
      </c>
      <c r="B1415" s="2" t="s">
        <v>2357</v>
      </c>
    </row>
    <row r="1416" spans="1:2" ht="15.75" customHeight="1" x14ac:dyDescent="0.25">
      <c r="A1416" s="2" t="s">
        <v>1292</v>
      </c>
      <c r="B1416" s="2" t="s">
        <v>2357</v>
      </c>
    </row>
    <row r="1417" spans="1:2" ht="15.75" customHeight="1" x14ac:dyDescent="0.25">
      <c r="A1417" s="2" t="s">
        <v>1449</v>
      </c>
      <c r="B1417" s="2" t="s">
        <v>2356</v>
      </c>
    </row>
    <row r="1418" spans="1:2" ht="15.75" customHeight="1" x14ac:dyDescent="0.25">
      <c r="A1418" s="2" t="s">
        <v>1518</v>
      </c>
      <c r="B1418" s="2" t="s">
        <v>2357</v>
      </c>
    </row>
    <row r="1419" spans="1:2" ht="15.75" customHeight="1" x14ac:dyDescent="0.25">
      <c r="A1419" s="2" t="s">
        <v>1778</v>
      </c>
      <c r="B1419" s="2" t="s">
        <v>2357</v>
      </c>
    </row>
    <row r="1420" spans="1:2" ht="15.75" customHeight="1" x14ac:dyDescent="0.25">
      <c r="A1420" s="2" t="s">
        <v>1740</v>
      </c>
      <c r="B1420" s="2" t="s">
        <v>2356</v>
      </c>
    </row>
    <row r="1421" spans="1:2" ht="15.75" customHeight="1" x14ac:dyDescent="0.25">
      <c r="A1421" s="2" t="s">
        <v>263</v>
      </c>
      <c r="B1421" s="2" t="s">
        <v>2357</v>
      </c>
    </row>
    <row r="1422" spans="1:2" ht="15.75" customHeight="1" x14ac:dyDescent="0.25">
      <c r="A1422" s="2" t="s">
        <v>1704</v>
      </c>
      <c r="B1422" s="2" t="s">
        <v>2356</v>
      </c>
    </row>
    <row r="1423" spans="1:2" ht="15.75" customHeight="1" x14ac:dyDescent="0.25">
      <c r="A1423" s="2" t="s">
        <v>517</v>
      </c>
      <c r="B1423" s="2" t="s">
        <v>2356</v>
      </c>
    </row>
    <row r="1424" spans="1:2" ht="15.75" customHeight="1" x14ac:dyDescent="0.25">
      <c r="A1424" s="2" t="s">
        <v>1838</v>
      </c>
      <c r="B1424" s="2" t="s">
        <v>2356</v>
      </c>
    </row>
    <row r="1425" spans="1:2" ht="15.75" customHeight="1" x14ac:dyDescent="0.25">
      <c r="A1425" s="2" t="s">
        <v>1014</v>
      </c>
      <c r="B1425" s="2" t="s">
        <v>2357</v>
      </c>
    </row>
    <row r="1426" spans="1:2" ht="15.75" customHeight="1" x14ac:dyDescent="0.25">
      <c r="A1426" s="2" t="s">
        <v>1694</v>
      </c>
      <c r="B1426" s="2" t="s">
        <v>2357</v>
      </c>
    </row>
    <row r="1427" spans="1:2" ht="15.75" customHeight="1" x14ac:dyDescent="0.25">
      <c r="A1427" s="2" t="s">
        <v>1743</v>
      </c>
      <c r="B1427" s="2" t="s">
        <v>2356</v>
      </c>
    </row>
    <row r="1428" spans="1:2" ht="15.75" customHeight="1" x14ac:dyDescent="0.25">
      <c r="A1428" s="2" t="s">
        <v>1264</v>
      </c>
      <c r="B1428" s="2" t="s">
        <v>2357</v>
      </c>
    </row>
    <row r="1429" spans="1:2" ht="15.75" customHeight="1" x14ac:dyDescent="0.25">
      <c r="A1429" s="2" t="s">
        <v>783</v>
      </c>
      <c r="B1429" s="2" t="s">
        <v>2356</v>
      </c>
    </row>
    <row r="1430" spans="1:2" ht="15.75" customHeight="1" x14ac:dyDescent="0.25">
      <c r="A1430" s="2" t="s">
        <v>2177</v>
      </c>
      <c r="B1430" s="2" t="s">
        <v>2359</v>
      </c>
    </row>
    <row r="1431" spans="1:2" ht="15.75" customHeight="1" x14ac:dyDescent="0.25">
      <c r="A1431" s="2" t="s">
        <v>1158</v>
      </c>
      <c r="B1431" s="2" t="s">
        <v>2357</v>
      </c>
    </row>
    <row r="1432" spans="1:2" ht="15.75" customHeight="1" x14ac:dyDescent="0.25">
      <c r="A1432" s="2" t="s">
        <v>1589</v>
      </c>
      <c r="B1432" s="2" t="s">
        <v>2357</v>
      </c>
    </row>
    <row r="1433" spans="1:2" ht="15.75" customHeight="1" x14ac:dyDescent="0.25">
      <c r="A1433" s="2" t="s">
        <v>1866</v>
      </c>
      <c r="B1433" s="2" t="s">
        <v>2357</v>
      </c>
    </row>
    <row r="1434" spans="1:2" ht="15.75" customHeight="1" x14ac:dyDescent="0.25">
      <c r="A1434" s="2" t="s">
        <v>942</v>
      </c>
      <c r="B1434" s="2" t="s">
        <v>2357</v>
      </c>
    </row>
    <row r="1435" spans="1:2" ht="15.75" customHeight="1" x14ac:dyDescent="0.25">
      <c r="A1435" s="2" t="s">
        <v>2275</v>
      </c>
      <c r="B1435" s="2" t="s">
        <v>2356</v>
      </c>
    </row>
    <row r="1436" spans="1:2" ht="15.75" customHeight="1" x14ac:dyDescent="0.25">
      <c r="A1436" s="2" t="s">
        <v>401</v>
      </c>
      <c r="B1436" s="2" t="s">
        <v>2357</v>
      </c>
    </row>
    <row r="1437" spans="1:2" ht="15.75" customHeight="1" x14ac:dyDescent="0.25">
      <c r="A1437" s="2" t="s">
        <v>2081</v>
      </c>
      <c r="B1437" s="2" t="s">
        <v>2357</v>
      </c>
    </row>
    <row r="1438" spans="1:2" ht="15.75" customHeight="1" x14ac:dyDescent="0.25">
      <c r="A1438" s="2" t="s">
        <v>1302</v>
      </c>
      <c r="B1438" s="2" t="s">
        <v>2357</v>
      </c>
    </row>
    <row r="1439" spans="1:2" ht="15.75" customHeight="1" x14ac:dyDescent="0.25">
      <c r="A1439" s="2" t="s">
        <v>628</v>
      </c>
      <c r="B1439" s="2" t="s">
        <v>2357</v>
      </c>
    </row>
    <row r="1440" spans="1:2" ht="15.75" customHeight="1" x14ac:dyDescent="0.25">
      <c r="A1440" s="2" t="s">
        <v>698</v>
      </c>
      <c r="B1440" s="2" t="s">
        <v>2356</v>
      </c>
    </row>
    <row r="1441" spans="1:2" ht="15.75" customHeight="1" x14ac:dyDescent="0.25">
      <c r="A1441" s="2" t="s">
        <v>2134</v>
      </c>
      <c r="B1441" s="2" t="s">
        <v>2358</v>
      </c>
    </row>
    <row r="1442" spans="1:2" ht="15.75" customHeight="1" x14ac:dyDescent="0.25">
      <c r="A1442" s="2" t="s">
        <v>1529</v>
      </c>
      <c r="B1442" s="2" t="s">
        <v>2356</v>
      </c>
    </row>
    <row r="1443" spans="1:2" ht="15.75" customHeight="1" x14ac:dyDescent="0.25">
      <c r="A1443" s="2" t="s">
        <v>1912</v>
      </c>
      <c r="B1443" s="2" t="s">
        <v>2356</v>
      </c>
    </row>
    <row r="1444" spans="1:2" ht="15.75" customHeight="1" x14ac:dyDescent="0.25">
      <c r="A1444" s="2" t="s">
        <v>1865</v>
      </c>
      <c r="B1444" s="2" t="s">
        <v>2357</v>
      </c>
    </row>
    <row r="1445" spans="1:2" ht="15.75" customHeight="1" x14ac:dyDescent="0.25">
      <c r="A1445" s="2" t="s">
        <v>2280</v>
      </c>
      <c r="B1445" s="2" t="s">
        <v>2359</v>
      </c>
    </row>
    <row r="1446" spans="1:2" ht="15.75" customHeight="1" x14ac:dyDescent="0.25">
      <c r="A1446" s="2" t="s">
        <v>1442</v>
      </c>
      <c r="B1446" s="2" t="s">
        <v>2357</v>
      </c>
    </row>
    <row r="1447" spans="1:2" ht="15.75" customHeight="1" x14ac:dyDescent="0.25">
      <c r="A1447" s="2" t="s">
        <v>1641</v>
      </c>
      <c r="B1447" s="2" t="s">
        <v>2357</v>
      </c>
    </row>
    <row r="1448" spans="1:2" ht="15.75" customHeight="1" x14ac:dyDescent="0.25">
      <c r="A1448" s="2" t="s">
        <v>1151</v>
      </c>
      <c r="B1448" s="2" t="s">
        <v>2357</v>
      </c>
    </row>
    <row r="1449" spans="1:2" ht="15.75" customHeight="1" x14ac:dyDescent="0.25">
      <c r="A1449" s="2" t="s">
        <v>1535</v>
      </c>
      <c r="B1449" s="2" t="s">
        <v>2357</v>
      </c>
    </row>
    <row r="1450" spans="1:2" ht="15.75" customHeight="1" x14ac:dyDescent="0.25">
      <c r="A1450" s="2" t="s">
        <v>863</v>
      </c>
      <c r="B1450" s="2" t="s">
        <v>2357</v>
      </c>
    </row>
    <row r="1451" spans="1:2" ht="15.75" customHeight="1" x14ac:dyDescent="0.25">
      <c r="A1451" s="2" t="s">
        <v>1444</v>
      </c>
      <c r="B1451" s="2" t="s">
        <v>2357</v>
      </c>
    </row>
    <row r="1452" spans="1:2" ht="15.75" customHeight="1" x14ac:dyDescent="0.25">
      <c r="A1452" s="2" t="s">
        <v>987</v>
      </c>
      <c r="B1452" s="2" t="s">
        <v>2356</v>
      </c>
    </row>
    <row r="1453" spans="1:2" ht="15.75" customHeight="1" x14ac:dyDescent="0.25">
      <c r="A1453" s="2" t="s">
        <v>1537</v>
      </c>
      <c r="B1453" s="2" t="s">
        <v>2357</v>
      </c>
    </row>
    <row r="1454" spans="1:2" ht="15.75" customHeight="1" x14ac:dyDescent="0.25">
      <c r="A1454" s="2" t="s">
        <v>1296</v>
      </c>
      <c r="B1454" s="2" t="s">
        <v>2357</v>
      </c>
    </row>
    <row r="1455" spans="1:2" ht="15.75" customHeight="1" x14ac:dyDescent="0.25">
      <c r="A1455" s="2" t="s">
        <v>145</v>
      </c>
      <c r="B1455" s="2" t="s">
        <v>2357</v>
      </c>
    </row>
    <row r="1456" spans="1:2" ht="15.75" customHeight="1" x14ac:dyDescent="0.25">
      <c r="A1456" s="2" t="s">
        <v>279</v>
      </c>
      <c r="B1456" s="2" t="s">
        <v>2357</v>
      </c>
    </row>
    <row r="1457" spans="1:2" ht="15.75" customHeight="1" x14ac:dyDescent="0.25">
      <c r="A1457" s="2" t="s">
        <v>2241</v>
      </c>
      <c r="B1457" s="2" t="s">
        <v>2360</v>
      </c>
    </row>
    <row r="1458" spans="1:2" ht="15.75" customHeight="1" x14ac:dyDescent="0.25">
      <c r="A1458" s="2" t="s">
        <v>1754</v>
      </c>
      <c r="B1458" s="2" t="s">
        <v>2357</v>
      </c>
    </row>
    <row r="1459" spans="1:2" ht="15.75" customHeight="1" x14ac:dyDescent="0.25">
      <c r="A1459" s="2" t="s">
        <v>1927</v>
      </c>
      <c r="B1459" s="2" t="s">
        <v>2357</v>
      </c>
    </row>
    <row r="1460" spans="1:2" ht="15.75" customHeight="1" x14ac:dyDescent="0.25">
      <c r="A1460" s="2" t="s">
        <v>1393</v>
      </c>
      <c r="B1460" s="2" t="s">
        <v>2356</v>
      </c>
    </row>
    <row r="1461" spans="1:2" ht="15.75" customHeight="1" x14ac:dyDescent="0.25">
      <c r="A1461" s="2" t="s">
        <v>622</v>
      </c>
      <c r="B1461" s="2" t="s">
        <v>2357</v>
      </c>
    </row>
    <row r="1462" spans="1:2" ht="15.75" customHeight="1" x14ac:dyDescent="0.25">
      <c r="A1462" s="2" t="s">
        <v>1024</v>
      </c>
      <c r="B1462" s="2" t="s">
        <v>2357</v>
      </c>
    </row>
    <row r="1463" spans="1:2" ht="15.75" customHeight="1" x14ac:dyDescent="0.25">
      <c r="A1463" s="2" t="s">
        <v>1238</v>
      </c>
      <c r="B1463" s="2" t="s">
        <v>2356</v>
      </c>
    </row>
    <row r="1464" spans="1:2" ht="15.75" customHeight="1" x14ac:dyDescent="0.25">
      <c r="A1464" s="2" t="s">
        <v>1844</v>
      </c>
      <c r="B1464" s="2" t="s">
        <v>2357</v>
      </c>
    </row>
    <row r="1465" spans="1:2" ht="15.75" customHeight="1" x14ac:dyDescent="0.25">
      <c r="A1465" s="2" t="s">
        <v>750</v>
      </c>
      <c r="B1465" s="2" t="s">
        <v>2357</v>
      </c>
    </row>
    <row r="1466" spans="1:2" ht="15.75" customHeight="1" x14ac:dyDescent="0.25">
      <c r="A1466" s="2" t="s">
        <v>876</v>
      </c>
      <c r="B1466" s="2" t="s">
        <v>2356</v>
      </c>
    </row>
    <row r="1467" spans="1:2" ht="15.75" customHeight="1" x14ac:dyDescent="0.25">
      <c r="A1467" s="2" t="s">
        <v>1856</v>
      </c>
      <c r="B1467" s="2" t="s">
        <v>2357</v>
      </c>
    </row>
    <row r="1468" spans="1:2" ht="15.75" customHeight="1" x14ac:dyDescent="0.25">
      <c r="A1468" s="2" t="s">
        <v>2034</v>
      </c>
      <c r="B1468" s="2" t="s">
        <v>2357</v>
      </c>
    </row>
    <row r="1469" spans="1:2" ht="15.75" customHeight="1" x14ac:dyDescent="0.25">
      <c r="A1469" s="2" t="s">
        <v>2281</v>
      </c>
      <c r="B1469" s="2" t="s">
        <v>2360</v>
      </c>
    </row>
    <row r="1470" spans="1:2" ht="15.75" customHeight="1" x14ac:dyDescent="0.25">
      <c r="A1470" s="2" t="s">
        <v>1682</v>
      </c>
      <c r="B1470" s="2" t="s">
        <v>2357</v>
      </c>
    </row>
    <row r="1471" spans="1:2" ht="15.75" customHeight="1" x14ac:dyDescent="0.25">
      <c r="A1471" s="2" t="s">
        <v>1928</v>
      </c>
      <c r="B1471" s="2" t="s">
        <v>2357</v>
      </c>
    </row>
    <row r="1472" spans="1:2" ht="15.75" customHeight="1" x14ac:dyDescent="0.25">
      <c r="A1472" s="2" t="s">
        <v>1224</v>
      </c>
      <c r="B1472" s="2" t="s">
        <v>2357</v>
      </c>
    </row>
    <row r="1473" spans="1:2" ht="15.75" customHeight="1" x14ac:dyDescent="0.25">
      <c r="A1473" s="2" t="s">
        <v>2307</v>
      </c>
      <c r="B1473" s="2" t="s">
        <v>2358</v>
      </c>
    </row>
    <row r="1474" spans="1:2" ht="15.75" customHeight="1" x14ac:dyDescent="0.25">
      <c r="A1474" s="2" t="s">
        <v>1480</v>
      </c>
      <c r="B1474" s="2" t="s">
        <v>2357</v>
      </c>
    </row>
    <row r="1475" spans="1:2" ht="15.75" customHeight="1" x14ac:dyDescent="0.25">
      <c r="A1475" s="2" t="s">
        <v>1756</v>
      </c>
      <c r="B1475" s="2" t="s">
        <v>2357</v>
      </c>
    </row>
    <row r="1476" spans="1:2" ht="15.75" customHeight="1" x14ac:dyDescent="0.25">
      <c r="A1476" s="2" t="s">
        <v>1189</v>
      </c>
      <c r="B1476" s="2" t="s">
        <v>2357</v>
      </c>
    </row>
    <row r="1477" spans="1:2" ht="15.75" customHeight="1" x14ac:dyDescent="0.25">
      <c r="A1477" s="2" t="s">
        <v>1143</v>
      </c>
      <c r="B1477" s="2" t="s">
        <v>2357</v>
      </c>
    </row>
    <row r="1478" spans="1:2" ht="15.75" customHeight="1" x14ac:dyDescent="0.25">
      <c r="A1478" s="2" t="s">
        <v>395</v>
      </c>
      <c r="B1478" s="2" t="s">
        <v>2357</v>
      </c>
    </row>
    <row r="1479" spans="1:2" ht="15.75" customHeight="1" x14ac:dyDescent="0.25">
      <c r="A1479" s="2" t="s">
        <v>1416</v>
      </c>
      <c r="B1479" s="2" t="s">
        <v>2357</v>
      </c>
    </row>
    <row r="1480" spans="1:2" ht="15.75" customHeight="1" x14ac:dyDescent="0.25">
      <c r="A1480" s="2" t="s">
        <v>2320</v>
      </c>
      <c r="B1480" s="2" t="s">
        <v>2357</v>
      </c>
    </row>
    <row r="1481" spans="1:2" ht="15.75" customHeight="1" x14ac:dyDescent="0.25">
      <c r="A1481" s="2" t="s">
        <v>1129</v>
      </c>
      <c r="B1481" s="2" t="s">
        <v>2357</v>
      </c>
    </row>
    <row r="1482" spans="1:2" ht="15.75" customHeight="1" x14ac:dyDescent="0.25">
      <c r="A1482" s="2" t="s">
        <v>247</v>
      </c>
      <c r="B1482" s="2" t="s">
        <v>2357</v>
      </c>
    </row>
    <row r="1483" spans="1:2" ht="15.75" customHeight="1" x14ac:dyDescent="0.25">
      <c r="A1483" s="2" t="s">
        <v>2314</v>
      </c>
      <c r="B1483" s="2" t="s">
        <v>2357</v>
      </c>
    </row>
    <row r="1484" spans="1:2" ht="15.75" customHeight="1" x14ac:dyDescent="0.25">
      <c r="A1484" s="2" t="s">
        <v>1337</v>
      </c>
      <c r="B1484" s="2" t="s">
        <v>2356</v>
      </c>
    </row>
    <row r="1485" spans="1:2" ht="15.75" customHeight="1" x14ac:dyDescent="0.25">
      <c r="A1485" s="2" t="s">
        <v>1448</v>
      </c>
      <c r="B1485" s="2" t="s">
        <v>2357</v>
      </c>
    </row>
    <row r="1486" spans="1:2" ht="15.75" customHeight="1" x14ac:dyDescent="0.25">
      <c r="A1486" s="2" t="s">
        <v>362</v>
      </c>
      <c r="B1486" s="2" t="s">
        <v>2357</v>
      </c>
    </row>
    <row r="1487" spans="1:2" ht="15.75" customHeight="1" x14ac:dyDescent="0.25">
      <c r="A1487" s="2" t="s">
        <v>1646</v>
      </c>
      <c r="B1487" s="2" t="s">
        <v>2356</v>
      </c>
    </row>
    <row r="1488" spans="1:2" ht="15.75" customHeight="1" x14ac:dyDescent="0.25">
      <c r="A1488" s="2" t="s">
        <v>837</v>
      </c>
      <c r="B1488" s="2" t="s">
        <v>2357</v>
      </c>
    </row>
    <row r="1489" spans="1:2" ht="15.75" customHeight="1" x14ac:dyDescent="0.25">
      <c r="A1489" s="2" t="s">
        <v>1395</v>
      </c>
      <c r="B1489" s="2" t="s">
        <v>2357</v>
      </c>
    </row>
    <row r="1490" spans="1:2" ht="15.75" customHeight="1" x14ac:dyDescent="0.25">
      <c r="A1490" s="2" t="s">
        <v>1082</v>
      </c>
      <c r="B1490" s="2" t="s">
        <v>2357</v>
      </c>
    </row>
    <row r="1491" spans="1:2" ht="15.75" customHeight="1" x14ac:dyDescent="0.25">
      <c r="A1491" s="2" t="s">
        <v>1281</v>
      </c>
      <c r="B1491" s="2" t="s">
        <v>2357</v>
      </c>
    </row>
    <row r="1492" spans="1:2" ht="15.75" customHeight="1" x14ac:dyDescent="0.25">
      <c r="A1492" s="2" t="s">
        <v>914</v>
      </c>
      <c r="B1492" s="2" t="s">
        <v>2357</v>
      </c>
    </row>
    <row r="1493" spans="1:2" ht="15.75" customHeight="1" x14ac:dyDescent="0.25">
      <c r="A1493" s="2" t="s">
        <v>1555</v>
      </c>
      <c r="B1493" s="2" t="s">
        <v>2357</v>
      </c>
    </row>
    <row r="1494" spans="1:2" ht="15.75" customHeight="1" x14ac:dyDescent="0.25">
      <c r="A1494" s="2" t="s">
        <v>1255</v>
      </c>
      <c r="B1494" s="2" t="s">
        <v>2357</v>
      </c>
    </row>
    <row r="1495" spans="1:2" ht="15.75" customHeight="1" x14ac:dyDescent="0.25">
      <c r="A1495" s="2" t="s">
        <v>2196</v>
      </c>
      <c r="B1495" s="2" t="s">
        <v>2360</v>
      </c>
    </row>
    <row r="1496" spans="1:2" ht="15.75" customHeight="1" x14ac:dyDescent="0.25">
      <c r="A1496" s="2" t="s">
        <v>712</v>
      </c>
      <c r="B1496" s="2" t="s">
        <v>2356</v>
      </c>
    </row>
    <row r="1497" spans="1:2" ht="15.75" customHeight="1" x14ac:dyDescent="0.25">
      <c r="A1497" s="2" t="s">
        <v>2187</v>
      </c>
      <c r="B1497" s="2" t="s">
        <v>2356</v>
      </c>
    </row>
    <row r="1498" spans="1:2" ht="15.75" customHeight="1" x14ac:dyDescent="0.25">
      <c r="A1498" s="2" t="s">
        <v>857</v>
      </c>
      <c r="B1498" s="2" t="s">
        <v>2357</v>
      </c>
    </row>
    <row r="1499" spans="1:2" ht="15.75" customHeight="1" x14ac:dyDescent="0.25">
      <c r="A1499" s="2" t="s">
        <v>749</v>
      </c>
      <c r="B1499" s="2" t="s">
        <v>2356</v>
      </c>
    </row>
    <row r="1500" spans="1:2" ht="15.75" customHeight="1" x14ac:dyDescent="0.25">
      <c r="A1500" s="2" t="s">
        <v>1483</v>
      </c>
      <c r="B1500" s="2" t="s">
        <v>2356</v>
      </c>
    </row>
    <row r="1501" spans="1:2" ht="15.75" customHeight="1" x14ac:dyDescent="0.25">
      <c r="A1501" s="2" t="s">
        <v>1015</v>
      </c>
      <c r="B1501" s="2" t="s">
        <v>2357</v>
      </c>
    </row>
    <row r="1502" spans="1:2" ht="15.75" customHeight="1" x14ac:dyDescent="0.25">
      <c r="A1502" s="2" t="s">
        <v>2141</v>
      </c>
      <c r="B1502" s="2" t="s">
        <v>2360</v>
      </c>
    </row>
    <row r="1503" spans="1:2" ht="15.75" customHeight="1" x14ac:dyDescent="0.25">
      <c r="A1503" s="2" t="s">
        <v>1408</v>
      </c>
      <c r="B1503" s="2" t="s">
        <v>2356</v>
      </c>
    </row>
    <row r="1504" spans="1:2" ht="15.75" customHeight="1" x14ac:dyDescent="0.25">
      <c r="A1504" s="2" t="s">
        <v>2261</v>
      </c>
      <c r="B1504" s="2" t="s">
        <v>2359</v>
      </c>
    </row>
    <row r="1505" spans="1:2" ht="15.75" customHeight="1" x14ac:dyDescent="0.25">
      <c r="A1505" s="2" t="s">
        <v>1126</v>
      </c>
      <c r="B1505" s="2" t="s">
        <v>2357</v>
      </c>
    </row>
    <row r="1506" spans="1:2" ht="15.75" customHeight="1" x14ac:dyDescent="0.25">
      <c r="A1506" s="2" t="s">
        <v>608</v>
      </c>
      <c r="B1506" s="2" t="s">
        <v>2357</v>
      </c>
    </row>
    <row r="1507" spans="1:2" ht="15.75" customHeight="1" x14ac:dyDescent="0.25">
      <c r="A1507" s="2" t="s">
        <v>694</v>
      </c>
      <c r="B1507" s="2" t="s">
        <v>2357</v>
      </c>
    </row>
    <row r="1508" spans="1:2" ht="15.75" customHeight="1" x14ac:dyDescent="0.25">
      <c r="A1508" s="2" t="s">
        <v>120</v>
      </c>
      <c r="B1508" s="2" t="s">
        <v>2359</v>
      </c>
    </row>
    <row r="1509" spans="1:2" ht="15.75" customHeight="1" x14ac:dyDescent="0.25">
      <c r="A1509" s="2" t="s">
        <v>2059</v>
      </c>
      <c r="B1509" s="2" t="s">
        <v>2357</v>
      </c>
    </row>
    <row r="1510" spans="1:2" ht="15.75" customHeight="1" x14ac:dyDescent="0.25">
      <c r="A1510" s="2" t="s">
        <v>1544</v>
      </c>
      <c r="B1510" s="2" t="s">
        <v>2357</v>
      </c>
    </row>
    <row r="1511" spans="1:2" ht="15.75" customHeight="1" x14ac:dyDescent="0.25">
      <c r="A1511" s="2" t="s">
        <v>2088</v>
      </c>
      <c r="B1511" s="2" t="s">
        <v>2357</v>
      </c>
    </row>
    <row r="1512" spans="1:2" ht="15.75" customHeight="1" x14ac:dyDescent="0.25">
      <c r="A1512" s="2" t="s">
        <v>721</v>
      </c>
      <c r="B1512" s="2" t="s">
        <v>2357</v>
      </c>
    </row>
    <row r="1513" spans="1:2" ht="15.75" customHeight="1" x14ac:dyDescent="0.25">
      <c r="A1513" s="2" t="s">
        <v>1522</v>
      </c>
      <c r="B1513" s="2" t="s">
        <v>2357</v>
      </c>
    </row>
    <row r="1514" spans="1:2" ht="15.75" customHeight="1" x14ac:dyDescent="0.25">
      <c r="A1514" s="2" t="s">
        <v>1854</v>
      </c>
      <c r="B1514" s="2" t="s">
        <v>2357</v>
      </c>
    </row>
    <row r="1515" spans="1:2" ht="15.75" customHeight="1" x14ac:dyDescent="0.25">
      <c r="A1515" s="2" t="s">
        <v>767</v>
      </c>
      <c r="B1515" s="2" t="s">
        <v>2356</v>
      </c>
    </row>
    <row r="1516" spans="1:2" ht="15.75" customHeight="1" x14ac:dyDescent="0.25">
      <c r="A1516" s="2" t="s">
        <v>862</v>
      </c>
      <c r="B1516" s="2" t="s">
        <v>2357</v>
      </c>
    </row>
    <row r="1517" spans="1:2" ht="15.75" customHeight="1" x14ac:dyDescent="0.25">
      <c r="A1517" s="2" t="s">
        <v>1059</v>
      </c>
      <c r="B1517" s="2" t="s">
        <v>2357</v>
      </c>
    </row>
    <row r="1518" spans="1:2" ht="15.75" customHeight="1" x14ac:dyDescent="0.25">
      <c r="A1518" s="2" t="s">
        <v>1832</v>
      </c>
      <c r="B1518" s="2" t="s">
        <v>2357</v>
      </c>
    </row>
    <row r="1519" spans="1:2" ht="15.75" customHeight="1" x14ac:dyDescent="0.25">
      <c r="A1519" s="2" t="s">
        <v>994</v>
      </c>
      <c r="B1519" s="2" t="s">
        <v>2357</v>
      </c>
    </row>
    <row r="1520" spans="1:2" ht="15.75" customHeight="1" x14ac:dyDescent="0.25">
      <c r="A1520" s="2" t="s">
        <v>740</v>
      </c>
      <c r="B1520" s="2" t="s">
        <v>2356</v>
      </c>
    </row>
    <row r="1521" spans="1:2" ht="15.75" customHeight="1" x14ac:dyDescent="0.25">
      <c r="A1521" s="2" t="s">
        <v>940</v>
      </c>
      <c r="B1521" s="2" t="s">
        <v>2357</v>
      </c>
    </row>
    <row r="1522" spans="1:2" ht="15.75" customHeight="1" x14ac:dyDescent="0.25">
      <c r="A1522" s="2" t="s">
        <v>1167</v>
      </c>
      <c r="B1522" s="2" t="s">
        <v>2356</v>
      </c>
    </row>
    <row r="1523" spans="1:2" ht="15.75" customHeight="1" x14ac:dyDescent="0.25">
      <c r="A1523" s="2" t="s">
        <v>1908</v>
      </c>
      <c r="B1523" s="2" t="s">
        <v>2357</v>
      </c>
    </row>
    <row r="1524" spans="1:2" ht="15.75" customHeight="1" x14ac:dyDescent="0.25">
      <c r="A1524" s="2" t="s">
        <v>1826</v>
      </c>
      <c r="B1524" s="2" t="s">
        <v>2357</v>
      </c>
    </row>
    <row r="1525" spans="1:2" ht="15.75" customHeight="1" x14ac:dyDescent="0.25">
      <c r="A1525" s="2" t="s">
        <v>1559</v>
      </c>
      <c r="B1525" s="2" t="s">
        <v>2357</v>
      </c>
    </row>
    <row r="1526" spans="1:2" ht="15.75" customHeight="1" x14ac:dyDescent="0.25">
      <c r="A1526" s="2" t="s">
        <v>2244</v>
      </c>
      <c r="B1526" s="2" t="s">
        <v>2358</v>
      </c>
    </row>
    <row r="1527" spans="1:2" ht="15.75" customHeight="1" x14ac:dyDescent="0.25">
      <c r="A1527" s="2" t="s">
        <v>1476</v>
      </c>
      <c r="B1527" s="2" t="s">
        <v>2359</v>
      </c>
    </row>
    <row r="1528" spans="1:2" ht="15.75" customHeight="1" x14ac:dyDescent="0.25">
      <c r="A1528" s="2" t="s">
        <v>1440</v>
      </c>
      <c r="B1528" s="2" t="s">
        <v>2357</v>
      </c>
    </row>
    <row r="1529" spans="1:2" ht="15.75" customHeight="1" x14ac:dyDescent="0.25">
      <c r="A1529" s="2" t="s">
        <v>2051</v>
      </c>
      <c r="B1529" s="2" t="s">
        <v>2357</v>
      </c>
    </row>
    <row r="1530" spans="1:2" ht="15.75" customHeight="1" x14ac:dyDescent="0.25">
      <c r="A1530" s="2" t="s">
        <v>105</v>
      </c>
      <c r="B1530" s="2" t="s">
        <v>2357</v>
      </c>
    </row>
    <row r="1531" spans="1:2" ht="15.75" customHeight="1" x14ac:dyDescent="0.25">
      <c r="A1531" s="2" t="s">
        <v>89</v>
      </c>
      <c r="B1531" s="2" t="s">
        <v>2357</v>
      </c>
    </row>
    <row r="1532" spans="1:2" ht="15.75" customHeight="1" x14ac:dyDescent="0.25">
      <c r="A1532" s="2" t="s">
        <v>1783</v>
      </c>
      <c r="B1532" s="2" t="s">
        <v>2357</v>
      </c>
    </row>
    <row r="1533" spans="1:2" ht="15.75" customHeight="1" x14ac:dyDescent="0.25">
      <c r="A1533" s="2" t="s">
        <v>1726</v>
      </c>
      <c r="B1533" s="2" t="s">
        <v>2356</v>
      </c>
    </row>
    <row r="1534" spans="1:2" ht="15.75" customHeight="1" x14ac:dyDescent="0.25">
      <c r="A1534" s="2" t="s">
        <v>1932</v>
      </c>
      <c r="B1534" s="2" t="s">
        <v>2357</v>
      </c>
    </row>
    <row r="1535" spans="1:2" ht="15.75" customHeight="1" x14ac:dyDescent="0.25">
      <c r="A1535" s="2" t="s">
        <v>1534</v>
      </c>
      <c r="B1535" s="2" t="s">
        <v>2359</v>
      </c>
    </row>
    <row r="1536" spans="1:2" ht="15.75" customHeight="1" x14ac:dyDescent="0.25">
      <c r="A1536" s="2" t="s">
        <v>757</v>
      </c>
      <c r="B1536" s="2" t="s">
        <v>2359</v>
      </c>
    </row>
    <row r="1537" spans="1:2" ht="15.75" customHeight="1" x14ac:dyDescent="0.25">
      <c r="A1537" s="2" t="s">
        <v>1342</v>
      </c>
      <c r="B1537" s="2" t="s">
        <v>2357</v>
      </c>
    </row>
    <row r="1538" spans="1:2" ht="15.75" customHeight="1" x14ac:dyDescent="0.25">
      <c r="A1538" s="2" t="s">
        <v>1307</v>
      </c>
      <c r="B1538" s="2" t="s">
        <v>2357</v>
      </c>
    </row>
    <row r="1539" spans="1:2" ht="15.75" customHeight="1" x14ac:dyDescent="0.25">
      <c r="A1539" s="2" t="s">
        <v>797</v>
      </c>
      <c r="B1539" s="2" t="s">
        <v>2357</v>
      </c>
    </row>
    <row r="1540" spans="1:2" ht="15.75" customHeight="1" x14ac:dyDescent="0.25">
      <c r="A1540" s="2" t="s">
        <v>678</v>
      </c>
      <c r="B1540" s="2" t="s">
        <v>2357</v>
      </c>
    </row>
    <row r="1541" spans="1:2" ht="15.75" customHeight="1" x14ac:dyDescent="0.25">
      <c r="A1541" s="2" t="s">
        <v>1206</v>
      </c>
      <c r="B1541" s="2" t="s">
        <v>2357</v>
      </c>
    </row>
    <row r="1542" spans="1:2" ht="15.75" customHeight="1" x14ac:dyDescent="0.25">
      <c r="A1542" s="2" t="s">
        <v>1145</v>
      </c>
      <c r="B1542" s="2" t="s">
        <v>2357</v>
      </c>
    </row>
    <row r="1543" spans="1:2" ht="15.75" customHeight="1" x14ac:dyDescent="0.25">
      <c r="A1543" s="2" t="s">
        <v>2172</v>
      </c>
      <c r="B1543" s="2" t="s">
        <v>2360</v>
      </c>
    </row>
    <row r="1544" spans="1:2" ht="15.75" customHeight="1" x14ac:dyDescent="0.25">
      <c r="A1544" s="2" t="s">
        <v>448</v>
      </c>
      <c r="B1544" s="2" t="s">
        <v>2357</v>
      </c>
    </row>
    <row r="1545" spans="1:2" ht="15.75" customHeight="1" x14ac:dyDescent="0.25">
      <c r="A1545" s="2" t="s">
        <v>272</v>
      </c>
      <c r="B1545" s="2" t="s">
        <v>2357</v>
      </c>
    </row>
    <row r="1546" spans="1:2" ht="15.75" customHeight="1" x14ac:dyDescent="0.25">
      <c r="A1546" s="2" t="s">
        <v>1239</v>
      </c>
      <c r="B1546" s="2" t="s">
        <v>2357</v>
      </c>
    </row>
    <row r="1547" spans="1:2" ht="15.75" customHeight="1" x14ac:dyDescent="0.25">
      <c r="A1547" s="2" t="s">
        <v>2116</v>
      </c>
      <c r="B1547" s="2" t="s">
        <v>2358</v>
      </c>
    </row>
    <row r="1548" spans="1:2" ht="15.75" customHeight="1" x14ac:dyDescent="0.25">
      <c r="A1548" s="2" t="s">
        <v>462</v>
      </c>
      <c r="B1548" s="2" t="s">
        <v>2357</v>
      </c>
    </row>
    <row r="1549" spans="1:2" ht="15.75" customHeight="1" x14ac:dyDescent="0.25">
      <c r="A1549" s="2" t="s">
        <v>1148</v>
      </c>
      <c r="B1549" s="2" t="s">
        <v>2356</v>
      </c>
    </row>
    <row r="1550" spans="1:2" ht="15.75" customHeight="1" x14ac:dyDescent="0.25">
      <c r="A1550" s="2" t="s">
        <v>920</v>
      </c>
      <c r="B1550" s="2" t="s">
        <v>2357</v>
      </c>
    </row>
    <row r="1551" spans="1:2" ht="15.75" customHeight="1" x14ac:dyDescent="0.25">
      <c r="A1551" s="2" t="s">
        <v>129</v>
      </c>
      <c r="B1551" s="2" t="s">
        <v>2357</v>
      </c>
    </row>
    <row r="1552" spans="1:2" ht="15.75" customHeight="1" x14ac:dyDescent="0.25">
      <c r="A1552" s="2" t="s">
        <v>2204</v>
      </c>
      <c r="B1552" s="2" t="s">
        <v>2357</v>
      </c>
    </row>
    <row r="1553" spans="1:2" ht="15.75" customHeight="1" x14ac:dyDescent="0.25">
      <c r="A1553" s="2" t="s">
        <v>1498</v>
      </c>
      <c r="B1553" s="2" t="s">
        <v>2357</v>
      </c>
    </row>
    <row r="1554" spans="1:2" ht="15.75" customHeight="1" x14ac:dyDescent="0.25">
      <c r="A1554" s="2" t="s">
        <v>2260</v>
      </c>
      <c r="B1554" s="2" t="s">
        <v>2357</v>
      </c>
    </row>
    <row r="1555" spans="1:2" ht="15.75" customHeight="1" x14ac:dyDescent="0.25">
      <c r="A1555" s="2" t="s">
        <v>536</v>
      </c>
      <c r="B1555" s="2" t="s">
        <v>2357</v>
      </c>
    </row>
    <row r="1556" spans="1:2" ht="15.75" customHeight="1" x14ac:dyDescent="0.25">
      <c r="A1556" s="2" t="s">
        <v>2274</v>
      </c>
      <c r="B1556" s="2" t="s">
        <v>2358</v>
      </c>
    </row>
    <row r="1557" spans="1:2" ht="15.75" customHeight="1" x14ac:dyDescent="0.25">
      <c r="A1557" s="2" t="s">
        <v>282</v>
      </c>
      <c r="B1557" s="2" t="s">
        <v>2357</v>
      </c>
    </row>
    <row r="1558" spans="1:2" ht="15.75" customHeight="1" x14ac:dyDescent="0.25">
      <c r="A1558" s="2" t="s">
        <v>1193</v>
      </c>
      <c r="B1558" s="2" t="s">
        <v>2357</v>
      </c>
    </row>
    <row r="1559" spans="1:2" ht="15.75" customHeight="1" x14ac:dyDescent="0.25">
      <c r="A1559" s="2" t="s">
        <v>293</v>
      </c>
      <c r="B1559" s="2" t="s">
        <v>2357</v>
      </c>
    </row>
    <row r="1560" spans="1:2" ht="15.75" customHeight="1" x14ac:dyDescent="0.25">
      <c r="A1560" s="2" t="s">
        <v>141</v>
      </c>
      <c r="B1560" s="2" t="s">
        <v>2356</v>
      </c>
    </row>
    <row r="1561" spans="1:2" ht="15.75" customHeight="1" x14ac:dyDescent="0.25">
      <c r="A1561" s="2" t="s">
        <v>168</v>
      </c>
      <c r="B1561" s="2" t="s">
        <v>2357</v>
      </c>
    </row>
    <row r="1562" spans="1:2" ht="15.75" customHeight="1" x14ac:dyDescent="0.25">
      <c r="A1562" s="2" t="s">
        <v>789</v>
      </c>
      <c r="B1562" s="2" t="s">
        <v>2357</v>
      </c>
    </row>
    <row r="1563" spans="1:2" ht="15.75" customHeight="1" x14ac:dyDescent="0.25">
      <c r="A1563" s="2" t="s">
        <v>1552</v>
      </c>
      <c r="B1563" s="2" t="s">
        <v>2356</v>
      </c>
    </row>
    <row r="1564" spans="1:2" ht="15.75" customHeight="1" x14ac:dyDescent="0.25">
      <c r="A1564" s="2" t="s">
        <v>1474</v>
      </c>
      <c r="B1564" s="2" t="s">
        <v>2356</v>
      </c>
    </row>
    <row r="1565" spans="1:2" ht="15.75" customHeight="1" x14ac:dyDescent="0.25">
      <c r="A1565" s="2" t="s">
        <v>1992</v>
      </c>
      <c r="B1565" s="2" t="s">
        <v>2357</v>
      </c>
    </row>
    <row r="1566" spans="1:2" ht="15.75" customHeight="1" x14ac:dyDescent="0.25">
      <c r="A1566" s="2" t="s">
        <v>444</v>
      </c>
      <c r="B1566" s="2" t="s">
        <v>2357</v>
      </c>
    </row>
    <row r="1567" spans="1:2" ht="15.75" customHeight="1" x14ac:dyDescent="0.25">
      <c r="A1567" s="2" t="s">
        <v>2353</v>
      </c>
      <c r="B1567" s="2" t="s">
        <v>2358</v>
      </c>
    </row>
    <row r="1568" spans="1:2" ht="15.75" customHeight="1" x14ac:dyDescent="0.25">
      <c r="A1568" s="2" t="s">
        <v>1080</v>
      </c>
      <c r="B1568" s="2" t="s">
        <v>2357</v>
      </c>
    </row>
    <row r="1569" spans="1:2" ht="15.75" customHeight="1" x14ac:dyDescent="0.25">
      <c r="A1569" s="2" t="s">
        <v>1381</v>
      </c>
      <c r="B1569" s="2" t="s">
        <v>2357</v>
      </c>
    </row>
    <row r="1570" spans="1:2" ht="15.75" customHeight="1" x14ac:dyDescent="0.25">
      <c r="A1570" s="2" t="s">
        <v>1060</v>
      </c>
      <c r="B1570" s="2" t="s">
        <v>2357</v>
      </c>
    </row>
    <row r="1571" spans="1:2" ht="15.75" customHeight="1" x14ac:dyDescent="0.25">
      <c r="A1571" s="2" t="s">
        <v>1829</v>
      </c>
      <c r="B1571" s="2" t="s">
        <v>2359</v>
      </c>
    </row>
    <row r="1572" spans="1:2" ht="15.75" customHeight="1" x14ac:dyDescent="0.25">
      <c r="A1572" s="2" t="s">
        <v>2271</v>
      </c>
      <c r="B1572" s="2" t="s">
        <v>2360</v>
      </c>
    </row>
    <row r="1573" spans="1:2" ht="15.75" customHeight="1" x14ac:dyDescent="0.25">
      <c r="A1573" s="2" t="s">
        <v>1282</v>
      </c>
      <c r="B1573" s="2" t="s">
        <v>2357</v>
      </c>
    </row>
    <row r="1574" spans="1:2" ht="15.75" customHeight="1" x14ac:dyDescent="0.25">
      <c r="A1574" s="2" t="s">
        <v>1135</v>
      </c>
      <c r="B1574" s="2" t="s">
        <v>2357</v>
      </c>
    </row>
    <row r="1575" spans="1:2" ht="15.75" customHeight="1" x14ac:dyDescent="0.25">
      <c r="A1575" s="2" t="s">
        <v>810</v>
      </c>
      <c r="B1575" s="2" t="s">
        <v>2357</v>
      </c>
    </row>
    <row r="1576" spans="1:2" ht="15.75" customHeight="1" x14ac:dyDescent="0.25">
      <c r="A1576" s="2" t="s">
        <v>1234</v>
      </c>
      <c r="B1576" s="2" t="s">
        <v>2356</v>
      </c>
    </row>
    <row r="1577" spans="1:2" ht="15.75" customHeight="1" x14ac:dyDescent="0.25">
      <c r="A1577" s="2" t="s">
        <v>226</v>
      </c>
      <c r="B1577" s="2" t="s">
        <v>2356</v>
      </c>
    </row>
    <row r="1578" spans="1:2" ht="15.75" customHeight="1" x14ac:dyDescent="0.25">
      <c r="A1578" s="2" t="s">
        <v>1446</v>
      </c>
      <c r="B1578" s="2" t="s">
        <v>2357</v>
      </c>
    </row>
    <row r="1579" spans="1:2" ht="15.75" customHeight="1" x14ac:dyDescent="0.25">
      <c r="A1579" s="2" t="s">
        <v>1346</v>
      </c>
      <c r="B1579" s="2" t="s">
        <v>2357</v>
      </c>
    </row>
    <row r="1580" spans="1:2" ht="15.75" customHeight="1" x14ac:dyDescent="0.25">
      <c r="A1580" s="2" t="s">
        <v>664</v>
      </c>
      <c r="B1580" s="2" t="s">
        <v>2357</v>
      </c>
    </row>
    <row r="1581" spans="1:2" ht="15.75" customHeight="1" x14ac:dyDescent="0.25">
      <c r="A1581" s="2" t="s">
        <v>621</v>
      </c>
      <c r="B1581" s="2" t="s">
        <v>2357</v>
      </c>
    </row>
    <row r="1582" spans="1:2" ht="15.75" customHeight="1" x14ac:dyDescent="0.25">
      <c r="A1582" s="2" t="s">
        <v>1327</v>
      </c>
      <c r="B1582" s="2" t="s">
        <v>2357</v>
      </c>
    </row>
    <row r="1583" spans="1:2" ht="15.75" customHeight="1" x14ac:dyDescent="0.25">
      <c r="A1583" s="2" t="s">
        <v>803</v>
      </c>
      <c r="B1583" s="2" t="s">
        <v>2359</v>
      </c>
    </row>
    <row r="1584" spans="1:2" ht="15.75" customHeight="1" x14ac:dyDescent="0.25">
      <c r="A1584" s="2" t="s">
        <v>1290</v>
      </c>
      <c r="B1584" s="2" t="s">
        <v>2357</v>
      </c>
    </row>
    <row r="1585" spans="1:2" ht="15.75" customHeight="1" x14ac:dyDescent="0.25">
      <c r="A1585" s="2" t="s">
        <v>625</v>
      </c>
      <c r="B1585" s="2" t="s">
        <v>2357</v>
      </c>
    </row>
    <row r="1586" spans="1:2" ht="15.75" customHeight="1" x14ac:dyDescent="0.25">
      <c r="A1586" s="2" t="s">
        <v>489</v>
      </c>
      <c r="B1586" s="2" t="s">
        <v>2357</v>
      </c>
    </row>
    <row r="1587" spans="1:2" ht="15.75" customHeight="1" x14ac:dyDescent="0.25">
      <c r="A1587" s="2" t="s">
        <v>700</v>
      </c>
      <c r="B1587" s="2" t="s">
        <v>2357</v>
      </c>
    </row>
    <row r="1588" spans="1:2" ht="15.75" customHeight="1" x14ac:dyDescent="0.25">
      <c r="A1588" s="2" t="s">
        <v>2337</v>
      </c>
      <c r="B1588" s="2" t="s">
        <v>2357</v>
      </c>
    </row>
    <row r="1589" spans="1:2" ht="15.75" customHeight="1" x14ac:dyDescent="0.25">
      <c r="A1589" s="2" t="s">
        <v>2318</v>
      </c>
      <c r="B1589" s="2" t="s">
        <v>2360</v>
      </c>
    </row>
    <row r="1590" spans="1:2" ht="15.75" customHeight="1" x14ac:dyDescent="0.25">
      <c r="A1590" s="2" t="s">
        <v>2252</v>
      </c>
      <c r="B1590" s="2" t="s">
        <v>2357</v>
      </c>
    </row>
    <row r="1591" spans="1:2" ht="15.75" customHeight="1" x14ac:dyDescent="0.25">
      <c r="A1591" s="2" t="s">
        <v>1842</v>
      </c>
      <c r="B1591" s="2" t="s">
        <v>2357</v>
      </c>
    </row>
    <row r="1592" spans="1:2" ht="15.75" customHeight="1" x14ac:dyDescent="0.25">
      <c r="A1592" s="2" t="s">
        <v>1885</v>
      </c>
      <c r="B1592" s="2" t="s">
        <v>2356</v>
      </c>
    </row>
    <row r="1593" spans="1:2" ht="15.75" customHeight="1" x14ac:dyDescent="0.25">
      <c r="A1593" s="2" t="s">
        <v>1527</v>
      </c>
      <c r="B1593" s="2" t="s">
        <v>2357</v>
      </c>
    </row>
    <row r="1594" spans="1:2" ht="15.75" customHeight="1" x14ac:dyDescent="0.25">
      <c r="A1594" s="2" t="s">
        <v>1902</v>
      </c>
      <c r="B1594" s="2" t="s">
        <v>2357</v>
      </c>
    </row>
    <row r="1595" spans="1:2" ht="15.75" customHeight="1" x14ac:dyDescent="0.25">
      <c r="A1595" s="2" t="s">
        <v>1595</v>
      </c>
      <c r="B1595" s="2" t="s">
        <v>2356</v>
      </c>
    </row>
    <row r="1596" spans="1:2" ht="15.75" customHeight="1" x14ac:dyDescent="0.25">
      <c r="A1596" s="2" t="s">
        <v>1736</v>
      </c>
      <c r="B1596" s="2" t="s">
        <v>2357</v>
      </c>
    </row>
    <row r="1597" spans="1:2" ht="15.75" customHeight="1" x14ac:dyDescent="0.25">
      <c r="A1597" s="2" t="s">
        <v>1216</v>
      </c>
      <c r="B1597" s="2" t="s">
        <v>2357</v>
      </c>
    </row>
    <row r="1598" spans="1:2" ht="15.75" customHeight="1" x14ac:dyDescent="0.25">
      <c r="A1598" s="2" t="s">
        <v>2010</v>
      </c>
      <c r="B1598" s="2" t="s">
        <v>2357</v>
      </c>
    </row>
    <row r="1599" spans="1:2" ht="15.75" customHeight="1" x14ac:dyDescent="0.25">
      <c r="A1599" s="2" t="s">
        <v>2190</v>
      </c>
      <c r="B1599" s="2" t="s">
        <v>2357</v>
      </c>
    </row>
    <row r="1600" spans="1:2" ht="15.75" customHeight="1" x14ac:dyDescent="0.25">
      <c r="A1600" s="2" t="s">
        <v>2229</v>
      </c>
      <c r="B1600" s="2" t="s">
        <v>2358</v>
      </c>
    </row>
    <row r="1601" spans="1:2" ht="15.75" customHeight="1" x14ac:dyDescent="0.25">
      <c r="A1601" s="2" t="s">
        <v>838</v>
      </c>
      <c r="B1601" s="2" t="s">
        <v>2356</v>
      </c>
    </row>
    <row r="1602" spans="1:2" ht="15.75" customHeight="1" x14ac:dyDescent="0.25">
      <c r="A1602" s="2" t="s">
        <v>393</v>
      </c>
      <c r="B1602" s="2" t="s">
        <v>2357</v>
      </c>
    </row>
    <row r="1603" spans="1:2" ht="15.75" customHeight="1" x14ac:dyDescent="0.25">
      <c r="A1603" s="2" t="s">
        <v>1755</v>
      </c>
      <c r="B1603" s="2" t="s">
        <v>2357</v>
      </c>
    </row>
    <row r="1604" spans="1:2" ht="15.75" customHeight="1" x14ac:dyDescent="0.25">
      <c r="A1604" s="2" t="s">
        <v>1334</v>
      </c>
      <c r="B1604" s="2" t="s">
        <v>2359</v>
      </c>
    </row>
    <row r="1605" spans="1:2" ht="15.75" customHeight="1" x14ac:dyDescent="0.25">
      <c r="A1605" s="2" t="s">
        <v>1744</v>
      </c>
      <c r="B1605" s="2" t="s">
        <v>2357</v>
      </c>
    </row>
    <row r="1606" spans="1:2" ht="15.75" customHeight="1" x14ac:dyDescent="0.25">
      <c r="A1606" s="2" t="s">
        <v>591</v>
      </c>
      <c r="B1606" s="2" t="s">
        <v>2357</v>
      </c>
    </row>
    <row r="1607" spans="1:2" ht="15.75" customHeight="1" x14ac:dyDescent="0.25">
      <c r="A1607" s="2" t="s">
        <v>1088</v>
      </c>
      <c r="B1607" s="2" t="s">
        <v>2357</v>
      </c>
    </row>
    <row r="1608" spans="1:2" ht="15.75" customHeight="1" x14ac:dyDescent="0.25">
      <c r="A1608" s="2" t="s">
        <v>745</v>
      </c>
      <c r="B1608" s="2" t="s">
        <v>2357</v>
      </c>
    </row>
    <row r="1609" spans="1:2" ht="15.75" customHeight="1" x14ac:dyDescent="0.25">
      <c r="A1609" s="2" t="s">
        <v>1458</v>
      </c>
      <c r="B1609" s="2" t="s">
        <v>2357</v>
      </c>
    </row>
    <row r="1610" spans="1:2" ht="15.75" customHeight="1" x14ac:dyDescent="0.25">
      <c r="A1610" s="2" t="s">
        <v>1685</v>
      </c>
      <c r="B1610" s="2" t="s">
        <v>2357</v>
      </c>
    </row>
    <row r="1611" spans="1:2" ht="15.75" customHeight="1" x14ac:dyDescent="0.25">
      <c r="A1611" s="2" t="s">
        <v>298</v>
      </c>
      <c r="B1611" s="2" t="s">
        <v>2356</v>
      </c>
    </row>
    <row r="1612" spans="1:2" ht="15.75" customHeight="1" x14ac:dyDescent="0.25">
      <c r="A1612" s="2" t="s">
        <v>1569</v>
      </c>
      <c r="B1612" s="2" t="s">
        <v>2359</v>
      </c>
    </row>
    <row r="1613" spans="1:2" ht="15.75" customHeight="1" x14ac:dyDescent="0.25">
      <c r="A1613" s="2" t="s">
        <v>2007</v>
      </c>
      <c r="B1613" s="2" t="s">
        <v>2357</v>
      </c>
    </row>
    <row r="1614" spans="1:2" ht="15.75" customHeight="1" x14ac:dyDescent="0.25">
      <c r="A1614" s="2" t="s">
        <v>2157</v>
      </c>
      <c r="B1614" s="2" t="s">
        <v>2357</v>
      </c>
    </row>
    <row r="1615" spans="1:2" ht="15.75" customHeight="1" x14ac:dyDescent="0.25">
      <c r="A1615" s="2" t="s">
        <v>2185</v>
      </c>
      <c r="B1615" s="2" t="s">
        <v>2359</v>
      </c>
    </row>
    <row r="1616" spans="1:2" ht="15.75" customHeight="1" x14ac:dyDescent="0.25">
      <c r="A1616" s="2" t="s">
        <v>1975</v>
      </c>
      <c r="B1616" s="2" t="s">
        <v>2357</v>
      </c>
    </row>
    <row r="1617" spans="1:2" ht="15.75" customHeight="1" x14ac:dyDescent="0.25">
      <c r="A1617" s="2" t="s">
        <v>676</v>
      </c>
      <c r="B1617" s="2" t="s">
        <v>2357</v>
      </c>
    </row>
    <row r="1618" spans="1:2" ht="15.75" customHeight="1" x14ac:dyDescent="0.25">
      <c r="A1618" s="2" t="s">
        <v>1226</v>
      </c>
      <c r="B1618" s="2" t="s">
        <v>2357</v>
      </c>
    </row>
    <row r="1619" spans="1:2" ht="15.75" customHeight="1" x14ac:dyDescent="0.25">
      <c r="A1619" s="2" t="s">
        <v>2250</v>
      </c>
      <c r="B1619" s="2" t="s">
        <v>2358</v>
      </c>
    </row>
    <row r="1620" spans="1:2" ht="15.75" customHeight="1" x14ac:dyDescent="0.25">
      <c r="A1620" s="2" t="s">
        <v>566</v>
      </c>
      <c r="B1620" s="2" t="s">
        <v>2357</v>
      </c>
    </row>
    <row r="1621" spans="1:2" ht="15.75" customHeight="1" x14ac:dyDescent="0.25">
      <c r="A1621" s="2" t="s">
        <v>1788</v>
      </c>
      <c r="B1621" s="2" t="s">
        <v>2357</v>
      </c>
    </row>
    <row r="1622" spans="1:2" ht="15.75" customHeight="1" x14ac:dyDescent="0.25">
      <c r="A1622" s="2" t="s">
        <v>1847</v>
      </c>
      <c r="B1622" s="2" t="s">
        <v>2356</v>
      </c>
    </row>
    <row r="1623" spans="1:2" ht="15.75" customHeight="1" x14ac:dyDescent="0.25">
      <c r="A1623" s="2" t="s">
        <v>2258</v>
      </c>
      <c r="B1623" s="2" t="s">
        <v>2358</v>
      </c>
    </row>
    <row r="1624" spans="1:2" ht="15.75" customHeight="1" x14ac:dyDescent="0.25">
      <c r="A1624" s="2" t="s">
        <v>1799</v>
      </c>
      <c r="B1624" s="2" t="s">
        <v>2357</v>
      </c>
    </row>
    <row r="1625" spans="1:2" ht="15.75" customHeight="1" x14ac:dyDescent="0.25">
      <c r="A1625" s="2" t="s">
        <v>1968</v>
      </c>
      <c r="B1625" s="2" t="s">
        <v>2356</v>
      </c>
    </row>
    <row r="1626" spans="1:2" ht="15.75" customHeight="1" x14ac:dyDescent="0.25">
      <c r="A1626" s="2" t="s">
        <v>2121</v>
      </c>
      <c r="B1626" s="2" t="s">
        <v>2356</v>
      </c>
    </row>
    <row r="1627" spans="1:2" ht="15.75" customHeight="1" x14ac:dyDescent="0.25">
      <c r="A1627" s="2" t="s">
        <v>1205</v>
      </c>
      <c r="B1627" s="2" t="s">
        <v>2357</v>
      </c>
    </row>
    <row r="1628" spans="1:2" ht="15.75" customHeight="1" x14ac:dyDescent="0.25">
      <c r="A1628" s="2" t="s">
        <v>2151</v>
      </c>
      <c r="B1628" s="2" t="s">
        <v>2357</v>
      </c>
    </row>
    <row r="1629" spans="1:2" ht="15.75" customHeight="1" x14ac:dyDescent="0.25">
      <c r="A1629" s="2" t="s">
        <v>2005</v>
      </c>
      <c r="B1629" s="2" t="s">
        <v>2357</v>
      </c>
    </row>
    <row r="1630" spans="1:2" ht="15.75" customHeight="1" x14ac:dyDescent="0.25">
      <c r="A1630" s="2" t="s">
        <v>1612</v>
      </c>
      <c r="B1630" s="2" t="s">
        <v>2356</v>
      </c>
    </row>
    <row r="1631" spans="1:2" ht="15.75" customHeight="1" x14ac:dyDescent="0.25">
      <c r="A1631" s="2" t="s">
        <v>360</v>
      </c>
      <c r="B1631" s="2" t="s">
        <v>2357</v>
      </c>
    </row>
    <row r="1632" spans="1:2" ht="15.75" customHeight="1" x14ac:dyDescent="0.25">
      <c r="A1632" s="2" t="s">
        <v>1973</v>
      </c>
      <c r="B1632" s="2" t="s">
        <v>2356</v>
      </c>
    </row>
    <row r="1633" spans="1:2" ht="15.75" customHeight="1" x14ac:dyDescent="0.25">
      <c r="A1633" s="2" t="s">
        <v>1421</v>
      </c>
      <c r="B1633" s="2" t="s">
        <v>2356</v>
      </c>
    </row>
    <row r="1634" spans="1:2" ht="15.75" customHeight="1" x14ac:dyDescent="0.25">
      <c r="A1634" s="2" t="s">
        <v>1273</v>
      </c>
      <c r="B1634" s="2" t="s">
        <v>2357</v>
      </c>
    </row>
    <row r="1635" spans="1:2" ht="15.75" customHeight="1" x14ac:dyDescent="0.25">
      <c r="A1635" s="2" t="s">
        <v>2273</v>
      </c>
      <c r="B1635" s="2" t="s">
        <v>2360</v>
      </c>
    </row>
    <row r="1636" spans="1:2" ht="15.75" customHeight="1" x14ac:dyDescent="0.25">
      <c r="A1636" s="2" t="s">
        <v>1789</v>
      </c>
      <c r="B1636" s="2" t="s">
        <v>2357</v>
      </c>
    </row>
    <row r="1637" spans="1:2" ht="15.75" customHeight="1" x14ac:dyDescent="0.25">
      <c r="A1637" s="2" t="s">
        <v>647</v>
      </c>
      <c r="B1637" s="2" t="s">
        <v>2357</v>
      </c>
    </row>
    <row r="1638" spans="1:2" ht="15.75" customHeight="1" x14ac:dyDescent="0.25">
      <c r="A1638" s="2" t="s">
        <v>2067</v>
      </c>
      <c r="B1638" s="2" t="s">
        <v>2357</v>
      </c>
    </row>
    <row r="1639" spans="1:2" ht="15.75" customHeight="1" x14ac:dyDescent="0.25">
      <c r="A1639" s="2" t="s">
        <v>338</v>
      </c>
      <c r="B1639" s="2" t="s">
        <v>2357</v>
      </c>
    </row>
    <row r="1640" spans="1:2" ht="15.75" customHeight="1" x14ac:dyDescent="0.25">
      <c r="A1640" s="2" t="s">
        <v>986</v>
      </c>
      <c r="B1640" s="2" t="s">
        <v>2357</v>
      </c>
    </row>
    <row r="1641" spans="1:2" ht="15.75" customHeight="1" x14ac:dyDescent="0.25">
      <c r="A1641" s="2" t="s">
        <v>1572</v>
      </c>
      <c r="B1641" s="2" t="s">
        <v>2357</v>
      </c>
    </row>
    <row r="1642" spans="1:2" ht="15.75" customHeight="1" x14ac:dyDescent="0.25">
      <c r="A1642" s="2" t="s">
        <v>1708</v>
      </c>
      <c r="B1642" s="2" t="s">
        <v>2359</v>
      </c>
    </row>
    <row r="1643" spans="1:2" ht="15.75" customHeight="1" x14ac:dyDescent="0.25">
      <c r="A1643" s="2" t="s">
        <v>2057</v>
      </c>
      <c r="B1643" s="2" t="s">
        <v>2357</v>
      </c>
    </row>
    <row r="1644" spans="1:2" ht="15.75" customHeight="1" x14ac:dyDescent="0.25">
      <c r="A1644" s="2" t="s">
        <v>284</v>
      </c>
      <c r="B1644" s="2" t="s">
        <v>2357</v>
      </c>
    </row>
    <row r="1645" spans="1:2" ht="15.75" customHeight="1" x14ac:dyDescent="0.25">
      <c r="A1645" s="2" t="s">
        <v>816</v>
      </c>
      <c r="B1645" s="2" t="s">
        <v>2357</v>
      </c>
    </row>
    <row r="1646" spans="1:2" ht="15.75" customHeight="1" x14ac:dyDescent="0.25">
      <c r="A1646" s="2" t="s">
        <v>1958</v>
      </c>
      <c r="B1646" s="2" t="s">
        <v>2356</v>
      </c>
    </row>
    <row r="1647" spans="1:2" ht="15.75" customHeight="1" x14ac:dyDescent="0.25">
      <c r="A1647" s="2" t="s">
        <v>196</v>
      </c>
      <c r="B1647" s="2" t="s">
        <v>2359</v>
      </c>
    </row>
    <row r="1648" spans="1:2" ht="15.75" customHeight="1" x14ac:dyDescent="0.25">
      <c r="A1648" s="2" t="s">
        <v>1277</v>
      </c>
      <c r="B1648" s="2" t="s">
        <v>2356</v>
      </c>
    </row>
    <row r="1649" spans="1:2" ht="15.75" customHeight="1" x14ac:dyDescent="0.25">
      <c r="A1649" s="2" t="s">
        <v>1943</v>
      </c>
      <c r="B1649" s="2" t="s">
        <v>2357</v>
      </c>
    </row>
    <row r="1650" spans="1:2" ht="15.75" customHeight="1" x14ac:dyDescent="0.25">
      <c r="A1650" s="2" t="s">
        <v>788</v>
      </c>
      <c r="B1650" s="2" t="s">
        <v>2356</v>
      </c>
    </row>
    <row r="1651" spans="1:2" ht="15.75" customHeight="1" x14ac:dyDescent="0.25">
      <c r="A1651" s="2" t="s">
        <v>1550</v>
      </c>
      <c r="B1651" s="2" t="s">
        <v>2357</v>
      </c>
    </row>
    <row r="1652" spans="1:2" ht="15.75" customHeight="1" x14ac:dyDescent="0.25">
      <c r="A1652" s="2" t="s">
        <v>1819</v>
      </c>
      <c r="B1652" s="2" t="s">
        <v>2357</v>
      </c>
    </row>
    <row r="1653" spans="1:2" ht="15.75" customHeight="1" x14ac:dyDescent="0.25">
      <c r="A1653" s="2" t="s">
        <v>902</v>
      </c>
      <c r="B1653" s="2" t="s">
        <v>2356</v>
      </c>
    </row>
    <row r="1654" spans="1:2" ht="15.75" customHeight="1" x14ac:dyDescent="0.25">
      <c r="A1654" s="2" t="s">
        <v>1153</v>
      </c>
      <c r="B1654" s="2" t="s">
        <v>2357</v>
      </c>
    </row>
    <row r="1655" spans="1:2" ht="15.75" customHeight="1" x14ac:dyDescent="0.25">
      <c r="A1655" s="2" t="s">
        <v>1784</v>
      </c>
      <c r="B1655" s="2" t="s">
        <v>2357</v>
      </c>
    </row>
    <row r="1656" spans="1:2" ht="15.75" customHeight="1" x14ac:dyDescent="0.25">
      <c r="A1656" s="2" t="s">
        <v>799</v>
      </c>
      <c r="B1656" s="2" t="s">
        <v>2357</v>
      </c>
    </row>
    <row r="1657" spans="1:2" ht="15.75" customHeight="1" x14ac:dyDescent="0.25">
      <c r="A1657" s="2" t="s">
        <v>1385</v>
      </c>
      <c r="B1657" s="2" t="s">
        <v>2357</v>
      </c>
    </row>
    <row r="1658" spans="1:2" ht="15.75" customHeight="1" x14ac:dyDescent="0.25">
      <c r="A1658" s="2" t="s">
        <v>1223</v>
      </c>
      <c r="B1658" s="2" t="s">
        <v>2357</v>
      </c>
    </row>
    <row r="1659" spans="1:2" ht="15.75" customHeight="1" x14ac:dyDescent="0.25">
      <c r="A1659" s="2" t="s">
        <v>781</v>
      </c>
      <c r="B1659" s="2" t="s">
        <v>2357</v>
      </c>
    </row>
    <row r="1660" spans="1:2" ht="15.75" customHeight="1" x14ac:dyDescent="0.25">
      <c r="A1660" s="2" t="s">
        <v>730</v>
      </c>
      <c r="B1660" s="2" t="s">
        <v>2357</v>
      </c>
    </row>
    <row r="1661" spans="1:2" ht="15.75" customHeight="1" x14ac:dyDescent="0.25">
      <c r="A1661" s="2" t="s">
        <v>1166</v>
      </c>
      <c r="B1661" s="2" t="s">
        <v>2357</v>
      </c>
    </row>
    <row r="1662" spans="1:2" ht="15.75" customHeight="1" x14ac:dyDescent="0.25">
      <c r="A1662" s="2" t="s">
        <v>826</v>
      </c>
      <c r="B1662" s="2" t="s">
        <v>2357</v>
      </c>
    </row>
    <row r="1663" spans="1:2" ht="15.75" customHeight="1" x14ac:dyDescent="0.25">
      <c r="A1663" s="2" t="s">
        <v>1227</v>
      </c>
      <c r="B1663" s="2" t="s">
        <v>2357</v>
      </c>
    </row>
    <row r="1664" spans="1:2" ht="15.75" customHeight="1" x14ac:dyDescent="0.25">
      <c r="A1664" s="2" t="s">
        <v>1645</v>
      </c>
      <c r="B1664" s="2" t="s">
        <v>2357</v>
      </c>
    </row>
    <row r="1665" spans="1:2" ht="15.75" customHeight="1" x14ac:dyDescent="0.25">
      <c r="A1665" s="2" t="s">
        <v>51</v>
      </c>
      <c r="B1665" s="2" t="s">
        <v>2357</v>
      </c>
    </row>
    <row r="1666" spans="1:2" ht="15.75" customHeight="1" x14ac:dyDescent="0.25">
      <c r="A1666" s="2" t="s">
        <v>1748</v>
      </c>
      <c r="B1666" s="2" t="s">
        <v>2357</v>
      </c>
    </row>
    <row r="1667" spans="1:2" ht="15.75" customHeight="1" x14ac:dyDescent="0.25">
      <c r="A1667" s="2" t="s">
        <v>2173</v>
      </c>
      <c r="B1667" s="2" t="s">
        <v>2358</v>
      </c>
    </row>
    <row r="1668" spans="1:2" ht="15.75" customHeight="1" x14ac:dyDescent="0.25">
      <c r="A1668" s="2" t="s">
        <v>667</v>
      </c>
      <c r="B1668" s="2" t="s">
        <v>2357</v>
      </c>
    </row>
    <row r="1669" spans="1:2" ht="15.75" customHeight="1" x14ac:dyDescent="0.25">
      <c r="A1669" s="2" t="s">
        <v>101</v>
      </c>
      <c r="B1669" s="2" t="s">
        <v>2357</v>
      </c>
    </row>
    <row r="1670" spans="1:2" ht="15.75" customHeight="1" x14ac:dyDescent="0.25">
      <c r="A1670" s="2" t="s">
        <v>1288</v>
      </c>
      <c r="B1670" s="2" t="s">
        <v>2357</v>
      </c>
    </row>
    <row r="1671" spans="1:2" ht="15.75" customHeight="1" x14ac:dyDescent="0.25">
      <c r="A1671" s="2" t="s">
        <v>719</v>
      </c>
      <c r="B1671" s="2" t="s">
        <v>2357</v>
      </c>
    </row>
    <row r="1672" spans="1:2" ht="15.75" customHeight="1" x14ac:dyDescent="0.25">
      <c r="A1672" s="2" t="s">
        <v>108</v>
      </c>
      <c r="B1672" s="2" t="s">
        <v>2357</v>
      </c>
    </row>
    <row r="1673" spans="1:2" ht="15.75" customHeight="1" x14ac:dyDescent="0.25">
      <c r="A1673" s="2" t="s">
        <v>578</v>
      </c>
      <c r="B1673" s="2" t="s">
        <v>2357</v>
      </c>
    </row>
    <row r="1674" spans="1:2" ht="15.75" customHeight="1" x14ac:dyDescent="0.25">
      <c r="A1674" s="2" t="s">
        <v>1057</v>
      </c>
      <c r="B1674" s="2" t="s">
        <v>2356</v>
      </c>
    </row>
    <row r="1675" spans="1:2" ht="15.75" customHeight="1" x14ac:dyDescent="0.25">
      <c r="A1675" s="2" t="s">
        <v>317</v>
      </c>
      <c r="B1675" s="2" t="s">
        <v>2356</v>
      </c>
    </row>
    <row r="1676" spans="1:2" ht="15.75" customHeight="1" x14ac:dyDescent="0.25">
      <c r="A1676" s="2" t="s">
        <v>967</v>
      </c>
      <c r="B1676" s="2" t="s">
        <v>2357</v>
      </c>
    </row>
    <row r="1677" spans="1:2" ht="15.75" customHeight="1" x14ac:dyDescent="0.25">
      <c r="A1677" s="2" t="s">
        <v>2002</v>
      </c>
      <c r="B1677" s="2" t="s">
        <v>2357</v>
      </c>
    </row>
    <row r="1678" spans="1:2" ht="15.75" customHeight="1" x14ac:dyDescent="0.25">
      <c r="A1678" s="2" t="s">
        <v>560</v>
      </c>
      <c r="B1678" s="2" t="s">
        <v>2357</v>
      </c>
    </row>
    <row r="1679" spans="1:2" ht="15.75" customHeight="1" x14ac:dyDescent="0.25">
      <c r="A1679" s="2" t="s">
        <v>779</v>
      </c>
      <c r="B1679" s="2" t="s">
        <v>2357</v>
      </c>
    </row>
    <row r="1680" spans="1:2" ht="15.75" customHeight="1" x14ac:dyDescent="0.25">
      <c r="A1680" s="2" t="s">
        <v>1543</v>
      </c>
      <c r="B1680" s="2" t="s">
        <v>2359</v>
      </c>
    </row>
    <row r="1681" spans="1:2" ht="15.75" customHeight="1" x14ac:dyDescent="0.25">
      <c r="A1681" s="2" t="s">
        <v>2180</v>
      </c>
      <c r="B1681" s="2" t="s">
        <v>2360</v>
      </c>
    </row>
    <row r="1682" spans="1:2" ht="15.75" customHeight="1" x14ac:dyDescent="0.25">
      <c r="A1682" s="2" t="s">
        <v>1036</v>
      </c>
      <c r="B1682" s="2" t="s">
        <v>2357</v>
      </c>
    </row>
    <row r="1683" spans="1:2" ht="15.75" customHeight="1" x14ac:dyDescent="0.25">
      <c r="A1683" s="2" t="s">
        <v>1739</v>
      </c>
      <c r="B1683" s="2" t="s">
        <v>2357</v>
      </c>
    </row>
    <row r="1684" spans="1:2" ht="15.75" customHeight="1" x14ac:dyDescent="0.25">
      <c r="A1684" s="2" t="s">
        <v>2153</v>
      </c>
      <c r="B1684" s="2" t="s">
        <v>2358</v>
      </c>
    </row>
    <row r="1685" spans="1:2" ht="15.75" customHeight="1" x14ac:dyDescent="0.25">
      <c r="A1685" s="2" t="s">
        <v>1935</v>
      </c>
      <c r="B1685" s="2" t="s">
        <v>2356</v>
      </c>
    </row>
    <row r="1686" spans="1:2" ht="15.75" customHeight="1" x14ac:dyDescent="0.25">
      <c r="A1686" s="2" t="s">
        <v>2230</v>
      </c>
      <c r="B1686" s="2" t="s">
        <v>2358</v>
      </c>
    </row>
    <row r="1687" spans="1:2" ht="15.75" customHeight="1" x14ac:dyDescent="0.25">
      <c r="A1687" s="2" t="s">
        <v>1470</v>
      </c>
      <c r="B1687" s="2" t="s">
        <v>2357</v>
      </c>
    </row>
    <row r="1688" spans="1:2" ht="15.75" customHeight="1" x14ac:dyDescent="0.25">
      <c r="A1688" s="2" t="s">
        <v>1625</v>
      </c>
      <c r="B1688" s="2" t="s">
        <v>2357</v>
      </c>
    </row>
    <row r="1689" spans="1:2" ht="15.75" customHeight="1" x14ac:dyDescent="0.25">
      <c r="A1689" s="2" t="s">
        <v>2312</v>
      </c>
      <c r="B1689" s="2" t="s">
        <v>2358</v>
      </c>
    </row>
    <row r="1690" spans="1:2" ht="15.75" customHeight="1" x14ac:dyDescent="0.25">
      <c r="A1690" s="2" t="s">
        <v>1858</v>
      </c>
      <c r="B1690" s="2" t="s">
        <v>2357</v>
      </c>
    </row>
    <row r="1691" spans="1:2" ht="15.75" customHeight="1" x14ac:dyDescent="0.25">
      <c r="A1691" s="2" t="s">
        <v>2129</v>
      </c>
      <c r="B1691" s="2" t="s">
        <v>2360</v>
      </c>
    </row>
    <row r="1692" spans="1:2" ht="15.75" customHeight="1" x14ac:dyDescent="0.25">
      <c r="A1692" s="2" t="s">
        <v>1115</v>
      </c>
      <c r="B1692" s="2" t="s">
        <v>2357</v>
      </c>
    </row>
    <row r="1693" spans="1:2" ht="15.75" customHeight="1" x14ac:dyDescent="0.25">
      <c r="A1693" s="2" t="s">
        <v>1495</v>
      </c>
      <c r="B1693" s="2" t="s">
        <v>2357</v>
      </c>
    </row>
    <row r="1694" spans="1:2" ht="15.75" customHeight="1" x14ac:dyDescent="0.25">
      <c r="A1694" s="2" t="s">
        <v>152</v>
      </c>
      <c r="B1694" s="2" t="s">
        <v>2357</v>
      </c>
    </row>
    <row r="1695" spans="1:2" ht="15.75" customHeight="1" x14ac:dyDescent="0.25">
      <c r="A1695" s="2" t="s">
        <v>1993</v>
      </c>
      <c r="B1695" s="2" t="s">
        <v>2357</v>
      </c>
    </row>
    <row r="1696" spans="1:2" ht="15.75" customHeight="1" x14ac:dyDescent="0.25">
      <c r="A1696" s="2" t="s">
        <v>734</v>
      </c>
      <c r="B1696" s="2" t="s">
        <v>2359</v>
      </c>
    </row>
    <row r="1697" spans="1:2" ht="15.75" customHeight="1" x14ac:dyDescent="0.25">
      <c r="A1697" s="2" t="s">
        <v>1252</v>
      </c>
      <c r="B1697" s="2" t="s">
        <v>2357</v>
      </c>
    </row>
    <row r="1698" spans="1:2" ht="15.75" customHeight="1" x14ac:dyDescent="0.25">
      <c r="A1698" s="2" t="s">
        <v>369</v>
      </c>
      <c r="B1698" s="2" t="s">
        <v>2357</v>
      </c>
    </row>
    <row r="1699" spans="1:2" ht="15.75" customHeight="1" x14ac:dyDescent="0.25">
      <c r="A1699" s="2" t="s">
        <v>1787</v>
      </c>
      <c r="B1699" s="2" t="s">
        <v>2357</v>
      </c>
    </row>
    <row r="1700" spans="1:2" ht="15.75" customHeight="1" x14ac:dyDescent="0.25">
      <c r="A1700" s="2" t="s">
        <v>2218</v>
      </c>
      <c r="B1700" s="2" t="s">
        <v>2357</v>
      </c>
    </row>
    <row r="1701" spans="1:2" ht="15.75" customHeight="1" x14ac:dyDescent="0.25">
      <c r="A1701" s="2" t="s">
        <v>521</v>
      </c>
      <c r="B1701" s="2" t="s">
        <v>2359</v>
      </c>
    </row>
    <row r="1702" spans="1:2" ht="15.75" customHeight="1" x14ac:dyDescent="0.25">
      <c r="A1702" s="2" t="s">
        <v>2336</v>
      </c>
      <c r="B1702" s="2" t="s">
        <v>2357</v>
      </c>
    </row>
    <row r="1703" spans="1:2" ht="15.75" customHeight="1" x14ac:dyDescent="0.25">
      <c r="A1703" s="2" t="s">
        <v>1027</v>
      </c>
      <c r="B1703" s="2" t="s">
        <v>2356</v>
      </c>
    </row>
    <row r="1704" spans="1:2" ht="15.75" customHeight="1" x14ac:dyDescent="0.25">
      <c r="A1704" s="2" t="s">
        <v>1330</v>
      </c>
      <c r="B1704" s="2" t="s">
        <v>2359</v>
      </c>
    </row>
    <row r="1705" spans="1:2" ht="15.75" customHeight="1" x14ac:dyDescent="0.25">
      <c r="A1705" s="2" t="s">
        <v>592</v>
      </c>
      <c r="B1705" s="2" t="s">
        <v>2357</v>
      </c>
    </row>
    <row r="1706" spans="1:2" ht="15.75" customHeight="1" x14ac:dyDescent="0.25">
      <c r="A1706" s="2" t="s">
        <v>1472</v>
      </c>
      <c r="B1706" s="2" t="s">
        <v>2357</v>
      </c>
    </row>
    <row r="1707" spans="1:2" ht="15.75" customHeight="1" x14ac:dyDescent="0.25">
      <c r="A1707" s="2" t="s">
        <v>1152</v>
      </c>
      <c r="B1707" s="2" t="s">
        <v>2357</v>
      </c>
    </row>
    <row r="1708" spans="1:2" ht="15.75" customHeight="1" x14ac:dyDescent="0.25">
      <c r="A1708" s="2" t="s">
        <v>367</v>
      </c>
      <c r="B1708" s="2" t="s">
        <v>2357</v>
      </c>
    </row>
    <row r="1709" spans="1:2" ht="15.75" customHeight="1" x14ac:dyDescent="0.25">
      <c r="A1709" s="2" t="s">
        <v>452</v>
      </c>
      <c r="B1709" s="2" t="s">
        <v>2357</v>
      </c>
    </row>
    <row r="1710" spans="1:2" ht="15.75" customHeight="1" x14ac:dyDescent="0.25">
      <c r="A1710" s="2" t="s">
        <v>1712</v>
      </c>
      <c r="B1710" s="2" t="s">
        <v>2357</v>
      </c>
    </row>
    <row r="1711" spans="1:2" ht="15.75" customHeight="1" x14ac:dyDescent="0.25">
      <c r="A1711" s="2" t="s">
        <v>738</v>
      </c>
      <c r="B1711" s="2" t="s">
        <v>2356</v>
      </c>
    </row>
    <row r="1712" spans="1:2" ht="15.75" customHeight="1" x14ac:dyDescent="0.25">
      <c r="A1712" s="2" t="s">
        <v>727</v>
      </c>
      <c r="B1712" s="2" t="s">
        <v>2357</v>
      </c>
    </row>
    <row r="1713" spans="1:2" ht="15.75" customHeight="1" x14ac:dyDescent="0.25">
      <c r="A1713" s="2" t="s">
        <v>482</v>
      </c>
      <c r="B1713" s="2" t="s">
        <v>2357</v>
      </c>
    </row>
    <row r="1714" spans="1:2" ht="15.75" customHeight="1" x14ac:dyDescent="0.25">
      <c r="A1714" s="2" t="s">
        <v>1749</v>
      </c>
      <c r="B1714" s="2" t="s">
        <v>2357</v>
      </c>
    </row>
    <row r="1715" spans="1:2" ht="15.75" customHeight="1" x14ac:dyDescent="0.25">
      <c r="A1715" s="2" t="s">
        <v>1591</v>
      </c>
      <c r="B1715" s="2" t="s">
        <v>2357</v>
      </c>
    </row>
    <row r="1716" spans="1:2" ht="15.75" customHeight="1" x14ac:dyDescent="0.25">
      <c r="A1716" s="2" t="s">
        <v>998</v>
      </c>
      <c r="B1716" s="2" t="s">
        <v>2357</v>
      </c>
    </row>
    <row r="1717" spans="1:2" ht="15.75" customHeight="1" x14ac:dyDescent="0.25">
      <c r="A1717" s="2" t="s">
        <v>193</v>
      </c>
      <c r="B1717" s="2" t="s">
        <v>2356</v>
      </c>
    </row>
    <row r="1718" spans="1:2" ht="15.75" customHeight="1" x14ac:dyDescent="0.25">
      <c r="A1718" s="2" t="s">
        <v>1676</v>
      </c>
      <c r="B1718" s="2" t="s">
        <v>2357</v>
      </c>
    </row>
    <row r="1719" spans="1:2" ht="15.75" customHeight="1" x14ac:dyDescent="0.25">
      <c r="A1719" s="2" t="s">
        <v>2138</v>
      </c>
      <c r="B1719" s="2" t="s">
        <v>2360</v>
      </c>
    </row>
    <row r="1720" spans="1:2" ht="15.75" customHeight="1" x14ac:dyDescent="0.25">
      <c r="A1720" s="2" t="s">
        <v>1622</v>
      </c>
      <c r="B1720" s="2" t="s">
        <v>2357</v>
      </c>
    </row>
    <row r="1721" spans="1:2" ht="15.75" customHeight="1" x14ac:dyDescent="0.25">
      <c r="A1721" s="2" t="s">
        <v>458</v>
      </c>
      <c r="B1721" s="2" t="s">
        <v>2357</v>
      </c>
    </row>
    <row r="1722" spans="1:2" ht="15.75" customHeight="1" x14ac:dyDescent="0.25">
      <c r="A1722" s="2" t="s">
        <v>1412</v>
      </c>
      <c r="B1722" s="2" t="s">
        <v>2357</v>
      </c>
    </row>
    <row r="1723" spans="1:2" ht="15.75" customHeight="1" x14ac:dyDescent="0.25">
      <c r="A1723" s="2" t="s">
        <v>1775</v>
      </c>
      <c r="B1723" s="2" t="s">
        <v>2357</v>
      </c>
    </row>
    <row r="1724" spans="1:2" ht="15.75" customHeight="1" x14ac:dyDescent="0.25">
      <c r="A1724" s="2" t="s">
        <v>343</v>
      </c>
      <c r="B1724" s="2" t="s">
        <v>2357</v>
      </c>
    </row>
    <row r="1725" spans="1:2" ht="15.75" customHeight="1" x14ac:dyDescent="0.25">
      <c r="A1725" s="2" t="s">
        <v>2024</v>
      </c>
      <c r="B1725" s="2" t="s">
        <v>2357</v>
      </c>
    </row>
    <row r="1726" spans="1:2" ht="15.75" customHeight="1" x14ac:dyDescent="0.25">
      <c r="A1726" s="2" t="s">
        <v>614</v>
      </c>
      <c r="B1726" s="2" t="s">
        <v>2357</v>
      </c>
    </row>
    <row r="1727" spans="1:2" ht="15.75" customHeight="1" x14ac:dyDescent="0.25">
      <c r="A1727" s="2" t="s">
        <v>239</v>
      </c>
      <c r="B1727" s="2" t="s">
        <v>2357</v>
      </c>
    </row>
    <row r="1728" spans="1:2" ht="15.75" customHeight="1" x14ac:dyDescent="0.25">
      <c r="A1728" s="2" t="s">
        <v>1889</v>
      </c>
      <c r="B1728" s="2" t="s">
        <v>2357</v>
      </c>
    </row>
    <row r="1729" spans="1:2" ht="15.75" customHeight="1" x14ac:dyDescent="0.25">
      <c r="A1729" s="2" t="s">
        <v>895</v>
      </c>
      <c r="B1729" s="2" t="s">
        <v>2359</v>
      </c>
    </row>
    <row r="1730" spans="1:2" ht="15.75" customHeight="1" x14ac:dyDescent="0.25">
      <c r="A1730" s="2" t="s">
        <v>1037</v>
      </c>
      <c r="B1730" s="2" t="s">
        <v>2357</v>
      </c>
    </row>
    <row r="1731" spans="1:2" ht="15.75" customHeight="1" x14ac:dyDescent="0.25">
      <c r="A1731" s="2" t="s">
        <v>99</v>
      </c>
      <c r="B1731" s="2" t="s">
        <v>2356</v>
      </c>
    </row>
    <row r="1732" spans="1:2" ht="15.75" customHeight="1" x14ac:dyDescent="0.25">
      <c r="A1732" s="2" t="s">
        <v>1235</v>
      </c>
      <c r="B1732" s="2" t="s">
        <v>2357</v>
      </c>
    </row>
    <row r="1733" spans="1:2" ht="15.75" customHeight="1" x14ac:dyDescent="0.25">
      <c r="A1733" s="2" t="s">
        <v>519</v>
      </c>
      <c r="B1733" s="2" t="s">
        <v>2357</v>
      </c>
    </row>
    <row r="1734" spans="1:2" ht="15.75" customHeight="1" x14ac:dyDescent="0.25">
      <c r="A1734" s="2" t="s">
        <v>1692</v>
      </c>
      <c r="B1734" s="2" t="s">
        <v>2357</v>
      </c>
    </row>
    <row r="1735" spans="1:2" ht="15.75" customHeight="1" x14ac:dyDescent="0.25">
      <c r="A1735" s="2" t="s">
        <v>1320</v>
      </c>
      <c r="B1735" s="2" t="s">
        <v>2357</v>
      </c>
    </row>
    <row r="1736" spans="1:2" ht="15.75" customHeight="1" x14ac:dyDescent="0.25">
      <c r="A1736" s="2" t="s">
        <v>1218</v>
      </c>
      <c r="B1736" s="2" t="s">
        <v>2357</v>
      </c>
    </row>
    <row r="1737" spans="1:2" ht="15.75" customHeight="1" x14ac:dyDescent="0.25">
      <c r="A1737" s="2" t="s">
        <v>2016</v>
      </c>
      <c r="B1737" s="2" t="s">
        <v>2357</v>
      </c>
    </row>
    <row r="1738" spans="1:2" ht="15.75" customHeight="1" x14ac:dyDescent="0.25">
      <c r="A1738" s="2" t="s">
        <v>1899</v>
      </c>
      <c r="B1738" s="2" t="s">
        <v>2357</v>
      </c>
    </row>
    <row r="1739" spans="1:2" ht="15.75" customHeight="1" x14ac:dyDescent="0.25">
      <c r="A1739" s="2" t="s">
        <v>1312</v>
      </c>
      <c r="B1739" s="2" t="s">
        <v>2356</v>
      </c>
    </row>
    <row r="1740" spans="1:2" ht="15.75" customHeight="1" x14ac:dyDescent="0.25">
      <c r="A1740" s="2" t="s">
        <v>423</v>
      </c>
      <c r="B1740" s="2" t="s">
        <v>2357</v>
      </c>
    </row>
    <row r="1741" spans="1:2" ht="15.75" customHeight="1" x14ac:dyDescent="0.25">
      <c r="A1741" s="2" t="s">
        <v>1834</v>
      </c>
      <c r="B1741" s="2" t="s">
        <v>2357</v>
      </c>
    </row>
    <row r="1742" spans="1:2" ht="15.75" customHeight="1" x14ac:dyDescent="0.25">
      <c r="A1742" s="2" t="s">
        <v>25</v>
      </c>
      <c r="B1742" s="2" t="s">
        <v>2357</v>
      </c>
    </row>
    <row r="1743" spans="1:2" ht="15.75" customHeight="1" x14ac:dyDescent="0.25">
      <c r="A1743" s="2" t="s">
        <v>2158</v>
      </c>
      <c r="B1743" s="2" t="s">
        <v>2360</v>
      </c>
    </row>
    <row r="1744" spans="1:2" ht="15.75" customHeight="1" x14ac:dyDescent="0.25">
      <c r="A1744" s="2" t="s">
        <v>2297</v>
      </c>
      <c r="B1744" s="2" t="s">
        <v>2360</v>
      </c>
    </row>
    <row r="1745" spans="1:2" ht="15.75" customHeight="1" x14ac:dyDescent="0.25">
      <c r="A1745" s="2" t="s">
        <v>1810</v>
      </c>
      <c r="B1745" s="2" t="s">
        <v>2357</v>
      </c>
    </row>
    <row r="1746" spans="1:2" ht="15.75" customHeight="1" x14ac:dyDescent="0.25">
      <c r="A1746" s="2" t="s">
        <v>2084</v>
      </c>
      <c r="B1746" s="2" t="s">
        <v>2357</v>
      </c>
    </row>
    <row r="1747" spans="1:2" ht="15.75" customHeight="1" x14ac:dyDescent="0.25">
      <c r="A1747" s="2" t="s">
        <v>1514</v>
      </c>
      <c r="B1747" s="2" t="s">
        <v>2357</v>
      </c>
    </row>
    <row r="1748" spans="1:2" ht="15.75" customHeight="1" x14ac:dyDescent="0.25">
      <c r="A1748" s="2" t="s">
        <v>1707</v>
      </c>
      <c r="B1748" s="2" t="s">
        <v>2357</v>
      </c>
    </row>
    <row r="1749" spans="1:2" ht="15.75" customHeight="1" x14ac:dyDescent="0.25">
      <c r="A1749" s="2" t="s">
        <v>2206</v>
      </c>
      <c r="B1749" s="2" t="s">
        <v>2358</v>
      </c>
    </row>
    <row r="1750" spans="1:2" ht="15.75" customHeight="1" x14ac:dyDescent="0.25">
      <c r="A1750" s="2" t="s">
        <v>1922</v>
      </c>
      <c r="B1750" s="2" t="s">
        <v>2359</v>
      </c>
    </row>
    <row r="1751" spans="1:2" ht="15.75" customHeight="1" x14ac:dyDescent="0.25">
      <c r="A1751" s="2" t="s">
        <v>1747</v>
      </c>
      <c r="B1751" s="2" t="s">
        <v>2356</v>
      </c>
    </row>
    <row r="1752" spans="1:2" ht="15.75" customHeight="1" x14ac:dyDescent="0.25">
      <c r="A1752" s="2" t="s">
        <v>308</v>
      </c>
      <c r="B1752" s="2" t="s">
        <v>2357</v>
      </c>
    </row>
    <row r="1753" spans="1:2" ht="15.75" customHeight="1" x14ac:dyDescent="0.25">
      <c r="A1753" s="2" t="s">
        <v>1477</v>
      </c>
      <c r="B1753" s="2" t="s">
        <v>2357</v>
      </c>
    </row>
    <row r="1754" spans="1:2" ht="15.75" customHeight="1" x14ac:dyDescent="0.25">
      <c r="A1754" s="2" t="s">
        <v>848</v>
      </c>
      <c r="B1754" s="2" t="s">
        <v>2356</v>
      </c>
    </row>
    <row r="1755" spans="1:2" ht="15.75" customHeight="1" x14ac:dyDescent="0.25">
      <c r="A1755" s="2" t="s">
        <v>1684</v>
      </c>
      <c r="B1755" s="2" t="s">
        <v>2356</v>
      </c>
    </row>
    <row r="1756" spans="1:2" ht="15.75" customHeight="1" x14ac:dyDescent="0.25">
      <c r="A1756" s="2" t="s">
        <v>1558</v>
      </c>
      <c r="B1756" s="2" t="s">
        <v>2357</v>
      </c>
    </row>
    <row r="1757" spans="1:2" ht="15.75" customHeight="1" x14ac:dyDescent="0.25">
      <c r="A1757" s="2" t="s">
        <v>1891</v>
      </c>
      <c r="B1757" s="2" t="s">
        <v>2357</v>
      </c>
    </row>
    <row r="1758" spans="1:2" ht="15.75" customHeight="1" x14ac:dyDescent="0.25">
      <c r="A1758" s="2" t="s">
        <v>1586</v>
      </c>
      <c r="B1758" s="2" t="s">
        <v>2357</v>
      </c>
    </row>
    <row r="1759" spans="1:2" ht="15.75" customHeight="1" x14ac:dyDescent="0.25">
      <c r="A1759" s="2" t="s">
        <v>937</v>
      </c>
      <c r="B1759" s="2" t="s">
        <v>2357</v>
      </c>
    </row>
    <row r="1760" spans="1:2" ht="15.75" customHeight="1" x14ac:dyDescent="0.25">
      <c r="A1760" s="2" t="s">
        <v>1469</v>
      </c>
      <c r="B1760" s="2" t="s">
        <v>2357</v>
      </c>
    </row>
    <row r="1761" spans="1:2" ht="15.75" customHeight="1" x14ac:dyDescent="0.25">
      <c r="A1761" s="2" t="s">
        <v>2223</v>
      </c>
      <c r="B1761" s="2" t="s">
        <v>2357</v>
      </c>
    </row>
    <row r="1762" spans="1:2" ht="15.75" customHeight="1" x14ac:dyDescent="0.25">
      <c r="A1762" s="2" t="s">
        <v>1190</v>
      </c>
      <c r="B1762" s="2" t="s">
        <v>2357</v>
      </c>
    </row>
    <row r="1763" spans="1:2" ht="15.75" customHeight="1" x14ac:dyDescent="0.25">
      <c r="A1763" s="2" t="s">
        <v>1104</v>
      </c>
      <c r="B1763" s="2" t="s">
        <v>2357</v>
      </c>
    </row>
    <row r="1764" spans="1:2" ht="15.75" customHeight="1" x14ac:dyDescent="0.25">
      <c r="A1764" s="2" t="s">
        <v>187</v>
      </c>
      <c r="B1764" s="2" t="s">
        <v>2356</v>
      </c>
    </row>
    <row r="1765" spans="1:2" ht="15.75" customHeight="1" x14ac:dyDescent="0.25">
      <c r="A1765" s="2" t="s">
        <v>910</v>
      </c>
      <c r="B1765" s="2" t="s">
        <v>2356</v>
      </c>
    </row>
    <row r="1766" spans="1:2" ht="15.75" customHeight="1" x14ac:dyDescent="0.25">
      <c r="A1766" s="2" t="s">
        <v>2054</v>
      </c>
      <c r="B1766" s="2" t="s">
        <v>2357</v>
      </c>
    </row>
    <row r="1767" spans="1:2" ht="15.75" customHeight="1" x14ac:dyDescent="0.25">
      <c r="A1767" s="2" t="s">
        <v>1836</v>
      </c>
      <c r="B1767" s="2" t="s">
        <v>2357</v>
      </c>
    </row>
    <row r="1768" spans="1:2" ht="15.75" customHeight="1" x14ac:dyDescent="0.25">
      <c r="A1768" s="2" t="s">
        <v>775</v>
      </c>
      <c r="B1768" s="2" t="s">
        <v>2357</v>
      </c>
    </row>
    <row r="1769" spans="1:2" ht="15.75" customHeight="1" x14ac:dyDescent="0.25">
      <c r="A1769" s="2" t="s">
        <v>640</v>
      </c>
      <c r="B1769" s="2" t="s">
        <v>2357</v>
      </c>
    </row>
    <row r="1770" spans="1:2" ht="15.75" customHeight="1" x14ac:dyDescent="0.25">
      <c r="A1770" s="2" t="s">
        <v>646</v>
      </c>
      <c r="B1770" s="2" t="s">
        <v>2357</v>
      </c>
    </row>
    <row r="1771" spans="1:2" ht="15.75" customHeight="1" x14ac:dyDescent="0.25">
      <c r="A1771" s="2" t="s">
        <v>325</v>
      </c>
      <c r="B1771" s="2" t="s">
        <v>2357</v>
      </c>
    </row>
    <row r="1772" spans="1:2" ht="15.75" customHeight="1" x14ac:dyDescent="0.25">
      <c r="A1772" s="2" t="s">
        <v>2108</v>
      </c>
      <c r="B1772" s="2" t="s">
        <v>2356</v>
      </c>
    </row>
    <row r="1773" spans="1:2" ht="15.75" customHeight="1" x14ac:dyDescent="0.25">
      <c r="A1773" s="2" t="s">
        <v>1447</v>
      </c>
      <c r="B1773" s="2" t="s">
        <v>2357</v>
      </c>
    </row>
    <row r="1774" spans="1:2" ht="15.75" customHeight="1" x14ac:dyDescent="0.25">
      <c r="A1774" s="2" t="s">
        <v>733</v>
      </c>
      <c r="B1774" s="2" t="s">
        <v>2357</v>
      </c>
    </row>
    <row r="1775" spans="1:2" ht="15.75" customHeight="1" x14ac:dyDescent="0.25">
      <c r="A1775" s="2" t="s">
        <v>1493</v>
      </c>
      <c r="B1775" s="2" t="s">
        <v>2356</v>
      </c>
    </row>
    <row r="1776" spans="1:2" ht="15.75" customHeight="1" x14ac:dyDescent="0.25">
      <c r="A1776" s="2" t="s">
        <v>539</v>
      </c>
      <c r="B1776" s="2" t="s">
        <v>2357</v>
      </c>
    </row>
    <row r="1777" spans="1:2" ht="15.75" customHeight="1" x14ac:dyDescent="0.25">
      <c r="A1777" s="2" t="s">
        <v>1402</v>
      </c>
      <c r="B1777" s="2" t="s">
        <v>2357</v>
      </c>
    </row>
    <row r="1778" spans="1:2" ht="15.75" customHeight="1" x14ac:dyDescent="0.25">
      <c r="A1778" s="2" t="s">
        <v>1773</v>
      </c>
      <c r="B1778" s="2" t="s">
        <v>2357</v>
      </c>
    </row>
    <row r="1779" spans="1:2" ht="15.75" customHeight="1" x14ac:dyDescent="0.25">
      <c r="A1779" s="2" t="s">
        <v>1131</v>
      </c>
      <c r="B1779" s="2" t="s">
        <v>2357</v>
      </c>
    </row>
    <row r="1780" spans="1:2" ht="15.75" customHeight="1" x14ac:dyDescent="0.25">
      <c r="A1780" s="2" t="s">
        <v>1650</v>
      </c>
      <c r="B1780" s="2" t="s">
        <v>2356</v>
      </c>
    </row>
    <row r="1781" spans="1:2" ht="15.75" customHeight="1" x14ac:dyDescent="0.25">
      <c r="A1781" s="2" t="s">
        <v>1776</v>
      </c>
      <c r="B1781" s="2" t="s">
        <v>2357</v>
      </c>
    </row>
    <row r="1782" spans="1:2" ht="15.75" customHeight="1" x14ac:dyDescent="0.25">
      <c r="A1782" s="2" t="s">
        <v>268</v>
      </c>
      <c r="B1782" s="2" t="s">
        <v>2357</v>
      </c>
    </row>
    <row r="1783" spans="1:2" ht="15.75" customHeight="1" x14ac:dyDescent="0.25">
      <c r="A1783" s="2" t="s">
        <v>1078</v>
      </c>
      <c r="B1783" s="2" t="s">
        <v>2357</v>
      </c>
    </row>
    <row r="1784" spans="1:2" ht="15.75" customHeight="1" x14ac:dyDescent="0.25">
      <c r="A1784" s="2" t="s">
        <v>2094</v>
      </c>
      <c r="B1784" s="2" t="s">
        <v>2357</v>
      </c>
    </row>
    <row r="1785" spans="1:2" ht="15.75" customHeight="1" x14ac:dyDescent="0.25">
      <c r="A1785" s="2" t="s">
        <v>1674</v>
      </c>
      <c r="B1785" s="2" t="s">
        <v>2357</v>
      </c>
    </row>
    <row r="1786" spans="1:2" ht="15.75" customHeight="1" x14ac:dyDescent="0.25">
      <c r="A1786" s="2" t="s">
        <v>2077</v>
      </c>
      <c r="B1786" s="2" t="s">
        <v>2357</v>
      </c>
    </row>
    <row r="1787" spans="1:2" ht="15.75" customHeight="1" x14ac:dyDescent="0.25">
      <c r="A1787" s="2" t="s">
        <v>1940</v>
      </c>
      <c r="B1787" s="2" t="s">
        <v>2357</v>
      </c>
    </row>
    <row r="1788" spans="1:2" ht="15.75" customHeight="1" x14ac:dyDescent="0.25">
      <c r="A1788" s="2" t="s">
        <v>1967</v>
      </c>
      <c r="B1788" s="2" t="s">
        <v>2357</v>
      </c>
    </row>
    <row r="1789" spans="1:2" ht="15.75" customHeight="1" x14ac:dyDescent="0.25">
      <c r="A1789" s="2" t="s">
        <v>1910</v>
      </c>
      <c r="B1789" s="2" t="s">
        <v>2359</v>
      </c>
    </row>
    <row r="1790" spans="1:2" ht="15.75" customHeight="1" x14ac:dyDescent="0.25">
      <c r="A1790" s="2" t="s">
        <v>1269</v>
      </c>
      <c r="B1790" s="2" t="s">
        <v>2357</v>
      </c>
    </row>
    <row r="1791" spans="1:2" ht="15.75" customHeight="1" x14ac:dyDescent="0.25">
      <c r="A1791" s="2" t="s">
        <v>1888</v>
      </c>
      <c r="B1791" s="2" t="s">
        <v>2357</v>
      </c>
    </row>
    <row r="1792" spans="1:2" ht="15.75" customHeight="1" x14ac:dyDescent="0.25">
      <c r="A1792" s="2" t="s">
        <v>2231</v>
      </c>
      <c r="B1792" s="2" t="s">
        <v>2360</v>
      </c>
    </row>
    <row r="1793" spans="1:2" ht="15.75" customHeight="1" x14ac:dyDescent="0.25">
      <c r="A1793" s="2" t="s">
        <v>1481</v>
      </c>
      <c r="B1793" s="2" t="s">
        <v>2356</v>
      </c>
    </row>
    <row r="1794" spans="1:2" ht="15.75" customHeight="1" x14ac:dyDescent="0.25">
      <c r="A1794" s="2" t="s">
        <v>1560</v>
      </c>
      <c r="B1794" s="2" t="s">
        <v>2357</v>
      </c>
    </row>
    <row r="1795" spans="1:2" ht="15.75" customHeight="1" x14ac:dyDescent="0.25">
      <c r="A1795" s="2" t="s">
        <v>1367</v>
      </c>
      <c r="B1795" s="2" t="s">
        <v>2357</v>
      </c>
    </row>
    <row r="1796" spans="1:2" ht="15.75" customHeight="1" x14ac:dyDescent="0.25">
      <c r="A1796" s="2" t="s">
        <v>1345</v>
      </c>
      <c r="B1796" s="2" t="s">
        <v>2357</v>
      </c>
    </row>
    <row r="1797" spans="1:2" ht="15.75" customHeight="1" x14ac:dyDescent="0.25">
      <c r="A1797" s="2" t="s">
        <v>185</v>
      </c>
      <c r="B1797" s="2" t="s">
        <v>2356</v>
      </c>
    </row>
    <row r="1798" spans="1:2" ht="15.75" customHeight="1" x14ac:dyDescent="0.25">
      <c r="A1798" s="2" t="s">
        <v>2348</v>
      </c>
      <c r="B1798" s="2" t="s">
        <v>2360</v>
      </c>
    </row>
    <row r="1799" spans="1:2" ht="15.75" customHeight="1" x14ac:dyDescent="0.25">
      <c r="A1799" s="2" t="s">
        <v>607</v>
      </c>
      <c r="B1799" s="2" t="s">
        <v>2357</v>
      </c>
    </row>
    <row r="1800" spans="1:2" ht="15.75" customHeight="1" x14ac:dyDescent="0.25">
      <c r="A1800" s="2" t="s">
        <v>1219</v>
      </c>
      <c r="B1800" s="2" t="s">
        <v>2356</v>
      </c>
    </row>
    <row r="1801" spans="1:2" ht="15.75" customHeight="1" x14ac:dyDescent="0.25">
      <c r="A1801" s="2" t="s">
        <v>1568</v>
      </c>
      <c r="B1801" s="2" t="s">
        <v>2357</v>
      </c>
    </row>
    <row r="1802" spans="1:2" ht="15.75" customHeight="1" x14ac:dyDescent="0.25">
      <c r="A1802" s="2" t="s">
        <v>1871</v>
      </c>
      <c r="B1802" s="2" t="s">
        <v>2356</v>
      </c>
    </row>
    <row r="1803" spans="1:2" ht="15.75" customHeight="1" x14ac:dyDescent="0.25">
      <c r="A1803" s="2" t="s">
        <v>2189</v>
      </c>
      <c r="B1803" s="2" t="s">
        <v>2357</v>
      </c>
    </row>
    <row r="1804" spans="1:2" ht="15.75" customHeight="1" x14ac:dyDescent="0.25">
      <c r="A1804" s="2" t="s">
        <v>943</v>
      </c>
      <c r="B1804" s="2" t="s">
        <v>2356</v>
      </c>
    </row>
    <row r="1805" spans="1:2" ht="15.75" customHeight="1" x14ac:dyDescent="0.25">
      <c r="A1805" s="2" t="s">
        <v>403</v>
      </c>
      <c r="B1805" s="2" t="s">
        <v>2359</v>
      </c>
    </row>
    <row r="1806" spans="1:2" ht="15.75" customHeight="1" x14ac:dyDescent="0.25">
      <c r="A1806" s="2" t="s">
        <v>992</v>
      </c>
      <c r="B1806" s="2" t="s">
        <v>2357</v>
      </c>
    </row>
    <row r="1807" spans="1:2" ht="15.75" customHeight="1" x14ac:dyDescent="0.25">
      <c r="A1807" s="2" t="s">
        <v>1401</v>
      </c>
      <c r="B1807" s="2" t="s">
        <v>2357</v>
      </c>
    </row>
    <row r="1808" spans="1:2" ht="15.75" customHeight="1" x14ac:dyDescent="0.25">
      <c r="A1808" s="2" t="s">
        <v>1758</v>
      </c>
      <c r="B1808" s="2" t="s">
        <v>2356</v>
      </c>
    </row>
    <row r="1809" spans="1:2" ht="15.75" customHeight="1" x14ac:dyDescent="0.25">
      <c r="A1809" s="2" t="s">
        <v>2092</v>
      </c>
      <c r="B1809" s="2" t="s">
        <v>2357</v>
      </c>
    </row>
    <row r="1810" spans="1:2" ht="15.75" customHeight="1" x14ac:dyDescent="0.25">
      <c r="A1810" s="2" t="s">
        <v>1936</v>
      </c>
      <c r="B1810" s="2" t="s">
        <v>2357</v>
      </c>
    </row>
    <row r="1811" spans="1:2" ht="15.75" customHeight="1" x14ac:dyDescent="0.25">
      <c r="A1811" s="2" t="s">
        <v>1156</v>
      </c>
      <c r="B1811" s="2" t="s">
        <v>2357</v>
      </c>
    </row>
    <row r="1812" spans="1:2" ht="15.75" customHeight="1" x14ac:dyDescent="0.25">
      <c r="A1812" s="2" t="s">
        <v>2156</v>
      </c>
      <c r="B1812" s="2" t="s">
        <v>2360</v>
      </c>
    </row>
    <row r="1813" spans="1:2" ht="15.75" customHeight="1" x14ac:dyDescent="0.25">
      <c r="A1813" s="2" t="s">
        <v>1639</v>
      </c>
      <c r="B1813" s="2" t="s">
        <v>2357</v>
      </c>
    </row>
    <row r="1814" spans="1:2" ht="15.75" customHeight="1" x14ac:dyDescent="0.25">
      <c r="A1814" s="2" t="s">
        <v>886</v>
      </c>
      <c r="B1814" s="2" t="s">
        <v>2359</v>
      </c>
    </row>
    <row r="1815" spans="1:2" ht="15.75" customHeight="1" x14ac:dyDescent="0.25">
      <c r="A1815" s="2" t="s">
        <v>2259</v>
      </c>
      <c r="B1815" s="2" t="s">
        <v>2360</v>
      </c>
    </row>
    <row r="1816" spans="1:2" ht="15.75" customHeight="1" x14ac:dyDescent="0.25">
      <c r="A1816" s="2" t="s">
        <v>778</v>
      </c>
      <c r="B1816" s="2" t="s">
        <v>2357</v>
      </c>
    </row>
    <row r="1817" spans="1:2" ht="15.75" customHeight="1" x14ac:dyDescent="0.25">
      <c r="A1817" s="2" t="s">
        <v>297</v>
      </c>
      <c r="B1817" s="2" t="s">
        <v>2357</v>
      </c>
    </row>
    <row r="1818" spans="1:2" ht="15.75" customHeight="1" x14ac:dyDescent="0.25">
      <c r="A1818" s="2" t="s">
        <v>1045</v>
      </c>
      <c r="B1818" s="2" t="s">
        <v>2357</v>
      </c>
    </row>
    <row r="1819" spans="1:2" ht="15.75" customHeight="1" x14ac:dyDescent="0.25">
      <c r="A1819" s="2" t="s">
        <v>1451</v>
      </c>
      <c r="B1819" s="2" t="s">
        <v>2357</v>
      </c>
    </row>
    <row r="1820" spans="1:2" ht="15.75" customHeight="1" x14ac:dyDescent="0.25">
      <c r="A1820" s="2" t="s">
        <v>1287</v>
      </c>
      <c r="B1820" s="2" t="s">
        <v>2357</v>
      </c>
    </row>
    <row r="1821" spans="1:2" ht="15.75" customHeight="1" x14ac:dyDescent="0.25">
      <c r="A1821" s="2" t="s">
        <v>2267</v>
      </c>
      <c r="B1821" s="2" t="s">
        <v>2357</v>
      </c>
    </row>
    <row r="1822" spans="1:2" ht="15.75" customHeight="1" x14ac:dyDescent="0.25">
      <c r="A1822" s="2" t="s">
        <v>966</v>
      </c>
      <c r="B1822" s="2" t="s">
        <v>2357</v>
      </c>
    </row>
    <row r="1823" spans="1:2" ht="15.75" customHeight="1" x14ac:dyDescent="0.25">
      <c r="A1823" s="2" t="s">
        <v>490</v>
      </c>
      <c r="B1823" s="2" t="s">
        <v>2357</v>
      </c>
    </row>
    <row r="1824" spans="1:2" ht="15.75" customHeight="1" x14ac:dyDescent="0.25">
      <c r="A1824" s="2" t="s">
        <v>1161</v>
      </c>
      <c r="B1824" s="2" t="s">
        <v>2357</v>
      </c>
    </row>
    <row r="1825" spans="1:2" ht="15.75" customHeight="1" x14ac:dyDescent="0.25">
      <c r="A1825" s="2" t="s">
        <v>1907</v>
      </c>
      <c r="B1825" s="2" t="s">
        <v>2357</v>
      </c>
    </row>
    <row r="1826" spans="1:2" ht="15.75" customHeight="1" x14ac:dyDescent="0.25">
      <c r="A1826" s="2" t="s">
        <v>1982</v>
      </c>
      <c r="B1826" s="2" t="s">
        <v>2357</v>
      </c>
    </row>
    <row r="1827" spans="1:2" ht="15.75" customHeight="1" x14ac:dyDescent="0.25">
      <c r="A1827" s="2" t="s">
        <v>1520</v>
      </c>
      <c r="B1827" s="2" t="s">
        <v>2357</v>
      </c>
    </row>
    <row r="1828" spans="1:2" ht="15.75" customHeight="1" x14ac:dyDescent="0.25">
      <c r="A1828" s="2" t="s">
        <v>685</v>
      </c>
      <c r="B1828" s="2" t="s">
        <v>2357</v>
      </c>
    </row>
    <row r="1829" spans="1:2" ht="15.75" customHeight="1" x14ac:dyDescent="0.25">
      <c r="A1829" s="2" t="s">
        <v>2197</v>
      </c>
      <c r="B1829" s="2" t="s">
        <v>2357</v>
      </c>
    </row>
    <row r="1830" spans="1:2" ht="15.75" customHeight="1" x14ac:dyDescent="0.25">
      <c r="A1830" s="2" t="s">
        <v>1249</v>
      </c>
      <c r="B1830" s="2" t="s">
        <v>2357</v>
      </c>
    </row>
    <row r="1831" spans="1:2" ht="15.75" customHeight="1" x14ac:dyDescent="0.25">
      <c r="A1831" s="2" t="s">
        <v>1597</v>
      </c>
      <c r="B1831" s="2" t="s">
        <v>2357</v>
      </c>
    </row>
    <row r="1832" spans="1:2" ht="15.75" customHeight="1" x14ac:dyDescent="0.25">
      <c r="A1832" s="2" t="s">
        <v>847</v>
      </c>
      <c r="B1832" s="2" t="s">
        <v>2357</v>
      </c>
    </row>
    <row r="1833" spans="1:2" ht="15.75" customHeight="1" x14ac:dyDescent="0.25">
      <c r="A1833" s="2" t="s">
        <v>1164</v>
      </c>
      <c r="B1833" s="2" t="s">
        <v>2357</v>
      </c>
    </row>
    <row r="1834" spans="1:2" ht="15.75" customHeight="1" x14ac:dyDescent="0.25">
      <c r="A1834" s="2" t="s">
        <v>310</v>
      </c>
      <c r="B1834" s="2" t="s">
        <v>2357</v>
      </c>
    </row>
    <row r="1835" spans="1:2" ht="15.75" customHeight="1" x14ac:dyDescent="0.25">
      <c r="A1835" s="2" t="s">
        <v>1377</v>
      </c>
      <c r="B1835" s="2" t="s">
        <v>2357</v>
      </c>
    </row>
    <row r="1836" spans="1:2" ht="15.75" customHeight="1" x14ac:dyDescent="0.25">
      <c r="A1836" s="2" t="s">
        <v>526</v>
      </c>
      <c r="B1836" s="2" t="s">
        <v>2357</v>
      </c>
    </row>
    <row r="1837" spans="1:2" ht="15.75" customHeight="1" x14ac:dyDescent="0.25">
      <c r="A1837" s="2" t="s">
        <v>1972</v>
      </c>
      <c r="B1837" s="2" t="s">
        <v>2357</v>
      </c>
    </row>
    <row r="1838" spans="1:2" ht="15.75" customHeight="1" x14ac:dyDescent="0.25">
      <c r="A1838" s="2" t="s">
        <v>2078</v>
      </c>
      <c r="B1838" s="2" t="s">
        <v>2359</v>
      </c>
    </row>
    <row r="1839" spans="1:2" ht="15.75" customHeight="1" x14ac:dyDescent="0.25">
      <c r="A1839" s="2" t="s">
        <v>1805</v>
      </c>
      <c r="B1839" s="2" t="s">
        <v>2357</v>
      </c>
    </row>
    <row r="1840" spans="1:2" ht="15.75" customHeight="1" x14ac:dyDescent="0.25">
      <c r="A1840" s="2" t="s">
        <v>1693</v>
      </c>
      <c r="B1840" s="2" t="s">
        <v>2357</v>
      </c>
    </row>
    <row r="1841" spans="1:2" ht="15.75" customHeight="1" x14ac:dyDescent="0.25">
      <c r="A1841" s="2" t="s">
        <v>1901</v>
      </c>
      <c r="B1841" s="2" t="s">
        <v>2357</v>
      </c>
    </row>
    <row r="1842" spans="1:2" ht="15.75" customHeight="1" x14ac:dyDescent="0.25">
      <c r="A1842" s="2" t="s">
        <v>1379</v>
      </c>
      <c r="B1842" s="2" t="s">
        <v>2357</v>
      </c>
    </row>
    <row r="1843" spans="1:2" ht="15.75" customHeight="1" x14ac:dyDescent="0.25">
      <c r="A1843" s="2" t="s">
        <v>2287</v>
      </c>
      <c r="B1843" s="2" t="s">
        <v>2360</v>
      </c>
    </row>
    <row r="1844" spans="1:2" ht="15.75" customHeight="1" x14ac:dyDescent="0.25">
      <c r="A1844" s="2" t="s">
        <v>1414</v>
      </c>
      <c r="B1844" s="2" t="s">
        <v>2357</v>
      </c>
    </row>
    <row r="1845" spans="1:2" ht="15.75" customHeight="1" x14ac:dyDescent="0.25">
      <c r="A1845" s="2" t="s">
        <v>339</v>
      </c>
      <c r="B1845" s="2" t="s">
        <v>2357</v>
      </c>
    </row>
    <row r="1846" spans="1:2" ht="15.75" customHeight="1" x14ac:dyDescent="0.25">
      <c r="A1846" s="2" t="s">
        <v>1930</v>
      </c>
      <c r="B1846" s="2" t="s">
        <v>2356</v>
      </c>
    </row>
    <row r="1847" spans="1:2" ht="15.75" customHeight="1" x14ac:dyDescent="0.25">
      <c r="A1847" s="2" t="s">
        <v>2309</v>
      </c>
      <c r="B1847" s="2" t="s">
        <v>2357</v>
      </c>
    </row>
    <row r="1848" spans="1:2" ht="15.75" customHeight="1" x14ac:dyDescent="0.25">
      <c r="A1848" s="2" t="s">
        <v>1511</v>
      </c>
      <c r="B1848" s="2" t="s">
        <v>2357</v>
      </c>
    </row>
    <row r="1849" spans="1:2" ht="15.75" customHeight="1" x14ac:dyDescent="0.25">
      <c r="A1849" s="2" t="s">
        <v>981</v>
      </c>
      <c r="B1849" s="2" t="s">
        <v>2359</v>
      </c>
    </row>
    <row r="1850" spans="1:2" ht="15.75" customHeight="1" x14ac:dyDescent="0.25">
      <c r="A1850" s="2" t="s">
        <v>1378</v>
      </c>
      <c r="B1850" s="2" t="s">
        <v>2357</v>
      </c>
    </row>
    <row r="1851" spans="1:2" ht="15.75" customHeight="1" x14ac:dyDescent="0.25">
      <c r="A1851" s="2" t="s">
        <v>1013</v>
      </c>
      <c r="B1851" s="2" t="s">
        <v>2356</v>
      </c>
    </row>
    <row r="1852" spans="1:2" ht="15.75" customHeight="1" x14ac:dyDescent="0.25">
      <c r="A1852" s="2" t="s">
        <v>583</v>
      </c>
      <c r="B1852" s="2" t="s">
        <v>2356</v>
      </c>
    </row>
    <row r="1853" spans="1:2" ht="15.75" customHeight="1" x14ac:dyDescent="0.25">
      <c r="A1853" s="2" t="s">
        <v>1918</v>
      </c>
      <c r="B1853" s="2" t="s">
        <v>2357</v>
      </c>
    </row>
    <row r="1854" spans="1:2" ht="15.75" customHeight="1" x14ac:dyDescent="0.25">
      <c r="A1854" s="2" t="s">
        <v>498</v>
      </c>
      <c r="B1854" s="2" t="s">
        <v>2357</v>
      </c>
    </row>
    <row r="1855" spans="1:2" ht="15.75" customHeight="1" x14ac:dyDescent="0.25">
      <c r="A1855" s="2" t="s">
        <v>921</v>
      </c>
      <c r="B1855" s="2" t="s">
        <v>2356</v>
      </c>
    </row>
    <row r="1856" spans="1:2" ht="15.75" customHeight="1" x14ac:dyDescent="0.25">
      <c r="A1856" s="2" t="s">
        <v>18</v>
      </c>
      <c r="B1856" s="2" t="s">
        <v>2357</v>
      </c>
    </row>
    <row r="1857" spans="1:2" ht="15.75" customHeight="1" x14ac:dyDescent="0.25">
      <c r="A1857" s="2" t="s">
        <v>2032</v>
      </c>
      <c r="B1857" s="2" t="s">
        <v>2357</v>
      </c>
    </row>
    <row r="1858" spans="1:2" ht="15.75" customHeight="1" x14ac:dyDescent="0.25">
      <c r="A1858" s="2" t="s">
        <v>707</v>
      </c>
      <c r="B1858" s="2" t="s">
        <v>2357</v>
      </c>
    </row>
    <row r="1859" spans="1:2" ht="15.75" customHeight="1" x14ac:dyDescent="0.25">
      <c r="A1859" s="2" t="s">
        <v>2118</v>
      </c>
      <c r="B1859" s="2" t="s">
        <v>2360</v>
      </c>
    </row>
    <row r="1860" spans="1:2" ht="15.75" customHeight="1" x14ac:dyDescent="0.25">
      <c r="A1860" s="2" t="s">
        <v>1584</v>
      </c>
      <c r="B1860" s="2" t="s">
        <v>2357</v>
      </c>
    </row>
    <row r="1861" spans="1:2" ht="15.75" customHeight="1" x14ac:dyDescent="0.25">
      <c r="A1861" s="2" t="s">
        <v>2065</v>
      </c>
      <c r="B1861" s="2" t="s">
        <v>2357</v>
      </c>
    </row>
    <row r="1862" spans="1:2" ht="15.75" customHeight="1" x14ac:dyDescent="0.25">
      <c r="A1862" s="2" t="s">
        <v>1790</v>
      </c>
      <c r="B1862" s="2" t="s">
        <v>2357</v>
      </c>
    </row>
    <row r="1863" spans="1:2" ht="15.75" customHeight="1" x14ac:dyDescent="0.25">
      <c r="A1863" s="2" t="s">
        <v>1638</v>
      </c>
      <c r="B1863" s="2" t="s">
        <v>2357</v>
      </c>
    </row>
    <row r="1864" spans="1:2" ht="15.75" customHeight="1" x14ac:dyDescent="0.25">
      <c r="A1864" s="2" t="s">
        <v>2001</v>
      </c>
      <c r="B1864" s="2" t="s">
        <v>2357</v>
      </c>
    </row>
    <row r="1865" spans="1:2" ht="15.75" customHeight="1" x14ac:dyDescent="0.25">
      <c r="A1865" s="2" t="s">
        <v>1897</v>
      </c>
      <c r="B1865" s="2" t="s">
        <v>2357</v>
      </c>
    </row>
    <row r="1866" spans="1:2" ht="15.75" customHeight="1" x14ac:dyDescent="0.25">
      <c r="A1866" s="2" t="s">
        <v>1767</v>
      </c>
      <c r="B1866" s="2" t="s">
        <v>2357</v>
      </c>
    </row>
    <row r="1867" spans="1:2" ht="15.75" customHeight="1" x14ac:dyDescent="0.25">
      <c r="A1867" s="2" t="s">
        <v>1779</v>
      </c>
      <c r="B1867" s="2" t="s">
        <v>2357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D5EF-1DD6-4483-A45E-FEDDBB590DF3}">
  <dimension ref="B2:D15"/>
  <sheetViews>
    <sheetView workbookViewId="0">
      <selection activeCell="D11" sqref="D11"/>
    </sheetView>
  </sheetViews>
  <sheetFormatPr defaultRowHeight="15" x14ac:dyDescent="0.25"/>
  <cols>
    <col min="2" max="2" width="8" customWidth="1"/>
    <col min="3" max="3" width="2.5703125" customWidth="1"/>
  </cols>
  <sheetData>
    <row r="2" spans="2:4" x14ac:dyDescent="0.25">
      <c r="B2" t="s">
        <v>2361</v>
      </c>
    </row>
    <row r="4" spans="2:4" x14ac:dyDescent="0.25">
      <c r="B4" t="s">
        <v>2362</v>
      </c>
    </row>
    <row r="5" spans="2:4" x14ac:dyDescent="0.25">
      <c r="C5" t="s">
        <v>2374</v>
      </c>
    </row>
    <row r="6" spans="2:4" x14ac:dyDescent="0.25">
      <c r="C6">
        <v>1</v>
      </c>
      <c r="D6" t="s">
        <v>2373</v>
      </c>
    </row>
    <row r="7" spans="2:4" x14ac:dyDescent="0.25">
      <c r="C7">
        <v>2</v>
      </c>
      <c r="D7" t="s">
        <v>2371</v>
      </c>
    </row>
    <row r="8" spans="2:4" x14ac:dyDescent="0.25">
      <c r="C8">
        <v>3</v>
      </c>
      <c r="D8" t="s">
        <v>2372</v>
      </c>
    </row>
    <row r="10" spans="2:4" x14ac:dyDescent="0.25">
      <c r="B10" t="s">
        <v>2363</v>
      </c>
    </row>
    <row r="11" spans="2:4" x14ac:dyDescent="0.25">
      <c r="C11" t="s">
        <v>2364</v>
      </c>
      <c r="D11" t="s">
        <v>2365</v>
      </c>
    </row>
    <row r="12" spans="2:4" x14ac:dyDescent="0.25">
      <c r="C12" t="s">
        <v>2364</v>
      </c>
      <c r="D12" t="s">
        <v>2366</v>
      </c>
    </row>
    <row r="13" spans="2:4" x14ac:dyDescent="0.25">
      <c r="C13" t="s">
        <v>2364</v>
      </c>
      <c r="D13" t="s">
        <v>2367</v>
      </c>
    </row>
    <row r="15" spans="2:4" x14ac:dyDescent="0.25">
      <c r="B15" t="s">
        <v>2368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B1E3-821A-4966-BA6C-E6A856B74B91}">
  <dimension ref="B1:Z429"/>
  <sheetViews>
    <sheetView workbookViewId="0">
      <selection activeCell="E31" sqref="E31"/>
    </sheetView>
  </sheetViews>
  <sheetFormatPr defaultRowHeight="15" x14ac:dyDescent="0.25"/>
  <cols>
    <col min="2" max="2" width="17.42578125" customWidth="1"/>
    <col min="3" max="4" width="18.28515625" bestFit="1" customWidth="1"/>
    <col min="5" max="5" width="18.7109375" bestFit="1" customWidth="1"/>
    <col min="6" max="6" width="17.5703125" customWidth="1"/>
    <col min="7" max="8" width="15.7109375" customWidth="1"/>
    <col min="9" max="9" width="15.28515625" customWidth="1"/>
    <col min="10" max="10" width="15" customWidth="1"/>
    <col min="24" max="24" width="16.42578125" customWidth="1"/>
    <col min="26" max="26" width="18.140625" customWidth="1"/>
  </cols>
  <sheetData>
    <row r="1" spans="2:26" ht="15.75" thickBot="1" x14ac:dyDescent="0.3"/>
    <row r="2" spans="2:26" x14ac:dyDescent="0.25">
      <c r="B2" s="16" t="s">
        <v>2380</v>
      </c>
      <c r="C2" s="17" t="s">
        <v>2377</v>
      </c>
      <c r="D2" s="17" t="s">
        <v>2378</v>
      </c>
      <c r="E2" s="18" t="s">
        <v>2379</v>
      </c>
    </row>
    <row r="3" spans="2:26" x14ac:dyDescent="0.25">
      <c r="B3" s="19" t="str" cm="1">
        <f t="array" ref="B3:B11">_xlfn._xlws.SORT(_xlfn.UNIQUE(Data!F2:F2001))</f>
        <v>Bawang Merah</v>
      </c>
      <c r="C3" s="15">
        <f>SUMIFS(Data!$M:$M,Data!$F:$F,Jawab!$B3,Data!$G:$G,Jawab!C$2)</f>
        <v>5319000</v>
      </c>
      <c r="D3" s="15">
        <f>SUMIFS(Data!$M:$M,Data!$F:$F,Jawab!$B3,Data!$G:$G,Jawab!D$2)</f>
        <v>6672750</v>
      </c>
      <c r="E3" s="20">
        <f>SUMIFS(Data!$M:$M,Data!$F:$F,Jawab!$B3,Data!$G:$G,Jawab!E$2)</f>
        <v>5310000</v>
      </c>
    </row>
    <row r="4" spans="2:26" x14ac:dyDescent="0.25">
      <c r="B4" s="19" t="str">
        <v>Beras</v>
      </c>
      <c r="C4" s="15">
        <f>SUMIFS(Data!$M:$M,Data!$F:$F,Jawab!$B4,Data!$G:$G,Jawab!C$2)</f>
        <v>2762900</v>
      </c>
      <c r="D4" s="15">
        <f>SUMIFS(Data!$M:$M,Data!$F:$F,Jawab!$B4,Data!$G:$G,Jawab!D$2)</f>
        <v>2838750</v>
      </c>
      <c r="E4" s="20">
        <f>SUMIFS(Data!$M:$M,Data!$F:$F,Jawab!$B4,Data!$G:$G,Jawab!E$2)</f>
        <v>2801600</v>
      </c>
    </row>
    <row r="5" spans="2:26" x14ac:dyDescent="0.25">
      <c r="B5" s="19" t="str">
        <v>Daging Ayam</v>
      </c>
      <c r="C5" s="15">
        <f>SUMIFS(Data!$M:$M,Data!$F:$F,Jawab!$B5,Data!$G:$G,Jawab!C$2)</f>
        <v>6650000</v>
      </c>
      <c r="D5" s="15">
        <f>SUMIFS(Data!$M:$M,Data!$F:$F,Jawab!$B5,Data!$G:$G,Jawab!D$2)</f>
        <v>9480000</v>
      </c>
      <c r="E5" s="20">
        <f>SUMIFS(Data!$M:$M,Data!$F:$F,Jawab!$B5,Data!$G:$G,Jawab!E$2)</f>
        <v>10075500</v>
      </c>
      <c r="X5" s="35" t="s">
        <v>2413</v>
      </c>
      <c r="Z5" s="37" t="s">
        <v>2382</v>
      </c>
    </row>
    <row r="6" spans="2:26" x14ac:dyDescent="0.25">
      <c r="B6" s="19" t="str">
        <v>Garam</v>
      </c>
      <c r="C6" s="15">
        <f>SUMIFS(Data!$M:$M,Data!$F:$F,Jawab!$B6,Data!$G:$G,Jawab!C$2)</f>
        <v>801000</v>
      </c>
      <c r="D6" s="15">
        <f>SUMIFS(Data!$M:$M,Data!$F:$F,Jawab!$B6,Data!$G:$G,Jawab!D$2)</f>
        <v>920250</v>
      </c>
      <c r="E6" s="20">
        <f>SUMIFS(Data!$M:$M,Data!$F:$F,Jawab!$B6,Data!$G:$G,Jawab!E$2)</f>
        <v>1436100</v>
      </c>
      <c r="X6" s="36" t="str">
        <f>COUNTA(_xlfn.UNIQUE(Data!C2:C2001))&amp;" Orang"</f>
        <v>396 Orang</v>
      </c>
      <c r="Z6" s="12">
        <f>SUM(Data!M2:M2001)</f>
        <v>128487050</v>
      </c>
    </row>
    <row r="7" spans="2:26" x14ac:dyDescent="0.25">
      <c r="B7" s="19" t="str">
        <v>Gula Pasir</v>
      </c>
      <c r="C7" s="15">
        <f>SUMIFS(Data!$M:$M,Data!$F:$F,Jawab!$B7,Data!$G:$G,Jawab!C$2)</f>
        <v>3150400</v>
      </c>
      <c r="D7" s="15">
        <f>SUMIFS(Data!$M:$M,Data!$F:$F,Jawab!$B7,Data!$G:$G,Jawab!D$2)</f>
        <v>3110150</v>
      </c>
      <c r="E7" s="20">
        <f>SUMIFS(Data!$M:$M,Data!$F:$F,Jawab!$B7,Data!$G:$G,Jawab!E$2)</f>
        <v>3887100</v>
      </c>
    </row>
    <row r="8" spans="2:26" x14ac:dyDescent="0.25">
      <c r="B8" s="19" t="str">
        <v>Minyak Goreng</v>
      </c>
      <c r="C8" s="15">
        <f>SUMIFS(Data!$M:$M,Data!$F:$F,Jawab!$B8,Data!$G:$G,Jawab!C$2)</f>
        <v>3612000</v>
      </c>
      <c r="D8" s="15">
        <f>SUMIFS(Data!$M:$M,Data!$F:$F,Jawab!$B8,Data!$G:$G,Jawab!D$2)</f>
        <v>3328600</v>
      </c>
      <c r="E8" s="20">
        <f>SUMIFS(Data!$M:$M,Data!$F:$F,Jawab!$B8,Data!$G:$G,Jawab!E$2)</f>
        <v>2772000</v>
      </c>
    </row>
    <row r="9" spans="2:26" x14ac:dyDescent="0.25">
      <c r="B9" s="19" t="str">
        <v>Susu Bubuk</v>
      </c>
      <c r="C9" s="15">
        <f>SUMIFS(Data!$M:$M,Data!$F:$F,Jawab!$B9,Data!$G:$G,Jawab!C$2)</f>
        <v>8835750</v>
      </c>
      <c r="D9" s="15">
        <f>SUMIFS(Data!$M:$M,Data!$F:$F,Jawab!$B9,Data!$G:$G,Jawab!D$2)</f>
        <v>10135000</v>
      </c>
      <c r="E9" s="20">
        <f>SUMIFS(Data!$M:$M,Data!$F:$F,Jawab!$B9,Data!$G:$G,Jawab!E$2)</f>
        <v>11200750</v>
      </c>
    </row>
    <row r="10" spans="2:26" x14ac:dyDescent="0.25">
      <c r="B10" s="19" t="str">
        <v>Telur Ayam</v>
      </c>
      <c r="C10" s="15">
        <f>SUMIFS(Data!$M:$M,Data!$F:$F,Jawab!$B10,Data!$G:$G,Jawab!C$2)</f>
        <v>4730000</v>
      </c>
      <c r="D10" s="15">
        <f>SUMIFS(Data!$M:$M,Data!$F:$F,Jawab!$B10,Data!$G:$G,Jawab!D$2)</f>
        <v>5693750</v>
      </c>
      <c r="E10" s="20">
        <f>SUMIFS(Data!$M:$M,Data!$F:$F,Jawab!$B10,Data!$G:$G,Jawab!E$2)</f>
        <v>5640600</v>
      </c>
    </row>
    <row r="11" spans="2:26" ht="15.75" thickBot="1" x14ac:dyDescent="0.3">
      <c r="B11" s="21" t="str">
        <v>Tepung Terigu</v>
      </c>
      <c r="C11" s="22">
        <f>SUMIFS(Data!$M:$M,Data!$F:$F,Jawab!$B11,Data!$G:$G,Jawab!C$2)</f>
        <v>1846000</v>
      </c>
      <c r="D11" s="22">
        <f>SUMIFS(Data!$M:$M,Data!$F:$F,Jawab!$B11,Data!$G:$G,Jawab!D$2)</f>
        <v>2253600</v>
      </c>
      <c r="E11" s="23">
        <f>SUMIFS(Data!$M:$M,Data!$F:$F,Jawab!$B11,Data!$G:$G,Jawab!E$2)</f>
        <v>3223500</v>
      </c>
    </row>
    <row r="12" spans="2:26" x14ac:dyDescent="0.25">
      <c r="C12" s="12"/>
    </row>
    <row r="13" spans="2:26" x14ac:dyDescent="0.25">
      <c r="C13" s="12"/>
    </row>
    <row r="14" spans="2:26" x14ac:dyDescent="0.25">
      <c r="C14" s="12"/>
    </row>
    <row r="15" spans="2:26" ht="15.75" thickBot="1" x14ac:dyDescent="0.3">
      <c r="C15" s="12"/>
    </row>
    <row r="16" spans="2:26" x14ac:dyDescent="0.25">
      <c r="B16" s="16" t="s">
        <v>2383</v>
      </c>
      <c r="C16" s="17" t="s">
        <v>2384</v>
      </c>
      <c r="D16" s="18" t="s">
        <v>2385</v>
      </c>
      <c r="E16" s="33"/>
    </row>
    <row r="17" spans="2:5" x14ac:dyDescent="0.25">
      <c r="B17" s="19" t="str" cm="1">
        <f t="array" ref="B17:B28">_xlfn.UNIQUE(Data!U2:U2001)</f>
        <v>Jan</v>
      </c>
      <c r="C17" s="15">
        <f>SUMIFS(Data!$M:$M,Data!$U:$U,Jawab!$B17,Data!$V:$V,2024)</f>
        <v>0</v>
      </c>
      <c r="D17" s="20">
        <f>SUMIFS(Data!$M:$M,Data!$U:$U,Jawab!$B17,Data!$V:$V,2025)</f>
        <v>10915900</v>
      </c>
      <c r="E17" s="12"/>
    </row>
    <row r="18" spans="2:5" x14ac:dyDescent="0.25">
      <c r="B18" s="19" t="str">
        <v>Feb</v>
      </c>
      <c r="C18" s="15">
        <f>SUMIFS(Data!$M:$M,Data!$U:$U,Jawab!$B18,Data!$V:$V,2024)</f>
        <v>0</v>
      </c>
      <c r="D18" s="20">
        <f>SUMIFS(Data!$M:$M,Data!$U:$U,Jawab!$B18,Data!$V:$V,2025)</f>
        <v>8697300</v>
      </c>
      <c r="E18" s="12"/>
    </row>
    <row r="19" spans="2:5" x14ac:dyDescent="0.25">
      <c r="B19" s="19" t="str">
        <v>Mar</v>
      </c>
      <c r="C19" s="15">
        <f>SUMIFS(Data!$M:$M,Data!$U:$U,Jawab!$B19,Data!$V:$V,2024)</f>
        <v>0</v>
      </c>
      <c r="D19" s="20">
        <f>SUMIFS(Data!$M:$M,Data!$U:$U,Jawab!$B19,Data!$V:$V,2025)</f>
        <v>10043950</v>
      </c>
      <c r="E19" s="12"/>
    </row>
    <row r="20" spans="2:5" x14ac:dyDescent="0.25">
      <c r="B20" s="19" t="str">
        <v>Apr</v>
      </c>
      <c r="C20" s="15">
        <f>SUMIFS(Data!$M:$M,Data!$U:$U,Jawab!$B20,Data!$V:$V,2024)</f>
        <v>0</v>
      </c>
      <c r="D20" s="20">
        <f>SUMIFS(Data!$M:$M,Data!$U:$U,Jawab!$B20,Data!$V:$V,2025)</f>
        <v>10587550</v>
      </c>
      <c r="E20" s="12"/>
    </row>
    <row r="21" spans="2:5" x14ac:dyDescent="0.25">
      <c r="B21" s="19" t="str">
        <v>May</v>
      </c>
      <c r="C21" s="15">
        <f>SUMIFS(Data!$M:$M,Data!$U:$U,Jawab!$B21,Data!$V:$V,2024)</f>
        <v>0</v>
      </c>
      <c r="D21" s="20">
        <f>SUMIFS(Data!$M:$M,Data!$U:$U,Jawab!$B21,Data!$V:$V,2025)</f>
        <v>11359600</v>
      </c>
      <c r="E21" s="12"/>
    </row>
    <row r="22" spans="2:5" x14ac:dyDescent="0.25">
      <c r="B22" s="19" t="str">
        <v>Jun</v>
      </c>
      <c r="C22" s="15">
        <f>SUMIFS(Data!$M:$M,Data!$U:$U,Jawab!$B22,Data!$V:$V,2024)</f>
        <v>0</v>
      </c>
      <c r="D22" s="20">
        <f>SUMIFS(Data!$M:$M,Data!$U:$U,Jawab!$B22,Data!$V:$V,2025)</f>
        <v>11708650</v>
      </c>
      <c r="E22" s="12"/>
    </row>
    <row r="23" spans="2:5" x14ac:dyDescent="0.25">
      <c r="B23" s="19" t="str">
        <v>Jul</v>
      </c>
      <c r="C23" s="15">
        <f>SUMIFS(Data!$M:$M,Data!$U:$U,Jawab!$B23,Data!$V:$V,2024)</f>
        <v>0</v>
      </c>
      <c r="D23" s="20">
        <f>SUMIFS(Data!$M:$M,Data!$U:$U,Jawab!$B23,Data!$V:$V,2025)</f>
        <v>12385950</v>
      </c>
      <c r="E23" s="12"/>
    </row>
    <row r="24" spans="2:5" x14ac:dyDescent="0.25">
      <c r="B24" s="19" t="str">
        <v>Aug</v>
      </c>
      <c r="C24" s="15">
        <f>SUMIFS(Data!$M:$M,Data!$U:$U,Jawab!$B24,Data!$V:$V,2024)</f>
        <v>0</v>
      </c>
      <c r="D24" s="20">
        <f>SUMIFS(Data!$M:$M,Data!$U:$U,Jawab!$B24,Data!$V:$V,2025)</f>
        <v>11002900</v>
      </c>
      <c r="E24" s="12"/>
    </row>
    <row r="25" spans="2:5" x14ac:dyDescent="0.25">
      <c r="B25" s="19" t="str">
        <v>Sep</v>
      </c>
      <c r="C25" s="15">
        <f>SUMIFS(Data!$M:$M,Data!$U:$U,Jawab!$B25,Data!$V:$V,2024)</f>
        <v>6957800</v>
      </c>
      <c r="D25" s="20">
        <f>SUMIFS(Data!$M:$M,Data!$U:$U,Jawab!$B25,Data!$V:$V,2025)</f>
        <v>5004950</v>
      </c>
      <c r="E25" s="12"/>
    </row>
    <row r="26" spans="2:5" x14ac:dyDescent="0.25">
      <c r="B26" s="19" t="str">
        <v>Oct</v>
      </c>
      <c r="C26" s="15">
        <f>SUMIFS(Data!$M:$M,Data!$U:$U,Jawab!$B26,Data!$V:$V,2024)</f>
        <v>10583650</v>
      </c>
      <c r="D26" s="20">
        <f>SUMIFS(Data!$M:$M,Data!$U:$U,Jawab!$B26,Data!$V:$V,2025)</f>
        <v>0</v>
      </c>
      <c r="E26" s="12"/>
    </row>
    <row r="27" spans="2:5" x14ac:dyDescent="0.25">
      <c r="B27" s="19" t="str">
        <v>Nov</v>
      </c>
      <c r="C27" s="15">
        <f>SUMIFS(Data!$M:$M,Data!$U:$U,Jawab!$B27,Data!$V:$V,2024)</f>
        <v>10883500</v>
      </c>
      <c r="D27" s="20">
        <f>SUMIFS(Data!$M:$M,Data!$U:$U,Jawab!$B27,Data!$V:$V,2025)</f>
        <v>0</v>
      </c>
      <c r="E27" s="12"/>
    </row>
    <row r="28" spans="2:5" ht="15.75" thickBot="1" x14ac:dyDescent="0.3">
      <c r="B28" s="21" t="str">
        <v>Dec</v>
      </c>
      <c r="C28" s="22">
        <f>SUMIFS(Data!$M:$M,Data!$U:$U,Jawab!$B28,Data!$V:$V,2024)</f>
        <v>8355350</v>
      </c>
      <c r="D28" s="23">
        <f>SUMIFS(Data!$M:$M,Data!$U:$U,Jawab!$B28,Data!$V:$V,2025)</f>
        <v>0</v>
      </c>
      <c r="E28" s="12"/>
    </row>
    <row r="29" spans="2:5" x14ac:dyDescent="0.25">
      <c r="C29" s="12"/>
    </row>
    <row r="32" spans="2:5" ht="15.75" thickBot="1" x14ac:dyDescent="0.3"/>
    <row r="33" spans="2:10" x14ac:dyDescent="0.25">
      <c r="B33" s="16" t="s">
        <v>2386</v>
      </c>
      <c r="C33" s="17" t="s">
        <v>2387</v>
      </c>
      <c r="D33" s="17" t="s">
        <v>2388</v>
      </c>
      <c r="E33" s="18" t="s">
        <v>2389</v>
      </c>
      <c r="G33" s="16" t="s">
        <v>2386</v>
      </c>
      <c r="H33" s="17" t="s">
        <v>2390</v>
      </c>
      <c r="I33" s="17" t="s">
        <v>2391</v>
      </c>
      <c r="J33" s="18" t="s">
        <v>2382</v>
      </c>
    </row>
    <row r="34" spans="2:10" x14ac:dyDescent="0.25">
      <c r="B34" s="19" t="s">
        <v>192</v>
      </c>
      <c r="C34" s="14">
        <f>COUNTIFS(Data!C:C,B34,Data!V:V,2024)</f>
        <v>4</v>
      </c>
      <c r="D34" s="14">
        <f>COUNTIFS(Data!C:C,B34,Data!V:V,2025)</f>
        <v>14</v>
      </c>
      <c r="E34" s="30">
        <f t="shared" ref="E34:E97" si="0">C34+D34</f>
        <v>18</v>
      </c>
      <c r="G34" s="19" t="s">
        <v>311</v>
      </c>
      <c r="H34" s="15">
        <f>SUMIFS(Data!M:M,Data!C:C,G34,Data!V:V,2024)</f>
        <v>320600</v>
      </c>
      <c r="I34" s="15">
        <f>SUMIFS(Data!M:M,Data!C:C,G34,Data!V:V,2025)</f>
        <v>885600</v>
      </c>
      <c r="J34" s="20">
        <f t="shared" ref="J34:J97" si="1">H34+I34</f>
        <v>1206200</v>
      </c>
    </row>
    <row r="35" spans="2:10" x14ac:dyDescent="0.25">
      <c r="B35" s="19" t="s">
        <v>582</v>
      </c>
      <c r="C35" s="14">
        <f>COUNTIFS(Data!C:C,B35,Data!V:V,2024)</f>
        <v>2</v>
      </c>
      <c r="D35" s="14">
        <f>COUNTIFS(Data!C:C,B35,Data!V:V,2025)</f>
        <v>16</v>
      </c>
      <c r="E35" s="30">
        <f t="shared" si="0"/>
        <v>18</v>
      </c>
      <c r="G35" s="19" t="s">
        <v>192</v>
      </c>
      <c r="H35" s="15">
        <f>SUMIFS(Data!M:M,Data!C:C,G35,Data!V:V,2024)</f>
        <v>340400</v>
      </c>
      <c r="I35" s="15">
        <f>SUMIFS(Data!M:M,Data!C:C,G35,Data!V:V,2025)</f>
        <v>857350</v>
      </c>
      <c r="J35" s="20">
        <f t="shared" si="1"/>
        <v>1197750</v>
      </c>
    </row>
    <row r="36" spans="2:10" x14ac:dyDescent="0.25">
      <c r="B36" s="19" t="s">
        <v>570</v>
      </c>
      <c r="C36" s="14">
        <f>COUNTIFS(Data!C:C,B36,Data!V:V,2024)</f>
        <v>4</v>
      </c>
      <c r="D36" s="14">
        <f>COUNTIFS(Data!C:C,B36,Data!V:V,2025)</f>
        <v>13</v>
      </c>
      <c r="E36" s="30">
        <f t="shared" si="0"/>
        <v>17</v>
      </c>
      <c r="G36" s="19" t="s">
        <v>649</v>
      </c>
      <c r="H36" s="15">
        <f>SUMIFS(Data!M:M,Data!C:C,G36,Data!V:V,2024)</f>
        <v>296000</v>
      </c>
      <c r="I36" s="15">
        <f>SUMIFS(Data!M:M,Data!C:C,G36,Data!V:V,2025)</f>
        <v>840350</v>
      </c>
      <c r="J36" s="20">
        <f t="shared" si="1"/>
        <v>1136350</v>
      </c>
    </row>
    <row r="37" spans="2:10" x14ac:dyDescent="0.25">
      <c r="B37" s="19" t="s">
        <v>201</v>
      </c>
      <c r="C37" s="14">
        <f>COUNTIFS(Data!C:C,B37,Data!V:V,2024)</f>
        <v>8</v>
      </c>
      <c r="D37" s="14">
        <f>COUNTIFS(Data!C:C,B37,Data!V:V,2025)</f>
        <v>8</v>
      </c>
      <c r="E37" s="30">
        <f t="shared" si="0"/>
        <v>16</v>
      </c>
      <c r="G37" s="19" t="s">
        <v>570</v>
      </c>
      <c r="H37" s="15">
        <f>SUMIFS(Data!M:M,Data!C:C,G37,Data!V:V,2024)</f>
        <v>99200</v>
      </c>
      <c r="I37" s="15">
        <f>SUMIFS(Data!M:M,Data!C:C,G37,Data!V:V,2025)</f>
        <v>968000</v>
      </c>
      <c r="J37" s="20">
        <f t="shared" si="1"/>
        <v>1067200</v>
      </c>
    </row>
    <row r="38" spans="2:10" x14ac:dyDescent="0.25">
      <c r="B38" s="19" t="s">
        <v>488</v>
      </c>
      <c r="C38" s="14">
        <f>COUNTIFS(Data!C:C,B38,Data!V:V,2024)</f>
        <v>4</v>
      </c>
      <c r="D38" s="14">
        <f>COUNTIFS(Data!C:C,B38,Data!V:V,2025)</f>
        <v>10</v>
      </c>
      <c r="E38" s="30">
        <f t="shared" si="0"/>
        <v>14</v>
      </c>
      <c r="G38" s="19" t="s">
        <v>488</v>
      </c>
      <c r="H38" s="15">
        <f>SUMIFS(Data!M:M,Data!C:C,G38,Data!V:V,2024)</f>
        <v>340900</v>
      </c>
      <c r="I38" s="15">
        <f>SUMIFS(Data!M:M,Data!C:C,G38,Data!V:V,2025)</f>
        <v>665400</v>
      </c>
      <c r="J38" s="20">
        <f t="shared" si="1"/>
        <v>1006300</v>
      </c>
    </row>
    <row r="39" spans="2:10" x14ac:dyDescent="0.25">
      <c r="B39" s="19" t="s">
        <v>649</v>
      </c>
      <c r="C39" s="14">
        <f>COUNTIFS(Data!C:C,B39,Data!V:V,2024)</f>
        <v>3</v>
      </c>
      <c r="D39" s="14">
        <f>COUNTIFS(Data!C:C,B39,Data!V:V,2025)</f>
        <v>10</v>
      </c>
      <c r="E39" s="30">
        <f t="shared" si="0"/>
        <v>13</v>
      </c>
      <c r="G39" s="19" t="s">
        <v>201</v>
      </c>
      <c r="H39" s="15">
        <f>SUMIFS(Data!M:M,Data!C:C,G39,Data!V:V,2024)</f>
        <v>530500</v>
      </c>
      <c r="I39" s="15">
        <f>SUMIFS(Data!M:M,Data!C:C,G39,Data!V:V,2025)</f>
        <v>436800</v>
      </c>
      <c r="J39" s="20">
        <f t="shared" si="1"/>
        <v>967300</v>
      </c>
    </row>
    <row r="40" spans="2:10" x14ac:dyDescent="0.25">
      <c r="B40" s="19" t="s">
        <v>557</v>
      </c>
      <c r="C40" s="14">
        <f>COUNTIFS(Data!C:C,B40,Data!V:V,2024)</f>
        <v>3</v>
      </c>
      <c r="D40" s="14">
        <f>COUNTIFS(Data!C:C,B40,Data!V:V,2025)</f>
        <v>10</v>
      </c>
      <c r="E40" s="30">
        <f t="shared" si="0"/>
        <v>13</v>
      </c>
      <c r="G40" s="19" t="s">
        <v>557</v>
      </c>
      <c r="H40" s="15">
        <f>SUMIFS(Data!M:M,Data!C:C,G40,Data!V:V,2024)</f>
        <v>285500</v>
      </c>
      <c r="I40" s="15">
        <f>SUMIFS(Data!M:M,Data!C:C,G40,Data!V:V,2025)</f>
        <v>661800</v>
      </c>
      <c r="J40" s="20">
        <f t="shared" si="1"/>
        <v>947300</v>
      </c>
    </row>
    <row r="41" spans="2:10" x14ac:dyDescent="0.25">
      <c r="B41" s="19" t="s">
        <v>261</v>
      </c>
      <c r="C41" s="14">
        <f>COUNTIFS(Data!C:C,B41,Data!V:V,2024)</f>
        <v>5</v>
      </c>
      <c r="D41" s="14">
        <f>COUNTIFS(Data!C:C,B41,Data!V:V,2025)</f>
        <v>8</v>
      </c>
      <c r="E41" s="30">
        <f t="shared" si="0"/>
        <v>13</v>
      </c>
      <c r="G41" s="19" t="s">
        <v>79</v>
      </c>
      <c r="H41" s="15">
        <f>SUMIFS(Data!M:M,Data!C:C,G41,Data!V:V,2024)</f>
        <v>312000</v>
      </c>
      <c r="I41" s="15">
        <f>SUMIFS(Data!M:M,Data!C:C,G41,Data!V:V,2025)</f>
        <v>585600</v>
      </c>
      <c r="J41" s="20">
        <f t="shared" si="1"/>
        <v>897600</v>
      </c>
    </row>
    <row r="42" spans="2:10" x14ac:dyDescent="0.25">
      <c r="B42" s="26" t="s">
        <v>79</v>
      </c>
      <c r="C42" s="14">
        <f>COUNTIFS(Data!C:C,B42,Data!V:V,2024)</f>
        <v>6</v>
      </c>
      <c r="D42" s="14">
        <f>COUNTIFS(Data!C:C,B42,Data!V:V,2025)</f>
        <v>6</v>
      </c>
      <c r="E42" s="30">
        <f t="shared" si="0"/>
        <v>12</v>
      </c>
      <c r="G42" s="19" t="s">
        <v>261</v>
      </c>
      <c r="H42" s="15">
        <f>SUMIFS(Data!M:M,Data!C:C,G42,Data!V:V,2024)</f>
        <v>281000</v>
      </c>
      <c r="I42" s="15">
        <f>SUMIFS(Data!M:M,Data!C:C,G42,Data!V:V,2025)</f>
        <v>614900</v>
      </c>
      <c r="J42" s="20">
        <f t="shared" si="1"/>
        <v>895900</v>
      </c>
    </row>
    <row r="43" spans="2:10" x14ac:dyDescent="0.25">
      <c r="B43" s="19" t="s">
        <v>549</v>
      </c>
      <c r="C43" s="14">
        <f>COUNTIFS(Data!C:C,B43,Data!V:V,2024)</f>
        <v>4</v>
      </c>
      <c r="D43" s="14">
        <f>COUNTIFS(Data!C:C,B43,Data!V:V,2025)</f>
        <v>8</v>
      </c>
      <c r="E43" s="30">
        <f t="shared" si="0"/>
        <v>12</v>
      </c>
      <c r="G43" s="19" t="s">
        <v>19</v>
      </c>
      <c r="H43" s="15">
        <f>SUMIFS(Data!M:M,Data!C:C,G43,Data!V:V,2024)</f>
        <v>281600</v>
      </c>
      <c r="I43" s="15">
        <f>SUMIFS(Data!M:M,Data!C:C,G43,Data!V:V,2025)</f>
        <v>577650</v>
      </c>
      <c r="J43" s="20">
        <f t="shared" si="1"/>
        <v>859250</v>
      </c>
    </row>
    <row r="44" spans="2:10" x14ac:dyDescent="0.25">
      <c r="B44" s="19" t="s">
        <v>311</v>
      </c>
      <c r="C44" s="14">
        <f>COUNTIFS(Data!C:C,B44,Data!V:V,2024)</f>
        <v>4</v>
      </c>
      <c r="D44" s="14">
        <f>COUNTIFS(Data!C:C,B44,Data!V:V,2025)</f>
        <v>7</v>
      </c>
      <c r="E44" s="30">
        <f t="shared" si="0"/>
        <v>11</v>
      </c>
      <c r="G44" s="19" t="s">
        <v>128</v>
      </c>
      <c r="H44" s="15">
        <f>SUMIFS(Data!M:M,Data!C:C,G44,Data!V:V,2024)</f>
        <v>302500</v>
      </c>
      <c r="I44" s="15">
        <f>SUMIFS(Data!M:M,Data!C:C,G44,Data!V:V,2025)</f>
        <v>543600</v>
      </c>
      <c r="J44" s="20">
        <f t="shared" si="1"/>
        <v>846100</v>
      </c>
    </row>
    <row r="45" spans="2:10" x14ac:dyDescent="0.25">
      <c r="B45" s="19" t="s">
        <v>314</v>
      </c>
      <c r="C45" s="14">
        <f>COUNTIFS(Data!C:C,B45,Data!V:V,2024)</f>
        <v>2</v>
      </c>
      <c r="D45" s="14">
        <f>COUNTIFS(Data!C:C,B45,Data!V:V,2025)</f>
        <v>9</v>
      </c>
      <c r="E45" s="30">
        <f t="shared" si="0"/>
        <v>11</v>
      </c>
      <c r="G45" s="19" t="s">
        <v>314</v>
      </c>
      <c r="H45" s="15">
        <f>SUMIFS(Data!M:M,Data!C:C,G45,Data!V:V,2024)</f>
        <v>205200</v>
      </c>
      <c r="I45" s="15">
        <f>SUMIFS(Data!M:M,Data!C:C,G45,Data!V:V,2025)</f>
        <v>619600</v>
      </c>
      <c r="J45" s="20">
        <f t="shared" si="1"/>
        <v>824800</v>
      </c>
    </row>
    <row r="46" spans="2:10" x14ac:dyDescent="0.25">
      <c r="B46" s="19" t="s">
        <v>412</v>
      </c>
      <c r="C46" s="14">
        <f>COUNTIFS(Data!C:C,B46,Data!V:V,2024)</f>
        <v>4</v>
      </c>
      <c r="D46" s="14">
        <f>COUNTIFS(Data!C:C,B46,Data!V:V,2025)</f>
        <v>7</v>
      </c>
      <c r="E46" s="30">
        <f t="shared" si="0"/>
        <v>11</v>
      </c>
      <c r="G46" s="19" t="s">
        <v>412</v>
      </c>
      <c r="H46" s="15">
        <f>SUMIFS(Data!M:M,Data!C:C,G46,Data!V:V,2024)</f>
        <v>318300</v>
      </c>
      <c r="I46" s="15">
        <f>SUMIFS(Data!M:M,Data!C:C,G46,Data!V:V,2025)</f>
        <v>491350</v>
      </c>
      <c r="J46" s="20">
        <f t="shared" si="1"/>
        <v>809650</v>
      </c>
    </row>
    <row r="47" spans="2:10" x14ac:dyDescent="0.25">
      <c r="B47" s="19" t="s">
        <v>150</v>
      </c>
      <c r="C47" s="14">
        <f>COUNTIFS(Data!C:C,B47,Data!V:V,2024)</f>
        <v>3</v>
      </c>
      <c r="D47" s="14">
        <f>COUNTIFS(Data!C:C,B47,Data!V:V,2025)</f>
        <v>8</v>
      </c>
      <c r="E47" s="30">
        <f t="shared" si="0"/>
        <v>11</v>
      </c>
      <c r="G47" s="19" t="s">
        <v>549</v>
      </c>
      <c r="H47" s="15">
        <f>SUMIFS(Data!M:M,Data!C:C,G47,Data!V:V,2024)</f>
        <v>274100</v>
      </c>
      <c r="I47" s="15">
        <f>SUMIFS(Data!M:M,Data!C:C,G47,Data!V:V,2025)</f>
        <v>532500</v>
      </c>
      <c r="J47" s="20">
        <f t="shared" si="1"/>
        <v>806600</v>
      </c>
    </row>
    <row r="48" spans="2:10" ht="15.75" thickBot="1" x14ac:dyDescent="0.3">
      <c r="B48" s="21" t="s">
        <v>121</v>
      </c>
      <c r="C48" s="25">
        <f>COUNTIFS(Data!C:C,B48,Data!V:V,2024)</f>
        <v>1</v>
      </c>
      <c r="D48" s="25">
        <f>COUNTIFS(Data!C:C,B48,Data!V:V,2025)</f>
        <v>10</v>
      </c>
      <c r="E48" s="31">
        <f t="shared" si="0"/>
        <v>11</v>
      </c>
      <c r="G48" s="21" t="s">
        <v>582</v>
      </c>
      <c r="H48" s="22">
        <f>SUMIFS(Data!M:M,Data!C:C,G48,Data!V:V,2024)</f>
        <v>193700</v>
      </c>
      <c r="I48" s="22">
        <f>SUMIFS(Data!M:M,Data!C:C,G48,Data!V:V,2025)</f>
        <v>593100</v>
      </c>
      <c r="J48" s="23">
        <f t="shared" si="1"/>
        <v>786800</v>
      </c>
    </row>
    <row r="49" spans="2:10" x14ac:dyDescent="0.25">
      <c r="B49" s="27" t="s">
        <v>269</v>
      </c>
      <c r="C49" s="28">
        <f>COUNTIFS(Data!C:C,B49,Data!V:V,2024)</f>
        <v>3</v>
      </c>
      <c r="D49" s="28">
        <f>COUNTIFS(Data!C:C,B49,Data!V:V,2025)</f>
        <v>8</v>
      </c>
      <c r="E49" s="32">
        <f t="shared" si="0"/>
        <v>11</v>
      </c>
      <c r="G49" s="27" t="s">
        <v>150</v>
      </c>
      <c r="H49" s="34">
        <f>SUMIFS(Data!M:M,Data!C:C,G49,Data!V:V,2024)</f>
        <v>245500</v>
      </c>
      <c r="I49" s="34">
        <f>SUMIFS(Data!M:M,Data!C:C,G49,Data!V:V,2025)</f>
        <v>526200</v>
      </c>
      <c r="J49" s="29">
        <f t="shared" si="1"/>
        <v>771700</v>
      </c>
    </row>
    <row r="50" spans="2:10" x14ac:dyDescent="0.25">
      <c r="B50" s="19" t="s">
        <v>381</v>
      </c>
      <c r="C50" s="14">
        <f>COUNTIFS(Data!C:C,B50,Data!V:V,2024)</f>
        <v>4</v>
      </c>
      <c r="D50" s="14">
        <f>COUNTIFS(Data!C:C,B50,Data!V:V,2025)</f>
        <v>7</v>
      </c>
      <c r="E50" s="30">
        <f t="shared" si="0"/>
        <v>11</v>
      </c>
      <c r="G50" s="19" t="s">
        <v>355</v>
      </c>
      <c r="H50" s="15">
        <f>SUMIFS(Data!M:M,Data!C:C,G50,Data!V:V,2024)</f>
        <v>477950</v>
      </c>
      <c r="I50" s="15">
        <f>SUMIFS(Data!M:M,Data!C:C,G50,Data!V:V,2025)</f>
        <v>289350</v>
      </c>
      <c r="J50" s="20">
        <f t="shared" si="1"/>
        <v>767300</v>
      </c>
    </row>
    <row r="51" spans="2:10" x14ac:dyDescent="0.25">
      <c r="B51" s="19" t="s">
        <v>812</v>
      </c>
      <c r="C51" s="14">
        <f>COUNTIFS(Data!C:C,B51,Data!V:V,2024)</f>
        <v>3</v>
      </c>
      <c r="D51" s="14">
        <f>COUNTIFS(Data!C:C,B51,Data!V:V,2025)</f>
        <v>8</v>
      </c>
      <c r="E51" s="30">
        <f t="shared" si="0"/>
        <v>11</v>
      </c>
      <c r="G51" s="19" t="s">
        <v>1130</v>
      </c>
      <c r="H51" s="15">
        <f>SUMIFS(Data!M:M,Data!C:C,G51,Data!V:V,2024)</f>
        <v>0</v>
      </c>
      <c r="I51" s="15">
        <f>SUMIFS(Data!M:M,Data!C:C,G51,Data!V:V,2025)</f>
        <v>761900</v>
      </c>
      <c r="J51" s="20">
        <f t="shared" si="1"/>
        <v>761900</v>
      </c>
    </row>
    <row r="52" spans="2:10" x14ac:dyDescent="0.25">
      <c r="B52" s="19" t="s">
        <v>246</v>
      </c>
      <c r="C52" s="14">
        <f>COUNTIFS(Data!C:C,B52,Data!V:V,2024)</f>
        <v>2</v>
      </c>
      <c r="D52" s="14">
        <f>COUNTIFS(Data!C:C,B52,Data!V:V,2025)</f>
        <v>9</v>
      </c>
      <c r="E52" s="30">
        <f t="shared" si="0"/>
        <v>11</v>
      </c>
      <c r="G52" s="19" t="s">
        <v>451</v>
      </c>
      <c r="H52" s="15">
        <f>SUMIFS(Data!M:M,Data!C:C,G52,Data!V:V,2024)</f>
        <v>45600</v>
      </c>
      <c r="I52" s="15">
        <f>SUMIFS(Data!M:M,Data!C:C,G52,Data!V:V,2025)</f>
        <v>708100</v>
      </c>
      <c r="J52" s="20">
        <f t="shared" si="1"/>
        <v>753700</v>
      </c>
    </row>
    <row r="53" spans="2:10" x14ac:dyDescent="0.25">
      <c r="B53" s="19" t="s">
        <v>19</v>
      </c>
      <c r="C53" s="14">
        <f>COUNTIFS(Data!C:C,B53,Data!V:V,2024)</f>
        <v>3</v>
      </c>
      <c r="D53" s="14">
        <f>COUNTIFS(Data!C:C,B53,Data!V:V,2025)</f>
        <v>7</v>
      </c>
      <c r="E53" s="30">
        <f t="shared" si="0"/>
        <v>10</v>
      </c>
      <c r="G53" s="19" t="s">
        <v>431</v>
      </c>
      <c r="H53" s="15">
        <f>SUMIFS(Data!M:M,Data!C:C,G53,Data!V:V,2024)</f>
        <v>117900</v>
      </c>
      <c r="I53" s="15">
        <f>SUMIFS(Data!M:M,Data!C:C,G53,Data!V:V,2025)</f>
        <v>634350</v>
      </c>
      <c r="J53" s="20">
        <f t="shared" si="1"/>
        <v>752250</v>
      </c>
    </row>
    <row r="54" spans="2:10" x14ac:dyDescent="0.25">
      <c r="B54" s="19" t="s">
        <v>128</v>
      </c>
      <c r="C54" s="14">
        <f>COUNTIFS(Data!C:C,B54,Data!V:V,2024)</f>
        <v>2</v>
      </c>
      <c r="D54" s="14">
        <f>COUNTIFS(Data!C:C,B54,Data!V:V,2025)</f>
        <v>8</v>
      </c>
      <c r="E54" s="30">
        <f t="shared" si="0"/>
        <v>10</v>
      </c>
      <c r="G54" s="19" t="s">
        <v>383</v>
      </c>
      <c r="H54" s="15">
        <f>SUMIFS(Data!M:M,Data!C:C,G54,Data!V:V,2024)</f>
        <v>354000</v>
      </c>
      <c r="I54" s="15">
        <f>SUMIFS(Data!M:M,Data!C:C,G54,Data!V:V,2025)</f>
        <v>394900</v>
      </c>
      <c r="J54" s="20">
        <f t="shared" si="1"/>
        <v>748900</v>
      </c>
    </row>
    <row r="55" spans="2:10" x14ac:dyDescent="0.25">
      <c r="B55" s="19" t="s">
        <v>355</v>
      </c>
      <c r="C55" s="14">
        <f>COUNTIFS(Data!C:C,B55,Data!V:V,2024)</f>
        <v>5</v>
      </c>
      <c r="D55" s="14">
        <f>COUNTIFS(Data!C:C,B55,Data!V:V,2025)</f>
        <v>5</v>
      </c>
      <c r="E55" s="30">
        <f t="shared" si="0"/>
        <v>10</v>
      </c>
      <c r="G55" s="19" t="s">
        <v>285</v>
      </c>
      <c r="H55" s="15">
        <f>SUMIFS(Data!M:M,Data!C:C,G55,Data!V:V,2024)</f>
        <v>144500</v>
      </c>
      <c r="I55" s="15">
        <f>SUMIFS(Data!M:M,Data!C:C,G55,Data!V:V,2025)</f>
        <v>589850</v>
      </c>
      <c r="J55" s="20">
        <f t="shared" si="1"/>
        <v>734350</v>
      </c>
    </row>
    <row r="56" spans="2:10" x14ac:dyDescent="0.25">
      <c r="B56" s="19" t="s">
        <v>644</v>
      </c>
      <c r="C56" s="14">
        <f>COUNTIFS(Data!C:C,B56,Data!V:V,2024)</f>
        <v>2</v>
      </c>
      <c r="D56" s="14">
        <f>COUNTIFS(Data!C:C,B56,Data!V:V,2025)</f>
        <v>8</v>
      </c>
      <c r="E56" s="30">
        <f t="shared" si="0"/>
        <v>10</v>
      </c>
      <c r="G56" s="19" t="s">
        <v>410</v>
      </c>
      <c r="H56" s="15">
        <f>SUMIFS(Data!M:M,Data!C:C,G56,Data!V:V,2024)</f>
        <v>257600</v>
      </c>
      <c r="I56" s="15">
        <f>SUMIFS(Data!M:M,Data!C:C,G56,Data!V:V,2025)</f>
        <v>476200</v>
      </c>
      <c r="J56" s="20">
        <f t="shared" si="1"/>
        <v>733800</v>
      </c>
    </row>
    <row r="57" spans="2:10" x14ac:dyDescent="0.25">
      <c r="B57" s="19" t="s">
        <v>295</v>
      </c>
      <c r="C57" s="14">
        <f>COUNTIFS(Data!C:C,B57,Data!V:V,2024)</f>
        <v>2</v>
      </c>
      <c r="D57" s="14">
        <f>COUNTIFS(Data!C:C,B57,Data!V:V,2025)</f>
        <v>8</v>
      </c>
      <c r="E57" s="30">
        <f t="shared" si="0"/>
        <v>10</v>
      </c>
      <c r="G57" s="19" t="s">
        <v>644</v>
      </c>
      <c r="H57" s="15">
        <f>SUMIFS(Data!M:M,Data!C:C,G57,Data!V:V,2024)</f>
        <v>213750</v>
      </c>
      <c r="I57" s="15">
        <f>SUMIFS(Data!M:M,Data!C:C,G57,Data!V:V,2025)</f>
        <v>514000</v>
      </c>
      <c r="J57" s="20">
        <f t="shared" si="1"/>
        <v>727750</v>
      </c>
    </row>
    <row r="58" spans="2:10" x14ac:dyDescent="0.25">
      <c r="B58" s="19" t="s">
        <v>118</v>
      </c>
      <c r="C58" s="14">
        <f>COUNTIFS(Data!C:C,B58,Data!V:V,2024)</f>
        <v>3</v>
      </c>
      <c r="D58" s="14">
        <f>COUNTIFS(Data!C:C,B58,Data!V:V,2025)</f>
        <v>7</v>
      </c>
      <c r="E58" s="30">
        <f t="shared" si="0"/>
        <v>10</v>
      </c>
      <c r="G58" s="19" t="s">
        <v>295</v>
      </c>
      <c r="H58" s="15">
        <f>SUMIFS(Data!M:M,Data!C:C,G58,Data!V:V,2024)</f>
        <v>149600</v>
      </c>
      <c r="I58" s="15">
        <f>SUMIFS(Data!M:M,Data!C:C,G58,Data!V:V,2025)</f>
        <v>572800</v>
      </c>
      <c r="J58" s="20">
        <f t="shared" si="1"/>
        <v>722400</v>
      </c>
    </row>
    <row r="59" spans="2:10" x14ac:dyDescent="0.25">
      <c r="B59" s="19" t="s">
        <v>416</v>
      </c>
      <c r="C59" s="14">
        <f>COUNTIFS(Data!C:C,B59,Data!V:V,2024)</f>
        <v>4</v>
      </c>
      <c r="D59" s="14">
        <f>COUNTIFS(Data!C:C,B59,Data!V:V,2025)</f>
        <v>6</v>
      </c>
      <c r="E59" s="30">
        <f t="shared" si="0"/>
        <v>10</v>
      </c>
      <c r="G59" s="19" t="s">
        <v>118</v>
      </c>
      <c r="H59" s="15">
        <f>SUMIFS(Data!M:M,Data!C:C,G59,Data!V:V,2024)</f>
        <v>161000</v>
      </c>
      <c r="I59" s="15">
        <f>SUMIFS(Data!M:M,Data!C:C,G59,Data!V:V,2025)</f>
        <v>549900</v>
      </c>
      <c r="J59" s="20">
        <f t="shared" si="1"/>
        <v>710900</v>
      </c>
    </row>
    <row r="60" spans="2:10" x14ac:dyDescent="0.25">
      <c r="B60" s="19" t="s">
        <v>615</v>
      </c>
      <c r="C60" s="14">
        <f>COUNTIFS(Data!C:C,B60,Data!V:V,2024)</f>
        <v>2</v>
      </c>
      <c r="D60" s="14">
        <f>COUNTIFS(Data!C:C,B60,Data!V:V,2025)</f>
        <v>8</v>
      </c>
      <c r="E60" s="30">
        <f t="shared" si="0"/>
        <v>10</v>
      </c>
      <c r="G60" s="19" t="s">
        <v>121</v>
      </c>
      <c r="H60" s="15">
        <f>SUMIFS(Data!M:M,Data!C:C,G60,Data!V:V,2024)</f>
        <v>79200</v>
      </c>
      <c r="I60" s="15">
        <f>SUMIFS(Data!M:M,Data!C:C,G60,Data!V:V,2025)</f>
        <v>616450</v>
      </c>
      <c r="J60" s="20">
        <f t="shared" si="1"/>
        <v>695650</v>
      </c>
    </row>
    <row r="61" spans="2:10" x14ac:dyDescent="0.25">
      <c r="B61" s="19" t="s">
        <v>323</v>
      </c>
      <c r="C61" s="14">
        <f>COUNTIFS(Data!C:C,B61,Data!V:V,2024)</f>
        <v>6</v>
      </c>
      <c r="D61" s="14">
        <f>COUNTIFS(Data!C:C,B61,Data!V:V,2025)</f>
        <v>4</v>
      </c>
      <c r="E61" s="30">
        <f t="shared" si="0"/>
        <v>10</v>
      </c>
      <c r="G61" s="19" t="s">
        <v>269</v>
      </c>
      <c r="H61" s="15">
        <f>SUMIFS(Data!M:M,Data!C:C,G61,Data!V:V,2024)</f>
        <v>110500</v>
      </c>
      <c r="I61" s="15">
        <f>SUMIFS(Data!M:M,Data!C:C,G61,Data!V:V,2025)</f>
        <v>573200</v>
      </c>
      <c r="J61" s="20">
        <f t="shared" si="1"/>
        <v>683700</v>
      </c>
    </row>
    <row r="62" spans="2:10" x14ac:dyDescent="0.25">
      <c r="B62" s="19" t="s">
        <v>133</v>
      </c>
      <c r="C62" s="14">
        <f>COUNTIFS(Data!C:C,B62,Data!V:V,2024)</f>
        <v>5</v>
      </c>
      <c r="D62" s="14">
        <f>COUNTIFS(Data!C:C,B62,Data!V:V,2025)</f>
        <v>5</v>
      </c>
      <c r="E62" s="30">
        <f t="shared" si="0"/>
        <v>10</v>
      </c>
      <c r="G62" s="19" t="s">
        <v>157</v>
      </c>
      <c r="H62" s="15">
        <f>SUMIFS(Data!M:M,Data!C:C,G62,Data!V:V,2024)</f>
        <v>48000</v>
      </c>
      <c r="I62" s="15">
        <f>SUMIFS(Data!M:M,Data!C:C,G62,Data!V:V,2025)</f>
        <v>628950</v>
      </c>
      <c r="J62" s="20">
        <f t="shared" si="1"/>
        <v>676950</v>
      </c>
    </row>
    <row r="63" spans="2:10" x14ac:dyDescent="0.25">
      <c r="B63" s="19" t="s">
        <v>100</v>
      </c>
      <c r="C63" s="14">
        <f>COUNTIFS(Data!C:C,B63,Data!V:V,2024)</f>
        <v>4</v>
      </c>
      <c r="D63" s="14">
        <f>COUNTIFS(Data!C:C,B63,Data!V:V,2025)</f>
        <v>6</v>
      </c>
      <c r="E63" s="30">
        <f t="shared" si="0"/>
        <v>10</v>
      </c>
      <c r="G63" s="19" t="s">
        <v>416</v>
      </c>
      <c r="H63" s="15">
        <f>SUMIFS(Data!M:M,Data!C:C,G63,Data!V:V,2024)</f>
        <v>338250</v>
      </c>
      <c r="I63" s="15">
        <f>SUMIFS(Data!M:M,Data!C:C,G63,Data!V:V,2025)</f>
        <v>327650</v>
      </c>
      <c r="J63" s="20">
        <f t="shared" si="1"/>
        <v>665900</v>
      </c>
    </row>
    <row r="64" spans="2:10" x14ac:dyDescent="0.25">
      <c r="B64" s="19" t="s">
        <v>502</v>
      </c>
      <c r="C64" s="14">
        <f>COUNTIFS(Data!C:C,B64,Data!V:V,2024)</f>
        <v>5</v>
      </c>
      <c r="D64" s="14">
        <f>COUNTIFS(Data!C:C,B64,Data!V:V,2025)</f>
        <v>5</v>
      </c>
      <c r="E64" s="30">
        <f t="shared" si="0"/>
        <v>10</v>
      </c>
      <c r="G64" s="19" t="s">
        <v>381</v>
      </c>
      <c r="H64" s="15">
        <f>SUMIFS(Data!M:M,Data!C:C,G64,Data!V:V,2024)</f>
        <v>203900</v>
      </c>
      <c r="I64" s="15">
        <f>SUMIFS(Data!M:M,Data!C:C,G64,Data!V:V,2025)</f>
        <v>460000</v>
      </c>
      <c r="J64" s="20">
        <f t="shared" si="1"/>
        <v>663900</v>
      </c>
    </row>
    <row r="65" spans="2:10" x14ac:dyDescent="0.25">
      <c r="B65" s="19" t="s">
        <v>155</v>
      </c>
      <c r="C65" s="14">
        <f>COUNTIFS(Data!C:C,B65,Data!V:V,2024)</f>
        <v>4</v>
      </c>
      <c r="D65" s="14">
        <f>COUNTIFS(Data!C:C,B65,Data!V:V,2025)</f>
        <v>6</v>
      </c>
      <c r="E65" s="30">
        <f t="shared" si="0"/>
        <v>10</v>
      </c>
      <c r="G65" s="19" t="s">
        <v>181</v>
      </c>
      <c r="H65" s="15">
        <f>SUMIFS(Data!M:M,Data!C:C,G65,Data!V:V,2024)</f>
        <v>391000</v>
      </c>
      <c r="I65" s="15">
        <f>SUMIFS(Data!M:M,Data!C:C,G65,Data!V:V,2025)</f>
        <v>251700</v>
      </c>
      <c r="J65" s="20">
        <f t="shared" si="1"/>
        <v>642700</v>
      </c>
    </row>
    <row r="66" spans="2:10" x14ac:dyDescent="0.25">
      <c r="B66" s="19" t="s">
        <v>254</v>
      </c>
      <c r="C66" s="14">
        <f>COUNTIFS(Data!C:C,B66,Data!V:V,2024)</f>
        <v>5</v>
      </c>
      <c r="D66" s="14">
        <f>COUNTIFS(Data!C:C,B66,Data!V:V,2025)</f>
        <v>5</v>
      </c>
      <c r="E66" s="30">
        <f t="shared" si="0"/>
        <v>10</v>
      </c>
      <c r="G66" s="19" t="s">
        <v>615</v>
      </c>
      <c r="H66" s="15">
        <f>SUMIFS(Data!M:M,Data!C:C,G66,Data!V:V,2024)</f>
        <v>140250</v>
      </c>
      <c r="I66" s="15">
        <f>SUMIFS(Data!M:M,Data!C:C,G66,Data!V:V,2025)</f>
        <v>502250</v>
      </c>
      <c r="J66" s="20">
        <f t="shared" si="1"/>
        <v>642500</v>
      </c>
    </row>
    <row r="67" spans="2:10" x14ac:dyDescent="0.25">
      <c r="B67" s="19" t="s">
        <v>48</v>
      </c>
      <c r="C67" s="14">
        <f>COUNTIFS(Data!C:C,B67,Data!V:V,2024)</f>
        <v>3</v>
      </c>
      <c r="D67" s="14">
        <f>COUNTIFS(Data!C:C,B67,Data!V:V,2025)</f>
        <v>7</v>
      </c>
      <c r="E67" s="30">
        <f t="shared" si="0"/>
        <v>10</v>
      </c>
      <c r="G67" s="19" t="s">
        <v>231</v>
      </c>
      <c r="H67" s="15">
        <f>SUMIFS(Data!M:M,Data!C:C,G67,Data!V:V,2024)</f>
        <v>306600</v>
      </c>
      <c r="I67" s="15">
        <f>SUMIFS(Data!M:M,Data!C:C,G67,Data!V:V,2025)</f>
        <v>335500</v>
      </c>
      <c r="J67" s="20">
        <f t="shared" si="1"/>
        <v>642100</v>
      </c>
    </row>
    <row r="68" spans="2:10" x14ac:dyDescent="0.25">
      <c r="B68" s="19" t="s">
        <v>515</v>
      </c>
      <c r="C68" s="14">
        <f>COUNTIFS(Data!C:C,B68,Data!V:V,2024)</f>
        <v>3</v>
      </c>
      <c r="D68" s="14">
        <f>COUNTIFS(Data!C:C,B68,Data!V:V,2025)</f>
        <v>7</v>
      </c>
      <c r="E68" s="30">
        <f t="shared" si="0"/>
        <v>10</v>
      </c>
      <c r="G68" s="19" t="s">
        <v>1053</v>
      </c>
      <c r="H68" s="15">
        <f>SUMIFS(Data!M:M,Data!C:C,G68,Data!V:V,2024)</f>
        <v>0</v>
      </c>
      <c r="I68" s="15">
        <f>SUMIFS(Data!M:M,Data!C:C,G68,Data!V:V,2025)</f>
        <v>626700</v>
      </c>
      <c r="J68" s="20">
        <f t="shared" si="1"/>
        <v>626700</v>
      </c>
    </row>
    <row r="69" spans="2:10" x14ac:dyDescent="0.25">
      <c r="B69" s="19" t="s">
        <v>56</v>
      </c>
      <c r="C69" s="14">
        <f>COUNTIFS(Data!C:C,B69,Data!V:V,2024)</f>
        <v>3</v>
      </c>
      <c r="D69" s="14">
        <f>COUNTIFS(Data!C:C,B69,Data!V:V,2025)</f>
        <v>7</v>
      </c>
      <c r="E69" s="30">
        <f t="shared" si="0"/>
        <v>10</v>
      </c>
      <c r="G69" s="19" t="s">
        <v>323</v>
      </c>
      <c r="H69" s="15">
        <f>SUMIFS(Data!M:M,Data!C:C,G69,Data!V:V,2024)</f>
        <v>224100</v>
      </c>
      <c r="I69" s="15">
        <f>SUMIFS(Data!M:M,Data!C:C,G69,Data!V:V,2025)</f>
        <v>400250</v>
      </c>
      <c r="J69" s="20">
        <f t="shared" si="1"/>
        <v>624350</v>
      </c>
    </row>
    <row r="70" spans="2:10" x14ac:dyDescent="0.25">
      <c r="B70" s="19" t="s">
        <v>451</v>
      </c>
      <c r="C70" s="14">
        <f>COUNTIFS(Data!C:C,B70,Data!V:V,2024)</f>
        <v>1</v>
      </c>
      <c r="D70" s="14">
        <f>COUNTIFS(Data!C:C,B70,Data!V:V,2025)</f>
        <v>8</v>
      </c>
      <c r="E70" s="30">
        <f t="shared" si="0"/>
        <v>9</v>
      </c>
      <c r="G70" s="19" t="s">
        <v>565</v>
      </c>
      <c r="H70" s="15">
        <f>SUMIFS(Data!M:M,Data!C:C,G70,Data!V:V,2024)</f>
        <v>91400</v>
      </c>
      <c r="I70" s="15">
        <f>SUMIFS(Data!M:M,Data!C:C,G70,Data!V:V,2025)</f>
        <v>531200</v>
      </c>
      <c r="J70" s="20">
        <f t="shared" si="1"/>
        <v>622600</v>
      </c>
    </row>
    <row r="71" spans="2:10" x14ac:dyDescent="0.25">
      <c r="B71" s="19" t="s">
        <v>431</v>
      </c>
      <c r="C71" s="14">
        <f>COUNTIFS(Data!C:C,B71,Data!V:V,2024)</f>
        <v>2</v>
      </c>
      <c r="D71" s="14">
        <f>COUNTIFS(Data!C:C,B71,Data!V:V,2025)</f>
        <v>7</v>
      </c>
      <c r="E71" s="30">
        <f t="shared" si="0"/>
        <v>9</v>
      </c>
      <c r="G71" s="19" t="s">
        <v>455</v>
      </c>
      <c r="H71" s="15">
        <f>SUMIFS(Data!M:M,Data!C:C,G71,Data!V:V,2024)</f>
        <v>446050</v>
      </c>
      <c r="I71" s="15">
        <f>SUMIFS(Data!M:M,Data!C:C,G71,Data!V:V,2025)</f>
        <v>176500</v>
      </c>
      <c r="J71" s="20">
        <f t="shared" si="1"/>
        <v>622550</v>
      </c>
    </row>
    <row r="72" spans="2:10" x14ac:dyDescent="0.25">
      <c r="B72" s="19" t="s">
        <v>383</v>
      </c>
      <c r="C72" s="14">
        <f>COUNTIFS(Data!C:C,B72,Data!V:V,2024)</f>
        <v>3</v>
      </c>
      <c r="D72" s="14">
        <f>COUNTIFS(Data!C:C,B72,Data!V:V,2025)</f>
        <v>6</v>
      </c>
      <c r="E72" s="30">
        <f t="shared" si="0"/>
        <v>9</v>
      </c>
      <c r="G72" s="19" t="s">
        <v>133</v>
      </c>
      <c r="H72" s="15">
        <f>SUMIFS(Data!M:M,Data!C:C,G72,Data!V:V,2024)</f>
        <v>397800</v>
      </c>
      <c r="I72" s="15">
        <f>SUMIFS(Data!M:M,Data!C:C,G72,Data!V:V,2025)</f>
        <v>212200</v>
      </c>
      <c r="J72" s="20">
        <f t="shared" si="1"/>
        <v>610000</v>
      </c>
    </row>
    <row r="73" spans="2:10" x14ac:dyDescent="0.25">
      <c r="B73" s="19" t="s">
        <v>157</v>
      </c>
      <c r="C73" s="14">
        <f>COUNTIFS(Data!C:C,B73,Data!V:V,2024)</f>
        <v>1</v>
      </c>
      <c r="D73" s="14">
        <f>COUNTIFS(Data!C:C,B73,Data!V:V,2025)</f>
        <v>8</v>
      </c>
      <c r="E73" s="30">
        <f t="shared" si="0"/>
        <v>9</v>
      </c>
      <c r="G73" s="19" t="s">
        <v>530</v>
      </c>
      <c r="H73" s="15">
        <f>SUMIFS(Data!M:M,Data!C:C,G73,Data!V:V,2024)</f>
        <v>90000</v>
      </c>
      <c r="I73" s="15">
        <f>SUMIFS(Data!M:M,Data!C:C,G73,Data!V:V,2025)</f>
        <v>517500</v>
      </c>
      <c r="J73" s="20">
        <f t="shared" si="1"/>
        <v>607500</v>
      </c>
    </row>
    <row r="74" spans="2:10" x14ac:dyDescent="0.25">
      <c r="B74" s="19" t="s">
        <v>741</v>
      </c>
      <c r="C74" s="14">
        <f>COUNTIFS(Data!C:C,B74,Data!V:V,2024)</f>
        <v>2</v>
      </c>
      <c r="D74" s="14">
        <f>COUNTIFS(Data!C:C,B74,Data!V:V,2025)</f>
        <v>7</v>
      </c>
      <c r="E74" s="30">
        <f t="shared" si="0"/>
        <v>9</v>
      </c>
      <c r="G74" s="19" t="s">
        <v>188</v>
      </c>
      <c r="H74" s="15">
        <f>SUMIFS(Data!M:M,Data!C:C,G74,Data!V:V,2024)</f>
        <v>276250</v>
      </c>
      <c r="I74" s="15">
        <f>SUMIFS(Data!M:M,Data!C:C,G74,Data!V:V,2025)</f>
        <v>322750</v>
      </c>
      <c r="J74" s="20">
        <f t="shared" si="1"/>
        <v>599000</v>
      </c>
    </row>
    <row r="75" spans="2:10" x14ac:dyDescent="0.25">
      <c r="B75" s="19" t="s">
        <v>459</v>
      </c>
      <c r="C75" s="14">
        <f>COUNTIFS(Data!C:C,B75,Data!V:V,2024)</f>
        <v>2</v>
      </c>
      <c r="D75" s="14">
        <f>COUNTIFS(Data!C:C,B75,Data!V:V,2025)</f>
        <v>7</v>
      </c>
      <c r="E75" s="30">
        <f t="shared" si="0"/>
        <v>9</v>
      </c>
      <c r="G75" s="19" t="s">
        <v>222</v>
      </c>
      <c r="H75" s="15">
        <f>SUMIFS(Data!M:M,Data!C:C,G75,Data!V:V,2024)</f>
        <v>157500</v>
      </c>
      <c r="I75" s="15">
        <f>SUMIFS(Data!M:M,Data!C:C,G75,Data!V:V,2025)</f>
        <v>439900</v>
      </c>
      <c r="J75" s="20">
        <f t="shared" si="1"/>
        <v>597400</v>
      </c>
    </row>
    <row r="76" spans="2:10" x14ac:dyDescent="0.25">
      <c r="B76" s="19" t="s">
        <v>40</v>
      </c>
      <c r="C76" s="14">
        <f>COUNTIFS(Data!C:C,B76,Data!V:V,2024)</f>
        <v>2</v>
      </c>
      <c r="D76" s="14">
        <f>COUNTIFS(Data!C:C,B76,Data!V:V,2025)</f>
        <v>7</v>
      </c>
      <c r="E76" s="30">
        <f t="shared" si="0"/>
        <v>9</v>
      </c>
      <c r="G76" s="19" t="s">
        <v>443</v>
      </c>
      <c r="H76" s="15">
        <f>SUMIFS(Data!M:M,Data!C:C,G76,Data!V:V,2024)</f>
        <v>271400</v>
      </c>
      <c r="I76" s="15">
        <f>SUMIFS(Data!M:M,Data!C:C,G76,Data!V:V,2025)</f>
        <v>323600</v>
      </c>
      <c r="J76" s="20">
        <f t="shared" si="1"/>
        <v>595000</v>
      </c>
    </row>
    <row r="77" spans="2:10" x14ac:dyDescent="0.25">
      <c r="B77" s="19" t="s">
        <v>457</v>
      </c>
      <c r="C77" s="14">
        <f>COUNTIFS(Data!C:C,B77,Data!V:V,2024)</f>
        <v>1</v>
      </c>
      <c r="D77" s="14">
        <f>COUNTIFS(Data!C:C,B77,Data!V:V,2025)</f>
        <v>8</v>
      </c>
      <c r="E77" s="30">
        <f t="shared" si="0"/>
        <v>9</v>
      </c>
      <c r="G77" s="19" t="s">
        <v>851</v>
      </c>
      <c r="H77" s="15">
        <f>SUMIFS(Data!M:M,Data!C:C,G77,Data!V:V,2024)</f>
        <v>28000</v>
      </c>
      <c r="I77" s="15">
        <f>SUMIFS(Data!M:M,Data!C:C,G77,Data!V:V,2025)</f>
        <v>538850</v>
      </c>
      <c r="J77" s="20">
        <f t="shared" si="1"/>
        <v>566850</v>
      </c>
    </row>
    <row r="78" spans="2:10" x14ac:dyDescent="0.25">
      <c r="B78" s="19" t="s">
        <v>140</v>
      </c>
      <c r="C78" s="14">
        <f>COUNTIFS(Data!C:C,B78,Data!V:V,2024)</f>
        <v>3</v>
      </c>
      <c r="D78" s="14">
        <f>COUNTIFS(Data!C:C,B78,Data!V:V,2025)</f>
        <v>6</v>
      </c>
      <c r="E78" s="30">
        <f t="shared" si="0"/>
        <v>9</v>
      </c>
      <c r="G78" s="19" t="s">
        <v>589</v>
      </c>
      <c r="H78" s="15">
        <f>SUMIFS(Data!M:M,Data!C:C,G78,Data!V:V,2024)</f>
        <v>72000</v>
      </c>
      <c r="I78" s="15">
        <f>SUMIFS(Data!M:M,Data!C:C,G78,Data!V:V,2025)</f>
        <v>494400</v>
      </c>
      <c r="J78" s="20">
        <f t="shared" si="1"/>
        <v>566400</v>
      </c>
    </row>
    <row r="79" spans="2:10" x14ac:dyDescent="0.25">
      <c r="B79" s="19" t="s">
        <v>273</v>
      </c>
      <c r="C79" s="14">
        <f>COUNTIFS(Data!C:C,B79,Data!V:V,2024)</f>
        <v>3</v>
      </c>
      <c r="D79" s="14">
        <f>COUNTIFS(Data!C:C,B79,Data!V:V,2025)</f>
        <v>6</v>
      </c>
      <c r="E79" s="30">
        <f t="shared" si="0"/>
        <v>9</v>
      </c>
      <c r="G79" s="19" t="s">
        <v>100</v>
      </c>
      <c r="H79" s="15">
        <f>SUMIFS(Data!M:M,Data!C:C,G79,Data!V:V,2024)</f>
        <v>243500</v>
      </c>
      <c r="I79" s="15">
        <f>SUMIFS(Data!M:M,Data!C:C,G79,Data!V:V,2025)</f>
        <v>322200</v>
      </c>
      <c r="J79" s="20">
        <f t="shared" si="1"/>
        <v>565700</v>
      </c>
    </row>
    <row r="80" spans="2:10" x14ac:dyDescent="0.25">
      <c r="B80" s="19" t="s">
        <v>203</v>
      </c>
      <c r="C80" s="14">
        <f>COUNTIFS(Data!C:C,B80,Data!V:V,2024)</f>
        <v>3</v>
      </c>
      <c r="D80" s="14">
        <f>COUNTIFS(Data!C:C,B80,Data!V:V,2025)</f>
        <v>6</v>
      </c>
      <c r="E80" s="30">
        <f t="shared" si="0"/>
        <v>9</v>
      </c>
      <c r="G80" s="19" t="s">
        <v>741</v>
      </c>
      <c r="H80" s="15">
        <f>SUMIFS(Data!M:M,Data!C:C,G80,Data!V:V,2024)</f>
        <v>218450</v>
      </c>
      <c r="I80" s="15">
        <f>SUMIFS(Data!M:M,Data!C:C,G80,Data!V:V,2025)</f>
        <v>344700</v>
      </c>
      <c r="J80" s="20">
        <f t="shared" si="1"/>
        <v>563150</v>
      </c>
    </row>
    <row r="81" spans="2:10" x14ac:dyDescent="0.25">
      <c r="B81" s="19" t="s">
        <v>446</v>
      </c>
      <c r="C81" s="14">
        <f>COUNTIFS(Data!C:C,B81,Data!V:V,2024)</f>
        <v>3</v>
      </c>
      <c r="D81" s="14">
        <f>COUNTIFS(Data!C:C,B81,Data!V:V,2025)</f>
        <v>6</v>
      </c>
      <c r="E81" s="30">
        <f t="shared" si="0"/>
        <v>9</v>
      </c>
      <c r="G81" s="19" t="s">
        <v>812</v>
      </c>
      <c r="H81" s="15">
        <f>SUMIFS(Data!M:M,Data!C:C,G81,Data!V:V,2024)</f>
        <v>177500</v>
      </c>
      <c r="I81" s="15">
        <f>SUMIFS(Data!M:M,Data!C:C,G81,Data!V:V,2025)</f>
        <v>382200</v>
      </c>
      <c r="J81" s="20">
        <f t="shared" si="1"/>
        <v>559700</v>
      </c>
    </row>
    <row r="82" spans="2:10" x14ac:dyDescent="0.25">
      <c r="B82" s="19" t="s">
        <v>287</v>
      </c>
      <c r="C82" s="14">
        <f>COUNTIFS(Data!C:C,B82,Data!V:V,2024)</f>
        <v>2</v>
      </c>
      <c r="D82" s="14">
        <f>COUNTIFS(Data!C:C,B82,Data!V:V,2025)</f>
        <v>7</v>
      </c>
      <c r="E82" s="30">
        <f t="shared" si="0"/>
        <v>9</v>
      </c>
      <c r="G82" s="19" t="s">
        <v>235</v>
      </c>
      <c r="H82" s="15">
        <f>SUMIFS(Data!M:M,Data!C:C,G82,Data!V:V,2024)</f>
        <v>229000</v>
      </c>
      <c r="I82" s="15">
        <f>SUMIFS(Data!M:M,Data!C:C,G82,Data!V:V,2025)</f>
        <v>320600</v>
      </c>
      <c r="J82" s="20">
        <f t="shared" si="1"/>
        <v>549600</v>
      </c>
    </row>
    <row r="83" spans="2:10" x14ac:dyDescent="0.25">
      <c r="B83" s="19" t="s">
        <v>95</v>
      </c>
      <c r="C83" s="14">
        <f>COUNTIFS(Data!C:C,B83,Data!V:V,2024)</f>
        <v>3</v>
      </c>
      <c r="D83" s="14">
        <f>COUNTIFS(Data!C:C,B83,Data!V:V,2025)</f>
        <v>6</v>
      </c>
      <c r="E83" s="30">
        <f t="shared" si="0"/>
        <v>9</v>
      </c>
      <c r="G83" s="19" t="s">
        <v>353</v>
      </c>
      <c r="H83" s="15">
        <f>SUMIFS(Data!M:M,Data!C:C,G83,Data!V:V,2024)</f>
        <v>275500</v>
      </c>
      <c r="I83" s="15">
        <f>SUMIFS(Data!M:M,Data!C:C,G83,Data!V:V,2025)</f>
        <v>273200</v>
      </c>
      <c r="J83" s="20">
        <f t="shared" si="1"/>
        <v>548700</v>
      </c>
    </row>
    <row r="84" spans="2:10" x14ac:dyDescent="0.25">
      <c r="B84" s="19" t="s">
        <v>91</v>
      </c>
      <c r="C84" s="14">
        <f>COUNTIFS(Data!C:C,B84,Data!V:V,2024)</f>
        <v>3</v>
      </c>
      <c r="D84" s="14">
        <f>COUNTIFS(Data!C:C,B84,Data!V:V,2025)</f>
        <v>6</v>
      </c>
      <c r="E84" s="30">
        <f t="shared" si="0"/>
        <v>9</v>
      </c>
      <c r="G84" s="19" t="s">
        <v>654</v>
      </c>
      <c r="H84" s="15">
        <f>SUMIFS(Data!M:M,Data!C:C,G84,Data!V:V,2024)</f>
        <v>30000</v>
      </c>
      <c r="I84" s="15">
        <f>SUMIFS(Data!M:M,Data!C:C,G84,Data!V:V,2025)</f>
        <v>514700</v>
      </c>
      <c r="J84" s="20">
        <f t="shared" si="1"/>
        <v>544700</v>
      </c>
    </row>
    <row r="85" spans="2:10" x14ac:dyDescent="0.25">
      <c r="B85" s="19" t="s">
        <v>598</v>
      </c>
      <c r="C85" s="14">
        <f>COUNTIFS(Data!C:C,B85,Data!V:V,2024)</f>
        <v>1</v>
      </c>
      <c r="D85" s="14">
        <f>COUNTIFS(Data!C:C,B85,Data!V:V,2025)</f>
        <v>8</v>
      </c>
      <c r="E85" s="30">
        <f t="shared" si="0"/>
        <v>9</v>
      </c>
      <c r="G85" s="19" t="s">
        <v>229</v>
      </c>
      <c r="H85" s="15">
        <f>SUMIFS(Data!M:M,Data!C:C,G85,Data!V:V,2024)</f>
        <v>430000</v>
      </c>
      <c r="I85" s="15">
        <f>SUMIFS(Data!M:M,Data!C:C,G85,Data!V:V,2025)</f>
        <v>113400</v>
      </c>
      <c r="J85" s="20">
        <f t="shared" si="1"/>
        <v>543400</v>
      </c>
    </row>
    <row r="86" spans="2:10" x14ac:dyDescent="0.25">
      <c r="B86" s="19" t="s">
        <v>693</v>
      </c>
      <c r="C86" s="14">
        <f>COUNTIFS(Data!C:C,B86,Data!V:V,2024)</f>
        <v>2</v>
      </c>
      <c r="D86" s="14">
        <f>COUNTIFS(Data!C:C,B86,Data!V:V,2025)</f>
        <v>7</v>
      </c>
      <c r="E86" s="30">
        <f t="shared" si="0"/>
        <v>9</v>
      </c>
      <c r="G86" s="19" t="s">
        <v>553</v>
      </c>
      <c r="H86" s="15">
        <f>SUMIFS(Data!M:M,Data!C:C,G86,Data!V:V,2024)</f>
        <v>360000</v>
      </c>
      <c r="I86" s="15">
        <f>SUMIFS(Data!M:M,Data!C:C,G86,Data!V:V,2025)</f>
        <v>180000</v>
      </c>
      <c r="J86" s="20">
        <f t="shared" si="1"/>
        <v>540000</v>
      </c>
    </row>
    <row r="87" spans="2:10" x14ac:dyDescent="0.25">
      <c r="B87" s="19" t="s">
        <v>87</v>
      </c>
      <c r="C87" s="14">
        <f>COUNTIFS(Data!C:C,B87,Data!V:V,2024)</f>
        <v>3</v>
      </c>
      <c r="D87" s="14">
        <f>COUNTIFS(Data!C:C,B87,Data!V:V,2025)</f>
        <v>6</v>
      </c>
      <c r="E87" s="30">
        <f t="shared" si="0"/>
        <v>9</v>
      </c>
      <c r="G87" s="19" t="s">
        <v>464</v>
      </c>
      <c r="H87" s="15">
        <f>SUMIFS(Data!M:M,Data!C:C,G87,Data!V:V,2024)</f>
        <v>112000</v>
      </c>
      <c r="I87" s="15">
        <f>SUMIFS(Data!M:M,Data!C:C,G87,Data!V:V,2025)</f>
        <v>422600</v>
      </c>
      <c r="J87" s="20">
        <f t="shared" si="1"/>
        <v>534600</v>
      </c>
    </row>
    <row r="88" spans="2:10" x14ac:dyDescent="0.25">
      <c r="B88" s="19" t="s">
        <v>410</v>
      </c>
      <c r="C88" s="14">
        <f>COUNTIFS(Data!C:C,B88,Data!V:V,2024)</f>
        <v>3</v>
      </c>
      <c r="D88" s="14">
        <f>COUNTIFS(Data!C:C,B88,Data!V:V,2025)</f>
        <v>5</v>
      </c>
      <c r="E88" s="30">
        <f t="shared" si="0"/>
        <v>8</v>
      </c>
      <c r="G88" s="19" t="s">
        <v>2210</v>
      </c>
      <c r="H88" s="15">
        <f>SUMIFS(Data!M:M,Data!C:C,G88,Data!V:V,2024)</f>
        <v>0</v>
      </c>
      <c r="I88" s="15">
        <f>SUMIFS(Data!M:M,Data!C:C,G88,Data!V:V,2025)</f>
        <v>529250</v>
      </c>
      <c r="J88" s="20">
        <f t="shared" si="1"/>
        <v>529250</v>
      </c>
    </row>
    <row r="89" spans="2:10" x14ac:dyDescent="0.25">
      <c r="B89" s="19" t="s">
        <v>231</v>
      </c>
      <c r="C89" s="14">
        <f>COUNTIFS(Data!C:C,B89,Data!V:V,2024)</f>
        <v>5</v>
      </c>
      <c r="D89" s="14">
        <f>COUNTIFS(Data!C:C,B89,Data!V:V,2025)</f>
        <v>3</v>
      </c>
      <c r="E89" s="30">
        <f t="shared" si="0"/>
        <v>8</v>
      </c>
      <c r="G89" s="19" t="s">
        <v>459</v>
      </c>
      <c r="H89" s="15">
        <f>SUMIFS(Data!M:M,Data!C:C,G89,Data!V:V,2024)</f>
        <v>79500</v>
      </c>
      <c r="I89" s="15">
        <f>SUMIFS(Data!M:M,Data!C:C,G89,Data!V:V,2025)</f>
        <v>448450</v>
      </c>
      <c r="J89" s="20">
        <f t="shared" si="1"/>
        <v>527950</v>
      </c>
    </row>
    <row r="90" spans="2:10" x14ac:dyDescent="0.25">
      <c r="B90" s="19" t="s">
        <v>455</v>
      </c>
      <c r="C90" s="14">
        <f>COUNTIFS(Data!C:C,B90,Data!V:V,2024)</f>
        <v>5</v>
      </c>
      <c r="D90" s="14">
        <f>COUNTIFS(Data!C:C,B90,Data!V:V,2025)</f>
        <v>3</v>
      </c>
      <c r="E90" s="30">
        <f t="shared" si="0"/>
        <v>8</v>
      </c>
      <c r="G90" s="19" t="s">
        <v>502</v>
      </c>
      <c r="H90" s="15">
        <f>SUMIFS(Data!M:M,Data!C:C,G90,Data!V:V,2024)</f>
        <v>273150</v>
      </c>
      <c r="I90" s="15">
        <f>SUMIFS(Data!M:M,Data!C:C,G90,Data!V:V,2025)</f>
        <v>253700</v>
      </c>
      <c r="J90" s="20">
        <f t="shared" si="1"/>
        <v>526850</v>
      </c>
    </row>
    <row r="91" spans="2:10" x14ac:dyDescent="0.25">
      <c r="B91" s="19" t="s">
        <v>443</v>
      </c>
      <c r="C91" s="14">
        <f>COUNTIFS(Data!C:C,B91,Data!V:V,2024)</f>
        <v>3</v>
      </c>
      <c r="D91" s="14">
        <f>COUNTIFS(Data!C:C,B91,Data!V:V,2025)</f>
        <v>5</v>
      </c>
      <c r="E91" s="30">
        <f t="shared" si="0"/>
        <v>8</v>
      </c>
      <c r="G91" s="19" t="s">
        <v>40</v>
      </c>
      <c r="H91" s="15">
        <f>SUMIFS(Data!M:M,Data!C:C,G91,Data!V:V,2024)</f>
        <v>46200</v>
      </c>
      <c r="I91" s="15">
        <f>SUMIFS(Data!M:M,Data!C:C,G91,Data!V:V,2025)</f>
        <v>473900</v>
      </c>
      <c r="J91" s="20">
        <f t="shared" si="1"/>
        <v>520100</v>
      </c>
    </row>
    <row r="92" spans="2:10" x14ac:dyDescent="0.25">
      <c r="B92" s="19" t="s">
        <v>589</v>
      </c>
      <c r="C92" s="14">
        <f>COUNTIFS(Data!C:C,B92,Data!V:V,2024)</f>
        <v>1</v>
      </c>
      <c r="D92" s="14">
        <f>COUNTIFS(Data!C:C,B92,Data!V:V,2025)</f>
        <v>7</v>
      </c>
      <c r="E92" s="30">
        <f t="shared" si="0"/>
        <v>8</v>
      </c>
      <c r="G92" s="19" t="s">
        <v>794</v>
      </c>
      <c r="H92" s="15">
        <f>SUMIFS(Data!M:M,Data!C:C,G92,Data!V:V,2024)</f>
        <v>118100</v>
      </c>
      <c r="I92" s="15">
        <f>SUMIFS(Data!M:M,Data!C:C,G92,Data!V:V,2025)</f>
        <v>395500</v>
      </c>
      <c r="J92" s="20">
        <f t="shared" si="1"/>
        <v>513600</v>
      </c>
    </row>
    <row r="93" spans="2:10" x14ac:dyDescent="0.25">
      <c r="B93" s="19" t="s">
        <v>353</v>
      </c>
      <c r="C93" s="14">
        <f>COUNTIFS(Data!C:C,B93,Data!V:V,2024)</f>
        <v>3</v>
      </c>
      <c r="D93" s="14">
        <f>COUNTIFS(Data!C:C,B93,Data!V:V,2025)</f>
        <v>5</v>
      </c>
      <c r="E93" s="30">
        <f t="shared" si="0"/>
        <v>8</v>
      </c>
      <c r="G93" s="19" t="s">
        <v>532</v>
      </c>
      <c r="H93" s="15">
        <f>SUMIFS(Data!M:M,Data!C:C,G93,Data!V:V,2024)</f>
        <v>243500</v>
      </c>
      <c r="I93" s="15">
        <f>SUMIFS(Data!M:M,Data!C:C,G93,Data!V:V,2025)</f>
        <v>264750</v>
      </c>
      <c r="J93" s="20">
        <f t="shared" si="1"/>
        <v>508250</v>
      </c>
    </row>
    <row r="94" spans="2:10" x14ac:dyDescent="0.25">
      <c r="B94" s="19" t="s">
        <v>102</v>
      </c>
      <c r="C94" s="14">
        <f>COUNTIFS(Data!C:C,B94,Data!V:V,2024)</f>
        <v>3</v>
      </c>
      <c r="D94" s="14">
        <f>COUNTIFS(Data!C:C,B94,Data!V:V,2025)</f>
        <v>5</v>
      </c>
      <c r="E94" s="30">
        <f t="shared" si="0"/>
        <v>8</v>
      </c>
      <c r="G94" s="19" t="s">
        <v>377</v>
      </c>
      <c r="H94" s="15">
        <f>SUMIFS(Data!M:M,Data!C:C,G94,Data!V:V,2024)</f>
        <v>247750</v>
      </c>
      <c r="I94" s="15">
        <f>SUMIFS(Data!M:M,Data!C:C,G94,Data!V:V,2025)</f>
        <v>259000</v>
      </c>
      <c r="J94" s="20">
        <f t="shared" si="1"/>
        <v>506750</v>
      </c>
    </row>
    <row r="95" spans="2:10" x14ac:dyDescent="0.25">
      <c r="B95" s="19" t="s">
        <v>207</v>
      </c>
      <c r="C95" s="14">
        <f>COUNTIFS(Data!C:C,B95,Data!V:V,2024)</f>
        <v>2</v>
      </c>
      <c r="D95" s="14">
        <f>COUNTIFS(Data!C:C,B95,Data!V:V,2025)</f>
        <v>6</v>
      </c>
      <c r="E95" s="30">
        <f t="shared" si="0"/>
        <v>8</v>
      </c>
      <c r="G95" s="19" t="s">
        <v>748</v>
      </c>
      <c r="H95" s="15">
        <f>SUMIFS(Data!M:M,Data!C:C,G95,Data!V:V,2024)</f>
        <v>107000</v>
      </c>
      <c r="I95" s="15">
        <f>SUMIFS(Data!M:M,Data!C:C,G95,Data!V:V,2025)</f>
        <v>399250</v>
      </c>
      <c r="J95" s="20">
        <f t="shared" si="1"/>
        <v>506250</v>
      </c>
    </row>
    <row r="96" spans="2:10" x14ac:dyDescent="0.25">
      <c r="B96" s="19" t="s">
        <v>525</v>
      </c>
      <c r="C96" s="14">
        <f>COUNTIFS(Data!C:C,B96,Data!V:V,2024)</f>
        <v>1</v>
      </c>
      <c r="D96" s="14">
        <f>COUNTIFS(Data!C:C,B96,Data!V:V,2025)</f>
        <v>7</v>
      </c>
      <c r="E96" s="30">
        <f t="shared" si="0"/>
        <v>8</v>
      </c>
      <c r="G96" s="19" t="s">
        <v>1321</v>
      </c>
      <c r="H96" s="15">
        <f>SUMIFS(Data!M:M,Data!C:C,G96,Data!V:V,2024)</f>
        <v>0</v>
      </c>
      <c r="I96" s="15">
        <f>SUMIFS(Data!M:M,Data!C:C,G96,Data!V:V,2025)</f>
        <v>505750</v>
      </c>
      <c r="J96" s="20">
        <f t="shared" si="1"/>
        <v>505750</v>
      </c>
    </row>
    <row r="97" spans="2:10" x14ac:dyDescent="0.25">
      <c r="B97" s="19" t="s">
        <v>681</v>
      </c>
      <c r="C97" s="14">
        <f>COUNTIFS(Data!C:C,B97,Data!V:V,2024)</f>
        <v>2</v>
      </c>
      <c r="D97" s="14">
        <f>COUNTIFS(Data!C:C,B97,Data!V:V,2025)</f>
        <v>6</v>
      </c>
      <c r="E97" s="30">
        <f t="shared" si="0"/>
        <v>8</v>
      </c>
      <c r="G97" s="19" t="s">
        <v>457</v>
      </c>
      <c r="H97" s="15">
        <f>SUMIFS(Data!M:M,Data!C:C,G97,Data!V:V,2024)</f>
        <v>59400</v>
      </c>
      <c r="I97" s="15">
        <f>SUMIFS(Data!M:M,Data!C:C,G97,Data!V:V,2025)</f>
        <v>445350</v>
      </c>
      <c r="J97" s="20">
        <f t="shared" si="1"/>
        <v>504750</v>
      </c>
    </row>
    <row r="98" spans="2:10" x14ac:dyDescent="0.25">
      <c r="B98" s="19" t="s">
        <v>333</v>
      </c>
      <c r="C98" s="14">
        <f>COUNTIFS(Data!C:C,B98,Data!V:V,2024)</f>
        <v>2</v>
      </c>
      <c r="D98" s="14">
        <f>COUNTIFS(Data!C:C,B98,Data!V:V,2025)</f>
        <v>6</v>
      </c>
      <c r="E98" s="30">
        <f t="shared" ref="E98:E161" si="2">C98+D98</f>
        <v>8</v>
      </c>
      <c r="G98" s="19" t="s">
        <v>1530</v>
      </c>
      <c r="H98" s="15">
        <f>SUMIFS(Data!M:M,Data!C:C,G98,Data!V:V,2024)</f>
        <v>0</v>
      </c>
      <c r="I98" s="15">
        <f>SUMIFS(Data!M:M,Data!C:C,G98,Data!V:V,2025)</f>
        <v>504300</v>
      </c>
      <c r="J98" s="20">
        <f t="shared" ref="J98:J161" si="3">H98+I98</f>
        <v>504300</v>
      </c>
    </row>
    <row r="99" spans="2:10" x14ac:dyDescent="0.25">
      <c r="B99" s="19" t="s">
        <v>429</v>
      </c>
      <c r="C99" s="14">
        <f>COUNTIFS(Data!C:C,B99,Data!V:V,2024)</f>
        <v>2</v>
      </c>
      <c r="D99" s="14">
        <f>COUNTIFS(Data!C:C,B99,Data!V:V,2025)</f>
        <v>6</v>
      </c>
      <c r="E99" s="30">
        <f t="shared" si="2"/>
        <v>8</v>
      </c>
      <c r="G99" s="19" t="s">
        <v>148</v>
      </c>
      <c r="H99" s="15">
        <f>SUMIFS(Data!M:M,Data!C:C,G99,Data!V:V,2024)</f>
        <v>306700</v>
      </c>
      <c r="I99" s="15">
        <f>SUMIFS(Data!M:M,Data!C:C,G99,Data!V:V,2025)</f>
        <v>196050</v>
      </c>
      <c r="J99" s="20">
        <f t="shared" si="3"/>
        <v>502750</v>
      </c>
    </row>
    <row r="100" spans="2:10" x14ac:dyDescent="0.25">
      <c r="B100" s="19" t="s">
        <v>299</v>
      </c>
      <c r="C100" s="14">
        <f>COUNTIFS(Data!C:C,B100,Data!V:V,2024)</f>
        <v>4</v>
      </c>
      <c r="D100" s="14">
        <f>COUNTIFS(Data!C:C,B100,Data!V:V,2025)</f>
        <v>4</v>
      </c>
      <c r="E100" s="30">
        <f t="shared" si="2"/>
        <v>8</v>
      </c>
      <c r="G100" s="19" t="s">
        <v>379</v>
      </c>
      <c r="H100" s="15">
        <f>SUMIFS(Data!M:M,Data!C:C,G100,Data!V:V,2024)</f>
        <v>217500</v>
      </c>
      <c r="I100" s="15">
        <f>SUMIFS(Data!M:M,Data!C:C,G100,Data!V:V,2025)</f>
        <v>284000</v>
      </c>
      <c r="J100" s="20">
        <f t="shared" si="3"/>
        <v>501500</v>
      </c>
    </row>
    <row r="101" spans="2:10" x14ac:dyDescent="0.25">
      <c r="B101" s="19" t="s">
        <v>77</v>
      </c>
      <c r="C101" s="14">
        <f>COUNTIFS(Data!C:C,B101,Data!V:V,2024)</f>
        <v>4</v>
      </c>
      <c r="D101" s="14">
        <f>COUNTIFS(Data!C:C,B101,Data!V:V,2025)</f>
        <v>4</v>
      </c>
      <c r="E101" s="30">
        <f t="shared" si="2"/>
        <v>8</v>
      </c>
      <c r="G101" s="19" t="s">
        <v>246</v>
      </c>
      <c r="H101" s="15">
        <f>SUMIFS(Data!M:M,Data!C:C,G101,Data!V:V,2024)</f>
        <v>71250</v>
      </c>
      <c r="I101" s="15">
        <f>SUMIFS(Data!M:M,Data!C:C,G101,Data!V:V,2025)</f>
        <v>427350</v>
      </c>
      <c r="J101" s="20">
        <f t="shared" si="3"/>
        <v>498600</v>
      </c>
    </row>
    <row r="102" spans="2:10" x14ac:dyDescent="0.25">
      <c r="B102" s="19" t="s">
        <v>184</v>
      </c>
      <c r="C102" s="14">
        <f>COUNTIFS(Data!C:C,B102,Data!V:V,2024)</f>
        <v>2</v>
      </c>
      <c r="D102" s="14">
        <f>COUNTIFS(Data!C:C,B102,Data!V:V,2025)</f>
        <v>6</v>
      </c>
      <c r="E102" s="30">
        <f t="shared" si="2"/>
        <v>8</v>
      </c>
      <c r="G102" s="19" t="s">
        <v>483</v>
      </c>
      <c r="H102" s="15">
        <f>SUMIFS(Data!M:M,Data!C:C,G102,Data!V:V,2024)</f>
        <v>72000</v>
      </c>
      <c r="I102" s="15">
        <f>SUMIFS(Data!M:M,Data!C:C,G102,Data!V:V,2025)</f>
        <v>426600</v>
      </c>
      <c r="J102" s="20">
        <f t="shared" si="3"/>
        <v>498600</v>
      </c>
    </row>
    <row r="103" spans="2:10" x14ac:dyDescent="0.25">
      <c r="B103" s="19" t="s">
        <v>1130</v>
      </c>
      <c r="C103" s="14">
        <f>COUNTIFS(Data!C:C,B103,Data!V:V,2024)</f>
        <v>0</v>
      </c>
      <c r="D103" s="14">
        <f>COUNTIFS(Data!C:C,B103,Data!V:V,2025)</f>
        <v>7</v>
      </c>
      <c r="E103" s="30">
        <f t="shared" si="2"/>
        <v>7</v>
      </c>
      <c r="G103" s="19" t="s">
        <v>218</v>
      </c>
      <c r="H103" s="15">
        <f>SUMIFS(Data!M:M,Data!C:C,G103,Data!V:V,2024)</f>
        <v>38250</v>
      </c>
      <c r="I103" s="15">
        <f>SUMIFS(Data!M:M,Data!C:C,G103,Data!V:V,2025)</f>
        <v>456500</v>
      </c>
      <c r="J103" s="20">
        <f t="shared" si="3"/>
        <v>494750</v>
      </c>
    </row>
    <row r="104" spans="2:10" x14ac:dyDescent="0.25">
      <c r="B104" s="19" t="s">
        <v>565</v>
      </c>
      <c r="C104" s="14">
        <f>COUNTIFS(Data!C:C,B104,Data!V:V,2024)</f>
        <v>2</v>
      </c>
      <c r="D104" s="14">
        <f>COUNTIFS(Data!C:C,B104,Data!V:V,2025)</f>
        <v>5</v>
      </c>
      <c r="E104" s="30">
        <f t="shared" si="2"/>
        <v>7</v>
      </c>
      <c r="G104" s="19" t="s">
        <v>162</v>
      </c>
      <c r="H104" s="15">
        <f>SUMIFS(Data!M:M,Data!C:C,G104,Data!V:V,2024)</f>
        <v>90400</v>
      </c>
      <c r="I104" s="15">
        <f>SUMIFS(Data!M:M,Data!C:C,G104,Data!V:V,2025)</f>
        <v>403850</v>
      </c>
      <c r="J104" s="20">
        <f t="shared" si="3"/>
        <v>494250</v>
      </c>
    </row>
    <row r="105" spans="2:10" x14ac:dyDescent="0.25">
      <c r="B105" s="19" t="s">
        <v>530</v>
      </c>
      <c r="C105" s="14">
        <f>COUNTIFS(Data!C:C,B105,Data!V:V,2024)</f>
        <v>1</v>
      </c>
      <c r="D105" s="14">
        <f>COUNTIFS(Data!C:C,B105,Data!V:V,2025)</f>
        <v>6</v>
      </c>
      <c r="E105" s="30">
        <f t="shared" si="2"/>
        <v>7</v>
      </c>
      <c r="G105" s="19" t="s">
        <v>389</v>
      </c>
      <c r="H105" s="15">
        <f>SUMIFS(Data!M:M,Data!C:C,G105,Data!V:V,2024)</f>
        <v>202500</v>
      </c>
      <c r="I105" s="15">
        <f>SUMIFS(Data!M:M,Data!C:C,G105,Data!V:V,2025)</f>
        <v>283000</v>
      </c>
      <c r="J105" s="20">
        <f t="shared" si="3"/>
        <v>485500</v>
      </c>
    </row>
    <row r="106" spans="2:10" x14ac:dyDescent="0.25">
      <c r="B106" s="19" t="s">
        <v>222</v>
      </c>
      <c r="C106" s="14">
        <f>COUNTIFS(Data!C:C,B106,Data!V:V,2024)</f>
        <v>1</v>
      </c>
      <c r="D106" s="14">
        <f>COUNTIFS(Data!C:C,B106,Data!V:V,2025)</f>
        <v>6</v>
      </c>
      <c r="E106" s="30">
        <f t="shared" si="2"/>
        <v>7</v>
      </c>
      <c r="G106" s="19" t="s">
        <v>900</v>
      </c>
      <c r="H106" s="15">
        <f>SUMIFS(Data!M:M,Data!C:C,G106,Data!V:V,2024)</f>
        <v>54400</v>
      </c>
      <c r="I106" s="15">
        <f>SUMIFS(Data!M:M,Data!C:C,G106,Data!V:V,2025)</f>
        <v>430750</v>
      </c>
      <c r="J106" s="20">
        <f t="shared" si="3"/>
        <v>485150</v>
      </c>
    </row>
    <row r="107" spans="2:10" x14ac:dyDescent="0.25">
      <c r="B107" s="19" t="s">
        <v>532</v>
      </c>
      <c r="C107" s="14">
        <f>COUNTIFS(Data!C:C,B107,Data!V:V,2024)</f>
        <v>4</v>
      </c>
      <c r="D107" s="14">
        <f>COUNTIFS(Data!C:C,B107,Data!V:V,2025)</f>
        <v>3</v>
      </c>
      <c r="E107" s="30">
        <f t="shared" si="2"/>
        <v>7</v>
      </c>
      <c r="G107" s="19" t="s">
        <v>1022</v>
      </c>
      <c r="H107" s="15">
        <f>SUMIFS(Data!M:M,Data!C:C,G107,Data!V:V,2024)</f>
        <v>0</v>
      </c>
      <c r="I107" s="15">
        <f>SUMIFS(Data!M:M,Data!C:C,G107,Data!V:V,2025)</f>
        <v>484350</v>
      </c>
      <c r="J107" s="20">
        <f t="shared" si="3"/>
        <v>484350</v>
      </c>
    </row>
    <row r="108" spans="2:10" x14ac:dyDescent="0.25">
      <c r="B108" s="19" t="s">
        <v>1321</v>
      </c>
      <c r="C108" s="14">
        <f>COUNTIFS(Data!C:C,B108,Data!V:V,2024)</f>
        <v>0</v>
      </c>
      <c r="D108" s="14">
        <f>COUNTIFS(Data!C:C,B108,Data!V:V,2025)</f>
        <v>7</v>
      </c>
      <c r="E108" s="30">
        <f t="shared" si="2"/>
        <v>7</v>
      </c>
      <c r="G108" s="19" t="s">
        <v>642</v>
      </c>
      <c r="H108" s="15">
        <f>SUMIFS(Data!M:M,Data!C:C,G108,Data!V:V,2024)</f>
        <v>104500</v>
      </c>
      <c r="I108" s="15">
        <f>SUMIFS(Data!M:M,Data!C:C,G108,Data!V:V,2025)</f>
        <v>377400</v>
      </c>
      <c r="J108" s="20">
        <f t="shared" si="3"/>
        <v>481900</v>
      </c>
    </row>
    <row r="109" spans="2:10" x14ac:dyDescent="0.25">
      <c r="B109" s="19" t="s">
        <v>148</v>
      </c>
      <c r="C109" s="14">
        <f>COUNTIFS(Data!C:C,B109,Data!V:V,2024)</f>
        <v>4</v>
      </c>
      <c r="D109" s="14">
        <f>COUNTIFS(Data!C:C,B109,Data!V:V,2025)</f>
        <v>3</v>
      </c>
      <c r="E109" s="30">
        <f t="shared" si="2"/>
        <v>7</v>
      </c>
      <c r="G109" s="19" t="s">
        <v>1122</v>
      </c>
      <c r="H109" s="15">
        <f>SUMIFS(Data!M:M,Data!C:C,G109,Data!V:V,2024)</f>
        <v>0</v>
      </c>
      <c r="I109" s="15">
        <f>SUMIFS(Data!M:M,Data!C:C,G109,Data!V:V,2025)</f>
        <v>477600</v>
      </c>
      <c r="J109" s="20">
        <f t="shared" si="3"/>
        <v>477600</v>
      </c>
    </row>
    <row r="110" spans="2:10" x14ac:dyDescent="0.25">
      <c r="B110" s="19" t="s">
        <v>389</v>
      </c>
      <c r="C110" s="14">
        <f>COUNTIFS(Data!C:C,B110,Data!V:V,2024)</f>
        <v>1</v>
      </c>
      <c r="D110" s="14">
        <f>COUNTIFS(Data!C:C,B110,Data!V:V,2025)</f>
        <v>6</v>
      </c>
      <c r="E110" s="30">
        <f t="shared" si="2"/>
        <v>7</v>
      </c>
      <c r="G110" s="19" t="s">
        <v>326</v>
      </c>
      <c r="H110" s="15">
        <f>SUMIFS(Data!M:M,Data!C:C,G110,Data!V:V,2024)</f>
        <v>203400</v>
      </c>
      <c r="I110" s="15">
        <f>SUMIFS(Data!M:M,Data!C:C,G110,Data!V:V,2025)</f>
        <v>274000</v>
      </c>
      <c r="J110" s="20">
        <f t="shared" si="3"/>
        <v>477400</v>
      </c>
    </row>
    <row r="111" spans="2:10" x14ac:dyDescent="0.25">
      <c r="B111" s="19" t="s">
        <v>722</v>
      </c>
      <c r="C111" s="14">
        <f>COUNTIFS(Data!C:C,B111,Data!V:V,2024)</f>
        <v>2</v>
      </c>
      <c r="D111" s="14">
        <f>COUNTIFS(Data!C:C,B111,Data!V:V,2025)</f>
        <v>5</v>
      </c>
      <c r="E111" s="30">
        <f t="shared" si="2"/>
        <v>7</v>
      </c>
      <c r="G111" s="19" t="s">
        <v>891</v>
      </c>
      <c r="H111" s="15">
        <f>SUMIFS(Data!M:M,Data!C:C,G111,Data!V:V,2024)</f>
        <v>68400</v>
      </c>
      <c r="I111" s="15">
        <f>SUMIFS(Data!M:M,Data!C:C,G111,Data!V:V,2025)</f>
        <v>408250</v>
      </c>
      <c r="J111" s="20">
        <f t="shared" si="3"/>
        <v>476650</v>
      </c>
    </row>
    <row r="112" spans="2:10" x14ac:dyDescent="0.25">
      <c r="B112" s="19" t="s">
        <v>441</v>
      </c>
      <c r="C112" s="14">
        <f>COUNTIFS(Data!C:C,B112,Data!V:V,2024)</f>
        <v>1</v>
      </c>
      <c r="D112" s="14">
        <f>COUNTIFS(Data!C:C,B112,Data!V:V,2025)</f>
        <v>6</v>
      </c>
      <c r="E112" s="30">
        <f t="shared" si="2"/>
        <v>7</v>
      </c>
      <c r="G112" s="19" t="s">
        <v>523</v>
      </c>
      <c r="H112" s="15">
        <f>SUMIFS(Data!M:M,Data!C:C,G112,Data!V:V,2024)</f>
        <v>225000</v>
      </c>
      <c r="I112" s="15">
        <f>SUMIFS(Data!M:M,Data!C:C,G112,Data!V:V,2025)</f>
        <v>250000</v>
      </c>
      <c r="J112" s="20">
        <f t="shared" si="3"/>
        <v>475000</v>
      </c>
    </row>
    <row r="113" spans="2:10" x14ac:dyDescent="0.25">
      <c r="B113" s="19" t="s">
        <v>468</v>
      </c>
      <c r="C113" s="14">
        <f>COUNTIFS(Data!C:C,B113,Data!V:V,2024)</f>
        <v>1</v>
      </c>
      <c r="D113" s="14">
        <f>COUNTIFS(Data!C:C,B113,Data!V:V,2025)</f>
        <v>6</v>
      </c>
      <c r="E113" s="30">
        <f t="shared" si="2"/>
        <v>7</v>
      </c>
      <c r="G113" s="19" t="s">
        <v>804</v>
      </c>
      <c r="H113" s="15">
        <f>SUMIFS(Data!M:M,Data!C:C,G113,Data!V:V,2024)</f>
        <v>76000</v>
      </c>
      <c r="I113" s="15">
        <f>SUMIFS(Data!M:M,Data!C:C,G113,Data!V:V,2025)</f>
        <v>395000</v>
      </c>
      <c r="J113" s="20">
        <f t="shared" si="3"/>
        <v>471000</v>
      </c>
    </row>
    <row r="114" spans="2:10" x14ac:dyDescent="0.25">
      <c r="B114" s="19" t="s">
        <v>211</v>
      </c>
      <c r="C114" s="14">
        <f>COUNTIFS(Data!C:C,B114,Data!V:V,2024)</f>
        <v>3</v>
      </c>
      <c r="D114" s="14">
        <f>COUNTIFS(Data!C:C,B114,Data!V:V,2025)</f>
        <v>4</v>
      </c>
      <c r="E114" s="30">
        <f t="shared" si="2"/>
        <v>7</v>
      </c>
      <c r="G114" s="19" t="s">
        <v>155</v>
      </c>
      <c r="H114" s="15">
        <f>SUMIFS(Data!M:M,Data!C:C,G114,Data!V:V,2024)</f>
        <v>234600</v>
      </c>
      <c r="I114" s="15">
        <f>SUMIFS(Data!M:M,Data!C:C,G114,Data!V:V,2025)</f>
        <v>233600</v>
      </c>
      <c r="J114" s="20">
        <f t="shared" si="3"/>
        <v>468200</v>
      </c>
    </row>
    <row r="115" spans="2:10" x14ac:dyDescent="0.25">
      <c r="B115" s="19" t="s">
        <v>214</v>
      </c>
      <c r="C115" s="14">
        <f>COUNTIFS(Data!C:C,B115,Data!V:V,2024)</f>
        <v>2</v>
      </c>
      <c r="D115" s="14">
        <f>COUNTIFS(Data!C:C,B115,Data!V:V,2025)</f>
        <v>5</v>
      </c>
      <c r="E115" s="30">
        <f t="shared" si="2"/>
        <v>7</v>
      </c>
      <c r="G115" s="19" t="s">
        <v>140</v>
      </c>
      <c r="H115" s="15">
        <f>SUMIFS(Data!M:M,Data!C:C,G115,Data!V:V,2024)</f>
        <v>76800</v>
      </c>
      <c r="I115" s="15">
        <f>SUMIFS(Data!M:M,Data!C:C,G115,Data!V:V,2025)</f>
        <v>390550</v>
      </c>
      <c r="J115" s="20">
        <f t="shared" si="3"/>
        <v>467350</v>
      </c>
    </row>
    <row r="116" spans="2:10" x14ac:dyDescent="0.25">
      <c r="B116" s="19" t="s">
        <v>626</v>
      </c>
      <c r="C116" s="14">
        <f>COUNTIFS(Data!C:C,B116,Data!V:V,2024)</f>
        <v>2</v>
      </c>
      <c r="D116" s="14">
        <f>COUNTIFS(Data!C:C,B116,Data!V:V,2025)</f>
        <v>5</v>
      </c>
      <c r="E116" s="30">
        <f t="shared" si="2"/>
        <v>7</v>
      </c>
      <c r="G116" s="19" t="s">
        <v>254</v>
      </c>
      <c r="H116" s="15">
        <f>SUMIFS(Data!M:M,Data!C:C,G116,Data!V:V,2024)</f>
        <v>288400</v>
      </c>
      <c r="I116" s="15">
        <f>SUMIFS(Data!M:M,Data!C:C,G116,Data!V:V,2025)</f>
        <v>176500</v>
      </c>
      <c r="J116" s="20">
        <f t="shared" si="3"/>
        <v>464900</v>
      </c>
    </row>
    <row r="117" spans="2:10" x14ac:dyDescent="0.25">
      <c r="B117" s="19" t="s">
        <v>1033</v>
      </c>
      <c r="C117" s="14">
        <f>COUNTIFS(Data!C:C,B117,Data!V:V,2024)</f>
        <v>0</v>
      </c>
      <c r="D117" s="14">
        <f>COUNTIFS(Data!C:C,B117,Data!V:V,2025)</f>
        <v>7</v>
      </c>
      <c r="E117" s="30">
        <f t="shared" si="2"/>
        <v>7</v>
      </c>
      <c r="G117" s="19" t="s">
        <v>179</v>
      </c>
      <c r="H117" s="15">
        <f>SUMIFS(Data!M:M,Data!C:C,G117,Data!V:V,2024)</f>
        <v>327500</v>
      </c>
      <c r="I117" s="15">
        <f>SUMIFS(Data!M:M,Data!C:C,G117,Data!V:V,2025)</f>
        <v>135250</v>
      </c>
      <c r="J117" s="20">
        <f t="shared" si="3"/>
        <v>462750</v>
      </c>
    </row>
    <row r="118" spans="2:10" x14ac:dyDescent="0.25">
      <c r="B118" s="19" t="s">
        <v>576</v>
      </c>
      <c r="C118" s="14">
        <f>COUNTIFS(Data!C:C,B118,Data!V:V,2024)</f>
        <v>2</v>
      </c>
      <c r="D118" s="14">
        <f>COUNTIFS(Data!C:C,B118,Data!V:V,2025)</f>
        <v>5</v>
      </c>
      <c r="E118" s="30">
        <f t="shared" si="2"/>
        <v>7</v>
      </c>
      <c r="G118" s="19" t="s">
        <v>722</v>
      </c>
      <c r="H118" s="15">
        <f>SUMIFS(Data!M:M,Data!C:C,G118,Data!V:V,2024)</f>
        <v>152000</v>
      </c>
      <c r="I118" s="15">
        <f>SUMIFS(Data!M:M,Data!C:C,G118,Data!V:V,2025)</f>
        <v>309750</v>
      </c>
      <c r="J118" s="20">
        <f t="shared" si="3"/>
        <v>461750</v>
      </c>
    </row>
    <row r="119" spans="2:10" x14ac:dyDescent="0.25">
      <c r="B119" s="19" t="s">
        <v>109</v>
      </c>
      <c r="C119" s="14">
        <f>COUNTIFS(Data!C:C,B119,Data!V:V,2024)</f>
        <v>2</v>
      </c>
      <c r="D119" s="14">
        <f>COUNTIFS(Data!C:C,B119,Data!V:V,2025)</f>
        <v>5</v>
      </c>
      <c r="E119" s="30">
        <f t="shared" si="2"/>
        <v>7</v>
      </c>
      <c r="G119" s="19" t="s">
        <v>477</v>
      </c>
      <c r="H119" s="15">
        <f>SUMIFS(Data!M:M,Data!C:C,G119,Data!V:V,2024)</f>
        <v>356650</v>
      </c>
      <c r="I119" s="15">
        <f>SUMIFS(Data!M:M,Data!C:C,G119,Data!V:V,2025)</f>
        <v>99000</v>
      </c>
      <c r="J119" s="20">
        <f t="shared" si="3"/>
        <v>455650</v>
      </c>
    </row>
    <row r="120" spans="2:10" x14ac:dyDescent="0.25">
      <c r="B120" s="19" t="s">
        <v>772</v>
      </c>
      <c r="C120" s="14">
        <f>COUNTIFS(Data!C:C,B120,Data!V:V,2024)</f>
        <v>1</v>
      </c>
      <c r="D120" s="14">
        <f>COUNTIFS(Data!C:C,B120,Data!V:V,2025)</f>
        <v>6</v>
      </c>
      <c r="E120" s="30">
        <f t="shared" si="2"/>
        <v>7</v>
      </c>
      <c r="G120" s="19" t="s">
        <v>441</v>
      </c>
      <c r="H120" s="15">
        <f>SUMIFS(Data!M:M,Data!C:C,G120,Data!V:V,2024)</f>
        <v>32000</v>
      </c>
      <c r="I120" s="15">
        <f>SUMIFS(Data!M:M,Data!C:C,G120,Data!V:V,2025)</f>
        <v>420000</v>
      </c>
      <c r="J120" s="20">
        <f t="shared" si="3"/>
        <v>452000</v>
      </c>
    </row>
    <row r="121" spans="2:10" x14ac:dyDescent="0.25">
      <c r="B121" s="19" t="s">
        <v>197</v>
      </c>
      <c r="C121" s="14">
        <f>COUNTIFS(Data!C:C,B121,Data!V:V,2024)</f>
        <v>2</v>
      </c>
      <c r="D121" s="14">
        <f>COUNTIFS(Data!C:C,B121,Data!V:V,2025)</f>
        <v>5</v>
      </c>
      <c r="E121" s="30">
        <f t="shared" si="2"/>
        <v>7</v>
      </c>
      <c r="G121" s="19" t="s">
        <v>419</v>
      </c>
      <c r="H121" s="15">
        <f>SUMIFS(Data!M:M,Data!C:C,G121,Data!V:V,2024)</f>
        <v>13500</v>
      </c>
      <c r="I121" s="15">
        <f>SUMIFS(Data!M:M,Data!C:C,G121,Data!V:V,2025)</f>
        <v>431350</v>
      </c>
      <c r="J121" s="20">
        <f t="shared" si="3"/>
        <v>444850</v>
      </c>
    </row>
    <row r="122" spans="2:10" x14ac:dyDescent="0.25">
      <c r="B122" s="19" t="s">
        <v>307</v>
      </c>
      <c r="C122" s="14">
        <f>COUNTIFS(Data!C:C,B122,Data!V:V,2024)</f>
        <v>2</v>
      </c>
      <c r="D122" s="14">
        <f>COUNTIFS(Data!C:C,B122,Data!V:V,2025)</f>
        <v>5</v>
      </c>
      <c r="E122" s="30">
        <f t="shared" si="2"/>
        <v>7</v>
      </c>
      <c r="G122" s="19" t="s">
        <v>1317</v>
      </c>
      <c r="H122" s="15">
        <f>SUMIFS(Data!M:M,Data!C:C,G122,Data!V:V,2024)</f>
        <v>0</v>
      </c>
      <c r="I122" s="15">
        <f>SUMIFS(Data!M:M,Data!C:C,G122,Data!V:V,2025)</f>
        <v>444000</v>
      </c>
      <c r="J122" s="20">
        <f t="shared" si="3"/>
        <v>444000</v>
      </c>
    </row>
    <row r="123" spans="2:10" x14ac:dyDescent="0.25">
      <c r="B123" s="19" t="s">
        <v>784</v>
      </c>
      <c r="C123" s="14">
        <f>COUNTIFS(Data!C:C,B123,Data!V:V,2024)</f>
        <v>1</v>
      </c>
      <c r="D123" s="14">
        <f>COUNTIFS(Data!C:C,B123,Data!V:V,2025)</f>
        <v>6</v>
      </c>
      <c r="E123" s="30">
        <f t="shared" si="2"/>
        <v>7</v>
      </c>
      <c r="G123" s="19" t="s">
        <v>273</v>
      </c>
      <c r="H123" s="15">
        <f>SUMIFS(Data!M:M,Data!C:C,G123,Data!V:V,2024)</f>
        <v>109200</v>
      </c>
      <c r="I123" s="15">
        <f>SUMIFS(Data!M:M,Data!C:C,G123,Data!V:V,2025)</f>
        <v>332450</v>
      </c>
      <c r="J123" s="20">
        <f t="shared" si="3"/>
        <v>441650</v>
      </c>
    </row>
    <row r="124" spans="2:10" x14ac:dyDescent="0.25">
      <c r="B124" s="19" t="s">
        <v>275</v>
      </c>
      <c r="C124" s="14">
        <f>COUNTIFS(Data!C:C,B124,Data!V:V,2024)</f>
        <v>3</v>
      </c>
      <c r="D124" s="14">
        <f>COUNTIFS(Data!C:C,B124,Data!V:V,2025)</f>
        <v>4</v>
      </c>
      <c r="E124" s="30">
        <f t="shared" si="2"/>
        <v>7</v>
      </c>
      <c r="G124" s="19" t="s">
        <v>203</v>
      </c>
      <c r="H124" s="15">
        <f>SUMIFS(Data!M:M,Data!C:C,G124,Data!V:V,2024)</f>
        <v>133800</v>
      </c>
      <c r="I124" s="15">
        <f>SUMIFS(Data!M:M,Data!C:C,G124,Data!V:V,2025)</f>
        <v>305800</v>
      </c>
      <c r="J124" s="20">
        <f t="shared" si="3"/>
        <v>439600</v>
      </c>
    </row>
    <row r="125" spans="2:10" x14ac:dyDescent="0.25">
      <c r="B125" s="19" t="s">
        <v>52</v>
      </c>
      <c r="C125" s="14">
        <f>COUNTIFS(Data!C:C,B125,Data!V:V,2024)</f>
        <v>2</v>
      </c>
      <c r="D125" s="14">
        <f>COUNTIFS(Data!C:C,B125,Data!V:V,2025)</f>
        <v>5</v>
      </c>
      <c r="E125" s="30">
        <f t="shared" si="2"/>
        <v>7</v>
      </c>
      <c r="G125" s="19" t="s">
        <v>102</v>
      </c>
      <c r="H125" s="15">
        <f>SUMIFS(Data!M:M,Data!C:C,G125,Data!V:V,2024)</f>
        <v>228000</v>
      </c>
      <c r="I125" s="15">
        <f>SUMIFS(Data!M:M,Data!C:C,G125,Data!V:V,2025)</f>
        <v>210000</v>
      </c>
      <c r="J125" s="20">
        <f t="shared" si="3"/>
        <v>438000</v>
      </c>
    </row>
    <row r="126" spans="2:10" x14ac:dyDescent="0.25">
      <c r="B126" s="19" t="s">
        <v>729</v>
      </c>
      <c r="C126" s="14">
        <f>COUNTIFS(Data!C:C,B126,Data!V:V,2024)</f>
        <v>1</v>
      </c>
      <c r="D126" s="14">
        <f>COUNTIFS(Data!C:C,B126,Data!V:V,2025)</f>
        <v>6</v>
      </c>
      <c r="E126" s="30">
        <f t="shared" si="2"/>
        <v>7</v>
      </c>
      <c r="G126" s="19" t="s">
        <v>146</v>
      </c>
      <c r="H126" s="15">
        <f>SUMIFS(Data!M:M,Data!C:C,G126,Data!V:V,2024)</f>
        <v>336500</v>
      </c>
      <c r="I126" s="15">
        <f>SUMIFS(Data!M:M,Data!C:C,G126,Data!V:V,2025)</f>
        <v>99750</v>
      </c>
      <c r="J126" s="20">
        <f t="shared" si="3"/>
        <v>436250</v>
      </c>
    </row>
    <row r="127" spans="2:10" x14ac:dyDescent="0.25">
      <c r="B127" s="19" t="s">
        <v>285</v>
      </c>
      <c r="C127" s="14">
        <f>COUNTIFS(Data!C:C,B127,Data!V:V,2024)</f>
        <v>2</v>
      </c>
      <c r="D127" s="14">
        <f>COUNTIFS(Data!C:C,B127,Data!V:V,2025)</f>
        <v>4</v>
      </c>
      <c r="E127" s="30">
        <f t="shared" si="2"/>
        <v>6</v>
      </c>
      <c r="G127" s="19" t="s">
        <v>1035</v>
      </c>
      <c r="H127" s="15">
        <f>SUMIFS(Data!M:M,Data!C:C,G127,Data!V:V,2024)</f>
        <v>0</v>
      </c>
      <c r="I127" s="15">
        <f>SUMIFS(Data!M:M,Data!C:C,G127,Data!V:V,2025)</f>
        <v>435400</v>
      </c>
      <c r="J127" s="20">
        <f t="shared" si="3"/>
        <v>435400</v>
      </c>
    </row>
    <row r="128" spans="2:10" x14ac:dyDescent="0.25">
      <c r="B128" s="19" t="s">
        <v>181</v>
      </c>
      <c r="C128" s="14">
        <f>COUNTIFS(Data!C:C,B128,Data!V:V,2024)</f>
        <v>3</v>
      </c>
      <c r="D128" s="14">
        <f>COUNTIFS(Data!C:C,B128,Data!V:V,2025)</f>
        <v>3</v>
      </c>
      <c r="E128" s="30">
        <f t="shared" si="2"/>
        <v>6</v>
      </c>
      <c r="G128" s="19" t="s">
        <v>495</v>
      </c>
      <c r="H128" s="15">
        <f>SUMIFS(Data!M:M,Data!C:C,G128,Data!V:V,2024)</f>
        <v>272000</v>
      </c>
      <c r="I128" s="15">
        <f>SUMIFS(Data!M:M,Data!C:C,G128,Data!V:V,2025)</f>
        <v>163150</v>
      </c>
      <c r="J128" s="20">
        <f t="shared" si="3"/>
        <v>435150</v>
      </c>
    </row>
    <row r="129" spans="2:10" x14ac:dyDescent="0.25">
      <c r="B129" s="19" t="s">
        <v>851</v>
      </c>
      <c r="C129" s="14">
        <f>COUNTIFS(Data!C:C,B129,Data!V:V,2024)</f>
        <v>1</v>
      </c>
      <c r="D129" s="14">
        <f>COUNTIFS(Data!C:C,B129,Data!V:V,2025)</f>
        <v>5</v>
      </c>
      <c r="E129" s="30">
        <f t="shared" si="2"/>
        <v>6</v>
      </c>
      <c r="G129" s="19" t="s">
        <v>283</v>
      </c>
      <c r="H129" s="15">
        <f>SUMIFS(Data!M:M,Data!C:C,G129,Data!V:V,2024)</f>
        <v>230000</v>
      </c>
      <c r="I129" s="15">
        <f>SUMIFS(Data!M:M,Data!C:C,G129,Data!V:V,2025)</f>
        <v>204350</v>
      </c>
      <c r="J129" s="20">
        <f t="shared" si="3"/>
        <v>434350</v>
      </c>
    </row>
    <row r="130" spans="2:10" x14ac:dyDescent="0.25">
      <c r="B130" s="19" t="s">
        <v>235</v>
      </c>
      <c r="C130" s="14">
        <f>COUNTIFS(Data!C:C,B130,Data!V:V,2024)</f>
        <v>2</v>
      </c>
      <c r="D130" s="14">
        <f>COUNTIFS(Data!C:C,B130,Data!V:V,2025)</f>
        <v>4</v>
      </c>
      <c r="E130" s="30">
        <f t="shared" si="2"/>
        <v>6</v>
      </c>
      <c r="G130" s="19" t="s">
        <v>708</v>
      </c>
      <c r="H130" s="15">
        <f>SUMIFS(Data!M:M,Data!C:C,G130,Data!V:V,2024)</f>
        <v>96000</v>
      </c>
      <c r="I130" s="15">
        <f>SUMIFS(Data!M:M,Data!C:C,G130,Data!V:V,2025)</f>
        <v>333950</v>
      </c>
      <c r="J130" s="20">
        <f t="shared" si="3"/>
        <v>429950</v>
      </c>
    </row>
    <row r="131" spans="2:10" x14ac:dyDescent="0.25">
      <c r="B131" s="19" t="s">
        <v>654</v>
      </c>
      <c r="C131" s="14">
        <f>COUNTIFS(Data!C:C,B131,Data!V:V,2024)</f>
        <v>1</v>
      </c>
      <c r="D131" s="14">
        <f>COUNTIFS(Data!C:C,B131,Data!V:V,2025)</f>
        <v>5</v>
      </c>
      <c r="E131" s="30">
        <f t="shared" si="2"/>
        <v>6</v>
      </c>
      <c r="G131" s="19" t="s">
        <v>446</v>
      </c>
      <c r="H131" s="15">
        <f>SUMIFS(Data!M:M,Data!C:C,G131,Data!V:V,2024)</f>
        <v>203900</v>
      </c>
      <c r="I131" s="15">
        <f>SUMIFS(Data!M:M,Data!C:C,G131,Data!V:V,2025)</f>
        <v>224100</v>
      </c>
      <c r="J131" s="20">
        <f t="shared" si="3"/>
        <v>428000</v>
      </c>
    </row>
    <row r="132" spans="2:10" x14ac:dyDescent="0.25">
      <c r="B132" s="19" t="s">
        <v>229</v>
      </c>
      <c r="C132" s="14">
        <f>COUNTIFS(Data!C:C,B132,Data!V:V,2024)</f>
        <v>4</v>
      </c>
      <c r="D132" s="14">
        <f>COUNTIFS(Data!C:C,B132,Data!V:V,2025)</f>
        <v>2</v>
      </c>
      <c r="E132" s="30">
        <f t="shared" si="2"/>
        <v>6</v>
      </c>
      <c r="G132" s="19" t="s">
        <v>287</v>
      </c>
      <c r="H132" s="15">
        <f>SUMIFS(Data!M:M,Data!C:C,G132,Data!V:V,2024)</f>
        <v>107750</v>
      </c>
      <c r="I132" s="15">
        <f>SUMIFS(Data!M:M,Data!C:C,G132,Data!V:V,2025)</f>
        <v>318400</v>
      </c>
      <c r="J132" s="20">
        <f t="shared" si="3"/>
        <v>426150</v>
      </c>
    </row>
    <row r="133" spans="2:10" x14ac:dyDescent="0.25">
      <c r="B133" s="19" t="s">
        <v>464</v>
      </c>
      <c r="C133" s="14">
        <f>COUNTIFS(Data!C:C,B133,Data!V:V,2024)</f>
        <v>1</v>
      </c>
      <c r="D133" s="14">
        <f>COUNTIFS(Data!C:C,B133,Data!V:V,2025)</f>
        <v>5</v>
      </c>
      <c r="E133" s="30">
        <f t="shared" si="2"/>
        <v>6</v>
      </c>
      <c r="G133" s="19" t="s">
        <v>48</v>
      </c>
      <c r="H133" s="15">
        <f>SUMIFS(Data!M:M,Data!C:C,G133,Data!V:V,2024)</f>
        <v>100400</v>
      </c>
      <c r="I133" s="15">
        <f>SUMIFS(Data!M:M,Data!C:C,G133,Data!V:V,2025)</f>
        <v>322550</v>
      </c>
      <c r="J133" s="20">
        <f t="shared" si="3"/>
        <v>422950</v>
      </c>
    </row>
    <row r="134" spans="2:10" x14ac:dyDescent="0.25">
      <c r="B134" s="19" t="s">
        <v>794</v>
      </c>
      <c r="C134" s="14">
        <f>COUNTIFS(Data!C:C,B134,Data!V:V,2024)</f>
        <v>2</v>
      </c>
      <c r="D134" s="14">
        <f>COUNTIFS(Data!C:C,B134,Data!V:V,2025)</f>
        <v>4</v>
      </c>
      <c r="E134" s="30">
        <f t="shared" si="2"/>
        <v>6</v>
      </c>
      <c r="G134" s="19" t="s">
        <v>65</v>
      </c>
      <c r="H134" s="15">
        <f>SUMIFS(Data!M:M,Data!C:C,G134,Data!V:V,2024)</f>
        <v>88000</v>
      </c>
      <c r="I134" s="15">
        <f>SUMIFS(Data!M:M,Data!C:C,G134,Data!V:V,2025)</f>
        <v>333750</v>
      </c>
      <c r="J134" s="20">
        <f t="shared" si="3"/>
        <v>421750</v>
      </c>
    </row>
    <row r="135" spans="2:10" x14ac:dyDescent="0.25">
      <c r="B135" s="19" t="s">
        <v>377</v>
      </c>
      <c r="C135" s="14">
        <f>COUNTIFS(Data!C:C,B135,Data!V:V,2024)</f>
        <v>2</v>
      </c>
      <c r="D135" s="14">
        <f>COUNTIFS(Data!C:C,B135,Data!V:V,2025)</f>
        <v>4</v>
      </c>
      <c r="E135" s="30">
        <f t="shared" si="2"/>
        <v>6</v>
      </c>
      <c r="G135" s="19" t="s">
        <v>256</v>
      </c>
      <c r="H135" s="15">
        <f>SUMIFS(Data!M:M,Data!C:C,G135,Data!V:V,2024)</f>
        <v>81800</v>
      </c>
      <c r="I135" s="15">
        <f>SUMIFS(Data!M:M,Data!C:C,G135,Data!V:V,2025)</f>
        <v>338800</v>
      </c>
      <c r="J135" s="20">
        <f t="shared" si="3"/>
        <v>420600</v>
      </c>
    </row>
    <row r="136" spans="2:10" x14ac:dyDescent="0.25">
      <c r="B136" s="19" t="s">
        <v>1530</v>
      </c>
      <c r="C136" s="14">
        <f>COUNTIFS(Data!C:C,B136,Data!V:V,2024)</f>
        <v>0</v>
      </c>
      <c r="D136" s="14">
        <f>COUNTIFS(Data!C:C,B136,Data!V:V,2025)</f>
        <v>6</v>
      </c>
      <c r="E136" s="30">
        <f t="shared" si="2"/>
        <v>6</v>
      </c>
      <c r="G136" s="19" t="s">
        <v>593</v>
      </c>
      <c r="H136" s="15">
        <f>SUMIFS(Data!M:M,Data!C:C,G136,Data!V:V,2024)</f>
        <v>190950</v>
      </c>
      <c r="I136" s="15">
        <f>SUMIFS(Data!M:M,Data!C:C,G136,Data!V:V,2025)</f>
        <v>229450</v>
      </c>
      <c r="J136" s="20">
        <f t="shared" si="3"/>
        <v>420400</v>
      </c>
    </row>
    <row r="137" spans="2:10" x14ac:dyDescent="0.25">
      <c r="B137" s="19" t="s">
        <v>483</v>
      </c>
      <c r="C137" s="14">
        <f>COUNTIFS(Data!C:C,B137,Data!V:V,2024)</f>
        <v>1</v>
      </c>
      <c r="D137" s="14">
        <f>COUNTIFS(Data!C:C,B137,Data!V:V,2025)</f>
        <v>5</v>
      </c>
      <c r="E137" s="30">
        <f t="shared" si="2"/>
        <v>6</v>
      </c>
      <c r="G137" s="19" t="s">
        <v>265</v>
      </c>
      <c r="H137" s="15">
        <f>SUMIFS(Data!M:M,Data!C:C,G137,Data!V:V,2024)</f>
        <v>345000</v>
      </c>
      <c r="I137" s="15">
        <f>SUMIFS(Data!M:M,Data!C:C,G137,Data!V:V,2025)</f>
        <v>72250</v>
      </c>
      <c r="J137" s="20">
        <f t="shared" si="3"/>
        <v>417250</v>
      </c>
    </row>
    <row r="138" spans="2:10" x14ac:dyDescent="0.25">
      <c r="B138" s="19" t="s">
        <v>218</v>
      </c>
      <c r="C138" s="14">
        <f>COUNTIFS(Data!C:C,B138,Data!V:V,2024)</f>
        <v>1</v>
      </c>
      <c r="D138" s="14">
        <f>COUNTIFS(Data!C:C,B138,Data!V:V,2025)</f>
        <v>5</v>
      </c>
      <c r="E138" s="30">
        <f t="shared" si="2"/>
        <v>6</v>
      </c>
      <c r="G138" s="19" t="s">
        <v>207</v>
      </c>
      <c r="H138" s="15">
        <f>SUMIFS(Data!M:M,Data!C:C,G138,Data!V:V,2024)</f>
        <v>185700</v>
      </c>
      <c r="I138" s="15">
        <f>SUMIFS(Data!M:M,Data!C:C,G138,Data!V:V,2025)</f>
        <v>230100</v>
      </c>
      <c r="J138" s="20">
        <f t="shared" si="3"/>
        <v>415800</v>
      </c>
    </row>
    <row r="139" spans="2:10" x14ac:dyDescent="0.25">
      <c r="B139" s="19" t="s">
        <v>162</v>
      </c>
      <c r="C139" s="14">
        <f>COUNTIFS(Data!C:C,B139,Data!V:V,2024)</f>
        <v>2</v>
      </c>
      <c r="D139" s="14">
        <f>COUNTIFS(Data!C:C,B139,Data!V:V,2025)</f>
        <v>4</v>
      </c>
      <c r="E139" s="30">
        <f t="shared" si="2"/>
        <v>6</v>
      </c>
      <c r="G139" s="19" t="s">
        <v>525</v>
      </c>
      <c r="H139" s="15">
        <f>SUMIFS(Data!M:M,Data!C:C,G139,Data!V:V,2024)</f>
        <v>13600</v>
      </c>
      <c r="I139" s="15">
        <f>SUMIFS(Data!M:M,Data!C:C,G139,Data!V:V,2025)</f>
        <v>401400</v>
      </c>
      <c r="J139" s="20">
        <f t="shared" si="3"/>
        <v>415000</v>
      </c>
    </row>
    <row r="140" spans="2:10" x14ac:dyDescent="0.25">
      <c r="B140" s="19" t="s">
        <v>900</v>
      </c>
      <c r="C140" s="14">
        <f>COUNTIFS(Data!C:C,B140,Data!V:V,2024)</f>
        <v>1</v>
      </c>
      <c r="D140" s="14">
        <f>COUNTIFS(Data!C:C,B140,Data!V:V,2025)</f>
        <v>5</v>
      </c>
      <c r="E140" s="30">
        <f t="shared" si="2"/>
        <v>6</v>
      </c>
      <c r="G140" s="19" t="s">
        <v>515</v>
      </c>
      <c r="H140" s="15">
        <f>SUMIFS(Data!M:M,Data!C:C,G140,Data!V:V,2024)</f>
        <v>143400</v>
      </c>
      <c r="I140" s="15">
        <f>SUMIFS(Data!M:M,Data!C:C,G140,Data!V:V,2025)</f>
        <v>271400</v>
      </c>
      <c r="J140" s="20">
        <f t="shared" si="3"/>
        <v>414800</v>
      </c>
    </row>
    <row r="141" spans="2:10" x14ac:dyDescent="0.25">
      <c r="B141" s="19" t="s">
        <v>1022</v>
      </c>
      <c r="C141" s="14">
        <f>COUNTIFS(Data!C:C,B141,Data!V:V,2024)</f>
        <v>0</v>
      </c>
      <c r="D141" s="14">
        <f>COUNTIFS(Data!C:C,B141,Data!V:V,2025)</f>
        <v>6</v>
      </c>
      <c r="E141" s="30">
        <f t="shared" si="2"/>
        <v>6</v>
      </c>
      <c r="G141" s="19" t="s">
        <v>95</v>
      </c>
      <c r="H141" s="15">
        <f>SUMIFS(Data!M:M,Data!C:C,G141,Data!V:V,2024)</f>
        <v>103850</v>
      </c>
      <c r="I141" s="15">
        <f>SUMIFS(Data!M:M,Data!C:C,G141,Data!V:V,2025)</f>
        <v>310500</v>
      </c>
      <c r="J141" s="20">
        <f t="shared" si="3"/>
        <v>414350</v>
      </c>
    </row>
    <row r="142" spans="2:10" x14ac:dyDescent="0.25">
      <c r="B142" s="19" t="s">
        <v>891</v>
      </c>
      <c r="C142" s="14">
        <f>COUNTIFS(Data!C:C,B142,Data!V:V,2024)</f>
        <v>1</v>
      </c>
      <c r="D142" s="14">
        <f>COUNTIFS(Data!C:C,B142,Data!V:V,2025)</f>
        <v>5</v>
      </c>
      <c r="E142" s="30">
        <f t="shared" si="2"/>
        <v>6</v>
      </c>
      <c r="G142" s="19" t="s">
        <v>321</v>
      </c>
      <c r="H142" s="15">
        <f>SUMIFS(Data!M:M,Data!C:C,G142,Data!V:V,2024)</f>
        <v>26600</v>
      </c>
      <c r="I142" s="15">
        <f>SUMIFS(Data!M:M,Data!C:C,G142,Data!V:V,2025)</f>
        <v>387700</v>
      </c>
      <c r="J142" s="20">
        <f t="shared" si="3"/>
        <v>414300</v>
      </c>
    </row>
    <row r="143" spans="2:10" x14ac:dyDescent="0.25">
      <c r="B143" s="19" t="s">
        <v>804</v>
      </c>
      <c r="C143" s="14">
        <f>COUNTIFS(Data!C:C,B143,Data!V:V,2024)</f>
        <v>1</v>
      </c>
      <c r="D143" s="14">
        <f>COUNTIFS(Data!C:C,B143,Data!V:V,2025)</f>
        <v>5</v>
      </c>
      <c r="E143" s="30">
        <f t="shared" si="2"/>
        <v>6</v>
      </c>
      <c r="G143" s="19" t="s">
        <v>468</v>
      </c>
      <c r="H143" s="15">
        <f>SUMIFS(Data!M:M,Data!C:C,G143,Data!V:V,2024)</f>
        <v>16200</v>
      </c>
      <c r="I143" s="15">
        <f>SUMIFS(Data!M:M,Data!C:C,G143,Data!V:V,2025)</f>
        <v>397700</v>
      </c>
      <c r="J143" s="20">
        <f t="shared" si="3"/>
        <v>413900</v>
      </c>
    </row>
    <row r="144" spans="2:10" x14ac:dyDescent="0.25">
      <c r="B144" s="19" t="s">
        <v>283</v>
      </c>
      <c r="C144" s="14">
        <f>COUNTIFS(Data!C:C,B144,Data!V:V,2024)</f>
        <v>2</v>
      </c>
      <c r="D144" s="14">
        <f>COUNTIFS(Data!C:C,B144,Data!V:V,2025)</f>
        <v>4</v>
      </c>
      <c r="E144" s="30">
        <f t="shared" si="2"/>
        <v>6</v>
      </c>
      <c r="G144" s="19" t="s">
        <v>398</v>
      </c>
      <c r="H144" s="15">
        <f>SUMIFS(Data!M:M,Data!C:C,G144,Data!V:V,2024)</f>
        <v>60000</v>
      </c>
      <c r="I144" s="15">
        <f>SUMIFS(Data!M:M,Data!C:C,G144,Data!V:V,2025)</f>
        <v>353400</v>
      </c>
      <c r="J144" s="20">
        <f t="shared" si="3"/>
        <v>413400</v>
      </c>
    </row>
    <row r="145" spans="2:10" x14ac:dyDescent="0.25">
      <c r="B145" s="19" t="s">
        <v>256</v>
      </c>
      <c r="C145" s="14">
        <f>COUNTIFS(Data!C:C,B145,Data!V:V,2024)</f>
        <v>2</v>
      </c>
      <c r="D145" s="14">
        <f>COUNTIFS(Data!C:C,B145,Data!V:V,2025)</f>
        <v>4</v>
      </c>
      <c r="E145" s="30">
        <f t="shared" si="2"/>
        <v>6</v>
      </c>
      <c r="G145" s="19" t="s">
        <v>56</v>
      </c>
      <c r="H145" s="15">
        <f>SUMIFS(Data!M:M,Data!C:C,G145,Data!V:V,2024)</f>
        <v>43700</v>
      </c>
      <c r="I145" s="15">
        <f>SUMIFS(Data!M:M,Data!C:C,G145,Data!V:V,2025)</f>
        <v>369100</v>
      </c>
      <c r="J145" s="20">
        <f t="shared" si="3"/>
        <v>412800</v>
      </c>
    </row>
    <row r="146" spans="2:10" x14ac:dyDescent="0.25">
      <c r="B146" s="19" t="s">
        <v>593</v>
      </c>
      <c r="C146" s="14">
        <f>COUNTIFS(Data!C:C,B146,Data!V:V,2024)</f>
        <v>2</v>
      </c>
      <c r="D146" s="14">
        <f>COUNTIFS(Data!C:C,B146,Data!V:V,2025)</f>
        <v>4</v>
      </c>
      <c r="E146" s="30">
        <f t="shared" si="2"/>
        <v>6</v>
      </c>
      <c r="G146" s="19" t="s">
        <v>112</v>
      </c>
      <c r="H146" s="15">
        <f>SUMIFS(Data!M:M,Data!C:C,G146,Data!V:V,2024)</f>
        <v>333000</v>
      </c>
      <c r="I146" s="15">
        <f>SUMIFS(Data!M:M,Data!C:C,G146,Data!V:V,2025)</f>
        <v>79800</v>
      </c>
      <c r="J146" s="20">
        <f t="shared" si="3"/>
        <v>412800</v>
      </c>
    </row>
    <row r="147" spans="2:10" x14ac:dyDescent="0.25">
      <c r="B147" s="19" t="s">
        <v>398</v>
      </c>
      <c r="C147" s="14">
        <f>COUNTIFS(Data!C:C,B147,Data!V:V,2024)</f>
        <v>1</v>
      </c>
      <c r="D147" s="14">
        <f>COUNTIFS(Data!C:C,B147,Data!V:V,2025)</f>
        <v>5</v>
      </c>
      <c r="E147" s="30">
        <f t="shared" si="2"/>
        <v>6</v>
      </c>
      <c r="G147" s="19" t="s">
        <v>681</v>
      </c>
      <c r="H147" s="15">
        <f>SUMIFS(Data!M:M,Data!C:C,G147,Data!V:V,2024)</f>
        <v>161500</v>
      </c>
      <c r="I147" s="15">
        <f>SUMIFS(Data!M:M,Data!C:C,G147,Data!V:V,2025)</f>
        <v>248700</v>
      </c>
      <c r="J147" s="20">
        <f t="shared" si="3"/>
        <v>410200</v>
      </c>
    </row>
    <row r="148" spans="2:10" x14ac:dyDescent="0.25">
      <c r="B148" s="19" t="s">
        <v>237</v>
      </c>
      <c r="C148" s="14">
        <f>COUNTIFS(Data!C:C,B148,Data!V:V,2024)</f>
        <v>2</v>
      </c>
      <c r="D148" s="14">
        <f>COUNTIFS(Data!C:C,B148,Data!V:V,2025)</f>
        <v>4</v>
      </c>
      <c r="E148" s="30">
        <f t="shared" si="2"/>
        <v>6</v>
      </c>
      <c r="G148" s="19" t="s">
        <v>237</v>
      </c>
      <c r="H148" s="15">
        <f>SUMIFS(Data!M:M,Data!C:C,G148,Data!V:V,2024)</f>
        <v>46500</v>
      </c>
      <c r="I148" s="15">
        <f>SUMIFS(Data!M:M,Data!C:C,G148,Data!V:V,2025)</f>
        <v>363200</v>
      </c>
      <c r="J148" s="20">
        <f t="shared" si="3"/>
        <v>409700</v>
      </c>
    </row>
    <row r="149" spans="2:10" x14ac:dyDescent="0.25">
      <c r="B149" s="19" t="s">
        <v>959</v>
      </c>
      <c r="C149" s="14">
        <f>COUNTIFS(Data!C:C,B149,Data!V:V,2024)</f>
        <v>0</v>
      </c>
      <c r="D149" s="14">
        <f>COUNTIFS(Data!C:C,B149,Data!V:V,2025)</f>
        <v>6</v>
      </c>
      <c r="E149" s="30">
        <f t="shared" si="2"/>
        <v>6</v>
      </c>
      <c r="G149" s="19" t="s">
        <v>199</v>
      </c>
      <c r="H149" s="15">
        <f>SUMIFS(Data!M:M,Data!C:C,G149,Data!V:V,2024)</f>
        <v>264000</v>
      </c>
      <c r="I149" s="15">
        <f>SUMIFS(Data!M:M,Data!C:C,G149,Data!V:V,2025)</f>
        <v>145200</v>
      </c>
      <c r="J149" s="20">
        <f t="shared" si="3"/>
        <v>409200</v>
      </c>
    </row>
    <row r="150" spans="2:10" x14ac:dyDescent="0.25">
      <c r="B150" s="19" t="s">
        <v>739</v>
      </c>
      <c r="C150" s="14">
        <f>COUNTIFS(Data!C:C,B150,Data!V:V,2024)</f>
        <v>2</v>
      </c>
      <c r="D150" s="14">
        <f>COUNTIFS(Data!C:C,B150,Data!V:V,2025)</f>
        <v>4</v>
      </c>
      <c r="E150" s="30">
        <f t="shared" si="2"/>
        <v>6</v>
      </c>
      <c r="G150" s="19" t="s">
        <v>959</v>
      </c>
      <c r="H150" s="15">
        <f>SUMIFS(Data!M:M,Data!C:C,G150,Data!V:V,2024)</f>
        <v>0</v>
      </c>
      <c r="I150" s="15">
        <f>SUMIFS(Data!M:M,Data!C:C,G150,Data!V:V,2025)</f>
        <v>408500</v>
      </c>
      <c r="J150" s="20">
        <f t="shared" si="3"/>
        <v>408500</v>
      </c>
    </row>
    <row r="151" spans="2:10" x14ac:dyDescent="0.25">
      <c r="B151" s="19" t="s">
        <v>169</v>
      </c>
      <c r="C151" s="14">
        <f>COUNTIFS(Data!C:C,B151,Data!V:V,2024)</f>
        <v>3</v>
      </c>
      <c r="D151" s="14">
        <f>COUNTIFS(Data!C:C,B151,Data!V:V,2025)</f>
        <v>3</v>
      </c>
      <c r="E151" s="30">
        <f t="shared" si="2"/>
        <v>6</v>
      </c>
      <c r="G151" s="19" t="s">
        <v>739</v>
      </c>
      <c r="H151" s="15">
        <f>SUMIFS(Data!M:M,Data!C:C,G151,Data!V:V,2024)</f>
        <v>186000</v>
      </c>
      <c r="I151" s="15">
        <f>SUMIFS(Data!M:M,Data!C:C,G151,Data!V:V,2025)</f>
        <v>217300</v>
      </c>
      <c r="J151" s="20">
        <f t="shared" si="3"/>
        <v>403300</v>
      </c>
    </row>
    <row r="152" spans="2:10" x14ac:dyDescent="0.25">
      <c r="B152" s="19" t="s">
        <v>596</v>
      </c>
      <c r="C152" s="14">
        <f>COUNTIFS(Data!C:C,B152,Data!V:V,2024)</f>
        <v>1</v>
      </c>
      <c r="D152" s="14">
        <f>COUNTIFS(Data!C:C,B152,Data!V:V,2025)</f>
        <v>5</v>
      </c>
      <c r="E152" s="30">
        <f t="shared" si="2"/>
        <v>6</v>
      </c>
      <c r="G152" s="19" t="s">
        <v>211</v>
      </c>
      <c r="H152" s="15">
        <f>SUMIFS(Data!M:M,Data!C:C,G152,Data!V:V,2024)</f>
        <v>74200</v>
      </c>
      <c r="I152" s="15">
        <f>SUMIFS(Data!M:M,Data!C:C,G152,Data!V:V,2025)</f>
        <v>325750</v>
      </c>
      <c r="J152" s="20">
        <f t="shared" si="3"/>
        <v>399950</v>
      </c>
    </row>
    <row r="153" spans="2:10" x14ac:dyDescent="0.25">
      <c r="B153" s="19" t="s">
        <v>638</v>
      </c>
      <c r="C153" s="14">
        <f>COUNTIFS(Data!C:C,B153,Data!V:V,2024)</f>
        <v>1</v>
      </c>
      <c r="D153" s="14">
        <f>COUNTIFS(Data!C:C,B153,Data!V:V,2025)</f>
        <v>5</v>
      </c>
      <c r="E153" s="30">
        <f t="shared" si="2"/>
        <v>6</v>
      </c>
      <c r="G153" s="19" t="s">
        <v>333</v>
      </c>
      <c r="H153" s="15">
        <f>SUMIFS(Data!M:M,Data!C:C,G153,Data!V:V,2024)</f>
        <v>80100</v>
      </c>
      <c r="I153" s="15">
        <f>SUMIFS(Data!M:M,Data!C:C,G153,Data!V:V,2025)</f>
        <v>317950</v>
      </c>
      <c r="J153" s="20">
        <f t="shared" si="3"/>
        <v>398050</v>
      </c>
    </row>
    <row r="154" spans="2:10" x14ac:dyDescent="0.25">
      <c r="B154" s="19" t="s">
        <v>258</v>
      </c>
      <c r="C154" s="14">
        <f>COUNTIFS(Data!C:C,B154,Data!V:V,2024)</f>
        <v>2</v>
      </c>
      <c r="D154" s="14">
        <f>COUNTIFS(Data!C:C,B154,Data!V:V,2025)</f>
        <v>4</v>
      </c>
      <c r="E154" s="30">
        <f t="shared" si="2"/>
        <v>6</v>
      </c>
      <c r="G154" s="19" t="s">
        <v>374</v>
      </c>
      <c r="H154" s="15">
        <f>SUMIFS(Data!M:M,Data!C:C,G154,Data!V:V,2024)</f>
        <v>28500</v>
      </c>
      <c r="I154" s="15">
        <f>SUMIFS(Data!M:M,Data!C:C,G154,Data!V:V,2025)</f>
        <v>367350</v>
      </c>
      <c r="J154" s="20">
        <f t="shared" si="3"/>
        <v>395850</v>
      </c>
    </row>
    <row r="155" spans="2:10" x14ac:dyDescent="0.25">
      <c r="B155" s="19" t="s">
        <v>473</v>
      </c>
      <c r="C155" s="14">
        <f>COUNTIFS(Data!C:C,B155,Data!V:V,2024)</f>
        <v>1</v>
      </c>
      <c r="D155" s="14">
        <f>COUNTIFS(Data!C:C,B155,Data!V:V,2025)</f>
        <v>5</v>
      </c>
      <c r="E155" s="30">
        <f t="shared" si="2"/>
        <v>6</v>
      </c>
      <c r="G155" s="19" t="s">
        <v>169</v>
      </c>
      <c r="H155" s="15">
        <f>SUMIFS(Data!M:M,Data!C:C,G155,Data!V:V,2024)</f>
        <v>273900</v>
      </c>
      <c r="I155" s="15">
        <f>SUMIFS(Data!M:M,Data!C:C,G155,Data!V:V,2025)</f>
        <v>116800</v>
      </c>
      <c r="J155" s="20">
        <f t="shared" si="3"/>
        <v>390700</v>
      </c>
    </row>
    <row r="156" spans="2:10" x14ac:dyDescent="0.25">
      <c r="B156" s="19" t="s">
        <v>125</v>
      </c>
      <c r="C156" s="14">
        <f>COUNTIFS(Data!C:C,B156,Data!V:V,2024)</f>
        <v>2</v>
      </c>
      <c r="D156" s="14">
        <f>COUNTIFS(Data!C:C,B156,Data!V:V,2025)</f>
        <v>4</v>
      </c>
      <c r="E156" s="30">
        <f t="shared" si="2"/>
        <v>6</v>
      </c>
      <c r="G156" s="19" t="s">
        <v>214</v>
      </c>
      <c r="H156" s="15">
        <f>SUMIFS(Data!M:M,Data!C:C,G156,Data!V:V,2024)</f>
        <v>111300</v>
      </c>
      <c r="I156" s="15">
        <f>SUMIFS(Data!M:M,Data!C:C,G156,Data!V:V,2025)</f>
        <v>279100</v>
      </c>
      <c r="J156" s="20">
        <f t="shared" si="3"/>
        <v>390400</v>
      </c>
    </row>
    <row r="157" spans="2:10" x14ac:dyDescent="0.25">
      <c r="B157" s="19" t="s">
        <v>167</v>
      </c>
      <c r="C157" s="14">
        <f>COUNTIFS(Data!C:C,B157,Data!V:V,2024)</f>
        <v>2</v>
      </c>
      <c r="D157" s="14">
        <f>COUNTIFS(Data!C:C,B157,Data!V:V,2025)</f>
        <v>4</v>
      </c>
      <c r="E157" s="30">
        <f t="shared" si="2"/>
        <v>6</v>
      </c>
      <c r="G157" s="19" t="s">
        <v>1757</v>
      </c>
      <c r="H157" s="15">
        <f>SUMIFS(Data!M:M,Data!C:C,G157,Data!V:V,2024)</f>
        <v>0</v>
      </c>
      <c r="I157" s="15">
        <f>SUMIFS(Data!M:M,Data!C:C,G157,Data!V:V,2025)</f>
        <v>388750</v>
      </c>
      <c r="J157" s="20">
        <f t="shared" si="3"/>
        <v>388750</v>
      </c>
    </row>
    <row r="158" spans="2:10" x14ac:dyDescent="0.25">
      <c r="B158" s="19" t="s">
        <v>983</v>
      </c>
      <c r="C158" s="14">
        <f>COUNTIFS(Data!C:C,B158,Data!V:V,2024)</f>
        <v>0</v>
      </c>
      <c r="D158" s="14">
        <f>COUNTIFS(Data!C:C,B158,Data!V:V,2025)</f>
        <v>6</v>
      </c>
      <c r="E158" s="30">
        <f t="shared" si="2"/>
        <v>6</v>
      </c>
      <c r="G158" s="19" t="s">
        <v>726</v>
      </c>
      <c r="H158" s="15">
        <f>SUMIFS(Data!M:M,Data!C:C,G158,Data!V:V,2024)</f>
        <v>55000</v>
      </c>
      <c r="I158" s="15">
        <f>SUMIFS(Data!M:M,Data!C:C,G158,Data!V:V,2025)</f>
        <v>333550</v>
      </c>
      <c r="J158" s="20">
        <f t="shared" si="3"/>
        <v>388550</v>
      </c>
    </row>
    <row r="159" spans="2:10" x14ac:dyDescent="0.25">
      <c r="B159" s="19" t="s">
        <v>796</v>
      </c>
      <c r="C159" s="14">
        <f>COUNTIFS(Data!C:C,B159,Data!V:V,2024)</f>
        <v>1</v>
      </c>
      <c r="D159" s="14">
        <f>COUNTIFS(Data!C:C,B159,Data!V:V,2025)</f>
        <v>5</v>
      </c>
      <c r="E159" s="30">
        <f t="shared" si="2"/>
        <v>6</v>
      </c>
      <c r="G159" s="19" t="s">
        <v>626</v>
      </c>
      <c r="H159" s="15">
        <f>SUMIFS(Data!M:M,Data!C:C,G159,Data!V:V,2024)</f>
        <v>156450</v>
      </c>
      <c r="I159" s="15">
        <f>SUMIFS(Data!M:M,Data!C:C,G159,Data!V:V,2025)</f>
        <v>231800</v>
      </c>
      <c r="J159" s="20">
        <f t="shared" si="3"/>
        <v>388250</v>
      </c>
    </row>
    <row r="160" spans="2:10" x14ac:dyDescent="0.25">
      <c r="B160" s="19" t="s">
        <v>368</v>
      </c>
      <c r="C160" s="14">
        <f>COUNTIFS(Data!C:C,B160,Data!V:V,2024)</f>
        <v>2</v>
      </c>
      <c r="D160" s="14">
        <f>COUNTIFS(Data!C:C,B160,Data!V:V,2025)</f>
        <v>4</v>
      </c>
      <c r="E160" s="30">
        <f t="shared" si="2"/>
        <v>6</v>
      </c>
      <c r="G160" s="19" t="s">
        <v>1033</v>
      </c>
      <c r="H160" s="15">
        <f>SUMIFS(Data!M:M,Data!C:C,G160,Data!V:V,2024)</f>
        <v>0</v>
      </c>
      <c r="I160" s="15">
        <f>SUMIFS(Data!M:M,Data!C:C,G160,Data!V:V,2025)</f>
        <v>383250</v>
      </c>
      <c r="J160" s="20">
        <f t="shared" si="3"/>
        <v>383250</v>
      </c>
    </row>
    <row r="161" spans="2:10" x14ac:dyDescent="0.25">
      <c r="B161" s="19" t="s">
        <v>1098</v>
      </c>
      <c r="C161" s="14">
        <f>COUNTIFS(Data!C:C,B161,Data!V:V,2024)</f>
        <v>0</v>
      </c>
      <c r="D161" s="14">
        <f>COUNTIFS(Data!C:C,B161,Data!V:V,2025)</f>
        <v>6</v>
      </c>
      <c r="E161" s="30">
        <f t="shared" si="2"/>
        <v>6</v>
      </c>
      <c r="G161" s="19" t="s">
        <v>91</v>
      </c>
      <c r="H161" s="15">
        <f>SUMIFS(Data!M:M,Data!C:C,G161,Data!V:V,2024)</f>
        <v>165600</v>
      </c>
      <c r="I161" s="15">
        <f>SUMIFS(Data!M:M,Data!C:C,G161,Data!V:V,2025)</f>
        <v>216000</v>
      </c>
      <c r="J161" s="20">
        <f t="shared" si="3"/>
        <v>381600</v>
      </c>
    </row>
    <row r="162" spans="2:10" x14ac:dyDescent="0.25">
      <c r="B162" s="19" t="s">
        <v>271</v>
      </c>
      <c r="C162" s="14">
        <f>COUNTIFS(Data!C:C,B162,Data!V:V,2024)</f>
        <v>1</v>
      </c>
      <c r="D162" s="14">
        <f>COUNTIFS(Data!C:C,B162,Data!V:V,2025)</f>
        <v>5</v>
      </c>
      <c r="E162" s="30">
        <f t="shared" ref="E162:E225" si="4">C162+D162</f>
        <v>6</v>
      </c>
      <c r="G162" s="19" t="s">
        <v>337</v>
      </c>
      <c r="H162" s="15">
        <f>SUMIFS(Data!M:M,Data!C:C,G162,Data!V:V,2024)</f>
        <v>142500</v>
      </c>
      <c r="I162" s="15">
        <f>SUMIFS(Data!M:M,Data!C:C,G162,Data!V:V,2025)</f>
        <v>236000</v>
      </c>
      <c r="J162" s="20">
        <f t="shared" ref="J162:J225" si="5">H162+I162</f>
        <v>378500</v>
      </c>
    </row>
    <row r="163" spans="2:10" x14ac:dyDescent="0.25">
      <c r="B163" s="19" t="s">
        <v>402</v>
      </c>
      <c r="C163" s="14">
        <f>COUNTIFS(Data!C:C,B163,Data!V:V,2024)</f>
        <v>3</v>
      </c>
      <c r="D163" s="14">
        <f>COUNTIFS(Data!C:C,B163,Data!V:V,2025)</f>
        <v>3</v>
      </c>
      <c r="E163" s="30">
        <f t="shared" si="4"/>
        <v>6</v>
      </c>
      <c r="G163" s="19" t="s">
        <v>499</v>
      </c>
      <c r="H163" s="15">
        <f>SUMIFS(Data!M:M,Data!C:C,G163,Data!V:V,2024)</f>
        <v>20000</v>
      </c>
      <c r="I163" s="15">
        <f>SUMIFS(Data!M:M,Data!C:C,G163,Data!V:V,2025)</f>
        <v>357400</v>
      </c>
      <c r="J163" s="20">
        <f t="shared" si="5"/>
        <v>377400</v>
      </c>
    </row>
    <row r="164" spans="2:10" x14ac:dyDescent="0.25">
      <c r="B164" s="19" t="s">
        <v>359</v>
      </c>
      <c r="C164" s="14">
        <f>COUNTIFS(Data!C:C,B164,Data!V:V,2024)</f>
        <v>2</v>
      </c>
      <c r="D164" s="14">
        <f>COUNTIFS(Data!C:C,B164,Data!V:V,2025)</f>
        <v>4</v>
      </c>
      <c r="E164" s="30">
        <f t="shared" si="4"/>
        <v>6</v>
      </c>
      <c r="G164" s="19" t="s">
        <v>596</v>
      </c>
      <c r="H164" s="15">
        <f>SUMIFS(Data!M:M,Data!C:C,G164,Data!V:V,2024)</f>
        <v>38400</v>
      </c>
      <c r="I164" s="15">
        <f>SUMIFS(Data!M:M,Data!C:C,G164,Data!V:V,2025)</f>
        <v>338700</v>
      </c>
      <c r="J164" s="20">
        <f t="shared" si="5"/>
        <v>377100</v>
      </c>
    </row>
    <row r="165" spans="2:10" x14ac:dyDescent="0.25">
      <c r="B165" s="19" t="s">
        <v>504</v>
      </c>
      <c r="C165" s="14">
        <f>COUNTIFS(Data!C:C,B165,Data!V:V,2024)</f>
        <v>2</v>
      </c>
      <c r="D165" s="14">
        <f>COUNTIFS(Data!C:C,B165,Data!V:V,2025)</f>
        <v>4</v>
      </c>
      <c r="E165" s="30">
        <f t="shared" si="4"/>
        <v>6</v>
      </c>
      <c r="G165" s="19" t="s">
        <v>510</v>
      </c>
      <c r="H165" s="15">
        <f>SUMIFS(Data!M:M,Data!C:C,G165,Data!V:V,2024)</f>
        <v>196700</v>
      </c>
      <c r="I165" s="15">
        <f>SUMIFS(Data!M:M,Data!C:C,G165,Data!V:V,2025)</f>
        <v>180000</v>
      </c>
      <c r="J165" s="20">
        <f t="shared" si="5"/>
        <v>376700</v>
      </c>
    </row>
    <row r="166" spans="2:10" x14ac:dyDescent="0.25">
      <c r="B166" s="19" t="s">
        <v>1025</v>
      </c>
      <c r="C166" s="14">
        <f>COUNTIFS(Data!C:C,B166,Data!V:V,2024)</f>
        <v>0</v>
      </c>
      <c r="D166" s="14">
        <f>COUNTIFS(Data!C:C,B166,Data!V:V,2025)</f>
        <v>6</v>
      </c>
      <c r="E166" s="30">
        <f t="shared" si="4"/>
        <v>6</v>
      </c>
      <c r="G166" s="19" t="s">
        <v>638</v>
      </c>
      <c r="H166" s="15">
        <f>SUMIFS(Data!M:M,Data!C:C,G166,Data!V:V,2024)</f>
        <v>28800</v>
      </c>
      <c r="I166" s="15">
        <f>SUMIFS(Data!M:M,Data!C:C,G166,Data!V:V,2025)</f>
        <v>345900</v>
      </c>
      <c r="J166" s="20">
        <f t="shared" si="5"/>
        <v>374700</v>
      </c>
    </row>
    <row r="167" spans="2:10" x14ac:dyDescent="0.25">
      <c r="B167" s="19" t="s">
        <v>142</v>
      </c>
      <c r="C167" s="14">
        <f>COUNTIFS(Data!C:C,B167,Data!V:V,2024)</f>
        <v>3</v>
      </c>
      <c r="D167" s="14">
        <f>COUNTIFS(Data!C:C,B167,Data!V:V,2025)</f>
        <v>3</v>
      </c>
      <c r="E167" s="30">
        <f t="shared" si="4"/>
        <v>6</v>
      </c>
      <c r="G167" s="19" t="s">
        <v>576</v>
      </c>
      <c r="H167" s="15">
        <f>SUMIFS(Data!M:M,Data!C:C,G167,Data!V:V,2024)</f>
        <v>124800</v>
      </c>
      <c r="I167" s="15">
        <f>SUMIFS(Data!M:M,Data!C:C,G167,Data!V:V,2025)</f>
        <v>249900</v>
      </c>
      <c r="J167" s="20">
        <f t="shared" si="5"/>
        <v>374700</v>
      </c>
    </row>
    <row r="168" spans="2:10" x14ac:dyDescent="0.25">
      <c r="B168" s="19" t="s">
        <v>1053</v>
      </c>
      <c r="C168" s="14">
        <f>COUNTIFS(Data!C:C,B168,Data!V:V,2024)</f>
        <v>0</v>
      </c>
      <c r="D168" s="14">
        <f>COUNTIFS(Data!C:C,B168,Data!V:V,2025)</f>
        <v>5</v>
      </c>
      <c r="E168" s="30">
        <f t="shared" si="4"/>
        <v>5</v>
      </c>
      <c r="G168" s="19" t="s">
        <v>205</v>
      </c>
      <c r="H168" s="15">
        <f>SUMIFS(Data!M:M,Data!C:C,G168,Data!V:V,2024)</f>
        <v>225000</v>
      </c>
      <c r="I168" s="15">
        <f>SUMIFS(Data!M:M,Data!C:C,G168,Data!V:V,2025)</f>
        <v>149500</v>
      </c>
      <c r="J168" s="20">
        <f t="shared" si="5"/>
        <v>374500</v>
      </c>
    </row>
    <row r="169" spans="2:10" x14ac:dyDescent="0.25">
      <c r="B169" s="19" t="s">
        <v>188</v>
      </c>
      <c r="C169" s="14">
        <f>COUNTIFS(Data!C:C,B169,Data!V:V,2024)</f>
        <v>2</v>
      </c>
      <c r="D169" s="14">
        <f>COUNTIFS(Data!C:C,B169,Data!V:V,2025)</f>
        <v>3</v>
      </c>
      <c r="E169" s="30">
        <f t="shared" si="4"/>
        <v>5</v>
      </c>
      <c r="G169" s="19" t="s">
        <v>786</v>
      </c>
      <c r="H169" s="15">
        <f>SUMIFS(Data!M:M,Data!C:C,G169,Data!V:V,2024)</f>
        <v>30400</v>
      </c>
      <c r="I169" s="15">
        <f>SUMIFS(Data!M:M,Data!C:C,G169,Data!V:V,2025)</f>
        <v>342250</v>
      </c>
      <c r="J169" s="20">
        <f t="shared" si="5"/>
        <v>372650</v>
      </c>
    </row>
    <row r="170" spans="2:10" x14ac:dyDescent="0.25">
      <c r="B170" s="19" t="s">
        <v>748</v>
      </c>
      <c r="C170" s="14">
        <f>COUNTIFS(Data!C:C,B170,Data!V:V,2024)</f>
        <v>2</v>
      </c>
      <c r="D170" s="14">
        <f>COUNTIFS(Data!C:C,B170,Data!V:V,2025)</f>
        <v>3</v>
      </c>
      <c r="E170" s="30">
        <f t="shared" si="4"/>
        <v>5</v>
      </c>
      <c r="G170" s="19" t="s">
        <v>258</v>
      </c>
      <c r="H170" s="15">
        <f>SUMIFS(Data!M:M,Data!C:C,G170,Data!V:V,2024)</f>
        <v>77900</v>
      </c>
      <c r="I170" s="15">
        <f>SUMIFS(Data!M:M,Data!C:C,G170,Data!V:V,2025)</f>
        <v>294400</v>
      </c>
      <c r="J170" s="20">
        <f t="shared" si="5"/>
        <v>372300</v>
      </c>
    </row>
    <row r="171" spans="2:10" x14ac:dyDescent="0.25">
      <c r="B171" s="19" t="s">
        <v>379</v>
      </c>
      <c r="C171" s="14">
        <f>COUNTIFS(Data!C:C,B171,Data!V:V,2024)</f>
        <v>3</v>
      </c>
      <c r="D171" s="14">
        <f>COUNTIFS(Data!C:C,B171,Data!V:V,2025)</f>
        <v>2</v>
      </c>
      <c r="E171" s="30">
        <f t="shared" si="4"/>
        <v>5</v>
      </c>
      <c r="G171" s="19" t="s">
        <v>249</v>
      </c>
      <c r="H171" s="15">
        <f>SUMIFS(Data!M:M,Data!C:C,G171,Data!V:V,2024)</f>
        <v>282600</v>
      </c>
      <c r="I171" s="15">
        <f>SUMIFS(Data!M:M,Data!C:C,G171,Data!V:V,2025)</f>
        <v>89200</v>
      </c>
      <c r="J171" s="20">
        <f t="shared" si="5"/>
        <v>371800</v>
      </c>
    </row>
    <row r="172" spans="2:10" x14ac:dyDescent="0.25">
      <c r="B172" s="19" t="s">
        <v>642</v>
      </c>
      <c r="C172" s="14">
        <f>COUNTIFS(Data!C:C,B172,Data!V:V,2024)</f>
        <v>1</v>
      </c>
      <c r="D172" s="14">
        <f>COUNTIFS(Data!C:C,B172,Data!V:V,2025)</f>
        <v>4</v>
      </c>
      <c r="E172" s="30">
        <f t="shared" si="4"/>
        <v>5</v>
      </c>
      <c r="G172" s="19" t="s">
        <v>429</v>
      </c>
      <c r="H172" s="15">
        <f>SUMIFS(Data!M:M,Data!C:C,G172,Data!V:V,2024)</f>
        <v>91900</v>
      </c>
      <c r="I172" s="15">
        <f>SUMIFS(Data!M:M,Data!C:C,G172,Data!V:V,2025)</f>
        <v>279800</v>
      </c>
      <c r="J172" s="20">
        <f t="shared" si="5"/>
        <v>371700</v>
      </c>
    </row>
    <row r="173" spans="2:10" x14ac:dyDescent="0.25">
      <c r="B173" s="19" t="s">
        <v>1122</v>
      </c>
      <c r="C173" s="14">
        <f>COUNTIFS(Data!C:C,B173,Data!V:V,2024)</f>
        <v>0</v>
      </c>
      <c r="D173" s="14">
        <f>COUNTIFS(Data!C:C,B173,Data!V:V,2025)</f>
        <v>5</v>
      </c>
      <c r="E173" s="30">
        <f t="shared" si="4"/>
        <v>5</v>
      </c>
      <c r="G173" s="19" t="s">
        <v>109</v>
      </c>
      <c r="H173" s="15">
        <f>SUMIFS(Data!M:M,Data!C:C,G173,Data!V:V,2024)</f>
        <v>80400</v>
      </c>
      <c r="I173" s="15">
        <f>SUMIFS(Data!M:M,Data!C:C,G173,Data!V:V,2025)</f>
        <v>288350</v>
      </c>
      <c r="J173" s="20">
        <f t="shared" si="5"/>
        <v>368750</v>
      </c>
    </row>
    <row r="174" spans="2:10" x14ac:dyDescent="0.25">
      <c r="B174" s="19" t="s">
        <v>326</v>
      </c>
      <c r="C174" s="14">
        <f>COUNTIFS(Data!C:C,B174,Data!V:V,2024)</f>
        <v>2</v>
      </c>
      <c r="D174" s="14">
        <f>COUNTIFS(Data!C:C,B174,Data!V:V,2025)</f>
        <v>3</v>
      </c>
      <c r="E174" s="30">
        <f t="shared" si="4"/>
        <v>5</v>
      </c>
      <c r="G174" s="19" t="s">
        <v>425</v>
      </c>
      <c r="H174" s="15">
        <f>SUMIFS(Data!M:M,Data!C:C,G174,Data!V:V,2024)</f>
        <v>144000</v>
      </c>
      <c r="I174" s="15">
        <f>SUMIFS(Data!M:M,Data!C:C,G174,Data!V:V,2025)</f>
        <v>223250</v>
      </c>
      <c r="J174" s="20">
        <f t="shared" si="5"/>
        <v>367250</v>
      </c>
    </row>
    <row r="175" spans="2:10" x14ac:dyDescent="0.25">
      <c r="B175" s="19" t="s">
        <v>179</v>
      </c>
      <c r="C175" s="14">
        <f>COUNTIFS(Data!C:C,B175,Data!V:V,2024)</f>
        <v>2</v>
      </c>
      <c r="D175" s="14">
        <f>COUNTIFS(Data!C:C,B175,Data!V:V,2025)</f>
        <v>3</v>
      </c>
      <c r="E175" s="30">
        <f t="shared" si="4"/>
        <v>5</v>
      </c>
      <c r="G175" s="19" t="s">
        <v>473</v>
      </c>
      <c r="H175" s="15">
        <f>SUMIFS(Data!M:M,Data!C:C,G175,Data!V:V,2024)</f>
        <v>53200</v>
      </c>
      <c r="I175" s="15">
        <f>SUMIFS(Data!M:M,Data!C:C,G175,Data!V:V,2025)</f>
        <v>313600</v>
      </c>
      <c r="J175" s="20">
        <f t="shared" si="5"/>
        <v>366800</v>
      </c>
    </row>
    <row r="176" spans="2:10" x14ac:dyDescent="0.25">
      <c r="B176" s="19" t="s">
        <v>1317</v>
      </c>
      <c r="C176" s="14">
        <f>COUNTIFS(Data!C:C,B176,Data!V:V,2024)</f>
        <v>0</v>
      </c>
      <c r="D176" s="14">
        <f>COUNTIFS(Data!C:C,B176,Data!V:V,2025)</f>
        <v>5</v>
      </c>
      <c r="E176" s="30">
        <f t="shared" si="4"/>
        <v>5</v>
      </c>
      <c r="G176" s="19" t="s">
        <v>125</v>
      </c>
      <c r="H176" s="15">
        <f>SUMIFS(Data!M:M,Data!C:C,G176,Data!V:V,2024)</f>
        <v>24000</v>
      </c>
      <c r="I176" s="15">
        <f>SUMIFS(Data!M:M,Data!C:C,G176,Data!V:V,2025)</f>
        <v>340500</v>
      </c>
      <c r="J176" s="20">
        <f t="shared" si="5"/>
        <v>364500</v>
      </c>
    </row>
    <row r="177" spans="2:10" x14ac:dyDescent="0.25">
      <c r="B177" s="19" t="s">
        <v>1035</v>
      </c>
      <c r="C177" s="14">
        <f>COUNTIFS(Data!C:C,B177,Data!V:V,2024)</f>
        <v>0</v>
      </c>
      <c r="D177" s="14">
        <f>COUNTIFS(Data!C:C,B177,Data!V:V,2025)</f>
        <v>5</v>
      </c>
      <c r="E177" s="30">
        <f t="shared" si="4"/>
        <v>5</v>
      </c>
      <c r="G177" s="19" t="s">
        <v>167</v>
      </c>
      <c r="H177" s="15">
        <f>SUMIFS(Data!M:M,Data!C:C,G177,Data!V:V,2024)</f>
        <v>176000</v>
      </c>
      <c r="I177" s="15">
        <f>SUMIFS(Data!M:M,Data!C:C,G177,Data!V:V,2025)</f>
        <v>187850</v>
      </c>
      <c r="J177" s="20">
        <f t="shared" si="5"/>
        <v>363850</v>
      </c>
    </row>
    <row r="178" spans="2:10" x14ac:dyDescent="0.25">
      <c r="B178" s="19" t="s">
        <v>708</v>
      </c>
      <c r="C178" s="14">
        <f>COUNTIFS(Data!C:C,B178,Data!V:V,2024)</f>
        <v>1</v>
      </c>
      <c r="D178" s="14">
        <f>COUNTIFS(Data!C:C,B178,Data!V:V,2025)</f>
        <v>4</v>
      </c>
      <c r="E178" s="30">
        <f t="shared" si="4"/>
        <v>5</v>
      </c>
      <c r="G178" s="19" t="s">
        <v>1382</v>
      </c>
      <c r="H178" s="15">
        <f>SUMIFS(Data!M:M,Data!C:C,G178,Data!V:V,2024)</f>
        <v>0</v>
      </c>
      <c r="I178" s="15">
        <f>SUMIFS(Data!M:M,Data!C:C,G178,Data!V:V,2025)</f>
        <v>361250</v>
      </c>
      <c r="J178" s="20">
        <f t="shared" si="5"/>
        <v>361250</v>
      </c>
    </row>
    <row r="179" spans="2:10" x14ac:dyDescent="0.25">
      <c r="B179" s="19" t="s">
        <v>321</v>
      </c>
      <c r="C179" s="14">
        <f>COUNTIFS(Data!C:C,B179,Data!V:V,2024)</f>
        <v>1</v>
      </c>
      <c r="D179" s="14">
        <f>COUNTIFS(Data!C:C,B179,Data!V:V,2025)</f>
        <v>4</v>
      </c>
      <c r="E179" s="30">
        <f t="shared" si="4"/>
        <v>5</v>
      </c>
      <c r="G179" s="19" t="s">
        <v>73</v>
      </c>
      <c r="H179" s="15">
        <f>SUMIFS(Data!M:M,Data!C:C,G179,Data!V:V,2024)</f>
        <v>140250</v>
      </c>
      <c r="I179" s="15">
        <f>SUMIFS(Data!M:M,Data!C:C,G179,Data!V:V,2025)</f>
        <v>220300</v>
      </c>
      <c r="J179" s="20">
        <f t="shared" si="5"/>
        <v>360550</v>
      </c>
    </row>
    <row r="180" spans="2:10" x14ac:dyDescent="0.25">
      <c r="B180" s="19" t="s">
        <v>374</v>
      </c>
      <c r="C180" s="14">
        <f>COUNTIFS(Data!C:C,B180,Data!V:V,2024)</f>
        <v>1</v>
      </c>
      <c r="D180" s="14">
        <f>COUNTIFS(Data!C:C,B180,Data!V:V,2025)</f>
        <v>4</v>
      </c>
      <c r="E180" s="30">
        <f t="shared" si="4"/>
        <v>5</v>
      </c>
      <c r="G180" s="19" t="s">
        <v>1808</v>
      </c>
      <c r="H180" s="15">
        <f>SUMIFS(Data!M:M,Data!C:C,G180,Data!V:V,2024)</f>
        <v>0</v>
      </c>
      <c r="I180" s="15">
        <f>SUMIFS(Data!M:M,Data!C:C,G180,Data!V:V,2025)</f>
        <v>360000</v>
      </c>
      <c r="J180" s="20">
        <f t="shared" si="5"/>
        <v>360000</v>
      </c>
    </row>
    <row r="181" spans="2:10" x14ac:dyDescent="0.25">
      <c r="B181" s="19" t="s">
        <v>726</v>
      </c>
      <c r="C181" s="14">
        <f>COUNTIFS(Data!C:C,B181,Data!V:V,2024)</f>
        <v>1</v>
      </c>
      <c r="D181" s="14">
        <f>COUNTIFS(Data!C:C,B181,Data!V:V,2025)</f>
        <v>4</v>
      </c>
      <c r="E181" s="30">
        <f t="shared" si="4"/>
        <v>5</v>
      </c>
      <c r="G181" s="19" t="s">
        <v>683</v>
      </c>
      <c r="H181" s="15">
        <f>SUMIFS(Data!M:M,Data!C:C,G181,Data!V:V,2024)</f>
        <v>191250</v>
      </c>
      <c r="I181" s="15">
        <f>SUMIFS(Data!M:M,Data!C:C,G181,Data!V:V,2025)</f>
        <v>168000</v>
      </c>
      <c r="J181" s="20">
        <f t="shared" si="5"/>
        <v>359250</v>
      </c>
    </row>
    <row r="182" spans="2:10" x14ac:dyDescent="0.25">
      <c r="B182" s="19" t="s">
        <v>499</v>
      </c>
      <c r="C182" s="14">
        <f>COUNTIFS(Data!C:C,B182,Data!V:V,2024)</f>
        <v>1</v>
      </c>
      <c r="D182" s="14">
        <f>COUNTIFS(Data!C:C,B182,Data!V:V,2025)</f>
        <v>4</v>
      </c>
      <c r="E182" s="30">
        <f t="shared" si="4"/>
        <v>5</v>
      </c>
      <c r="G182" s="19" t="s">
        <v>387</v>
      </c>
      <c r="H182" s="15">
        <f>SUMIFS(Data!M:M,Data!C:C,G182,Data!V:V,2024)</f>
        <v>47500</v>
      </c>
      <c r="I182" s="15">
        <f>SUMIFS(Data!M:M,Data!C:C,G182,Data!V:V,2025)</f>
        <v>310500</v>
      </c>
      <c r="J182" s="20">
        <f t="shared" si="5"/>
        <v>358000</v>
      </c>
    </row>
    <row r="183" spans="2:10" x14ac:dyDescent="0.25">
      <c r="B183" s="19" t="s">
        <v>510</v>
      </c>
      <c r="C183" s="14">
        <f>COUNTIFS(Data!C:C,B183,Data!V:V,2024)</f>
        <v>3</v>
      </c>
      <c r="D183" s="14">
        <f>COUNTIFS(Data!C:C,B183,Data!V:V,2025)</f>
        <v>2</v>
      </c>
      <c r="E183" s="30">
        <f t="shared" si="4"/>
        <v>5</v>
      </c>
      <c r="G183" s="19" t="s">
        <v>601</v>
      </c>
      <c r="H183" s="15">
        <f>SUMIFS(Data!M:M,Data!C:C,G183,Data!V:V,2024)</f>
        <v>199000</v>
      </c>
      <c r="I183" s="15">
        <f>SUMIFS(Data!M:M,Data!C:C,G183,Data!V:V,2025)</f>
        <v>158200</v>
      </c>
      <c r="J183" s="20">
        <f t="shared" si="5"/>
        <v>357200</v>
      </c>
    </row>
    <row r="184" spans="2:10" x14ac:dyDescent="0.25">
      <c r="B184" s="19" t="s">
        <v>786</v>
      </c>
      <c r="C184" s="14">
        <f>COUNTIFS(Data!C:C,B184,Data!V:V,2024)</f>
        <v>1</v>
      </c>
      <c r="D184" s="14">
        <f>COUNTIFS(Data!C:C,B184,Data!V:V,2025)</f>
        <v>4</v>
      </c>
      <c r="E184" s="30">
        <f t="shared" si="4"/>
        <v>5</v>
      </c>
      <c r="G184" s="19" t="s">
        <v>983</v>
      </c>
      <c r="H184" s="15">
        <f>SUMIFS(Data!M:M,Data!C:C,G184,Data!V:V,2024)</f>
        <v>0</v>
      </c>
      <c r="I184" s="15">
        <f>SUMIFS(Data!M:M,Data!C:C,G184,Data!V:V,2025)</f>
        <v>354000</v>
      </c>
      <c r="J184" s="20">
        <f t="shared" si="5"/>
        <v>354000</v>
      </c>
    </row>
    <row r="185" spans="2:10" x14ac:dyDescent="0.25">
      <c r="B185" s="19" t="s">
        <v>249</v>
      </c>
      <c r="C185" s="14">
        <f>COUNTIFS(Data!C:C,B185,Data!V:V,2024)</f>
        <v>3</v>
      </c>
      <c r="D185" s="14">
        <f>COUNTIFS(Data!C:C,B185,Data!V:V,2025)</f>
        <v>2</v>
      </c>
      <c r="E185" s="30">
        <f t="shared" si="4"/>
        <v>5</v>
      </c>
      <c r="G185" s="19" t="s">
        <v>772</v>
      </c>
      <c r="H185" s="15">
        <f>SUMIFS(Data!M:M,Data!C:C,G185,Data!V:V,2024)</f>
        <v>68000</v>
      </c>
      <c r="I185" s="15">
        <f>SUMIFS(Data!M:M,Data!C:C,G185,Data!V:V,2025)</f>
        <v>284100</v>
      </c>
      <c r="J185" s="20">
        <f t="shared" si="5"/>
        <v>352100</v>
      </c>
    </row>
    <row r="186" spans="2:10" x14ac:dyDescent="0.25">
      <c r="B186" s="19" t="s">
        <v>425</v>
      </c>
      <c r="C186" s="14">
        <f>COUNTIFS(Data!C:C,B186,Data!V:V,2024)</f>
        <v>2</v>
      </c>
      <c r="D186" s="14">
        <f>COUNTIFS(Data!C:C,B186,Data!V:V,2025)</f>
        <v>3</v>
      </c>
      <c r="E186" s="30">
        <f t="shared" si="4"/>
        <v>5</v>
      </c>
      <c r="G186" s="19" t="s">
        <v>84</v>
      </c>
      <c r="H186" s="15">
        <f>SUMIFS(Data!M:M,Data!C:C,G186,Data!V:V,2024)</f>
        <v>136000</v>
      </c>
      <c r="I186" s="15">
        <f>SUMIFS(Data!M:M,Data!C:C,G186,Data!V:V,2025)</f>
        <v>216000</v>
      </c>
      <c r="J186" s="20">
        <f t="shared" si="5"/>
        <v>352000</v>
      </c>
    </row>
    <row r="187" spans="2:10" x14ac:dyDescent="0.25">
      <c r="B187" s="19" t="s">
        <v>84</v>
      </c>
      <c r="C187" s="14">
        <f>COUNTIFS(Data!C:C,B187,Data!V:V,2024)</f>
        <v>2</v>
      </c>
      <c r="D187" s="14">
        <f>COUNTIFS(Data!C:C,B187,Data!V:V,2025)</f>
        <v>3</v>
      </c>
      <c r="E187" s="30">
        <f t="shared" si="4"/>
        <v>5</v>
      </c>
      <c r="G187" s="19" t="s">
        <v>220</v>
      </c>
      <c r="H187" s="15">
        <f>SUMIFS(Data!M:M,Data!C:C,G187,Data!V:V,2024)</f>
        <v>256500</v>
      </c>
      <c r="I187" s="15">
        <f>SUMIFS(Data!M:M,Data!C:C,G187,Data!V:V,2025)</f>
        <v>92900</v>
      </c>
      <c r="J187" s="20">
        <f t="shared" si="5"/>
        <v>349400</v>
      </c>
    </row>
    <row r="188" spans="2:10" x14ac:dyDescent="0.25">
      <c r="B188" s="19" t="s">
        <v>220</v>
      </c>
      <c r="C188" s="14">
        <f>COUNTIFS(Data!C:C,B188,Data!V:V,2024)</f>
        <v>2</v>
      </c>
      <c r="D188" s="14">
        <f>COUNTIFS(Data!C:C,B188,Data!V:V,2025)</f>
        <v>3</v>
      </c>
      <c r="E188" s="30">
        <f t="shared" si="4"/>
        <v>5</v>
      </c>
      <c r="G188" s="19" t="s">
        <v>598</v>
      </c>
      <c r="H188" s="15">
        <f>SUMIFS(Data!M:M,Data!C:C,G188,Data!V:V,2024)</f>
        <v>33250</v>
      </c>
      <c r="I188" s="15">
        <f>SUMIFS(Data!M:M,Data!C:C,G188,Data!V:V,2025)</f>
        <v>315350</v>
      </c>
      <c r="J188" s="20">
        <f t="shared" si="5"/>
        <v>348600</v>
      </c>
    </row>
    <row r="189" spans="2:10" x14ac:dyDescent="0.25">
      <c r="B189" s="19" t="s">
        <v>32</v>
      </c>
      <c r="C189" s="14">
        <f>COUNTIFS(Data!C:C,B189,Data!V:V,2024)</f>
        <v>3</v>
      </c>
      <c r="D189" s="14">
        <f>COUNTIFS(Data!C:C,B189,Data!V:V,2025)</f>
        <v>2</v>
      </c>
      <c r="E189" s="30">
        <f t="shared" si="4"/>
        <v>5</v>
      </c>
      <c r="G189" s="19" t="s">
        <v>32</v>
      </c>
      <c r="H189" s="15">
        <f>SUMIFS(Data!M:M,Data!C:C,G189,Data!V:V,2024)</f>
        <v>165200</v>
      </c>
      <c r="I189" s="15">
        <f>SUMIFS(Data!M:M,Data!C:C,G189,Data!V:V,2025)</f>
        <v>183000</v>
      </c>
      <c r="J189" s="20">
        <f t="shared" si="5"/>
        <v>348200</v>
      </c>
    </row>
    <row r="190" spans="2:10" x14ac:dyDescent="0.25">
      <c r="B190" s="19" t="s">
        <v>1087</v>
      </c>
      <c r="C190" s="14">
        <f>COUNTIFS(Data!C:C,B190,Data!V:V,2024)</f>
        <v>0</v>
      </c>
      <c r="D190" s="14">
        <f>COUNTIFS(Data!C:C,B190,Data!V:V,2025)</f>
        <v>5</v>
      </c>
      <c r="E190" s="30">
        <f t="shared" si="4"/>
        <v>5</v>
      </c>
      <c r="G190" s="19" t="s">
        <v>1087</v>
      </c>
      <c r="H190" s="15">
        <f>SUMIFS(Data!M:M,Data!C:C,G190,Data!V:V,2024)</f>
        <v>0</v>
      </c>
      <c r="I190" s="15">
        <f>SUMIFS(Data!M:M,Data!C:C,G190,Data!V:V,2025)</f>
        <v>347650</v>
      </c>
      <c r="J190" s="20">
        <f t="shared" si="5"/>
        <v>347650</v>
      </c>
    </row>
    <row r="191" spans="2:10" x14ac:dyDescent="0.25">
      <c r="B191" s="19" t="s">
        <v>1654</v>
      </c>
      <c r="C191" s="14">
        <f>COUNTIFS(Data!C:C,B191,Data!V:V,2024)</f>
        <v>0</v>
      </c>
      <c r="D191" s="14">
        <f>COUNTIFS(Data!C:C,B191,Data!V:V,2025)</f>
        <v>5</v>
      </c>
      <c r="E191" s="30">
        <f t="shared" si="4"/>
        <v>5</v>
      </c>
      <c r="G191" s="19" t="s">
        <v>693</v>
      </c>
      <c r="H191" s="15">
        <f>SUMIFS(Data!M:M,Data!C:C,G191,Data!V:V,2024)</f>
        <v>139000</v>
      </c>
      <c r="I191" s="15">
        <f>SUMIFS(Data!M:M,Data!C:C,G191,Data!V:V,2025)</f>
        <v>207350</v>
      </c>
      <c r="J191" s="20">
        <f t="shared" si="5"/>
        <v>346350</v>
      </c>
    </row>
    <row r="192" spans="2:10" x14ac:dyDescent="0.25">
      <c r="B192" s="19" t="s">
        <v>1083</v>
      </c>
      <c r="C192" s="14">
        <f>COUNTIFS(Data!C:C,B192,Data!V:V,2024)</f>
        <v>0</v>
      </c>
      <c r="D192" s="14">
        <f>COUNTIFS(Data!C:C,B192,Data!V:V,2025)</f>
        <v>5</v>
      </c>
      <c r="E192" s="30">
        <f t="shared" si="4"/>
        <v>5</v>
      </c>
      <c r="G192" s="19" t="s">
        <v>299</v>
      </c>
      <c r="H192" s="15">
        <f>SUMIFS(Data!M:M,Data!C:C,G192,Data!V:V,2024)</f>
        <v>214750</v>
      </c>
      <c r="I192" s="15">
        <f>SUMIFS(Data!M:M,Data!C:C,G192,Data!V:V,2025)</f>
        <v>126600</v>
      </c>
      <c r="J192" s="20">
        <f t="shared" si="5"/>
        <v>341350</v>
      </c>
    </row>
    <row r="193" spans="2:10" x14ac:dyDescent="0.25">
      <c r="B193" s="19" t="s">
        <v>867</v>
      </c>
      <c r="C193" s="14">
        <f>COUNTIFS(Data!C:C,B193,Data!V:V,2024)</f>
        <v>1</v>
      </c>
      <c r="D193" s="14">
        <f>COUNTIFS(Data!C:C,B193,Data!V:V,2025)</f>
        <v>4</v>
      </c>
      <c r="E193" s="30">
        <f t="shared" si="4"/>
        <v>5</v>
      </c>
      <c r="G193" s="19" t="s">
        <v>796</v>
      </c>
      <c r="H193" s="15">
        <f>SUMIFS(Data!M:M,Data!C:C,G193,Data!V:V,2024)</f>
        <v>20000</v>
      </c>
      <c r="I193" s="15">
        <f>SUMIFS(Data!M:M,Data!C:C,G193,Data!V:V,2025)</f>
        <v>318100</v>
      </c>
      <c r="J193" s="20">
        <f t="shared" si="5"/>
        <v>338100</v>
      </c>
    </row>
    <row r="194" spans="2:10" x14ac:dyDescent="0.25">
      <c r="B194" s="19" t="s">
        <v>165</v>
      </c>
      <c r="C194" s="14">
        <f>COUNTIFS(Data!C:C,B194,Data!V:V,2024)</f>
        <v>2</v>
      </c>
      <c r="D194" s="14">
        <f>COUNTIFS(Data!C:C,B194,Data!V:V,2025)</f>
        <v>3</v>
      </c>
      <c r="E194" s="30">
        <f t="shared" si="4"/>
        <v>5</v>
      </c>
      <c r="G194" s="19" t="s">
        <v>176</v>
      </c>
      <c r="H194" s="15">
        <f>SUMIFS(Data!M:M,Data!C:C,G194,Data!V:V,2024)</f>
        <v>68000</v>
      </c>
      <c r="I194" s="15">
        <f>SUMIFS(Data!M:M,Data!C:C,G194,Data!V:V,2025)</f>
        <v>269750</v>
      </c>
      <c r="J194" s="20">
        <f t="shared" si="5"/>
        <v>337750</v>
      </c>
    </row>
    <row r="195" spans="2:10" x14ac:dyDescent="0.25">
      <c r="B195" s="19" t="s">
        <v>699</v>
      </c>
      <c r="C195" s="14">
        <f>COUNTIFS(Data!C:C,B195,Data!V:V,2024)</f>
        <v>2</v>
      </c>
      <c r="D195" s="14">
        <f>COUNTIFS(Data!C:C,B195,Data!V:V,2025)</f>
        <v>3</v>
      </c>
      <c r="E195" s="30">
        <f t="shared" si="4"/>
        <v>5</v>
      </c>
      <c r="G195" s="19" t="s">
        <v>776</v>
      </c>
      <c r="H195" s="15">
        <f>SUMIFS(Data!M:M,Data!C:C,G195,Data!V:V,2024)</f>
        <v>198000</v>
      </c>
      <c r="I195" s="15">
        <f>SUMIFS(Data!M:M,Data!C:C,G195,Data!V:V,2025)</f>
        <v>137300</v>
      </c>
      <c r="J195" s="20">
        <f t="shared" si="5"/>
        <v>335300</v>
      </c>
    </row>
    <row r="196" spans="2:10" x14ac:dyDescent="0.25">
      <c r="B196" s="19" t="s">
        <v>318</v>
      </c>
      <c r="C196" s="14">
        <f>COUNTIFS(Data!C:C,B196,Data!V:V,2024)</f>
        <v>2</v>
      </c>
      <c r="D196" s="14">
        <f>COUNTIFS(Data!C:C,B196,Data!V:V,2025)</f>
        <v>3</v>
      </c>
      <c r="E196" s="30">
        <f t="shared" si="4"/>
        <v>5</v>
      </c>
      <c r="G196" s="19" t="s">
        <v>711</v>
      </c>
      <c r="H196" s="15">
        <f>SUMIFS(Data!M:M,Data!C:C,G196,Data!V:V,2024)</f>
        <v>162000</v>
      </c>
      <c r="I196" s="15">
        <f>SUMIFS(Data!M:M,Data!C:C,G196,Data!V:V,2025)</f>
        <v>171600</v>
      </c>
      <c r="J196" s="20">
        <f t="shared" si="5"/>
        <v>333600</v>
      </c>
    </row>
    <row r="197" spans="2:10" x14ac:dyDescent="0.25">
      <c r="B197" s="19" t="s">
        <v>60</v>
      </c>
      <c r="C197" s="14">
        <f>COUNTIFS(Data!C:C,B197,Data!V:V,2024)</f>
        <v>1</v>
      </c>
      <c r="D197" s="14">
        <f>COUNTIFS(Data!C:C,B197,Data!V:V,2025)</f>
        <v>4</v>
      </c>
      <c r="E197" s="30">
        <f t="shared" si="4"/>
        <v>5</v>
      </c>
      <c r="G197" s="19" t="s">
        <v>197</v>
      </c>
      <c r="H197" s="15">
        <f>SUMIFS(Data!M:M,Data!C:C,G197,Data!V:V,2024)</f>
        <v>73500</v>
      </c>
      <c r="I197" s="15">
        <f>SUMIFS(Data!M:M,Data!C:C,G197,Data!V:V,2025)</f>
        <v>259250</v>
      </c>
      <c r="J197" s="20">
        <f t="shared" si="5"/>
        <v>332750</v>
      </c>
    </row>
    <row r="198" spans="2:10" x14ac:dyDescent="0.25">
      <c r="B198" s="19" t="s">
        <v>497</v>
      </c>
      <c r="C198" s="14">
        <f>COUNTIFS(Data!C:C,B198,Data!V:V,2024)</f>
        <v>1</v>
      </c>
      <c r="D198" s="14">
        <f>COUNTIFS(Data!C:C,B198,Data!V:V,2025)</f>
        <v>4</v>
      </c>
      <c r="E198" s="30">
        <f t="shared" si="4"/>
        <v>5</v>
      </c>
      <c r="G198" s="19" t="s">
        <v>307</v>
      </c>
      <c r="H198" s="15">
        <f>SUMIFS(Data!M:M,Data!C:C,G198,Data!V:V,2024)</f>
        <v>138550</v>
      </c>
      <c r="I198" s="15">
        <f>SUMIFS(Data!M:M,Data!C:C,G198,Data!V:V,2025)</f>
        <v>193400</v>
      </c>
      <c r="J198" s="20">
        <f t="shared" si="5"/>
        <v>331950</v>
      </c>
    </row>
    <row r="199" spans="2:10" x14ac:dyDescent="0.25">
      <c r="B199" s="19" t="s">
        <v>194</v>
      </c>
      <c r="C199" s="14">
        <f>COUNTIFS(Data!C:C,B199,Data!V:V,2024)</f>
        <v>2</v>
      </c>
      <c r="D199" s="14">
        <f>COUNTIFS(Data!C:C,B199,Data!V:V,2025)</f>
        <v>3</v>
      </c>
      <c r="E199" s="30">
        <f t="shared" si="4"/>
        <v>5</v>
      </c>
      <c r="G199" s="19" t="s">
        <v>1654</v>
      </c>
      <c r="H199" s="15">
        <f>SUMIFS(Data!M:M,Data!C:C,G199,Data!V:V,2024)</f>
        <v>0</v>
      </c>
      <c r="I199" s="15">
        <f>SUMIFS(Data!M:M,Data!C:C,G199,Data!V:V,2025)</f>
        <v>329500</v>
      </c>
      <c r="J199" s="20">
        <f t="shared" si="5"/>
        <v>329500</v>
      </c>
    </row>
    <row r="200" spans="2:10" x14ac:dyDescent="0.25">
      <c r="B200" s="19" t="s">
        <v>513</v>
      </c>
      <c r="C200" s="14">
        <f>COUNTIFS(Data!C:C,B200,Data!V:V,2024)</f>
        <v>2</v>
      </c>
      <c r="D200" s="14">
        <f>COUNTIFS(Data!C:C,B200,Data!V:V,2025)</f>
        <v>3</v>
      </c>
      <c r="E200" s="30">
        <f t="shared" si="4"/>
        <v>5</v>
      </c>
      <c r="G200" s="19" t="s">
        <v>605</v>
      </c>
      <c r="H200" s="15">
        <f>SUMIFS(Data!M:M,Data!C:C,G200,Data!V:V,2024)</f>
        <v>176000</v>
      </c>
      <c r="I200" s="15">
        <f>SUMIFS(Data!M:M,Data!C:C,G200,Data!V:V,2025)</f>
        <v>151150</v>
      </c>
      <c r="J200" s="20">
        <f t="shared" si="5"/>
        <v>327150</v>
      </c>
    </row>
    <row r="201" spans="2:10" x14ac:dyDescent="0.25">
      <c r="B201" s="19" t="s">
        <v>763</v>
      </c>
      <c r="C201" s="14">
        <f>COUNTIFS(Data!C:C,B201,Data!V:V,2024)</f>
        <v>1</v>
      </c>
      <c r="D201" s="14">
        <f>COUNTIFS(Data!C:C,B201,Data!V:V,2025)</f>
        <v>4</v>
      </c>
      <c r="E201" s="30">
        <f t="shared" si="4"/>
        <v>5</v>
      </c>
      <c r="G201" s="19" t="s">
        <v>1083</v>
      </c>
      <c r="H201" s="15">
        <f>SUMIFS(Data!M:M,Data!C:C,G201,Data!V:V,2024)</f>
        <v>0</v>
      </c>
      <c r="I201" s="15">
        <f>SUMIFS(Data!M:M,Data!C:C,G201,Data!V:V,2025)</f>
        <v>326950</v>
      </c>
      <c r="J201" s="20">
        <f t="shared" si="5"/>
        <v>326950</v>
      </c>
    </row>
    <row r="202" spans="2:10" x14ac:dyDescent="0.25">
      <c r="B202" s="19" t="s">
        <v>243</v>
      </c>
      <c r="C202" s="14">
        <f>COUNTIFS(Data!C:C,B202,Data!V:V,2024)</f>
        <v>1</v>
      </c>
      <c r="D202" s="14">
        <f>COUNTIFS(Data!C:C,B202,Data!V:V,2025)</f>
        <v>4</v>
      </c>
      <c r="E202" s="30">
        <f t="shared" si="4"/>
        <v>5</v>
      </c>
      <c r="G202" s="19" t="s">
        <v>316</v>
      </c>
      <c r="H202" s="15">
        <f>SUMIFS(Data!M:M,Data!C:C,G202,Data!V:V,2024)</f>
        <v>28500</v>
      </c>
      <c r="I202" s="15">
        <f>SUMIFS(Data!M:M,Data!C:C,G202,Data!V:V,2025)</f>
        <v>297000</v>
      </c>
      <c r="J202" s="20">
        <f t="shared" si="5"/>
        <v>325500</v>
      </c>
    </row>
    <row r="203" spans="2:10" x14ac:dyDescent="0.25">
      <c r="B203" s="19" t="s">
        <v>350</v>
      </c>
      <c r="C203" s="14">
        <f>COUNTIFS(Data!C:C,B203,Data!V:V,2024)</f>
        <v>2</v>
      </c>
      <c r="D203" s="14">
        <f>COUNTIFS(Data!C:C,B203,Data!V:V,2025)</f>
        <v>3</v>
      </c>
      <c r="E203" s="30">
        <f t="shared" si="4"/>
        <v>5</v>
      </c>
      <c r="G203" s="19" t="s">
        <v>87</v>
      </c>
      <c r="H203" s="15">
        <f>SUMIFS(Data!M:M,Data!C:C,G203,Data!V:V,2024)</f>
        <v>105900</v>
      </c>
      <c r="I203" s="15">
        <f>SUMIFS(Data!M:M,Data!C:C,G203,Data!V:V,2025)</f>
        <v>217700</v>
      </c>
      <c r="J203" s="20">
        <f t="shared" si="5"/>
        <v>323600</v>
      </c>
    </row>
    <row r="204" spans="2:10" x14ac:dyDescent="0.25">
      <c r="B204" s="19" t="s">
        <v>568</v>
      </c>
      <c r="C204" s="14">
        <f>COUNTIFS(Data!C:C,B204,Data!V:V,2024)</f>
        <v>3</v>
      </c>
      <c r="D204" s="14">
        <f>COUNTIFS(Data!C:C,B204,Data!V:V,2025)</f>
        <v>2</v>
      </c>
      <c r="E204" s="30">
        <f t="shared" si="4"/>
        <v>5</v>
      </c>
      <c r="G204" s="19" t="s">
        <v>394</v>
      </c>
      <c r="H204" s="15">
        <f>SUMIFS(Data!M:M,Data!C:C,G204,Data!V:V,2024)</f>
        <v>142500</v>
      </c>
      <c r="I204" s="15">
        <f>SUMIFS(Data!M:M,Data!C:C,G204,Data!V:V,2025)</f>
        <v>180000</v>
      </c>
      <c r="J204" s="20">
        <f t="shared" si="5"/>
        <v>322500</v>
      </c>
    </row>
    <row r="205" spans="2:10" x14ac:dyDescent="0.25">
      <c r="B205" s="19" t="s">
        <v>985</v>
      </c>
      <c r="C205" s="14">
        <f>COUNTIFS(Data!C:C,B205,Data!V:V,2024)</f>
        <v>0</v>
      </c>
      <c r="D205" s="14">
        <f>COUNTIFS(Data!C:C,B205,Data!V:V,2025)</f>
        <v>5</v>
      </c>
      <c r="E205" s="30">
        <f t="shared" si="4"/>
        <v>5</v>
      </c>
      <c r="G205" s="19" t="s">
        <v>836</v>
      </c>
      <c r="H205" s="15">
        <f>SUMIFS(Data!M:M,Data!C:C,G205,Data!V:V,2024)</f>
        <v>76000</v>
      </c>
      <c r="I205" s="15">
        <f>SUMIFS(Data!M:M,Data!C:C,G205,Data!V:V,2025)</f>
        <v>236000</v>
      </c>
      <c r="J205" s="20">
        <f t="shared" si="5"/>
        <v>312000</v>
      </c>
    </row>
    <row r="206" spans="2:10" x14ac:dyDescent="0.25">
      <c r="B206" s="19" t="s">
        <v>1259</v>
      </c>
      <c r="C206" s="14">
        <f>COUNTIFS(Data!C:C,B206,Data!V:V,2024)</f>
        <v>0</v>
      </c>
      <c r="D206" s="14">
        <f>COUNTIFS(Data!C:C,B206,Data!V:V,2025)</f>
        <v>5</v>
      </c>
      <c r="E206" s="30">
        <f t="shared" si="4"/>
        <v>5</v>
      </c>
      <c r="G206" s="19" t="s">
        <v>1792</v>
      </c>
      <c r="H206" s="15">
        <f>SUMIFS(Data!M:M,Data!C:C,G206,Data!V:V,2024)</f>
        <v>0</v>
      </c>
      <c r="I206" s="15">
        <f>SUMIFS(Data!M:M,Data!C:C,G206,Data!V:V,2025)</f>
        <v>311250</v>
      </c>
      <c r="J206" s="20">
        <f t="shared" si="5"/>
        <v>311250</v>
      </c>
    </row>
    <row r="207" spans="2:10" x14ac:dyDescent="0.25">
      <c r="B207" s="19" t="s">
        <v>990</v>
      </c>
      <c r="C207" s="14">
        <f>COUNTIFS(Data!C:C,B207,Data!V:V,2024)</f>
        <v>0</v>
      </c>
      <c r="D207" s="14">
        <f>COUNTIFS(Data!C:C,B207,Data!V:V,2025)</f>
        <v>5</v>
      </c>
      <c r="E207" s="30">
        <f t="shared" si="4"/>
        <v>5</v>
      </c>
      <c r="G207" s="19" t="s">
        <v>77</v>
      </c>
      <c r="H207" s="15">
        <f>SUMIFS(Data!M:M,Data!C:C,G207,Data!V:V,2024)</f>
        <v>80200</v>
      </c>
      <c r="I207" s="15">
        <f>SUMIFS(Data!M:M,Data!C:C,G207,Data!V:V,2025)</f>
        <v>230600</v>
      </c>
      <c r="J207" s="20">
        <f t="shared" si="5"/>
        <v>310800</v>
      </c>
    </row>
    <row r="208" spans="2:10" x14ac:dyDescent="0.25">
      <c r="B208" s="19" t="s">
        <v>542</v>
      </c>
      <c r="C208" s="14">
        <f>COUNTIFS(Data!C:C,B208,Data!V:V,2024)</f>
        <v>1</v>
      </c>
      <c r="D208" s="14">
        <f>COUNTIFS(Data!C:C,B208,Data!V:V,2025)</f>
        <v>4</v>
      </c>
      <c r="E208" s="30">
        <f t="shared" si="4"/>
        <v>5</v>
      </c>
      <c r="G208" s="19" t="s">
        <v>368</v>
      </c>
      <c r="H208" s="15">
        <f>SUMIFS(Data!M:M,Data!C:C,G208,Data!V:V,2024)</f>
        <v>26000</v>
      </c>
      <c r="I208" s="15">
        <f>SUMIFS(Data!M:M,Data!C:C,G208,Data!V:V,2025)</f>
        <v>280900</v>
      </c>
      <c r="J208" s="20">
        <f t="shared" si="5"/>
        <v>306900</v>
      </c>
    </row>
    <row r="209" spans="2:10" x14ac:dyDescent="0.25">
      <c r="B209" s="19" t="s">
        <v>1228</v>
      </c>
      <c r="C209" s="14">
        <f>COUNTIFS(Data!C:C,B209,Data!V:V,2024)</f>
        <v>0</v>
      </c>
      <c r="D209" s="14">
        <f>COUNTIFS(Data!C:C,B209,Data!V:V,2025)</f>
        <v>5</v>
      </c>
      <c r="E209" s="30">
        <f t="shared" si="4"/>
        <v>5</v>
      </c>
      <c r="G209" s="19" t="s">
        <v>867</v>
      </c>
      <c r="H209" s="15">
        <f>SUMIFS(Data!M:M,Data!C:C,G209,Data!V:V,2024)</f>
        <v>22000</v>
      </c>
      <c r="I209" s="15">
        <f>SUMIFS(Data!M:M,Data!C:C,G209,Data!V:V,2025)</f>
        <v>284000</v>
      </c>
      <c r="J209" s="20">
        <f t="shared" si="5"/>
        <v>306000</v>
      </c>
    </row>
    <row r="210" spans="2:10" x14ac:dyDescent="0.25">
      <c r="B210" s="19" t="s">
        <v>844</v>
      </c>
      <c r="C210" s="14">
        <f>COUNTIFS(Data!C:C,B210,Data!V:V,2024)</f>
        <v>1</v>
      </c>
      <c r="D210" s="14">
        <f>COUNTIFS(Data!C:C,B210,Data!V:V,2025)</f>
        <v>4</v>
      </c>
      <c r="E210" s="30">
        <f t="shared" si="4"/>
        <v>5</v>
      </c>
      <c r="G210" s="19" t="s">
        <v>697</v>
      </c>
      <c r="H210" s="15">
        <f>SUMIFS(Data!M:M,Data!C:C,G210,Data!V:V,2024)</f>
        <v>176000</v>
      </c>
      <c r="I210" s="15">
        <f>SUMIFS(Data!M:M,Data!C:C,G210,Data!V:V,2025)</f>
        <v>126000</v>
      </c>
      <c r="J210" s="20">
        <f t="shared" si="5"/>
        <v>302000</v>
      </c>
    </row>
    <row r="211" spans="2:10" x14ac:dyDescent="0.25">
      <c r="B211" s="19" t="s">
        <v>547</v>
      </c>
      <c r="C211" s="14">
        <f>COUNTIFS(Data!C:C,B211,Data!V:V,2024)</f>
        <v>4</v>
      </c>
      <c r="D211" s="14">
        <f>COUNTIFS(Data!C:C,B211,Data!V:V,2025)</f>
        <v>1</v>
      </c>
      <c r="E211" s="30">
        <f t="shared" si="4"/>
        <v>5</v>
      </c>
      <c r="G211" s="19" t="s">
        <v>784</v>
      </c>
      <c r="H211" s="15">
        <f>SUMIFS(Data!M:M,Data!C:C,G211,Data!V:V,2024)</f>
        <v>81000</v>
      </c>
      <c r="I211" s="15">
        <f>SUMIFS(Data!M:M,Data!C:C,G211,Data!V:V,2025)</f>
        <v>220700</v>
      </c>
      <c r="J211" s="20">
        <f t="shared" si="5"/>
        <v>301700</v>
      </c>
    </row>
    <row r="212" spans="2:10" x14ac:dyDescent="0.25">
      <c r="B212" s="19" t="s">
        <v>774</v>
      </c>
      <c r="C212" s="14">
        <f>COUNTIFS(Data!C:C,B212,Data!V:V,2024)</f>
        <v>1</v>
      </c>
      <c r="D212" s="14">
        <f>COUNTIFS(Data!C:C,B212,Data!V:V,2025)</f>
        <v>4</v>
      </c>
      <c r="E212" s="30">
        <f t="shared" si="4"/>
        <v>5</v>
      </c>
      <c r="G212" s="19" t="s">
        <v>1073</v>
      </c>
      <c r="H212" s="15">
        <f>SUMIFS(Data!M:M,Data!C:C,G212,Data!V:V,2024)</f>
        <v>0</v>
      </c>
      <c r="I212" s="15">
        <f>SUMIFS(Data!M:M,Data!C:C,G212,Data!V:V,2025)</f>
        <v>301200</v>
      </c>
      <c r="J212" s="20">
        <f t="shared" si="5"/>
        <v>301200</v>
      </c>
    </row>
    <row r="213" spans="2:10" x14ac:dyDescent="0.25">
      <c r="B213" s="19" t="s">
        <v>1128</v>
      </c>
      <c r="C213" s="14">
        <f>COUNTIFS(Data!C:C,B213,Data!V:V,2024)</f>
        <v>0</v>
      </c>
      <c r="D213" s="14">
        <f>COUNTIFS(Data!C:C,B213,Data!V:V,2025)</f>
        <v>5</v>
      </c>
      <c r="E213" s="30">
        <f t="shared" si="4"/>
        <v>5</v>
      </c>
      <c r="G213" s="19" t="s">
        <v>165</v>
      </c>
      <c r="H213" s="15">
        <f>SUMIFS(Data!M:M,Data!C:C,G213,Data!V:V,2024)</f>
        <v>150600</v>
      </c>
      <c r="I213" s="15">
        <f>SUMIFS(Data!M:M,Data!C:C,G213,Data!V:V,2025)</f>
        <v>148700</v>
      </c>
      <c r="J213" s="20">
        <f t="shared" si="5"/>
        <v>299300</v>
      </c>
    </row>
    <row r="214" spans="2:10" x14ac:dyDescent="0.25">
      <c r="B214" s="19" t="s">
        <v>716</v>
      </c>
      <c r="C214" s="14">
        <f>COUNTIFS(Data!C:C,B214,Data!V:V,2024)</f>
        <v>1</v>
      </c>
      <c r="D214" s="14">
        <f>COUNTIFS(Data!C:C,B214,Data!V:V,2025)</f>
        <v>4</v>
      </c>
      <c r="E214" s="30">
        <f t="shared" si="4"/>
        <v>5</v>
      </c>
      <c r="G214" s="19" t="s">
        <v>1970</v>
      </c>
      <c r="H214" s="15">
        <f>SUMIFS(Data!M:M,Data!C:C,G214,Data!V:V,2024)</f>
        <v>0</v>
      </c>
      <c r="I214" s="15">
        <f>SUMIFS(Data!M:M,Data!C:C,G214,Data!V:V,2025)</f>
        <v>298500</v>
      </c>
      <c r="J214" s="20">
        <f t="shared" si="5"/>
        <v>298500</v>
      </c>
    </row>
    <row r="215" spans="2:10" x14ac:dyDescent="0.25">
      <c r="B215" s="19" t="s">
        <v>834</v>
      </c>
      <c r="C215" s="14">
        <f>COUNTIFS(Data!C:C,B215,Data!V:V,2024)</f>
        <v>1</v>
      </c>
      <c r="D215" s="14">
        <f>COUNTIFS(Data!C:C,B215,Data!V:V,2025)</f>
        <v>4</v>
      </c>
      <c r="E215" s="30">
        <f t="shared" si="4"/>
        <v>5</v>
      </c>
      <c r="G215" s="19" t="s">
        <v>275</v>
      </c>
      <c r="H215" s="15">
        <f>SUMIFS(Data!M:M,Data!C:C,G215,Data!V:V,2024)</f>
        <v>169500</v>
      </c>
      <c r="I215" s="15">
        <f>SUMIFS(Data!M:M,Data!C:C,G215,Data!V:V,2025)</f>
        <v>128900</v>
      </c>
      <c r="J215" s="20">
        <f t="shared" si="5"/>
        <v>298400</v>
      </c>
    </row>
    <row r="216" spans="2:10" x14ac:dyDescent="0.25">
      <c r="B216" s="19" t="s">
        <v>305</v>
      </c>
      <c r="C216" s="14">
        <f>COUNTIFS(Data!C:C,B216,Data!V:V,2024)</f>
        <v>3</v>
      </c>
      <c r="D216" s="14">
        <f>COUNTIFS(Data!C:C,B216,Data!V:V,2025)</f>
        <v>2</v>
      </c>
      <c r="E216" s="30">
        <f t="shared" si="4"/>
        <v>5</v>
      </c>
      <c r="G216" s="19" t="s">
        <v>699</v>
      </c>
      <c r="H216" s="15">
        <f>SUMIFS(Data!M:M,Data!C:C,G216,Data!V:V,2024)</f>
        <v>173000</v>
      </c>
      <c r="I216" s="15">
        <f>SUMIFS(Data!M:M,Data!C:C,G216,Data!V:V,2025)</f>
        <v>124500</v>
      </c>
      <c r="J216" s="20">
        <f t="shared" si="5"/>
        <v>297500</v>
      </c>
    </row>
    <row r="217" spans="2:10" x14ac:dyDescent="0.25">
      <c r="B217" s="19" t="s">
        <v>252</v>
      </c>
      <c r="C217" s="14">
        <f>COUNTIFS(Data!C:C,B217,Data!V:V,2024)</f>
        <v>3</v>
      </c>
      <c r="D217" s="14">
        <f>COUNTIFS(Data!C:C,B217,Data!V:V,2025)</f>
        <v>2</v>
      </c>
      <c r="E217" s="30">
        <f t="shared" si="4"/>
        <v>5</v>
      </c>
      <c r="G217" s="19" t="s">
        <v>318</v>
      </c>
      <c r="H217" s="15">
        <f>SUMIFS(Data!M:M,Data!C:C,G217,Data!V:V,2024)</f>
        <v>128250</v>
      </c>
      <c r="I217" s="15">
        <f>SUMIFS(Data!M:M,Data!C:C,G217,Data!V:V,2025)</f>
        <v>169200</v>
      </c>
      <c r="J217" s="20">
        <f t="shared" si="5"/>
        <v>297450</v>
      </c>
    </row>
    <row r="218" spans="2:10" x14ac:dyDescent="0.25">
      <c r="B218" s="19" t="s">
        <v>523</v>
      </c>
      <c r="C218" s="14">
        <f>COUNTIFS(Data!C:C,B218,Data!V:V,2024)</f>
        <v>2</v>
      </c>
      <c r="D218" s="14">
        <f>COUNTIFS(Data!C:C,B218,Data!V:V,2025)</f>
        <v>2</v>
      </c>
      <c r="E218" s="30">
        <f t="shared" si="4"/>
        <v>4</v>
      </c>
      <c r="G218" s="19" t="s">
        <v>2080</v>
      </c>
      <c r="H218" s="15">
        <f>SUMIFS(Data!M:M,Data!C:C,G218,Data!V:V,2024)</f>
        <v>0</v>
      </c>
      <c r="I218" s="15">
        <f>SUMIFS(Data!M:M,Data!C:C,G218,Data!V:V,2025)</f>
        <v>295450</v>
      </c>
      <c r="J218" s="20">
        <f t="shared" si="5"/>
        <v>295450</v>
      </c>
    </row>
    <row r="219" spans="2:10" x14ac:dyDescent="0.25">
      <c r="B219" s="19" t="s">
        <v>477</v>
      </c>
      <c r="C219" s="14">
        <f>COUNTIFS(Data!C:C,B219,Data!V:V,2024)</f>
        <v>3</v>
      </c>
      <c r="D219" s="14">
        <f>COUNTIFS(Data!C:C,B219,Data!V:V,2025)</f>
        <v>1</v>
      </c>
      <c r="E219" s="30">
        <f t="shared" si="4"/>
        <v>4</v>
      </c>
      <c r="G219" s="19" t="s">
        <v>361</v>
      </c>
      <c r="H219" s="15">
        <f>SUMIFS(Data!M:M,Data!C:C,G219,Data!V:V,2024)</f>
        <v>128400</v>
      </c>
      <c r="I219" s="15">
        <f>SUMIFS(Data!M:M,Data!C:C,G219,Data!V:V,2025)</f>
        <v>166000</v>
      </c>
      <c r="J219" s="20">
        <f t="shared" si="5"/>
        <v>294400</v>
      </c>
    </row>
    <row r="220" spans="2:10" x14ac:dyDescent="0.25">
      <c r="B220" s="19" t="s">
        <v>419</v>
      </c>
      <c r="C220" s="14">
        <f>COUNTIFS(Data!C:C,B220,Data!V:V,2024)</f>
        <v>1</v>
      </c>
      <c r="D220" s="14">
        <f>COUNTIFS(Data!C:C,B220,Data!V:V,2025)</f>
        <v>3</v>
      </c>
      <c r="E220" s="30">
        <f t="shared" si="4"/>
        <v>4</v>
      </c>
      <c r="G220" s="19" t="s">
        <v>1055</v>
      </c>
      <c r="H220" s="15">
        <f>SUMIFS(Data!M:M,Data!C:C,G220,Data!V:V,2024)</f>
        <v>0</v>
      </c>
      <c r="I220" s="15">
        <f>SUMIFS(Data!M:M,Data!C:C,G220,Data!V:V,2025)</f>
        <v>293000</v>
      </c>
      <c r="J220" s="20">
        <f t="shared" si="5"/>
        <v>293000</v>
      </c>
    </row>
    <row r="221" spans="2:10" x14ac:dyDescent="0.25">
      <c r="B221" s="19" t="s">
        <v>146</v>
      </c>
      <c r="C221" s="14">
        <f>COUNTIFS(Data!C:C,B221,Data!V:V,2024)</f>
        <v>3</v>
      </c>
      <c r="D221" s="14">
        <f>COUNTIFS(Data!C:C,B221,Data!V:V,2025)</f>
        <v>1</v>
      </c>
      <c r="E221" s="30">
        <f t="shared" si="4"/>
        <v>4</v>
      </c>
      <c r="G221" s="19" t="s">
        <v>1098</v>
      </c>
      <c r="H221" s="15">
        <f>SUMIFS(Data!M:M,Data!C:C,G221,Data!V:V,2024)</f>
        <v>0</v>
      </c>
      <c r="I221" s="15">
        <f>SUMIFS(Data!M:M,Data!C:C,G221,Data!V:V,2025)</f>
        <v>289900</v>
      </c>
      <c r="J221" s="20">
        <f t="shared" si="5"/>
        <v>289900</v>
      </c>
    </row>
    <row r="222" spans="2:10" x14ac:dyDescent="0.25">
      <c r="B222" s="19" t="s">
        <v>495</v>
      </c>
      <c r="C222" s="14">
        <f>COUNTIFS(Data!C:C,B222,Data!V:V,2024)</f>
        <v>2</v>
      </c>
      <c r="D222" s="14">
        <f>COUNTIFS(Data!C:C,B222,Data!V:V,2025)</f>
        <v>2</v>
      </c>
      <c r="E222" s="30">
        <f t="shared" si="4"/>
        <v>4</v>
      </c>
      <c r="G222" s="19" t="s">
        <v>853</v>
      </c>
      <c r="H222" s="15">
        <f>SUMIFS(Data!M:M,Data!C:C,G222,Data!V:V,2024)</f>
        <v>33600</v>
      </c>
      <c r="I222" s="15">
        <f>SUMIFS(Data!M:M,Data!C:C,G222,Data!V:V,2025)</f>
        <v>254750</v>
      </c>
      <c r="J222" s="20">
        <f t="shared" si="5"/>
        <v>288350</v>
      </c>
    </row>
    <row r="223" spans="2:10" x14ac:dyDescent="0.25">
      <c r="B223" s="19" t="s">
        <v>65</v>
      </c>
      <c r="C223" s="14">
        <f>COUNTIFS(Data!C:C,B223,Data!V:V,2024)</f>
        <v>2</v>
      </c>
      <c r="D223" s="14">
        <f>COUNTIFS(Data!C:C,B223,Data!V:V,2025)</f>
        <v>2</v>
      </c>
      <c r="E223" s="30">
        <f t="shared" si="4"/>
        <v>4</v>
      </c>
      <c r="G223" s="19" t="s">
        <v>184</v>
      </c>
      <c r="H223" s="15">
        <f>SUMIFS(Data!M:M,Data!C:C,G223,Data!V:V,2024)</f>
        <v>112750</v>
      </c>
      <c r="I223" s="15">
        <f>SUMIFS(Data!M:M,Data!C:C,G223,Data!V:V,2025)</f>
        <v>175400</v>
      </c>
      <c r="J223" s="20">
        <f t="shared" si="5"/>
        <v>288150</v>
      </c>
    </row>
    <row r="224" spans="2:10" x14ac:dyDescent="0.25">
      <c r="B224" s="19" t="s">
        <v>265</v>
      </c>
      <c r="C224" s="14">
        <f>COUNTIFS(Data!C:C,B224,Data!V:V,2024)</f>
        <v>2</v>
      </c>
      <c r="D224" s="14">
        <f>COUNTIFS(Data!C:C,B224,Data!V:V,2025)</f>
        <v>2</v>
      </c>
      <c r="E224" s="30">
        <f t="shared" si="4"/>
        <v>4</v>
      </c>
      <c r="G224" s="19" t="s">
        <v>60</v>
      </c>
      <c r="H224" s="15">
        <f>SUMIFS(Data!M:M,Data!C:C,G224,Data!V:V,2024)</f>
        <v>90000</v>
      </c>
      <c r="I224" s="15">
        <f>SUMIFS(Data!M:M,Data!C:C,G224,Data!V:V,2025)</f>
        <v>198000</v>
      </c>
      <c r="J224" s="20">
        <f t="shared" si="5"/>
        <v>288000</v>
      </c>
    </row>
    <row r="225" spans="2:10" x14ac:dyDescent="0.25">
      <c r="B225" s="19" t="s">
        <v>112</v>
      </c>
      <c r="C225" s="14">
        <f>COUNTIFS(Data!C:C,B225,Data!V:V,2024)</f>
        <v>2</v>
      </c>
      <c r="D225" s="14">
        <f>COUNTIFS(Data!C:C,B225,Data!V:V,2025)</f>
        <v>2</v>
      </c>
      <c r="E225" s="30">
        <f t="shared" si="4"/>
        <v>4</v>
      </c>
      <c r="G225" s="19" t="s">
        <v>1270</v>
      </c>
      <c r="H225" s="15">
        <f>SUMIFS(Data!M:M,Data!C:C,G225,Data!V:V,2024)</f>
        <v>0</v>
      </c>
      <c r="I225" s="15">
        <f>SUMIFS(Data!M:M,Data!C:C,G225,Data!V:V,2025)</f>
        <v>286150</v>
      </c>
      <c r="J225" s="20">
        <f t="shared" si="5"/>
        <v>286150</v>
      </c>
    </row>
    <row r="226" spans="2:10" x14ac:dyDescent="0.25">
      <c r="B226" s="19" t="s">
        <v>199</v>
      </c>
      <c r="C226" s="14">
        <f>COUNTIFS(Data!C:C,B226,Data!V:V,2024)</f>
        <v>2</v>
      </c>
      <c r="D226" s="14">
        <f>COUNTIFS(Data!C:C,B226,Data!V:V,2025)</f>
        <v>2</v>
      </c>
      <c r="E226" s="30">
        <f t="shared" ref="E226:E289" si="6">C226+D226</f>
        <v>4</v>
      </c>
      <c r="G226" s="19" t="s">
        <v>1979</v>
      </c>
      <c r="H226" s="15">
        <f>SUMIFS(Data!M:M,Data!C:C,G226,Data!V:V,2024)</f>
        <v>0</v>
      </c>
      <c r="I226" s="15">
        <f>SUMIFS(Data!M:M,Data!C:C,G226,Data!V:V,2025)</f>
        <v>285000</v>
      </c>
      <c r="J226" s="20">
        <f t="shared" ref="J226:J289" si="7">H226+I226</f>
        <v>285000</v>
      </c>
    </row>
    <row r="227" spans="2:10" x14ac:dyDescent="0.25">
      <c r="B227" s="19" t="s">
        <v>337</v>
      </c>
      <c r="C227" s="14">
        <f>COUNTIFS(Data!C:C,B227,Data!V:V,2024)</f>
        <v>1</v>
      </c>
      <c r="D227" s="14">
        <f>COUNTIFS(Data!C:C,B227,Data!V:V,2025)</f>
        <v>3</v>
      </c>
      <c r="E227" s="30">
        <f t="shared" si="6"/>
        <v>4</v>
      </c>
      <c r="G227" s="19" t="s">
        <v>52</v>
      </c>
      <c r="H227" s="15">
        <f>SUMIFS(Data!M:M,Data!C:C,G227,Data!V:V,2024)</f>
        <v>96000</v>
      </c>
      <c r="I227" s="15">
        <f>SUMIFS(Data!M:M,Data!C:C,G227,Data!V:V,2025)</f>
        <v>188900</v>
      </c>
      <c r="J227" s="20">
        <f t="shared" si="7"/>
        <v>284900</v>
      </c>
    </row>
    <row r="228" spans="2:10" x14ac:dyDescent="0.25">
      <c r="B228" s="19" t="s">
        <v>205</v>
      </c>
      <c r="C228" s="14">
        <f>COUNTIFS(Data!C:C,B228,Data!V:V,2024)</f>
        <v>1</v>
      </c>
      <c r="D228" s="14">
        <f>COUNTIFS(Data!C:C,B228,Data!V:V,2025)</f>
        <v>3</v>
      </c>
      <c r="E228" s="30">
        <f t="shared" si="6"/>
        <v>4</v>
      </c>
      <c r="G228" s="19" t="s">
        <v>497</v>
      </c>
      <c r="H228" s="15">
        <f>SUMIFS(Data!M:M,Data!C:C,G228,Data!V:V,2024)</f>
        <v>157500</v>
      </c>
      <c r="I228" s="15">
        <f>SUMIFS(Data!M:M,Data!C:C,G228,Data!V:V,2025)</f>
        <v>126500</v>
      </c>
      <c r="J228" s="20">
        <f t="shared" si="7"/>
        <v>284000</v>
      </c>
    </row>
    <row r="229" spans="2:10" x14ac:dyDescent="0.25">
      <c r="B229" s="19" t="s">
        <v>1382</v>
      </c>
      <c r="C229" s="14">
        <f>COUNTIFS(Data!C:C,B229,Data!V:V,2024)</f>
        <v>0</v>
      </c>
      <c r="D229" s="14">
        <f>COUNTIFS(Data!C:C,B229,Data!V:V,2025)</f>
        <v>4</v>
      </c>
      <c r="E229" s="30">
        <f t="shared" si="6"/>
        <v>4</v>
      </c>
      <c r="G229" s="19" t="s">
        <v>309</v>
      </c>
      <c r="H229" s="15">
        <f>SUMIFS(Data!M:M,Data!C:C,G229,Data!V:V,2024)</f>
        <v>168800</v>
      </c>
      <c r="I229" s="15">
        <f>SUMIFS(Data!M:M,Data!C:C,G229,Data!V:V,2025)</f>
        <v>114000</v>
      </c>
      <c r="J229" s="20">
        <f t="shared" si="7"/>
        <v>282800</v>
      </c>
    </row>
    <row r="230" spans="2:10" x14ac:dyDescent="0.25">
      <c r="B230" s="19" t="s">
        <v>73</v>
      </c>
      <c r="C230" s="14">
        <f>COUNTIFS(Data!C:C,B230,Data!V:V,2024)</f>
        <v>1</v>
      </c>
      <c r="D230" s="14">
        <f>COUNTIFS(Data!C:C,B230,Data!V:V,2025)</f>
        <v>3</v>
      </c>
      <c r="E230" s="30">
        <f t="shared" si="6"/>
        <v>4</v>
      </c>
      <c r="G230" s="19" t="s">
        <v>924</v>
      </c>
      <c r="H230" s="15">
        <f>SUMIFS(Data!M:M,Data!C:C,G230,Data!V:V,2024)</f>
        <v>0</v>
      </c>
      <c r="I230" s="15">
        <f>SUMIFS(Data!M:M,Data!C:C,G230,Data!V:V,2025)</f>
        <v>279800</v>
      </c>
      <c r="J230" s="20">
        <f t="shared" si="7"/>
        <v>279800</v>
      </c>
    </row>
    <row r="231" spans="2:10" x14ac:dyDescent="0.25">
      <c r="B231" s="19" t="s">
        <v>387</v>
      </c>
      <c r="C231" s="14">
        <f>COUNTIFS(Data!C:C,B231,Data!V:V,2024)</f>
        <v>1</v>
      </c>
      <c r="D231" s="14">
        <f>COUNTIFS(Data!C:C,B231,Data!V:V,2025)</f>
        <v>3</v>
      </c>
      <c r="E231" s="30">
        <f t="shared" si="6"/>
        <v>4</v>
      </c>
      <c r="G231" s="19" t="s">
        <v>439</v>
      </c>
      <c r="H231" s="15">
        <f>SUMIFS(Data!M:M,Data!C:C,G231,Data!V:V,2024)</f>
        <v>279550</v>
      </c>
      <c r="I231" s="15">
        <f>SUMIFS(Data!M:M,Data!C:C,G231,Data!V:V,2025)</f>
        <v>0</v>
      </c>
      <c r="J231" s="20">
        <f t="shared" si="7"/>
        <v>279550</v>
      </c>
    </row>
    <row r="232" spans="2:10" x14ac:dyDescent="0.25">
      <c r="B232" s="19" t="s">
        <v>601</v>
      </c>
      <c r="C232" s="14">
        <f>COUNTIFS(Data!C:C,B232,Data!V:V,2024)</f>
        <v>2</v>
      </c>
      <c r="D232" s="14">
        <f>COUNTIFS(Data!C:C,B232,Data!V:V,2025)</f>
        <v>2</v>
      </c>
      <c r="E232" s="30">
        <f t="shared" si="6"/>
        <v>4</v>
      </c>
      <c r="G232" s="19" t="s">
        <v>340</v>
      </c>
      <c r="H232" s="15">
        <f>SUMIFS(Data!M:M,Data!C:C,G232,Data!V:V,2024)</f>
        <v>106250</v>
      </c>
      <c r="I232" s="15">
        <f>SUMIFS(Data!M:M,Data!C:C,G232,Data!V:V,2025)</f>
        <v>172750</v>
      </c>
      <c r="J232" s="20">
        <f t="shared" si="7"/>
        <v>279000</v>
      </c>
    </row>
    <row r="233" spans="2:10" x14ac:dyDescent="0.25">
      <c r="B233" s="19" t="s">
        <v>176</v>
      </c>
      <c r="C233" s="14">
        <f>COUNTIFS(Data!C:C,B233,Data!V:V,2024)</f>
        <v>1</v>
      </c>
      <c r="D233" s="14">
        <f>COUNTIFS(Data!C:C,B233,Data!V:V,2025)</f>
        <v>3</v>
      </c>
      <c r="E233" s="30">
        <f t="shared" si="6"/>
        <v>4</v>
      </c>
      <c r="G233" s="19" t="s">
        <v>404</v>
      </c>
      <c r="H233" s="15">
        <f>SUMIFS(Data!M:M,Data!C:C,G233,Data!V:V,2024)</f>
        <v>36000</v>
      </c>
      <c r="I233" s="15">
        <f>SUMIFS(Data!M:M,Data!C:C,G233,Data!V:V,2025)</f>
        <v>242250</v>
      </c>
      <c r="J233" s="20">
        <f t="shared" si="7"/>
        <v>278250</v>
      </c>
    </row>
    <row r="234" spans="2:10" x14ac:dyDescent="0.25">
      <c r="B234" s="19" t="s">
        <v>776</v>
      </c>
      <c r="C234" s="14">
        <f>COUNTIFS(Data!C:C,B234,Data!V:V,2024)</f>
        <v>1</v>
      </c>
      <c r="D234" s="14">
        <f>COUNTIFS(Data!C:C,B234,Data!V:V,2025)</f>
        <v>3</v>
      </c>
      <c r="E234" s="30">
        <f t="shared" si="6"/>
        <v>4</v>
      </c>
      <c r="G234" s="19" t="s">
        <v>613</v>
      </c>
      <c r="H234" s="15">
        <f>SUMIFS(Data!M:M,Data!C:C,G234,Data!V:V,2024)</f>
        <v>97900</v>
      </c>
      <c r="I234" s="15">
        <f>SUMIFS(Data!M:M,Data!C:C,G234,Data!V:V,2025)</f>
        <v>180000</v>
      </c>
      <c r="J234" s="20">
        <f t="shared" si="7"/>
        <v>277900</v>
      </c>
    </row>
    <row r="235" spans="2:10" x14ac:dyDescent="0.25">
      <c r="B235" s="19" t="s">
        <v>711</v>
      </c>
      <c r="C235" s="14">
        <f>COUNTIFS(Data!C:C,B235,Data!V:V,2024)</f>
        <v>1</v>
      </c>
      <c r="D235" s="14">
        <f>COUNTIFS(Data!C:C,B235,Data!V:V,2025)</f>
        <v>3</v>
      </c>
      <c r="E235" s="30">
        <f t="shared" si="6"/>
        <v>4</v>
      </c>
      <c r="G235" s="19" t="s">
        <v>827</v>
      </c>
      <c r="H235" s="15">
        <f>SUMIFS(Data!M:M,Data!C:C,G235,Data!V:V,2024)</f>
        <v>36000</v>
      </c>
      <c r="I235" s="15">
        <f>SUMIFS(Data!M:M,Data!C:C,G235,Data!V:V,2025)</f>
        <v>239250</v>
      </c>
      <c r="J235" s="20">
        <f t="shared" si="7"/>
        <v>275250</v>
      </c>
    </row>
    <row r="236" spans="2:10" x14ac:dyDescent="0.25">
      <c r="B236" s="19" t="s">
        <v>605</v>
      </c>
      <c r="C236" s="14">
        <f>COUNTIFS(Data!C:C,B236,Data!V:V,2024)</f>
        <v>1</v>
      </c>
      <c r="D236" s="14">
        <f>COUNTIFS(Data!C:C,B236,Data!V:V,2025)</f>
        <v>3</v>
      </c>
      <c r="E236" s="30">
        <f t="shared" si="6"/>
        <v>4</v>
      </c>
      <c r="G236" s="19" t="s">
        <v>194</v>
      </c>
      <c r="H236" s="15">
        <f>SUMIFS(Data!M:M,Data!C:C,G236,Data!V:V,2024)</f>
        <v>87200</v>
      </c>
      <c r="I236" s="15">
        <f>SUMIFS(Data!M:M,Data!C:C,G236,Data!V:V,2025)</f>
        <v>187800</v>
      </c>
      <c r="J236" s="20">
        <f t="shared" si="7"/>
        <v>275000</v>
      </c>
    </row>
    <row r="237" spans="2:10" x14ac:dyDescent="0.25">
      <c r="B237" s="19" t="s">
        <v>394</v>
      </c>
      <c r="C237" s="14">
        <f>COUNTIFS(Data!C:C,B237,Data!V:V,2024)</f>
        <v>1</v>
      </c>
      <c r="D237" s="14">
        <f>COUNTIFS(Data!C:C,B237,Data!V:V,2025)</f>
        <v>3</v>
      </c>
      <c r="E237" s="30">
        <f t="shared" si="6"/>
        <v>4</v>
      </c>
      <c r="G237" s="19" t="s">
        <v>656</v>
      </c>
      <c r="H237" s="15">
        <f>SUMIFS(Data!M:M,Data!C:C,G237,Data!V:V,2024)</f>
        <v>120000</v>
      </c>
      <c r="I237" s="15">
        <f>SUMIFS(Data!M:M,Data!C:C,G237,Data!V:V,2025)</f>
        <v>154500</v>
      </c>
      <c r="J237" s="20">
        <f t="shared" si="7"/>
        <v>274500</v>
      </c>
    </row>
    <row r="238" spans="2:10" x14ac:dyDescent="0.25">
      <c r="B238" s="19" t="s">
        <v>697</v>
      </c>
      <c r="C238" s="14">
        <f>COUNTIFS(Data!C:C,B238,Data!V:V,2024)</f>
        <v>3</v>
      </c>
      <c r="D238" s="14">
        <f>COUNTIFS(Data!C:C,B238,Data!V:V,2025)</f>
        <v>1</v>
      </c>
      <c r="E238" s="30">
        <f t="shared" si="6"/>
        <v>4</v>
      </c>
      <c r="G238" s="19" t="s">
        <v>344</v>
      </c>
      <c r="H238" s="15">
        <f>SUMIFS(Data!M:M,Data!C:C,G238,Data!V:V,2024)</f>
        <v>42500</v>
      </c>
      <c r="I238" s="15">
        <f>SUMIFS(Data!M:M,Data!C:C,G238,Data!V:V,2025)</f>
        <v>230800</v>
      </c>
      <c r="J238" s="20">
        <f t="shared" si="7"/>
        <v>273300</v>
      </c>
    </row>
    <row r="239" spans="2:10" x14ac:dyDescent="0.25">
      <c r="B239" s="19" t="s">
        <v>361</v>
      </c>
      <c r="C239" s="14">
        <f>COUNTIFS(Data!C:C,B239,Data!V:V,2024)</f>
        <v>2</v>
      </c>
      <c r="D239" s="14">
        <f>COUNTIFS(Data!C:C,B239,Data!V:V,2025)</f>
        <v>2</v>
      </c>
      <c r="E239" s="30">
        <f t="shared" si="6"/>
        <v>4</v>
      </c>
      <c r="G239" s="19" t="s">
        <v>979</v>
      </c>
      <c r="H239" s="15">
        <f>SUMIFS(Data!M:M,Data!C:C,G239,Data!V:V,2024)</f>
        <v>0</v>
      </c>
      <c r="I239" s="15">
        <f>SUMIFS(Data!M:M,Data!C:C,G239,Data!V:V,2025)</f>
        <v>271750</v>
      </c>
      <c r="J239" s="20">
        <f t="shared" si="7"/>
        <v>271750</v>
      </c>
    </row>
    <row r="240" spans="2:10" x14ac:dyDescent="0.25">
      <c r="B240" s="19" t="s">
        <v>1270</v>
      </c>
      <c r="C240" s="14">
        <f>COUNTIFS(Data!C:C,B240,Data!V:V,2024)</f>
        <v>0</v>
      </c>
      <c r="D240" s="14">
        <f>COUNTIFS(Data!C:C,B240,Data!V:V,2025)</f>
        <v>4</v>
      </c>
      <c r="E240" s="30">
        <f t="shared" si="6"/>
        <v>4</v>
      </c>
      <c r="G240" s="19" t="s">
        <v>922</v>
      </c>
      <c r="H240" s="15">
        <f>SUMIFS(Data!M:M,Data!C:C,G240,Data!V:V,2024)</f>
        <v>0</v>
      </c>
      <c r="I240" s="15">
        <f>SUMIFS(Data!M:M,Data!C:C,G240,Data!V:V,2025)</f>
        <v>269850</v>
      </c>
      <c r="J240" s="20">
        <f t="shared" si="7"/>
        <v>269850</v>
      </c>
    </row>
    <row r="241" spans="2:10" x14ac:dyDescent="0.25">
      <c r="B241" s="19" t="s">
        <v>924</v>
      </c>
      <c r="C241" s="14">
        <f>COUNTIFS(Data!C:C,B241,Data!V:V,2024)</f>
        <v>0</v>
      </c>
      <c r="D241" s="14">
        <f>COUNTIFS(Data!C:C,B241,Data!V:V,2025)</f>
        <v>4</v>
      </c>
      <c r="E241" s="30">
        <f t="shared" si="6"/>
        <v>4</v>
      </c>
      <c r="G241" s="19" t="s">
        <v>513</v>
      </c>
      <c r="H241" s="15">
        <f>SUMIFS(Data!M:M,Data!C:C,G241,Data!V:V,2024)</f>
        <v>124400</v>
      </c>
      <c r="I241" s="15">
        <f>SUMIFS(Data!M:M,Data!C:C,G241,Data!V:V,2025)</f>
        <v>145350</v>
      </c>
      <c r="J241" s="20">
        <f t="shared" si="7"/>
        <v>269750</v>
      </c>
    </row>
    <row r="242" spans="2:10" x14ac:dyDescent="0.25">
      <c r="B242" s="19" t="s">
        <v>340</v>
      </c>
      <c r="C242" s="14">
        <f>COUNTIFS(Data!C:C,B242,Data!V:V,2024)</f>
        <v>1</v>
      </c>
      <c r="D242" s="14">
        <f>COUNTIFS(Data!C:C,B242,Data!V:V,2025)</f>
        <v>3</v>
      </c>
      <c r="E242" s="30">
        <f t="shared" si="6"/>
        <v>4</v>
      </c>
      <c r="G242" s="19" t="s">
        <v>669</v>
      </c>
      <c r="H242" s="15">
        <f>SUMIFS(Data!M:M,Data!C:C,G242,Data!V:V,2024)</f>
        <v>237600</v>
      </c>
      <c r="I242" s="15">
        <f>SUMIFS(Data!M:M,Data!C:C,G242,Data!V:V,2025)</f>
        <v>32000</v>
      </c>
      <c r="J242" s="20">
        <f t="shared" si="7"/>
        <v>269600</v>
      </c>
    </row>
    <row r="243" spans="2:10" x14ac:dyDescent="0.25">
      <c r="B243" s="19" t="s">
        <v>404</v>
      </c>
      <c r="C243" s="14">
        <f>COUNTIFS(Data!C:C,B243,Data!V:V,2024)</f>
        <v>1</v>
      </c>
      <c r="D243" s="14">
        <f>COUNTIFS(Data!C:C,B243,Data!V:V,2025)</f>
        <v>3</v>
      </c>
      <c r="E243" s="30">
        <f t="shared" si="6"/>
        <v>4</v>
      </c>
      <c r="G243" s="19" t="s">
        <v>400</v>
      </c>
      <c r="H243" s="15">
        <f>SUMIFS(Data!M:M,Data!C:C,G243,Data!V:V,2024)</f>
        <v>34100</v>
      </c>
      <c r="I243" s="15">
        <f>SUMIFS(Data!M:M,Data!C:C,G243,Data!V:V,2025)</f>
        <v>235000</v>
      </c>
      <c r="J243" s="20">
        <f t="shared" si="7"/>
        <v>269100</v>
      </c>
    </row>
    <row r="244" spans="2:10" x14ac:dyDescent="0.25">
      <c r="B244" s="19" t="s">
        <v>827</v>
      </c>
      <c r="C244" s="14">
        <f>COUNTIFS(Data!C:C,B244,Data!V:V,2024)</f>
        <v>1</v>
      </c>
      <c r="D244" s="14">
        <f>COUNTIFS(Data!C:C,B244,Data!V:V,2025)</f>
        <v>3</v>
      </c>
      <c r="E244" s="30">
        <f t="shared" si="6"/>
        <v>4</v>
      </c>
      <c r="G244" s="19" t="s">
        <v>153</v>
      </c>
      <c r="H244" s="15">
        <f>SUMIFS(Data!M:M,Data!C:C,G244,Data!V:V,2024)</f>
        <v>77400</v>
      </c>
      <c r="I244" s="15">
        <f>SUMIFS(Data!M:M,Data!C:C,G244,Data!V:V,2025)</f>
        <v>190000</v>
      </c>
      <c r="J244" s="20">
        <f t="shared" si="7"/>
        <v>267400</v>
      </c>
    </row>
    <row r="245" spans="2:10" x14ac:dyDescent="0.25">
      <c r="B245" s="19" t="s">
        <v>656</v>
      </c>
      <c r="C245" s="14">
        <f>COUNTIFS(Data!C:C,B245,Data!V:V,2024)</f>
        <v>1</v>
      </c>
      <c r="D245" s="14">
        <f>COUNTIFS(Data!C:C,B245,Data!V:V,2025)</f>
        <v>3</v>
      </c>
      <c r="E245" s="30">
        <f t="shared" si="6"/>
        <v>4</v>
      </c>
      <c r="G245" s="19" t="s">
        <v>1237</v>
      </c>
      <c r="H245" s="15">
        <f>SUMIFS(Data!M:M,Data!C:C,G245,Data!V:V,2024)</f>
        <v>0</v>
      </c>
      <c r="I245" s="15">
        <f>SUMIFS(Data!M:M,Data!C:C,G245,Data!V:V,2025)</f>
        <v>266500</v>
      </c>
      <c r="J245" s="20">
        <f t="shared" si="7"/>
        <v>266500</v>
      </c>
    </row>
    <row r="246" spans="2:10" x14ac:dyDescent="0.25">
      <c r="B246" s="19" t="s">
        <v>344</v>
      </c>
      <c r="C246" s="14">
        <f>COUNTIFS(Data!C:C,B246,Data!V:V,2024)</f>
        <v>1</v>
      </c>
      <c r="D246" s="14">
        <f>COUNTIFS(Data!C:C,B246,Data!V:V,2025)</f>
        <v>3</v>
      </c>
      <c r="E246" s="30">
        <f t="shared" si="6"/>
        <v>4</v>
      </c>
      <c r="G246" s="19" t="s">
        <v>1146</v>
      </c>
      <c r="H246" s="15">
        <f>SUMIFS(Data!M:M,Data!C:C,G246,Data!V:V,2024)</f>
        <v>0</v>
      </c>
      <c r="I246" s="15">
        <f>SUMIFS(Data!M:M,Data!C:C,G246,Data!V:V,2025)</f>
        <v>265850</v>
      </c>
      <c r="J246" s="20">
        <f t="shared" si="7"/>
        <v>265850</v>
      </c>
    </row>
    <row r="247" spans="2:10" x14ac:dyDescent="0.25">
      <c r="B247" s="19" t="s">
        <v>400</v>
      </c>
      <c r="C247" s="14">
        <f>COUNTIFS(Data!C:C,B247,Data!V:V,2024)</f>
        <v>2</v>
      </c>
      <c r="D247" s="14">
        <f>COUNTIFS(Data!C:C,B247,Data!V:V,2025)</f>
        <v>2</v>
      </c>
      <c r="E247" s="30">
        <f t="shared" si="6"/>
        <v>4</v>
      </c>
      <c r="G247" s="19" t="s">
        <v>1887</v>
      </c>
      <c r="H247" s="15">
        <f>SUMIFS(Data!M:M,Data!C:C,G247,Data!V:V,2024)</f>
        <v>0</v>
      </c>
      <c r="I247" s="15">
        <f>SUMIFS(Data!M:M,Data!C:C,G247,Data!V:V,2025)</f>
        <v>264600</v>
      </c>
      <c r="J247" s="20">
        <f t="shared" si="7"/>
        <v>264600</v>
      </c>
    </row>
    <row r="248" spans="2:10" x14ac:dyDescent="0.25">
      <c r="B248" s="19" t="s">
        <v>669</v>
      </c>
      <c r="C248" s="14">
        <f>COUNTIFS(Data!C:C,B248,Data!V:V,2024)</f>
        <v>2</v>
      </c>
      <c r="D248" s="14">
        <f>COUNTIFS(Data!C:C,B248,Data!V:V,2025)</f>
        <v>2</v>
      </c>
      <c r="E248" s="30">
        <f t="shared" si="6"/>
        <v>4</v>
      </c>
      <c r="G248" s="19" t="s">
        <v>763</v>
      </c>
      <c r="H248" s="15">
        <f>SUMIFS(Data!M:M,Data!C:C,G248,Data!V:V,2024)</f>
        <v>64600</v>
      </c>
      <c r="I248" s="15">
        <f>SUMIFS(Data!M:M,Data!C:C,G248,Data!V:V,2025)</f>
        <v>200000</v>
      </c>
      <c r="J248" s="20">
        <f t="shared" si="7"/>
        <v>264600</v>
      </c>
    </row>
    <row r="249" spans="2:10" x14ac:dyDescent="0.25">
      <c r="B249" s="19" t="s">
        <v>1237</v>
      </c>
      <c r="C249" s="14">
        <f>COUNTIFS(Data!C:C,B249,Data!V:V,2024)</f>
        <v>0</v>
      </c>
      <c r="D249" s="14">
        <f>COUNTIFS(Data!C:C,B249,Data!V:V,2025)</f>
        <v>4</v>
      </c>
      <c r="E249" s="30">
        <f t="shared" si="6"/>
        <v>4</v>
      </c>
      <c r="G249" s="19" t="s">
        <v>271</v>
      </c>
      <c r="H249" s="15">
        <f>SUMIFS(Data!M:M,Data!C:C,G249,Data!V:V,2024)</f>
        <v>21250</v>
      </c>
      <c r="I249" s="15">
        <f>SUMIFS(Data!M:M,Data!C:C,G249,Data!V:V,2025)</f>
        <v>242150</v>
      </c>
      <c r="J249" s="20">
        <f t="shared" si="7"/>
        <v>263400</v>
      </c>
    </row>
    <row r="250" spans="2:10" x14ac:dyDescent="0.25">
      <c r="B250" s="19" t="s">
        <v>1146</v>
      </c>
      <c r="C250" s="14">
        <f>COUNTIFS(Data!C:C,B250,Data!V:V,2024)</f>
        <v>0</v>
      </c>
      <c r="D250" s="14">
        <f>COUNTIFS(Data!C:C,B250,Data!V:V,2025)</f>
        <v>4</v>
      </c>
      <c r="E250" s="30">
        <f t="shared" si="6"/>
        <v>4</v>
      </c>
      <c r="G250" s="19" t="s">
        <v>402</v>
      </c>
      <c r="H250" s="15">
        <f>SUMIFS(Data!M:M,Data!C:C,G250,Data!V:V,2024)</f>
        <v>106900</v>
      </c>
      <c r="I250" s="15">
        <f>SUMIFS(Data!M:M,Data!C:C,G250,Data!V:V,2025)</f>
        <v>156200</v>
      </c>
      <c r="J250" s="20">
        <f t="shared" si="7"/>
        <v>263100</v>
      </c>
    </row>
    <row r="251" spans="2:10" x14ac:dyDescent="0.25">
      <c r="B251" s="19" t="s">
        <v>1887</v>
      </c>
      <c r="C251" s="14">
        <f>COUNTIFS(Data!C:C,B251,Data!V:V,2024)</f>
        <v>0</v>
      </c>
      <c r="D251" s="14">
        <f>COUNTIFS(Data!C:C,B251,Data!V:V,2025)</f>
        <v>4</v>
      </c>
      <c r="E251" s="30">
        <f t="shared" si="6"/>
        <v>4</v>
      </c>
      <c r="G251" s="19" t="s">
        <v>631</v>
      </c>
      <c r="H251" s="15">
        <f>SUMIFS(Data!M:M,Data!C:C,G251,Data!V:V,2024)</f>
        <v>45000</v>
      </c>
      <c r="I251" s="15">
        <f>SUMIFS(Data!M:M,Data!C:C,G251,Data!V:V,2025)</f>
        <v>217300</v>
      </c>
      <c r="J251" s="20">
        <f t="shared" si="7"/>
        <v>262300</v>
      </c>
    </row>
    <row r="252" spans="2:10" x14ac:dyDescent="0.25">
      <c r="B252" s="19" t="s">
        <v>631</v>
      </c>
      <c r="C252" s="14">
        <f>COUNTIFS(Data!C:C,B252,Data!V:V,2024)</f>
        <v>1</v>
      </c>
      <c r="D252" s="14">
        <f>COUNTIFS(Data!C:C,B252,Data!V:V,2025)</f>
        <v>3</v>
      </c>
      <c r="E252" s="30">
        <f t="shared" si="6"/>
        <v>4</v>
      </c>
      <c r="G252" s="19" t="s">
        <v>243</v>
      </c>
      <c r="H252" s="15">
        <f>SUMIFS(Data!M:M,Data!C:C,G252,Data!V:V,2024)</f>
        <v>29750</v>
      </c>
      <c r="I252" s="15">
        <f>SUMIFS(Data!M:M,Data!C:C,G252,Data!V:V,2025)</f>
        <v>232000</v>
      </c>
      <c r="J252" s="20">
        <f t="shared" si="7"/>
        <v>261750</v>
      </c>
    </row>
    <row r="253" spans="2:10" x14ac:dyDescent="0.25">
      <c r="B253" s="19" t="s">
        <v>449</v>
      </c>
      <c r="C253" s="14">
        <f>COUNTIFS(Data!C:C,B253,Data!V:V,2024)</f>
        <v>1</v>
      </c>
      <c r="D253" s="14">
        <f>COUNTIFS(Data!C:C,B253,Data!V:V,2025)</f>
        <v>3</v>
      </c>
      <c r="E253" s="30">
        <f t="shared" si="6"/>
        <v>4</v>
      </c>
      <c r="G253" s="19" t="s">
        <v>359</v>
      </c>
      <c r="H253" s="15">
        <f>SUMIFS(Data!M:M,Data!C:C,G253,Data!V:V,2024)</f>
        <v>67000</v>
      </c>
      <c r="I253" s="15">
        <f>SUMIFS(Data!M:M,Data!C:C,G253,Data!V:V,2025)</f>
        <v>194000</v>
      </c>
      <c r="J253" s="20">
        <f t="shared" si="7"/>
        <v>261000</v>
      </c>
    </row>
    <row r="254" spans="2:10" x14ac:dyDescent="0.25">
      <c r="B254" s="19" t="s">
        <v>1311</v>
      </c>
      <c r="C254" s="14">
        <f>COUNTIFS(Data!C:C,B254,Data!V:V,2024)</f>
        <v>0</v>
      </c>
      <c r="D254" s="14">
        <f>COUNTIFS(Data!C:C,B254,Data!V:V,2025)</f>
        <v>4</v>
      </c>
      <c r="E254" s="30">
        <f t="shared" si="6"/>
        <v>4</v>
      </c>
      <c r="G254" s="19" t="s">
        <v>449</v>
      </c>
      <c r="H254" s="15">
        <f>SUMIFS(Data!M:M,Data!C:C,G254,Data!V:V,2024)</f>
        <v>54400</v>
      </c>
      <c r="I254" s="15">
        <f>SUMIFS(Data!M:M,Data!C:C,G254,Data!V:V,2025)</f>
        <v>205800</v>
      </c>
      <c r="J254" s="20">
        <f t="shared" si="7"/>
        <v>260200</v>
      </c>
    </row>
    <row r="255" spans="2:10" x14ac:dyDescent="0.25">
      <c r="B255" s="19" t="s">
        <v>1091</v>
      </c>
      <c r="C255" s="14">
        <f>COUNTIFS(Data!C:C,B255,Data!V:V,2024)</f>
        <v>0</v>
      </c>
      <c r="D255" s="14">
        <f>COUNTIFS(Data!C:C,B255,Data!V:V,2025)</f>
        <v>4</v>
      </c>
      <c r="E255" s="30">
        <f t="shared" si="6"/>
        <v>4</v>
      </c>
      <c r="G255" s="19" t="s">
        <v>350</v>
      </c>
      <c r="H255" s="15">
        <f>SUMIFS(Data!M:M,Data!C:C,G255,Data!V:V,2024)</f>
        <v>107200</v>
      </c>
      <c r="I255" s="15">
        <f>SUMIFS(Data!M:M,Data!C:C,G255,Data!V:V,2025)</f>
        <v>150600</v>
      </c>
      <c r="J255" s="20">
        <f t="shared" si="7"/>
        <v>257800</v>
      </c>
    </row>
    <row r="256" spans="2:10" x14ac:dyDescent="0.25">
      <c r="B256" s="19" t="s">
        <v>537</v>
      </c>
      <c r="C256" s="14">
        <f>COUNTIFS(Data!C:C,B256,Data!V:V,2024)</f>
        <v>1</v>
      </c>
      <c r="D256" s="14">
        <f>COUNTIFS(Data!C:C,B256,Data!V:V,2025)</f>
        <v>3</v>
      </c>
      <c r="E256" s="30">
        <f t="shared" si="6"/>
        <v>4</v>
      </c>
      <c r="G256" s="19" t="s">
        <v>1199</v>
      </c>
      <c r="H256" s="15">
        <f>SUMIFS(Data!M:M,Data!C:C,G256,Data!V:V,2024)</f>
        <v>0</v>
      </c>
      <c r="I256" s="15">
        <f>SUMIFS(Data!M:M,Data!C:C,G256,Data!V:V,2025)</f>
        <v>254950</v>
      </c>
      <c r="J256" s="20">
        <f t="shared" si="7"/>
        <v>254950</v>
      </c>
    </row>
    <row r="257" spans="2:10" x14ac:dyDescent="0.25">
      <c r="B257" s="19" t="s">
        <v>688</v>
      </c>
      <c r="C257" s="14">
        <f>COUNTIFS(Data!C:C,B257,Data!V:V,2024)</f>
        <v>1</v>
      </c>
      <c r="D257" s="14">
        <f>COUNTIFS(Data!C:C,B257,Data!V:V,2025)</f>
        <v>3</v>
      </c>
      <c r="E257" s="30">
        <f t="shared" si="6"/>
        <v>4</v>
      </c>
      <c r="G257" s="19" t="s">
        <v>1311</v>
      </c>
      <c r="H257" s="15">
        <f>SUMIFS(Data!M:M,Data!C:C,G257,Data!V:V,2024)</f>
        <v>0</v>
      </c>
      <c r="I257" s="15">
        <f>SUMIFS(Data!M:M,Data!C:C,G257,Data!V:V,2025)</f>
        <v>253200</v>
      </c>
      <c r="J257" s="20">
        <f t="shared" si="7"/>
        <v>253200</v>
      </c>
    </row>
    <row r="258" spans="2:10" x14ac:dyDescent="0.25">
      <c r="B258" s="19" t="s">
        <v>883</v>
      </c>
      <c r="C258" s="14">
        <f>COUNTIFS(Data!C:C,B258,Data!V:V,2024)</f>
        <v>2</v>
      </c>
      <c r="D258" s="14">
        <f>COUNTIFS(Data!C:C,B258,Data!V:V,2025)</f>
        <v>2</v>
      </c>
      <c r="E258" s="30">
        <f t="shared" si="6"/>
        <v>4</v>
      </c>
      <c r="G258" s="19" t="s">
        <v>1091</v>
      </c>
      <c r="H258" s="15">
        <f>SUMIFS(Data!M:M,Data!C:C,G258,Data!V:V,2024)</f>
        <v>0</v>
      </c>
      <c r="I258" s="15">
        <f>SUMIFS(Data!M:M,Data!C:C,G258,Data!V:V,2025)</f>
        <v>253100</v>
      </c>
      <c r="J258" s="20">
        <f t="shared" si="7"/>
        <v>253100</v>
      </c>
    </row>
    <row r="259" spans="2:10" x14ac:dyDescent="0.25">
      <c r="B259" s="19" t="s">
        <v>1066</v>
      </c>
      <c r="C259" s="14">
        <f>COUNTIFS(Data!C:C,B259,Data!V:V,2024)</f>
        <v>0</v>
      </c>
      <c r="D259" s="14">
        <f>COUNTIFS(Data!C:C,B259,Data!V:V,2025)</f>
        <v>4</v>
      </c>
      <c r="E259" s="30">
        <f t="shared" si="6"/>
        <v>4</v>
      </c>
      <c r="G259" s="19" t="s">
        <v>2072</v>
      </c>
      <c r="H259" s="15">
        <f>SUMIFS(Data!M:M,Data!C:C,G259,Data!V:V,2024)</f>
        <v>0</v>
      </c>
      <c r="I259" s="15">
        <f>SUMIFS(Data!M:M,Data!C:C,G259,Data!V:V,2025)</f>
        <v>251750</v>
      </c>
      <c r="J259" s="20">
        <f t="shared" si="7"/>
        <v>251750</v>
      </c>
    </row>
    <row r="260" spans="2:10" x14ac:dyDescent="0.25">
      <c r="B260" s="19" t="s">
        <v>331</v>
      </c>
      <c r="C260" s="14">
        <f>COUNTIFS(Data!C:C,B260,Data!V:V,2024)</f>
        <v>2</v>
      </c>
      <c r="D260" s="14">
        <f>COUNTIFS(Data!C:C,B260,Data!V:V,2025)</f>
        <v>2</v>
      </c>
      <c r="E260" s="30">
        <f t="shared" si="6"/>
        <v>4</v>
      </c>
      <c r="G260" s="19" t="s">
        <v>537</v>
      </c>
      <c r="H260" s="15">
        <f>SUMIFS(Data!M:M,Data!C:C,G260,Data!V:V,2024)</f>
        <v>32000</v>
      </c>
      <c r="I260" s="15">
        <f>SUMIFS(Data!M:M,Data!C:C,G260,Data!V:V,2025)</f>
        <v>219500</v>
      </c>
      <c r="J260" s="20">
        <f t="shared" si="7"/>
        <v>251500</v>
      </c>
    </row>
    <row r="261" spans="2:10" x14ac:dyDescent="0.25">
      <c r="B261" s="19" t="s">
        <v>461</v>
      </c>
      <c r="C261" s="14">
        <f>COUNTIFS(Data!C:C,B261,Data!V:V,2024)</f>
        <v>2</v>
      </c>
      <c r="D261" s="14">
        <f>COUNTIFS(Data!C:C,B261,Data!V:V,2025)</f>
        <v>2</v>
      </c>
      <c r="E261" s="30">
        <f t="shared" si="6"/>
        <v>4</v>
      </c>
      <c r="G261" s="19" t="s">
        <v>688</v>
      </c>
      <c r="H261" s="15">
        <f>SUMIFS(Data!M:M,Data!C:C,G261,Data!V:V,2024)</f>
        <v>27200</v>
      </c>
      <c r="I261" s="15">
        <f>SUMIFS(Data!M:M,Data!C:C,G261,Data!V:V,2025)</f>
        <v>220600</v>
      </c>
      <c r="J261" s="20">
        <f t="shared" si="7"/>
        <v>247800</v>
      </c>
    </row>
    <row r="262" spans="2:10" x14ac:dyDescent="0.25">
      <c r="B262" s="19" t="s">
        <v>209</v>
      </c>
      <c r="C262" s="14">
        <f>COUNTIFS(Data!C:C,B262,Data!V:V,2024)</f>
        <v>2</v>
      </c>
      <c r="D262" s="14">
        <f>COUNTIFS(Data!C:C,B262,Data!V:V,2025)</f>
        <v>2</v>
      </c>
      <c r="E262" s="30">
        <f t="shared" si="6"/>
        <v>4</v>
      </c>
      <c r="G262" s="19" t="s">
        <v>568</v>
      </c>
      <c r="H262" s="15">
        <f>SUMIFS(Data!M:M,Data!C:C,G262,Data!V:V,2024)</f>
        <v>97700</v>
      </c>
      <c r="I262" s="15">
        <f>SUMIFS(Data!M:M,Data!C:C,G262,Data!V:V,2025)</f>
        <v>150000</v>
      </c>
      <c r="J262" s="20">
        <f t="shared" si="7"/>
        <v>247700</v>
      </c>
    </row>
    <row r="263" spans="2:10" x14ac:dyDescent="0.25">
      <c r="B263" s="19" t="s">
        <v>106</v>
      </c>
      <c r="C263" s="14">
        <f>COUNTIFS(Data!C:C,B263,Data!V:V,2024)</f>
        <v>2</v>
      </c>
      <c r="D263" s="14">
        <f>COUNTIFS(Data!C:C,B263,Data!V:V,2025)</f>
        <v>2</v>
      </c>
      <c r="E263" s="30">
        <f t="shared" si="6"/>
        <v>4</v>
      </c>
      <c r="G263" s="19" t="s">
        <v>302</v>
      </c>
      <c r="H263" s="15">
        <f>SUMIFS(Data!M:M,Data!C:C,G263,Data!V:V,2024)</f>
        <v>31500</v>
      </c>
      <c r="I263" s="15">
        <f>SUMIFS(Data!M:M,Data!C:C,G263,Data!V:V,2025)</f>
        <v>215000</v>
      </c>
      <c r="J263" s="20">
        <f t="shared" si="7"/>
        <v>246500</v>
      </c>
    </row>
    <row r="264" spans="2:10" x14ac:dyDescent="0.25">
      <c r="B264" s="19" t="s">
        <v>508</v>
      </c>
      <c r="C264" s="14">
        <f>COUNTIFS(Data!C:C,B264,Data!V:V,2024)</f>
        <v>1</v>
      </c>
      <c r="D264" s="14">
        <f>COUNTIFS(Data!C:C,B264,Data!V:V,2025)</f>
        <v>3</v>
      </c>
      <c r="E264" s="30">
        <f t="shared" si="6"/>
        <v>4</v>
      </c>
      <c r="G264" s="19" t="s">
        <v>1624</v>
      </c>
      <c r="H264" s="15">
        <f>SUMIFS(Data!M:M,Data!C:C,G264,Data!V:V,2024)</f>
        <v>0</v>
      </c>
      <c r="I264" s="15">
        <f>SUMIFS(Data!M:M,Data!C:C,G264,Data!V:V,2025)</f>
        <v>245500</v>
      </c>
      <c r="J264" s="20">
        <f t="shared" si="7"/>
        <v>245500</v>
      </c>
    </row>
    <row r="265" spans="2:10" x14ac:dyDescent="0.25">
      <c r="B265" s="19" t="s">
        <v>782</v>
      </c>
      <c r="C265" s="14">
        <f>COUNTIFS(Data!C:C,B265,Data!V:V,2024)</f>
        <v>2</v>
      </c>
      <c r="D265" s="14">
        <f>COUNTIFS(Data!C:C,B265,Data!V:V,2025)</f>
        <v>2</v>
      </c>
      <c r="E265" s="30">
        <f t="shared" si="6"/>
        <v>4</v>
      </c>
      <c r="G265" s="19" t="s">
        <v>1794</v>
      </c>
      <c r="H265" s="15">
        <f>SUMIFS(Data!M:M,Data!C:C,G265,Data!V:V,2024)</f>
        <v>0</v>
      </c>
      <c r="I265" s="15">
        <f>SUMIFS(Data!M:M,Data!C:C,G265,Data!V:V,2025)</f>
        <v>242900</v>
      </c>
      <c r="J265" s="20">
        <f t="shared" si="7"/>
        <v>242900</v>
      </c>
    </row>
    <row r="266" spans="2:10" x14ac:dyDescent="0.25">
      <c r="B266" s="19" t="s">
        <v>695</v>
      </c>
      <c r="C266" s="14">
        <f>COUNTIFS(Data!C:C,B266,Data!V:V,2024)</f>
        <v>1</v>
      </c>
      <c r="D266" s="14">
        <f>COUNTIFS(Data!C:C,B266,Data!V:V,2025)</f>
        <v>3</v>
      </c>
      <c r="E266" s="30">
        <f t="shared" si="6"/>
        <v>4</v>
      </c>
      <c r="G266" s="19" t="s">
        <v>479</v>
      </c>
      <c r="H266" s="15">
        <f>SUMIFS(Data!M:M,Data!C:C,G266,Data!V:V,2024)</f>
        <v>107350</v>
      </c>
      <c r="I266" s="15">
        <f>SUMIFS(Data!M:M,Data!C:C,G266,Data!V:V,2025)</f>
        <v>135000</v>
      </c>
      <c r="J266" s="20">
        <f t="shared" si="7"/>
        <v>242350</v>
      </c>
    </row>
    <row r="267" spans="2:10" x14ac:dyDescent="0.25">
      <c r="B267" s="19" t="s">
        <v>1047</v>
      </c>
      <c r="C267" s="14">
        <f>COUNTIFS(Data!C:C,B267,Data!V:V,2024)</f>
        <v>0</v>
      </c>
      <c r="D267" s="14">
        <f>COUNTIFS(Data!C:C,B267,Data!V:V,2025)</f>
        <v>4</v>
      </c>
      <c r="E267" s="30">
        <f t="shared" si="6"/>
        <v>4</v>
      </c>
      <c r="G267" s="19" t="s">
        <v>904</v>
      </c>
      <c r="H267" s="15">
        <f>SUMIFS(Data!M:M,Data!C:C,G267,Data!V:V,2024)</f>
        <v>51000</v>
      </c>
      <c r="I267" s="15">
        <f>SUMIFS(Data!M:M,Data!C:C,G267,Data!V:V,2025)</f>
        <v>191250</v>
      </c>
      <c r="J267" s="20">
        <f t="shared" si="7"/>
        <v>242250</v>
      </c>
    </row>
    <row r="268" spans="2:10" x14ac:dyDescent="0.25">
      <c r="B268" s="19" t="s">
        <v>1263</v>
      </c>
      <c r="C268" s="14">
        <f>COUNTIFS(Data!C:C,B268,Data!V:V,2024)</f>
        <v>0</v>
      </c>
      <c r="D268" s="14">
        <f>COUNTIFS(Data!C:C,B268,Data!V:V,2025)</f>
        <v>4</v>
      </c>
      <c r="E268" s="30">
        <f t="shared" si="6"/>
        <v>4</v>
      </c>
      <c r="G268" s="19" t="s">
        <v>985</v>
      </c>
      <c r="H268" s="15">
        <f>SUMIFS(Data!M:M,Data!C:C,G268,Data!V:V,2024)</f>
        <v>0</v>
      </c>
      <c r="I268" s="15">
        <f>SUMIFS(Data!M:M,Data!C:C,G268,Data!V:V,2025)</f>
        <v>242150</v>
      </c>
      <c r="J268" s="20">
        <f t="shared" si="7"/>
        <v>242150</v>
      </c>
    </row>
    <row r="269" spans="2:10" x14ac:dyDescent="0.25">
      <c r="B269" s="19" t="s">
        <v>1173</v>
      </c>
      <c r="C269" s="14">
        <f>COUNTIFS(Data!C:C,B269,Data!V:V,2024)</f>
        <v>0</v>
      </c>
      <c r="D269" s="14">
        <f>COUNTIFS(Data!C:C,B269,Data!V:V,2025)</f>
        <v>4</v>
      </c>
      <c r="E269" s="30">
        <f t="shared" si="6"/>
        <v>4</v>
      </c>
      <c r="G269" s="19" t="s">
        <v>883</v>
      </c>
      <c r="H269" s="15">
        <f>SUMIFS(Data!M:M,Data!C:C,G269,Data!V:V,2024)</f>
        <v>48600</v>
      </c>
      <c r="I269" s="15">
        <f>SUMIFS(Data!M:M,Data!C:C,G269,Data!V:V,2025)</f>
        <v>193300</v>
      </c>
      <c r="J269" s="20">
        <f t="shared" si="7"/>
        <v>241900</v>
      </c>
    </row>
    <row r="270" spans="2:10" x14ac:dyDescent="0.25">
      <c r="B270" s="19" t="s">
        <v>635</v>
      </c>
      <c r="C270" s="14">
        <f>COUNTIFS(Data!C:C,B270,Data!V:V,2024)</f>
        <v>1</v>
      </c>
      <c r="D270" s="14">
        <f>COUNTIFS(Data!C:C,B270,Data!V:V,2025)</f>
        <v>3</v>
      </c>
      <c r="E270" s="30">
        <f t="shared" si="6"/>
        <v>4</v>
      </c>
      <c r="G270" s="19" t="s">
        <v>1066</v>
      </c>
      <c r="H270" s="15">
        <f>SUMIFS(Data!M:M,Data!C:C,G270,Data!V:V,2024)</f>
        <v>0</v>
      </c>
      <c r="I270" s="15">
        <f>SUMIFS(Data!M:M,Data!C:C,G270,Data!V:V,2025)</f>
        <v>238800</v>
      </c>
      <c r="J270" s="20">
        <f t="shared" si="7"/>
        <v>238800</v>
      </c>
    </row>
    <row r="271" spans="2:10" x14ac:dyDescent="0.25">
      <c r="B271" s="19" t="s">
        <v>453</v>
      </c>
      <c r="C271" s="14">
        <f>COUNTIFS(Data!C:C,B271,Data!V:V,2024)</f>
        <v>2</v>
      </c>
      <c r="D271" s="14">
        <f>COUNTIFS(Data!C:C,B271,Data!V:V,2025)</f>
        <v>2</v>
      </c>
      <c r="E271" s="30">
        <f t="shared" si="6"/>
        <v>4</v>
      </c>
      <c r="G271" s="19" t="s">
        <v>391</v>
      </c>
      <c r="H271" s="15">
        <f>SUMIFS(Data!M:M,Data!C:C,G271,Data!V:V,2024)</f>
        <v>154000</v>
      </c>
      <c r="I271" s="15">
        <f>SUMIFS(Data!M:M,Data!C:C,G271,Data!V:V,2025)</f>
        <v>84000</v>
      </c>
      <c r="J271" s="20">
        <f t="shared" si="7"/>
        <v>238000</v>
      </c>
    </row>
    <row r="272" spans="2:10" x14ac:dyDescent="0.25">
      <c r="B272" s="19" t="s">
        <v>732</v>
      </c>
      <c r="C272" s="14">
        <f>COUNTIFS(Data!C:C,B272,Data!V:V,2024)</f>
        <v>1</v>
      </c>
      <c r="D272" s="14">
        <f>COUNTIFS(Data!C:C,B272,Data!V:V,2025)</f>
        <v>3</v>
      </c>
      <c r="E272" s="30">
        <f t="shared" si="6"/>
        <v>4</v>
      </c>
      <c r="G272" s="19" t="s">
        <v>751</v>
      </c>
      <c r="H272" s="15">
        <f>SUMIFS(Data!M:M,Data!C:C,G272,Data!V:V,2024)</f>
        <v>88000</v>
      </c>
      <c r="I272" s="15">
        <f>SUMIFS(Data!M:M,Data!C:C,G272,Data!V:V,2025)</f>
        <v>149750</v>
      </c>
      <c r="J272" s="20">
        <f t="shared" si="7"/>
        <v>237750</v>
      </c>
    </row>
    <row r="273" spans="2:10" x14ac:dyDescent="0.25">
      <c r="B273" s="19" t="s">
        <v>437</v>
      </c>
      <c r="C273" s="14">
        <f>COUNTIFS(Data!C:C,B273,Data!V:V,2024)</f>
        <v>1</v>
      </c>
      <c r="D273" s="14">
        <f>COUNTIFS(Data!C:C,B273,Data!V:V,2025)</f>
        <v>3</v>
      </c>
      <c r="E273" s="30">
        <f t="shared" si="6"/>
        <v>4</v>
      </c>
      <c r="G273" s="19" t="s">
        <v>1259</v>
      </c>
      <c r="H273" s="15">
        <f>SUMIFS(Data!M:M,Data!C:C,G273,Data!V:V,2024)</f>
        <v>0</v>
      </c>
      <c r="I273" s="15">
        <f>SUMIFS(Data!M:M,Data!C:C,G273,Data!V:V,2025)</f>
        <v>236200</v>
      </c>
      <c r="J273" s="20">
        <f t="shared" si="7"/>
        <v>236200</v>
      </c>
    </row>
    <row r="274" spans="2:10" x14ac:dyDescent="0.25">
      <c r="B274" s="19" t="s">
        <v>26</v>
      </c>
      <c r="C274" s="14">
        <f>COUNTIFS(Data!C:C,B274,Data!V:V,2024)</f>
        <v>3</v>
      </c>
      <c r="D274" s="14">
        <f>COUNTIFS(Data!C:C,B274,Data!V:V,2025)</f>
        <v>1</v>
      </c>
      <c r="E274" s="30">
        <f t="shared" si="6"/>
        <v>4</v>
      </c>
      <c r="G274" s="19" t="s">
        <v>331</v>
      </c>
      <c r="H274" s="15">
        <f>SUMIFS(Data!M:M,Data!C:C,G274,Data!V:V,2024)</f>
        <v>116000</v>
      </c>
      <c r="I274" s="15">
        <f>SUMIFS(Data!M:M,Data!C:C,G274,Data!V:V,2025)</f>
        <v>119250</v>
      </c>
      <c r="J274" s="20">
        <f t="shared" si="7"/>
        <v>235250</v>
      </c>
    </row>
    <row r="275" spans="2:10" x14ac:dyDescent="0.25">
      <c r="B275" s="19" t="s">
        <v>603</v>
      </c>
      <c r="C275" s="14">
        <f>COUNTIFS(Data!C:C,B275,Data!V:V,2024)</f>
        <v>1</v>
      </c>
      <c r="D275" s="14">
        <f>COUNTIFS(Data!C:C,B275,Data!V:V,2025)</f>
        <v>3</v>
      </c>
      <c r="E275" s="30">
        <f t="shared" si="6"/>
        <v>4</v>
      </c>
      <c r="G275" s="19" t="s">
        <v>724</v>
      </c>
      <c r="H275" s="15">
        <f>SUMIFS(Data!M:M,Data!C:C,G275,Data!V:V,2024)</f>
        <v>165000</v>
      </c>
      <c r="I275" s="15">
        <f>SUMIFS(Data!M:M,Data!C:C,G275,Data!V:V,2025)</f>
        <v>70000</v>
      </c>
      <c r="J275" s="20">
        <f t="shared" si="7"/>
        <v>235000</v>
      </c>
    </row>
    <row r="276" spans="2:10" x14ac:dyDescent="0.25">
      <c r="B276" s="19" t="s">
        <v>758</v>
      </c>
      <c r="C276" s="14">
        <f>COUNTIFS(Data!C:C,B276,Data!V:V,2024)</f>
        <v>2</v>
      </c>
      <c r="D276" s="14">
        <f>COUNTIFS(Data!C:C,B276,Data!V:V,2025)</f>
        <v>2</v>
      </c>
      <c r="E276" s="30">
        <f t="shared" si="6"/>
        <v>4</v>
      </c>
      <c r="G276" s="19" t="s">
        <v>976</v>
      </c>
      <c r="H276" s="15">
        <f>SUMIFS(Data!M:M,Data!C:C,G276,Data!V:V,2024)</f>
        <v>0</v>
      </c>
      <c r="I276" s="15">
        <f>SUMIFS(Data!M:M,Data!C:C,G276,Data!V:V,2025)</f>
        <v>234600</v>
      </c>
      <c r="J276" s="20">
        <f t="shared" si="7"/>
        <v>234600</v>
      </c>
    </row>
    <row r="277" spans="2:10" x14ac:dyDescent="0.25">
      <c r="B277" s="19" t="s">
        <v>1396</v>
      </c>
      <c r="C277" s="14">
        <f>COUNTIFS(Data!C:C,B277,Data!V:V,2024)</f>
        <v>0</v>
      </c>
      <c r="D277" s="14">
        <f>COUNTIFS(Data!C:C,B277,Data!V:V,2025)</f>
        <v>4</v>
      </c>
      <c r="E277" s="30">
        <f t="shared" si="6"/>
        <v>4</v>
      </c>
      <c r="G277" s="19" t="s">
        <v>1348</v>
      </c>
      <c r="H277" s="15">
        <f>SUMIFS(Data!M:M,Data!C:C,G277,Data!V:V,2024)</f>
        <v>0</v>
      </c>
      <c r="I277" s="15">
        <f>SUMIFS(Data!M:M,Data!C:C,G277,Data!V:V,2025)</f>
        <v>233150</v>
      </c>
      <c r="J277" s="20">
        <f t="shared" si="7"/>
        <v>233150</v>
      </c>
    </row>
    <row r="278" spans="2:10" x14ac:dyDescent="0.25">
      <c r="B278" s="19" t="s">
        <v>780</v>
      </c>
      <c r="C278" s="14">
        <f>COUNTIFS(Data!C:C,B278,Data!V:V,2024)</f>
        <v>1</v>
      </c>
      <c r="D278" s="14">
        <f>COUNTIFS(Data!C:C,B278,Data!V:V,2025)</f>
        <v>3</v>
      </c>
      <c r="E278" s="30">
        <f t="shared" si="6"/>
        <v>4</v>
      </c>
      <c r="G278" s="19" t="s">
        <v>651</v>
      </c>
      <c r="H278" s="15">
        <f>SUMIFS(Data!M:M,Data!C:C,G278,Data!V:V,2024)</f>
        <v>11900</v>
      </c>
      <c r="I278" s="15">
        <f>SUMIFS(Data!M:M,Data!C:C,G278,Data!V:V,2025)</f>
        <v>220000</v>
      </c>
      <c r="J278" s="20">
        <f t="shared" si="7"/>
        <v>231900</v>
      </c>
    </row>
    <row r="279" spans="2:10" x14ac:dyDescent="0.25">
      <c r="B279" s="19" t="s">
        <v>821</v>
      </c>
      <c r="C279" s="14">
        <f>COUNTIFS(Data!C:C,B279,Data!V:V,2024)</f>
        <v>1</v>
      </c>
      <c r="D279" s="14">
        <f>COUNTIFS(Data!C:C,B279,Data!V:V,2025)</f>
        <v>3</v>
      </c>
      <c r="E279" s="30">
        <f t="shared" si="6"/>
        <v>4</v>
      </c>
      <c r="G279" s="19" t="s">
        <v>461</v>
      </c>
      <c r="H279" s="15">
        <f>SUMIFS(Data!M:M,Data!C:C,G279,Data!V:V,2024)</f>
        <v>153000</v>
      </c>
      <c r="I279" s="15">
        <f>SUMIFS(Data!M:M,Data!C:C,G279,Data!V:V,2025)</f>
        <v>78200</v>
      </c>
      <c r="J279" s="20">
        <f t="shared" si="7"/>
        <v>231200</v>
      </c>
    </row>
    <row r="280" spans="2:10" x14ac:dyDescent="0.25">
      <c r="B280" s="19" t="s">
        <v>466</v>
      </c>
      <c r="C280" s="14">
        <f>COUNTIFS(Data!C:C,B280,Data!V:V,2024)</f>
        <v>2</v>
      </c>
      <c r="D280" s="14">
        <f>COUNTIFS(Data!C:C,B280,Data!V:V,2025)</f>
        <v>2</v>
      </c>
      <c r="E280" s="30">
        <f t="shared" si="6"/>
        <v>4</v>
      </c>
      <c r="G280" s="19" t="s">
        <v>1038</v>
      </c>
      <c r="H280" s="15">
        <f>SUMIFS(Data!M:M,Data!C:C,G280,Data!V:V,2024)</f>
        <v>0</v>
      </c>
      <c r="I280" s="15">
        <f>SUMIFS(Data!M:M,Data!C:C,G280,Data!V:V,2025)</f>
        <v>229500</v>
      </c>
      <c r="J280" s="20">
        <f t="shared" si="7"/>
        <v>229500</v>
      </c>
    </row>
    <row r="281" spans="2:10" x14ac:dyDescent="0.25">
      <c r="B281" s="19" t="s">
        <v>1523</v>
      </c>
      <c r="C281" s="14">
        <f>COUNTIFS(Data!C:C,B281,Data!V:V,2024)</f>
        <v>0</v>
      </c>
      <c r="D281" s="14">
        <f>COUNTIFS(Data!C:C,B281,Data!V:V,2025)</f>
        <v>4</v>
      </c>
      <c r="E281" s="30">
        <f t="shared" si="6"/>
        <v>4</v>
      </c>
      <c r="G281" s="19" t="s">
        <v>1136</v>
      </c>
      <c r="H281" s="15">
        <f>SUMIFS(Data!M:M,Data!C:C,G281,Data!V:V,2024)</f>
        <v>0</v>
      </c>
      <c r="I281" s="15">
        <f>SUMIFS(Data!M:M,Data!C:C,G281,Data!V:V,2025)</f>
        <v>229000</v>
      </c>
      <c r="J281" s="20">
        <f t="shared" si="7"/>
        <v>229000</v>
      </c>
    </row>
    <row r="282" spans="2:10" x14ac:dyDescent="0.25">
      <c r="B282" s="19" t="s">
        <v>856</v>
      </c>
      <c r="C282" s="14">
        <f>COUNTIFS(Data!C:C,B282,Data!V:V,2024)</f>
        <v>1</v>
      </c>
      <c r="D282" s="14">
        <f>COUNTIFS(Data!C:C,B282,Data!V:V,2025)</f>
        <v>3</v>
      </c>
      <c r="E282" s="30">
        <f t="shared" si="6"/>
        <v>4</v>
      </c>
      <c r="G282" s="19" t="s">
        <v>1050</v>
      </c>
      <c r="H282" s="15">
        <f>SUMIFS(Data!M:M,Data!C:C,G282,Data!V:V,2024)</f>
        <v>0</v>
      </c>
      <c r="I282" s="15">
        <f>SUMIFS(Data!M:M,Data!C:C,G282,Data!V:V,2025)</f>
        <v>228600</v>
      </c>
      <c r="J282" s="20">
        <f t="shared" si="7"/>
        <v>228600</v>
      </c>
    </row>
    <row r="283" spans="2:10" x14ac:dyDescent="0.25">
      <c r="B283" s="19" t="s">
        <v>520</v>
      </c>
      <c r="C283" s="14">
        <f>COUNTIFS(Data!C:C,B283,Data!V:V,2024)</f>
        <v>3</v>
      </c>
      <c r="D283" s="14">
        <f>COUNTIFS(Data!C:C,B283,Data!V:V,2025)</f>
        <v>1</v>
      </c>
      <c r="E283" s="30">
        <f t="shared" si="6"/>
        <v>4</v>
      </c>
      <c r="G283" s="19" t="s">
        <v>504</v>
      </c>
      <c r="H283" s="15">
        <f>SUMIFS(Data!M:M,Data!C:C,G283,Data!V:V,2024)</f>
        <v>99200</v>
      </c>
      <c r="I283" s="15">
        <f>SUMIFS(Data!M:M,Data!C:C,G283,Data!V:V,2025)</f>
        <v>129400</v>
      </c>
      <c r="J283" s="20">
        <f t="shared" si="7"/>
        <v>228600</v>
      </c>
    </row>
    <row r="284" spans="2:10" x14ac:dyDescent="0.25">
      <c r="B284" s="19" t="s">
        <v>877</v>
      </c>
      <c r="C284" s="14">
        <f>COUNTIFS(Data!C:C,B284,Data!V:V,2024)</f>
        <v>1</v>
      </c>
      <c r="D284" s="14">
        <f>COUNTIFS(Data!C:C,B284,Data!V:V,2025)</f>
        <v>3</v>
      </c>
      <c r="E284" s="30">
        <f t="shared" si="6"/>
        <v>4</v>
      </c>
      <c r="G284" s="19" t="s">
        <v>209</v>
      </c>
      <c r="H284" s="15">
        <f>SUMIFS(Data!M:M,Data!C:C,G284,Data!V:V,2024)</f>
        <v>25500</v>
      </c>
      <c r="I284" s="15">
        <f>SUMIFS(Data!M:M,Data!C:C,G284,Data!V:V,2025)</f>
        <v>202300</v>
      </c>
      <c r="J284" s="20">
        <f t="shared" si="7"/>
        <v>227800</v>
      </c>
    </row>
    <row r="285" spans="2:10" x14ac:dyDescent="0.25">
      <c r="B285" s="19" t="s">
        <v>1981</v>
      </c>
      <c r="C285" s="14">
        <f>COUNTIFS(Data!C:C,B285,Data!V:V,2024)</f>
        <v>0</v>
      </c>
      <c r="D285" s="14">
        <f>COUNTIFS(Data!C:C,B285,Data!V:V,2025)</f>
        <v>4</v>
      </c>
      <c r="E285" s="30">
        <f t="shared" si="6"/>
        <v>4</v>
      </c>
      <c r="G285" s="19" t="s">
        <v>69</v>
      </c>
      <c r="H285" s="15">
        <f>SUMIFS(Data!M:M,Data!C:C,G285,Data!V:V,2024)</f>
        <v>152000</v>
      </c>
      <c r="I285" s="15">
        <f>SUMIFS(Data!M:M,Data!C:C,G285,Data!V:V,2025)</f>
        <v>75600</v>
      </c>
      <c r="J285" s="20">
        <f t="shared" si="7"/>
        <v>227600</v>
      </c>
    </row>
    <row r="286" spans="2:10" x14ac:dyDescent="0.25">
      <c r="B286" s="19" t="s">
        <v>551</v>
      </c>
      <c r="C286" s="14">
        <f>COUNTIFS(Data!C:C,B286,Data!V:V,2024)</f>
        <v>3</v>
      </c>
      <c r="D286" s="14">
        <f>COUNTIFS(Data!C:C,B286,Data!V:V,2025)</f>
        <v>1</v>
      </c>
      <c r="E286" s="30">
        <f t="shared" si="6"/>
        <v>4</v>
      </c>
      <c r="G286" s="19" t="s">
        <v>106</v>
      </c>
      <c r="H286" s="15">
        <f>SUMIFS(Data!M:M,Data!C:C,G286,Data!V:V,2024)</f>
        <v>165300</v>
      </c>
      <c r="I286" s="15">
        <f>SUMIFS(Data!M:M,Data!C:C,G286,Data!V:V,2025)</f>
        <v>60800</v>
      </c>
      <c r="J286" s="20">
        <f t="shared" si="7"/>
        <v>226100</v>
      </c>
    </row>
    <row r="287" spans="2:10" x14ac:dyDescent="0.25">
      <c r="B287" s="19" t="s">
        <v>385</v>
      </c>
      <c r="C287" s="14">
        <f>COUNTIFS(Data!C:C,B287,Data!V:V,2024)</f>
        <v>2</v>
      </c>
      <c r="D287" s="14">
        <f>COUNTIFS(Data!C:C,B287,Data!V:V,2025)</f>
        <v>2</v>
      </c>
      <c r="E287" s="30">
        <f t="shared" si="6"/>
        <v>4</v>
      </c>
      <c r="G287" s="19" t="s">
        <v>508</v>
      </c>
      <c r="H287" s="15">
        <f>SUMIFS(Data!M:M,Data!C:C,G287,Data!V:V,2024)</f>
        <v>36000</v>
      </c>
      <c r="I287" s="15">
        <f>SUMIFS(Data!M:M,Data!C:C,G287,Data!V:V,2025)</f>
        <v>189550</v>
      </c>
      <c r="J287" s="20">
        <f t="shared" si="7"/>
        <v>225550</v>
      </c>
    </row>
    <row r="288" spans="2:10" x14ac:dyDescent="0.25">
      <c r="B288" s="19" t="s">
        <v>281</v>
      </c>
      <c r="C288" s="14">
        <f>COUNTIFS(Data!C:C,B288,Data!V:V,2024)</f>
        <v>3</v>
      </c>
      <c r="D288" s="14">
        <f>COUNTIFS(Data!C:C,B288,Data!V:V,2025)</f>
        <v>1</v>
      </c>
      <c r="E288" s="30">
        <f t="shared" si="6"/>
        <v>4</v>
      </c>
      <c r="G288" s="19" t="s">
        <v>335</v>
      </c>
      <c r="H288" s="15">
        <f>SUMIFS(Data!M:M,Data!C:C,G288,Data!V:V,2024)</f>
        <v>110000</v>
      </c>
      <c r="I288" s="15">
        <f>SUMIFS(Data!M:M,Data!C:C,G288,Data!V:V,2025)</f>
        <v>114750</v>
      </c>
      <c r="J288" s="20">
        <f t="shared" si="7"/>
        <v>224750</v>
      </c>
    </row>
    <row r="289" spans="2:10" x14ac:dyDescent="0.25">
      <c r="B289" s="19" t="s">
        <v>918</v>
      </c>
      <c r="C289" s="14">
        <f>COUNTIFS(Data!C:C,B289,Data!V:V,2024)</f>
        <v>0</v>
      </c>
      <c r="D289" s="14">
        <f>COUNTIFS(Data!C:C,B289,Data!V:V,2025)</f>
        <v>4</v>
      </c>
      <c r="E289" s="30">
        <f t="shared" si="6"/>
        <v>4</v>
      </c>
      <c r="G289" s="19" t="s">
        <v>1561</v>
      </c>
      <c r="H289" s="15">
        <f>SUMIFS(Data!M:M,Data!C:C,G289,Data!V:V,2024)</f>
        <v>0</v>
      </c>
      <c r="I289" s="15">
        <f>SUMIFS(Data!M:M,Data!C:C,G289,Data!V:V,2025)</f>
        <v>224000</v>
      </c>
      <c r="J289" s="20">
        <f t="shared" si="7"/>
        <v>224000</v>
      </c>
    </row>
    <row r="290" spans="2:10" x14ac:dyDescent="0.25">
      <c r="B290" s="19" t="s">
        <v>1293</v>
      </c>
      <c r="C290" s="14">
        <f>COUNTIFS(Data!C:C,B290,Data!V:V,2024)</f>
        <v>0</v>
      </c>
      <c r="D290" s="14">
        <f>COUNTIFS(Data!C:C,B290,Data!V:V,2025)</f>
        <v>4</v>
      </c>
      <c r="E290" s="30">
        <f t="shared" ref="E290:E353" si="8">C290+D290</f>
        <v>4</v>
      </c>
      <c r="G290" s="19" t="s">
        <v>240</v>
      </c>
      <c r="H290" s="15">
        <f>SUMIFS(Data!M:M,Data!C:C,G290,Data!V:V,2024)</f>
        <v>224000</v>
      </c>
      <c r="I290" s="15">
        <f>SUMIFS(Data!M:M,Data!C:C,G290,Data!V:V,2025)</f>
        <v>0</v>
      </c>
      <c r="J290" s="20">
        <f t="shared" ref="J290:J353" si="9">H290+I290</f>
        <v>224000</v>
      </c>
    </row>
    <row r="291" spans="2:10" x14ac:dyDescent="0.25">
      <c r="B291" s="19" t="s">
        <v>159</v>
      </c>
      <c r="C291" s="14">
        <f>COUNTIFS(Data!C:C,B291,Data!V:V,2024)</f>
        <v>1</v>
      </c>
      <c r="D291" s="14">
        <f>COUNTIFS(Data!C:C,B291,Data!V:V,2025)</f>
        <v>3</v>
      </c>
      <c r="E291" s="30">
        <f t="shared" si="8"/>
        <v>4</v>
      </c>
      <c r="G291" s="19" t="s">
        <v>782</v>
      </c>
      <c r="H291" s="15">
        <f>SUMIFS(Data!M:M,Data!C:C,G291,Data!V:V,2024)</f>
        <v>67700</v>
      </c>
      <c r="I291" s="15">
        <f>SUMIFS(Data!M:M,Data!C:C,G291,Data!V:V,2025)</f>
        <v>156000</v>
      </c>
      <c r="J291" s="20">
        <f t="shared" si="9"/>
        <v>223700</v>
      </c>
    </row>
    <row r="292" spans="2:10" x14ac:dyDescent="0.25">
      <c r="B292" s="19" t="s">
        <v>408</v>
      </c>
      <c r="C292" s="14">
        <f>COUNTIFS(Data!C:C,B292,Data!V:V,2024)</f>
        <v>2</v>
      </c>
      <c r="D292" s="14">
        <f>COUNTIFS(Data!C:C,B292,Data!V:V,2025)</f>
        <v>2</v>
      </c>
      <c r="E292" s="30">
        <f t="shared" si="8"/>
        <v>4</v>
      </c>
      <c r="G292" s="19" t="s">
        <v>808</v>
      </c>
      <c r="H292" s="15">
        <f>SUMIFS(Data!M:M,Data!C:C,G292,Data!V:V,2024)</f>
        <v>43200</v>
      </c>
      <c r="I292" s="15">
        <f>SUMIFS(Data!M:M,Data!C:C,G292,Data!V:V,2025)</f>
        <v>180000</v>
      </c>
      <c r="J292" s="20">
        <f t="shared" si="9"/>
        <v>223200</v>
      </c>
    </row>
    <row r="293" spans="2:10" x14ac:dyDescent="0.25">
      <c r="B293" s="19" t="s">
        <v>1424</v>
      </c>
      <c r="C293" s="14">
        <f>COUNTIFS(Data!C:C,B293,Data!V:V,2024)</f>
        <v>0</v>
      </c>
      <c r="D293" s="14">
        <f>COUNTIFS(Data!C:C,B293,Data!V:V,2025)</f>
        <v>4</v>
      </c>
      <c r="E293" s="30">
        <f t="shared" si="8"/>
        <v>4</v>
      </c>
      <c r="G293" s="19" t="s">
        <v>729</v>
      </c>
      <c r="H293" s="15">
        <f>SUMIFS(Data!M:M,Data!C:C,G293,Data!V:V,2024)</f>
        <v>43200</v>
      </c>
      <c r="I293" s="15">
        <f>SUMIFS(Data!M:M,Data!C:C,G293,Data!V:V,2025)</f>
        <v>177750</v>
      </c>
      <c r="J293" s="20">
        <f t="shared" si="9"/>
        <v>220950</v>
      </c>
    </row>
    <row r="294" spans="2:10" x14ac:dyDescent="0.25">
      <c r="B294" s="19" t="s">
        <v>115</v>
      </c>
      <c r="C294" s="14">
        <f>COUNTIFS(Data!C:C,B294,Data!V:V,2024)</f>
        <v>2</v>
      </c>
      <c r="D294" s="14">
        <f>COUNTIFS(Data!C:C,B294,Data!V:V,2025)</f>
        <v>2</v>
      </c>
      <c r="E294" s="30">
        <f t="shared" si="8"/>
        <v>4</v>
      </c>
      <c r="G294" s="19" t="s">
        <v>954</v>
      </c>
      <c r="H294" s="15">
        <f>SUMIFS(Data!M:M,Data!C:C,G294,Data!V:V,2024)</f>
        <v>0</v>
      </c>
      <c r="I294" s="15">
        <f>SUMIFS(Data!M:M,Data!C:C,G294,Data!V:V,2025)</f>
        <v>220800</v>
      </c>
      <c r="J294" s="20">
        <f t="shared" si="9"/>
        <v>220800</v>
      </c>
    </row>
    <row r="295" spans="2:10" x14ac:dyDescent="0.25">
      <c r="B295" s="19" t="s">
        <v>860</v>
      </c>
      <c r="C295" s="14">
        <f>COUNTIFS(Data!C:C,B295,Data!V:V,2024)</f>
        <v>2</v>
      </c>
      <c r="D295" s="14">
        <f>COUNTIFS(Data!C:C,B295,Data!V:V,2025)</f>
        <v>2</v>
      </c>
      <c r="E295" s="30">
        <f t="shared" si="8"/>
        <v>4</v>
      </c>
      <c r="G295" s="19" t="s">
        <v>1117</v>
      </c>
      <c r="H295" s="15">
        <f>SUMIFS(Data!M:M,Data!C:C,G295,Data!V:V,2024)</f>
        <v>0</v>
      </c>
      <c r="I295" s="15">
        <f>SUMIFS(Data!M:M,Data!C:C,G295,Data!V:V,2025)</f>
        <v>218700</v>
      </c>
      <c r="J295" s="20">
        <f t="shared" si="9"/>
        <v>218700</v>
      </c>
    </row>
    <row r="296" spans="2:10" x14ac:dyDescent="0.25">
      <c r="B296" s="19" t="s">
        <v>553</v>
      </c>
      <c r="C296" s="14">
        <f>COUNTIFS(Data!C:C,B296,Data!V:V,2024)</f>
        <v>2</v>
      </c>
      <c r="D296" s="14">
        <f>COUNTIFS(Data!C:C,B296,Data!V:V,2025)</f>
        <v>1</v>
      </c>
      <c r="E296" s="30">
        <f t="shared" si="8"/>
        <v>3</v>
      </c>
      <c r="G296" s="19" t="s">
        <v>1313</v>
      </c>
      <c r="H296" s="15">
        <f>SUMIFS(Data!M:M,Data!C:C,G296,Data!V:V,2024)</f>
        <v>0</v>
      </c>
      <c r="I296" s="15">
        <f>SUMIFS(Data!M:M,Data!C:C,G296,Data!V:V,2025)</f>
        <v>218550</v>
      </c>
      <c r="J296" s="20">
        <f t="shared" si="9"/>
        <v>218550</v>
      </c>
    </row>
    <row r="297" spans="2:10" x14ac:dyDescent="0.25">
      <c r="B297" s="19" t="s">
        <v>2210</v>
      </c>
      <c r="C297" s="14">
        <f>COUNTIFS(Data!C:C,B297,Data!V:V,2024)</f>
        <v>0</v>
      </c>
      <c r="D297" s="14">
        <f>COUNTIFS(Data!C:C,B297,Data!V:V,2025)</f>
        <v>3</v>
      </c>
      <c r="E297" s="30">
        <f t="shared" si="8"/>
        <v>3</v>
      </c>
      <c r="G297" s="19" t="s">
        <v>695</v>
      </c>
      <c r="H297" s="15">
        <f>SUMIFS(Data!M:M,Data!C:C,G297,Data!V:V,2024)</f>
        <v>48450</v>
      </c>
      <c r="I297" s="15">
        <f>SUMIFS(Data!M:M,Data!C:C,G297,Data!V:V,2025)</f>
        <v>166300</v>
      </c>
      <c r="J297" s="20">
        <f t="shared" si="9"/>
        <v>214750</v>
      </c>
    </row>
    <row r="298" spans="2:10" x14ac:dyDescent="0.25">
      <c r="B298" s="19" t="s">
        <v>1757</v>
      </c>
      <c r="C298" s="14">
        <f>COUNTIFS(Data!C:C,B298,Data!V:V,2024)</f>
        <v>0</v>
      </c>
      <c r="D298" s="14">
        <f>COUNTIFS(Data!C:C,B298,Data!V:V,2025)</f>
        <v>3</v>
      </c>
      <c r="E298" s="30">
        <f t="shared" si="8"/>
        <v>3</v>
      </c>
      <c r="G298" s="19" t="s">
        <v>1047</v>
      </c>
      <c r="H298" s="15">
        <f>SUMIFS(Data!M:M,Data!C:C,G298,Data!V:V,2024)</f>
        <v>0</v>
      </c>
      <c r="I298" s="15">
        <f>SUMIFS(Data!M:M,Data!C:C,G298,Data!V:V,2025)</f>
        <v>212950</v>
      </c>
      <c r="J298" s="20">
        <f t="shared" si="9"/>
        <v>212950</v>
      </c>
    </row>
    <row r="299" spans="2:10" x14ac:dyDescent="0.25">
      <c r="B299" s="19" t="s">
        <v>1808</v>
      </c>
      <c r="C299" s="14">
        <f>COUNTIFS(Data!C:C,B299,Data!V:V,2024)</f>
        <v>0</v>
      </c>
      <c r="D299" s="14">
        <f>COUNTIFS(Data!C:C,B299,Data!V:V,2025)</f>
        <v>3</v>
      </c>
      <c r="E299" s="30">
        <f t="shared" si="8"/>
        <v>3</v>
      </c>
      <c r="G299" s="19" t="s">
        <v>1263</v>
      </c>
      <c r="H299" s="15">
        <f>SUMIFS(Data!M:M,Data!C:C,G299,Data!V:V,2024)</f>
        <v>0</v>
      </c>
      <c r="I299" s="15">
        <f>SUMIFS(Data!M:M,Data!C:C,G299,Data!V:V,2025)</f>
        <v>211650</v>
      </c>
      <c r="J299" s="20">
        <f t="shared" si="9"/>
        <v>211650</v>
      </c>
    </row>
    <row r="300" spans="2:10" x14ac:dyDescent="0.25">
      <c r="B300" s="19" t="s">
        <v>683</v>
      </c>
      <c r="C300" s="14">
        <f>COUNTIFS(Data!C:C,B300,Data!V:V,2024)</f>
        <v>1</v>
      </c>
      <c r="D300" s="14">
        <f>COUNTIFS(Data!C:C,B300,Data!V:V,2025)</f>
        <v>2</v>
      </c>
      <c r="E300" s="30">
        <f t="shared" si="8"/>
        <v>3</v>
      </c>
      <c r="G300" s="19" t="s">
        <v>371</v>
      </c>
      <c r="H300" s="15">
        <f>SUMIFS(Data!M:M,Data!C:C,G300,Data!V:V,2024)</f>
        <v>109800</v>
      </c>
      <c r="I300" s="15">
        <f>SUMIFS(Data!M:M,Data!C:C,G300,Data!V:V,2025)</f>
        <v>99750</v>
      </c>
      <c r="J300" s="20">
        <f t="shared" si="9"/>
        <v>209550</v>
      </c>
    </row>
    <row r="301" spans="2:10" x14ac:dyDescent="0.25">
      <c r="B301" s="19" t="s">
        <v>316</v>
      </c>
      <c r="C301" s="14">
        <f>COUNTIFS(Data!C:C,B301,Data!V:V,2024)</f>
        <v>1</v>
      </c>
      <c r="D301" s="14">
        <f>COUNTIFS(Data!C:C,B301,Data!V:V,2025)</f>
        <v>2</v>
      </c>
      <c r="E301" s="30">
        <f t="shared" si="8"/>
        <v>3</v>
      </c>
      <c r="G301" s="19" t="s">
        <v>527</v>
      </c>
      <c r="H301" s="15">
        <f>SUMIFS(Data!M:M,Data!C:C,G301,Data!V:V,2024)</f>
        <v>160000</v>
      </c>
      <c r="I301" s="15">
        <f>SUMIFS(Data!M:M,Data!C:C,G301,Data!V:V,2025)</f>
        <v>48000</v>
      </c>
      <c r="J301" s="20">
        <f t="shared" si="9"/>
        <v>208000</v>
      </c>
    </row>
    <row r="302" spans="2:10" x14ac:dyDescent="0.25">
      <c r="B302" s="19" t="s">
        <v>836</v>
      </c>
      <c r="C302" s="14">
        <f>COUNTIFS(Data!C:C,B302,Data!V:V,2024)</f>
        <v>1</v>
      </c>
      <c r="D302" s="14">
        <f>COUNTIFS(Data!C:C,B302,Data!V:V,2025)</f>
        <v>2</v>
      </c>
      <c r="E302" s="30">
        <f t="shared" si="8"/>
        <v>3</v>
      </c>
      <c r="G302" s="19" t="s">
        <v>142</v>
      </c>
      <c r="H302" s="15">
        <f>SUMIFS(Data!M:M,Data!C:C,G302,Data!V:V,2024)</f>
        <v>174600</v>
      </c>
      <c r="I302" s="15">
        <f>SUMIFS(Data!M:M,Data!C:C,G302,Data!V:V,2025)</f>
        <v>33200</v>
      </c>
      <c r="J302" s="20">
        <f t="shared" si="9"/>
        <v>207800</v>
      </c>
    </row>
    <row r="303" spans="2:10" x14ac:dyDescent="0.25">
      <c r="B303" s="19" t="s">
        <v>1073</v>
      </c>
      <c r="C303" s="14">
        <f>COUNTIFS(Data!C:C,B303,Data!V:V,2024)</f>
        <v>0</v>
      </c>
      <c r="D303" s="14">
        <f>COUNTIFS(Data!C:C,B303,Data!V:V,2025)</f>
        <v>3</v>
      </c>
      <c r="E303" s="30">
        <f t="shared" si="8"/>
        <v>3</v>
      </c>
      <c r="G303" s="19" t="s">
        <v>1620</v>
      </c>
      <c r="H303" s="15">
        <f>SUMIFS(Data!M:M,Data!C:C,G303,Data!V:V,2024)</f>
        <v>0</v>
      </c>
      <c r="I303" s="15">
        <f>SUMIFS(Data!M:M,Data!C:C,G303,Data!V:V,2025)</f>
        <v>205350</v>
      </c>
      <c r="J303" s="20">
        <f t="shared" si="9"/>
        <v>205350</v>
      </c>
    </row>
    <row r="304" spans="2:10" x14ac:dyDescent="0.25">
      <c r="B304" s="19" t="s">
        <v>2080</v>
      </c>
      <c r="C304" s="14">
        <f>COUNTIFS(Data!C:C,B304,Data!V:V,2024)</f>
        <v>0</v>
      </c>
      <c r="D304" s="14">
        <f>COUNTIFS(Data!C:C,B304,Data!V:V,2025)</f>
        <v>3</v>
      </c>
      <c r="E304" s="30">
        <f t="shared" si="8"/>
        <v>3</v>
      </c>
      <c r="G304" s="19" t="s">
        <v>1173</v>
      </c>
      <c r="H304" s="15">
        <f>SUMIFS(Data!M:M,Data!C:C,G304,Data!V:V,2024)</f>
        <v>0</v>
      </c>
      <c r="I304" s="15">
        <f>SUMIFS(Data!M:M,Data!C:C,G304,Data!V:V,2025)</f>
        <v>202500</v>
      </c>
      <c r="J304" s="20">
        <f t="shared" si="9"/>
        <v>202500</v>
      </c>
    </row>
    <row r="305" spans="2:10" x14ac:dyDescent="0.25">
      <c r="B305" s="19" t="s">
        <v>853</v>
      </c>
      <c r="C305" s="14">
        <f>COUNTIFS(Data!C:C,B305,Data!V:V,2024)</f>
        <v>1</v>
      </c>
      <c r="D305" s="14">
        <f>COUNTIFS(Data!C:C,B305,Data!V:V,2025)</f>
        <v>2</v>
      </c>
      <c r="E305" s="30">
        <f t="shared" si="8"/>
        <v>3</v>
      </c>
      <c r="G305" s="19" t="s">
        <v>1250</v>
      </c>
      <c r="H305" s="15">
        <f>SUMIFS(Data!M:M,Data!C:C,G305,Data!V:V,2024)</f>
        <v>0</v>
      </c>
      <c r="I305" s="15">
        <f>SUMIFS(Data!M:M,Data!C:C,G305,Data!V:V,2025)</f>
        <v>200850</v>
      </c>
      <c r="J305" s="20">
        <f t="shared" si="9"/>
        <v>200850</v>
      </c>
    </row>
    <row r="306" spans="2:10" x14ac:dyDescent="0.25">
      <c r="B306" s="19" t="s">
        <v>1979</v>
      </c>
      <c r="C306" s="14">
        <f>COUNTIFS(Data!C:C,B306,Data!V:V,2024)</f>
        <v>0</v>
      </c>
      <c r="D306" s="14">
        <f>COUNTIFS(Data!C:C,B306,Data!V:V,2025)</f>
        <v>3</v>
      </c>
      <c r="E306" s="30">
        <f t="shared" si="8"/>
        <v>3</v>
      </c>
      <c r="G306" s="19" t="s">
        <v>703</v>
      </c>
      <c r="H306" s="15">
        <f>SUMIFS(Data!M:M,Data!C:C,G306,Data!V:V,2024)</f>
        <v>112600</v>
      </c>
      <c r="I306" s="15">
        <f>SUMIFS(Data!M:M,Data!C:C,G306,Data!V:V,2025)</f>
        <v>88000</v>
      </c>
      <c r="J306" s="20">
        <f t="shared" si="9"/>
        <v>200600</v>
      </c>
    </row>
    <row r="307" spans="2:10" x14ac:dyDescent="0.25">
      <c r="B307" s="19" t="s">
        <v>309</v>
      </c>
      <c r="C307" s="14">
        <f>COUNTIFS(Data!C:C,B307,Data!V:V,2024)</f>
        <v>2</v>
      </c>
      <c r="D307" s="14">
        <f>COUNTIFS(Data!C:C,B307,Data!V:V,2025)</f>
        <v>1</v>
      </c>
      <c r="E307" s="30">
        <f t="shared" si="8"/>
        <v>3</v>
      </c>
      <c r="G307" s="19" t="s">
        <v>635</v>
      </c>
      <c r="H307" s="15">
        <f>SUMIFS(Data!M:M,Data!C:C,G307,Data!V:V,2024)</f>
        <v>8000</v>
      </c>
      <c r="I307" s="15">
        <f>SUMIFS(Data!M:M,Data!C:C,G307,Data!V:V,2025)</f>
        <v>192000</v>
      </c>
      <c r="J307" s="20">
        <f t="shared" si="9"/>
        <v>200000</v>
      </c>
    </row>
    <row r="308" spans="2:10" x14ac:dyDescent="0.25">
      <c r="B308" s="19" t="s">
        <v>439</v>
      </c>
      <c r="C308" s="14">
        <f>COUNTIFS(Data!C:C,B308,Data!V:V,2024)</f>
        <v>3</v>
      </c>
      <c r="D308" s="14">
        <f>COUNTIFS(Data!C:C,B308,Data!V:V,2025)</f>
        <v>0</v>
      </c>
      <c r="E308" s="30">
        <f t="shared" si="8"/>
        <v>3</v>
      </c>
      <c r="G308" s="19" t="s">
        <v>453</v>
      </c>
      <c r="H308" s="15">
        <f>SUMIFS(Data!M:M,Data!C:C,G308,Data!V:V,2024)</f>
        <v>156600</v>
      </c>
      <c r="I308" s="15">
        <f>SUMIFS(Data!M:M,Data!C:C,G308,Data!V:V,2025)</f>
        <v>43000</v>
      </c>
      <c r="J308" s="20">
        <f t="shared" si="9"/>
        <v>199600</v>
      </c>
    </row>
    <row r="309" spans="2:10" x14ac:dyDescent="0.25">
      <c r="B309" s="19" t="s">
        <v>613</v>
      </c>
      <c r="C309" s="14">
        <f>COUNTIFS(Data!C:C,B309,Data!V:V,2024)</f>
        <v>2</v>
      </c>
      <c r="D309" s="14">
        <f>COUNTIFS(Data!C:C,B309,Data!V:V,2025)</f>
        <v>1</v>
      </c>
      <c r="E309" s="30">
        <f t="shared" si="8"/>
        <v>3</v>
      </c>
      <c r="G309" s="19" t="s">
        <v>714</v>
      </c>
      <c r="H309" s="15">
        <f>SUMIFS(Data!M:M,Data!C:C,G309,Data!V:V,2024)</f>
        <v>198000</v>
      </c>
      <c r="I309" s="15">
        <f>SUMIFS(Data!M:M,Data!C:C,G309,Data!V:V,2025)</f>
        <v>0</v>
      </c>
      <c r="J309" s="20">
        <f t="shared" si="9"/>
        <v>198000</v>
      </c>
    </row>
    <row r="310" spans="2:10" x14ac:dyDescent="0.25">
      <c r="B310" s="19" t="s">
        <v>979</v>
      </c>
      <c r="C310" s="14">
        <f>COUNTIFS(Data!C:C,B310,Data!V:V,2024)</f>
        <v>0</v>
      </c>
      <c r="D310" s="14">
        <f>COUNTIFS(Data!C:C,B310,Data!V:V,2025)</f>
        <v>3</v>
      </c>
      <c r="E310" s="30">
        <f t="shared" si="8"/>
        <v>3</v>
      </c>
      <c r="G310" s="19" t="s">
        <v>990</v>
      </c>
      <c r="H310" s="15">
        <f>SUMIFS(Data!M:M,Data!C:C,G310,Data!V:V,2024)</f>
        <v>0</v>
      </c>
      <c r="I310" s="15">
        <f>SUMIFS(Data!M:M,Data!C:C,G310,Data!V:V,2025)</f>
        <v>196750</v>
      </c>
      <c r="J310" s="20">
        <f t="shared" si="9"/>
        <v>196750</v>
      </c>
    </row>
    <row r="311" spans="2:10" x14ac:dyDescent="0.25">
      <c r="B311" s="19" t="s">
        <v>922</v>
      </c>
      <c r="C311" s="14">
        <f>COUNTIFS(Data!C:C,B311,Data!V:V,2024)</f>
        <v>0</v>
      </c>
      <c r="D311" s="14">
        <f>COUNTIFS(Data!C:C,B311,Data!V:V,2025)</f>
        <v>3</v>
      </c>
      <c r="E311" s="30">
        <f t="shared" si="8"/>
        <v>3</v>
      </c>
      <c r="G311" s="19" t="s">
        <v>542</v>
      </c>
      <c r="H311" s="15">
        <f>SUMIFS(Data!M:M,Data!C:C,G311,Data!V:V,2024)</f>
        <v>60000</v>
      </c>
      <c r="I311" s="15">
        <f>SUMIFS(Data!M:M,Data!C:C,G311,Data!V:V,2025)</f>
        <v>136500</v>
      </c>
      <c r="J311" s="20">
        <f t="shared" si="9"/>
        <v>196500</v>
      </c>
    </row>
    <row r="312" spans="2:10" x14ac:dyDescent="0.25">
      <c r="B312" s="19" t="s">
        <v>153</v>
      </c>
      <c r="C312" s="14">
        <f>COUNTIFS(Data!C:C,B312,Data!V:V,2024)</f>
        <v>2</v>
      </c>
      <c r="D312" s="14">
        <f>COUNTIFS(Data!C:C,B312,Data!V:V,2025)</f>
        <v>1</v>
      </c>
      <c r="E312" s="30">
        <f t="shared" si="8"/>
        <v>3</v>
      </c>
      <c r="G312" s="19" t="s">
        <v>732</v>
      </c>
      <c r="H312" s="15">
        <f>SUMIFS(Data!M:M,Data!C:C,G312,Data!V:V,2024)</f>
        <v>60800</v>
      </c>
      <c r="I312" s="15">
        <f>SUMIFS(Data!M:M,Data!C:C,G312,Data!V:V,2025)</f>
        <v>134000</v>
      </c>
      <c r="J312" s="20">
        <f t="shared" si="9"/>
        <v>194800</v>
      </c>
    </row>
    <row r="313" spans="2:10" x14ac:dyDescent="0.25">
      <c r="B313" s="19" t="s">
        <v>1199</v>
      </c>
      <c r="C313" s="14">
        <f>COUNTIFS(Data!C:C,B313,Data!V:V,2024)</f>
        <v>0</v>
      </c>
      <c r="D313" s="14">
        <f>COUNTIFS(Data!C:C,B313,Data!V:V,2025)</f>
        <v>3</v>
      </c>
      <c r="E313" s="30">
        <f t="shared" si="8"/>
        <v>3</v>
      </c>
      <c r="G313" s="19" t="s">
        <v>233</v>
      </c>
      <c r="H313" s="15">
        <f>SUMIFS(Data!M:M,Data!C:C,G313,Data!V:V,2024)</f>
        <v>13600</v>
      </c>
      <c r="I313" s="15">
        <f>SUMIFS(Data!M:M,Data!C:C,G313,Data!V:V,2025)</f>
        <v>180600</v>
      </c>
      <c r="J313" s="20">
        <f t="shared" si="9"/>
        <v>194200</v>
      </c>
    </row>
    <row r="314" spans="2:10" x14ac:dyDescent="0.25">
      <c r="B314" s="19" t="s">
        <v>302</v>
      </c>
      <c r="C314" s="14">
        <f>COUNTIFS(Data!C:C,B314,Data!V:V,2024)</f>
        <v>1</v>
      </c>
      <c r="D314" s="14">
        <f>COUNTIFS(Data!C:C,B314,Data!V:V,2025)</f>
        <v>2</v>
      </c>
      <c r="E314" s="30">
        <f t="shared" si="8"/>
        <v>3</v>
      </c>
      <c r="G314" s="19" t="s">
        <v>437</v>
      </c>
      <c r="H314" s="15">
        <f>SUMIFS(Data!M:M,Data!C:C,G314,Data!V:V,2024)</f>
        <v>114000</v>
      </c>
      <c r="I314" s="15">
        <f>SUMIFS(Data!M:M,Data!C:C,G314,Data!V:V,2025)</f>
        <v>79200</v>
      </c>
      <c r="J314" s="20">
        <f t="shared" si="9"/>
        <v>193200</v>
      </c>
    </row>
    <row r="315" spans="2:10" x14ac:dyDescent="0.25">
      <c r="B315" s="19" t="s">
        <v>1624</v>
      </c>
      <c r="C315" s="14">
        <f>COUNTIFS(Data!C:C,B315,Data!V:V,2024)</f>
        <v>0</v>
      </c>
      <c r="D315" s="14">
        <f>COUNTIFS(Data!C:C,B315,Data!V:V,2025)</f>
        <v>3</v>
      </c>
      <c r="E315" s="30">
        <f t="shared" si="8"/>
        <v>3</v>
      </c>
      <c r="G315" s="19" t="s">
        <v>1228</v>
      </c>
      <c r="H315" s="15">
        <f>SUMIFS(Data!M:M,Data!C:C,G315,Data!V:V,2024)</f>
        <v>0</v>
      </c>
      <c r="I315" s="15">
        <f>SUMIFS(Data!M:M,Data!C:C,G315,Data!V:V,2025)</f>
        <v>192600</v>
      </c>
      <c r="J315" s="20">
        <f t="shared" si="9"/>
        <v>192600</v>
      </c>
    </row>
    <row r="316" spans="2:10" x14ac:dyDescent="0.25">
      <c r="B316" s="19" t="s">
        <v>1794</v>
      </c>
      <c r="C316" s="14">
        <f>COUNTIFS(Data!C:C,B316,Data!V:V,2024)</f>
        <v>0</v>
      </c>
      <c r="D316" s="14">
        <f>COUNTIFS(Data!C:C,B316,Data!V:V,2025)</f>
        <v>3</v>
      </c>
      <c r="E316" s="30">
        <f t="shared" si="8"/>
        <v>3</v>
      </c>
      <c r="G316" s="19" t="s">
        <v>969</v>
      </c>
      <c r="H316" s="15">
        <f>SUMIFS(Data!M:M,Data!C:C,G316,Data!V:V,2024)</f>
        <v>0</v>
      </c>
      <c r="I316" s="15">
        <f>SUMIFS(Data!M:M,Data!C:C,G316,Data!V:V,2025)</f>
        <v>192600</v>
      </c>
      <c r="J316" s="20">
        <f t="shared" si="9"/>
        <v>192600</v>
      </c>
    </row>
    <row r="317" spans="2:10" x14ac:dyDescent="0.25">
      <c r="B317" s="19" t="s">
        <v>479</v>
      </c>
      <c r="C317" s="14">
        <f>COUNTIFS(Data!C:C,B317,Data!V:V,2024)</f>
        <v>2</v>
      </c>
      <c r="D317" s="14">
        <f>COUNTIFS(Data!C:C,B317,Data!V:V,2025)</f>
        <v>1</v>
      </c>
      <c r="E317" s="30">
        <f t="shared" si="8"/>
        <v>3</v>
      </c>
      <c r="G317" s="19" t="s">
        <v>844</v>
      </c>
      <c r="H317" s="15">
        <f>SUMIFS(Data!M:M,Data!C:C,G317,Data!V:V,2024)</f>
        <v>51000</v>
      </c>
      <c r="I317" s="15">
        <f>SUMIFS(Data!M:M,Data!C:C,G317,Data!V:V,2025)</f>
        <v>140550</v>
      </c>
      <c r="J317" s="20">
        <f t="shared" si="9"/>
        <v>191550</v>
      </c>
    </row>
    <row r="318" spans="2:10" x14ac:dyDescent="0.25">
      <c r="B318" s="19" t="s">
        <v>391</v>
      </c>
      <c r="C318" s="14">
        <f>COUNTIFS(Data!C:C,B318,Data!V:V,2024)</f>
        <v>2</v>
      </c>
      <c r="D318" s="14">
        <f>COUNTIFS(Data!C:C,B318,Data!V:V,2025)</f>
        <v>1</v>
      </c>
      <c r="E318" s="30">
        <f t="shared" si="8"/>
        <v>3</v>
      </c>
      <c r="G318" s="19" t="s">
        <v>1849</v>
      </c>
      <c r="H318" s="15">
        <f>SUMIFS(Data!M:M,Data!C:C,G318,Data!V:V,2024)</f>
        <v>0</v>
      </c>
      <c r="I318" s="15">
        <f>SUMIFS(Data!M:M,Data!C:C,G318,Data!V:V,2025)</f>
        <v>190250</v>
      </c>
      <c r="J318" s="20">
        <f t="shared" si="9"/>
        <v>190250</v>
      </c>
    </row>
    <row r="319" spans="2:10" x14ac:dyDescent="0.25">
      <c r="B319" s="19" t="s">
        <v>751</v>
      </c>
      <c r="C319" s="14">
        <f>COUNTIFS(Data!C:C,B319,Data!V:V,2024)</f>
        <v>1</v>
      </c>
      <c r="D319" s="14">
        <f>COUNTIFS(Data!C:C,B319,Data!V:V,2025)</f>
        <v>2</v>
      </c>
      <c r="E319" s="30">
        <f t="shared" si="8"/>
        <v>3</v>
      </c>
      <c r="G319" s="19" t="s">
        <v>1341</v>
      </c>
      <c r="H319" s="15">
        <f>SUMIFS(Data!M:M,Data!C:C,G319,Data!V:V,2024)</f>
        <v>0</v>
      </c>
      <c r="I319" s="15">
        <f>SUMIFS(Data!M:M,Data!C:C,G319,Data!V:V,2025)</f>
        <v>190000</v>
      </c>
      <c r="J319" s="20">
        <f t="shared" si="9"/>
        <v>190000</v>
      </c>
    </row>
    <row r="320" spans="2:10" x14ac:dyDescent="0.25">
      <c r="B320" s="19" t="s">
        <v>976</v>
      </c>
      <c r="C320" s="14">
        <f>COUNTIFS(Data!C:C,B320,Data!V:V,2024)</f>
        <v>0</v>
      </c>
      <c r="D320" s="14">
        <f>COUNTIFS(Data!C:C,B320,Data!V:V,2025)</f>
        <v>3</v>
      </c>
      <c r="E320" s="30">
        <f t="shared" si="8"/>
        <v>3</v>
      </c>
      <c r="G320" s="19" t="s">
        <v>26</v>
      </c>
      <c r="H320" s="15">
        <f>SUMIFS(Data!M:M,Data!C:C,G320,Data!V:V,2024)</f>
        <v>93750</v>
      </c>
      <c r="I320" s="15">
        <f>SUMIFS(Data!M:M,Data!C:C,G320,Data!V:V,2025)</f>
        <v>95000</v>
      </c>
      <c r="J320" s="20">
        <f t="shared" si="9"/>
        <v>188750</v>
      </c>
    </row>
    <row r="321" spans="2:10" x14ac:dyDescent="0.25">
      <c r="B321" s="19" t="s">
        <v>1348</v>
      </c>
      <c r="C321" s="14">
        <f>COUNTIFS(Data!C:C,B321,Data!V:V,2024)</f>
        <v>0</v>
      </c>
      <c r="D321" s="14">
        <f>COUNTIFS(Data!C:C,B321,Data!V:V,2025)</f>
        <v>3</v>
      </c>
      <c r="E321" s="30">
        <f t="shared" si="8"/>
        <v>3</v>
      </c>
      <c r="G321" s="19" t="s">
        <v>547</v>
      </c>
      <c r="H321" s="15">
        <f>SUMIFS(Data!M:M,Data!C:C,G321,Data!V:V,2024)</f>
        <v>136800</v>
      </c>
      <c r="I321" s="15">
        <f>SUMIFS(Data!M:M,Data!C:C,G321,Data!V:V,2025)</f>
        <v>48000</v>
      </c>
      <c r="J321" s="20">
        <f t="shared" si="9"/>
        <v>184800</v>
      </c>
    </row>
    <row r="322" spans="2:10" x14ac:dyDescent="0.25">
      <c r="B322" s="19" t="s">
        <v>651</v>
      </c>
      <c r="C322" s="14">
        <f>COUNTIFS(Data!C:C,B322,Data!V:V,2024)</f>
        <v>1</v>
      </c>
      <c r="D322" s="14">
        <f>COUNTIFS(Data!C:C,B322,Data!V:V,2025)</f>
        <v>2</v>
      </c>
      <c r="E322" s="30">
        <f t="shared" si="8"/>
        <v>3</v>
      </c>
      <c r="G322" s="19" t="s">
        <v>289</v>
      </c>
      <c r="H322" s="15">
        <f>SUMIFS(Data!M:M,Data!C:C,G322,Data!V:V,2024)</f>
        <v>144800</v>
      </c>
      <c r="I322" s="15">
        <f>SUMIFS(Data!M:M,Data!C:C,G322,Data!V:V,2025)</f>
        <v>40000</v>
      </c>
      <c r="J322" s="20">
        <f t="shared" si="9"/>
        <v>184800</v>
      </c>
    </row>
    <row r="323" spans="2:10" x14ac:dyDescent="0.25">
      <c r="B323" s="19" t="s">
        <v>1038</v>
      </c>
      <c r="C323" s="14">
        <f>COUNTIFS(Data!C:C,B323,Data!V:V,2024)</f>
        <v>0</v>
      </c>
      <c r="D323" s="14">
        <f>COUNTIFS(Data!C:C,B323,Data!V:V,2025)</f>
        <v>3</v>
      </c>
      <c r="E323" s="30">
        <f t="shared" si="8"/>
        <v>3</v>
      </c>
      <c r="G323" s="19" t="s">
        <v>603</v>
      </c>
      <c r="H323" s="15">
        <f>SUMIFS(Data!M:M,Data!C:C,G323,Data!V:V,2024)</f>
        <v>38400</v>
      </c>
      <c r="I323" s="15">
        <f>SUMIFS(Data!M:M,Data!C:C,G323,Data!V:V,2025)</f>
        <v>146050</v>
      </c>
      <c r="J323" s="20">
        <f t="shared" si="9"/>
        <v>184450</v>
      </c>
    </row>
    <row r="324" spans="2:10" x14ac:dyDescent="0.25">
      <c r="B324" s="19" t="s">
        <v>1136</v>
      </c>
      <c r="C324" s="14">
        <f>COUNTIFS(Data!C:C,B324,Data!V:V,2024)</f>
        <v>0</v>
      </c>
      <c r="D324" s="14">
        <f>COUNTIFS(Data!C:C,B324,Data!V:V,2025)</f>
        <v>3</v>
      </c>
      <c r="E324" s="30">
        <f t="shared" si="8"/>
        <v>3</v>
      </c>
      <c r="G324" s="19" t="s">
        <v>1005</v>
      </c>
      <c r="H324" s="15">
        <f>SUMIFS(Data!M:M,Data!C:C,G324,Data!V:V,2024)</f>
        <v>0</v>
      </c>
      <c r="I324" s="15">
        <f>SUMIFS(Data!M:M,Data!C:C,G324,Data!V:V,2025)</f>
        <v>184000</v>
      </c>
      <c r="J324" s="20">
        <f t="shared" si="9"/>
        <v>184000</v>
      </c>
    </row>
    <row r="325" spans="2:10" x14ac:dyDescent="0.25">
      <c r="B325" s="19" t="s">
        <v>1050</v>
      </c>
      <c r="C325" s="14">
        <f>COUNTIFS(Data!C:C,B325,Data!V:V,2024)</f>
        <v>0</v>
      </c>
      <c r="D325" s="14">
        <f>COUNTIFS(Data!C:C,B325,Data!V:V,2025)</f>
        <v>3</v>
      </c>
      <c r="E325" s="30">
        <f t="shared" si="8"/>
        <v>3</v>
      </c>
      <c r="G325" s="19" t="s">
        <v>1278</v>
      </c>
      <c r="H325" s="15">
        <f>SUMIFS(Data!M:M,Data!C:C,G325,Data!V:V,2024)</f>
        <v>0</v>
      </c>
      <c r="I325" s="15">
        <f>SUMIFS(Data!M:M,Data!C:C,G325,Data!V:V,2025)</f>
        <v>183500</v>
      </c>
      <c r="J325" s="20">
        <f t="shared" si="9"/>
        <v>183500</v>
      </c>
    </row>
    <row r="326" spans="2:10" x14ac:dyDescent="0.25">
      <c r="B326" s="19" t="s">
        <v>335</v>
      </c>
      <c r="C326" s="14">
        <f>COUNTIFS(Data!C:C,B326,Data!V:V,2024)</f>
        <v>1</v>
      </c>
      <c r="D326" s="14">
        <f>COUNTIFS(Data!C:C,B326,Data!V:V,2025)</f>
        <v>2</v>
      </c>
      <c r="E326" s="30">
        <f t="shared" si="8"/>
        <v>3</v>
      </c>
      <c r="G326" s="19" t="s">
        <v>492</v>
      </c>
      <c r="H326" s="15">
        <f>SUMIFS(Data!M:M,Data!C:C,G326,Data!V:V,2024)</f>
        <v>180000</v>
      </c>
      <c r="I326" s="15">
        <f>SUMIFS(Data!M:M,Data!C:C,G326,Data!V:V,2025)</f>
        <v>0</v>
      </c>
      <c r="J326" s="20">
        <f t="shared" si="9"/>
        <v>180000</v>
      </c>
    </row>
    <row r="327" spans="2:10" x14ac:dyDescent="0.25">
      <c r="B327" s="19" t="s">
        <v>1561</v>
      </c>
      <c r="C327" s="14">
        <f>COUNTIFS(Data!C:C,B327,Data!V:V,2024)</f>
        <v>0</v>
      </c>
      <c r="D327" s="14">
        <f>COUNTIFS(Data!C:C,B327,Data!V:V,2025)</f>
        <v>3</v>
      </c>
      <c r="E327" s="30">
        <f t="shared" si="8"/>
        <v>3</v>
      </c>
      <c r="G327" s="19" t="s">
        <v>216</v>
      </c>
      <c r="H327" s="15">
        <f>SUMIFS(Data!M:M,Data!C:C,G327,Data!V:V,2024)</f>
        <v>153100</v>
      </c>
      <c r="I327" s="15">
        <f>SUMIFS(Data!M:M,Data!C:C,G327,Data!V:V,2025)</f>
        <v>25200</v>
      </c>
      <c r="J327" s="20">
        <f t="shared" si="9"/>
        <v>178300</v>
      </c>
    </row>
    <row r="328" spans="2:10" x14ac:dyDescent="0.25">
      <c r="B328" s="19" t="s">
        <v>240</v>
      </c>
      <c r="C328" s="14">
        <f>COUNTIFS(Data!C:C,B328,Data!V:V,2024)</f>
        <v>3</v>
      </c>
      <c r="D328" s="14">
        <f>COUNTIFS(Data!C:C,B328,Data!V:V,2025)</f>
        <v>0</v>
      </c>
      <c r="E328" s="30">
        <f t="shared" si="8"/>
        <v>3</v>
      </c>
      <c r="G328" s="19" t="s">
        <v>1003</v>
      </c>
      <c r="H328" s="15">
        <f>SUMIFS(Data!M:M,Data!C:C,G328,Data!V:V,2024)</f>
        <v>0</v>
      </c>
      <c r="I328" s="15">
        <f>SUMIFS(Data!M:M,Data!C:C,G328,Data!V:V,2025)</f>
        <v>177300</v>
      </c>
      <c r="J328" s="20">
        <f t="shared" si="9"/>
        <v>177300</v>
      </c>
    </row>
    <row r="329" spans="2:10" x14ac:dyDescent="0.25">
      <c r="B329" s="19" t="s">
        <v>808</v>
      </c>
      <c r="C329" s="14">
        <f>COUNTIFS(Data!C:C,B329,Data!V:V,2024)</f>
        <v>1</v>
      </c>
      <c r="D329" s="14">
        <f>COUNTIFS(Data!C:C,B329,Data!V:V,2025)</f>
        <v>2</v>
      </c>
      <c r="E329" s="30">
        <f t="shared" si="8"/>
        <v>3</v>
      </c>
      <c r="G329" s="19" t="s">
        <v>1323</v>
      </c>
      <c r="H329" s="15">
        <f>SUMIFS(Data!M:M,Data!C:C,G329,Data!V:V,2024)</f>
        <v>0</v>
      </c>
      <c r="I329" s="15">
        <f>SUMIFS(Data!M:M,Data!C:C,G329,Data!V:V,2025)</f>
        <v>176700</v>
      </c>
      <c r="J329" s="20">
        <f t="shared" si="9"/>
        <v>176700</v>
      </c>
    </row>
    <row r="330" spans="2:10" x14ac:dyDescent="0.25">
      <c r="B330" s="19" t="s">
        <v>954</v>
      </c>
      <c r="C330" s="14">
        <f>COUNTIFS(Data!C:C,B330,Data!V:V,2024)</f>
        <v>0</v>
      </c>
      <c r="D330" s="14">
        <f>COUNTIFS(Data!C:C,B330,Data!V:V,2025)</f>
        <v>3</v>
      </c>
      <c r="E330" s="30">
        <f t="shared" si="8"/>
        <v>3</v>
      </c>
      <c r="G330" s="19" t="s">
        <v>875</v>
      </c>
      <c r="H330" s="15">
        <f>SUMIFS(Data!M:M,Data!C:C,G330,Data!V:V,2024)</f>
        <v>24000</v>
      </c>
      <c r="I330" s="15">
        <f>SUMIFS(Data!M:M,Data!C:C,G330,Data!V:V,2025)</f>
        <v>151300</v>
      </c>
      <c r="J330" s="20">
        <f t="shared" si="9"/>
        <v>175300</v>
      </c>
    </row>
    <row r="331" spans="2:10" x14ac:dyDescent="0.25">
      <c r="B331" s="19" t="s">
        <v>371</v>
      </c>
      <c r="C331" s="14">
        <f>COUNTIFS(Data!C:C,B331,Data!V:V,2024)</f>
        <v>2</v>
      </c>
      <c r="D331" s="14">
        <f>COUNTIFS(Data!C:C,B331,Data!V:V,2025)</f>
        <v>1</v>
      </c>
      <c r="E331" s="30">
        <f t="shared" si="8"/>
        <v>3</v>
      </c>
      <c r="G331" s="19" t="s">
        <v>1133</v>
      </c>
      <c r="H331" s="15">
        <f>SUMIFS(Data!M:M,Data!C:C,G331,Data!V:V,2024)</f>
        <v>0</v>
      </c>
      <c r="I331" s="15">
        <f>SUMIFS(Data!M:M,Data!C:C,G331,Data!V:V,2025)</f>
        <v>174250</v>
      </c>
      <c r="J331" s="20">
        <f t="shared" si="9"/>
        <v>174250</v>
      </c>
    </row>
    <row r="332" spans="2:10" x14ac:dyDescent="0.25">
      <c r="B332" s="19" t="s">
        <v>703</v>
      </c>
      <c r="C332" s="14">
        <f>COUNTIFS(Data!C:C,B332,Data!V:V,2024)</f>
        <v>2</v>
      </c>
      <c r="D332" s="14">
        <f>COUNTIFS(Data!C:C,B332,Data!V:V,2025)</f>
        <v>1</v>
      </c>
      <c r="E332" s="30">
        <f t="shared" si="8"/>
        <v>3</v>
      </c>
      <c r="G332" s="19" t="s">
        <v>758</v>
      </c>
      <c r="H332" s="15">
        <f>SUMIFS(Data!M:M,Data!C:C,G332,Data!V:V,2024)</f>
        <v>50550</v>
      </c>
      <c r="I332" s="15">
        <f>SUMIFS(Data!M:M,Data!C:C,G332,Data!V:V,2025)</f>
        <v>123500</v>
      </c>
      <c r="J332" s="20">
        <f t="shared" si="9"/>
        <v>174050</v>
      </c>
    </row>
    <row r="333" spans="2:10" x14ac:dyDescent="0.25">
      <c r="B333" s="19" t="s">
        <v>233</v>
      </c>
      <c r="C333" s="14">
        <f>COUNTIFS(Data!C:C,B333,Data!V:V,2024)</f>
        <v>1</v>
      </c>
      <c r="D333" s="14">
        <f>COUNTIFS(Data!C:C,B333,Data!V:V,2025)</f>
        <v>2</v>
      </c>
      <c r="E333" s="30">
        <f t="shared" si="8"/>
        <v>3</v>
      </c>
      <c r="G333" s="19" t="s">
        <v>1396</v>
      </c>
      <c r="H333" s="15">
        <f>SUMIFS(Data!M:M,Data!C:C,G333,Data!V:V,2024)</f>
        <v>0</v>
      </c>
      <c r="I333" s="15">
        <f>SUMIFS(Data!M:M,Data!C:C,G333,Data!V:V,2025)</f>
        <v>173200</v>
      </c>
      <c r="J333" s="20">
        <f t="shared" si="9"/>
        <v>173200</v>
      </c>
    </row>
    <row r="334" spans="2:10" x14ac:dyDescent="0.25">
      <c r="B334" s="19" t="s">
        <v>1341</v>
      </c>
      <c r="C334" s="14">
        <f>COUNTIFS(Data!C:C,B334,Data!V:V,2024)</f>
        <v>0</v>
      </c>
      <c r="D334" s="14">
        <f>COUNTIFS(Data!C:C,B334,Data!V:V,2025)</f>
        <v>3</v>
      </c>
      <c r="E334" s="30">
        <f t="shared" si="8"/>
        <v>3</v>
      </c>
      <c r="G334" s="19" t="s">
        <v>780</v>
      </c>
      <c r="H334" s="15">
        <f>SUMIFS(Data!M:M,Data!C:C,G334,Data!V:V,2024)</f>
        <v>11200</v>
      </c>
      <c r="I334" s="15">
        <f>SUMIFS(Data!M:M,Data!C:C,G334,Data!V:V,2025)</f>
        <v>161500</v>
      </c>
      <c r="J334" s="20">
        <f t="shared" si="9"/>
        <v>172700</v>
      </c>
    </row>
    <row r="335" spans="2:10" x14ac:dyDescent="0.25">
      <c r="B335" s="19" t="s">
        <v>289</v>
      </c>
      <c r="C335" s="14">
        <f>COUNTIFS(Data!C:C,B335,Data!V:V,2024)</f>
        <v>2</v>
      </c>
      <c r="D335" s="14">
        <f>COUNTIFS(Data!C:C,B335,Data!V:V,2025)</f>
        <v>1</v>
      </c>
      <c r="E335" s="30">
        <f t="shared" si="8"/>
        <v>3</v>
      </c>
      <c r="G335" s="19" t="s">
        <v>225</v>
      </c>
      <c r="H335" s="15">
        <f>SUMIFS(Data!M:M,Data!C:C,G335,Data!V:V,2024)</f>
        <v>50400</v>
      </c>
      <c r="I335" s="15">
        <f>SUMIFS(Data!M:M,Data!C:C,G335,Data!V:V,2025)</f>
        <v>114950</v>
      </c>
      <c r="J335" s="20">
        <f t="shared" si="9"/>
        <v>165350</v>
      </c>
    </row>
    <row r="336" spans="2:10" x14ac:dyDescent="0.25">
      <c r="B336" s="19" t="s">
        <v>1005</v>
      </c>
      <c r="C336" s="14">
        <f>COUNTIFS(Data!C:C,B336,Data!V:V,2024)</f>
        <v>0</v>
      </c>
      <c r="D336" s="14">
        <f>COUNTIFS(Data!C:C,B336,Data!V:V,2025)</f>
        <v>3</v>
      </c>
      <c r="E336" s="30">
        <f t="shared" si="8"/>
        <v>3</v>
      </c>
      <c r="G336" s="19" t="s">
        <v>821</v>
      </c>
      <c r="H336" s="15">
        <f>SUMIFS(Data!M:M,Data!C:C,G336,Data!V:V,2024)</f>
        <v>38400</v>
      </c>
      <c r="I336" s="15">
        <f>SUMIFS(Data!M:M,Data!C:C,G336,Data!V:V,2025)</f>
        <v>125000</v>
      </c>
      <c r="J336" s="20">
        <f t="shared" si="9"/>
        <v>163400</v>
      </c>
    </row>
    <row r="337" spans="2:10" x14ac:dyDescent="0.25">
      <c r="B337" s="19" t="s">
        <v>216</v>
      </c>
      <c r="C337" s="14">
        <f>COUNTIFS(Data!C:C,B337,Data!V:V,2024)</f>
        <v>2</v>
      </c>
      <c r="D337" s="14">
        <f>COUNTIFS(Data!C:C,B337,Data!V:V,2025)</f>
        <v>1</v>
      </c>
      <c r="E337" s="30">
        <f t="shared" si="8"/>
        <v>3</v>
      </c>
      <c r="G337" s="19" t="s">
        <v>466</v>
      </c>
      <c r="H337" s="15">
        <f>SUMIFS(Data!M:M,Data!C:C,G337,Data!V:V,2024)</f>
        <v>68600</v>
      </c>
      <c r="I337" s="15">
        <f>SUMIFS(Data!M:M,Data!C:C,G337,Data!V:V,2025)</f>
        <v>92800</v>
      </c>
      <c r="J337" s="20">
        <f t="shared" si="9"/>
        <v>161400</v>
      </c>
    </row>
    <row r="338" spans="2:10" x14ac:dyDescent="0.25">
      <c r="B338" s="19" t="s">
        <v>1003</v>
      </c>
      <c r="C338" s="14">
        <f>COUNTIFS(Data!C:C,B338,Data!V:V,2024)</f>
        <v>0</v>
      </c>
      <c r="D338" s="14">
        <f>COUNTIFS(Data!C:C,B338,Data!V:V,2025)</f>
        <v>3</v>
      </c>
      <c r="E338" s="30">
        <f t="shared" si="8"/>
        <v>3</v>
      </c>
      <c r="G338" s="19" t="s">
        <v>135</v>
      </c>
      <c r="H338" s="15">
        <f>SUMIFS(Data!M:M,Data!C:C,G338,Data!V:V,2024)</f>
        <v>51000</v>
      </c>
      <c r="I338" s="15">
        <f>SUMIFS(Data!M:M,Data!C:C,G338,Data!V:V,2025)</f>
        <v>108000</v>
      </c>
      <c r="J338" s="20">
        <f t="shared" si="9"/>
        <v>159000</v>
      </c>
    </row>
    <row r="339" spans="2:10" x14ac:dyDescent="0.25">
      <c r="B339" s="19" t="s">
        <v>1323</v>
      </c>
      <c r="C339" s="14">
        <f>COUNTIFS(Data!C:C,B339,Data!V:V,2024)</f>
        <v>0</v>
      </c>
      <c r="D339" s="14">
        <f>COUNTIFS(Data!C:C,B339,Data!V:V,2025)</f>
        <v>3</v>
      </c>
      <c r="E339" s="30">
        <f t="shared" si="8"/>
        <v>3</v>
      </c>
      <c r="G339" s="19" t="s">
        <v>130</v>
      </c>
      <c r="H339" s="15">
        <f>SUMIFS(Data!M:M,Data!C:C,G339,Data!V:V,2024)</f>
        <v>10800</v>
      </c>
      <c r="I339" s="15">
        <f>SUMIFS(Data!M:M,Data!C:C,G339,Data!V:V,2025)</f>
        <v>147500</v>
      </c>
      <c r="J339" s="20">
        <f t="shared" si="9"/>
        <v>158300</v>
      </c>
    </row>
    <row r="340" spans="2:10" x14ac:dyDescent="0.25">
      <c r="B340" s="19" t="s">
        <v>875</v>
      </c>
      <c r="C340" s="14">
        <f>COUNTIFS(Data!C:C,B340,Data!V:V,2024)</f>
        <v>1</v>
      </c>
      <c r="D340" s="14">
        <f>COUNTIFS(Data!C:C,B340,Data!V:V,2025)</f>
        <v>2</v>
      </c>
      <c r="E340" s="30">
        <f t="shared" si="8"/>
        <v>3</v>
      </c>
      <c r="G340" s="19" t="s">
        <v>544</v>
      </c>
      <c r="H340" s="15">
        <f>SUMIFS(Data!M:M,Data!C:C,G340,Data!V:V,2024)</f>
        <v>48000</v>
      </c>
      <c r="I340" s="15">
        <f>SUMIFS(Data!M:M,Data!C:C,G340,Data!V:V,2025)</f>
        <v>109200</v>
      </c>
      <c r="J340" s="20">
        <f t="shared" si="9"/>
        <v>157200</v>
      </c>
    </row>
    <row r="341" spans="2:10" x14ac:dyDescent="0.25">
      <c r="B341" s="19" t="s">
        <v>225</v>
      </c>
      <c r="C341" s="14">
        <f>COUNTIFS(Data!C:C,B341,Data!V:V,2024)</f>
        <v>1</v>
      </c>
      <c r="D341" s="14">
        <f>COUNTIFS(Data!C:C,B341,Data!V:V,2025)</f>
        <v>2</v>
      </c>
      <c r="E341" s="30">
        <f t="shared" si="8"/>
        <v>3</v>
      </c>
      <c r="G341" s="19" t="s">
        <v>774</v>
      </c>
      <c r="H341" s="15">
        <f>SUMIFS(Data!M:M,Data!C:C,G341,Data!V:V,2024)</f>
        <v>17100</v>
      </c>
      <c r="I341" s="15">
        <f>SUMIFS(Data!M:M,Data!C:C,G341,Data!V:V,2025)</f>
        <v>139800</v>
      </c>
      <c r="J341" s="20">
        <f t="shared" si="9"/>
        <v>156900</v>
      </c>
    </row>
    <row r="342" spans="2:10" x14ac:dyDescent="0.25">
      <c r="B342" s="19" t="s">
        <v>130</v>
      </c>
      <c r="C342" s="14">
        <f>COUNTIFS(Data!C:C,B342,Data!V:V,2024)</f>
        <v>1</v>
      </c>
      <c r="D342" s="14">
        <f>COUNTIFS(Data!C:C,B342,Data!V:V,2025)</f>
        <v>2</v>
      </c>
      <c r="E342" s="30">
        <f t="shared" si="8"/>
        <v>3</v>
      </c>
      <c r="G342" s="19" t="s">
        <v>98</v>
      </c>
      <c r="H342" s="15">
        <f>SUMIFS(Data!M:M,Data!C:C,G342,Data!V:V,2024)</f>
        <v>144000</v>
      </c>
      <c r="I342" s="15">
        <f>SUMIFS(Data!M:M,Data!C:C,G342,Data!V:V,2025)</f>
        <v>12600</v>
      </c>
      <c r="J342" s="20">
        <f t="shared" si="9"/>
        <v>156600</v>
      </c>
    </row>
    <row r="343" spans="2:10" x14ac:dyDescent="0.25">
      <c r="B343" s="19" t="s">
        <v>544</v>
      </c>
      <c r="C343" s="14">
        <f>COUNTIFS(Data!C:C,B343,Data!V:V,2024)</f>
        <v>1</v>
      </c>
      <c r="D343" s="14">
        <f>COUNTIFS(Data!C:C,B343,Data!V:V,2025)</f>
        <v>2</v>
      </c>
      <c r="E343" s="30">
        <f t="shared" si="8"/>
        <v>3</v>
      </c>
      <c r="G343" s="19" t="s">
        <v>1523</v>
      </c>
      <c r="H343" s="15">
        <f>SUMIFS(Data!M:M,Data!C:C,G343,Data!V:V,2024)</f>
        <v>0</v>
      </c>
      <c r="I343" s="15">
        <f>SUMIFS(Data!M:M,Data!C:C,G343,Data!V:V,2025)</f>
        <v>155250</v>
      </c>
      <c r="J343" s="20">
        <f t="shared" si="9"/>
        <v>155250</v>
      </c>
    </row>
    <row r="344" spans="2:10" x14ac:dyDescent="0.25">
      <c r="B344" s="19" t="s">
        <v>754</v>
      </c>
      <c r="C344" s="14">
        <f>COUNTIFS(Data!C:C,B344,Data!V:V,2024)</f>
        <v>2</v>
      </c>
      <c r="D344" s="14">
        <f>COUNTIFS(Data!C:C,B344,Data!V:V,2025)</f>
        <v>1</v>
      </c>
      <c r="E344" s="30">
        <f t="shared" si="8"/>
        <v>3</v>
      </c>
      <c r="G344" s="19" t="s">
        <v>1128</v>
      </c>
      <c r="H344" s="15">
        <f>SUMIFS(Data!M:M,Data!C:C,G344,Data!V:V,2024)</f>
        <v>0</v>
      </c>
      <c r="I344" s="15">
        <f>SUMIFS(Data!M:M,Data!C:C,G344,Data!V:V,2025)</f>
        <v>153200</v>
      </c>
      <c r="J344" s="20">
        <f t="shared" si="9"/>
        <v>153200</v>
      </c>
    </row>
    <row r="345" spans="2:10" x14ac:dyDescent="0.25">
      <c r="B345" s="19" t="s">
        <v>267</v>
      </c>
      <c r="C345" s="14">
        <f>COUNTIFS(Data!C:C,B345,Data!V:V,2024)</f>
        <v>1</v>
      </c>
      <c r="D345" s="14">
        <f>COUNTIFS(Data!C:C,B345,Data!V:V,2025)</f>
        <v>2</v>
      </c>
      <c r="E345" s="30">
        <f t="shared" si="8"/>
        <v>3</v>
      </c>
      <c r="G345" s="19" t="s">
        <v>1210</v>
      </c>
      <c r="H345" s="15">
        <f>SUMIFS(Data!M:M,Data!C:C,G345,Data!V:V,2024)</f>
        <v>0</v>
      </c>
      <c r="I345" s="15">
        <f>SUMIFS(Data!M:M,Data!C:C,G345,Data!V:V,2025)</f>
        <v>152000</v>
      </c>
      <c r="J345" s="20">
        <f t="shared" si="9"/>
        <v>152000</v>
      </c>
    </row>
    <row r="346" spans="2:10" x14ac:dyDescent="0.25">
      <c r="B346" s="19" t="s">
        <v>1436</v>
      </c>
      <c r="C346" s="14">
        <f>COUNTIFS(Data!C:C,B346,Data!V:V,2024)</f>
        <v>0</v>
      </c>
      <c r="D346" s="14">
        <f>COUNTIFS(Data!C:C,B346,Data!V:V,2025)</f>
        <v>3</v>
      </c>
      <c r="E346" s="30">
        <f t="shared" si="8"/>
        <v>3</v>
      </c>
      <c r="G346" s="19" t="s">
        <v>744</v>
      </c>
      <c r="H346" s="15">
        <f>SUMIFS(Data!M:M,Data!C:C,G346,Data!V:V,2024)</f>
        <v>70000</v>
      </c>
      <c r="I346" s="15">
        <f>SUMIFS(Data!M:M,Data!C:C,G346,Data!V:V,2025)</f>
        <v>79800</v>
      </c>
      <c r="J346" s="20">
        <f t="shared" si="9"/>
        <v>149800</v>
      </c>
    </row>
    <row r="347" spans="2:10" x14ac:dyDescent="0.25">
      <c r="B347" s="19" t="s">
        <v>43</v>
      </c>
      <c r="C347" s="14">
        <f>COUNTIFS(Data!C:C,B347,Data!V:V,2024)</f>
        <v>1</v>
      </c>
      <c r="D347" s="14">
        <f>COUNTIFS(Data!C:C,B347,Data!V:V,2025)</f>
        <v>2</v>
      </c>
      <c r="E347" s="30">
        <f t="shared" si="8"/>
        <v>3</v>
      </c>
      <c r="G347" s="19" t="s">
        <v>754</v>
      </c>
      <c r="H347" s="15">
        <f>SUMIFS(Data!M:M,Data!C:C,G347,Data!V:V,2024)</f>
        <v>63000</v>
      </c>
      <c r="I347" s="15">
        <f>SUMIFS(Data!M:M,Data!C:C,G347,Data!V:V,2025)</f>
        <v>85500</v>
      </c>
      <c r="J347" s="20">
        <f t="shared" si="9"/>
        <v>148500</v>
      </c>
    </row>
    <row r="348" spans="2:10" x14ac:dyDescent="0.25">
      <c r="B348" s="19" t="s">
        <v>1336</v>
      </c>
      <c r="C348" s="14">
        <f>COUNTIFS(Data!C:C,B348,Data!V:V,2024)</f>
        <v>0</v>
      </c>
      <c r="D348" s="14">
        <f>COUNTIFS(Data!C:C,B348,Data!V:V,2025)</f>
        <v>3</v>
      </c>
      <c r="E348" s="30">
        <f t="shared" si="8"/>
        <v>3</v>
      </c>
      <c r="G348" s="19" t="s">
        <v>520</v>
      </c>
      <c r="H348" s="15">
        <f>SUMIFS(Data!M:M,Data!C:C,G348,Data!V:V,2024)</f>
        <v>113250</v>
      </c>
      <c r="I348" s="15">
        <f>SUMIFS(Data!M:M,Data!C:C,G348,Data!V:V,2025)</f>
        <v>32000</v>
      </c>
      <c r="J348" s="20">
        <f t="shared" si="9"/>
        <v>145250</v>
      </c>
    </row>
    <row r="349" spans="2:10" x14ac:dyDescent="0.25">
      <c r="B349" s="19" t="s">
        <v>1120</v>
      </c>
      <c r="C349" s="14">
        <f>COUNTIFS(Data!C:C,B349,Data!V:V,2024)</f>
        <v>0</v>
      </c>
      <c r="D349" s="14">
        <f>COUNTIFS(Data!C:C,B349,Data!V:V,2025)</f>
        <v>3</v>
      </c>
      <c r="E349" s="30">
        <f t="shared" si="8"/>
        <v>3</v>
      </c>
      <c r="G349" s="19" t="s">
        <v>267</v>
      </c>
      <c r="H349" s="15">
        <f>SUMIFS(Data!M:M,Data!C:C,G349,Data!V:V,2024)</f>
        <v>13500</v>
      </c>
      <c r="I349" s="15">
        <f>SUMIFS(Data!M:M,Data!C:C,G349,Data!V:V,2025)</f>
        <v>131600</v>
      </c>
      <c r="J349" s="20">
        <f t="shared" si="9"/>
        <v>145100</v>
      </c>
    </row>
    <row r="350" spans="2:10" x14ac:dyDescent="0.25">
      <c r="B350" s="19" t="s">
        <v>396</v>
      </c>
      <c r="C350" s="14">
        <f>COUNTIFS(Data!C:C,B350,Data!V:V,2024)</f>
        <v>1</v>
      </c>
      <c r="D350" s="14">
        <f>COUNTIFS(Data!C:C,B350,Data!V:V,2025)</f>
        <v>2</v>
      </c>
      <c r="E350" s="30">
        <f t="shared" si="8"/>
        <v>3</v>
      </c>
      <c r="G350" s="19" t="s">
        <v>1436</v>
      </c>
      <c r="H350" s="15">
        <f>SUMIFS(Data!M:M,Data!C:C,G350,Data!V:V,2024)</f>
        <v>0</v>
      </c>
      <c r="I350" s="15">
        <f>SUMIFS(Data!M:M,Data!C:C,G350,Data!V:V,2025)</f>
        <v>143900</v>
      </c>
      <c r="J350" s="20">
        <f t="shared" si="9"/>
        <v>143900</v>
      </c>
    </row>
    <row r="351" spans="2:10" x14ac:dyDescent="0.25">
      <c r="B351" s="19" t="s">
        <v>572</v>
      </c>
      <c r="C351" s="14">
        <f>COUNTIFS(Data!C:C,B351,Data!V:V,2024)</f>
        <v>1</v>
      </c>
      <c r="D351" s="14">
        <f>COUNTIFS(Data!C:C,B351,Data!V:V,2025)</f>
        <v>2</v>
      </c>
      <c r="E351" s="30">
        <f t="shared" si="8"/>
        <v>3</v>
      </c>
      <c r="G351" s="19" t="s">
        <v>856</v>
      </c>
      <c r="H351" s="15">
        <f>SUMIFS(Data!M:M,Data!C:C,G351,Data!V:V,2024)</f>
        <v>80000</v>
      </c>
      <c r="I351" s="15">
        <f>SUMIFS(Data!M:M,Data!C:C,G351,Data!V:V,2025)</f>
        <v>63600</v>
      </c>
      <c r="J351" s="20">
        <f t="shared" si="9"/>
        <v>143600</v>
      </c>
    </row>
    <row r="352" spans="2:10" x14ac:dyDescent="0.25">
      <c r="B352" s="19" t="s">
        <v>666</v>
      </c>
      <c r="C352" s="14">
        <f>COUNTIFS(Data!C:C,B352,Data!V:V,2024)</f>
        <v>2</v>
      </c>
      <c r="D352" s="14">
        <f>COUNTIFS(Data!C:C,B352,Data!V:V,2025)</f>
        <v>1</v>
      </c>
      <c r="E352" s="30">
        <f t="shared" si="8"/>
        <v>3</v>
      </c>
      <c r="G352" s="19" t="s">
        <v>43</v>
      </c>
      <c r="H352" s="15">
        <f>SUMIFS(Data!M:M,Data!C:C,G352,Data!V:V,2024)</f>
        <v>40000</v>
      </c>
      <c r="I352" s="15">
        <f>SUMIFS(Data!M:M,Data!C:C,G352,Data!V:V,2025)</f>
        <v>103500</v>
      </c>
      <c r="J352" s="20">
        <f t="shared" si="9"/>
        <v>143500</v>
      </c>
    </row>
    <row r="353" spans="2:10" x14ac:dyDescent="0.25">
      <c r="B353" s="19" t="s">
        <v>1509</v>
      </c>
      <c r="C353" s="14">
        <f>COUNTIFS(Data!C:C,B353,Data!V:V,2024)</f>
        <v>0</v>
      </c>
      <c r="D353" s="14">
        <f>COUNTIFS(Data!C:C,B353,Data!V:V,2025)</f>
        <v>3</v>
      </c>
      <c r="E353" s="30">
        <f t="shared" si="8"/>
        <v>3</v>
      </c>
      <c r="G353" s="19" t="s">
        <v>716</v>
      </c>
      <c r="H353" s="15">
        <f>SUMIFS(Data!M:M,Data!C:C,G353,Data!V:V,2024)</f>
        <v>72000</v>
      </c>
      <c r="I353" s="15">
        <f>SUMIFS(Data!M:M,Data!C:C,G353,Data!V:V,2025)</f>
        <v>69000</v>
      </c>
      <c r="J353" s="20">
        <f t="shared" si="9"/>
        <v>141000</v>
      </c>
    </row>
    <row r="354" spans="2:10" x14ac:dyDescent="0.25">
      <c r="B354" s="19" t="s">
        <v>365</v>
      </c>
      <c r="C354" s="14">
        <f>COUNTIFS(Data!C:C,B354,Data!V:V,2024)</f>
        <v>2</v>
      </c>
      <c r="D354" s="14">
        <f>COUNTIFS(Data!C:C,B354,Data!V:V,2025)</f>
        <v>1</v>
      </c>
      <c r="E354" s="30">
        <f t="shared" ref="E354:E417" si="10">C354+D354</f>
        <v>3</v>
      </c>
      <c r="G354" s="19" t="s">
        <v>834</v>
      </c>
      <c r="H354" s="15">
        <f>SUMIFS(Data!M:M,Data!C:C,G354,Data!V:V,2024)</f>
        <v>40500</v>
      </c>
      <c r="I354" s="15">
        <f>SUMIFS(Data!M:M,Data!C:C,G354,Data!V:V,2025)</f>
        <v>97400</v>
      </c>
      <c r="J354" s="20">
        <f t="shared" ref="J354:J417" si="11">H354+I354</f>
        <v>137900</v>
      </c>
    </row>
    <row r="355" spans="2:10" x14ac:dyDescent="0.25">
      <c r="B355" s="19" t="s">
        <v>1063</v>
      </c>
      <c r="C355" s="14">
        <f>COUNTIFS(Data!C:C,B355,Data!V:V,2024)</f>
        <v>0</v>
      </c>
      <c r="D355" s="14">
        <f>COUNTIFS(Data!C:C,B355,Data!V:V,2025)</f>
        <v>3</v>
      </c>
      <c r="E355" s="30">
        <f t="shared" si="10"/>
        <v>3</v>
      </c>
      <c r="G355" s="19" t="s">
        <v>1336</v>
      </c>
      <c r="H355" s="15">
        <f>SUMIFS(Data!M:M,Data!C:C,G355,Data!V:V,2024)</f>
        <v>0</v>
      </c>
      <c r="I355" s="15">
        <f>SUMIFS(Data!M:M,Data!C:C,G355,Data!V:V,2025)</f>
        <v>136400</v>
      </c>
      <c r="J355" s="20">
        <f t="shared" si="11"/>
        <v>136400</v>
      </c>
    </row>
    <row r="356" spans="2:10" x14ac:dyDescent="0.25">
      <c r="B356" s="19" t="s">
        <v>277</v>
      </c>
      <c r="C356" s="14">
        <f>COUNTIFS(Data!C:C,B356,Data!V:V,2024)</f>
        <v>2</v>
      </c>
      <c r="D356" s="14">
        <f>COUNTIFS(Data!C:C,B356,Data!V:V,2025)</f>
        <v>1</v>
      </c>
      <c r="E356" s="30">
        <f t="shared" si="10"/>
        <v>3</v>
      </c>
      <c r="G356" s="19" t="s">
        <v>1120</v>
      </c>
      <c r="H356" s="15">
        <f>SUMIFS(Data!M:M,Data!C:C,G356,Data!V:V,2024)</f>
        <v>0</v>
      </c>
      <c r="I356" s="15">
        <f>SUMIFS(Data!M:M,Data!C:C,G356,Data!V:V,2025)</f>
        <v>135900</v>
      </c>
      <c r="J356" s="20">
        <f t="shared" si="11"/>
        <v>135900</v>
      </c>
    </row>
    <row r="357" spans="2:10" x14ac:dyDescent="0.25">
      <c r="B357" s="19" t="s">
        <v>661</v>
      </c>
      <c r="C357" s="14">
        <f>COUNTIFS(Data!C:C,B357,Data!V:V,2024)</f>
        <v>2</v>
      </c>
      <c r="D357" s="14">
        <f>COUNTIFS(Data!C:C,B357,Data!V:V,2025)</f>
        <v>1</v>
      </c>
      <c r="E357" s="30">
        <f t="shared" si="10"/>
        <v>3</v>
      </c>
      <c r="G357" s="19" t="s">
        <v>396</v>
      </c>
      <c r="H357" s="15">
        <f>SUMIFS(Data!M:M,Data!C:C,G357,Data!V:V,2024)</f>
        <v>12800</v>
      </c>
      <c r="I357" s="15">
        <f>SUMIFS(Data!M:M,Data!C:C,G357,Data!V:V,2025)</f>
        <v>122400</v>
      </c>
      <c r="J357" s="20">
        <f t="shared" si="11"/>
        <v>135200</v>
      </c>
    </row>
    <row r="358" spans="2:10" x14ac:dyDescent="0.25">
      <c r="B358" s="19" t="s">
        <v>227</v>
      </c>
      <c r="C358" s="14">
        <f>COUNTIFS(Data!C:C,B358,Data!V:V,2024)</f>
        <v>2</v>
      </c>
      <c r="D358" s="14">
        <f>COUNTIFS(Data!C:C,B358,Data!V:V,2025)</f>
        <v>1</v>
      </c>
      <c r="E358" s="30">
        <f t="shared" si="10"/>
        <v>3</v>
      </c>
      <c r="G358" s="19" t="s">
        <v>486</v>
      </c>
      <c r="H358" s="15">
        <f>SUMIFS(Data!M:M,Data!C:C,G358,Data!V:V,2024)</f>
        <v>66000</v>
      </c>
      <c r="I358" s="15">
        <f>SUMIFS(Data!M:M,Data!C:C,G358,Data!V:V,2025)</f>
        <v>68000</v>
      </c>
      <c r="J358" s="20">
        <f t="shared" si="11"/>
        <v>134000</v>
      </c>
    </row>
    <row r="359" spans="2:10" x14ac:dyDescent="0.25">
      <c r="B359" s="19" t="s">
        <v>1574</v>
      </c>
      <c r="C359" s="14">
        <f>COUNTIFS(Data!C:C,B359,Data!V:V,2024)</f>
        <v>0</v>
      </c>
      <c r="D359" s="14">
        <f>COUNTIFS(Data!C:C,B359,Data!V:V,2025)</f>
        <v>3</v>
      </c>
      <c r="E359" s="30">
        <f t="shared" si="10"/>
        <v>3</v>
      </c>
      <c r="G359" s="19" t="s">
        <v>877</v>
      </c>
      <c r="H359" s="15">
        <f>SUMIFS(Data!M:M,Data!C:C,G359,Data!V:V,2024)</f>
        <v>15200</v>
      </c>
      <c r="I359" s="15">
        <f>SUMIFS(Data!M:M,Data!C:C,G359,Data!V:V,2025)</f>
        <v>118550</v>
      </c>
      <c r="J359" s="20">
        <f t="shared" si="11"/>
        <v>133750</v>
      </c>
    </row>
    <row r="360" spans="2:10" x14ac:dyDescent="0.25">
      <c r="B360" s="19" t="s">
        <v>427</v>
      </c>
      <c r="C360" s="14">
        <f>COUNTIFS(Data!C:C,B360,Data!V:V,2024)</f>
        <v>1</v>
      </c>
      <c r="D360" s="14">
        <f>COUNTIFS(Data!C:C,B360,Data!V:V,2025)</f>
        <v>2</v>
      </c>
      <c r="E360" s="30">
        <f t="shared" si="10"/>
        <v>3</v>
      </c>
      <c r="G360" s="19" t="s">
        <v>916</v>
      </c>
      <c r="H360" s="15">
        <f>SUMIFS(Data!M:M,Data!C:C,G360,Data!V:V,2024)</f>
        <v>0</v>
      </c>
      <c r="I360" s="15">
        <f>SUMIFS(Data!M:M,Data!C:C,G360,Data!V:V,2025)</f>
        <v>133400</v>
      </c>
      <c r="J360" s="20">
        <f t="shared" si="11"/>
        <v>133400</v>
      </c>
    </row>
    <row r="361" spans="2:10" x14ac:dyDescent="0.25">
      <c r="B361" s="19" t="s">
        <v>584</v>
      </c>
      <c r="C361" s="14">
        <f>COUNTIFS(Data!C:C,B361,Data!V:V,2024)</f>
        <v>1</v>
      </c>
      <c r="D361" s="14">
        <f>COUNTIFS(Data!C:C,B361,Data!V:V,2025)</f>
        <v>2</v>
      </c>
      <c r="E361" s="30">
        <f t="shared" si="10"/>
        <v>3</v>
      </c>
      <c r="G361" s="19" t="s">
        <v>305</v>
      </c>
      <c r="H361" s="15">
        <f>SUMIFS(Data!M:M,Data!C:C,G361,Data!V:V,2024)</f>
        <v>46100</v>
      </c>
      <c r="I361" s="15">
        <f>SUMIFS(Data!M:M,Data!C:C,G361,Data!V:V,2025)</f>
        <v>87200</v>
      </c>
      <c r="J361" s="20">
        <f t="shared" si="11"/>
        <v>133300</v>
      </c>
    </row>
    <row r="362" spans="2:10" x14ac:dyDescent="0.25">
      <c r="B362" s="19" t="s">
        <v>1241</v>
      </c>
      <c r="C362" s="14">
        <f>COUNTIFS(Data!C:C,B362,Data!V:V,2024)</f>
        <v>0</v>
      </c>
      <c r="D362" s="14">
        <f>COUNTIFS(Data!C:C,B362,Data!V:V,2025)</f>
        <v>3</v>
      </c>
      <c r="E362" s="30">
        <f t="shared" si="10"/>
        <v>3</v>
      </c>
      <c r="G362" s="19" t="s">
        <v>1025</v>
      </c>
      <c r="H362" s="15">
        <f>SUMIFS(Data!M:M,Data!C:C,G362,Data!V:V,2024)</f>
        <v>0</v>
      </c>
      <c r="I362" s="15">
        <f>SUMIFS(Data!M:M,Data!C:C,G362,Data!V:V,2025)</f>
        <v>130100</v>
      </c>
      <c r="J362" s="20">
        <f t="shared" si="11"/>
        <v>130100</v>
      </c>
    </row>
    <row r="363" spans="2:10" x14ac:dyDescent="0.25">
      <c r="B363" s="19" t="s">
        <v>609</v>
      </c>
      <c r="C363" s="14">
        <f>COUNTIFS(Data!C:C,B363,Data!V:V,2024)</f>
        <v>1</v>
      </c>
      <c r="D363" s="14">
        <f>COUNTIFS(Data!C:C,B363,Data!V:V,2025)</f>
        <v>2</v>
      </c>
      <c r="E363" s="30">
        <f t="shared" si="10"/>
        <v>3</v>
      </c>
      <c r="G363" s="19" t="s">
        <v>1981</v>
      </c>
      <c r="H363" s="15">
        <f>SUMIFS(Data!M:M,Data!C:C,G363,Data!V:V,2024)</f>
        <v>0</v>
      </c>
      <c r="I363" s="15">
        <f>SUMIFS(Data!M:M,Data!C:C,G363,Data!V:V,2025)</f>
        <v>129900</v>
      </c>
      <c r="J363" s="20">
        <f t="shared" si="11"/>
        <v>129900</v>
      </c>
    </row>
    <row r="364" spans="2:10" x14ac:dyDescent="0.25">
      <c r="B364" s="19" t="s">
        <v>1040</v>
      </c>
      <c r="C364" s="14">
        <f>COUNTIFS(Data!C:C,B364,Data!V:V,2024)</f>
        <v>0</v>
      </c>
      <c r="D364" s="14">
        <f>COUNTIFS(Data!C:C,B364,Data!V:V,2025)</f>
        <v>3</v>
      </c>
      <c r="E364" s="30">
        <f t="shared" si="10"/>
        <v>3</v>
      </c>
      <c r="G364" s="19" t="s">
        <v>572</v>
      </c>
      <c r="H364" s="15">
        <f>SUMIFS(Data!M:M,Data!C:C,G364,Data!V:V,2024)</f>
        <v>43200</v>
      </c>
      <c r="I364" s="15">
        <f>SUMIFS(Data!M:M,Data!C:C,G364,Data!V:V,2025)</f>
        <v>85300</v>
      </c>
      <c r="J364" s="20">
        <f t="shared" si="11"/>
        <v>128500</v>
      </c>
    </row>
    <row r="365" spans="2:10" x14ac:dyDescent="0.25">
      <c r="B365" s="19" t="s">
        <v>832</v>
      </c>
      <c r="C365" s="14">
        <f>COUNTIFS(Data!C:C,B365,Data!V:V,2024)</f>
        <v>1</v>
      </c>
      <c r="D365" s="14">
        <f>COUNTIFS(Data!C:C,B365,Data!V:V,2025)</f>
        <v>2</v>
      </c>
      <c r="E365" s="30">
        <f t="shared" si="10"/>
        <v>3</v>
      </c>
      <c r="G365" s="19" t="s">
        <v>551</v>
      </c>
      <c r="H365" s="15">
        <f>SUMIFS(Data!M:M,Data!C:C,G365,Data!V:V,2024)</f>
        <v>60500</v>
      </c>
      <c r="I365" s="15">
        <f>SUMIFS(Data!M:M,Data!C:C,G365,Data!V:V,2025)</f>
        <v>64800</v>
      </c>
      <c r="J365" s="20">
        <f t="shared" si="11"/>
        <v>125300</v>
      </c>
    </row>
    <row r="366" spans="2:10" x14ac:dyDescent="0.25">
      <c r="B366" s="19" t="s">
        <v>172</v>
      </c>
      <c r="C366" s="14">
        <f>COUNTIFS(Data!C:C,B366,Data!V:V,2024)</f>
        <v>2</v>
      </c>
      <c r="D366" s="14">
        <f>COUNTIFS(Data!C:C,B366,Data!V:V,2025)</f>
        <v>1</v>
      </c>
      <c r="E366" s="30">
        <f t="shared" si="10"/>
        <v>3</v>
      </c>
      <c r="G366" s="19" t="s">
        <v>666</v>
      </c>
      <c r="H366" s="15">
        <f>SUMIFS(Data!M:M,Data!C:C,G366,Data!V:V,2024)</f>
        <v>75200</v>
      </c>
      <c r="I366" s="15">
        <f>SUMIFS(Data!M:M,Data!C:C,G366,Data!V:V,2025)</f>
        <v>50000</v>
      </c>
      <c r="J366" s="20">
        <f t="shared" si="11"/>
        <v>125200</v>
      </c>
    </row>
    <row r="367" spans="2:10" x14ac:dyDescent="0.25">
      <c r="B367" s="19" t="s">
        <v>802</v>
      </c>
      <c r="C367" s="14">
        <f>COUNTIFS(Data!C:C,B367,Data!V:V,2024)</f>
        <v>1</v>
      </c>
      <c r="D367" s="14">
        <f>COUNTIFS(Data!C:C,B367,Data!V:V,2025)</f>
        <v>2</v>
      </c>
      <c r="E367" s="30">
        <f t="shared" si="10"/>
        <v>3</v>
      </c>
      <c r="G367" s="19" t="s">
        <v>385</v>
      </c>
      <c r="H367" s="15">
        <f>SUMIFS(Data!M:M,Data!C:C,G367,Data!V:V,2024)</f>
        <v>82400</v>
      </c>
      <c r="I367" s="15">
        <f>SUMIFS(Data!M:M,Data!C:C,G367,Data!V:V,2025)</f>
        <v>42200</v>
      </c>
      <c r="J367" s="20">
        <f t="shared" si="11"/>
        <v>124600</v>
      </c>
    </row>
    <row r="368" spans="2:10" x14ac:dyDescent="0.25">
      <c r="B368" s="19" t="s">
        <v>1366</v>
      </c>
      <c r="C368" s="14">
        <f>COUNTIFS(Data!C:C,B368,Data!V:V,2024)</f>
        <v>0</v>
      </c>
      <c r="D368" s="14">
        <f>COUNTIFS(Data!C:C,B368,Data!V:V,2025)</f>
        <v>3</v>
      </c>
      <c r="E368" s="30">
        <f t="shared" si="10"/>
        <v>3</v>
      </c>
      <c r="G368" s="19" t="s">
        <v>281</v>
      </c>
      <c r="H368" s="15">
        <f>SUMIFS(Data!M:M,Data!C:C,G368,Data!V:V,2024)</f>
        <v>108700</v>
      </c>
      <c r="I368" s="15">
        <f>SUMIFS(Data!M:M,Data!C:C,G368,Data!V:V,2025)</f>
        <v>15300</v>
      </c>
      <c r="J368" s="20">
        <f t="shared" si="11"/>
        <v>124000</v>
      </c>
    </row>
    <row r="369" spans="2:10" x14ac:dyDescent="0.25">
      <c r="B369" s="19" t="s">
        <v>434</v>
      </c>
      <c r="C369" s="14">
        <f>COUNTIFS(Data!C:C,B369,Data!V:V,2024)</f>
        <v>1</v>
      </c>
      <c r="D369" s="14">
        <f>COUNTIFS(Data!C:C,B369,Data!V:V,2025)</f>
        <v>2</v>
      </c>
      <c r="E369" s="30">
        <f t="shared" si="10"/>
        <v>3</v>
      </c>
      <c r="G369" s="19" t="s">
        <v>363</v>
      </c>
      <c r="H369" s="15">
        <f>SUMIFS(Data!M:M,Data!C:C,G369,Data!V:V,2024)</f>
        <v>52250</v>
      </c>
      <c r="I369" s="15">
        <f>SUMIFS(Data!M:M,Data!C:C,G369,Data!V:V,2025)</f>
        <v>71250</v>
      </c>
      <c r="J369" s="20">
        <f t="shared" si="11"/>
        <v>123500</v>
      </c>
    </row>
    <row r="370" spans="2:10" x14ac:dyDescent="0.25">
      <c r="B370" s="19" t="s">
        <v>846</v>
      </c>
      <c r="C370" s="14">
        <f>COUNTIFS(Data!C:C,B370,Data!V:V,2024)</f>
        <v>2</v>
      </c>
      <c r="D370" s="14">
        <f>COUNTIFS(Data!C:C,B370,Data!V:V,2025)</f>
        <v>1</v>
      </c>
      <c r="E370" s="30">
        <f t="shared" si="10"/>
        <v>3</v>
      </c>
      <c r="G370" s="19" t="s">
        <v>1509</v>
      </c>
      <c r="H370" s="15">
        <f>SUMIFS(Data!M:M,Data!C:C,G370,Data!V:V,2024)</f>
        <v>0</v>
      </c>
      <c r="I370" s="15">
        <f>SUMIFS(Data!M:M,Data!C:C,G370,Data!V:V,2025)</f>
        <v>120900</v>
      </c>
      <c r="J370" s="20">
        <f t="shared" si="11"/>
        <v>120900</v>
      </c>
    </row>
    <row r="371" spans="2:10" x14ac:dyDescent="0.25">
      <c r="B371" s="19" t="s">
        <v>1792</v>
      </c>
      <c r="C371" s="14">
        <f>COUNTIFS(Data!C:C,B371,Data!V:V,2024)</f>
        <v>0</v>
      </c>
      <c r="D371" s="14">
        <f>COUNTIFS(Data!C:C,B371,Data!V:V,2025)</f>
        <v>2</v>
      </c>
      <c r="E371" s="30">
        <f t="shared" si="10"/>
        <v>2</v>
      </c>
      <c r="G371" s="19" t="s">
        <v>252</v>
      </c>
      <c r="H371" s="15">
        <f>SUMIFS(Data!M:M,Data!C:C,G371,Data!V:V,2024)</f>
        <v>56000</v>
      </c>
      <c r="I371" s="15">
        <f>SUMIFS(Data!M:M,Data!C:C,G371,Data!V:V,2025)</f>
        <v>64350</v>
      </c>
      <c r="J371" s="20">
        <f t="shared" si="11"/>
        <v>120350</v>
      </c>
    </row>
    <row r="372" spans="2:10" x14ac:dyDescent="0.25">
      <c r="B372" s="19" t="s">
        <v>1970</v>
      </c>
      <c r="C372" s="14">
        <f>COUNTIFS(Data!C:C,B372,Data!V:V,2024)</f>
        <v>0</v>
      </c>
      <c r="D372" s="14">
        <f>COUNTIFS(Data!C:C,B372,Data!V:V,2025)</f>
        <v>2</v>
      </c>
      <c r="E372" s="30">
        <f t="shared" si="10"/>
        <v>2</v>
      </c>
      <c r="G372" s="19" t="s">
        <v>1985</v>
      </c>
      <c r="H372" s="15">
        <f>SUMIFS(Data!M:M,Data!C:C,G372,Data!V:V,2024)</f>
        <v>0</v>
      </c>
      <c r="I372" s="15">
        <f>SUMIFS(Data!M:M,Data!C:C,G372,Data!V:V,2025)</f>
        <v>119850</v>
      </c>
      <c r="J372" s="20">
        <f t="shared" si="11"/>
        <v>119850</v>
      </c>
    </row>
    <row r="373" spans="2:10" x14ac:dyDescent="0.25">
      <c r="B373" s="19" t="s">
        <v>1055</v>
      </c>
      <c r="C373" s="14">
        <f>COUNTIFS(Data!C:C,B373,Data!V:V,2024)</f>
        <v>0</v>
      </c>
      <c r="D373" s="14">
        <f>COUNTIFS(Data!C:C,B373,Data!V:V,2025)</f>
        <v>2</v>
      </c>
      <c r="E373" s="30">
        <f t="shared" si="10"/>
        <v>2</v>
      </c>
      <c r="G373" s="19" t="s">
        <v>619</v>
      </c>
      <c r="H373" s="15">
        <f>SUMIFS(Data!M:M,Data!C:C,G373,Data!V:V,2024)</f>
        <v>119200</v>
      </c>
      <c r="I373" s="15">
        <f>SUMIFS(Data!M:M,Data!C:C,G373,Data!V:V,2025)</f>
        <v>0</v>
      </c>
      <c r="J373" s="20">
        <f t="shared" si="11"/>
        <v>119200</v>
      </c>
    </row>
    <row r="374" spans="2:10" x14ac:dyDescent="0.25">
      <c r="B374" s="19" t="s">
        <v>2072</v>
      </c>
      <c r="C374" s="14">
        <f>COUNTIFS(Data!C:C,B374,Data!V:V,2024)</f>
        <v>0</v>
      </c>
      <c r="D374" s="14">
        <f>COUNTIFS(Data!C:C,B374,Data!V:V,2025)</f>
        <v>2</v>
      </c>
      <c r="E374" s="30">
        <f t="shared" si="10"/>
        <v>2</v>
      </c>
      <c r="G374" s="19" t="s">
        <v>365</v>
      </c>
      <c r="H374" s="15">
        <f>SUMIFS(Data!M:M,Data!C:C,G374,Data!V:V,2024)</f>
        <v>110800</v>
      </c>
      <c r="I374" s="15">
        <f>SUMIFS(Data!M:M,Data!C:C,G374,Data!V:V,2025)</f>
        <v>8000</v>
      </c>
      <c r="J374" s="20">
        <f t="shared" si="11"/>
        <v>118800</v>
      </c>
    </row>
    <row r="375" spans="2:10" x14ac:dyDescent="0.25">
      <c r="B375" s="19" t="s">
        <v>904</v>
      </c>
      <c r="C375" s="14">
        <f>COUNTIFS(Data!C:C,B375,Data!V:V,2024)</f>
        <v>1</v>
      </c>
      <c r="D375" s="14">
        <f>COUNTIFS(Data!C:C,B375,Data!V:V,2025)</f>
        <v>1</v>
      </c>
      <c r="E375" s="30">
        <f t="shared" si="10"/>
        <v>2</v>
      </c>
      <c r="G375" s="19" t="s">
        <v>1063</v>
      </c>
      <c r="H375" s="15">
        <f>SUMIFS(Data!M:M,Data!C:C,G375,Data!V:V,2024)</f>
        <v>0</v>
      </c>
      <c r="I375" s="15">
        <f>SUMIFS(Data!M:M,Data!C:C,G375,Data!V:V,2025)</f>
        <v>118100</v>
      </c>
      <c r="J375" s="20">
        <f t="shared" si="11"/>
        <v>118100</v>
      </c>
    </row>
    <row r="376" spans="2:10" x14ac:dyDescent="0.25">
      <c r="B376" s="19" t="s">
        <v>724</v>
      </c>
      <c r="C376" s="14">
        <f>COUNTIFS(Data!C:C,B376,Data!V:V,2024)</f>
        <v>1</v>
      </c>
      <c r="D376" s="14">
        <f>COUNTIFS(Data!C:C,B376,Data!V:V,2025)</f>
        <v>1</v>
      </c>
      <c r="E376" s="30">
        <f t="shared" si="10"/>
        <v>2</v>
      </c>
      <c r="G376" s="19" t="s">
        <v>1418</v>
      </c>
      <c r="H376" s="15">
        <f>SUMIFS(Data!M:M,Data!C:C,G376,Data!V:V,2024)</f>
        <v>0</v>
      </c>
      <c r="I376" s="15">
        <f>SUMIFS(Data!M:M,Data!C:C,G376,Data!V:V,2025)</f>
        <v>117200</v>
      </c>
      <c r="J376" s="20">
        <f t="shared" si="11"/>
        <v>117200</v>
      </c>
    </row>
    <row r="377" spans="2:10" x14ac:dyDescent="0.25">
      <c r="B377" s="19" t="s">
        <v>69</v>
      </c>
      <c r="C377" s="14">
        <f>COUNTIFS(Data!C:C,B377,Data!V:V,2024)</f>
        <v>1</v>
      </c>
      <c r="D377" s="14">
        <f>COUNTIFS(Data!C:C,B377,Data!V:V,2025)</f>
        <v>1</v>
      </c>
      <c r="E377" s="30">
        <f t="shared" si="10"/>
        <v>2</v>
      </c>
      <c r="G377" s="19" t="s">
        <v>918</v>
      </c>
      <c r="H377" s="15">
        <f>SUMIFS(Data!M:M,Data!C:C,G377,Data!V:V,2024)</f>
        <v>0</v>
      </c>
      <c r="I377" s="15">
        <f>SUMIFS(Data!M:M,Data!C:C,G377,Data!V:V,2025)</f>
        <v>113650</v>
      </c>
      <c r="J377" s="20">
        <f t="shared" si="11"/>
        <v>113650</v>
      </c>
    </row>
    <row r="378" spans="2:10" x14ac:dyDescent="0.25">
      <c r="B378" s="19" t="s">
        <v>1117</v>
      </c>
      <c r="C378" s="14">
        <f>COUNTIFS(Data!C:C,B378,Data!V:V,2024)</f>
        <v>0</v>
      </c>
      <c r="D378" s="14">
        <f>COUNTIFS(Data!C:C,B378,Data!V:V,2025)</f>
        <v>2</v>
      </c>
      <c r="E378" s="30">
        <f t="shared" si="10"/>
        <v>2</v>
      </c>
      <c r="G378" s="19" t="s">
        <v>277</v>
      </c>
      <c r="H378" s="15">
        <f>SUMIFS(Data!M:M,Data!C:C,G378,Data!V:V,2024)</f>
        <v>96400</v>
      </c>
      <c r="I378" s="15">
        <f>SUMIFS(Data!M:M,Data!C:C,G378,Data!V:V,2025)</f>
        <v>12000</v>
      </c>
      <c r="J378" s="20">
        <f t="shared" si="11"/>
        <v>108400</v>
      </c>
    </row>
    <row r="379" spans="2:10" x14ac:dyDescent="0.25">
      <c r="B379" s="19" t="s">
        <v>1313</v>
      </c>
      <c r="C379" s="14">
        <f>COUNTIFS(Data!C:C,B379,Data!V:V,2024)</f>
        <v>0</v>
      </c>
      <c r="D379" s="14">
        <f>COUNTIFS(Data!C:C,B379,Data!V:V,2025)</f>
        <v>2</v>
      </c>
      <c r="E379" s="30">
        <f t="shared" si="10"/>
        <v>2</v>
      </c>
      <c r="G379" s="19" t="s">
        <v>1293</v>
      </c>
      <c r="H379" s="15">
        <f>SUMIFS(Data!M:M,Data!C:C,G379,Data!V:V,2024)</f>
        <v>0</v>
      </c>
      <c r="I379" s="15">
        <f>SUMIFS(Data!M:M,Data!C:C,G379,Data!V:V,2025)</f>
        <v>106000</v>
      </c>
      <c r="J379" s="20">
        <f t="shared" si="11"/>
        <v>106000</v>
      </c>
    </row>
    <row r="380" spans="2:10" x14ac:dyDescent="0.25">
      <c r="B380" s="19" t="s">
        <v>527</v>
      </c>
      <c r="C380" s="14">
        <f>COUNTIFS(Data!C:C,B380,Data!V:V,2024)</f>
        <v>1</v>
      </c>
      <c r="D380" s="14">
        <f>COUNTIFS(Data!C:C,B380,Data!V:V,2025)</f>
        <v>1</v>
      </c>
      <c r="E380" s="30">
        <f t="shared" si="10"/>
        <v>2</v>
      </c>
      <c r="G380" s="19" t="s">
        <v>1666</v>
      </c>
      <c r="H380" s="15">
        <f>SUMIFS(Data!M:M,Data!C:C,G380,Data!V:V,2024)</f>
        <v>0</v>
      </c>
      <c r="I380" s="15">
        <f>SUMIFS(Data!M:M,Data!C:C,G380,Data!V:V,2025)</f>
        <v>104000</v>
      </c>
      <c r="J380" s="20">
        <f t="shared" si="11"/>
        <v>104000</v>
      </c>
    </row>
    <row r="381" spans="2:10" x14ac:dyDescent="0.25">
      <c r="B381" s="19" t="s">
        <v>1620</v>
      </c>
      <c r="C381" s="14">
        <f>COUNTIFS(Data!C:C,B381,Data!V:V,2024)</f>
        <v>0</v>
      </c>
      <c r="D381" s="14">
        <f>COUNTIFS(Data!C:C,B381,Data!V:V,2025)</f>
        <v>2</v>
      </c>
      <c r="E381" s="30">
        <f t="shared" si="10"/>
        <v>2</v>
      </c>
      <c r="G381" s="19" t="s">
        <v>1741</v>
      </c>
      <c r="H381" s="15">
        <f>SUMIFS(Data!M:M,Data!C:C,G381,Data!V:V,2024)</f>
        <v>0</v>
      </c>
      <c r="I381" s="15">
        <f>SUMIFS(Data!M:M,Data!C:C,G381,Data!V:V,2025)</f>
        <v>104000</v>
      </c>
      <c r="J381" s="20">
        <f t="shared" si="11"/>
        <v>104000</v>
      </c>
    </row>
    <row r="382" spans="2:10" x14ac:dyDescent="0.25">
      <c r="B382" s="19" t="s">
        <v>1250</v>
      </c>
      <c r="C382" s="14">
        <f>COUNTIFS(Data!C:C,B382,Data!V:V,2024)</f>
        <v>0</v>
      </c>
      <c r="D382" s="14">
        <f>COUNTIFS(Data!C:C,B382,Data!V:V,2025)</f>
        <v>2</v>
      </c>
      <c r="E382" s="30">
        <f t="shared" si="10"/>
        <v>2</v>
      </c>
      <c r="G382" s="19" t="s">
        <v>661</v>
      </c>
      <c r="H382" s="15">
        <f>SUMIFS(Data!M:M,Data!C:C,G382,Data!V:V,2024)</f>
        <v>93600</v>
      </c>
      <c r="I382" s="15">
        <f>SUMIFS(Data!M:M,Data!C:C,G382,Data!V:V,2025)</f>
        <v>4250</v>
      </c>
      <c r="J382" s="20">
        <f t="shared" si="11"/>
        <v>97850</v>
      </c>
    </row>
    <row r="383" spans="2:10" x14ac:dyDescent="0.25">
      <c r="B383" s="19" t="s">
        <v>714</v>
      </c>
      <c r="C383" s="14">
        <f>COUNTIFS(Data!C:C,B383,Data!V:V,2024)</f>
        <v>2</v>
      </c>
      <c r="D383" s="14">
        <f>COUNTIFS(Data!C:C,B383,Data!V:V,2025)</f>
        <v>0</v>
      </c>
      <c r="E383" s="30">
        <f t="shared" si="10"/>
        <v>2</v>
      </c>
      <c r="G383" s="19" t="s">
        <v>227</v>
      </c>
      <c r="H383" s="15">
        <f>SUMIFS(Data!M:M,Data!C:C,G383,Data!V:V,2024)</f>
        <v>28400</v>
      </c>
      <c r="I383" s="15">
        <f>SUMIFS(Data!M:M,Data!C:C,G383,Data!V:V,2025)</f>
        <v>63000</v>
      </c>
      <c r="J383" s="20">
        <f t="shared" si="11"/>
        <v>91400</v>
      </c>
    </row>
    <row r="384" spans="2:10" x14ac:dyDescent="0.25">
      <c r="B384" s="19" t="s">
        <v>969</v>
      </c>
      <c r="C384" s="14">
        <f>COUNTIFS(Data!C:C,B384,Data!V:V,2024)</f>
        <v>0</v>
      </c>
      <c r="D384" s="14">
        <f>COUNTIFS(Data!C:C,B384,Data!V:V,2025)</f>
        <v>2</v>
      </c>
      <c r="E384" s="30">
        <f t="shared" si="10"/>
        <v>2</v>
      </c>
      <c r="G384" s="19" t="s">
        <v>1012</v>
      </c>
      <c r="H384" s="15">
        <f>SUMIFS(Data!M:M,Data!C:C,G384,Data!V:V,2024)</f>
        <v>0</v>
      </c>
      <c r="I384" s="15">
        <f>SUMIFS(Data!M:M,Data!C:C,G384,Data!V:V,2025)</f>
        <v>90000</v>
      </c>
      <c r="J384" s="20">
        <f t="shared" si="11"/>
        <v>90000</v>
      </c>
    </row>
    <row r="385" spans="2:10" x14ac:dyDescent="0.25">
      <c r="B385" s="19" t="s">
        <v>1849</v>
      </c>
      <c r="C385" s="14">
        <f>COUNTIFS(Data!C:C,B385,Data!V:V,2024)</f>
        <v>0</v>
      </c>
      <c r="D385" s="14">
        <f>COUNTIFS(Data!C:C,B385,Data!V:V,2025)</f>
        <v>2</v>
      </c>
      <c r="E385" s="30">
        <f t="shared" si="10"/>
        <v>2</v>
      </c>
      <c r="G385" s="19" t="s">
        <v>159</v>
      </c>
      <c r="H385" s="15">
        <f>SUMIFS(Data!M:M,Data!C:C,G385,Data!V:V,2024)</f>
        <v>3800</v>
      </c>
      <c r="I385" s="15">
        <f>SUMIFS(Data!M:M,Data!C:C,G385,Data!V:V,2025)</f>
        <v>84650</v>
      </c>
      <c r="J385" s="20">
        <f t="shared" si="11"/>
        <v>88450</v>
      </c>
    </row>
    <row r="386" spans="2:10" x14ac:dyDescent="0.25">
      <c r="B386" s="19" t="s">
        <v>1278</v>
      </c>
      <c r="C386" s="14">
        <f>COUNTIFS(Data!C:C,B386,Data!V:V,2024)</f>
        <v>0</v>
      </c>
      <c r="D386" s="14">
        <f>COUNTIFS(Data!C:C,B386,Data!V:V,2025)</f>
        <v>2</v>
      </c>
      <c r="E386" s="30">
        <f t="shared" si="10"/>
        <v>2</v>
      </c>
      <c r="G386" s="19" t="s">
        <v>421</v>
      </c>
      <c r="H386" s="15">
        <f>SUMIFS(Data!M:M,Data!C:C,G386,Data!V:V,2024)</f>
        <v>64000</v>
      </c>
      <c r="I386" s="15">
        <f>SUMIFS(Data!M:M,Data!C:C,G386,Data!V:V,2025)</f>
        <v>24000</v>
      </c>
      <c r="J386" s="20">
        <f t="shared" si="11"/>
        <v>88000</v>
      </c>
    </row>
    <row r="387" spans="2:10" x14ac:dyDescent="0.25">
      <c r="B387" s="19" t="s">
        <v>1133</v>
      </c>
      <c r="C387" s="14">
        <f>COUNTIFS(Data!C:C,B387,Data!V:V,2024)</f>
        <v>0</v>
      </c>
      <c r="D387" s="14">
        <f>COUNTIFS(Data!C:C,B387,Data!V:V,2025)</f>
        <v>2</v>
      </c>
      <c r="E387" s="30">
        <f t="shared" si="10"/>
        <v>2</v>
      </c>
      <c r="G387" s="19" t="s">
        <v>1574</v>
      </c>
      <c r="H387" s="15">
        <f>SUMIFS(Data!M:M,Data!C:C,G387,Data!V:V,2024)</f>
        <v>0</v>
      </c>
      <c r="I387" s="15">
        <f>SUMIFS(Data!M:M,Data!C:C,G387,Data!V:V,2025)</f>
        <v>86700</v>
      </c>
      <c r="J387" s="20">
        <f t="shared" si="11"/>
        <v>86700</v>
      </c>
    </row>
    <row r="388" spans="2:10" x14ac:dyDescent="0.25">
      <c r="B388" s="19" t="s">
        <v>135</v>
      </c>
      <c r="C388" s="14">
        <f>COUNTIFS(Data!C:C,B388,Data!V:V,2024)</f>
        <v>1</v>
      </c>
      <c r="D388" s="14">
        <f>COUNTIFS(Data!C:C,B388,Data!V:V,2025)</f>
        <v>1</v>
      </c>
      <c r="E388" s="30">
        <f t="shared" si="10"/>
        <v>2</v>
      </c>
      <c r="G388" s="19" t="s">
        <v>1061</v>
      </c>
      <c r="H388" s="15">
        <f>SUMIFS(Data!M:M,Data!C:C,G388,Data!V:V,2024)</f>
        <v>0</v>
      </c>
      <c r="I388" s="15">
        <f>SUMIFS(Data!M:M,Data!C:C,G388,Data!V:V,2025)</f>
        <v>86700</v>
      </c>
      <c r="J388" s="20">
        <f t="shared" si="11"/>
        <v>86700</v>
      </c>
    </row>
    <row r="389" spans="2:10" x14ac:dyDescent="0.25">
      <c r="B389" s="19" t="s">
        <v>98</v>
      </c>
      <c r="C389" s="14">
        <f>COUNTIFS(Data!C:C,B389,Data!V:V,2024)</f>
        <v>1</v>
      </c>
      <c r="D389" s="14">
        <f>COUNTIFS(Data!C:C,B389,Data!V:V,2025)</f>
        <v>1</v>
      </c>
      <c r="E389" s="30">
        <f t="shared" si="10"/>
        <v>2</v>
      </c>
      <c r="G389" s="19" t="s">
        <v>427</v>
      </c>
      <c r="H389" s="15">
        <f>SUMIFS(Data!M:M,Data!C:C,G389,Data!V:V,2024)</f>
        <v>17000</v>
      </c>
      <c r="I389" s="15">
        <f>SUMIFS(Data!M:M,Data!C:C,G389,Data!V:V,2025)</f>
        <v>69500</v>
      </c>
      <c r="J389" s="20">
        <f t="shared" si="11"/>
        <v>86500</v>
      </c>
    </row>
    <row r="390" spans="2:10" x14ac:dyDescent="0.25">
      <c r="B390" s="19" t="s">
        <v>744</v>
      </c>
      <c r="C390" s="14">
        <f>COUNTIFS(Data!C:C,B390,Data!V:V,2024)</f>
        <v>1</v>
      </c>
      <c r="D390" s="14">
        <f>COUNTIFS(Data!C:C,B390,Data!V:V,2025)</f>
        <v>1</v>
      </c>
      <c r="E390" s="30">
        <f t="shared" si="10"/>
        <v>2</v>
      </c>
      <c r="G390" s="19" t="s">
        <v>408</v>
      </c>
      <c r="H390" s="15">
        <f>SUMIFS(Data!M:M,Data!C:C,G390,Data!V:V,2024)</f>
        <v>34600</v>
      </c>
      <c r="I390" s="15">
        <f>SUMIFS(Data!M:M,Data!C:C,G390,Data!V:V,2025)</f>
        <v>51800</v>
      </c>
      <c r="J390" s="20">
        <f t="shared" si="11"/>
        <v>86400</v>
      </c>
    </row>
    <row r="391" spans="2:10" x14ac:dyDescent="0.25">
      <c r="B391" s="19" t="s">
        <v>486</v>
      </c>
      <c r="C391" s="14">
        <f>COUNTIFS(Data!C:C,B391,Data!V:V,2024)</f>
        <v>1</v>
      </c>
      <c r="D391" s="14">
        <f>COUNTIFS(Data!C:C,B391,Data!V:V,2025)</f>
        <v>1</v>
      </c>
      <c r="E391" s="30">
        <f t="shared" si="10"/>
        <v>2</v>
      </c>
      <c r="G391" s="19" t="s">
        <v>1424</v>
      </c>
      <c r="H391" s="15">
        <f>SUMIFS(Data!M:M,Data!C:C,G391,Data!V:V,2024)</f>
        <v>0</v>
      </c>
      <c r="I391" s="15">
        <f>SUMIFS(Data!M:M,Data!C:C,G391,Data!V:V,2025)</f>
        <v>86000</v>
      </c>
      <c r="J391" s="20">
        <f t="shared" si="11"/>
        <v>86000</v>
      </c>
    </row>
    <row r="392" spans="2:10" x14ac:dyDescent="0.25">
      <c r="B392" s="19" t="s">
        <v>1985</v>
      </c>
      <c r="C392" s="14">
        <f>COUNTIFS(Data!C:C,B392,Data!V:V,2024)</f>
        <v>0</v>
      </c>
      <c r="D392" s="14">
        <f>COUNTIFS(Data!C:C,B392,Data!V:V,2025)</f>
        <v>2</v>
      </c>
      <c r="E392" s="30">
        <f t="shared" si="10"/>
        <v>2</v>
      </c>
      <c r="G392" s="19" t="s">
        <v>1359</v>
      </c>
      <c r="H392" s="15">
        <f>SUMIFS(Data!M:M,Data!C:C,G392,Data!V:V,2024)</f>
        <v>0</v>
      </c>
      <c r="I392" s="15">
        <f>SUMIFS(Data!M:M,Data!C:C,G392,Data!V:V,2025)</f>
        <v>80000</v>
      </c>
      <c r="J392" s="20">
        <f t="shared" si="11"/>
        <v>80000</v>
      </c>
    </row>
    <row r="393" spans="2:10" x14ac:dyDescent="0.25">
      <c r="B393" s="19" t="s">
        <v>916</v>
      </c>
      <c r="C393" s="14">
        <f>COUNTIFS(Data!C:C,B393,Data!V:V,2024)</f>
        <v>0</v>
      </c>
      <c r="D393" s="14">
        <f>COUNTIFS(Data!C:C,B393,Data!V:V,2025)</f>
        <v>2</v>
      </c>
      <c r="E393" s="30">
        <f t="shared" si="10"/>
        <v>2</v>
      </c>
      <c r="G393" s="19" t="s">
        <v>584</v>
      </c>
      <c r="H393" s="15">
        <f>SUMIFS(Data!M:M,Data!C:C,G393,Data!V:V,2024)</f>
        <v>20000</v>
      </c>
      <c r="I393" s="15">
        <f>SUMIFS(Data!M:M,Data!C:C,G393,Data!V:V,2025)</f>
        <v>60000</v>
      </c>
      <c r="J393" s="20">
        <f t="shared" si="11"/>
        <v>80000</v>
      </c>
    </row>
    <row r="394" spans="2:10" x14ac:dyDescent="0.25">
      <c r="B394" s="19" t="s">
        <v>363</v>
      </c>
      <c r="C394" s="14">
        <f>COUNTIFS(Data!C:C,B394,Data!V:V,2024)</f>
        <v>1</v>
      </c>
      <c r="D394" s="14">
        <f>COUNTIFS(Data!C:C,B394,Data!V:V,2025)</f>
        <v>1</v>
      </c>
      <c r="E394" s="30">
        <f t="shared" si="10"/>
        <v>2</v>
      </c>
      <c r="G394" s="19" t="s">
        <v>671</v>
      </c>
      <c r="H394" s="15">
        <f>SUMIFS(Data!M:M,Data!C:C,G394,Data!V:V,2024)</f>
        <v>80000</v>
      </c>
      <c r="I394" s="15">
        <f>SUMIFS(Data!M:M,Data!C:C,G394,Data!V:V,2025)</f>
        <v>0</v>
      </c>
      <c r="J394" s="20">
        <f t="shared" si="11"/>
        <v>80000</v>
      </c>
    </row>
    <row r="395" spans="2:10" x14ac:dyDescent="0.25">
      <c r="B395" s="19" t="s">
        <v>619</v>
      </c>
      <c r="C395" s="14">
        <f>COUNTIFS(Data!C:C,B395,Data!V:V,2024)</f>
        <v>2</v>
      </c>
      <c r="D395" s="14">
        <f>COUNTIFS(Data!C:C,B395,Data!V:V,2025)</f>
        <v>0</v>
      </c>
      <c r="E395" s="30">
        <f t="shared" si="10"/>
        <v>2</v>
      </c>
      <c r="G395" s="19" t="s">
        <v>1241</v>
      </c>
      <c r="H395" s="15">
        <f>SUMIFS(Data!M:M,Data!C:C,G395,Data!V:V,2024)</f>
        <v>0</v>
      </c>
      <c r="I395" s="15">
        <f>SUMIFS(Data!M:M,Data!C:C,G395,Data!V:V,2025)</f>
        <v>79600</v>
      </c>
      <c r="J395" s="20">
        <f t="shared" si="11"/>
        <v>79600</v>
      </c>
    </row>
    <row r="396" spans="2:10" x14ac:dyDescent="0.25">
      <c r="B396" s="19" t="s">
        <v>1418</v>
      </c>
      <c r="C396" s="14">
        <f>COUNTIFS(Data!C:C,B396,Data!V:V,2024)</f>
        <v>0</v>
      </c>
      <c r="D396" s="14">
        <f>COUNTIFS(Data!C:C,B396,Data!V:V,2025)</f>
        <v>2</v>
      </c>
      <c r="E396" s="30">
        <f t="shared" si="10"/>
        <v>2</v>
      </c>
      <c r="G396" s="19" t="s">
        <v>1179</v>
      </c>
      <c r="H396" s="15">
        <f>SUMIFS(Data!M:M,Data!C:C,G396,Data!V:V,2024)</f>
        <v>0</v>
      </c>
      <c r="I396" s="15">
        <f>SUMIFS(Data!M:M,Data!C:C,G396,Data!V:V,2025)</f>
        <v>78400</v>
      </c>
      <c r="J396" s="20">
        <f t="shared" si="11"/>
        <v>78400</v>
      </c>
    </row>
    <row r="397" spans="2:10" x14ac:dyDescent="0.25">
      <c r="B397" s="19" t="s">
        <v>1666</v>
      </c>
      <c r="C397" s="14">
        <f>COUNTIFS(Data!C:C,B397,Data!V:V,2024)</f>
        <v>0</v>
      </c>
      <c r="D397" s="14">
        <f>COUNTIFS(Data!C:C,B397,Data!V:V,2025)</f>
        <v>2</v>
      </c>
      <c r="E397" s="30">
        <f t="shared" si="10"/>
        <v>2</v>
      </c>
      <c r="G397" s="19" t="s">
        <v>1139</v>
      </c>
      <c r="H397" s="15">
        <f>SUMIFS(Data!M:M,Data!C:C,G397,Data!V:V,2024)</f>
        <v>0</v>
      </c>
      <c r="I397" s="15">
        <f>SUMIFS(Data!M:M,Data!C:C,G397,Data!V:V,2025)</f>
        <v>76000</v>
      </c>
      <c r="J397" s="20">
        <f t="shared" si="11"/>
        <v>76000</v>
      </c>
    </row>
    <row r="398" spans="2:10" x14ac:dyDescent="0.25">
      <c r="B398" s="19" t="s">
        <v>1741</v>
      </c>
      <c r="C398" s="14">
        <f>COUNTIFS(Data!C:C,B398,Data!V:V,2024)</f>
        <v>0</v>
      </c>
      <c r="D398" s="14">
        <f>COUNTIFS(Data!C:C,B398,Data!V:V,2025)</f>
        <v>2</v>
      </c>
      <c r="E398" s="30">
        <f t="shared" si="10"/>
        <v>2</v>
      </c>
      <c r="G398" s="19" t="s">
        <v>609</v>
      </c>
      <c r="H398" s="15">
        <f>SUMIFS(Data!M:M,Data!C:C,G398,Data!V:V,2024)</f>
        <v>51000</v>
      </c>
      <c r="I398" s="15">
        <f>SUMIFS(Data!M:M,Data!C:C,G398,Data!V:V,2025)</f>
        <v>22500</v>
      </c>
      <c r="J398" s="20">
        <f t="shared" si="11"/>
        <v>73500</v>
      </c>
    </row>
    <row r="399" spans="2:10" x14ac:dyDescent="0.25">
      <c r="B399" s="19" t="s">
        <v>421</v>
      </c>
      <c r="C399" s="14">
        <f>COUNTIFS(Data!C:C,B399,Data!V:V,2024)</f>
        <v>1</v>
      </c>
      <c r="D399" s="14">
        <f>COUNTIFS(Data!C:C,B399,Data!V:V,2025)</f>
        <v>1</v>
      </c>
      <c r="E399" s="30">
        <f t="shared" si="10"/>
        <v>2</v>
      </c>
      <c r="G399" s="19" t="s">
        <v>115</v>
      </c>
      <c r="H399" s="15">
        <f>SUMIFS(Data!M:M,Data!C:C,G399,Data!V:V,2024)</f>
        <v>50900</v>
      </c>
      <c r="I399" s="15">
        <f>SUMIFS(Data!M:M,Data!C:C,G399,Data!V:V,2025)</f>
        <v>22200</v>
      </c>
      <c r="J399" s="20">
        <f t="shared" si="11"/>
        <v>73100</v>
      </c>
    </row>
    <row r="400" spans="2:10" x14ac:dyDescent="0.25">
      <c r="B400" s="19" t="s">
        <v>1061</v>
      </c>
      <c r="C400" s="14">
        <f>COUNTIFS(Data!C:C,B400,Data!V:V,2024)</f>
        <v>0</v>
      </c>
      <c r="D400" s="14">
        <f>COUNTIFS(Data!C:C,B400,Data!V:V,2025)</f>
        <v>2</v>
      </c>
      <c r="E400" s="30">
        <f t="shared" si="10"/>
        <v>2</v>
      </c>
      <c r="G400" s="19" t="s">
        <v>1040</v>
      </c>
      <c r="H400" s="15">
        <f>SUMIFS(Data!M:M,Data!C:C,G400,Data!V:V,2024)</f>
        <v>0</v>
      </c>
      <c r="I400" s="15">
        <f>SUMIFS(Data!M:M,Data!C:C,G400,Data!V:V,2025)</f>
        <v>72400</v>
      </c>
      <c r="J400" s="20">
        <f t="shared" si="11"/>
        <v>72400</v>
      </c>
    </row>
    <row r="401" spans="2:10" x14ac:dyDescent="0.25">
      <c r="B401" s="19" t="s">
        <v>1179</v>
      </c>
      <c r="C401" s="14">
        <f>COUNTIFS(Data!C:C,B401,Data!V:V,2024)</f>
        <v>0</v>
      </c>
      <c r="D401" s="14">
        <f>COUNTIFS(Data!C:C,B401,Data!V:V,2025)</f>
        <v>2</v>
      </c>
      <c r="E401" s="30">
        <f t="shared" si="10"/>
        <v>2</v>
      </c>
      <c r="G401" s="19" t="s">
        <v>1069</v>
      </c>
      <c r="H401" s="15">
        <f>SUMIFS(Data!M:M,Data!C:C,G401,Data!V:V,2024)</f>
        <v>0</v>
      </c>
      <c r="I401" s="15">
        <f>SUMIFS(Data!M:M,Data!C:C,G401,Data!V:V,2025)</f>
        <v>72250</v>
      </c>
      <c r="J401" s="20">
        <f t="shared" si="11"/>
        <v>72250</v>
      </c>
    </row>
    <row r="402" spans="2:10" x14ac:dyDescent="0.25">
      <c r="B402" s="19" t="s">
        <v>1139</v>
      </c>
      <c r="C402" s="14">
        <f>COUNTIFS(Data!C:C,B402,Data!V:V,2024)</f>
        <v>0</v>
      </c>
      <c r="D402" s="14">
        <f>COUNTIFS(Data!C:C,B402,Data!V:V,2025)</f>
        <v>2</v>
      </c>
      <c r="E402" s="30">
        <f t="shared" si="10"/>
        <v>2</v>
      </c>
      <c r="G402" s="19" t="s">
        <v>2028</v>
      </c>
      <c r="H402" s="15">
        <f>SUMIFS(Data!M:M,Data!C:C,G402,Data!V:V,2024)</f>
        <v>0</v>
      </c>
      <c r="I402" s="15">
        <f>SUMIFS(Data!M:M,Data!C:C,G402,Data!V:V,2025)</f>
        <v>72000</v>
      </c>
      <c r="J402" s="20">
        <f t="shared" si="11"/>
        <v>72000</v>
      </c>
    </row>
    <row r="403" spans="2:10" x14ac:dyDescent="0.25">
      <c r="B403" s="19" t="s">
        <v>1069</v>
      </c>
      <c r="C403" s="14">
        <f>COUNTIFS(Data!C:C,B403,Data!V:V,2024)</f>
        <v>0</v>
      </c>
      <c r="D403" s="14">
        <f>COUNTIFS(Data!C:C,B403,Data!V:V,2025)</f>
        <v>2</v>
      </c>
      <c r="E403" s="30">
        <f t="shared" si="10"/>
        <v>2</v>
      </c>
      <c r="G403" s="19" t="s">
        <v>705</v>
      </c>
      <c r="H403" s="15">
        <f>SUMIFS(Data!M:M,Data!C:C,G403,Data!V:V,2024)</f>
        <v>27000</v>
      </c>
      <c r="I403" s="15">
        <f>SUMIFS(Data!M:M,Data!C:C,G403,Data!V:V,2025)</f>
        <v>44800</v>
      </c>
      <c r="J403" s="20">
        <f t="shared" si="11"/>
        <v>71800</v>
      </c>
    </row>
    <row r="404" spans="2:10" x14ac:dyDescent="0.25">
      <c r="B404" s="19" t="s">
        <v>705</v>
      </c>
      <c r="C404" s="14">
        <f>COUNTIFS(Data!C:C,B404,Data!V:V,2024)</f>
        <v>1</v>
      </c>
      <c r="D404" s="14">
        <f>COUNTIFS(Data!C:C,B404,Data!V:V,2025)</f>
        <v>1</v>
      </c>
      <c r="E404" s="30">
        <f t="shared" si="10"/>
        <v>2</v>
      </c>
      <c r="G404" s="19" t="s">
        <v>291</v>
      </c>
      <c r="H404" s="15">
        <f>SUMIFS(Data!M:M,Data!C:C,G404,Data!V:V,2024)</f>
        <v>68400</v>
      </c>
      <c r="I404" s="15">
        <f>SUMIFS(Data!M:M,Data!C:C,G404,Data!V:V,2025)</f>
        <v>0</v>
      </c>
      <c r="J404" s="20">
        <f t="shared" si="11"/>
        <v>68400</v>
      </c>
    </row>
    <row r="405" spans="2:10" x14ac:dyDescent="0.25">
      <c r="B405" s="19" t="s">
        <v>1445</v>
      </c>
      <c r="C405" s="14">
        <f>COUNTIFS(Data!C:C,B405,Data!V:V,2024)</f>
        <v>0</v>
      </c>
      <c r="D405" s="14">
        <f>COUNTIFS(Data!C:C,B405,Data!V:V,2025)</f>
        <v>2</v>
      </c>
      <c r="E405" s="30">
        <f t="shared" si="10"/>
        <v>2</v>
      </c>
      <c r="G405" s="19" t="s">
        <v>832</v>
      </c>
      <c r="H405" s="15">
        <f>SUMIFS(Data!M:M,Data!C:C,G405,Data!V:V,2024)</f>
        <v>48450</v>
      </c>
      <c r="I405" s="15">
        <f>SUMIFS(Data!M:M,Data!C:C,G405,Data!V:V,2025)</f>
        <v>18600</v>
      </c>
      <c r="J405" s="20">
        <f t="shared" si="11"/>
        <v>67050</v>
      </c>
    </row>
    <row r="406" spans="2:10" x14ac:dyDescent="0.25">
      <c r="B406" s="19" t="s">
        <v>898</v>
      </c>
      <c r="C406" s="14">
        <f>COUNTIFS(Data!C:C,B406,Data!V:V,2024)</f>
        <v>1</v>
      </c>
      <c r="D406" s="14">
        <f>COUNTIFS(Data!C:C,B406,Data!V:V,2025)</f>
        <v>1</v>
      </c>
      <c r="E406" s="30">
        <f t="shared" si="10"/>
        <v>2</v>
      </c>
      <c r="G406" s="19" t="s">
        <v>1445</v>
      </c>
      <c r="H406" s="15">
        <f>SUMIFS(Data!M:M,Data!C:C,G406,Data!V:V,2024)</f>
        <v>0</v>
      </c>
      <c r="I406" s="15">
        <f>SUMIFS(Data!M:M,Data!C:C,G406,Data!V:V,2025)</f>
        <v>66650</v>
      </c>
      <c r="J406" s="20">
        <f t="shared" si="11"/>
        <v>66650</v>
      </c>
    </row>
    <row r="407" spans="2:10" x14ac:dyDescent="0.25">
      <c r="B407" s="19" t="s">
        <v>1160</v>
      </c>
      <c r="C407" s="14">
        <f>COUNTIFS(Data!C:C,B407,Data!V:V,2024)</f>
        <v>0</v>
      </c>
      <c r="D407" s="14">
        <f>COUNTIFS(Data!C:C,B407,Data!V:V,2025)</f>
        <v>2</v>
      </c>
      <c r="E407" s="30">
        <f t="shared" si="10"/>
        <v>2</v>
      </c>
      <c r="G407" s="19" t="s">
        <v>1300</v>
      </c>
      <c r="H407" s="15">
        <f>SUMIFS(Data!M:M,Data!C:C,G407,Data!V:V,2024)</f>
        <v>0</v>
      </c>
      <c r="I407" s="15">
        <f>SUMIFS(Data!M:M,Data!C:C,G407,Data!V:V,2025)</f>
        <v>66000</v>
      </c>
      <c r="J407" s="20">
        <f t="shared" si="11"/>
        <v>66000</v>
      </c>
    </row>
    <row r="408" spans="2:10" x14ac:dyDescent="0.25">
      <c r="B408" s="19" t="s">
        <v>1285</v>
      </c>
      <c r="C408" s="14">
        <f>COUNTIFS(Data!C:C,B408,Data!V:V,2024)</f>
        <v>0</v>
      </c>
      <c r="D408" s="14">
        <f>COUNTIFS(Data!C:C,B408,Data!V:V,2025)</f>
        <v>2</v>
      </c>
      <c r="E408" s="30">
        <f t="shared" si="10"/>
        <v>2</v>
      </c>
      <c r="G408" s="19" t="s">
        <v>898</v>
      </c>
      <c r="H408" s="15">
        <f>SUMIFS(Data!M:M,Data!C:C,G408,Data!V:V,2024)</f>
        <v>38000</v>
      </c>
      <c r="I408" s="15">
        <f>SUMIFS(Data!M:M,Data!C:C,G408,Data!V:V,2025)</f>
        <v>24000</v>
      </c>
      <c r="J408" s="20">
        <f t="shared" si="11"/>
        <v>62000</v>
      </c>
    </row>
    <row r="409" spans="2:10" x14ac:dyDescent="0.25">
      <c r="B409" s="19" t="s">
        <v>2097</v>
      </c>
      <c r="C409" s="14">
        <f>COUNTIFS(Data!C:C,B409,Data!V:V,2024)</f>
        <v>0</v>
      </c>
      <c r="D409" s="14">
        <f>COUNTIFS(Data!C:C,B409,Data!V:V,2025)</f>
        <v>2</v>
      </c>
      <c r="E409" s="30">
        <f t="shared" si="10"/>
        <v>2</v>
      </c>
      <c r="G409" s="19" t="s">
        <v>1106</v>
      </c>
      <c r="H409" s="15">
        <f>SUMIFS(Data!M:M,Data!C:C,G409,Data!V:V,2024)</f>
        <v>0</v>
      </c>
      <c r="I409" s="15">
        <f>SUMIFS(Data!M:M,Data!C:C,G409,Data!V:V,2025)</f>
        <v>61200</v>
      </c>
      <c r="J409" s="20">
        <f t="shared" si="11"/>
        <v>61200</v>
      </c>
    </row>
    <row r="410" spans="2:10" x14ac:dyDescent="0.25">
      <c r="B410" s="19" t="s">
        <v>342</v>
      </c>
      <c r="C410" s="14">
        <f>COUNTIFS(Data!C:C,B410,Data!V:V,2024)</f>
        <v>2</v>
      </c>
      <c r="D410" s="14">
        <f>COUNTIFS(Data!C:C,B410,Data!V:V,2025)</f>
        <v>0</v>
      </c>
      <c r="E410" s="30">
        <f t="shared" si="10"/>
        <v>2</v>
      </c>
      <c r="G410" s="19" t="s">
        <v>860</v>
      </c>
      <c r="H410" s="15">
        <f>SUMIFS(Data!M:M,Data!C:C,G410,Data!V:V,2024)</f>
        <v>35200</v>
      </c>
      <c r="I410" s="15">
        <f>SUMIFS(Data!M:M,Data!C:C,G410,Data!V:V,2025)</f>
        <v>25200</v>
      </c>
      <c r="J410" s="20">
        <f t="shared" si="11"/>
        <v>60400</v>
      </c>
    </row>
    <row r="411" spans="2:10" x14ac:dyDescent="0.25">
      <c r="B411" s="19" t="s">
        <v>470</v>
      </c>
      <c r="C411" s="14">
        <f>COUNTIFS(Data!C:C,B411,Data!V:V,2024)</f>
        <v>1</v>
      </c>
      <c r="D411" s="14">
        <f>COUNTIFS(Data!C:C,B411,Data!V:V,2025)</f>
        <v>1</v>
      </c>
      <c r="E411" s="30">
        <f t="shared" si="10"/>
        <v>2</v>
      </c>
      <c r="G411" s="19" t="s">
        <v>172</v>
      </c>
      <c r="H411" s="15">
        <f>SUMIFS(Data!M:M,Data!C:C,G411,Data!V:V,2024)</f>
        <v>48800</v>
      </c>
      <c r="I411" s="15">
        <f>SUMIFS(Data!M:M,Data!C:C,G411,Data!V:V,2025)</f>
        <v>8000</v>
      </c>
      <c r="J411" s="20">
        <f t="shared" si="11"/>
        <v>56800</v>
      </c>
    </row>
    <row r="412" spans="2:10" x14ac:dyDescent="0.25">
      <c r="B412" s="19" t="s">
        <v>690</v>
      </c>
      <c r="C412" s="14">
        <f>COUNTIFS(Data!C:C,B412,Data!V:V,2024)</f>
        <v>1</v>
      </c>
      <c r="D412" s="14">
        <f>COUNTIFS(Data!C:C,B412,Data!V:V,2025)</f>
        <v>1</v>
      </c>
      <c r="E412" s="30">
        <f t="shared" si="10"/>
        <v>2</v>
      </c>
      <c r="G412" s="19" t="s">
        <v>802</v>
      </c>
      <c r="H412" s="15">
        <f>SUMIFS(Data!M:M,Data!C:C,G412,Data!V:V,2024)</f>
        <v>12000</v>
      </c>
      <c r="I412" s="15">
        <f>SUMIFS(Data!M:M,Data!C:C,G412,Data!V:V,2025)</f>
        <v>44300</v>
      </c>
      <c r="J412" s="20">
        <f t="shared" si="11"/>
        <v>56300</v>
      </c>
    </row>
    <row r="413" spans="2:10" x14ac:dyDescent="0.25">
      <c r="B413" s="19" t="s">
        <v>1582</v>
      </c>
      <c r="C413" s="14">
        <f>COUNTIFS(Data!C:C,B413,Data!V:V,2024)</f>
        <v>0</v>
      </c>
      <c r="D413" s="14">
        <f>COUNTIFS(Data!C:C,B413,Data!V:V,2025)</f>
        <v>2</v>
      </c>
      <c r="E413" s="30">
        <f t="shared" si="10"/>
        <v>2</v>
      </c>
      <c r="G413" s="19" t="s">
        <v>1366</v>
      </c>
      <c r="H413" s="15">
        <f>SUMIFS(Data!M:M,Data!C:C,G413,Data!V:V,2024)</f>
        <v>0</v>
      </c>
      <c r="I413" s="15">
        <f>SUMIFS(Data!M:M,Data!C:C,G413,Data!V:V,2025)</f>
        <v>54600</v>
      </c>
      <c r="J413" s="20">
        <f t="shared" si="11"/>
        <v>54600</v>
      </c>
    </row>
    <row r="414" spans="2:10" x14ac:dyDescent="0.25">
      <c r="B414" s="19" t="s">
        <v>492</v>
      </c>
      <c r="C414" s="14">
        <f>COUNTIFS(Data!C:C,B414,Data!V:V,2024)</f>
        <v>1</v>
      </c>
      <c r="D414" s="14">
        <f>COUNTIFS(Data!C:C,B414,Data!V:V,2025)</f>
        <v>0</v>
      </c>
      <c r="E414" s="30">
        <f t="shared" si="10"/>
        <v>1</v>
      </c>
      <c r="G414" s="19" t="s">
        <v>1160</v>
      </c>
      <c r="H414" s="15">
        <f>SUMIFS(Data!M:M,Data!C:C,G414,Data!V:V,2024)</f>
        <v>0</v>
      </c>
      <c r="I414" s="15">
        <f>SUMIFS(Data!M:M,Data!C:C,G414,Data!V:V,2025)</f>
        <v>54300</v>
      </c>
      <c r="J414" s="20">
        <f t="shared" si="11"/>
        <v>54300</v>
      </c>
    </row>
    <row r="415" spans="2:10" x14ac:dyDescent="0.25">
      <c r="B415" s="19" t="s">
        <v>1210</v>
      </c>
      <c r="C415" s="14">
        <f>COUNTIFS(Data!C:C,B415,Data!V:V,2024)</f>
        <v>0</v>
      </c>
      <c r="D415" s="14">
        <f>COUNTIFS(Data!C:C,B415,Data!V:V,2025)</f>
        <v>1</v>
      </c>
      <c r="E415" s="30">
        <f t="shared" si="10"/>
        <v>1</v>
      </c>
      <c r="G415" s="19" t="s">
        <v>1285</v>
      </c>
      <c r="H415" s="15">
        <f>SUMIFS(Data!M:M,Data!C:C,G415,Data!V:V,2024)</f>
        <v>0</v>
      </c>
      <c r="I415" s="15">
        <f>SUMIFS(Data!M:M,Data!C:C,G415,Data!V:V,2025)</f>
        <v>54000</v>
      </c>
      <c r="J415" s="20">
        <f t="shared" si="11"/>
        <v>54000</v>
      </c>
    </row>
    <row r="416" spans="2:10" x14ac:dyDescent="0.25">
      <c r="B416" s="19" t="s">
        <v>1012</v>
      </c>
      <c r="C416" s="14">
        <f>COUNTIFS(Data!C:C,B416,Data!V:V,2024)</f>
        <v>0</v>
      </c>
      <c r="D416" s="14">
        <f>COUNTIFS(Data!C:C,B416,Data!V:V,2025)</f>
        <v>1</v>
      </c>
      <c r="E416" s="30">
        <f t="shared" si="10"/>
        <v>1</v>
      </c>
      <c r="G416" s="19" t="s">
        <v>2097</v>
      </c>
      <c r="H416" s="15">
        <f>SUMIFS(Data!M:M,Data!C:C,G416,Data!V:V,2024)</f>
        <v>0</v>
      </c>
      <c r="I416" s="15">
        <f>SUMIFS(Data!M:M,Data!C:C,G416,Data!V:V,2025)</f>
        <v>50600</v>
      </c>
      <c r="J416" s="20">
        <f t="shared" si="11"/>
        <v>50600</v>
      </c>
    </row>
    <row r="417" spans="2:10" x14ac:dyDescent="0.25">
      <c r="B417" s="19" t="s">
        <v>671</v>
      </c>
      <c r="C417" s="14">
        <f>COUNTIFS(Data!C:C,B417,Data!V:V,2024)</f>
        <v>1</v>
      </c>
      <c r="D417" s="14">
        <f>COUNTIFS(Data!C:C,B417,Data!V:V,2025)</f>
        <v>0</v>
      </c>
      <c r="E417" s="30">
        <f t="shared" si="10"/>
        <v>1</v>
      </c>
      <c r="G417" s="19" t="s">
        <v>819</v>
      </c>
      <c r="H417" s="15">
        <f>SUMIFS(Data!M:M,Data!C:C,G417,Data!V:V,2024)</f>
        <v>50400</v>
      </c>
      <c r="I417" s="15">
        <f>SUMIFS(Data!M:M,Data!C:C,G417,Data!V:V,2025)</f>
        <v>0</v>
      </c>
      <c r="J417" s="20">
        <f t="shared" si="11"/>
        <v>50400</v>
      </c>
    </row>
    <row r="418" spans="2:10" x14ac:dyDescent="0.25">
      <c r="B418" s="19" t="s">
        <v>1359</v>
      </c>
      <c r="C418" s="14">
        <f>COUNTIFS(Data!C:C,B418,Data!V:V,2024)</f>
        <v>0</v>
      </c>
      <c r="D418" s="14">
        <f>COUNTIFS(Data!C:C,B418,Data!V:V,2025)</f>
        <v>1</v>
      </c>
      <c r="E418" s="30">
        <f t="shared" ref="E418:E429" si="12">C418+D418</f>
        <v>1</v>
      </c>
      <c r="G418" s="19" t="s">
        <v>434</v>
      </c>
      <c r="H418" s="15">
        <f>SUMIFS(Data!M:M,Data!C:C,G418,Data!V:V,2024)</f>
        <v>27200</v>
      </c>
      <c r="I418" s="15">
        <f>SUMIFS(Data!M:M,Data!C:C,G418,Data!V:V,2025)</f>
        <v>22000</v>
      </c>
      <c r="J418" s="20">
        <f t="shared" ref="J418:J429" si="13">H418+I418</f>
        <v>49200</v>
      </c>
    </row>
    <row r="419" spans="2:10" x14ac:dyDescent="0.25">
      <c r="B419" s="19" t="s">
        <v>2028</v>
      </c>
      <c r="C419" s="14">
        <f>COUNTIFS(Data!C:C,B419,Data!V:V,2024)</f>
        <v>0</v>
      </c>
      <c r="D419" s="14">
        <f>COUNTIFS(Data!C:C,B419,Data!V:V,2025)</f>
        <v>1</v>
      </c>
      <c r="E419" s="30">
        <f t="shared" si="12"/>
        <v>1</v>
      </c>
      <c r="G419" s="19" t="s">
        <v>2009</v>
      </c>
      <c r="H419" s="15">
        <f>SUMIFS(Data!M:M,Data!C:C,G419,Data!V:V,2024)</f>
        <v>0</v>
      </c>
      <c r="I419" s="15">
        <f>SUMIFS(Data!M:M,Data!C:C,G419,Data!V:V,2025)</f>
        <v>47600</v>
      </c>
      <c r="J419" s="20">
        <f t="shared" si="13"/>
        <v>47600</v>
      </c>
    </row>
    <row r="420" spans="2:10" x14ac:dyDescent="0.25">
      <c r="B420" s="19" t="s">
        <v>291</v>
      </c>
      <c r="C420" s="14">
        <f>COUNTIFS(Data!C:C,B420,Data!V:V,2024)</f>
        <v>1</v>
      </c>
      <c r="D420" s="14">
        <f>COUNTIFS(Data!C:C,B420,Data!V:V,2025)</f>
        <v>0</v>
      </c>
      <c r="E420" s="30">
        <f t="shared" si="12"/>
        <v>1</v>
      </c>
      <c r="G420" s="19" t="s">
        <v>2124</v>
      </c>
      <c r="H420" s="15">
        <f>SUMIFS(Data!M:M,Data!C:C,G420,Data!V:V,2024)</f>
        <v>0</v>
      </c>
      <c r="I420" s="15">
        <f>SUMIFS(Data!M:M,Data!C:C,G420,Data!V:V,2025)</f>
        <v>42750</v>
      </c>
      <c r="J420" s="20">
        <f t="shared" si="13"/>
        <v>42750</v>
      </c>
    </row>
    <row r="421" spans="2:10" x14ac:dyDescent="0.25">
      <c r="B421" s="19" t="s">
        <v>1300</v>
      </c>
      <c r="C421" s="14">
        <f>COUNTIFS(Data!C:C,B421,Data!V:V,2024)</f>
        <v>0</v>
      </c>
      <c r="D421" s="14">
        <f>COUNTIFS(Data!C:C,B421,Data!V:V,2025)</f>
        <v>1</v>
      </c>
      <c r="E421" s="30">
        <f t="shared" si="12"/>
        <v>1</v>
      </c>
      <c r="G421" s="19" t="s">
        <v>342</v>
      </c>
      <c r="H421" s="15">
        <f>SUMIFS(Data!M:M,Data!C:C,G421,Data!V:V,2024)</f>
        <v>41600</v>
      </c>
      <c r="I421" s="15">
        <f>SUMIFS(Data!M:M,Data!C:C,G421,Data!V:V,2025)</f>
        <v>0</v>
      </c>
      <c r="J421" s="20">
        <f t="shared" si="13"/>
        <v>41600</v>
      </c>
    </row>
    <row r="422" spans="2:10" x14ac:dyDescent="0.25">
      <c r="B422" s="19" t="s">
        <v>1106</v>
      </c>
      <c r="C422" s="14">
        <f>COUNTIFS(Data!C:C,B422,Data!V:V,2024)</f>
        <v>0</v>
      </c>
      <c r="D422" s="14">
        <f>COUNTIFS(Data!C:C,B422,Data!V:V,2025)</f>
        <v>1</v>
      </c>
      <c r="E422" s="30">
        <f t="shared" si="12"/>
        <v>1</v>
      </c>
      <c r="G422" s="19" t="s">
        <v>846</v>
      </c>
      <c r="H422" s="15">
        <f>SUMIFS(Data!M:M,Data!C:C,G422,Data!V:V,2024)</f>
        <v>27900</v>
      </c>
      <c r="I422" s="15">
        <f>SUMIFS(Data!M:M,Data!C:C,G422,Data!V:V,2025)</f>
        <v>13600</v>
      </c>
      <c r="J422" s="20">
        <f t="shared" si="13"/>
        <v>41500</v>
      </c>
    </row>
    <row r="423" spans="2:10" x14ac:dyDescent="0.25">
      <c r="B423" s="19" t="s">
        <v>819</v>
      </c>
      <c r="C423" s="14">
        <f>COUNTIFS(Data!C:C,B423,Data!V:V,2024)</f>
        <v>1</v>
      </c>
      <c r="D423" s="14">
        <f>COUNTIFS(Data!C:C,B423,Data!V:V,2025)</f>
        <v>0</v>
      </c>
      <c r="E423" s="30">
        <f t="shared" si="12"/>
        <v>1</v>
      </c>
      <c r="G423" s="19" t="s">
        <v>470</v>
      </c>
      <c r="H423" s="15">
        <f>SUMIFS(Data!M:M,Data!C:C,G423,Data!V:V,2024)</f>
        <v>22800</v>
      </c>
      <c r="I423" s="15">
        <f>SUMIFS(Data!M:M,Data!C:C,G423,Data!V:V,2025)</f>
        <v>11400</v>
      </c>
      <c r="J423" s="20">
        <f t="shared" si="13"/>
        <v>34200</v>
      </c>
    </row>
    <row r="424" spans="2:10" x14ac:dyDescent="0.25">
      <c r="B424" s="19" t="s">
        <v>2009</v>
      </c>
      <c r="C424" s="14">
        <f>COUNTIFS(Data!C:C,B424,Data!V:V,2024)</f>
        <v>0</v>
      </c>
      <c r="D424" s="14">
        <f>COUNTIFS(Data!C:C,B424,Data!V:V,2025)</f>
        <v>1</v>
      </c>
      <c r="E424" s="30">
        <f t="shared" si="12"/>
        <v>1</v>
      </c>
      <c r="G424" s="19" t="s">
        <v>1125</v>
      </c>
      <c r="H424" s="15">
        <f>SUMIFS(Data!M:M,Data!C:C,G424,Data!V:V,2024)</f>
        <v>0</v>
      </c>
      <c r="I424" s="15">
        <f>SUMIFS(Data!M:M,Data!C:C,G424,Data!V:V,2025)</f>
        <v>34000</v>
      </c>
      <c r="J424" s="20">
        <f t="shared" si="13"/>
        <v>34000</v>
      </c>
    </row>
    <row r="425" spans="2:10" x14ac:dyDescent="0.25">
      <c r="B425" s="19" t="s">
        <v>2124</v>
      </c>
      <c r="C425" s="14">
        <f>COUNTIFS(Data!C:C,B425,Data!V:V,2024)</f>
        <v>0</v>
      </c>
      <c r="D425" s="14">
        <f>COUNTIFS(Data!C:C,B425,Data!V:V,2025)</f>
        <v>1</v>
      </c>
      <c r="E425" s="30">
        <f t="shared" si="12"/>
        <v>1</v>
      </c>
      <c r="G425" s="19" t="s">
        <v>690</v>
      </c>
      <c r="H425" s="15">
        <f>SUMIFS(Data!M:M,Data!C:C,G425,Data!V:V,2024)</f>
        <v>22400</v>
      </c>
      <c r="I425" s="15">
        <f>SUMIFS(Data!M:M,Data!C:C,G425,Data!V:V,2025)</f>
        <v>10200</v>
      </c>
      <c r="J425" s="20">
        <f t="shared" si="13"/>
        <v>32600</v>
      </c>
    </row>
    <row r="426" spans="2:10" x14ac:dyDescent="0.25">
      <c r="B426" s="19" t="s">
        <v>1125</v>
      </c>
      <c r="C426" s="14">
        <f>COUNTIFS(Data!C:C,B426,Data!V:V,2024)</f>
        <v>0</v>
      </c>
      <c r="D426" s="14">
        <f>COUNTIFS(Data!C:C,B426,Data!V:V,2025)</f>
        <v>1</v>
      </c>
      <c r="E426" s="30">
        <f t="shared" si="12"/>
        <v>1</v>
      </c>
      <c r="G426" s="19" t="s">
        <v>346</v>
      </c>
      <c r="H426" s="15">
        <f>SUMIFS(Data!M:M,Data!C:C,G426,Data!V:V,2024)</f>
        <v>31500</v>
      </c>
      <c r="I426" s="15">
        <f>SUMIFS(Data!M:M,Data!C:C,G426,Data!V:V,2025)</f>
        <v>0</v>
      </c>
      <c r="J426" s="20">
        <f t="shared" si="13"/>
        <v>31500</v>
      </c>
    </row>
    <row r="427" spans="2:10" x14ac:dyDescent="0.25">
      <c r="B427" s="19" t="s">
        <v>346</v>
      </c>
      <c r="C427" s="14">
        <f>COUNTIFS(Data!C:C,B427,Data!V:V,2024)</f>
        <v>1</v>
      </c>
      <c r="D427" s="14">
        <f>COUNTIFS(Data!C:C,B427,Data!V:V,2025)</f>
        <v>0</v>
      </c>
      <c r="E427" s="30">
        <f t="shared" si="12"/>
        <v>1</v>
      </c>
      <c r="G427" s="19" t="s">
        <v>2195</v>
      </c>
      <c r="H427" s="15">
        <f>SUMIFS(Data!M:M,Data!C:C,G427,Data!V:V,2024)</f>
        <v>0</v>
      </c>
      <c r="I427" s="15">
        <f>SUMIFS(Data!M:M,Data!C:C,G427,Data!V:V,2025)</f>
        <v>19000</v>
      </c>
      <c r="J427" s="20">
        <f t="shared" si="13"/>
        <v>19000</v>
      </c>
    </row>
    <row r="428" spans="2:10" x14ac:dyDescent="0.25">
      <c r="B428" s="19" t="s">
        <v>2195</v>
      </c>
      <c r="C428" s="14">
        <f>COUNTIFS(Data!C:C,B428,Data!V:V,2024)</f>
        <v>0</v>
      </c>
      <c r="D428" s="14">
        <f>COUNTIFS(Data!C:C,B428,Data!V:V,2025)</f>
        <v>1</v>
      </c>
      <c r="E428" s="30">
        <f t="shared" si="12"/>
        <v>1</v>
      </c>
      <c r="G428" s="19" t="s">
        <v>1582</v>
      </c>
      <c r="H428" s="15">
        <f>SUMIFS(Data!M:M,Data!C:C,G428,Data!V:V,2024)</f>
        <v>0</v>
      </c>
      <c r="I428" s="15">
        <f>SUMIFS(Data!M:M,Data!C:C,G428,Data!V:V,2025)</f>
        <v>17200</v>
      </c>
      <c r="J428" s="20">
        <f t="shared" si="13"/>
        <v>17200</v>
      </c>
    </row>
    <row r="429" spans="2:10" ht="15.75" thickBot="1" x14ac:dyDescent="0.3">
      <c r="B429" s="21" t="s">
        <v>1111</v>
      </c>
      <c r="C429" s="25">
        <f>COUNTIFS(Data!C:C,B429,Data!V:V,2024)</f>
        <v>0</v>
      </c>
      <c r="D429" s="25">
        <f>COUNTIFS(Data!C:C,B429,Data!V:V,2025)</f>
        <v>1</v>
      </c>
      <c r="E429" s="31">
        <f t="shared" si="12"/>
        <v>1</v>
      </c>
      <c r="G429" s="21" t="s">
        <v>1111</v>
      </c>
      <c r="H429" s="22">
        <f>SUMIFS(Data!M:M,Data!C:C,G429,Data!V:V,2024)</f>
        <v>0</v>
      </c>
      <c r="I429" s="22">
        <f>SUMIFS(Data!M:M,Data!C:C,G429,Data!V:V,2025)</f>
        <v>16150</v>
      </c>
      <c r="J429" s="23">
        <f t="shared" si="13"/>
        <v>16150</v>
      </c>
    </row>
  </sheetData>
  <autoFilter ref="B33:J33" xr:uid="{FC3DB1E3-821A-4966-BA6C-E6A856B74B91}">
    <sortState xmlns:xlrd2="http://schemas.microsoft.com/office/spreadsheetml/2017/richdata2" ref="B34:J429">
      <sortCondition descending="1" ref="J33"/>
    </sortState>
  </autoFilter>
  <sortState xmlns:xlrd2="http://schemas.microsoft.com/office/spreadsheetml/2017/richdata2" ref="B34:D429">
    <sortCondition descending="1" ref="C34:C429"/>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26B77-FFDD-49F8-BD9E-5B8E9535E96B}">
  <dimension ref="A1:W2001"/>
  <sheetViews>
    <sheetView workbookViewId="0">
      <selection activeCell="C8" sqref="C8"/>
    </sheetView>
  </sheetViews>
  <sheetFormatPr defaultRowHeight="15" x14ac:dyDescent="0.25"/>
  <cols>
    <col min="1" max="1" width="10.5703125" customWidth="1"/>
    <col min="2" max="2" width="12.85546875" customWidth="1"/>
    <col min="3" max="3" width="17.42578125" customWidth="1"/>
    <col min="4" max="4" width="15.7109375" bestFit="1" customWidth="1"/>
    <col min="5" max="5" width="23.140625" bestFit="1" customWidth="1"/>
    <col min="6" max="6" width="14.42578125" bestFit="1" customWidth="1"/>
    <col min="8" max="8" width="11.85546875" customWidth="1"/>
    <col min="9" max="9" width="10.85546875" customWidth="1"/>
    <col min="10" max="10" width="14.28515625" customWidth="1"/>
    <col min="11" max="11" width="10.5703125" customWidth="1"/>
    <col min="12" max="12" width="18.42578125" customWidth="1"/>
    <col min="13" max="13" width="12.5703125" customWidth="1"/>
    <col min="14" max="14" width="14.5703125" customWidth="1"/>
    <col min="15" max="15" width="13.42578125" customWidth="1"/>
    <col min="16" max="16" width="18.5703125" customWidth="1"/>
    <col min="17" max="17" width="14.140625" customWidth="1"/>
    <col min="18" max="18" width="12.140625" bestFit="1" customWidth="1"/>
    <col min="19" max="19" width="17.7109375" customWidth="1"/>
    <col min="20" max="20" width="15.28515625" customWidth="1"/>
  </cols>
  <sheetData>
    <row r="1" spans="1:23" x14ac:dyDescent="0.25">
      <c r="A1" t="s">
        <v>0</v>
      </c>
      <c r="B1" t="s">
        <v>1</v>
      </c>
      <c r="C1" t="s">
        <v>2</v>
      </c>
      <c r="D1" t="s">
        <v>3</v>
      </c>
      <c r="E1" t="s">
        <v>4</v>
      </c>
      <c r="F1" t="s">
        <v>2376</v>
      </c>
      <c r="G1" t="s">
        <v>2375</v>
      </c>
      <c r="H1" t="s">
        <v>5</v>
      </c>
      <c r="I1" t="s">
        <v>6</v>
      </c>
      <c r="J1" t="s">
        <v>7</v>
      </c>
      <c r="K1" t="s">
        <v>8</v>
      </c>
      <c r="L1" t="s">
        <v>9</v>
      </c>
      <c r="M1" t="s">
        <v>10</v>
      </c>
      <c r="N1" t="s">
        <v>11</v>
      </c>
      <c r="O1" t="s">
        <v>12</v>
      </c>
      <c r="P1" t="s">
        <v>13</v>
      </c>
      <c r="Q1" t="s">
        <v>14</v>
      </c>
      <c r="R1" t="s">
        <v>15</v>
      </c>
      <c r="S1" t="s">
        <v>16</v>
      </c>
      <c r="T1" t="s">
        <v>17</v>
      </c>
      <c r="U1" t="s">
        <v>2369</v>
      </c>
      <c r="V1" t="s">
        <v>2370</v>
      </c>
      <c r="W1" t="s">
        <v>2381</v>
      </c>
    </row>
    <row r="2" spans="1:23" x14ac:dyDescent="0.25">
      <c r="A2" t="s">
        <v>914</v>
      </c>
      <c r="B2">
        <v>45658.068738425929</v>
      </c>
      <c r="C2" t="s">
        <v>273</v>
      </c>
      <c r="D2" t="s">
        <v>195</v>
      </c>
      <c r="E2" t="s">
        <v>54</v>
      </c>
      <c r="F2" t="s">
        <v>2393</v>
      </c>
      <c r="G2" t="s">
        <v>2379</v>
      </c>
      <c r="H2">
        <v>16000</v>
      </c>
      <c r="I2">
        <v>5</v>
      </c>
      <c r="J2">
        <v>0</v>
      </c>
      <c r="K2">
        <v>80000</v>
      </c>
      <c r="L2">
        <v>0</v>
      </c>
      <c r="M2">
        <v>80000</v>
      </c>
      <c r="N2">
        <v>87000</v>
      </c>
      <c r="O2">
        <v>167000</v>
      </c>
      <c r="P2" t="s">
        <v>35</v>
      </c>
      <c r="Q2" t="s">
        <v>2357</v>
      </c>
      <c r="R2" t="s">
        <v>36</v>
      </c>
      <c r="S2">
        <v>4</v>
      </c>
      <c r="T2" t="s">
        <v>24</v>
      </c>
      <c r="U2" t="s">
        <v>2401</v>
      </c>
      <c r="V2">
        <v>2025</v>
      </c>
      <c r="W2">
        <v>1</v>
      </c>
    </row>
    <row r="3" spans="1:23" x14ac:dyDescent="0.25">
      <c r="A3" t="s">
        <v>915</v>
      </c>
      <c r="B3">
        <v>45658.182245370372</v>
      </c>
      <c r="C3" t="s">
        <v>916</v>
      </c>
      <c r="D3" t="s">
        <v>96</v>
      </c>
      <c r="E3" t="s">
        <v>45</v>
      </c>
      <c r="F3" t="s">
        <v>2394</v>
      </c>
      <c r="G3" t="s">
        <v>2378</v>
      </c>
      <c r="H3">
        <v>40000</v>
      </c>
      <c r="I3">
        <v>4</v>
      </c>
      <c r="J3">
        <v>20</v>
      </c>
      <c r="K3">
        <v>160000</v>
      </c>
      <c r="L3">
        <v>32000</v>
      </c>
      <c r="M3">
        <v>128000</v>
      </c>
      <c r="N3">
        <v>49000</v>
      </c>
      <c r="O3">
        <v>177000</v>
      </c>
      <c r="P3" t="s">
        <v>22</v>
      </c>
      <c r="Q3" t="s">
        <v>2357</v>
      </c>
      <c r="R3" t="s">
        <v>23</v>
      </c>
      <c r="S3">
        <v>4</v>
      </c>
      <c r="T3" t="s">
        <v>24</v>
      </c>
      <c r="U3" t="s">
        <v>2401</v>
      </c>
      <c r="V3">
        <v>2025</v>
      </c>
      <c r="W3">
        <v>1</v>
      </c>
    </row>
    <row r="4" spans="1:23" x14ac:dyDescent="0.25">
      <c r="A4" t="s">
        <v>917</v>
      </c>
      <c r="B4">
        <v>45658.31627314815</v>
      </c>
      <c r="C4" t="s">
        <v>918</v>
      </c>
      <c r="D4" t="s">
        <v>296</v>
      </c>
      <c r="E4" t="s">
        <v>136</v>
      </c>
      <c r="F4" t="s">
        <v>2400</v>
      </c>
      <c r="G4" t="s">
        <v>2378</v>
      </c>
      <c r="H4">
        <v>12000</v>
      </c>
      <c r="I4">
        <v>4</v>
      </c>
      <c r="J4">
        <v>20</v>
      </c>
      <c r="K4">
        <v>48000</v>
      </c>
      <c r="L4">
        <v>9600</v>
      </c>
      <c r="M4">
        <v>38400</v>
      </c>
      <c r="N4">
        <v>79000</v>
      </c>
      <c r="O4">
        <v>117400</v>
      </c>
      <c r="P4" t="s">
        <v>63</v>
      </c>
      <c r="Q4" t="s">
        <v>2357</v>
      </c>
      <c r="R4" t="s">
        <v>30</v>
      </c>
      <c r="S4">
        <v>2</v>
      </c>
      <c r="T4" t="s">
        <v>24</v>
      </c>
      <c r="U4" t="s">
        <v>2401</v>
      </c>
      <c r="V4">
        <v>2025</v>
      </c>
      <c r="W4">
        <v>1</v>
      </c>
    </row>
    <row r="5" spans="1:23" x14ac:dyDescent="0.25">
      <c r="A5" t="s">
        <v>919</v>
      </c>
      <c r="B5">
        <v>45658.476342592592</v>
      </c>
      <c r="C5" t="s">
        <v>203</v>
      </c>
      <c r="D5" t="s">
        <v>20</v>
      </c>
      <c r="E5" t="s">
        <v>104</v>
      </c>
      <c r="F5" t="s">
        <v>2392</v>
      </c>
      <c r="G5" t="s">
        <v>2377</v>
      </c>
      <c r="H5">
        <v>30000</v>
      </c>
      <c r="I5">
        <v>3</v>
      </c>
      <c r="J5">
        <v>20</v>
      </c>
      <c r="K5">
        <v>90000</v>
      </c>
      <c r="L5">
        <v>18000</v>
      </c>
      <c r="M5">
        <v>72000</v>
      </c>
      <c r="N5">
        <v>15000</v>
      </c>
      <c r="O5">
        <v>87000</v>
      </c>
      <c r="P5" t="s">
        <v>63</v>
      </c>
      <c r="Q5" t="s">
        <v>2357</v>
      </c>
      <c r="R5" t="s">
        <v>82</v>
      </c>
      <c r="S5">
        <v>4</v>
      </c>
      <c r="T5" t="s">
        <v>24</v>
      </c>
      <c r="U5" t="s">
        <v>2401</v>
      </c>
      <c r="V5">
        <v>2025</v>
      </c>
      <c r="W5">
        <v>1</v>
      </c>
    </row>
    <row r="6" spans="1:23" x14ac:dyDescent="0.25">
      <c r="A6" t="s">
        <v>920</v>
      </c>
      <c r="B6">
        <v>45658.606747685182</v>
      </c>
      <c r="C6" t="s">
        <v>321</v>
      </c>
      <c r="D6" t="s">
        <v>80</v>
      </c>
      <c r="E6" t="s">
        <v>38</v>
      </c>
      <c r="F6" t="s">
        <v>2399</v>
      </c>
      <c r="G6" t="s">
        <v>2379</v>
      </c>
      <c r="H6">
        <v>28000</v>
      </c>
      <c r="I6">
        <v>5</v>
      </c>
      <c r="J6">
        <v>5</v>
      </c>
      <c r="K6">
        <v>140000</v>
      </c>
      <c r="L6">
        <v>7000</v>
      </c>
      <c r="M6">
        <v>133000</v>
      </c>
      <c r="N6">
        <v>74000</v>
      </c>
      <c r="O6">
        <v>207000</v>
      </c>
      <c r="P6" t="s">
        <v>35</v>
      </c>
      <c r="Q6" t="s">
        <v>2357</v>
      </c>
      <c r="R6" t="s">
        <v>46</v>
      </c>
      <c r="S6">
        <v>3</v>
      </c>
      <c r="T6" t="s">
        <v>24</v>
      </c>
      <c r="U6" t="s">
        <v>2401</v>
      </c>
      <c r="V6">
        <v>2025</v>
      </c>
      <c r="W6">
        <v>1</v>
      </c>
    </row>
    <row r="7" spans="1:23" x14ac:dyDescent="0.25">
      <c r="A7" t="s">
        <v>921</v>
      </c>
      <c r="B7">
        <v>45658.663425925923</v>
      </c>
      <c r="C7" t="s">
        <v>922</v>
      </c>
      <c r="D7" t="s">
        <v>33</v>
      </c>
      <c r="E7" t="s">
        <v>110</v>
      </c>
      <c r="F7" t="s">
        <v>2395</v>
      </c>
      <c r="G7" t="s">
        <v>2379</v>
      </c>
      <c r="H7">
        <v>6000</v>
      </c>
      <c r="I7">
        <v>4</v>
      </c>
      <c r="J7">
        <v>10</v>
      </c>
      <c r="K7">
        <v>24000</v>
      </c>
      <c r="L7">
        <v>2400</v>
      </c>
      <c r="M7">
        <v>21600</v>
      </c>
      <c r="N7">
        <v>76000</v>
      </c>
      <c r="O7">
        <v>97600</v>
      </c>
      <c r="P7" t="s">
        <v>29</v>
      </c>
      <c r="Q7" t="s">
        <v>2356</v>
      </c>
      <c r="R7" t="s">
        <v>36</v>
      </c>
      <c r="S7">
        <v>3</v>
      </c>
      <c r="T7" t="s">
        <v>37</v>
      </c>
      <c r="U7" t="s">
        <v>2401</v>
      </c>
      <c r="V7">
        <v>2025</v>
      </c>
      <c r="W7">
        <v>1</v>
      </c>
    </row>
    <row r="8" spans="1:23" x14ac:dyDescent="0.25">
      <c r="A8" t="s">
        <v>923</v>
      </c>
      <c r="B8">
        <v>45658.793900462973</v>
      </c>
      <c r="C8" t="s">
        <v>924</v>
      </c>
      <c r="D8" t="s">
        <v>20</v>
      </c>
      <c r="E8" t="s">
        <v>123</v>
      </c>
      <c r="F8" t="s">
        <v>2399</v>
      </c>
      <c r="G8" t="s">
        <v>2377</v>
      </c>
      <c r="H8">
        <v>22000</v>
      </c>
      <c r="I8">
        <v>1</v>
      </c>
      <c r="J8">
        <v>10</v>
      </c>
      <c r="K8">
        <v>22000</v>
      </c>
      <c r="L8">
        <v>2200</v>
      </c>
      <c r="M8">
        <v>19800</v>
      </c>
      <c r="N8">
        <v>15000</v>
      </c>
      <c r="O8">
        <v>34800</v>
      </c>
      <c r="P8" t="s">
        <v>35</v>
      </c>
      <c r="Q8" t="s">
        <v>2357</v>
      </c>
      <c r="R8" t="s">
        <v>30</v>
      </c>
      <c r="S8">
        <v>1</v>
      </c>
      <c r="T8" t="s">
        <v>37</v>
      </c>
      <c r="U8" t="s">
        <v>2401</v>
      </c>
      <c r="V8">
        <v>2025</v>
      </c>
      <c r="W8">
        <v>1</v>
      </c>
    </row>
    <row r="9" spans="1:23" x14ac:dyDescent="0.25">
      <c r="A9" t="s">
        <v>925</v>
      </c>
      <c r="B9">
        <v>45658.815000000002</v>
      </c>
      <c r="C9" t="s">
        <v>794</v>
      </c>
      <c r="D9" t="s">
        <v>61</v>
      </c>
      <c r="E9" t="s">
        <v>144</v>
      </c>
      <c r="F9" t="s">
        <v>2396</v>
      </c>
      <c r="G9" t="s">
        <v>2379</v>
      </c>
      <c r="H9">
        <v>18000</v>
      </c>
      <c r="I9">
        <v>1</v>
      </c>
      <c r="J9">
        <v>5</v>
      </c>
      <c r="K9">
        <v>18000</v>
      </c>
      <c r="L9">
        <v>900</v>
      </c>
      <c r="M9">
        <v>17100</v>
      </c>
      <c r="N9">
        <v>26000</v>
      </c>
      <c r="O9">
        <v>43100</v>
      </c>
      <c r="P9" t="s">
        <v>29</v>
      </c>
      <c r="Q9" t="s">
        <v>2357</v>
      </c>
      <c r="R9" t="s">
        <v>30</v>
      </c>
      <c r="S9">
        <v>5</v>
      </c>
      <c r="T9" t="s">
        <v>37</v>
      </c>
      <c r="U9" t="s">
        <v>2401</v>
      </c>
      <c r="V9">
        <v>2025</v>
      </c>
      <c r="W9">
        <v>1</v>
      </c>
    </row>
    <row r="10" spans="1:23" x14ac:dyDescent="0.25">
      <c r="A10" t="s">
        <v>926</v>
      </c>
      <c r="B10">
        <v>45658.849780092591</v>
      </c>
      <c r="C10" t="s">
        <v>867</v>
      </c>
      <c r="D10" t="s">
        <v>20</v>
      </c>
      <c r="E10" t="s">
        <v>41</v>
      </c>
      <c r="F10" t="s">
        <v>2395</v>
      </c>
      <c r="G10" t="s">
        <v>2377</v>
      </c>
      <c r="H10">
        <v>4000</v>
      </c>
      <c r="I10">
        <v>1</v>
      </c>
      <c r="J10">
        <v>20</v>
      </c>
      <c r="K10">
        <v>4000</v>
      </c>
      <c r="L10">
        <v>800</v>
      </c>
      <c r="M10">
        <v>3200</v>
      </c>
      <c r="N10">
        <v>15000</v>
      </c>
      <c r="O10">
        <v>18200</v>
      </c>
      <c r="P10" t="s">
        <v>63</v>
      </c>
      <c r="Q10" t="s">
        <v>2357</v>
      </c>
      <c r="R10" t="s">
        <v>46</v>
      </c>
      <c r="S10">
        <v>3</v>
      </c>
      <c r="T10" t="s">
        <v>37</v>
      </c>
      <c r="U10" t="s">
        <v>2401</v>
      </c>
      <c r="V10">
        <v>2025</v>
      </c>
      <c r="W10">
        <v>1</v>
      </c>
    </row>
    <row r="11" spans="1:23" x14ac:dyDescent="0.25">
      <c r="A11" t="s">
        <v>927</v>
      </c>
      <c r="B11">
        <v>45659.141805555562</v>
      </c>
      <c r="C11" t="s">
        <v>281</v>
      </c>
      <c r="D11" t="s">
        <v>151</v>
      </c>
      <c r="E11" t="s">
        <v>138</v>
      </c>
      <c r="F11" t="s">
        <v>2396</v>
      </c>
      <c r="G11" t="s">
        <v>2378</v>
      </c>
      <c r="H11">
        <v>17000</v>
      </c>
      <c r="I11">
        <v>1</v>
      </c>
      <c r="J11">
        <v>10</v>
      </c>
      <c r="K11">
        <v>17000</v>
      </c>
      <c r="L11">
        <v>1700</v>
      </c>
      <c r="M11">
        <v>15300</v>
      </c>
      <c r="N11">
        <v>55000</v>
      </c>
      <c r="O11">
        <v>70300</v>
      </c>
      <c r="P11" t="s">
        <v>22</v>
      </c>
      <c r="Q11" t="s">
        <v>2356</v>
      </c>
      <c r="R11" t="s">
        <v>36</v>
      </c>
      <c r="S11">
        <v>2</v>
      </c>
      <c r="T11" t="s">
        <v>24</v>
      </c>
      <c r="U11" t="s">
        <v>2401</v>
      </c>
      <c r="V11">
        <v>2025</v>
      </c>
      <c r="W11">
        <v>1</v>
      </c>
    </row>
    <row r="12" spans="1:23" x14ac:dyDescent="0.25">
      <c r="A12" t="s">
        <v>928</v>
      </c>
      <c r="B12">
        <v>45659.260381944441</v>
      </c>
      <c r="C12" t="s">
        <v>649</v>
      </c>
      <c r="D12" t="s">
        <v>177</v>
      </c>
      <c r="E12" t="s">
        <v>67</v>
      </c>
      <c r="F12" t="s">
        <v>2393</v>
      </c>
      <c r="G12" t="s">
        <v>2378</v>
      </c>
      <c r="H12">
        <v>15000</v>
      </c>
      <c r="I12">
        <v>2</v>
      </c>
      <c r="J12">
        <v>0</v>
      </c>
      <c r="K12">
        <v>30000</v>
      </c>
      <c r="L12">
        <v>0</v>
      </c>
      <c r="M12">
        <v>30000</v>
      </c>
      <c r="N12">
        <v>56000</v>
      </c>
      <c r="O12">
        <v>86000</v>
      </c>
      <c r="P12" t="s">
        <v>63</v>
      </c>
      <c r="Q12" t="s">
        <v>2357</v>
      </c>
      <c r="R12" t="s">
        <v>23</v>
      </c>
      <c r="S12">
        <v>1</v>
      </c>
      <c r="T12" t="s">
        <v>24</v>
      </c>
      <c r="U12" t="s">
        <v>2401</v>
      </c>
      <c r="V12">
        <v>2025</v>
      </c>
      <c r="W12">
        <v>1</v>
      </c>
    </row>
    <row r="13" spans="1:23" x14ac:dyDescent="0.25">
      <c r="A13" t="s">
        <v>929</v>
      </c>
      <c r="B13">
        <v>45659.447696759264</v>
      </c>
      <c r="C13" t="s">
        <v>582</v>
      </c>
      <c r="D13" t="s">
        <v>435</v>
      </c>
      <c r="E13" t="s">
        <v>58</v>
      </c>
      <c r="F13" t="s">
        <v>2396</v>
      </c>
      <c r="G13" t="s">
        <v>2377</v>
      </c>
      <c r="H13">
        <v>16000</v>
      </c>
      <c r="I13">
        <v>2</v>
      </c>
      <c r="J13">
        <v>10</v>
      </c>
      <c r="K13">
        <v>32000</v>
      </c>
      <c r="L13">
        <v>3200</v>
      </c>
      <c r="M13">
        <v>28800</v>
      </c>
      <c r="N13">
        <v>67000</v>
      </c>
      <c r="O13">
        <v>95800</v>
      </c>
      <c r="P13" t="s">
        <v>22</v>
      </c>
      <c r="Q13" t="s">
        <v>2357</v>
      </c>
      <c r="R13" t="s">
        <v>30</v>
      </c>
      <c r="S13">
        <v>3</v>
      </c>
      <c r="T13" t="s">
        <v>24</v>
      </c>
      <c r="U13" t="s">
        <v>2401</v>
      </c>
      <c r="V13">
        <v>2025</v>
      </c>
      <c r="W13">
        <v>1</v>
      </c>
    </row>
    <row r="14" spans="1:23" x14ac:dyDescent="0.25">
      <c r="A14" t="s">
        <v>929</v>
      </c>
      <c r="B14">
        <v>45659.447696759264</v>
      </c>
      <c r="C14" t="s">
        <v>582</v>
      </c>
      <c r="D14" t="s">
        <v>435</v>
      </c>
      <c r="E14" t="s">
        <v>21</v>
      </c>
      <c r="F14" t="s">
        <v>2394</v>
      </c>
      <c r="G14" t="s">
        <v>2379</v>
      </c>
      <c r="H14">
        <v>45000</v>
      </c>
      <c r="I14">
        <v>1</v>
      </c>
      <c r="J14">
        <v>20</v>
      </c>
      <c r="K14">
        <v>45000</v>
      </c>
      <c r="L14">
        <v>9000</v>
      </c>
      <c r="M14">
        <v>36000</v>
      </c>
      <c r="N14">
        <v>0</v>
      </c>
      <c r="O14">
        <v>36000</v>
      </c>
      <c r="P14" t="s">
        <v>22</v>
      </c>
      <c r="Q14" t="s">
        <v>2357</v>
      </c>
      <c r="R14" t="s">
        <v>30</v>
      </c>
      <c r="S14">
        <v>3</v>
      </c>
      <c r="T14" t="s">
        <v>24</v>
      </c>
      <c r="U14" t="s">
        <v>2401</v>
      </c>
      <c r="V14">
        <v>2025</v>
      </c>
      <c r="W14">
        <v>1</v>
      </c>
    </row>
    <row r="15" spans="1:23" x14ac:dyDescent="0.25">
      <c r="A15" t="s">
        <v>930</v>
      </c>
      <c r="B15">
        <v>45659.823842592603</v>
      </c>
      <c r="C15" t="s">
        <v>468</v>
      </c>
      <c r="D15" t="s">
        <v>163</v>
      </c>
      <c r="E15" t="s">
        <v>190</v>
      </c>
      <c r="F15" t="s">
        <v>2392</v>
      </c>
      <c r="G15" t="s">
        <v>2378</v>
      </c>
      <c r="H15">
        <v>35000</v>
      </c>
      <c r="I15">
        <v>4</v>
      </c>
      <c r="J15">
        <v>15</v>
      </c>
      <c r="K15">
        <v>140000</v>
      </c>
      <c r="L15">
        <v>21000</v>
      </c>
      <c r="M15">
        <v>119000</v>
      </c>
      <c r="N15">
        <v>50000</v>
      </c>
      <c r="O15">
        <v>169000</v>
      </c>
      <c r="P15" t="s">
        <v>35</v>
      </c>
      <c r="Q15" t="s">
        <v>2357</v>
      </c>
      <c r="R15" t="s">
        <v>46</v>
      </c>
      <c r="S15">
        <v>2</v>
      </c>
      <c r="T15" t="s">
        <v>24</v>
      </c>
      <c r="U15" t="s">
        <v>2401</v>
      </c>
      <c r="V15">
        <v>2025</v>
      </c>
      <c r="W15">
        <v>1</v>
      </c>
    </row>
    <row r="16" spans="1:23" x14ac:dyDescent="0.25">
      <c r="A16" t="s">
        <v>931</v>
      </c>
      <c r="B16">
        <v>45659.885300925933</v>
      </c>
      <c r="C16" t="s">
        <v>398</v>
      </c>
      <c r="D16" t="s">
        <v>182</v>
      </c>
      <c r="E16" t="s">
        <v>75</v>
      </c>
      <c r="F16" t="s">
        <v>2398</v>
      </c>
      <c r="G16" t="s">
        <v>2379</v>
      </c>
      <c r="H16">
        <v>55000</v>
      </c>
      <c r="I16">
        <v>1</v>
      </c>
      <c r="J16">
        <v>10</v>
      </c>
      <c r="K16">
        <v>55000</v>
      </c>
      <c r="L16">
        <v>5500</v>
      </c>
      <c r="M16">
        <v>49500</v>
      </c>
      <c r="N16">
        <v>48000</v>
      </c>
      <c r="O16">
        <v>97500</v>
      </c>
      <c r="P16" t="s">
        <v>22</v>
      </c>
      <c r="Q16" t="s">
        <v>2356</v>
      </c>
      <c r="R16" t="s">
        <v>82</v>
      </c>
      <c r="S16">
        <v>2</v>
      </c>
      <c r="T16" t="s">
        <v>24</v>
      </c>
      <c r="U16" t="s">
        <v>2401</v>
      </c>
      <c r="V16">
        <v>2025</v>
      </c>
      <c r="W16">
        <v>1</v>
      </c>
    </row>
    <row r="17" spans="1:23" x14ac:dyDescent="0.25">
      <c r="A17" t="s">
        <v>932</v>
      </c>
      <c r="B17">
        <v>45660.335324074083</v>
      </c>
      <c r="C17" t="s">
        <v>333</v>
      </c>
      <c r="D17" t="s">
        <v>107</v>
      </c>
      <c r="E17" t="s">
        <v>58</v>
      </c>
      <c r="F17" t="s">
        <v>2396</v>
      </c>
      <c r="G17" t="s">
        <v>2377</v>
      </c>
      <c r="H17">
        <v>16000</v>
      </c>
      <c r="I17">
        <v>1</v>
      </c>
      <c r="J17">
        <v>15</v>
      </c>
      <c r="K17">
        <v>16000</v>
      </c>
      <c r="L17">
        <v>2400</v>
      </c>
      <c r="M17">
        <v>13600</v>
      </c>
      <c r="N17">
        <v>97000</v>
      </c>
      <c r="O17">
        <v>110600</v>
      </c>
      <c r="P17" t="s">
        <v>63</v>
      </c>
      <c r="Q17" t="s">
        <v>2356</v>
      </c>
      <c r="R17" t="s">
        <v>36</v>
      </c>
      <c r="S17">
        <v>4</v>
      </c>
      <c r="T17" t="s">
        <v>37</v>
      </c>
      <c r="U17" t="s">
        <v>2401</v>
      </c>
      <c r="V17">
        <v>2025</v>
      </c>
      <c r="W17">
        <v>1</v>
      </c>
    </row>
    <row r="18" spans="1:23" x14ac:dyDescent="0.25">
      <c r="A18" t="s">
        <v>933</v>
      </c>
      <c r="B18">
        <v>45660.382800925923</v>
      </c>
      <c r="C18" t="s">
        <v>537</v>
      </c>
      <c r="D18" t="s">
        <v>57</v>
      </c>
      <c r="E18" t="s">
        <v>45</v>
      </c>
      <c r="F18" t="s">
        <v>2394</v>
      </c>
      <c r="G18" t="s">
        <v>2378</v>
      </c>
      <c r="H18">
        <v>40000</v>
      </c>
      <c r="I18">
        <v>4</v>
      </c>
      <c r="J18">
        <v>15</v>
      </c>
      <c r="K18">
        <v>160000</v>
      </c>
      <c r="L18">
        <v>24000</v>
      </c>
      <c r="M18">
        <v>136000</v>
      </c>
      <c r="N18">
        <v>80000</v>
      </c>
      <c r="O18">
        <v>216000</v>
      </c>
      <c r="P18" t="s">
        <v>63</v>
      </c>
      <c r="Q18" t="s">
        <v>2357</v>
      </c>
      <c r="R18" t="s">
        <v>82</v>
      </c>
      <c r="S18">
        <v>5</v>
      </c>
      <c r="T18" t="s">
        <v>37</v>
      </c>
      <c r="U18" t="s">
        <v>2401</v>
      </c>
      <c r="V18">
        <v>2025</v>
      </c>
      <c r="W18">
        <v>1</v>
      </c>
    </row>
    <row r="19" spans="1:23" x14ac:dyDescent="0.25">
      <c r="A19" t="s">
        <v>934</v>
      </c>
      <c r="B19">
        <v>45660.525092592587</v>
      </c>
      <c r="C19" t="s">
        <v>642</v>
      </c>
      <c r="D19" t="s">
        <v>160</v>
      </c>
      <c r="E19" t="s">
        <v>190</v>
      </c>
      <c r="F19" t="s">
        <v>2392</v>
      </c>
      <c r="G19" t="s">
        <v>2378</v>
      </c>
      <c r="H19">
        <v>35000</v>
      </c>
      <c r="I19">
        <v>4</v>
      </c>
      <c r="J19">
        <v>15</v>
      </c>
      <c r="K19">
        <v>140000</v>
      </c>
      <c r="L19">
        <v>21000</v>
      </c>
      <c r="M19">
        <v>119000</v>
      </c>
      <c r="N19">
        <v>68000</v>
      </c>
      <c r="O19">
        <v>187000</v>
      </c>
      <c r="P19" t="s">
        <v>35</v>
      </c>
      <c r="Q19" t="s">
        <v>2357</v>
      </c>
      <c r="R19" t="s">
        <v>30</v>
      </c>
      <c r="S19">
        <v>4</v>
      </c>
      <c r="T19" t="s">
        <v>24</v>
      </c>
      <c r="U19" t="s">
        <v>2401</v>
      </c>
      <c r="V19">
        <v>2025</v>
      </c>
      <c r="W19">
        <v>1</v>
      </c>
    </row>
    <row r="20" spans="1:23" x14ac:dyDescent="0.25">
      <c r="A20" t="s">
        <v>934</v>
      </c>
      <c r="B20">
        <v>45660.525092592587</v>
      </c>
      <c r="C20" t="s">
        <v>642</v>
      </c>
      <c r="D20" t="s">
        <v>160</v>
      </c>
      <c r="E20" t="s">
        <v>138</v>
      </c>
      <c r="F20" t="s">
        <v>2396</v>
      </c>
      <c r="G20" t="s">
        <v>2378</v>
      </c>
      <c r="H20">
        <v>17000</v>
      </c>
      <c r="I20">
        <v>5</v>
      </c>
      <c r="J20">
        <v>20</v>
      </c>
      <c r="K20">
        <v>85000</v>
      </c>
      <c r="L20">
        <v>17000</v>
      </c>
      <c r="M20">
        <v>68000</v>
      </c>
      <c r="N20">
        <v>0</v>
      </c>
      <c r="O20">
        <v>68000</v>
      </c>
      <c r="P20" t="s">
        <v>35</v>
      </c>
      <c r="Q20" t="s">
        <v>2357</v>
      </c>
      <c r="R20" t="s">
        <v>30</v>
      </c>
      <c r="S20">
        <v>4</v>
      </c>
      <c r="T20" t="s">
        <v>24</v>
      </c>
      <c r="U20" t="s">
        <v>2401</v>
      </c>
      <c r="V20">
        <v>2025</v>
      </c>
      <c r="W20">
        <v>1</v>
      </c>
    </row>
    <row r="21" spans="1:23" x14ac:dyDescent="0.25">
      <c r="A21" t="s">
        <v>935</v>
      </c>
      <c r="B21">
        <v>45660.566180555557</v>
      </c>
      <c r="C21" t="s">
        <v>400</v>
      </c>
      <c r="D21" t="s">
        <v>27</v>
      </c>
      <c r="E21" t="s">
        <v>75</v>
      </c>
      <c r="F21" t="s">
        <v>2398</v>
      </c>
      <c r="G21" t="s">
        <v>2379</v>
      </c>
      <c r="H21">
        <v>55000</v>
      </c>
      <c r="I21">
        <v>4</v>
      </c>
      <c r="J21">
        <v>0</v>
      </c>
      <c r="K21">
        <v>220000</v>
      </c>
      <c r="L21">
        <v>0</v>
      </c>
      <c r="M21">
        <v>220000</v>
      </c>
      <c r="N21">
        <v>17000</v>
      </c>
      <c r="O21">
        <v>237000</v>
      </c>
      <c r="P21" t="s">
        <v>35</v>
      </c>
      <c r="Q21" t="s">
        <v>2357</v>
      </c>
      <c r="R21" t="s">
        <v>36</v>
      </c>
      <c r="S21">
        <v>3</v>
      </c>
      <c r="T21" t="s">
        <v>24</v>
      </c>
      <c r="U21" t="s">
        <v>2401</v>
      </c>
      <c r="V21">
        <v>2025</v>
      </c>
      <c r="W21">
        <v>1</v>
      </c>
    </row>
    <row r="22" spans="1:23" x14ac:dyDescent="0.25">
      <c r="A22" t="s">
        <v>936</v>
      </c>
      <c r="B22">
        <v>45660.567129629628</v>
      </c>
      <c r="C22" t="s">
        <v>626</v>
      </c>
      <c r="D22" t="s">
        <v>296</v>
      </c>
      <c r="E22" t="s">
        <v>41</v>
      </c>
      <c r="F22" t="s">
        <v>2395</v>
      </c>
      <c r="G22" t="s">
        <v>2377</v>
      </c>
      <c r="H22">
        <v>4000</v>
      </c>
      <c r="I22">
        <v>5</v>
      </c>
      <c r="J22">
        <v>10</v>
      </c>
      <c r="K22">
        <v>20000</v>
      </c>
      <c r="L22">
        <v>2000</v>
      </c>
      <c r="M22">
        <v>18000</v>
      </c>
      <c r="N22">
        <v>79000</v>
      </c>
      <c r="O22">
        <v>97000</v>
      </c>
      <c r="P22" t="s">
        <v>63</v>
      </c>
      <c r="Q22" t="s">
        <v>2357</v>
      </c>
      <c r="R22" t="s">
        <v>30</v>
      </c>
      <c r="S22">
        <v>2</v>
      </c>
      <c r="T22" t="s">
        <v>24</v>
      </c>
      <c r="U22" t="s">
        <v>2401</v>
      </c>
      <c r="V22">
        <v>2025</v>
      </c>
      <c r="W22">
        <v>1</v>
      </c>
    </row>
    <row r="23" spans="1:23" x14ac:dyDescent="0.25">
      <c r="A23" t="s">
        <v>937</v>
      </c>
      <c r="B23">
        <v>45660.773831018523</v>
      </c>
      <c r="C23" t="s">
        <v>722</v>
      </c>
      <c r="D23" t="s">
        <v>57</v>
      </c>
      <c r="E23" t="s">
        <v>85</v>
      </c>
      <c r="F23" t="s">
        <v>2394</v>
      </c>
      <c r="G23" t="s">
        <v>2377</v>
      </c>
      <c r="H23">
        <v>35000</v>
      </c>
      <c r="I23">
        <v>1</v>
      </c>
      <c r="J23">
        <v>5</v>
      </c>
      <c r="K23">
        <v>35000</v>
      </c>
      <c r="L23">
        <v>1750</v>
      </c>
      <c r="M23">
        <v>33250</v>
      </c>
      <c r="N23">
        <v>80000</v>
      </c>
      <c r="O23">
        <v>113250</v>
      </c>
      <c r="P23" t="s">
        <v>35</v>
      </c>
      <c r="Q23" t="s">
        <v>2357</v>
      </c>
      <c r="R23" t="s">
        <v>46</v>
      </c>
      <c r="S23">
        <v>2</v>
      </c>
      <c r="T23" t="s">
        <v>24</v>
      </c>
      <c r="U23" t="s">
        <v>2401</v>
      </c>
      <c r="V23">
        <v>2025</v>
      </c>
      <c r="W23">
        <v>1</v>
      </c>
    </row>
    <row r="24" spans="1:23" x14ac:dyDescent="0.25">
      <c r="A24" t="s">
        <v>938</v>
      </c>
      <c r="B24">
        <v>45661.125057870369</v>
      </c>
      <c r="C24" t="s">
        <v>457</v>
      </c>
      <c r="D24" t="s">
        <v>80</v>
      </c>
      <c r="E24" t="s">
        <v>41</v>
      </c>
      <c r="F24" t="s">
        <v>2395</v>
      </c>
      <c r="G24" t="s">
        <v>2377</v>
      </c>
      <c r="H24">
        <v>4000</v>
      </c>
      <c r="I24">
        <v>3</v>
      </c>
      <c r="J24">
        <v>15</v>
      </c>
      <c r="K24">
        <v>12000</v>
      </c>
      <c r="L24">
        <v>1800</v>
      </c>
      <c r="M24">
        <v>10200</v>
      </c>
      <c r="N24">
        <v>74000</v>
      </c>
      <c r="O24">
        <v>84200</v>
      </c>
      <c r="P24" t="s">
        <v>35</v>
      </c>
      <c r="Q24" t="s">
        <v>2357</v>
      </c>
      <c r="R24" t="s">
        <v>23</v>
      </c>
      <c r="S24">
        <v>1</v>
      </c>
      <c r="T24" t="s">
        <v>24</v>
      </c>
      <c r="U24" t="s">
        <v>2401</v>
      </c>
      <c r="V24">
        <v>2025</v>
      </c>
      <c r="W24">
        <v>1</v>
      </c>
    </row>
    <row r="25" spans="1:23" x14ac:dyDescent="0.25">
      <c r="A25" t="s">
        <v>938</v>
      </c>
      <c r="B25">
        <v>45661.125057870369</v>
      </c>
      <c r="C25" t="s">
        <v>457</v>
      </c>
      <c r="D25" t="s">
        <v>80</v>
      </c>
      <c r="E25" t="s">
        <v>138</v>
      </c>
      <c r="F25" t="s">
        <v>2396</v>
      </c>
      <c r="G25" t="s">
        <v>2378</v>
      </c>
      <c r="H25">
        <v>17000</v>
      </c>
      <c r="I25">
        <v>2</v>
      </c>
      <c r="J25">
        <v>10</v>
      </c>
      <c r="K25">
        <v>34000</v>
      </c>
      <c r="L25">
        <v>3400</v>
      </c>
      <c r="M25">
        <v>30600</v>
      </c>
      <c r="N25">
        <v>0</v>
      </c>
      <c r="O25">
        <v>30600</v>
      </c>
      <c r="P25" t="s">
        <v>35</v>
      </c>
      <c r="Q25" t="s">
        <v>2357</v>
      </c>
      <c r="R25" t="s">
        <v>23</v>
      </c>
      <c r="S25">
        <v>1</v>
      </c>
      <c r="T25" t="s">
        <v>24</v>
      </c>
      <c r="U25" t="s">
        <v>2401</v>
      </c>
      <c r="V25">
        <v>2025</v>
      </c>
      <c r="W25">
        <v>1</v>
      </c>
    </row>
    <row r="26" spans="1:23" x14ac:dyDescent="0.25">
      <c r="A26" t="s">
        <v>939</v>
      </c>
      <c r="B26">
        <v>45661.288460648153</v>
      </c>
      <c r="C26" t="s">
        <v>741</v>
      </c>
      <c r="D26" t="s">
        <v>189</v>
      </c>
      <c r="E26" t="s">
        <v>28</v>
      </c>
      <c r="F26" t="s">
        <v>2395</v>
      </c>
      <c r="G26" t="s">
        <v>2378</v>
      </c>
      <c r="H26">
        <v>5000</v>
      </c>
      <c r="I26">
        <v>5</v>
      </c>
      <c r="J26">
        <v>0</v>
      </c>
      <c r="K26">
        <v>25000</v>
      </c>
      <c r="L26">
        <v>0</v>
      </c>
      <c r="M26">
        <v>25000</v>
      </c>
      <c r="N26">
        <v>57000</v>
      </c>
      <c r="O26">
        <v>82000</v>
      </c>
      <c r="P26" t="s">
        <v>22</v>
      </c>
      <c r="Q26" t="s">
        <v>2357</v>
      </c>
      <c r="R26" t="s">
        <v>82</v>
      </c>
      <c r="S26">
        <v>1</v>
      </c>
      <c r="T26" t="s">
        <v>24</v>
      </c>
      <c r="U26" t="s">
        <v>2401</v>
      </c>
      <c r="V26">
        <v>2025</v>
      </c>
      <c r="W26">
        <v>1</v>
      </c>
    </row>
    <row r="27" spans="1:23" x14ac:dyDescent="0.25">
      <c r="A27" t="s">
        <v>940</v>
      </c>
      <c r="B27">
        <v>45661.564328703702</v>
      </c>
      <c r="C27" t="s">
        <v>305</v>
      </c>
      <c r="D27" t="s">
        <v>143</v>
      </c>
      <c r="E27" t="s">
        <v>58</v>
      </c>
      <c r="F27" t="s">
        <v>2396</v>
      </c>
      <c r="G27" t="s">
        <v>2377</v>
      </c>
      <c r="H27">
        <v>16000</v>
      </c>
      <c r="I27">
        <v>1</v>
      </c>
      <c r="J27">
        <v>5</v>
      </c>
      <c r="K27">
        <v>16000</v>
      </c>
      <c r="L27">
        <v>800</v>
      </c>
      <c r="M27">
        <v>15200</v>
      </c>
      <c r="N27">
        <v>50000</v>
      </c>
      <c r="O27">
        <v>65200</v>
      </c>
      <c r="P27" t="s">
        <v>63</v>
      </c>
      <c r="Q27" t="s">
        <v>2357</v>
      </c>
      <c r="R27" t="s">
        <v>46</v>
      </c>
      <c r="S27">
        <v>1</v>
      </c>
      <c r="T27" t="s">
        <v>24</v>
      </c>
      <c r="U27" t="s">
        <v>2401</v>
      </c>
      <c r="V27">
        <v>2025</v>
      </c>
      <c r="W27">
        <v>1</v>
      </c>
    </row>
    <row r="28" spans="1:23" x14ac:dyDescent="0.25">
      <c r="A28" t="s">
        <v>941</v>
      </c>
      <c r="B28">
        <v>45661.673703703702</v>
      </c>
      <c r="C28" t="s">
        <v>265</v>
      </c>
      <c r="D28" t="s">
        <v>119</v>
      </c>
      <c r="E28" t="s">
        <v>67</v>
      </c>
      <c r="F28" t="s">
        <v>2393</v>
      </c>
      <c r="G28" t="s">
        <v>2378</v>
      </c>
      <c r="H28">
        <v>15000</v>
      </c>
      <c r="I28">
        <v>1</v>
      </c>
      <c r="J28">
        <v>15</v>
      </c>
      <c r="K28">
        <v>15000</v>
      </c>
      <c r="L28">
        <v>2250</v>
      </c>
      <c r="M28">
        <v>12750</v>
      </c>
      <c r="N28">
        <v>0</v>
      </c>
      <c r="O28">
        <v>12750</v>
      </c>
      <c r="P28" t="s">
        <v>35</v>
      </c>
      <c r="Q28" t="s">
        <v>2357</v>
      </c>
      <c r="R28" t="s">
        <v>23</v>
      </c>
      <c r="S28">
        <v>1</v>
      </c>
      <c r="T28" t="s">
        <v>24</v>
      </c>
      <c r="U28" t="s">
        <v>2401</v>
      </c>
      <c r="V28">
        <v>2025</v>
      </c>
      <c r="W28">
        <v>1</v>
      </c>
    </row>
    <row r="29" spans="1:23" x14ac:dyDescent="0.25">
      <c r="A29" t="s">
        <v>942</v>
      </c>
      <c r="B29">
        <v>45661.797893518517</v>
      </c>
      <c r="C29" t="s">
        <v>532</v>
      </c>
      <c r="D29" t="s">
        <v>262</v>
      </c>
      <c r="E29" t="s">
        <v>174</v>
      </c>
      <c r="F29" t="s">
        <v>2400</v>
      </c>
      <c r="G29" t="s">
        <v>2377</v>
      </c>
      <c r="H29">
        <v>10000</v>
      </c>
      <c r="I29">
        <v>1</v>
      </c>
      <c r="J29">
        <v>5</v>
      </c>
      <c r="K29">
        <v>10000</v>
      </c>
      <c r="L29">
        <v>500</v>
      </c>
      <c r="M29">
        <v>9500</v>
      </c>
      <c r="N29">
        <v>18000</v>
      </c>
      <c r="O29">
        <v>27500</v>
      </c>
      <c r="P29" t="s">
        <v>22</v>
      </c>
      <c r="Q29" t="s">
        <v>2357</v>
      </c>
      <c r="R29" t="s">
        <v>23</v>
      </c>
      <c r="S29">
        <v>3</v>
      </c>
      <c r="T29" t="s">
        <v>24</v>
      </c>
      <c r="U29" t="s">
        <v>2401</v>
      </c>
      <c r="V29">
        <v>2025</v>
      </c>
      <c r="W29">
        <v>1</v>
      </c>
    </row>
    <row r="30" spans="1:23" x14ac:dyDescent="0.25">
      <c r="A30" t="s">
        <v>943</v>
      </c>
      <c r="B30">
        <v>45661.802129629628</v>
      </c>
      <c r="C30" t="s">
        <v>246</v>
      </c>
      <c r="D30" t="s">
        <v>238</v>
      </c>
      <c r="E30" t="s">
        <v>138</v>
      </c>
      <c r="F30" t="s">
        <v>2396</v>
      </c>
      <c r="G30" t="s">
        <v>2378</v>
      </c>
      <c r="H30">
        <v>17000</v>
      </c>
      <c r="I30">
        <v>5</v>
      </c>
      <c r="J30">
        <v>10</v>
      </c>
      <c r="K30">
        <v>85000</v>
      </c>
      <c r="L30">
        <v>8500</v>
      </c>
      <c r="M30">
        <v>76500</v>
      </c>
      <c r="N30">
        <v>28000</v>
      </c>
      <c r="O30">
        <v>104500</v>
      </c>
      <c r="P30" t="s">
        <v>63</v>
      </c>
      <c r="Q30" t="s">
        <v>2356</v>
      </c>
      <c r="R30" t="s">
        <v>36</v>
      </c>
      <c r="S30">
        <v>5</v>
      </c>
      <c r="T30" t="s">
        <v>24</v>
      </c>
      <c r="U30" t="s">
        <v>2401</v>
      </c>
      <c r="V30">
        <v>2025</v>
      </c>
      <c r="W30">
        <v>1</v>
      </c>
    </row>
    <row r="31" spans="1:23" x14ac:dyDescent="0.25">
      <c r="A31" t="s">
        <v>944</v>
      </c>
      <c r="B31">
        <v>45661.808518518519</v>
      </c>
      <c r="C31" t="s">
        <v>331</v>
      </c>
      <c r="D31" t="s">
        <v>20</v>
      </c>
      <c r="E31" t="s">
        <v>67</v>
      </c>
      <c r="F31" t="s">
        <v>2393</v>
      </c>
      <c r="G31" t="s">
        <v>2378</v>
      </c>
      <c r="H31">
        <v>15000</v>
      </c>
      <c r="I31">
        <v>3</v>
      </c>
      <c r="J31">
        <v>15</v>
      </c>
      <c r="K31">
        <v>45000</v>
      </c>
      <c r="L31">
        <v>6750</v>
      </c>
      <c r="M31">
        <v>38250</v>
      </c>
      <c r="N31">
        <v>15000</v>
      </c>
      <c r="O31">
        <v>53250</v>
      </c>
      <c r="P31" t="s">
        <v>29</v>
      </c>
      <c r="Q31" t="s">
        <v>2357</v>
      </c>
      <c r="R31" t="s">
        <v>82</v>
      </c>
      <c r="S31">
        <v>4</v>
      </c>
      <c r="T31" t="s">
        <v>37</v>
      </c>
      <c r="U31" t="s">
        <v>2401</v>
      </c>
      <c r="V31">
        <v>2025</v>
      </c>
      <c r="W31">
        <v>1</v>
      </c>
    </row>
    <row r="32" spans="1:23" x14ac:dyDescent="0.25">
      <c r="A32" t="s">
        <v>945</v>
      </c>
      <c r="B32">
        <v>45662.358553240738</v>
      </c>
      <c r="C32" t="s">
        <v>344</v>
      </c>
      <c r="D32" t="s">
        <v>195</v>
      </c>
      <c r="E32" t="s">
        <v>38</v>
      </c>
      <c r="F32" t="s">
        <v>2399</v>
      </c>
      <c r="G32" t="s">
        <v>2379</v>
      </c>
      <c r="H32">
        <v>28000</v>
      </c>
      <c r="I32">
        <v>5</v>
      </c>
      <c r="J32">
        <v>10</v>
      </c>
      <c r="K32">
        <v>140000</v>
      </c>
      <c r="L32">
        <v>14000</v>
      </c>
      <c r="M32">
        <v>126000</v>
      </c>
      <c r="N32">
        <v>87000</v>
      </c>
      <c r="O32">
        <v>213000</v>
      </c>
      <c r="P32" t="s">
        <v>22</v>
      </c>
      <c r="Q32" t="s">
        <v>2356</v>
      </c>
      <c r="R32" t="s">
        <v>23</v>
      </c>
      <c r="S32">
        <v>5</v>
      </c>
      <c r="T32" t="s">
        <v>24</v>
      </c>
      <c r="U32" t="s">
        <v>2401</v>
      </c>
      <c r="V32">
        <v>2025</v>
      </c>
      <c r="W32">
        <v>1</v>
      </c>
    </row>
    <row r="33" spans="1:23" x14ac:dyDescent="0.25">
      <c r="A33" t="s">
        <v>945</v>
      </c>
      <c r="B33">
        <v>45662.358553240738</v>
      </c>
      <c r="C33" t="s">
        <v>344</v>
      </c>
      <c r="D33" t="s">
        <v>195</v>
      </c>
      <c r="E33" t="s">
        <v>144</v>
      </c>
      <c r="F33" t="s">
        <v>2396</v>
      </c>
      <c r="G33" t="s">
        <v>2379</v>
      </c>
      <c r="H33">
        <v>18000</v>
      </c>
      <c r="I33">
        <v>4</v>
      </c>
      <c r="J33">
        <v>10</v>
      </c>
      <c r="K33">
        <v>72000</v>
      </c>
      <c r="L33">
        <v>7200</v>
      </c>
      <c r="M33">
        <v>64800</v>
      </c>
      <c r="N33">
        <v>0</v>
      </c>
      <c r="O33">
        <v>64800</v>
      </c>
      <c r="P33" t="s">
        <v>22</v>
      </c>
      <c r="Q33" t="s">
        <v>2356</v>
      </c>
      <c r="R33" t="s">
        <v>23</v>
      </c>
      <c r="S33">
        <v>5</v>
      </c>
      <c r="T33" t="s">
        <v>24</v>
      </c>
      <c r="U33" t="s">
        <v>2401</v>
      </c>
      <c r="V33">
        <v>2025</v>
      </c>
      <c r="W33">
        <v>1</v>
      </c>
    </row>
    <row r="34" spans="1:23" x14ac:dyDescent="0.25">
      <c r="A34" t="s">
        <v>946</v>
      </c>
      <c r="B34">
        <v>45662.811562499999</v>
      </c>
      <c r="C34" t="s">
        <v>311</v>
      </c>
      <c r="D34" t="s">
        <v>116</v>
      </c>
      <c r="E34" t="s">
        <v>186</v>
      </c>
      <c r="F34" t="s">
        <v>2398</v>
      </c>
      <c r="G34" t="s">
        <v>2377</v>
      </c>
      <c r="H34">
        <v>45000</v>
      </c>
      <c r="I34">
        <v>4</v>
      </c>
      <c r="J34">
        <v>0</v>
      </c>
      <c r="K34">
        <v>180000</v>
      </c>
      <c r="L34">
        <v>0</v>
      </c>
      <c r="M34">
        <v>180000</v>
      </c>
      <c r="N34">
        <v>72000</v>
      </c>
      <c r="O34">
        <v>252000</v>
      </c>
      <c r="P34" t="s">
        <v>35</v>
      </c>
      <c r="Q34" t="s">
        <v>2357</v>
      </c>
      <c r="R34" t="s">
        <v>36</v>
      </c>
      <c r="S34">
        <v>4</v>
      </c>
      <c r="T34" t="s">
        <v>24</v>
      </c>
      <c r="U34" t="s">
        <v>2401</v>
      </c>
      <c r="V34">
        <v>2025</v>
      </c>
      <c r="W34">
        <v>1</v>
      </c>
    </row>
    <row r="35" spans="1:23" x14ac:dyDescent="0.25">
      <c r="A35" t="s">
        <v>947</v>
      </c>
      <c r="B35">
        <v>45662.846122685187</v>
      </c>
      <c r="C35" t="s">
        <v>197</v>
      </c>
      <c r="D35" t="s">
        <v>119</v>
      </c>
      <c r="E35" t="s">
        <v>85</v>
      </c>
      <c r="F35" t="s">
        <v>2394</v>
      </c>
      <c r="G35" t="s">
        <v>2377</v>
      </c>
      <c r="H35">
        <v>35000</v>
      </c>
      <c r="I35">
        <v>3</v>
      </c>
      <c r="J35">
        <v>15</v>
      </c>
      <c r="K35">
        <v>105000</v>
      </c>
      <c r="L35">
        <v>15750</v>
      </c>
      <c r="M35">
        <v>89250</v>
      </c>
      <c r="N35">
        <v>0</v>
      </c>
      <c r="O35">
        <v>89250</v>
      </c>
      <c r="P35" t="s">
        <v>22</v>
      </c>
      <c r="Q35" t="s">
        <v>2357</v>
      </c>
      <c r="R35" t="s">
        <v>46</v>
      </c>
      <c r="S35">
        <v>1</v>
      </c>
      <c r="T35" t="s">
        <v>37</v>
      </c>
      <c r="U35" t="s">
        <v>2401</v>
      </c>
      <c r="V35">
        <v>2025</v>
      </c>
      <c r="W35">
        <v>1</v>
      </c>
    </row>
    <row r="36" spans="1:23" x14ac:dyDescent="0.25">
      <c r="A36" t="s">
        <v>948</v>
      </c>
      <c r="B36">
        <v>45662.909571759257</v>
      </c>
      <c r="C36" t="s">
        <v>631</v>
      </c>
      <c r="D36" t="s">
        <v>20</v>
      </c>
      <c r="E36" t="s">
        <v>41</v>
      </c>
      <c r="F36" t="s">
        <v>2395</v>
      </c>
      <c r="G36" t="s">
        <v>2377</v>
      </c>
      <c r="H36">
        <v>4000</v>
      </c>
      <c r="I36">
        <v>3</v>
      </c>
      <c r="J36">
        <v>10</v>
      </c>
      <c r="K36">
        <v>12000</v>
      </c>
      <c r="L36">
        <v>1200</v>
      </c>
      <c r="M36">
        <v>10800</v>
      </c>
      <c r="N36">
        <v>15000</v>
      </c>
      <c r="O36">
        <v>25800</v>
      </c>
      <c r="P36" t="s">
        <v>22</v>
      </c>
      <c r="Q36" t="s">
        <v>2357</v>
      </c>
      <c r="R36" t="s">
        <v>23</v>
      </c>
      <c r="S36">
        <v>4</v>
      </c>
      <c r="T36" t="s">
        <v>37</v>
      </c>
      <c r="U36" t="s">
        <v>2401</v>
      </c>
      <c r="V36">
        <v>2025</v>
      </c>
      <c r="W36">
        <v>1</v>
      </c>
    </row>
    <row r="37" spans="1:23" x14ac:dyDescent="0.25">
      <c r="A37" t="s">
        <v>949</v>
      </c>
      <c r="B37">
        <v>45662.963043981479</v>
      </c>
      <c r="C37" t="s">
        <v>875</v>
      </c>
      <c r="D37" t="s">
        <v>170</v>
      </c>
      <c r="E37" t="s">
        <v>250</v>
      </c>
      <c r="F37" t="s">
        <v>2397</v>
      </c>
      <c r="G37" t="s">
        <v>2379</v>
      </c>
      <c r="H37">
        <v>18000</v>
      </c>
      <c r="I37">
        <v>3</v>
      </c>
      <c r="J37">
        <v>5</v>
      </c>
      <c r="K37">
        <v>54000</v>
      </c>
      <c r="L37">
        <v>2700</v>
      </c>
      <c r="M37">
        <v>51300</v>
      </c>
      <c r="N37">
        <v>46000</v>
      </c>
      <c r="O37">
        <v>97300</v>
      </c>
      <c r="P37" t="s">
        <v>29</v>
      </c>
      <c r="Q37" t="s">
        <v>2357</v>
      </c>
      <c r="R37" t="s">
        <v>30</v>
      </c>
      <c r="S37">
        <v>2</v>
      </c>
      <c r="T37" t="s">
        <v>24</v>
      </c>
      <c r="U37" t="s">
        <v>2401</v>
      </c>
      <c r="V37">
        <v>2025</v>
      </c>
      <c r="W37">
        <v>1</v>
      </c>
    </row>
    <row r="38" spans="1:23" x14ac:dyDescent="0.25">
      <c r="A38" t="s">
        <v>950</v>
      </c>
      <c r="B38">
        <v>45663.178402777783</v>
      </c>
      <c r="C38" t="s">
        <v>87</v>
      </c>
      <c r="D38" t="s">
        <v>80</v>
      </c>
      <c r="E38" t="s">
        <v>174</v>
      </c>
      <c r="F38" t="s">
        <v>2400</v>
      </c>
      <c r="G38" t="s">
        <v>2377</v>
      </c>
      <c r="H38">
        <v>10000</v>
      </c>
      <c r="I38">
        <v>2</v>
      </c>
      <c r="J38">
        <v>10</v>
      </c>
      <c r="K38">
        <v>20000</v>
      </c>
      <c r="L38">
        <v>2000</v>
      </c>
      <c r="M38">
        <v>18000</v>
      </c>
      <c r="N38">
        <v>74000</v>
      </c>
      <c r="O38">
        <v>92000</v>
      </c>
      <c r="P38" t="s">
        <v>35</v>
      </c>
      <c r="Q38" t="s">
        <v>2357</v>
      </c>
      <c r="R38" t="s">
        <v>82</v>
      </c>
      <c r="S38">
        <v>5</v>
      </c>
      <c r="T38" t="s">
        <v>24</v>
      </c>
      <c r="U38" t="s">
        <v>2401</v>
      </c>
      <c r="V38">
        <v>2025</v>
      </c>
      <c r="W38">
        <v>1</v>
      </c>
    </row>
    <row r="39" spans="1:23" x14ac:dyDescent="0.25">
      <c r="A39" t="s">
        <v>951</v>
      </c>
      <c r="B39">
        <v>45663.301747685182</v>
      </c>
      <c r="C39" t="s">
        <v>763</v>
      </c>
      <c r="D39" t="s">
        <v>74</v>
      </c>
      <c r="E39" t="s">
        <v>67</v>
      </c>
      <c r="F39" t="s">
        <v>2393</v>
      </c>
      <c r="G39" t="s">
        <v>2378</v>
      </c>
      <c r="H39">
        <v>15000</v>
      </c>
      <c r="I39">
        <v>3</v>
      </c>
      <c r="J39">
        <v>20</v>
      </c>
      <c r="K39">
        <v>45000</v>
      </c>
      <c r="L39">
        <v>9000</v>
      </c>
      <c r="M39">
        <v>36000</v>
      </c>
      <c r="N39">
        <v>87000</v>
      </c>
      <c r="O39">
        <v>123000</v>
      </c>
      <c r="P39" t="s">
        <v>22</v>
      </c>
      <c r="Q39" t="s">
        <v>2357</v>
      </c>
      <c r="R39" t="s">
        <v>46</v>
      </c>
      <c r="S39">
        <v>2</v>
      </c>
      <c r="T39" t="s">
        <v>24</v>
      </c>
      <c r="U39" t="s">
        <v>2401</v>
      </c>
      <c r="V39">
        <v>2025</v>
      </c>
      <c r="W39">
        <v>1</v>
      </c>
    </row>
    <row r="40" spans="1:23" x14ac:dyDescent="0.25">
      <c r="A40" t="s">
        <v>952</v>
      </c>
      <c r="B40">
        <v>45663.370370370372</v>
      </c>
      <c r="C40" t="s">
        <v>431</v>
      </c>
      <c r="D40" t="s">
        <v>33</v>
      </c>
      <c r="E40" t="s">
        <v>123</v>
      </c>
      <c r="F40" t="s">
        <v>2399</v>
      </c>
      <c r="G40" t="s">
        <v>2377</v>
      </c>
      <c r="H40">
        <v>22000</v>
      </c>
      <c r="I40">
        <v>1</v>
      </c>
      <c r="J40">
        <v>10</v>
      </c>
      <c r="K40">
        <v>22000</v>
      </c>
      <c r="L40">
        <v>2200</v>
      </c>
      <c r="M40">
        <v>19800</v>
      </c>
      <c r="N40">
        <v>76000</v>
      </c>
      <c r="O40">
        <v>95800</v>
      </c>
      <c r="P40" t="s">
        <v>22</v>
      </c>
      <c r="Q40" t="s">
        <v>2357</v>
      </c>
      <c r="R40" t="s">
        <v>82</v>
      </c>
      <c r="S40">
        <v>3</v>
      </c>
      <c r="T40" t="s">
        <v>24</v>
      </c>
      <c r="U40" t="s">
        <v>2401</v>
      </c>
      <c r="V40">
        <v>2025</v>
      </c>
      <c r="W40">
        <v>1</v>
      </c>
    </row>
    <row r="41" spans="1:23" x14ac:dyDescent="0.25">
      <c r="A41" t="s">
        <v>953</v>
      </c>
      <c r="B41">
        <v>45663.487719907411</v>
      </c>
      <c r="C41" t="s">
        <v>954</v>
      </c>
      <c r="D41" t="s">
        <v>44</v>
      </c>
      <c r="E41" t="s">
        <v>123</v>
      </c>
      <c r="F41" t="s">
        <v>2399</v>
      </c>
      <c r="G41" t="s">
        <v>2377</v>
      </c>
      <c r="H41">
        <v>22000</v>
      </c>
      <c r="I41">
        <v>4</v>
      </c>
      <c r="J41">
        <v>15</v>
      </c>
      <c r="K41">
        <v>88000</v>
      </c>
      <c r="L41">
        <v>13200</v>
      </c>
      <c r="M41">
        <v>74800</v>
      </c>
      <c r="N41">
        <v>93000</v>
      </c>
      <c r="O41">
        <v>167800</v>
      </c>
      <c r="P41" t="s">
        <v>22</v>
      </c>
      <c r="Q41" t="s">
        <v>2357</v>
      </c>
      <c r="R41" t="s">
        <v>23</v>
      </c>
      <c r="S41">
        <v>2</v>
      </c>
      <c r="T41" t="s">
        <v>24</v>
      </c>
      <c r="U41" t="s">
        <v>2401</v>
      </c>
      <c r="V41">
        <v>2025</v>
      </c>
      <c r="W41">
        <v>1</v>
      </c>
    </row>
    <row r="42" spans="1:23" x14ac:dyDescent="0.25">
      <c r="A42" t="s">
        <v>953</v>
      </c>
      <c r="B42">
        <v>45663.487719907411</v>
      </c>
      <c r="C42" t="s">
        <v>954</v>
      </c>
      <c r="D42" t="s">
        <v>44</v>
      </c>
      <c r="E42" t="s">
        <v>62</v>
      </c>
      <c r="F42" t="s">
        <v>2398</v>
      </c>
      <c r="G42" t="s">
        <v>2378</v>
      </c>
      <c r="H42">
        <v>50000</v>
      </c>
      <c r="I42">
        <v>2</v>
      </c>
      <c r="J42">
        <v>10</v>
      </c>
      <c r="K42">
        <v>100000</v>
      </c>
      <c r="L42">
        <v>10000</v>
      </c>
      <c r="M42">
        <v>90000</v>
      </c>
      <c r="N42">
        <v>0</v>
      </c>
      <c r="O42">
        <v>90000</v>
      </c>
      <c r="P42" t="s">
        <v>22</v>
      </c>
      <c r="Q42" t="s">
        <v>2357</v>
      </c>
      <c r="R42" t="s">
        <v>23</v>
      </c>
      <c r="S42">
        <v>2</v>
      </c>
      <c r="T42" t="s">
        <v>24</v>
      </c>
      <c r="U42" t="s">
        <v>2401</v>
      </c>
      <c r="V42">
        <v>2025</v>
      </c>
      <c r="W42">
        <v>1</v>
      </c>
    </row>
    <row r="43" spans="1:23" x14ac:dyDescent="0.25">
      <c r="A43" t="s">
        <v>955</v>
      </c>
      <c r="B43">
        <v>45663.562696759262</v>
      </c>
      <c r="C43" t="s">
        <v>60</v>
      </c>
      <c r="D43" t="s">
        <v>61</v>
      </c>
      <c r="E43" t="s">
        <v>45</v>
      </c>
      <c r="F43" t="s">
        <v>2394</v>
      </c>
      <c r="G43" t="s">
        <v>2378</v>
      </c>
      <c r="H43">
        <v>40000</v>
      </c>
      <c r="I43">
        <v>3</v>
      </c>
      <c r="J43">
        <v>0</v>
      </c>
      <c r="K43">
        <v>120000</v>
      </c>
      <c r="L43">
        <v>0</v>
      </c>
      <c r="M43">
        <v>120000</v>
      </c>
      <c r="N43">
        <v>26000</v>
      </c>
      <c r="O43">
        <v>146000</v>
      </c>
      <c r="P43" t="s">
        <v>29</v>
      </c>
      <c r="Q43" t="s">
        <v>2357</v>
      </c>
      <c r="R43" t="s">
        <v>36</v>
      </c>
      <c r="S43">
        <v>1</v>
      </c>
      <c r="T43" t="s">
        <v>24</v>
      </c>
      <c r="U43" t="s">
        <v>2401</v>
      </c>
      <c r="V43">
        <v>2025</v>
      </c>
      <c r="W43">
        <v>1</v>
      </c>
    </row>
    <row r="44" spans="1:23" x14ac:dyDescent="0.25">
      <c r="A44" t="s">
        <v>956</v>
      </c>
      <c r="B44">
        <v>45663.761481481481</v>
      </c>
      <c r="C44" t="s">
        <v>192</v>
      </c>
      <c r="D44" t="s">
        <v>107</v>
      </c>
      <c r="E44" t="s">
        <v>28</v>
      </c>
      <c r="F44" t="s">
        <v>2395</v>
      </c>
      <c r="G44" t="s">
        <v>2378</v>
      </c>
      <c r="H44">
        <v>5000</v>
      </c>
      <c r="I44">
        <v>2</v>
      </c>
      <c r="J44">
        <v>15</v>
      </c>
      <c r="K44">
        <v>10000</v>
      </c>
      <c r="L44">
        <v>1500</v>
      </c>
      <c r="M44">
        <v>8500</v>
      </c>
      <c r="N44">
        <v>97000</v>
      </c>
      <c r="O44">
        <v>105500</v>
      </c>
      <c r="P44" t="s">
        <v>63</v>
      </c>
      <c r="Q44" t="s">
        <v>2357</v>
      </c>
      <c r="R44" t="s">
        <v>46</v>
      </c>
      <c r="S44">
        <v>5</v>
      </c>
      <c r="T44" t="s">
        <v>24</v>
      </c>
      <c r="U44" t="s">
        <v>2401</v>
      </c>
      <c r="V44">
        <v>2025</v>
      </c>
      <c r="W44">
        <v>1</v>
      </c>
    </row>
    <row r="45" spans="1:23" x14ac:dyDescent="0.25">
      <c r="A45" t="s">
        <v>957</v>
      </c>
      <c r="B45">
        <v>45664.102361111109</v>
      </c>
      <c r="C45" t="s">
        <v>851</v>
      </c>
      <c r="D45" t="s">
        <v>66</v>
      </c>
      <c r="E45" t="s">
        <v>38</v>
      </c>
      <c r="F45" t="s">
        <v>2399</v>
      </c>
      <c r="G45" t="s">
        <v>2379</v>
      </c>
      <c r="H45">
        <v>28000</v>
      </c>
      <c r="I45">
        <v>4</v>
      </c>
      <c r="J45">
        <v>20</v>
      </c>
      <c r="K45">
        <v>112000</v>
      </c>
      <c r="L45">
        <v>22400</v>
      </c>
      <c r="M45">
        <v>89600</v>
      </c>
      <c r="N45">
        <v>59000</v>
      </c>
      <c r="O45">
        <v>148600</v>
      </c>
      <c r="P45" t="s">
        <v>29</v>
      </c>
      <c r="Q45" t="s">
        <v>2357</v>
      </c>
      <c r="R45" t="s">
        <v>36</v>
      </c>
      <c r="S45">
        <v>1</v>
      </c>
      <c r="T45" t="s">
        <v>37</v>
      </c>
      <c r="U45" t="s">
        <v>2401</v>
      </c>
      <c r="V45">
        <v>2025</v>
      </c>
      <c r="W45">
        <v>1</v>
      </c>
    </row>
    <row r="46" spans="1:23" x14ac:dyDescent="0.25">
      <c r="A46" t="s">
        <v>958</v>
      </c>
      <c r="B46">
        <v>45664.147615740738</v>
      </c>
      <c r="C46" t="s">
        <v>959</v>
      </c>
      <c r="D46" t="s">
        <v>182</v>
      </c>
      <c r="E46" t="s">
        <v>138</v>
      </c>
      <c r="F46" t="s">
        <v>2396</v>
      </c>
      <c r="G46" t="s">
        <v>2378</v>
      </c>
      <c r="H46">
        <v>17000</v>
      </c>
      <c r="I46">
        <v>2</v>
      </c>
      <c r="J46">
        <v>5</v>
      </c>
      <c r="K46">
        <v>34000</v>
      </c>
      <c r="L46">
        <v>1700</v>
      </c>
      <c r="M46">
        <v>32300</v>
      </c>
      <c r="N46">
        <v>48000</v>
      </c>
      <c r="O46">
        <v>80300</v>
      </c>
      <c r="P46" t="s">
        <v>22</v>
      </c>
      <c r="Q46" t="s">
        <v>2357</v>
      </c>
      <c r="R46" t="s">
        <v>46</v>
      </c>
      <c r="S46">
        <v>2</v>
      </c>
      <c r="T46" t="s">
        <v>24</v>
      </c>
      <c r="U46" t="s">
        <v>2401</v>
      </c>
      <c r="V46">
        <v>2025</v>
      </c>
      <c r="W46">
        <v>1</v>
      </c>
    </row>
    <row r="47" spans="1:23" x14ac:dyDescent="0.25">
      <c r="A47" t="s">
        <v>960</v>
      </c>
      <c r="B47">
        <v>45664.243032407408</v>
      </c>
      <c r="C47" t="s">
        <v>355</v>
      </c>
      <c r="D47" t="s">
        <v>116</v>
      </c>
      <c r="E47" t="s">
        <v>190</v>
      </c>
      <c r="F47" t="s">
        <v>2392</v>
      </c>
      <c r="G47" t="s">
        <v>2378</v>
      </c>
      <c r="H47">
        <v>35000</v>
      </c>
      <c r="I47">
        <v>5</v>
      </c>
      <c r="J47">
        <v>15</v>
      </c>
      <c r="K47">
        <v>175000</v>
      </c>
      <c r="L47">
        <v>26250</v>
      </c>
      <c r="M47">
        <v>148750</v>
      </c>
      <c r="N47">
        <v>72000</v>
      </c>
      <c r="O47">
        <v>220750</v>
      </c>
      <c r="P47" t="s">
        <v>35</v>
      </c>
      <c r="Q47" t="s">
        <v>2357</v>
      </c>
      <c r="R47" t="s">
        <v>30</v>
      </c>
      <c r="S47">
        <v>3</v>
      </c>
      <c r="T47" t="s">
        <v>24</v>
      </c>
      <c r="U47" t="s">
        <v>2401</v>
      </c>
      <c r="V47">
        <v>2025</v>
      </c>
      <c r="W47">
        <v>1</v>
      </c>
    </row>
    <row r="48" spans="1:23" x14ac:dyDescent="0.25">
      <c r="A48" t="s">
        <v>961</v>
      </c>
      <c r="B48">
        <v>45664.35565972222</v>
      </c>
      <c r="C48" t="s">
        <v>299</v>
      </c>
      <c r="D48" t="s">
        <v>163</v>
      </c>
      <c r="E48" t="s">
        <v>144</v>
      </c>
      <c r="F48" t="s">
        <v>2396</v>
      </c>
      <c r="G48" t="s">
        <v>2379</v>
      </c>
      <c r="H48">
        <v>18000</v>
      </c>
      <c r="I48">
        <v>2</v>
      </c>
      <c r="J48">
        <v>0</v>
      </c>
      <c r="K48">
        <v>36000</v>
      </c>
      <c r="L48">
        <v>0</v>
      </c>
      <c r="M48">
        <v>36000</v>
      </c>
      <c r="N48">
        <v>50000</v>
      </c>
      <c r="O48">
        <v>86000</v>
      </c>
      <c r="P48" t="s">
        <v>22</v>
      </c>
      <c r="Q48" t="s">
        <v>2357</v>
      </c>
      <c r="R48" t="s">
        <v>30</v>
      </c>
      <c r="S48">
        <v>3</v>
      </c>
      <c r="T48" t="s">
        <v>24</v>
      </c>
      <c r="U48" t="s">
        <v>2401</v>
      </c>
      <c r="V48">
        <v>2025</v>
      </c>
      <c r="W48">
        <v>1</v>
      </c>
    </row>
    <row r="49" spans="1:23" x14ac:dyDescent="0.25">
      <c r="A49" t="s">
        <v>962</v>
      </c>
      <c r="B49">
        <v>45664.535694444443</v>
      </c>
      <c r="C49" t="s">
        <v>613</v>
      </c>
      <c r="D49" t="s">
        <v>375</v>
      </c>
      <c r="E49" t="s">
        <v>21</v>
      </c>
      <c r="F49" t="s">
        <v>2394</v>
      </c>
      <c r="G49" t="s">
        <v>2379</v>
      </c>
      <c r="H49">
        <v>45000</v>
      </c>
      <c r="I49">
        <v>4</v>
      </c>
      <c r="J49">
        <v>0</v>
      </c>
      <c r="K49">
        <v>180000</v>
      </c>
      <c r="L49">
        <v>0</v>
      </c>
      <c r="M49">
        <v>180000</v>
      </c>
      <c r="N49">
        <v>21000</v>
      </c>
      <c r="O49">
        <v>201000</v>
      </c>
      <c r="P49" t="s">
        <v>63</v>
      </c>
      <c r="Q49" t="s">
        <v>2359</v>
      </c>
      <c r="R49" t="s">
        <v>82</v>
      </c>
      <c r="S49">
        <v>4</v>
      </c>
      <c r="T49" t="s">
        <v>24</v>
      </c>
      <c r="U49" t="s">
        <v>2401</v>
      </c>
      <c r="V49">
        <v>2025</v>
      </c>
      <c r="W49">
        <v>1</v>
      </c>
    </row>
    <row r="50" spans="1:23" x14ac:dyDescent="0.25">
      <c r="A50" t="s">
        <v>963</v>
      </c>
      <c r="B50">
        <v>45664.562488425923</v>
      </c>
      <c r="C50" t="s">
        <v>109</v>
      </c>
      <c r="D50" t="s">
        <v>49</v>
      </c>
      <c r="E50" t="s">
        <v>45</v>
      </c>
      <c r="F50" t="s">
        <v>2394</v>
      </c>
      <c r="G50" t="s">
        <v>2378</v>
      </c>
      <c r="H50">
        <v>40000</v>
      </c>
      <c r="I50">
        <v>1</v>
      </c>
      <c r="J50">
        <v>0</v>
      </c>
      <c r="K50">
        <v>40000</v>
      </c>
      <c r="L50">
        <v>0</v>
      </c>
      <c r="M50">
        <v>40000</v>
      </c>
      <c r="N50">
        <v>43000</v>
      </c>
      <c r="O50">
        <v>83000</v>
      </c>
      <c r="P50" t="s">
        <v>35</v>
      </c>
      <c r="Q50" t="s">
        <v>2356</v>
      </c>
      <c r="R50" t="s">
        <v>46</v>
      </c>
      <c r="S50">
        <v>1</v>
      </c>
      <c r="T50" t="s">
        <v>24</v>
      </c>
      <c r="U50" t="s">
        <v>2401</v>
      </c>
      <c r="V50">
        <v>2025</v>
      </c>
      <c r="W50">
        <v>1</v>
      </c>
    </row>
    <row r="51" spans="1:23" x14ac:dyDescent="0.25">
      <c r="A51" t="s">
        <v>963</v>
      </c>
      <c r="B51">
        <v>45664.562488425923</v>
      </c>
      <c r="C51" t="s">
        <v>109</v>
      </c>
      <c r="D51" t="s">
        <v>49</v>
      </c>
      <c r="E51" t="s">
        <v>81</v>
      </c>
      <c r="F51" t="s">
        <v>2397</v>
      </c>
      <c r="G51" t="s">
        <v>2378</v>
      </c>
      <c r="H51">
        <v>17000</v>
      </c>
      <c r="I51">
        <v>1</v>
      </c>
      <c r="J51">
        <v>10</v>
      </c>
      <c r="K51">
        <v>17000</v>
      </c>
      <c r="L51">
        <v>1700</v>
      </c>
      <c r="M51">
        <v>15300</v>
      </c>
      <c r="N51">
        <v>0</v>
      </c>
      <c r="O51">
        <v>15300</v>
      </c>
      <c r="P51" t="s">
        <v>35</v>
      </c>
      <c r="Q51" t="s">
        <v>2356</v>
      </c>
      <c r="R51" t="s">
        <v>46</v>
      </c>
      <c r="S51">
        <v>1</v>
      </c>
      <c r="T51" t="s">
        <v>24</v>
      </c>
      <c r="U51" t="s">
        <v>2401</v>
      </c>
      <c r="V51">
        <v>2025</v>
      </c>
      <c r="W51">
        <v>1</v>
      </c>
    </row>
    <row r="52" spans="1:23" x14ac:dyDescent="0.25">
      <c r="A52" t="s">
        <v>964</v>
      </c>
      <c r="B52">
        <v>45664.605219907397</v>
      </c>
      <c r="C52" t="s">
        <v>502</v>
      </c>
      <c r="D52" t="s">
        <v>107</v>
      </c>
      <c r="E52" t="s">
        <v>50</v>
      </c>
      <c r="F52" t="s">
        <v>2400</v>
      </c>
      <c r="G52" t="s">
        <v>2379</v>
      </c>
      <c r="H52">
        <v>14000</v>
      </c>
      <c r="I52">
        <v>4</v>
      </c>
      <c r="J52">
        <v>10</v>
      </c>
      <c r="K52">
        <v>56000</v>
      </c>
      <c r="L52">
        <v>5600</v>
      </c>
      <c r="M52">
        <v>50400</v>
      </c>
      <c r="N52">
        <v>97000</v>
      </c>
      <c r="O52">
        <v>147400</v>
      </c>
      <c r="P52" t="s">
        <v>29</v>
      </c>
      <c r="Q52" t="s">
        <v>2357</v>
      </c>
      <c r="R52" t="s">
        <v>23</v>
      </c>
      <c r="S52">
        <v>3</v>
      </c>
      <c r="T52" t="s">
        <v>24</v>
      </c>
      <c r="U52" t="s">
        <v>2401</v>
      </c>
      <c r="V52">
        <v>2025</v>
      </c>
      <c r="W52">
        <v>1</v>
      </c>
    </row>
    <row r="53" spans="1:23" x14ac:dyDescent="0.25">
      <c r="A53" t="s">
        <v>965</v>
      </c>
      <c r="B53">
        <v>45664.648668981477</v>
      </c>
      <c r="C53" t="s">
        <v>201</v>
      </c>
      <c r="D53" t="s">
        <v>107</v>
      </c>
      <c r="E53" t="s">
        <v>123</v>
      </c>
      <c r="F53" t="s">
        <v>2399</v>
      </c>
      <c r="G53" t="s">
        <v>2377</v>
      </c>
      <c r="H53">
        <v>22000</v>
      </c>
      <c r="I53">
        <v>5</v>
      </c>
      <c r="J53">
        <v>20</v>
      </c>
      <c r="K53">
        <v>110000</v>
      </c>
      <c r="L53">
        <v>22000</v>
      </c>
      <c r="M53">
        <v>88000</v>
      </c>
      <c r="N53">
        <v>97000</v>
      </c>
      <c r="O53">
        <v>185000</v>
      </c>
      <c r="P53" t="s">
        <v>29</v>
      </c>
      <c r="Q53" t="s">
        <v>2357</v>
      </c>
      <c r="R53" t="s">
        <v>30</v>
      </c>
      <c r="S53">
        <v>4</v>
      </c>
      <c r="T53" t="s">
        <v>24</v>
      </c>
      <c r="U53" t="s">
        <v>2401</v>
      </c>
      <c r="V53">
        <v>2025</v>
      </c>
      <c r="W53">
        <v>1</v>
      </c>
    </row>
    <row r="54" spans="1:23" x14ac:dyDescent="0.25">
      <c r="A54" t="s">
        <v>966</v>
      </c>
      <c r="B54">
        <v>45664.860509259262</v>
      </c>
      <c r="C54" t="s">
        <v>570</v>
      </c>
      <c r="D54" t="s">
        <v>80</v>
      </c>
      <c r="E54" t="s">
        <v>136</v>
      </c>
      <c r="F54" t="s">
        <v>2400</v>
      </c>
      <c r="G54" t="s">
        <v>2378</v>
      </c>
      <c r="H54">
        <v>12000</v>
      </c>
      <c r="I54">
        <v>2</v>
      </c>
      <c r="J54">
        <v>10</v>
      </c>
      <c r="K54">
        <v>24000</v>
      </c>
      <c r="L54">
        <v>2400</v>
      </c>
      <c r="M54">
        <v>21600</v>
      </c>
      <c r="N54">
        <v>74000</v>
      </c>
      <c r="O54">
        <v>95600</v>
      </c>
      <c r="P54" t="s">
        <v>63</v>
      </c>
      <c r="Q54" t="s">
        <v>2357</v>
      </c>
      <c r="R54" t="s">
        <v>30</v>
      </c>
      <c r="S54">
        <v>1</v>
      </c>
      <c r="T54" t="s">
        <v>24</v>
      </c>
      <c r="U54" t="s">
        <v>2401</v>
      </c>
      <c r="V54">
        <v>2025</v>
      </c>
      <c r="W54">
        <v>1</v>
      </c>
    </row>
    <row r="55" spans="1:23" x14ac:dyDescent="0.25">
      <c r="A55" t="s">
        <v>967</v>
      </c>
      <c r="B55">
        <v>45664.912847222222</v>
      </c>
      <c r="C55" t="s">
        <v>201</v>
      </c>
      <c r="D55" t="s">
        <v>107</v>
      </c>
      <c r="E55" t="s">
        <v>50</v>
      </c>
      <c r="F55" t="s">
        <v>2400</v>
      </c>
      <c r="G55" t="s">
        <v>2379</v>
      </c>
      <c r="H55">
        <v>14000</v>
      </c>
      <c r="I55">
        <v>2</v>
      </c>
      <c r="J55">
        <v>0</v>
      </c>
      <c r="K55">
        <v>28000</v>
      </c>
      <c r="L55">
        <v>0</v>
      </c>
      <c r="M55">
        <v>28000</v>
      </c>
      <c r="N55">
        <v>97000</v>
      </c>
      <c r="O55">
        <v>125000</v>
      </c>
      <c r="P55" t="s">
        <v>35</v>
      </c>
      <c r="Q55" t="s">
        <v>2357</v>
      </c>
      <c r="R55" t="s">
        <v>30</v>
      </c>
      <c r="S55">
        <v>5</v>
      </c>
      <c r="T55" t="s">
        <v>24</v>
      </c>
      <c r="U55" t="s">
        <v>2401</v>
      </c>
      <c r="V55">
        <v>2025</v>
      </c>
      <c r="W55">
        <v>1</v>
      </c>
    </row>
    <row r="56" spans="1:23" x14ac:dyDescent="0.25">
      <c r="A56" t="s">
        <v>968</v>
      </c>
      <c r="B56">
        <v>45664.963333333333</v>
      </c>
      <c r="C56" t="s">
        <v>969</v>
      </c>
      <c r="D56" t="s">
        <v>177</v>
      </c>
      <c r="E56" t="s">
        <v>250</v>
      </c>
      <c r="F56" t="s">
        <v>2397</v>
      </c>
      <c r="G56" t="s">
        <v>2379</v>
      </c>
      <c r="H56">
        <v>18000</v>
      </c>
      <c r="I56">
        <v>3</v>
      </c>
      <c r="J56">
        <v>10</v>
      </c>
      <c r="K56">
        <v>54000</v>
      </c>
      <c r="L56">
        <v>5400</v>
      </c>
      <c r="M56">
        <v>48600</v>
      </c>
      <c r="N56">
        <v>56000</v>
      </c>
      <c r="O56">
        <v>104600</v>
      </c>
      <c r="P56" t="s">
        <v>29</v>
      </c>
      <c r="Q56" t="s">
        <v>2357</v>
      </c>
      <c r="R56" t="s">
        <v>82</v>
      </c>
      <c r="S56">
        <v>3</v>
      </c>
      <c r="T56" t="s">
        <v>24</v>
      </c>
      <c r="U56" t="s">
        <v>2401</v>
      </c>
      <c r="V56">
        <v>2025</v>
      </c>
      <c r="W56">
        <v>1</v>
      </c>
    </row>
    <row r="57" spans="1:23" x14ac:dyDescent="0.25">
      <c r="A57" t="s">
        <v>970</v>
      </c>
      <c r="B57">
        <v>45665.305381944447</v>
      </c>
      <c r="C57" t="s">
        <v>457</v>
      </c>
      <c r="D57" t="s">
        <v>80</v>
      </c>
      <c r="E57" t="s">
        <v>85</v>
      </c>
      <c r="F57" t="s">
        <v>2394</v>
      </c>
      <c r="G57" t="s">
        <v>2377</v>
      </c>
      <c r="H57">
        <v>35000</v>
      </c>
      <c r="I57">
        <v>4</v>
      </c>
      <c r="J57">
        <v>15</v>
      </c>
      <c r="K57">
        <v>140000</v>
      </c>
      <c r="L57">
        <v>21000</v>
      </c>
      <c r="M57">
        <v>119000</v>
      </c>
      <c r="N57">
        <v>74000</v>
      </c>
      <c r="O57">
        <v>193000</v>
      </c>
      <c r="P57" t="s">
        <v>63</v>
      </c>
      <c r="Q57" t="s">
        <v>2357</v>
      </c>
      <c r="R57" t="s">
        <v>82</v>
      </c>
      <c r="S57">
        <v>1</v>
      </c>
      <c r="T57" t="s">
        <v>24</v>
      </c>
      <c r="U57" t="s">
        <v>2401</v>
      </c>
      <c r="V57">
        <v>2025</v>
      </c>
      <c r="W57">
        <v>1</v>
      </c>
    </row>
    <row r="58" spans="1:23" x14ac:dyDescent="0.25">
      <c r="A58" t="s">
        <v>970</v>
      </c>
      <c r="B58">
        <v>45665.305381944447</v>
      </c>
      <c r="C58" t="s">
        <v>457</v>
      </c>
      <c r="D58" t="s">
        <v>80</v>
      </c>
      <c r="E58" t="s">
        <v>88</v>
      </c>
      <c r="F58" t="s">
        <v>2393</v>
      </c>
      <c r="G58" t="s">
        <v>2377</v>
      </c>
      <c r="H58">
        <v>14000</v>
      </c>
      <c r="I58">
        <v>3</v>
      </c>
      <c r="J58">
        <v>10</v>
      </c>
      <c r="K58">
        <v>42000</v>
      </c>
      <c r="L58">
        <v>4200</v>
      </c>
      <c r="M58">
        <v>37800</v>
      </c>
      <c r="N58">
        <v>0</v>
      </c>
      <c r="O58">
        <v>37800</v>
      </c>
      <c r="P58" t="s">
        <v>63</v>
      </c>
      <c r="Q58" t="s">
        <v>2357</v>
      </c>
      <c r="R58" t="s">
        <v>82</v>
      </c>
      <c r="S58">
        <v>1</v>
      </c>
      <c r="T58" t="s">
        <v>24</v>
      </c>
      <c r="U58" t="s">
        <v>2401</v>
      </c>
      <c r="V58">
        <v>2025</v>
      </c>
      <c r="W58">
        <v>1</v>
      </c>
    </row>
    <row r="59" spans="1:23" x14ac:dyDescent="0.25">
      <c r="A59" t="s">
        <v>971</v>
      </c>
      <c r="B59">
        <v>45666.095324074071</v>
      </c>
      <c r="C59" t="s">
        <v>252</v>
      </c>
      <c r="D59" t="s">
        <v>131</v>
      </c>
      <c r="E59" t="s">
        <v>21</v>
      </c>
      <c r="F59" t="s">
        <v>2394</v>
      </c>
      <c r="G59" t="s">
        <v>2379</v>
      </c>
      <c r="H59">
        <v>45000</v>
      </c>
      <c r="I59">
        <v>1</v>
      </c>
      <c r="J59">
        <v>5</v>
      </c>
      <c r="K59">
        <v>45000</v>
      </c>
      <c r="L59">
        <v>2250</v>
      </c>
      <c r="M59">
        <v>42750</v>
      </c>
      <c r="N59">
        <v>59000</v>
      </c>
      <c r="O59">
        <v>101750</v>
      </c>
      <c r="P59" t="s">
        <v>22</v>
      </c>
      <c r="Q59" t="s">
        <v>2356</v>
      </c>
      <c r="R59" t="s">
        <v>46</v>
      </c>
      <c r="S59">
        <v>4</v>
      </c>
      <c r="T59" t="s">
        <v>24</v>
      </c>
      <c r="U59" t="s">
        <v>2401</v>
      </c>
      <c r="V59">
        <v>2025</v>
      </c>
      <c r="W59">
        <v>1</v>
      </c>
    </row>
    <row r="60" spans="1:23" x14ac:dyDescent="0.25">
      <c r="A60" t="s">
        <v>972</v>
      </c>
      <c r="B60">
        <v>45667.553425925929</v>
      </c>
      <c r="C60" t="s">
        <v>598</v>
      </c>
      <c r="D60" t="s">
        <v>61</v>
      </c>
      <c r="E60" t="s">
        <v>138</v>
      </c>
      <c r="F60" t="s">
        <v>2396</v>
      </c>
      <c r="G60" t="s">
        <v>2378</v>
      </c>
      <c r="H60">
        <v>17000</v>
      </c>
      <c r="I60">
        <v>4</v>
      </c>
      <c r="J60">
        <v>5</v>
      </c>
      <c r="K60">
        <v>68000</v>
      </c>
      <c r="L60">
        <v>3400</v>
      </c>
      <c r="M60">
        <v>64600</v>
      </c>
      <c r="N60">
        <v>26000</v>
      </c>
      <c r="O60">
        <v>90600</v>
      </c>
      <c r="P60" t="s">
        <v>35</v>
      </c>
      <c r="Q60" t="s">
        <v>2356</v>
      </c>
      <c r="R60" t="s">
        <v>23</v>
      </c>
      <c r="S60">
        <v>3</v>
      </c>
      <c r="T60" t="s">
        <v>24</v>
      </c>
      <c r="U60" t="s">
        <v>2401</v>
      </c>
      <c r="V60">
        <v>2025</v>
      </c>
      <c r="W60">
        <v>1</v>
      </c>
    </row>
    <row r="61" spans="1:23" x14ac:dyDescent="0.25">
      <c r="A61" t="s">
        <v>973</v>
      </c>
      <c r="B61">
        <v>45667.567615740743</v>
      </c>
      <c r="C61" t="s">
        <v>314</v>
      </c>
      <c r="D61" t="s">
        <v>113</v>
      </c>
      <c r="E61" t="s">
        <v>38</v>
      </c>
      <c r="F61" t="s">
        <v>2399</v>
      </c>
      <c r="G61" t="s">
        <v>2379</v>
      </c>
      <c r="H61">
        <v>28000</v>
      </c>
      <c r="I61">
        <v>5</v>
      </c>
      <c r="J61">
        <v>10</v>
      </c>
      <c r="K61">
        <v>140000</v>
      </c>
      <c r="L61">
        <v>14000</v>
      </c>
      <c r="M61">
        <v>126000</v>
      </c>
      <c r="N61">
        <v>18000</v>
      </c>
      <c r="O61">
        <v>144000</v>
      </c>
      <c r="P61" t="s">
        <v>63</v>
      </c>
      <c r="Q61" t="s">
        <v>2357</v>
      </c>
      <c r="R61" t="s">
        <v>36</v>
      </c>
      <c r="S61">
        <v>1</v>
      </c>
      <c r="T61" t="s">
        <v>24</v>
      </c>
      <c r="U61" t="s">
        <v>2401</v>
      </c>
      <c r="V61">
        <v>2025</v>
      </c>
      <c r="W61">
        <v>1</v>
      </c>
    </row>
    <row r="62" spans="1:23" x14ac:dyDescent="0.25">
      <c r="A62" t="s">
        <v>973</v>
      </c>
      <c r="B62">
        <v>45667.567615740743</v>
      </c>
      <c r="C62" t="s">
        <v>314</v>
      </c>
      <c r="D62" t="s">
        <v>113</v>
      </c>
      <c r="E62" t="s">
        <v>136</v>
      </c>
      <c r="F62" t="s">
        <v>2400</v>
      </c>
      <c r="G62" t="s">
        <v>2378</v>
      </c>
      <c r="H62">
        <v>12000</v>
      </c>
      <c r="I62">
        <v>3</v>
      </c>
      <c r="J62">
        <v>5</v>
      </c>
      <c r="K62">
        <v>36000</v>
      </c>
      <c r="L62">
        <v>1800</v>
      </c>
      <c r="M62">
        <v>34200</v>
      </c>
      <c r="N62">
        <v>0</v>
      </c>
      <c r="O62">
        <v>34200</v>
      </c>
      <c r="P62" t="s">
        <v>63</v>
      </c>
      <c r="Q62" t="s">
        <v>2357</v>
      </c>
      <c r="R62" t="s">
        <v>36</v>
      </c>
      <c r="S62">
        <v>1</v>
      </c>
      <c r="T62" t="s">
        <v>24</v>
      </c>
      <c r="U62" t="s">
        <v>2401</v>
      </c>
      <c r="V62">
        <v>2025</v>
      </c>
      <c r="W62">
        <v>1</v>
      </c>
    </row>
    <row r="63" spans="1:23" x14ac:dyDescent="0.25">
      <c r="A63" t="s">
        <v>974</v>
      </c>
      <c r="B63">
        <v>45667.742673611108</v>
      </c>
      <c r="C63" t="s">
        <v>796</v>
      </c>
      <c r="D63" t="s">
        <v>119</v>
      </c>
      <c r="E63" t="s">
        <v>174</v>
      </c>
      <c r="F63" t="s">
        <v>2400</v>
      </c>
      <c r="G63" t="s">
        <v>2377</v>
      </c>
      <c r="H63">
        <v>10000</v>
      </c>
      <c r="I63">
        <v>4</v>
      </c>
      <c r="J63">
        <v>15</v>
      </c>
      <c r="K63">
        <v>40000</v>
      </c>
      <c r="L63">
        <v>6000</v>
      </c>
      <c r="M63">
        <v>34000</v>
      </c>
      <c r="N63">
        <v>0</v>
      </c>
      <c r="O63">
        <v>34000</v>
      </c>
      <c r="P63" t="s">
        <v>29</v>
      </c>
      <c r="Q63" t="s">
        <v>2357</v>
      </c>
      <c r="R63" t="s">
        <v>23</v>
      </c>
      <c r="S63">
        <v>3</v>
      </c>
      <c r="T63" t="s">
        <v>24</v>
      </c>
      <c r="U63" t="s">
        <v>2401</v>
      </c>
      <c r="V63">
        <v>2025</v>
      </c>
      <c r="W63">
        <v>1</v>
      </c>
    </row>
    <row r="64" spans="1:23" x14ac:dyDescent="0.25">
      <c r="A64" t="s">
        <v>975</v>
      </c>
      <c r="B64">
        <v>45667.815451388888</v>
      </c>
      <c r="C64" t="s">
        <v>976</v>
      </c>
      <c r="D64" t="s">
        <v>182</v>
      </c>
      <c r="E64" t="s">
        <v>41</v>
      </c>
      <c r="F64" t="s">
        <v>2395</v>
      </c>
      <c r="G64" t="s">
        <v>2377</v>
      </c>
      <c r="H64">
        <v>4000</v>
      </c>
      <c r="I64">
        <v>3</v>
      </c>
      <c r="J64">
        <v>20</v>
      </c>
      <c r="K64">
        <v>12000</v>
      </c>
      <c r="L64">
        <v>2400</v>
      </c>
      <c r="M64">
        <v>9600</v>
      </c>
      <c r="N64">
        <v>48000</v>
      </c>
      <c r="O64">
        <v>57600</v>
      </c>
      <c r="P64" t="s">
        <v>29</v>
      </c>
      <c r="Q64" t="s">
        <v>2357</v>
      </c>
      <c r="R64" t="s">
        <v>30</v>
      </c>
      <c r="S64">
        <v>3</v>
      </c>
      <c r="T64" t="s">
        <v>24</v>
      </c>
      <c r="U64" t="s">
        <v>2401</v>
      </c>
      <c r="V64">
        <v>2025</v>
      </c>
      <c r="W64">
        <v>1</v>
      </c>
    </row>
    <row r="65" spans="1:23" x14ac:dyDescent="0.25">
      <c r="A65" t="s">
        <v>977</v>
      </c>
      <c r="B65">
        <v>45668.026458333326</v>
      </c>
      <c r="C65" t="s">
        <v>205</v>
      </c>
      <c r="D65" t="s">
        <v>96</v>
      </c>
      <c r="E65" t="s">
        <v>45</v>
      </c>
      <c r="F65" t="s">
        <v>2394</v>
      </c>
      <c r="G65" t="s">
        <v>2378</v>
      </c>
      <c r="H65">
        <v>40000</v>
      </c>
      <c r="I65">
        <v>1</v>
      </c>
      <c r="J65">
        <v>10</v>
      </c>
      <c r="K65">
        <v>40000</v>
      </c>
      <c r="L65">
        <v>4000</v>
      </c>
      <c r="M65">
        <v>36000</v>
      </c>
      <c r="N65">
        <v>49000</v>
      </c>
      <c r="O65">
        <v>85000</v>
      </c>
      <c r="P65" t="s">
        <v>63</v>
      </c>
      <c r="Q65" t="s">
        <v>2356</v>
      </c>
      <c r="R65" t="s">
        <v>82</v>
      </c>
      <c r="S65">
        <v>1</v>
      </c>
      <c r="T65" t="s">
        <v>24</v>
      </c>
      <c r="U65" t="s">
        <v>2401</v>
      </c>
      <c r="V65">
        <v>2025</v>
      </c>
      <c r="W65">
        <v>1</v>
      </c>
    </row>
    <row r="66" spans="1:23" x14ac:dyDescent="0.25">
      <c r="A66" t="s">
        <v>978</v>
      </c>
      <c r="B66">
        <v>45668.094340277778</v>
      </c>
      <c r="C66" t="s">
        <v>979</v>
      </c>
      <c r="D66" t="s">
        <v>49</v>
      </c>
      <c r="E66" t="s">
        <v>104</v>
      </c>
      <c r="F66" t="s">
        <v>2392</v>
      </c>
      <c r="G66" t="s">
        <v>2377</v>
      </c>
      <c r="H66">
        <v>30000</v>
      </c>
      <c r="I66">
        <v>3</v>
      </c>
      <c r="J66">
        <v>10</v>
      </c>
      <c r="K66">
        <v>90000</v>
      </c>
      <c r="L66">
        <v>9000</v>
      </c>
      <c r="M66">
        <v>81000</v>
      </c>
      <c r="N66">
        <v>43000</v>
      </c>
      <c r="O66">
        <v>124000</v>
      </c>
      <c r="P66" t="s">
        <v>35</v>
      </c>
      <c r="Q66" t="s">
        <v>2357</v>
      </c>
      <c r="R66" t="s">
        <v>46</v>
      </c>
      <c r="S66">
        <v>2</v>
      </c>
      <c r="T66" t="s">
        <v>24</v>
      </c>
      <c r="U66" t="s">
        <v>2401</v>
      </c>
      <c r="V66">
        <v>2025</v>
      </c>
      <c r="W66">
        <v>1</v>
      </c>
    </row>
    <row r="67" spans="1:23" x14ac:dyDescent="0.25">
      <c r="A67" t="s">
        <v>980</v>
      </c>
      <c r="B67">
        <v>45668.260451388887</v>
      </c>
      <c r="C67" t="s">
        <v>589</v>
      </c>
      <c r="D67" t="s">
        <v>262</v>
      </c>
      <c r="E67" t="s">
        <v>71</v>
      </c>
      <c r="F67" t="s">
        <v>2392</v>
      </c>
      <c r="G67" t="s">
        <v>2379</v>
      </c>
      <c r="H67">
        <v>40000</v>
      </c>
      <c r="I67">
        <v>2</v>
      </c>
      <c r="J67">
        <v>5</v>
      </c>
      <c r="K67">
        <v>80000</v>
      </c>
      <c r="L67">
        <v>4000</v>
      </c>
      <c r="M67">
        <v>76000</v>
      </c>
      <c r="N67">
        <v>18000</v>
      </c>
      <c r="O67">
        <v>94000</v>
      </c>
      <c r="P67" t="s">
        <v>35</v>
      </c>
      <c r="Q67" t="s">
        <v>2359</v>
      </c>
      <c r="R67" t="s">
        <v>82</v>
      </c>
      <c r="S67">
        <v>4</v>
      </c>
      <c r="T67" t="s">
        <v>37</v>
      </c>
      <c r="U67" t="s">
        <v>2401</v>
      </c>
      <c r="V67">
        <v>2025</v>
      </c>
      <c r="W67">
        <v>1</v>
      </c>
    </row>
    <row r="68" spans="1:23" x14ac:dyDescent="0.25">
      <c r="A68" t="s">
        <v>981</v>
      </c>
      <c r="B68">
        <v>45668.354583333326</v>
      </c>
      <c r="C68" t="s">
        <v>314</v>
      </c>
      <c r="D68" t="s">
        <v>113</v>
      </c>
      <c r="E68" t="s">
        <v>41</v>
      </c>
      <c r="F68" t="s">
        <v>2395</v>
      </c>
      <c r="G68" t="s">
        <v>2377</v>
      </c>
      <c r="H68">
        <v>4000</v>
      </c>
      <c r="I68">
        <v>3</v>
      </c>
      <c r="J68">
        <v>10</v>
      </c>
      <c r="K68">
        <v>12000</v>
      </c>
      <c r="L68">
        <v>1200</v>
      </c>
      <c r="M68">
        <v>10800</v>
      </c>
      <c r="N68">
        <v>18000</v>
      </c>
      <c r="O68">
        <v>28800</v>
      </c>
      <c r="P68" t="s">
        <v>29</v>
      </c>
      <c r="Q68" t="s">
        <v>2359</v>
      </c>
      <c r="R68" t="s">
        <v>36</v>
      </c>
      <c r="S68">
        <v>2</v>
      </c>
      <c r="T68" t="s">
        <v>24</v>
      </c>
      <c r="U68" t="s">
        <v>2401</v>
      </c>
      <c r="V68">
        <v>2025</v>
      </c>
      <c r="W68">
        <v>1</v>
      </c>
    </row>
    <row r="69" spans="1:23" x14ac:dyDescent="0.25">
      <c r="A69" t="s">
        <v>982</v>
      </c>
      <c r="B69">
        <v>45668.670682870368</v>
      </c>
      <c r="C69" t="s">
        <v>983</v>
      </c>
      <c r="D69" t="s">
        <v>262</v>
      </c>
      <c r="E69" t="s">
        <v>190</v>
      </c>
      <c r="F69" t="s">
        <v>2392</v>
      </c>
      <c r="G69" t="s">
        <v>2378</v>
      </c>
      <c r="H69">
        <v>35000</v>
      </c>
      <c r="I69">
        <v>2</v>
      </c>
      <c r="J69">
        <v>5</v>
      </c>
      <c r="K69">
        <v>70000</v>
      </c>
      <c r="L69">
        <v>3500</v>
      </c>
      <c r="M69">
        <v>66500</v>
      </c>
      <c r="N69">
        <v>18000</v>
      </c>
      <c r="O69">
        <v>84500</v>
      </c>
      <c r="P69" t="s">
        <v>35</v>
      </c>
      <c r="Q69" t="s">
        <v>2356</v>
      </c>
      <c r="R69" t="s">
        <v>46</v>
      </c>
      <c r="S69">
        <v>2</v>
      </c>
      <c r="T69" t="s">
        <v>37</v>
      </c>
      <c r="U69" t="s">
        <v>2401</v>
      </c>
      <c r="V69">
        <v>2025</v>
      </c>
      <c r="W69">
        <v>1</v>
      </c>
    </row>
    <row r="70" spans="1:23" x14ac:dyDescent="0.25">
      <c r="A70" t="s">
        <v>984</v>
      </c>
      <c r="B70">
        <v>45668.785856481481</v>
      </c>
      <c r="C70" t="s">
        <v>985</v>
      </c>
      <c r="D70" t="s">
        <v>53</v>
      </c>
      <c r="E70" t="s">
        <v>93</v>
      </c>
      <c r="F70" t="s">
        <v>2399</v>
      </c>
      <c r="G70" t="s">
        <v>2378</v>
      </c>
      <c r="H70">
        <v>25000</v>
      </c>
      <c r="I70">
        <v>4</v>
      </c>
      <c r="J70">
        <v>0</v>
      </c>
      <c r="K70">
        <v>100000</v>
      </c>
      <c r="L70">
        <v>0</v>
      </c>
      <c r="M70">
        <v>100000</v>
      </c>
      <c r="N70">
        <v>18000</v>
      </c>
      <c r="O70">
        <v>118000</v>
      </c>
      <c r="P70" t="s">
        <v>22</v>
      </c>
      <c r="Q70" t="s">
        <v>2356</v>
      </c>
      <c r="R70" t="s">
        <v>46</v>
      </c>
      <c r="S70">
        <v>5</v>
      </c>
      <c r="T70" t="s">
        <v>24</v>
      </c>
      <c r="U70" t="s">
        <v>2401</v>
      </c>
      <c r="V70">
        <v>2025</v>
      </c>
      <c r="W70">
        <v>1</v>
      </c>
    </row>
    <row r="71" spans="1:23" x14ac:dyDescent="0.25">
      <c r="A71" t="s">
        <v>986</v>
      </c>
      <c r="B71">
        <v>45668.833958333344</v>
      </c>
      <c r="C71" t="s">
        <v>497</v>
      </c>
      <c r="D71" t="s">
        <v>173</v>
      </c>
      <c r="E71" t="s">
        <v>174</v>
      </c>
      <c r="F71" t="s">
        <v>2400</v>
      </c>
      <c r="G71" t="s">
        <v>2377</v>
      </c>
      <c r="H71">
        <v>10000</v>
      </c>
      <c r="I71">
        <v>3</v>
      </c>
      <c r="J71">
        <v>15</v>
      </c>
      <c r="K71">
        <v>30000</v>
      </c>
      <c r="L71">
        <v>4500</v>
      </c>
      <c r="M71">
        <v>25500</v>
      </c>
      <c r="N71">
        <v>49000</v>
      </c>
      <c r="O71">
        <v>74500</v>
      </c>
      <c r="P71" t="s">
        <v>63</v>
      </c>
      <c r="Q71" t="s">
        <v>2357</v>
      </c>
      <c r="R71" t="s">
        <v>30</v>
      </c>
      <c r="S71">
        <v>3</v>
      </c>
      <c r="T71" t="s">
        <v>37</v>
      </c>
      <c r="U71" t="s">
        <v>2401</v>
      </c>
      <c r="V71">
        <v>2025</v>
      </c>
      <c r="W71">
        <v>1</v>
      </c>
    </row>
    <row r="72" spans="1:23" x14ac:dyDescent="0.25">
      <c r="A72" t="s">
        <v>987</v>
      </c>
      <c r="B72">
        <v>45668.920104166667</v>
      </c>
      <c r="C72" t="s">
        <v>211</v>
      </c>
      <c r="D72" t="s">
        <v>49</v>
      </c>
      <c r="E72" t="s">
        <v>85</v>
      </c>
      <c r="F72" t="s">
        <v>2394</v>
      </c>
      <c r="G72" t="s">
        <v>2377</v>
      </c>
      <c r="H72">
        <v>35000</v>
      </c>
      <c r="I72">
        <v>3</v>
      </c>
      <c r="J72">
        <v>5</v>
      </c>
      <c r="K72">
        <v>105000</v>
      </c>
      <c r="L72">
        <v>5250</v>
      </c>
      <c r="M72">
        <v>99750</v>
      </c>
      <c r="N72">
        <v>43000</v>
      </c>
      <c r="O72">
        <v>142750</v>
      </c>
      <c r="P72" t="s">
        <v>29</v>
      </c>
      <c r="Q72" t="s">
        <v>2356</v>
      </c>
      <c r="R72" t="s">
        <v>46</v>
      </c>
      <c r="S72">
        <v>3</v>
      </c>
      <c r="T72" t="s">
        <v>24</v>
      </c>
      <c r="U72" t="s">
        <v>2401</v>
      </c>
      <c r="V72">
        <v>2025</v>
      </c>
      <c r="W72">
        <v>1</v>
      </c>
    </row>
    <row r="73" spans="1:23" x14ac:dyDescent="0.25">
      <c r="A73" t="s">
        <v>988</v>
      </c>
      <c r="B73">
        <v>45669.207800925928</v>
      </c>
      <c r="C73" t="s">
        <v>451</v>
      </c>
      <c r="D73" t="s">
        <v>116</v>
      </c>
      <c r="E73" t="s">
        <v>104</v>
      </c>
      <c r="F73" t="s">
        <v>2392</v>
      </c>
      <c r="G73" t="s">
        <v>2377</v>
      </c>
      <c r="H73">
        <v>30000</v>
      </c>
      <c r="I73">
        <v>2</v>
      </c>
      <c r="J73">
        <v>10</v>
      </c>
      <c r="K73">
        <v>60000</v>
      </c>
      <c r="L73">
        <v>6000</v>
      </c>
      <c r="M73">
        <v>54000</v>
      </c>
      <c r="N73">
        <v>72000</v>
      </c>
      <c r="O73">
        <v>126000</v>
      </c>
      <c r="P73" t="s">
        <v>63</v>
      </c>
      <c r="Q73" t="s">
        <v>2359</v>
      </c>
      <c r="R73" t="s">
        <v>30</v>
      </c>
      <c r="S73">
        <v>5</v>
      </c>
      <c r="T73" t="s">
        <v>24</v>
      </c>
      <c r="U73" t="s">
        <v>2401</v>
      </c>
      <c r="V73">
        <v>2025</v>
      </c>
      <c r="W73">
        <v>1</v>
      </c>
    </row>
    <row r="74" spans="1:23" x14ac:dyDescent="0.25">
      <c r="A74" t="s">
        <v>989</v>
      </c>
      <c r="B74">
        <v>45669.40253472222</v>
      </c>
      <c r="C74" t="s">
        <v>990</v>
      </c>
      <c r="D74" t="s">
        <v>173</v>
      </c>
      <c r="E74" t="s">
        <v>138</v>
      </c>
      <c r="F74" t="s">
        <v>2396</v>
      </c>
      <c r="G74" t="s">
        <v>2378</v>
      </c>
      <c r="H74">
        <v>17000</v>
      </c>
      <c r="I74">
        <v>4</v>
      </c>
      <c r="J74">
        <v>20</v>
      </c>
      <c r="K74">
        <v>68000</v>
      </c>
      <c r="L74">
        <v>13600</v>
      </c>
      <c r="M74">
        <v>54400</v>
      </c>
      <c r="N74">
        <v>49000</v>
      </c>
      <c r="O74">
        <v>103400</v>
      </c>
      <c r="P74" t="s">
        <v>22</v>
      </c>
      <c r="Q74" t="s">
        <v>2357</v>
      </c>
      <c r="R74" t="s">
        <v>82</v>
      </c>
      <c r="S74">
        <v>1</v>
      </c>
      <c r="T74" t="s">
        <v>24</v>
      </c>
      <c r="U74" t="s">
        <v>2401</v>
      </c>
      <c r="V74">
        <v>2025</v>
      </c>
      <c r="W74">
        <v>1</v>
      </c>
    </row>
    <row r="75" spans="1:23" x14ac:dyDescent="0.25">
      <c r="A75" t="s">
        <v>989</v>
      </c>
      <c r="B75">
        <v>45669.40253472222</v>
      </c>
      <c r="C75" t="s">
        <v>990</v>
      </c>
      <c r="D75" t="s">
        <v>173</v>
      </c>
      <c r="E75" t="s">
        <v>174</v>
      </c>
      <c r="F75" t="s">
        <v>2400</v>
      </c>
      <c r="G75" t="s">
        <v>2377</v>
      </c>
      <c r="H75">
        <v>10000</v>
      </c>
      <c r="I75">
        <v>4</v>
      </c>
      <c r="J75">
        <v>10</v>
      </c>
      <c r="K75">
        <v>40000</v>
      </c>
      <c r="L75">
        <v>4000</v>
      </c>
      <c r="M75">
        <v>36000</v>
      </c>
      <c r="N75">
        <v>0</v>
      </c>
      <c r="O75">
        <v>36000</v>
      </c>
      <c r="P75" t="s">
        <v>22</v>
      </c>
      <c r="Q75" t="s">
        <v>2357</v>
      </c>
      <c r="R75" t="s">
        <v>82</v>
      </c>
      <c r="S75">
        <v>1</v>
      </c>
      <c r="T75" t="s">
        <v>24</v>
      </c>
      <c r="U75" t="s">
        <v>2401</v>
      </c>
      <c r="V75">
        <v>2025</v>
      </c>
      <c r="W75">
        <v>1</v>
      </c>
    </row>
    <row r="76" spans="1:23" x14ac:dyDescent="0.25">
      <c r="A76" t="s">
        <v>991</v>
      </c>
      <c r="B76">
        <v>45669.504074074073</v>
      </c>
      <c r="C76" t="s">
        <v>983</v>
      </c>
      <c r="D76" t="s">
        <v>262</v>
      </c>
      <c r="E76" t="s">
        <v>104</v>
      </c>
      <c r="F76" t="s">
        <v>2392</v>
      </c>
      <c r="G76" t="s">
        <v>2377</v>
      </c>
      <c r="H76">
        <v>30000</v>
      </c>
      <c r="I76">
        <v>5</v>
      </c>
      <c r="J76">
        <v>5</v>
      </c>
      <c r="K76">
        <v>150000</v>
      </c>
      <c r="L76">
        <v>7500</v>
      </c>
      <c r="M76">
        <v>142500</v>
      </c>
      <c r="N76">
        <v>18000</v>
      </c>
      <c r="O76">
        <v>160500</v>
      </c>
      <c r="P76" t="s">
        <v>22</v>
      </c>
      <c r="Q76" t="s">
        <v>2359</v>
      </c>
      <c r="R76" t="s">
        <v>23</v>
      </c>
      <c r="S76">
        <v>4</v>
      </c>
      <c r="T76" t="s">
        <v>37</v>
      </c>
      <c r="U76" t="s">
        <v>2401</v>
      </c>
      <c r="V76">
        <v>2025</v>
      </c>
      <c r="W76">
        <v>1</v>
      </c>
    </row>
    <row r="77" spans="1:23" x14ac:dyDescent="0.25">
      <c r="A77" t="s">
        <v>992</v>
      </c>
      <c r="B77">
        <v>45669.956365740742</v>
      </c>
      <c r="C77" t="s">
        <v>277</v>
      </c>
      <c r="D77" t="s">
        <v>119</v>
      </c>
      <c r="E77" t="s">
        <v>110</v>
      </c>
      <c r="F77" t="s">
        <v>2395</v>
      </c>
      <c r="G77" t="s">
        <v>2379</v>
      </c>
      <c r="H77">
        <v>6000</v>
      </c>
      <c r="I77">
        <v>2</v>
      </c>
      <c r="J77">
        <v>0</v>
      </c>
      <c r="K77">
        <v>12000</v>
      </c>
      <c r="L77">
        <v>0</v>
      </c>
      <c r="M77">
        <v>12000</v>
      </c>
      <c r="N77">
        <v>0</v>
      </c>
      <c r="O77">
        <v>12000</v>
      </c>
      <c r="P77" t="s">
        <v>35</v>
      </c>
      <c r="Q77" t="s">
        <v>2357</v>
      </c>
      <c r="R77" t="s">
        <v>46</v>
      </c>
      <c r="S77">
        <v>5</v>
      </c>
      <c r="T77" t="s">
        <v>24</v>
      </c>
      <c r="U77" t="s">
        <v>2401</v>
      </c>
      <c r="V77">
        <v>2025</v>
      </c>
      <c r="W77">
        <v>1</v>
      </c>
    </row>
    <row r="78" spans="1:23" x14ac:dyDescent="0.25">
      <c r="A78" t="s">
        <v>993</v>
      </c>
      <c r="B78">
        <v>45670.63726851852</v>
      </c>
      <c r="C78" t="s">
        <v>551</v>
      </c>
      <c r="D78" t="s">
        <v>262</v>
      </c>
      <c r="E78" t="s">
        <v>144</v>
      </c>
      <c r="F78" t="s">
        <v>2396</v>
      </c>
      <c r="G78" t="s">
        <v>2379</v>
      </c>
      <c r="H78">
        <v>18000</v>
      </c>
      <c r="I78">
        <v>4</v>
      </c>
      <c r="J78">
        <v>10</v>
      </c>
      <c r="K78">
        <v>72000</v>
      </c>
      <c r="L78">
        <v>7200</v>
      </c>
      <c r="M78">
        <v>64800</v>
      </c>
      <c r="N78">
        <v>18000</v>
      </c>
      <c r="O78">
        <v>82800</v>
      </c>
      <c r="P78" t="s">
        <v>22</v>
      </c>
      <c r="Q78" t="s">
        <v>2357</v>
      </c>
      <c r="R78" t="s">
        <v>46</v>
      </c>
      <c r="S78">
        <v>3</v>
      </c>
      <c r="T78" t="s">
        <v>37</v>
      </c>
      <c r="U78" t="s">
        <v>2401</v>
      </c>
      <c r="V78">
        <v>2025</v>
      </c>
      <c r="W78">
        <v>1</v>
      </c>
    </row>
    <row r="79" spans="1:23" x14ac:dyDescent="0.25">
      <c r="A79" t="s">
        <v>994</v>
      </c>
      <c r="B79">
        <v>45670.812037037038</v>
      </c>
      <c r="C79" t="s">
        <v>340</v>
      </c>
      <c r="D79" t="s">
        <v>126</v>
      </c>
      <c r="E79" t="s">
        <v>34</v>
      </c>
      <c r="F79" t="s">
        <v>2397</v>
      </c>
      <c r="G79" t="s">
        <v>2377</v>
      </c>
      <c r="H79">
        <v>16000</v>
      </c>
      <c r="I79">
        <v>5</v>
      </c>
      <c r="J79">
        <v>0</v>
      </c>
      <c r="K79">
        <v>80000</v>
      </c>
      <c r="L79">
        <v>0</v>
      </c>
      <c r="M79">
        <v>80000</v>
      </c>
      <c r="N79">
        <v>84000</v>
      </c>
      <c r="O79">
        <v>164000</v>
      </c>
      <c r="P79" t="s">
        <v>63</v>
      </c>
      <c r="Q79" t="s">
        <v>2357</v>
      </c>
      <c r="R79" t="s">
        <v>46</v>
      </c>
      <c r="S79">
        <v>3</v>
      </c>
      <c r="T79" t="s">
        <v>37</v>
      </c>
      <c r="U79" t="s">
        <v>2401</v>
      </c>
      <c r="V79">
        <v>2025</v>
      </c>
      <c r="W79">
        <v>1</v>
      </c>
    </row>
    <row r="80" spans="1:23" x14ac:dyDescent="0.25">
      <c r="A80" t="s">
        <v>995</v>
      </c>
      <c r="B80">
        <v>45670.892187500001</v>
      </c>
      <c r="C80" t="s">
        <v>739</v>
      </c>
      <c r="D80" t="s">
        <v>177</v>
      </c>
      <c r="E80" t="s">
        <v>93</v>
      </c>
      <c r="F80" t="s">
        <v>2399</v>
      </c>
      <c r="G80" t="s">
        <v>2378</v>
      </c>
      <c r="H80">
        <v>25000</v>
      </c>
      <c r="I80">
        <v>3</v>
      </c>
      <c r="J80">
        <v>0</v>
      </c>
      <c r="K80">
        <v>75000</v>
      </c>
      <c r="L80">
        <v>0</v>
      </c>
      <c r="M80">
        <v>75000</v>
      </c>
      <c r="N80">
        <v>56000</v>
      </c>
      <c r="O80">
        <v>131000</v>
      </c>
      <c r="P80" t="s">
        <v>22</v>
      </c>
      <c r="Q80" t="s">
        <v>2357</v>
      </c>
      <c r="R80" t="s">
        <v>46</v>
      </c>
      <c r="S80">
        <v>3</v>
      </c>
      <c r="T80" t="s">
        <v>24</v>
      </c>
      <c r="U80" t="s">
        <v>2401</v>
      </c>
      <c r="V80">
        <v>2025</v>
      </c>
      <c r="W80">
        <v>1</v>
      </c>
    </row>
    <row r="81" spans="1:23" x14ac:dyDescent="0.25">
      <c r="A81" t="s">
        <v>996</v>
      </c>
      <c r="B81">
        <v>45671.350092592591</v>
      </c>
      <c r="C81" t="s">
        <v>836</v>
      </c>
      <c r="D81" t="s">
        <v>33</v>
      </c>
      <c r="E81" t="s">
        <v>71</v>
      </c>
      <c r="F81" t="s">
        <v>2392</v>
      </c>
      <c r="G81" t="s">
        <v>2379</v>
      </c>
      <c r="H81">
        <v>40000</v>
      </c>
      <c r="I81">
        <v>5</v>
      </c>
      <c r="J81">
        <v>10</v>
      </c>
      <c r="K81">
        <v>200000</v>
      </c>
      <c r="L81">
        <v>20000</v>
      </c>
      <c r="M81">
        <v>180000</v>
      </c>
      <c r="N81">
        <v>76000</v>
      </c>
      <c r="O81">
        <v>256000</v>
      </c>
      <c r="P81" t="s">
        <v>63</v>
      </c>
      <c r="Q81" t="s">
        <v>2359</v>
      </c>
      <c r="R81" t="s">
        <v>23</v>
      </c>
      <c r="S81">
        <v>5</v>
      </c>
      <c r="T81" t="s">
        <v>37</v>
      </c>
      <c r="U81" t="s">
        <v>2401</v>
      </c>
      <c r="V81">
        <v>2025</v>
      </c>
      <c r="W81">
        <v>1</v>
      </c>
    </row>
    <row r="82" spans="1:23" x14ac:dyDescent="0.25">
      <c r="A82" t="s">
        <v>997</v>
      </c>
      <c r="B82">
        <v>45671.418981481482</v>
      </c>
      <c r="C82" t="s">
        <v>60</v>
      </c>
      <c r="D82" t="s">
        <v>61</v>
      </c>
      <c r="E82" t="s">
        <v>136</v>
      </c>
      <c r="F82" t="s">
        <v>2400</v>
      </c>
      <c r="G82" t="s">
        <v>2378</v>
      </c>
      <c r="H82">
        <v>12000</v>
      </c>
      <c r="I82">
        <v>4</v>
      </c>
      <c r="J82">
        <v>0</v>
      </c>
      <c r="K82">
        <v>48000</v>
      </c>
      <c r="L82">
        <v>0</v>
      </c>
      <c r="M82">
        <v>48000</v>
      </c>
      <c r="N82">
        <v>26000</v>
      </c>
      <c r="O82">
        <v>74000</v>
      </c>
      <c r="P82" t="s">
        <v>22</v>
      </c>
      <c r="Q82" t="s">
        <v>2357</v>
      </c>
      <c r="R82" t="s">
        <v>36</v>
      </c>
      <c r="S82">
        <v>2</v>
      </c>
      <c r="T82" t="s">
        <v>24</v>
      </c>
      <c r="U82" t="s">
        <v>2401</v>
      </c>
      <c r="V82">
        <v>2025</v>
      </c>
      <c r="W82">
        <v>1</v>
      </c>
    </row>
    <row r="83" spans="1:23" x14ac:dyDescent="0.25">
      <c r="A83" t="s">
        <v>998</v>
      </c>
      <c r="B83">
        <v>45671.572476851848</v>
      </c>
      <c r="C83" t="s">
        <v>79</v>
      </c>
      <c r="D83" t="s">
        <v>80</v>
      </c>
      <c r="E83" t="s">
        <v>75</v>
      </c>
      <c r="F83" t="s">
        <v>2398</v>
      </c>
      <c r="G83" t="s">
        <v>2379</v>
      </c>
      <c r="H83">
        <v>55000</v>
      </c>
      <c r="I83">
        <v>5</v>
      </c>
      <c r="J83">
        <v>20</v>
      </c>
      <c r="K83">
        <v>275000</v>
      </c>
      <c r="L83">
        <v>55000</v>
      </c>
      <c r="M83">
        <v>220000</v>
      </c>
      <c r="N83">
        <v>74000</v>
      </c>
      <c r="O83">
        <v>294000</v>
      </c>
      <c r="P83" t="s">
        <v>35</v>
      </c>
      <c r="Q83" t="s">
        <v>2357</v>
      </c>
      <c r="R83" t="s">
        <v>82</v>
      </c>
      <c r="S83">
        <v>4</v>
      </c>
      <c r="T83" t="s">
        <v>24</v>
      </c>
      <c r="U83" t="s">
        <v>2401</v>
      </c>
      <c r="V83">
        <v>2025</v>
      </c>
      <c r="W83">
        <v>1</v>
      </c>
    </row>
    <row r="84" spans="1:23" x14ac:dyDescent="0.25">
      <c r="A84" t="s">
        <v>999</v>
      </c>
      <c r="B84">
        <v>45671.795902777783</v>
      </c>
      <c r="C84" t="s">
        <v>353</v>
      </c>
      <c r="D84" t="s">
        <v>66</v>
      </c>
      <c r="E84" t="s">
        <v>34</v>
      </c>
      <c r="F84" t="s">
        <v>2397</v>
      </c>
      <c r="G84" t="s">
        <v>2377</v>
      </c>
      <c r="H84">
        <v>16000</v>
      </c>
      <c r="I84">
        <v>4</v>
      </c>
      <c r="J84">
        <v>0</v>
      </c>
      <c r="K84">
        <v>64000</v>
      </c>
      <c r="L84">
        <v>0</v>
      </c>
      <c r="M84">
        <v>64000</v>
      </c>
      <c r="N84">
        <v>59000</v>
      </c>
      <c r="O84">
        <v>123000</v>
      </c>
      <c r="P84" t="s">
        <v>35</v>
      </c>
      <c r="Q84" t="s">
        <v>2357</v>
      </c>
      <c r="R84" t="s">
        <v>82</v>
      </c>
      <c r="S84">
        <v>2</v>
      </c>
      <c r="T84" t="s">
        <v>24</v>
      </c>
      <c r="U84" t="s">
        <v>2401</v>
      </c>
      <c r="V84">
        <v>2025</v>
      </c>
      <c r="W84">
        <v>1</v>
      </c>
    </row>
    <row r="85" spans="1:23" x14ac:dyDescent="0.25">
      <c r="A85" t="s">
        <v>1000</v>
      </c>
      <c r="B85">
        <v>45671.801307870373</v>
      </c>
      <c r="C85" t="s">
        <v>118</v>
      </c>
      <c r="D85" t="s">
        <v>119</v>
      </c>
      <c r="E85" t="s">
        <v>28</v>
      </c>
      <c r="F85" t="s">
        <v>2395</v>
      </c>
      <c r="G85" t="s">
        <v>2378</v>
      </c>
      <c r="H85">
        <v>5000</v>
      </c>
      <c r="I85">
        <v>4</v>
      </c>
      <c r="J85">
        <v>5</v>
      </c>
      <c r="K85">
        <v>20000</v>
      </c>
      <c r="L85">
        <v>1000</v>
      </c>
      <c r="M85">
        <v>19000</v>
      </c>
      <c r="N85">
        <v>0</v>
      </c>
      <c r="O85">
        <v>19000</v>
      </c>
      <c r="P85" t="s">
        <v>63</v>
      </c>
      <c r="Q85" t="s">
        <v>2357</v>
      </c>
      <c r="R85" t="s">
        <v>46</v>
      </c>
      <c r="S85">
        <v>3</v>
      </c>
      <c r="T85" t="s">
        <v>24</v>
      </c>
      <c r="U85" t="s">
        <v>2401</v>
      </c>
      <c r="V85">
        <v>2025</v>
      </c>
      <c r="W85">
        <v>1</v>
      </c>
    </row>
    <row r="86" spans="1:23" x14ac:dyDescent="0.25">
      <c r="A86" t="s">
        <v>1001</v>
      </c>
      <c r="B86">
        <v>45672.026736111111</v>
      </c>
      <c r="C86" t="s">
        <v>441</v>
      </c>
      <c r="D86" t="s">
        <v>116</v>
      </c>
      <c r="E86" t="s">
        <v>38</v>
      </c>
      <c r="F86" t="s">
        <v>2399</v>
      </c>
      <c r="G86" t="s">
        <v>2379</v>
      </c>
      <c r="H86">
        <v>28000</v>
      </c>
      <c r="I86">
        <v>2</v>
      </c>
      <c r="J86">
        <v>20</v>
      </c>
      <c r="K86">
        <v>56000</v>
      </c>
      <c r="L86">
        <v>11200</v>
      </c>
      <c r="M86">
        <v>44800</v>
      </c>
      <c r="N86">
        <v>72000</v>
      </c>
      <c r="O86">
        <v>116800</v>
      </c>
      <c r="P86" t="s">
        <v>29</v>
      </c>
      <c r="Q86" t="s">
        <v>2357</v>
      </c>
      <c r="R86" t="s">
        <v>23</v>
      </c>
      <c r="S86">
        <v>2</v>
      </c>
      <c r="T86" t="s">
        <v>37</v>
      </c>
      <c r="U86" t="s">
        <v>2401</v>
      </c>
      <c r="V86">
        <v>2025</v>
      </c>
      <c r="W86">
        <v>1</v>
      </c>
    </row>
    <row r="87" spans="1:23" x14ac:dyDescent="0.25">
      <c r="A87" t="s">
        <v>1002</v>
      </c>
      <c r="B87">
        <v>45672.244618055563</v>
      </c>
      <c r="C87" t="s">
        <v>1003</v>
      </c>
      <c r="D87" t="s">
        <v>262</v>
      </c>
      <c r="E87" t="s">
        <v>38</v>
      </c>
      <c r="F87" t="s">
        <v>2399</v>
      </c>
      <c r="G87" t="s">
        <v>2379</v>
      </c>
      <c r="H87">
        <v>28000</v>
      </c>
      <c r="I87">
        <v>3</v>
      </c>
      <c r="J87">
        <v>0</v>
      </c>
      <c r="K87">
        <v>84000</v>
      </c>
      <c r="L87">
        <v>0</v>
      </c>
      <c r="M87">
        <v>84000</v>
      </c>
      <c r="N87">
        <v>18000</v>
      </c>
      <c r="O87">
        <v>102000</v>
      </c>
      <c r="P87" t="s">
        <v>22</v>
      </c>
      <c r="Q87" t="s">
        <v>2357</v>
      </c>
      <c r="R87" t="s">
        <v>82</v>
      </c>
      <c r="S87">
        <v>1</v>
      </c>
      <c r="T87" t="s">
        <v>24</v>
      </c>
      <c r="U87" t="s">
        <v>2401</v>
      </c>
      <c r="V87">
        <v>2025</v>
      </c>
      <c r="W87">
        <v>1</v>
      </c>
    </row>
    <row r="88" spans="1:23" x14ac:dyDescent="0.25">
      <c r="A88" t="s">
        <v>1004</v>
      </c>
      <c r="B88">
        <v>45672.429814814823</v>
      </c>
      <c r="C88" t="s">
        <v>1005</v>
      </c>
      <c r="D88" t="s">
        <v>122</v>
      </c>
      <c r="E88" t="s">
        <v>71</v>
      </c>
      <c r="F88" t="s">
        <v>2392</v>
      </c>
      <c r="G88" t="s">
        <v>2379</v>
      </c>
      <c r="H88">
        <v>40000</v>
      </c>
      <c r="I88">
        <v>1</v>
      </c>
      <c r="J88">
        <v>0</v>
      </c>
      <c r="K88">
        <v>40000</v>
      </c>
      <c r="L88">
        <v>0</v>
      </c>
      <c r="M88">
        <v>40000</v>
      </c>
      <c r="N88">
        <v>78000</v>
      </c>
      <c r="O88">
        <v>118000</v>
      </c>
      <c r="P88" t="s">
        <v>35</v>
      </c>
      <c r="Q88" t="s">
        <v>2357</v>
      </c>
      <c r="R88" t="s">
        <v>23</v>
      </c>
      <c r="S88">
        <v>5</v>
      </c>
      <c r="T88" t="s">
        <v>24</v>
      </c>
      <c r="U88" t="s">
        <v>2401</v>
      </c>
      <c r="V88">
        <v>2025</v>
      </c>
      <c r="W88">
        <v>1</v>
      </c>
    </row>
    <row r="89" spans="1:23" x14ac:dyDescent="0.25">
      <c r="A89" t="s">
        <v>1006</v>
      </c>
      <c r="B89">
        <v>45672.551921296297</v>
      </c>
      <c r="C89" t="s">
        <v>525</v>
      </c>
      <c r="D89" t="s">
        <v>96</v>
      </c>
      <c r="E89" t="s">
        <v>34</v>
      </c>
      <c r="F89" t="s">
        <v>2397</v>
      </c>
      <c r="G89" t="s">
        <v>2377</v>
      </c>
      <c r="H89">
        <v>16000</v>
      </c>
      <c r="I89">
        <v>3</v>
      </c>
      <c r="J89">
        <v>0</v>
      </c>
      <c r="K89">
        <v>48000</v>
      </c>
      <c r="L89">
        <v>0</v>
      </c>
      <c r="M89">
        <v>48000</v>
      </c>
      <c r="N89">
        <v>49000</v>
      </c>
      <c r="O89">
        <v>97000</v>
      </c>
      <c r="P89" t="s">
        <v>35</v>
      </c>
      <c r="Q89" t="s">
        <v>2357</v>
      </c>
      <c r="R89" t="s">
        <v>46</v>
      </c>
      <c r="S89">
        <v>3</v>
      </c>
      <c r="T89" t="s">
        <v>24</v>
      </c>
      <c r="U89" t="s">
        <v>2401</v>
      </c>
      <c r="V89">
        <v>2025</v>
      </c>
      <c r="W89">
        <v>1</v>
      </c>
    </row>
    <row r="90" spans="1:23" x14ac:dyDescent="0.25">
      <c r="A90" t="s">
        <v>1007</v>
      </c>
      <c r="B90">
        <v>45672.572013888886</v>
      </c>
      <c r="C90" t="s">
        <v>457</v>
      </c>
      <c r="D90" t="s">
        <v>80</v>
      </c>
      <c r="E90" t="s">
        <v>50</v>
      </c>
      <c r="F90" t="s">
        <v>2400</v>
      </c>
      <c r="G90" t="s">
        <v>2379</v>
      </c>
      <c r="H90">
        <v>14000</v>
      </c>
      <c r="I90">
        <v>5</v>
      </c>
      <c r="J90">
        <v>5</v>
      </c>
      <c r="K90">
        <v>70000</v>
      </c>
      <c r="L90">
        <v>3500</v>
      </c>
      <c r="M90">
        <v>66500</v>
      </c>
      <c r="N90">
        <v>74000</v>
      </c>
      <c r="O90">
        <v>140500</v>
      </c>
      <c r="P90" t="s">
        <v>22</v>
      </c>
      <c r="Q90" t="s">
        <v>2357</v>
      </c>
      <c r="R90" t="s">
        <v>36</v>
      </c>
      <c r="S90">
        <v>2</v>
      </c>
      <c r="T90" t="s">
        <v>24</v>
      </c>
      <c r="U90" t="s">
        <v>2401</v>
      </c>
      <c r="V90">
        <v>2025</v>
      </c>
      <c r="W90">
        <v>1</v>
      </c>
    </row>
    <row r="91" spans="1:23" x14ac:dyDescent="0.25">
      <c r="A91" t="s">
        <v>1008</v>
      </c>
      <c r="B91">
        <v>45672.579664351862</v>
      </c>
      <c r="C91" t="s">
        <v>389</v>
      </c>
      <c r="D91" t="s">
        <v>182</v>
      </c>
      <c r="E91" t="s">
        <v>93</v>
      </c>
      <c r="F91" t="s">
        <v>2399</v>
      </c>
      <c r="G91" t="s">
        <v>2378</v>
      </c>
      <c r="H91">
        <v>25000</v>
      </c>
      <c r="I91">
        <v>3</v>
      </c>
      <c r="J91">
        <v>0</v>
      </c>
      <c r="K91">
        <v>75000</v>
      </c>
      <c r="L91">
        <v>0</v>
      </c>
      <c r="M91">
        <v>75000</v>
      </c>
      <c r="N91">
        <v>48000</v>
      </c>
      <c r="O91">
        <v>123000</v>
      </c>
      <c r="P91" t="s">
        <v>22</v>
      </c>
      <c r="Q91" t="s">
        <v>2357</v>
      </c>
      <c r="R91" t="s">
        <v>30</v>
      </c>
      <c r="S91">
        <v>4</v>
      </c>
      <c r="T91" t="s">
        <v>24</v>
      </c>
      <c r="U91" t="s">
        <v>2401</v>
      </c>
      <c r="V91">
        <v>2025</v>
      </c>
      <c r="W91">
        <v>1</v>
      </c>
    </row>
    <row r="92" spans="1:23" x14ac:dyDescent="0.25">
      <c r="A92" t="s">
        <v>1009</v>
      </c>
      <c r="B92">
        <v>45672.77065972222</v>
      </c>
      <c r="C92" t="s">
        <v>43</v>
      </c>
      <c r="D92" t="s">
        <v>44</v>
      </c>
      <c r="E92" t="s">
        <v>85</v>
      </c>
      <c r="F92" t="s">
        <v>2394</v>
      </c>
      <c r="G92" t="s">
        <v>2377</v>
      </c>
      <c r="H92">
        <v>35000</v>
      </c>
      <c r="I92">
        <v>3</v>
      </c>
      <c r="J92">
        <v>10</v>
      </c>
      <c r="K92">
        <v>105000</v>
      </c>
      <c r="L92">
        <v>10500</v>
      </c>
      <c r="M92">
        <v>94500</v>
      </c>
      <c r="N92">
        <v>93000</v>
      </c>
      <c r="O92">
        <v>187500</v>
      </c>
      <c r="P92" t="s">
        <v>29</v>
      </c>
      <c r="Q92" t="s">
        <v>2357</v>
      </c>
      <c r="R92" t="s">
        <v>30</v>
      </c>
      <c r="S92">
        <v>4</v>
      </c>
      <c r="T92" t="s">
        <v>24</v>
      </c>
      <c r="U92" t="s">
        <v>2401</v>
      </c>
      <c r="V92">
        <v>2025</v>
      </c>
      <c r="W92">
        <v>1</v>
      </c>
    </row>
    <row r="93" spans="1:23" x14ac:dyDescent="0.25">
      <c r="A93" t="s">
        <v>1010</v>
      </c>
      <c r="B93">
        <v>45673.124606481477</v>
      </c>
      <c r="C93" t="s">
        <v>201</v>
      </c>
      <c r="D93" t="s">
        <v>107</v>
      </c>
      <c r="E93" t="s">
        <v>104</v>
      </c>
      <c r="F93" t="s">
        <v>2392</v>
      </c>
      <c r="G93" t="s">
        <v>2377</v>
      </c>
      <c r="H93">
        <v>30000</v>
      </c>
      <c r="I93">
        <v>3</v>
      </c>
      <c r="J93">
        <v>5</v>
      </c>
      <c r="K93">
        <v>90000</v>
      </c>
      <c r="L93">
        <v>4500</v>
      </c>
      <c r="M93">
        <v>85500</v>
      </c>
      <c r="N93">
        <v>97000</v>
      </c>
      <c r="O93">
        <v>182500</v>
      </c>
      <c r="P93" t="s">
        <v>29</v>
      </c>
      <c r="Q93" t="s">
        <v>2357</v>
      </c>
      <c r="R93" t="s">
        <v>30</v>
      </c>
      <c r="S93">
        <v>5</v>
      </c>
      <c r="T93" t="s">
        <v>24</v>
      </c>
      <c r="U93" t="s">
        <v>2401</v>
      </c>
      <c r="V93">
        <v>2025</v>
      </c>
      <c r="W93">
        <v>1</v>
      </c>
    </row>
    <row r="94" spans="1:23" x14ac:dyDescent="0.25">
      <c r="A94" t="s">
        <v>1010</v>
      </c>
      <c r="B94">
        <v>45673.124606481477</v>
      </c>
      <c r="C94" t="s">
        <v>201</v>
      </c>
      <c r="D94" t="s">
        <v>107</v>
      </c>
      <c r="E94" t="s">
        <v>41</v>
      </c>
      <c r="F94" t="s">
        <v>2395</v>
      </c>
      <c r="G94" t="s">
        <v>2377</v>
      </c>
      <c r="H94">
        <v>4000</v>
      </c>
      <c r="I94">
        <v>2</v>
      </c>
      <c r="J94">
        <v>15</v>
      </c>
      <c r="K94">
        <v>8000</v>
      </c>
      <c r="L94">
        <v>1200</v>
      </c>
      <c r="M94">
        <v>6800</v>
      </c>
      <c r="N94">
        <v>0</v>
      </c>
      <c r="O94">
        <v>6800</v>
      </c>
      <c r="P94" t="s">
        <v>29</v>
      </c>
      <c r="Q94" t="s">
        <v>2357</v>
      </c>
      <c r="R94" t="s">
        <v>30</v>
      </c>
      <c r="S94">
        <v>5</v>
      </c>
      <c r="T94" t="s">
        <v>24</v>
      </c>
      <c r="U94" t="s">
        <v>2401</v>
      </c>
      <c r="V94">
        <v>2025</v>
      </c>
      <c r="W94">
        <v>1</v>
      </c>
    </row>
    <row r="95" spans="1:23" x14ac:dyDescent="0.25">
      <c r="A95" t="s">
        <v>1011</v>
      </c>
      <c r="B95">
        <v>45673.358749999999</v>
      </c>
      <c r="C95" t="s">
        <v>1012</v>
      </c>
      <c r="D95" t="s">
        <v>177</v>
      </c>
      <c r="E95" t="s">
        <v>62</v>
      </c>
      <c r="F95" t="s">
        <v>2398</v>
      </c>
      <c r="G95" t="s">
        <v>2378</v>
      </c>
      <c r="H95">
        <v>50000</v>
      </c>
      <c r="I95">
        <v>2</v>
      </c>
      <c r="J95">
        <v>10</v>
      </c>
      <c r="K95">
        <v>100000</v>
      </c>
      <c r="L95">
        <v>10000</v>
      </c>
      <c r="M95">
        <v>90000</v>
      </c>
      <c r="N95">
        <v>56000</v>
      </c>
      <c r="O95">
        <v>146000</v>
      </c>
      <c r="P95" t="s">
        <v>29</v>
      </c>
      <c r="Q95" t="s">
        <v>2357</v>
      </c>
      <c r="R95" t="s">
        <v>46</v>
      </c>
      <c r="S95">
        <v>5</v>
      </c>
      <c r="T95" t="s">
        <v>37</v>
      </c>
      <c r="U95" t="s">
        <v>2401</v>
      </c>
      <c r="V95">
        <v>2025</v>
      </c>
      <c r="W95">
        <v>1</v>
      </c>
    </row>
    <row r="96" spans="1:23" x14ac:dyDescent="0.25">
      <c r="A96" t="s">
        <v>1013</v>
      </c>
      <c r="B96">
        <v>45673.649826388893</v>
      </c>
      <c r="C96" t="s">
        <v>446</v>
      </c>
      <c r="D96" t="s">
        <v>296</v>
      </c>
      <c r="E96" t="s">
        <v>38</v>
      </c>
      <c r="F96" t="s">
        <v>2399</v>
      </c>
      <c r="G96" t="s">
        <v>2379</v>
      </c>
      <c r="H96">
        <v>28000</v>
      </c>
      <c r="I96">
        <v>2</v>
      </c>
      <c r="J96">
        <v>20</v>
      </c>
      <c r="K96">
        <v>56000</v>
      </c>
      <c r="L96">
        <v>11200</v>
      </c>
      <c r="M96">
        <v>44800</v>
      </c>
      <c r="N96">
        <v>79000</v>
      </c>
      <c r="O96">
        <v>123800</v>
      </c>
      <c r="P96" t="s">
        <v>63</v>
      </c>
      <c r="Q96" t="s">
        <v>2356</v>
      </c>
      <c r="R96" t="s">
        <v>82</v>
      </c>
      <c r="S96">
        <v>3</v>
      </c>
      <c r="T96" t="s">
        <v>37</v>
      </c>
      <c r="U96" t="s">
        <v>2401</v>
      </c>
      <c r="V96">
        <v>2025</v>
      </c>
      <c r="W96">
        <v>1</v>
      </c>
    </row>
    <row r="97" spans="1:23" x14ac:dyDescent="0.25">
      <c r="A97" t="s">
        <v>1014</v>
      </c>
      <c r="B97">
        <v>45673.654374999998</v>
      </c>
      <c r="C97" t="s">
        <v>711</v>
      </c>
      <c r="D97" t="s">
        <v>177</v>
      </c>
      <c r="E97" t="s">
        <v>123</v>
      </c>
      <c r="F97" t="s">
        <v>2399</v>
      </c>
      <c r="G97" t="s">
        <v>2377</v>
      </c>
      <c r="H97">
        <v>22000</v>
      </c>
      <c r="I97">
        <v>4</v>
      </c>
      <c r="J97">
        <v>15</v>
      </c>
      <c r="K97">
        <v>88000</v>
      </c>
      <c r="L97">
        <v>13200</v>
      </c>
      <c r="M97">
        <v>74800</v>
      </c>
      <c r="N97">
        <v>56000</v>
      </c>
      <c r="O97">
        <v>130800</v>
      </c>
      <c r="P97" t="s">
        <v>63</v>
      </c>
      <c r="Q97" t="s">
        <v>2357</v>
      </c>
      <c r="R97" t="s">
        <v>82</v>
      </c>
      <c r="S97">
        <v>4</v>
      </c>
      <c r="T97" t="s">
        <v>24</v>
      </c>
      <c r="U97" t="s">
        <v>2401</v>
      </c>
      <c r="V97">
        <v>2025</v>
      </c>
      <c r="W97">
        <v>1</v>
      </c>
    </row>
    <row r="98" spans="1:23" x14ac:dyDescent="0.25">
      <c r="A98" t="s">
        <v>1015</v>
      </c>
      <c r="B98">
        <v>45673.704085648147</v>
      </c>
      <c r="C98" t="s">
        <v>323</v>
      </c>
      <c r="D98" t="s">
        <v>103</v>
      </c>
      <c r="E98" t="s">
        <v>21</v>
      </c>
      <c r="F98" t="s">
        <v>2394</v>
      </c>
      <c r="G98" t="s">
        <v>2379</v>
      </c>
      <c r="H98">
        <v>45000</v>
      </c>
      <c r="I98">
        <v>3</v>
      </c>
      <c r="J98">
        <v>10</v>
      </c>
      <c r="K98">
        <v>135000</v>
      </c>
      <c r="L98">
        <v>13500</v>
      </c>
      <c r="M98">
        <v>121500</v>
      </c>
      <c r="N98">
        <v>85000</v>
      </c>
      <c r="O98">
        <v>206500</v>
      </c>
      <c r="P98" t="s">
        <v>22</v>
      </c>
      <c r="Q98" t="s">
        <v>2357</v>
      </c>
      <c r="R98" t="s">
        <v>30</v>
      </c>
      <c r="S98">
        <v>2</v>
      </c>
      <c r="T98" t="s">
        <v>24</v>
      </c>
      <c r="U98" t="s">
        <v>2401</v>
      </c>
      <c r="V98">
        <v>2025</v>
      </c>
      <c r="W98">
        <v>1</v>
      </c>
    </row>
    <row r="99" spans="1:23" x14ac:dyDescent="0.25">
      <c r="A99" t="s">
        <v>1016</v>
      </c>
      <c r="B99">
        <v>45673.794293981482</v>
      </c>
      <c r="C99" t="s">
        <v>495</v>
      </c>
      <c r="D99" t="s">
        <v>44</v>
      </c>
      <c r="E99" t="s">
        <v>144</v>
      </c>
      <c r="F99" t="s">
        <v>2396</v>
      </c>
      <c r="G99" t="s">
        <v>2379</v>
      </c>
      <c r="H99">
        <v>18000</v>
      </c>
      <c r="I99">
        <v>1</v>
      </c>
      <c r="J99">
        <v>20</v>
      </c>
      <c r="K99">
        <v>18000</v>
      </c>
      <c r="L99">
        <v>3600</v>
      </c>
      <c r="M99">
        <v>14400</v>
      </c>
      <c r="N99">
        <v>93000</v>
      </c>
      <c r="O99">
        <v>107400</v>
      </c>
      <c r="P99" t="s">
        <v>35</v>
      </c>
      <c r="Q99" t="s">
        <v>2359</v>
      </c>
      <c r="R99" t="s">
        <v>23</v>
      </c>
      <c r="S99">
        <v>3</v>
      </c>
      <c r="T99" t="s">
        <v>37</v>
      </c>
      <c r="U99" t="s">
        <v>2401</v>
      </c>
      <c r="V99">
        <v>2025</v>
      </c>
      <c r="W99">
        <v>1</v>
      </c>
    </row>
    <row r="100" spans="1:23" x14ac:dyDescent="0.25">
      <c r="A100" t="s">
        <v>1017</v>
      </c>
      <c r="B100">
        <v>45673.907708333332</v>
      </c>
      <c r="C100" t="s">
        <v>722</v>
      </c>
      <c r="D100" t="s">
        <v>57</v>
      </c>
      <c r="E100" t="s">
        <v>38</v>
      </c>
      <c r="F100" t="s">
        <v>2399</v>
      </c>
      <c r="G100" t="s">
        <v>2379</v>
      </c>
      <c r="H100">
        <v>28000</v>
      </c>
      <c r="I100">
        <v>1</v>
      </c>
      <c r="J100">
        <v>5</v>
      </c>
      <c r="K100">
        <v>28000</v>
      </c>
      <c r="L100">
        <v>1400</v>
      </c>
      <c r="M100">
        <v>26600</v>
      </c>
      <c r="N100">
        <v>80000</v>
      </c>
      <c r="O100">
        <v>106600</v>
      </c>
      <c r="P100" t="s">
        <v>22</v>
      </c>
      <c r="Q100" t="s">
        <v>2357</v>
      </c>
      <c r="R100" t="s">
        <v>46</v>
      </c>
      <c r="S100">
        <v>2</v>
      </c>
      <c r="T100" t="s">
        <v>24</v>
      </c>
      <c r="U100" t="s">
        <v>2401</v>
      </c>
      <c r="V100">
        <v>2025</v>
      </c>
      <c r="W100">
        <v>1</v>
      </c>
    </row>
    <row r="101" spans="1:23" x14ac:dyDescent="0.25">
      <c r="A101" t="s">
        <v>1018</v>
      </c>
      <c r="B101">
        <v>45674.179270833331</v>
      </c>
      <c r="C101" t="s">
        <v>412</v>
      </c>
      <c r="D101" t="s">
        <v>70</v>
      </c>
      <c r="E101" t="s">
        <v>110</v>
      </c>
      <c r="F101" t="s">
        <v>2395</v>
      </c>
      <c r="G101" t="s">
        <v>2379</v>
      </c>
      <c r="H101">
        <v>6000</v>
      </c>
      <c r="I101">
        <v>5</v>
      </c>
      <c r="J101">
        <v>20</v>
      </c>
      <c r="K101">
        <v>30000</v>
      </c>
      <c r="L101">
        <v>6000</v>
      </c>
      <c r="M101">
        <v>24000</v>
      </c>
      <c r="N101">
        <v>89000</v>
      </c>
      <c r="O101">
        <v>113000</v>
      </c>
      <c r="P101" t="s">
        <v>22</v>
      </c>
      <c r="Q101" t="s">
        <v>2357</v>
      </c>
      <c r="R101" t="s">
        <v>30</v>
      </c>
      <c r="S101">
        <v>5</v>
      </c>
      <c r="T101" t="s">
        <v>24</v>
      </c>
      <c r="U101" t="s">
        <v>2401</v>
      </c>
      <c r="V101">
        <v>2025</v>
      </c>
      <c r="W101">
        <v>1</v>
      </c>
    </row>
    <row r="102" spans="1:23" x14ac:dyDescent="0.25">
      <c r="A102" t="s">
        <v>1019</v>
      </c>
      <c r="B102">
        <v>45674.37940972222</v>
      </c>
      <c r="C102" t="s">
        <v>918</v>
      </c>
      <c r="D102" t="s">
        <v>296</v>
      </c>
      <c r="E102" t="s">
        <v>174</v>
      </c>
      <c r="F102" t="s">
        <v>2400</v>
      </c>
      <c r="G102" t="s">
        <v>2377</v>
      </c>
      <c r="H102">
        <v>10000</v>
      </c>
      <c r="I102">
        <v>4</v>
      </c>
      <c r="J102">
        <v>15</v>
      </c>
      <c r="K102">
        <v>40000</v>
      </c>
      <c r="L102">
        <v>6000</v>
      </c>
      <c r="M102">
        <v>34000</v>
      </c>
      <c r="N102">
        <v>79000</v>
      </c>
      <c r="O102">
        <v>113000</v>
      </c>
      <c r="P102" t="s">
        <v>63</v>
      </c>
      <c r="Q102" t="s">
        <v>2357</v>
      </c>
      <c r="R102" t="s">
        <v>30</v>
      </c>
      <c r="S102">
        <v>2</v>
      </c>
      <c r="T102" t="s">
        <v>24</v>
      </c>
      <c r="U102" t="s">
        <v>2401</v>
      </c>
      <c r="V102">
        <v>2025</v>
      </c>
      <c r="W102">
        <v>1</v>
      </c>
    </row>
    <row r="103" spans="1:23" x14ac:dyDescent="0.25">
      <c r="A103" t="s">
        <v>1020</v>
      </c>
      <c r="B103">
        <v>45674.63821759259</v>
      </c>
      <c r="C103" t="s">
        <v>656</v>
      </c>
      <c r="D103" t="s">
        <v>195</v>
      </c>
      <c r="E103" t="s">
        <v>67</v>
      </c>
      <c r="F103" t="s">
        <v>2393</v>
      </c>
      <c r="G103" t="s">
        <v>2378</v>
      </c>
      <c r="H103">
        <v>15000</v>
      </c>
      <c r="I103">
        <v>1</v>
      </c>
      <c r="J103">
        <v>0</v>
      </c>
      <c r="K103">
        <v>15000</v>
      </c>
      <c r="L103">
        <v>0</v>
      </c>
      <c r="M103">
        <v>15000</v>
      </c>
      <c r="N103">
        <v>87000</v>
      </c>
      <c r="O103">
        <v>102000</v>
      </c>
      <c r="P103" t="s">
        <v>35</v>
      </c>
      <c r="Q103" t="s">
        <v>2357</v>
      </c>
      <c r="R103" t="s">
        <v>30</v>
      </c>
      <c r="S103">
        <v>4</v>
      </c>
      <c r="T103" t="s">
        <v>37</v>
      </c>
      <c r="U103" t="s">
        <v>2401</v>
      </c>
      <c r="V103">
        <v>2025</v>
      </c>
      <c r="W103">
        <v>1</v>
      </c>
    </row>
    <row r="104" spans="1:23" x14ac:dyDescent="0.25">
      <c r="A104" t="s">
        <v>1021</v>
      </c>
      <c r="B104">
        <v>45674.68172453704</v>
      </c>
      <c r="C104" t="s">
        <v>1022</v>
      </c>
      <c r="D104" t="s">
        <v>177</v>
      </c>
      <c r="E104" t="s">
        <v>174</v>
      </c>
      <c r="F104" t="s">
        <v>2400</v>
      </c>
      <c r="G104" t="s">
        <v>2377</v>
      </c>
      <c r="H104">
        <v>10000</v>
      </c>
      <c r="I104">
        <v>4</v>
      </c>
      <c r="J104">
        <v>15</v>
      </c>
      <c r="K104">
        <v>40000</v>
      </c>
      <c r="L104">
        <v>6000</v>
      </c>
      <c r="M104">
        <v>34000</v>
      </c>
      <c r="N104">
        <v>56000</v>
      </c>
      <c r="O104">
        <v>90000</v>
      </c>
      <c r="P104" t="s">
        <v>22</v>
      </c>
      <c r="Q104" t="s">
        <v>2357</v>
      </c>
      <c r="R104" t="s">
        <v>23</v>
      </c>
      <c r="S104">
        <v>2</v>
      </c>
      <c r="T104" t="s">
        <v>24</v>
      </c>
      <c r="U104" t="s">
        <v>2401</v>
      </c>
      <c r="V104">
        <v>2025</v>
      </c>
      <c r="W104">
        <v>1</v>
      </c>
    </row>
    <row r="105" spans="1:23" x14ac:dyDescent="0.25">
      <c r="A105" t="s">
        <v>1023</v>
      </c>
      <c r="B105">
        <v>45674.723275462973</v>
      </c>
      <c r="C105" t="s">
        <v>834</v>
      </c>
      <c r="D105" t="s">
        <v>177</v>
      </c>
      <c r="E105" t="s">
        <v>110</v>
      </c>
      <c r="F105" t="s">
        <v>2395</v>
      </c>
      <c r="G105" t="s">
        <v>2379</v>
      </c>
      <c r="H105">
        <v>6000</v>
      </c>
      <c r="I105">
        <v>1</v>
      </c>
      <c r="J105">
        <v>20</v>
      </c>
      <c r="K105">
        <v>6000</v>
      </c>
      <c r="L105">
        <v>1200</v>
      </c>
      <c r="M105">
        <v>4800</v>
      </c>
      <c r="N105">
        <v>56000</v>
      </c>
      <c r="O105">
        <v>60800</v>
      </c>
      <c r="P105" t="s">
        <v>29</v>
      </c>
      <c r="Q105" t="s">
        <v>2356</v>
      </c>
      <c r="R105" t="s">
        <v>82</v>
      </c>
      <c r="S105">
        <v>4</v>
      </c>
      <c r="T105" t="s">
        <v>37</v>
      </c>
      <c r="U105" t="s">
        <v>2401</v>
      </c>
      <c r="V105">
        <v>2025</v>
      </c>
      <c r="W105">
        <v>1</v>
      </c>
    </row>
    <row r="106" spans="1:23" x14ac:dyDescent="0.25">
      <c r="A106" t="s">
        <v>1024</v>
      </c>
      <c r="B106">
        <v>45674.734398148154</v>
      </c>
      <c r="C106" t="s">
        <v>1025</v>
      </c>
      <c r="D106" t="s">
        <v>119</v>
      </c>
      <c r="E106" t="s">
        <v>34</v>
      </c>
      <c r="F106" t="s">
        <v>2397</v>
      </c>
      <c r="G106" t="s">
        <v>2377</v>
      </c>
      <c r="H106">
        <v>16000</v>
      </c>
      <c r="I106">
        <v>4</v>
      </c>
      <c r="J106">
        <v>5</v>
      </c>
      <c r="K106">
        <v>64000</v>
      </c>
      <c r="L106">
        <v>3200</v>
      </c>
      <c r="M106">
        <v>60800</v>
      </c>
      <c r="N106">
        <v>0</v>
      </c>
      <c r="O106">
        <v>60800</v>
      </c>
      <c r="P106" t="s">
        <v>29</v>
      </c>
      <c r="Q106" t="s">
        <v>2357</v>
      </c>
      <c r="R106" t="s">
        <v>23</v>
      </c>
      <c r="S106">
        <v>5</v>
      </c>
      <c r="T106" t="s">
        <v>24</v>
      </c>
      <c r="U106" t="s">
        <v>2401</v>
      </c>
      <c r="V106">
        <v>2025</v>
      </c>
      <c r="W106">
        <v>1</v>
      </c>
    </row>
    <row r="107" spans="1:23" x14ac:dyDescent="0.25">
      <c r="A107" t="s">
        <v>1026</v>
      </c>
      <c r="B107">
        <v>45675.224085648151</v>
      </c>
      <c r="C107" t="s">
        <v>748</v>
      </c>
      <c r="D107" t="s">
        <v>160</v>
      </c>
      <c r="E107" t="s">
        <v>174</v>
      </c>
      <c r="F107" t="s">
        <v>2400</v>
      </c>
      <c r="G107" t="s">
        <v>2377</v>
      </c>
      <c r="H107">
        <v>10000</v>
      </c>
      <c r="I107">
        <v>1</v>
      </c>
      <c r="J107">
        <v>20</v>
      </c>
      <c r="K107">
        <v>10000</v>
      </c>
      <c r="L107">
        <v>2000</v>
      </c>
      <c r="M107">
        <v>8000</v>
      </c>
      <c r="N107">
        <v>68000</v>
      </c>
      <c r="O107">
        <v>76000</v>
      </c>
      <c r="P107" t="s">
        <v>35</v>
      </c>
      <c r="Q107" t="s">
        <v>2357</v>
      </c>
      <c r="R107" t="s">
        <v>23</v>
      </c>
      <c r="S107">
        <v>5</v>
      </c>
      <c r="T107" t="s">
        <v>24</v>
      </c>
      <c r="U107" t="s">
        <v>2401</v>
      </c>
      <c r="V107">
        <v>2025</v>
      </c>
      <c r="W107">
        <v>1</v>
      </c>
    </row>
    <row r="108" spans="1:23" x14ac:dyDescent="0.25">
      <c r="A108" t="s">
        <v>1027</v>
      </c>
      <c r="B108">
        <v>45675.290925925918</v>
      </c>
      <c r="C108" t="s">
        <v>434</v>
      </c>
      <c r="D108" t="s">
        <v>435</v>
      </c>
      <c r="E108" t="s">
        <v>41</v>
      </c>
      <c r="F108" t="s">
        <v>2395</v>
      </c>
      <c r="G108" t="s">
        <v>2377</v>
      </c>
      <c r="H108">
        <v>4000</v>
      </c>
      <c r="I108">
        <v>2</v>
      </c>
      <c r="J108">
        <v>5</v>
      </c>
      <c r="K108">
        <v>8000</v>
      </c>
      <c r="L108">
        <v>400</v>
      </c>
      <c r="M108">
        <v>7600</v>
      </c>
      <c r="N108">
        <v>67000</v>
      </c>
      <c r="O108">
        <v>74600</v>
      </c>
      <c r="P108" t="s">
        <v>22</v>
      </c>
      <c r="Q108" t="s">
        <v>2356</v>
      </c>
      <c r="R108" t="s">
        <v>82</v>
      </c>
      <c r="S108">
        <v>2</v>
      </c>
      <c r="T108" t="s">
        <v>24</v>
      </c>
      <c r="U108" t="s">
        <v>2401</v>
      </c>
      <c r="V108">
        <v>2025</v>
      </c>
      <c r="W108">
        <v>1</v>
      </c>
    </row>
    <row r="109" spans="1:23" x14ac:dyDescent="0.25">
      <c r="A109" t="s">
        <v>1028</v>
      </c>
      <c r="B109">
        <v>45675.588506944441</v>
      </c>
      <c r="C109" t="s">
        <v>443</v>
      </c>
      <c r="D109" t="s">
        <v>53</v>
      </c>
      <c r="E109" t="s">
        <v>62</v>
      </c>
      <c r="F109" t="s">
        <v>2398</v>
      </c>
      <c r="G109" t="s">
        <v>2378</v>
      </c>
      <c r="H109">
        <v>50000</v>
      </c>
      <c r="I109">
        <v>3</v>
      </c>
      <c r="J109">
        <v>20</v>
      </c>
      <c r="K109">
        <v>150000</v>
      </c>
      <c r="L109">
        <v>30000</v>
      </c>
      <c r="M109">
        <v>120000</v>
      </c>
      <c r="N109">
        <v>18000</v>
      </c>
      <c r="O109">
        <v>138000</v>
      </c>
      <c r="P109" t="s">
        <v>29</v>
      </c>
      <c r="Q109" t="s">
        <v>2357</v>
      </c>
      <c r="R109" t="s">
        <v>23</v>
      </c>
      <c r="S109">
        <v>5</v>
      </c>
      <c r="T109" t="s">
        <v>24</v>
      </c>
      <c r="U109" t="s">
        <v>2401</v>
      </c>
      <c r="V109">
        <v>2025</v>
      </c>
      <c r="W109">
        <v>1</v>
      </c>
    </row>
    <row r="110" spans="1:23" x14ac:dyDescent="0.25">
      <c r="A110" t="s">
        <v>1029</v>
      </c>
      <c r="B110">
        <v>45675.945648148147</v>
      </c>
      <c r="C110" t="s">
        <v>383</v>
      </c>
      <c r="D110" t="s">
        <v>122</v>
      </c>
      <c r="E110" t="s">
        <v>250</v>
      </c>
      <c r="F110" t="s">
        <v>2397</v>
      </c>
      <c r="G110" t="s">
        <v>2379</v>
      </c>
      <c r="H110">
        <v>18000</v>
      </c>
      <c r="I110">
        <v>4</v>
      </c>
      <c r="J110">
        <v>20</v>
      </c>
      <c r="K110">
        <v>72000</v>
      </c>
      <c r="L110">
        <v>14400</v>
      </c>
      <c r="M110">
        <v>57600</v>
      </c>
      <c r="N110">
        <v>78000</v>
      </c>
      <c r="O110">
        <v>135600</v>
      </c>
      <c r="P110" t="s">
        <v>22</v>
      </c>
      <c r="Q110" t="s">
        <v>2357</v>
      </c>
      <c r="R110" t="s">
        <v>46</v>
      </c>
      <c r="S110">
        <v>2</v>
      </c>
      <c r="T110" t="s">
        <v>24</v>
      </c>
      <c r="U110" t="s">
        <v>2401</v>
      </c>
      <c r="V110">
        <v>2025</v>
      </c>
      <c r="W110">
        <v>1</v>
      </c>
    </row>
    <row r="111" spans="1:23" x14ac:dyDescent="0.25">
      <c r="A111" t="s">
        <v>1030</v>
      </c>
      <c r="B111">
        <v>45676.33221064815</v>
      </c>
      <c r="C111" t="s">
        <v>121</v>
      </c>
      <c r="D111" t="s">
        <v>122</v>
      </c>
      <c r="E111" t="s">
        <v>38</v>
      </c>
      <c r="F111" t="s">
        <v>2399</v>
      </c>
      <c r="G111" t="s">
        <v>2379</v>
      </c>
      <c r="H111">
        <v>28000</v>
      </c>
      <c r="I111">
        <v>5</v>
      </c>
      <c r="J111">
        <v>10</v>
      </c>
      <c r="K111">
        <v>140000</v>
      </c>
      <c r="L111">
        <v>14000</v>
      </c>
      <c r="M111">
        <v>126000</v>
      </c>
      <c r="N111">
        <v>78000</v>
      </c>
      <c r="O111">
        <v>204000</v>
      </c>
      <c r="P111" t="s">
        <v>63</v>
      </c>
      <c r="Q111" t="s">
        <v>2357</v>
      </c>
      <c r="R111" t="s">
        <v>23</v>
      </c>
      <c r="S111">
        <v>5</v>
      </c>
      <c r="T111" t="s">
        <v>24</v>
      </c>
      <c r="U111" t="s">
        <v>2401</v>
      </c>
      <c r="V111">
        <v>2025</v>
      </c>
      <c r="W111">
        <v>1</v>
      </c>
    </row>
    <row r="112" spans="1:23" x14ac:dyDescent="0.25">
      <c r="A112" t="s">
        <v>1031</v>
      </c>
      <c r="B112">
        <v>45676.351226851853</v>
      </c>
      <c r="C112" t="s">
        <v>705</v>
      </c>
      <c r="D112" t="s">
        <v>189</v>
      </c>
      <c r="E112" t="s">
        <v>38</v>
      </c>
      <c r="F112" t="s">
        <v>2399</v>
      </c>
      <c r="G112" t="s">
        <v>2379</v>
      </c>
      <c r="H112">
        <v>28000</v>
      </c>
      <c r="I112">
        <v>2</v>
      </c>
      <c r="J112">
        <v>20</v>
      </c>
      <c r="K112">
        <v>56000</v>
      </c>
      <c r="L112">
        <v>11200</v>
      </c>
      <c r="M112">
        <v>44800</v>
      </c>
      <c r="N112">
        <v>57000</v>
      </c>
      <c r="O112">
        <v>101800</v>
      </c>
      <c r="P112" t="s">
        <v>29</v>
      </c>
      <c r="Q112" t="s">
        <v>2357</v>
      </c>
      <c r="R112" t="s">
        <v>82</v>
      </c>
      <c r="S112">
        <v>4</v>
      </c>
      <c r="T112" t="s">
        <v>24</v>
      </c>
      <c r="U112" t="s">
        <v>2401</v>
      </c>
      <c r="V112">
        <v>2025</v>
      </c>
      <c r="W112">
        <v>1</v>
      </c>
    </row>
    <row r="113" spans="1:23" x14ac:dyDescent="0.25">
      <c r="A113" t="s">
        <v>1032</v>
      </c>
      <c r="B113">
        <v>45676.408773148149</v>
      </c>
      <c r="C113" t="s">
        <v>1033</v>
      </c>
      <c r="D113" t="s">
        <v>122</v>
      </c>
      <c r="E113" t="s">
        <v>38</v>
      </c>
      <c r="F113" t="s">
        <v>2399</v>
      </c>
      <c r="G113" t="s">
        <v>2379</v>
      </c>
      <c r="H113">
        <v>28000</v>
      </c>
      <c r="I113">
        <v>2</v>
      </c>
      <c r="J113">
        <v>15</v>
      </c>
      <c r="K113">
        <v>56000</v>
      </c>
      <c r="L113">
        <v>8400</v>
      </c>
      <c r="M113">
        <v>47600</v>
      </c>
      <c r="N113">
        <v>78000</v>
      </c>
      <c r="O113">
        <v>125600</v>
      </c>
      <c r="P113" t="s">
        <v>35</v>
      </c>
      <c r="Q113" t="s">
        <v>2357</v>
      </c>
      <c r="R113" t="s">
        <v>23</v>
      </c>
      <c r="S113">
        <v>3</v>
      </c>
      <c r="T113" t="s">
        <v>24</v>
      </c>
      <c r="U113" t="s">
        <v>2401</v>
      </c>
      <c r="V113">
        <v>2025</v>
      </c>
      <c r="W113">
        <v>1</v>
      </c>
    </row>
    <row r="114" spans="1:23" x14ac:dyDescent="0.25">
      <c r="A114" t="s">
        <v>1034</v>
      </c>
      <c r="B114">
        <v>45676.610335648147</v>
      </c>
      <c r="C114" t="s">
        <v>1035</v>
      </c>
      <c r="D114" t="s">
        <v>66</v>
      </c>
      <c r="E114" t="s">
        <v>21</v>
      </c>
      <c r="F114" t="s">
        <v>2394</v>
      </c>
      <c r="G114" t="s">
        <v>2379</v>
      </c>
      <c r="H114">
        <v>45000</v>
      </c>
      <c r="I114">
        <v>4</v>
      </c>
      <c r="J114">
        <v>15</v>
      </c>
      <c r="K114">
        <v>180000</v>
      </c>
      <c r="L114">
        <v>27000</v>
      </c>
      <c r="M114">
        <v>153000</v>
      </c>
      <c r="N114">
        <v>59000</v>
      </c>
      <c r="O114">
        <v>212000</v>
      </c>
      <c r="P114" t="s">
        <v>29</v>
      </c>
      <c r="Q114" t="s">
        <v>2357</v>
      </c>
      <c r="R114" t="s">
        <v>23</v>
      </c>
      <c r="S114">
        <v>4</v>
      </c>
      <c r="T114" t="s">
        <v>24</v>
      </c>
      <c r="U114" t="s">
        <v>2401</v>
      </c>
      <c r="V114">
        <v>2025</v>
      </c>
      <c r="W114">
        <v>1</v>
      </c>
    </row>
    <row r="115" spans="1:23" x14ac:dyDescent="0.25">
      <c r="A115" t="s">
        <v>1034</v>
      </c>
      <c r="B115">
        <v>45676.610335648147</v>
      </c>
      <c r="C115" t="s">
        <v>1035</v>
      </c>
      <c r="D115" t="s">
        <v>66</v>
      </c>
      <c r="E115" t="s">
        <v>54</v>
      </c>
      <c r="F115" t="s">
        <v>2393</v>
      </c>
      <c r="G115" t="s">
        <v>2379</v>
      </c>
      <c r="H115">
        <v>16000</v>
      </c>
      <c r="I115">
        <v>1</v>
      </c>
      <c r="J115">
        <v>10</v>
      </c>
      <c r="K115">
        <v>16000</v>
      </c>
      <c r="L115">
        <v>1600</v>
      </c>
      <c r="M115">
        <v>14400</v>
      </c>
      <c r="N115">
        <v>0</v>
      </c>
      <c r="O115">
        <v>14400</v>
      </c>
      <c r="P115" t="s">
        <v>29</v>
      </c>
      <c r="Q115" t="s">
        <v>2357</v>
      </c>
      <c r="R115" t="s">
        <v>23</v>
      </c>
      <c r="S115">
        <v>4</v>
      </c>
      <c r="T115" t="s">
        <v>24</v>
      </c>
      <c r="U115" t="s">
        <v>2401</v>
      </c>
      <c r="V115">
        <v>2025</v>
      </c>
      <c r="W115">
        <v>1</v>
      </c>
    </row>
    <row r="116" spans="1:23" x14ac:dyDescent="0.25">
      <c r="A116" t="s">
        <v>1036</v>
      </c>
      <c r="B116">
        <v>45676.735034722216</v>
      </c>
      <c r="C116" t="s">
        <v>748</v>
      </c>
      <c r="D116" t="s">
        <v>160</v>
      </c>
      <c r="E116" t="s">
        <v>62</v>
      </c>
      <c r="F116" t="s">
        <v>2398</v>
      </c>
      <c r="G116" t="s">
        <v>2378</v>
      </c>
      <c r="H116">
        <v>50000</v>
      </c>
      <c r="I116">
        <v>5</v>
      </c>
      <c r="J116">
        <v>20</v>
      </c>
      <c r="K116">
        <v>250000</v>
      </c>
      <c r="L116">
        <v>50000</v>
      </c>
      <c r="M116">
        <v>200000</v>
      </c>
      <c r="N116">
        <v>68000</v>
      </c>
      <c r="O116">
        <v>268000</v>
      </c>
      <c r="P116" t="s">
        <v>63</v>
      </c>
      <c r="Q116" t="s">
        <v>2357</v>
      </c>
      <c r="R116" t="s">
        <v>82</v>
      </c>
      <c r="S116">
        <v>3</v>
      </c>
      <c r="T116" t="s">
        <v>24</v>
      </c>
      <c r="U116" t="s">
        <v>2401</v>
      </c>
      <c r="V116">
        <v>2025</v>
      </c>
      <c r="W116">
        <v>1</v>
      </c>
    </row>
    <row r="117" spans="1:23" x14ac:dyDescent="0.25">
      <c r="A117" t="s">
        <v>1037</v>
      </c>
      <c r="B117">
        <v>45676.761990740742</v>
      </c>
      <c r="C117" t="s">
        <v>1038</v>
      </c>
      <c r="D117" t="s">
        <v>53</v>
      </c>
      <c r="E117" t="s">
        <v>174</v>
      </c>
      <c r="F117" t="s">
        <v>2400</v>
      </c>
      <c r="G117" t="s">
        <v>2377</v>
      </c>
      <c r="H117">
        <v>10000</v>
      </c>
      <c r="I117">
        <v>3</v>
      </c>
      <c r="J117">
        <v>5</v>
      </c>
      <c r="K117">
        <v>30000</v>
      </c>
      <c r="L117">
        <v>1500</v>
      </c>
      <c r="M117">
        <v>28500</v>
      </c>
      <c r="N117">
        <v>18000</v>
      </c>
      <c r="O117">
        <v>46500</v>
      </c>
      <c r="P117" t="s">
        <v>29</v>
      </c>
      <c r="Q117" t="s">
        <v>2357</v>
      </c>
      <c r="R117" t="s">
        <v>46</v>
      </c>
      <c r="S117">
        <v>3</v>
      </c>
      <c r="T117" t="s">
        <v>24</v>
      </c>
      <c r="U117" t="s">
        <v>2401</v>
      </c>
      <c r="V117">
        <v>2025</v>
      </c>
      <c r="W117">
        <v>1</v>
      </c>
    </row>
    <row r="118" spans="1:23" x14ac:dyDescent="0.25">
      <c r="A118" t="s">
        <v>1039</v>
      </c>
      <c r="B118">
        <v>45676.824733796297</v>
      </c>
      <c r="C118" t="s">
        <v>1040</v>
      </c>
      <c r="D118" t="s">
        <v>61</v>
      </c>
      <c r="E118" t="s">
        <v>110</v>
      </c>
      <c r="F118" t="s">
        <v>2395</v>
      </c>
      <c r="G118" t="s">
        <v>2379</v>
      </c>
      <c r="H118">
        <v>6000</v>
      </c>
      <c r="I118">
        <v>2</v>
      </c>
      <c r="J118">
        <v>20</v>
      </c>
      <c r="K118">
        <v>12000</v>
      </c>
      <c r="L118">
        <v>2400</v>
      </c>
      <c r="M118">
        <v>9600</v>
      </c>
      <c r="N118">
        <v>26000</v>
      </c>
      <c r="O118">
        <v>35600</v>
      </c>
      <c r="P118" t="s">
        <v>29</v>
      </c>
      <c r="Q118" t="s">
        <v>2357</v>
      </c>
      <c r="R118" t="s">
        <v>30</v>
      </c>
      <c r="S118">
        <v>1</v>
      </c>
      <c r="T118" t="s">
        <v>24</v>
      </c>
      <c r="U118" t="s">
        <v>2401</v>
      </c>
      <c r="V118">
        <v>2025</v>
      </c>
      <c r="W118">
        <v>1</v>
      </c>
    </row>
    <row r="119" spans="1:23" x14ac:dyDescent="0.25">
      <c r="A119" t="s">
        <v>1041</v>
      </c>
      <c r="B119">
        <v>45676.858136574083</v>
      </c>
      <c r="C119" t="s">
        <v>56</v>
      </c>
      <c r="D119" t="s">
        <v>57</v>
      </c>
      <c r="E119" t="s">
        <v>81</v>
      </c>
      <c r="F119" t="s">
        <v>2397</v>
      </c>
      <c r="G119" t="s">
        <v>2378</v>
      </c>
      <c r="H119">
        <v>17000</v>
      </c>
      <c r="I119">
        <v>2</v>
      </c>
      <c r="J119">
        <v>0</v>
      </c>
      <c r="K119">
        <v>34000</v>
      </c>
      <c r="L119">
        <v>0</v>
      </c>
      <c r="M119">
        <v>34000</v>
      </c>
      <c r="N119">
        <v>80000</v>
      </c>
      <c r="O119">
        <v>114000</v>
      </c>
      <c r="P119" t="s">
        <v>29</v>
      </c>
      <c r="Q119" t="s">
        <v>2357</v>
      </c>
      <c r="R119" t="s">
        <v>36</v>
      </c>
      <c r="S119">
        <v>4</v>
      </c>
      <c r="T119" t="s">
        <v>24</v>
      </c>
      <c r="U119" t="s">
        <v>2401</v>
      </c>
      <c r="V119">
        <v>2025</v>
      </c>
      <c r="W119">
        <v>1</v>
      </c>
    </row>
    <row r="120" spans="1:23" x14ac:dyDescent="0.25">
      <c r="A120" t="s">
        <v>1042</v>
      </c>
      <c r="B120">
        <v>45676.972048611111</v>
      </c>
      <c r="C120" t="s">
        <v>900</v>
      </c>
      <c r="D120" t="s">
        <v>27</v>
      </c>
      <c r="E120" t="s">
        <v>28</v>
      </c>
      <c r="F120" t="s">
        <v>2395</v>
      </c>
      <c r="G120" t="s">
        <v>2378</v>
      </c>
      <c r="H120">
        <v>5000</v>
      </c>
      <c r="I120">
        <v>3</v>
      </c>
      <c r="J120">
        <v>10</v>
      </c>
      <c r="K120">
        <v>15000</v>
      </c>
      <c r="L120">
        <v>1500</v>
      </c>
      <c r="M120">
        <v>13500</v>
      </c>
      <c r="N120">
        <v>17000</v>
      </c>
      <c r="O120">
        <v>30500</v>
      </c>
      <c r="P120" t="s">
        <v>63</v>
      </c>
      <c r="Q120" t="s">
        <v>2357</v>
      </c>
      <c r="R120" t="s">
        <v>46</v>
      </c>
      <c r="S120">
        <v>4</v>
      </c>
      <c r="T120" t="s">
        <v>24</v>
      </c>
      <c r="U120" t="s">
        <v>2401</v>
      </c>
      <c r="V120">
        <v>2025</v>
      </c>
      <c r="W120">
        <v>1</v>
      </c>
    </row>
    <row r="121" spans="1:23" x14ac:dyDescent="0.25">
      <c r="A121" t="s">
        <v>1043</v>
      </c>
      <c r="B121">
        <v>45677.306423611109</v>
      </c>
      <c r="C121" t="s">
        <v>532</v>
      </c>
      <c r="D121" t="s">
        <v>262</v>
      </c>
      <c r="E121" t="s">
        <v>21</v>
      </c>
      <c r="F121" t="s">
        <v>2394</v>
      </c>
      <c r="G121" t="s">
        <v>2379</v>
      </c>
      <c r="H121">
        <v>45000</v>
      </c>
      <c r="I121">
        <v>5</v>
      </c>
      <c r="J121">
        <v>15</v>
      </c>
      <c r="K121">
        <v>225000</v>
      </c>
      <c r="L121">
        <v>33750</v>
      </c>
      <c r="M121">
        <v>191250</v>
      </c>
      <c r="N121">
        <v>18000</v>
      </c>
      <c r="O121">
        <v>209250</v>
      </c>
      <c r="P121" t="s">
        <v>29</v>
      </c>
      <c r="Q121" t="s">
        <v>2357</v>
      </c>
      <c r="R121" t="s">
        <v>30</v>
      </c>
      <c r="S121">
        <v>3</v>
      </c>
      <c r="T121" t="s">
        <v>24</v>
      </c>
      <c r="U121" t="s">
        <v>2401</v>
      </c>
      <c r="V121">
        <v>2025</v>
      </c>
      <c r="W121">
        <v>1</v>
      </c>
    </row>
    <row r="122" spans="1:23" x14ac:dyDescent="0.25">
      <c r="A122" t="s">
        <v>1043</v>
      </c>
      <c r="B122">
        <v>45677.306423611109</v>
      </c>
      <c r="C122" t="s">
        <v>532</v>
      </c>
      <c r="D122" t="s">
        <v>262</v>
      </c>
      <c r="E122" t="s">
        <v>58</v>
      </c>
      <c r="F122" t="s">
        <v>2396</v>
      </c>
      <c r="G122" t="s">
        <v>2377</v>
      </c>
      <c r="H122">
        <v>16000</v>
      </c>
      <c r="I122">
        <v>4</v>
      </c>
      <c r="J122">
        <v>0</v>
      </c>
      <c r="K122">
        <v>64000</v>
      </c>
      <c r="L122">
        <v>0</v>
      </c>
      <c r="M122">
        <v>64000</v>
      </c>
      <c r="N122">
        <v>0</v>
      </c>
      <c r="O122">
        <v>64000</v>
      </c>
      <c r="P122" t="s">
        <v>29</v>
      </c>
      <c r="Q122" t="s">
        <v>2357</v>
      </c>
      <c r="R122" t="s">
        <v>30</v>
      </c>
      <c r="S122">
        <v>3</v>
      </c>
      <c r="T122" t="s">
        <v>24</v>
      </c>
      <c r="U122" t="s">
        <v>2401</v>
      </c>
      <c r="V122">
        <v>2025</v>
      </c>
      <c r="W122">
        <v>1</v>
      </c>
    </row>
    <row r="123" spans="1:23" x14ac:dyDescent="0.25">
      <c r="A123" t="s">
        <v>1044</v>
      </c>
      <c r="B123">
        <v>45677.359699074077</v>
      </c>
      <c r="C123" t="s">
        <v>844</v>
      </c>
      <c r="D123" t="s">
        <v>119</v>
      </c>
      <c r="E123" t="s">
        <v>54</v>
      </c>
      <c r="F123" t="s">
        <v>2393</v>
      </c>
      <c r="G123" t="s">
        <v>2379</v>
      </c>
      <c r="H123">
        <v>16000</v>
      </c>
      <c r="I123">
        <v>1</v>
      </c>
      <c r="J123">
        <v>0</v>
      </c>
      <c r="K123">
        <v>16000</v>
      </c>
      <c r="L123">
        <v>0</v>
      </c>
      <c r="M123">
        <v>16000</v>
      </c>
      <c r="N123">
        <v>0</v>
      </c>
      <c r="O123">
        <v>16000</v>
      </c>
      <c r="P123" t="s">
        <v>29</v>
      </c>
      <c r="Q123" t="s">
        <v>2356</v>
      </c>
      <c r="R123" t="s">
        <v>36</v>
      </c>
      <c r="S123">
        <v>4</v>
      </c>
      <c r="T123" t="s">
        <v>24</v>
      </c>
      <c r="U123" t="s">
        <v>2401</v>
      </c>
      <c r="V123">
        <v>2025</v>
      </c>
      <c r="W123">
        <v>1</v>
      </c>
    </row>
    <row r="124" spans="1:23" x14ac:dyDescent="0.25">
      <c r="A124" t="s">
        <v>1045</v>
      </c>
      <c r="B124">
        <v>45677.636365740742</v>
      </c>
      <c r="C124" t="s">
        <v>457</v>
      </c>
      <c r="D124" t="s">
        <v>80</v>
      </c>
      <c r="E124" t="s">
        <v>144</v>
      </c>
      <c r="F124" t="s">
        <v>2396</v>
      </c>
      <c r="G124" t="s">
        <v>2379</v>
      </c>
      <c r="H124">
        <v>18000</v>
      </c>
      <c r="I124">
        <v>5</v>
      </c>
      <c r="J124">
        <v>0</v>
      </c>
      <c r="K124">
        <v>90000</v>
      </c>
      <c r="L124">
        <v>0</v>
      </c>
      <c r="M124">
        <v>90000</v>
      </c>
      <c r="N124">
        <v>74000</v>
      </c>
      <c r="O124">
        <v>164000</v>
      </c>
      <c r="P124" t="s">
        <v>22</v>
      </c>
      <c r="Q124" t="s">
        <v>2357</v>
      </c>
      <c r="R124" t="s">
        <v>36</v>
      </c>
      <c r="S124">
        <v>1</v>
      </c>
      <c r="T124" t="s">
        <v>24</v>
      </c>
      <c r="U124" t="s">
        <v>2401</v>
      </c>
      <c r="V124">
        <v>2025</v>
      </c>
      <c r="W124">
        <v>1</v>
      </c>
    </row>
    <row r="125" spans="1:23" x14ac:dyDescent="0.25">
      <c r="A125" t="s">
        <v>1046</v>
      </c>
      <c r="B125">
        <v>45677.75513888889</v>
      </c>
      <c r="C125" t="s">
        <v>1047</v>
      </c>
      <c r="D125" t="s">
        <v>160</v>
      </c>
      <c r="E125" t="s">
        <v>67</v>
      </c>
      <c r="F125" t="s">
        <v>2393</v>
      </c>
      <c r="G125" t="s">
        <v>2378</v>
      </c>
      <c r="H125">
        <v>15000</v>
      </c>
      <c r="I125">
        <v>5</v>
      </c>
      <c r="J125">
        <v>5</v>
      </c>
      <c r="K125">
        <v>75000</v>
      </c>
      <c r="L125">
        <v>3750</v>
      </c>
      <c r="M125">
        <v>71250</v>
      </c>
      <c r="N125">
        <v>68000</v>
      </c>
      <c r="O125">
        <v>139250</v>
      </c>
      <c r="P125" t="s">
        <v>29</v>
      </c>
      <c r="Q125" t="s">
        <v>2357</v>
      </c>
      <c r="R125" t="s">
        <v>46</v>
      </c>
      <c r="S125">
        <v>4</v>
      </c>
      <c r="T125" t="s">
        <v>24</v>
      </c>
      <c r="U125" t="s">
        <v>2401</v>
      </c>
      <c r="V125">
        <v>2025</v>
      </c>
      <c r="W125">
        <v>1</v>
      </c>
    </row>
    <row r="126" spans="1:23" x14ac:dyDescent="0.25">
      <c r="A126" t="s">
        <v>1048</v>
      </c>
      <c r="B126">
        <v>45677.83971064815</v>
      </c>
      <c r="C126" t="s">
        <v>504</v>
      </c>
      <c r="D126" t="s">
        <v>195</v>
      </c>
      <c r="E126" t="s">
        <v>50</v>
      </c>
      <c r="F126" t="s">
        <v>2400</v>
      </c>
      <c r="G126" t="s">
        <v>2379</v>
      </c>
      <c r="H126">
        <v>14000</v>
      </c>
      <c r="I126">
        <v>3</v>
      </c>
      <c r="J126">
        <v>10</v>
      </c>
      <c r="K126">
        <v>42000</v>
      </c>
      <c r="L126">
        <v>4200</v>
      </c>
      <c r="M126">
        <v>37800</v>
      </c>
      <c r="N126">
        <v>87000</v>
      </c>
      <c r="O126">
        <v>124800</v>
      </c>
      <c r="P126" t="s">
        <v>35</v>
      </c>
      <c r="Q126" t="s">
        <v>2357</v>
      </c>
      <c r="R126" t="s">
        <v>23</v>
      </c>
      <c r="S126">
        <v>5</v>
      </c>
      <c r="T126" t="s">
        <v>24</v>
      </c>
      <c r="U126" t="s">
        <v>2401</v>
      </c>
      <c r="V126">
        <v>2025</v>
      </c>
      <c r="W126">
        <v>1</v>
      </c>
    </row>
    <row r="127" spans="1:23" x14ac:dyDescent="0.25">
      <c r="A127" t="s">
        <v>1049</v>
      </c>
      <c r="B127">
        <v>45678.375023148154</v>
      </c>
      <c r="C127" t="s">
        <v>1050</v>
      </c>
      <c r="D127" t="s">
        <v>92</v>
      </c>
      <c r="E127" t="s">
        <v>144</v>
      </c>
      <c r="F127" t="s">
        <v>2396</v>
      </c>
      <c r="G127" t="s">
        <v>2379</v>
      </c>
      <c r="H127">
        <v>18000</v>
      </c>
      <c r="I127">
        <v>4</v>
      </c>
      <c r="J127">
        <v>10</v>
      </c>
      <c r="K127">
        <v>72000</v>
      </c>
      <c r="L127">
        <v>7200</v>
      </c>
      <c r="M127">
        <v>64800</v>
      </c>
      <c r="N127">
        <v>30000</v>
      </c>
      <c r="O127">
        <v>94800</v>
      </c>
      <c r="P127" t="s">
        <v>22</v>
      </c>
      <c r="Q127" t="s">
        <v>2357</v>
      </c>
      <c r="R127" t="s">
        <v>36</v>
      </c>
      <c r="S127">
        <v>5</v>
      </c>
      <c r="T127" t="s">
        <v>24</v>
      </c>
      <c r="U127" t="s">
        <v>2401</v>
      </c>
      <c r="V127">
        <v>2025</v>
      </c>
      <c r="W127">
        <v>1</v>
      </c>
    </row>
    <row r="128" spans="1:23" x14ac:dyDescent="0.25">
      <c r="A128" t="s">
        <v>1051</v>
      </c>
      <c r="B128">
        <v>45678.638749999998</v>
      </c>
      <c r="C128" t="s">
        <v>570</v>
      </c>
      <c r="D128" t="s">
        <v>80</v>
      </c>
      <c r="E128" t="s">
        <v>58</v>
      </c>
      <c r="F128" t="s">
        <v>2396</v>
      </c>
      <c r="G128" t="s">
        <v>2377</v>
      </c>
      <c r="H128">
        <v>16000</v>
      </c>
      <c r="I128">
        <v>2</v>
      </c>
      <c r="J128">
        <v>20</v>
      </c>
      <c r="K128">
        <v>32000</v>
      </c>
      <c r="L128">
        <v>6400</v>
      </c>
      <c r="M128">
        <v>25600</v>
      </c>
      <c r="N128">
        <v>74000</v>
      </c>
      <c r="O128">
        <v>99600</v>
      </c>
      <c r="P128" t="s">
        <v>22</v>
      </c>
      <c r="Q128" t="s">
        <v>2357</v>
      </c>
      <c r="R128" t="s">
        <v>36</v>
      </c>
      <c r="S128">
        <v>2</v>
      </c>
      <c r="T128" t="s">
        <v>24</v>
      </c>
      <c r="U128" t="s">
        <v>2401</v>
      </c>
      <c r="V128">
        <v>2025</v>
      </c>
      <c r="W128">
        <v>1</v>
      </c>
    </row>
    <row r="129" spans="1:23" x14ac:dyDescent="0.25">
      <c r="A129" t="s">
        <v>1052</v>
      </c>
      <c r="B129">
        <v>45678.796331018522</v>
      </c>
      <c r="C129" t="s">
        <v>1053</v>
      </c>
      <c r="D129" t="s">
        <v>80</v>
      </c>
      <c r="E129" t="s">
        <v>104</v>
      </c>
      <c r="F129" t="s">
        <v>2392</v>
      </c>
      <c r="G129" t="s">
        <v>2377</v>
      </c>
      <c r="H129">
        <v>30000</v>
      </c>
      <c r="I129">
        <v>4</v>
      </c>
      <c r="J129">
        <v>0</v>
      </c>
      <c r="K129">
        <v>120000</v>
      </c>
      <c r="L129">
        <v>0</v>
      </c>
      <c r="M129">
        <v>120000</v>
      </c>
      <c r="N129">
        <v>74000</v>
      </c>
      <c r="O129">
        <v>194000</v>
      </c>
      <c r="P129" t="s">
        <v>35</v>
      </c>
      <c r="Q129" t="s">
        <v>2356</v>
      </c>
      <c r="R129" t="s">
        <v>36</v>
      </c>
      <c r="S129">
        <v>1</v>
      </c>
      <c r="T129" t="s">
        <v>24</v>
      </c>
      <c r="U129" t="s">
        <v>2401</v>
      </c>
      <c r="V129">
        <v>2025</v>
      </c>
      <c r="W129">
        <v>1</v>
      </c>
    </row>
    <row r="130" spans="1:23" x14ac:dyDescent="0.25">
      <c r="A130" t="s">
        <v>1054</v>
      </c>
      <c r="B130">
        <v>45678.822465277779</v>
      </c>
      <c r="C130" t="s">
        <v>1055</v>
      </c>
      <c r="D130" t="s">
        <v>57</v>
      </c>
      <c r="E130" t="s">
        <v>75</v>
      </c>
      <c r="F130" t="s">
        <v>2398</v>
      </c>
      <c r="G130" t="s">
        <v>2379</v>
      </c>
      <c r="H130">
        <v>55000</v>
      </c>
      <c r="I130">
        <v>3</v>
      </c>
      <c r="J130">
        <v>0</v>
      </c>
      <c r="K130">
        <v>165000</v>
      </c>
      <c r="L130">
        <v>0</v>
      </c>
      <c r="M130">
        <v>165000</v>
      </c>
      <c r="N130">
        <v>80000</v>
      </c>
      <c r="O130">
        <v>245000</v>
      </c>
      <c r="P130" t="s">
        <v>35</v>
      </c>
      <c r="Q130" t="s">
        <v>2357</v>
      </c>
      <c r="R130" t="s">
        <v>36</v>
      </c>
      <c r="S130">
        <v>5</v>
      </c>
      <c r="T130" t="s">
        <v>24</v>
      </c>
      <c r="U130" t="s">
        <v>2401</v>
      </c>
      <c r="V130">
        <v>2025</v>
      </c>
      <c r="W130">
        <v>1</v>
      </c>
    </row>
    <row r="131" spans="1:23" x14ac:dyDescent="0.25">
      <c r="A131" t="s">
        <v>1056</v>
      </c>
      <c r="B131">
        <v>45678.930277777778</v>
      </c>
      <c r="C131" t="s">
        <v>56</v>
      </c>
      <c r="D131" t="s">
        <v>57</v>
      </c>
      <c r="E131" t="s">
        <v>123</v>
      </c>
      <c r="F131" t="s">
        <v>2399</v>
      </c>
      <c r="G131" t="s">
        <v>2377</v>
      </c>
      <c r="H131">
        <v>22000</v>
      </c>
      <c r="I131">
        <v>3</v>
      </c>
      <c r="J131">
        <v>5</v>
      </c>
      <c r="K131">
        <v>66000</v>
      </c>
      <c r="L131">
        <v>3300</v>
      </c>
      <c r="M131">
        <v>62700</v>
      </c>
      <c r="N131">
        <v>80000</v>
      </c>
      <c r="O131">
        <v>142700</v>
      </c>
      <c r="P131" t="s">
        <v>35</v>
      </c>
      <c r="Q131" t="s">
        <v>2357</v>
      </c>
      <c r="R131" t="s">
        <v>82</v>
      </c>
      <c r="S131">
        <v>4</v>
      </c>
      <c r="T131" t="s">
        <v>24</v>
      </c>
      <c r="U131" t="s">
        <v>2401</v>
      </c>
      <c r="V131">
        <v>2025</v>
      </c>
      <c r="W131">
        <v>1</v>
      </c>
    </row>
    <row r="132" spans="1:23" x14ac:dyDescent="0.25">
      <c r="A132" t="s">
        <v>1057</v>
      </c>
      <c r="B132">
        <v>45679.285439814812</v>
      </c>
      <c r="C132" t="s">
        <v>638</v>
      </c>
      <c r="D132" t="s">
        <v>195</v>
      </c>
      <c r="E132" t="s">
        <v>21</v>
      </c>
      <c r="F132" t="s">
        <v>2394</v>
      </c>
      <c r="G132" t="s">
        <v>2379</v>
      </c>
      <c r="H132">
        <v>45000</v>
      </c>
      <c r="I132">
        <v>1</v>
      </c>
      <c r="J132">
        <v>10</v>
      </c>
      <c r="K132">
        <v>45000</v>
      </c>
      <c r="L132">
        <v>4500</v>
      </c>
      <c r="M132">
        <v>40500</v>
      </c>
      <c r="N132">
        <v>87000</v>
      </c>
      <c r="O132">
        <v>127500</v>
      </c>
      <c r="P132" t="s">
        <v>35</v>
      </c>
      <c r="Q132" t="s">
        <v>2356</v>
      </c>
      <c r="R132" t="s">
        <v>36</v>
      </c>
      <c r="S132">
        <v>2</v>
      </c>
      <c r="T132" t="s">
        <v>37</v>
      </c>
      <c r="U132" t="s">
        <v>2401</v>
      </c>
      <c r="V132">
        <v>2025</v>
      </c>
      <c r="W132">
        <v>1</v>
      </c>
    </row>
    <row r="133" spans="1:23" x14ac:dyDescent="0.25">
      <c r="A133" t="s">
        <v>1058</v>
      </c>
      <c r="B133">
        <v>45679.472071759257</v>
      </c>
      <c r="C133" t="s">
        <v>256</v>
      </c>
      <c r="D133" t="s">
        <v>107</v>
      </c>
      <c r="E133" t="s">
        <v>144</v>
      </c>
      <c r="F133" t="s">
        <v>2396</v>
      </c>
      <c r="G133" t="s">
        <v>2379</v>
      </c>
      <c r="H133">
        <v>18000</v>
      </c>
      <c r="I133">
        <v>1</v>
      </c>
      <c r="J133">
        <v>15</v>
      </c>
      <c r="K133">
        <v>18000</v>
      </c>
      <c r="L133">
        <v>2700</v>
      </c>
      <c r="M133">
        <v>15300</v>
      </c>
      <c r="N133">
        <v>97000</v>
      </c>
      <c r="O133">
        <v>112300</v>
      </c>
      <c r="P133" t="s">
        <v>35</v>
      </c>
      <c r="Q133" t="s">
        <v>2356</v>
      </c>
      <c r="R133" t="s">
        <v>82</v>
      </c>
      <c r="S133">
        <v>4</v>
      </c>
      <c r="T133" t="s">
        <v>24</v>
      </c>
      <c r="U133" t="s">
        <v>2401</v>
      </c>
      <c r="V133">
        <v>2025</v>
      </c>
      <c r="W133">
        <v>1</v>
      </c>
    </row>
    <row r="134" spans="1:23" x14ac:dyDescent="0.25">
      <c r="A134" t="s">
        <v>1059</v>
      </c>
      <c r="B134">
        <v>45679.556388888886</v>
      </c>
      <c r="C134" t="s">
        <v>515</v>
      </c>
      <c r="D134" t="s">
        <v>182</v>
      </c>
      <c r="E134" t="s">
        <v>28</v>
      </c>
      <c r="F134" t="s">
        <v>2395</v>
      </c>
      <c r="G134" t="s">
        <v>2378</v>
      </c>
      <c r="H134">
        <v>5000</v>
      </c>
      <c r="I134">
        <v>3</v>
      </c>
      <c r="J134">
        <v>0</v>
      </c>
      <c r="K134">
        <v>15000</v>
      </c>
      <c r="L134">
        <v>0</v>
      </c>
      <c r="M134">
        <v>15000</v>
      </c>
      <c r="N134">
        <v>48000</v>
      </c>
      <c r="O134">
        <v>63000</v>
      </c>
      <c r="P134" t="s">
        <v>29</v>
      </c>
      <c r="Q134" t="s">
        <v>2357</v>
      </c>
      <c r="R134" t="s">
        <v>36</v>
      </c>
      <c r="S134">
        <v>5</v>
      </c>
      <c r="T134" t="s">
        <v>24</v>
      </c>
      <c r="U134" t="s">
        <v>2401</v>
      </c>
      <c r="V134">
        <v>2025</v>
      </c>
      <c r="W134">
        <v>1</v>
      </c>
    </row>
    <row r="135" spans="1:23" x14ac:dyDescent="0.25">
      <c r="A135" t="s">
        <v>1060</v>
      </c>
      <c r="B135">
        <v>45680.066099537027</v>
      </c>
      <c r="C135" t="s">
        <v>1061</v>
      </c>
      <c r="D135" t="s">
        <v>44</v>
      </c>
      <c r="E135" t="s">
        <v>81</v>
      </c>
      <c r="F135" t="s">
        <v>2397</v>
      </c>
      <c r="G135" t="s">
        <v>2378</v>
      </c>
      <c r="H135">
        <v>17000</v>
      </c>
      <c r="I135">
        <v>3</v>
      </c>
      <c r="J135">
        <v>20</v>
      </c>
      <c r="K135">
        <v>51000</v>
      </c>
      <c r="L135">
        <v>10200</v>
      </c>
      <c r="M135">
        <v>40800</v>
      </c>
      <c r="N135">
        <v>93000</v>
      </c>
      <c r="O135">
        <v>133800</v>
      </c>
      <c r="P135" t="s">
        <v>22</v>
      </c>
      <c r="Q135" t="s">
        <v>2357</v>
      </c>
      <c r="R135" t="s">
        <v>23</v>
      </c>
      <c r="S135">
        <v>1</v>
      </c>
      <c r="T135" t="s">
        <v>37</v>
      </c>
      <c r="U135" t="s">
        <v>2401</v>
      </c>
      <c r="V135">
        <v>2025</v>
      </c>
      <c r="W135">
        <v>1</v>
      </c>
    </row>
    <row r="136" spans="1:23" x14ac:dyDescent="0.25">
      <c r="A136" t="s">
        <v>1062</v>
      </c>
      <c r="B136">
        <v>45680.241643518522</v>
      </c>
      <c r="C136" t="s">
        <v>1063</v>
      </c>
      <c r="D136" t="s">
        <v>96</v>
      </c>
      <c r="E136" t="s">
        <v>138</v>
      </c>
      <c r="F136" t="s">
        <v>2396</v>
      </c>
      <c r="G136" t="s">
        <v>2378</v>
      </c>
      <c r="H136">
        <v>17000</v>
      </c>
      <c r="I136">
        <v>2</v>
      </c>
      <c r="J136">
        <v>15</v>
      </c>
      <c r="K136">
        <v>34000</v>
      </c>
      <c r="L136">
        <v>5100</v>
      </c>
      <c r="M136">
        <v>28900</v>
      </c>
      <c r="N136">
        <v>49000</v>
      </c>
      <c r="O136">
        <v>77900</v>
      </c>
      <c r="P136" t="s">
        <v>22</v>
      </c>
      <c r="Q136" t="s">
        <v>2357</v>
      </c>
      <c r="R136" t="s">
        <v>36</v>
      </c>
      <c r="S136">
        <v>1</v>
      </c>
      <c r="T136" t="s">
        <v>24</v>
      </c>
      <c r="U136" t="s">
        <v>2401</v>
      </c>
      <c r="V136">
        <v>2025</v>
      </c>
      <c r="W136">
        <v>1</v>
      </c>
    </row>
    <row r="137" spans="1:23" x14ac:dyDescent="0.25">
      <c r="A137" t="s">
        <v>1064</v>
      </c>
      <c r="B137">
        <v>45680.610115740739</v>
      </c>
      <c r="C137" t="s">
        <v>220</v>
      </c>
      <c r="D137" t="s">
        <v>53</v>
      </c>
      <c r="E137" t="s">
        <v>41</v>
      </c>
      <c r="F137" t="s">
        <v>2395</v>
      </c>
      <c r="G137" t="s">
        <v>2377</v>
      </c>
      <c r="H137">
        <v>4000</v>
      </c>
      <c r="I137">
        <v>2</v>
      </c>
      <c r="J137">
        <v>15</v>
      </c>
      <c r="K137">
        <v>8000</v>
      </c>
      <c r="L137">
        <v>1200</v>
      </c>
      <c r="M137">
        <v>6800</v>
      </c>
      <c r="N137">
        <v>18000</v>
      </c>
      <c r="O137">
        <v>24800</v>
      </c>
      <c r="P137" t="s">
        <v>63</v>
      </c>
      <c r="Q137" t="s">
        <v>2357</v>
      </c>
      <c r="R137" t="s">
        <v>23</v>
      </c>
      <c r="S137">
        <v>1</v>
      </c>
      <c r="T137" t="s">
        <v>24</v>
      </c>
      <c r="U137" t="s">
        <v>2401</v>
      </c>
      <c r="V137">
        <v>2025</v>
      </c>
      <c r="W137">
        <v>1</v>
      </c>
    </row>
    <row r="138" spans="1:23" x14ac:dyDescent="0.25">
      <c r="A138" t="s">
        <v>1065</v>
      </c>
      <c r="B138">
        <v>45680.813449074078</v>
      </c>
      <c r="C138" t="s">
        <v>1066</v>
      </c>
      <c r="D138" t="s">
        <v>113</v>
      </c>
      <c r="E138" t="s">
        <v>67</v>
      </c>
      <c r="F138" t="s">
        <v>2393</v>
      </c>
      <c r="G138" t="s">
        <v>2378</v>
      </c>
      <c r="H138">
        <v>15000</v>
      </c>
      <c r="I138">
        <v>3</v>
      </c>
      <c r="J138">
        <v>15</v>
      </c>
      <c r="K138">
        <v>45000</v>
      </c>
      <c r="L138">
        <v>6750</v>
      </c>
      <c r="M138">
        <v>38250</v>
      </c>
      <c r="N138">
        <v>18000</v>
      </c>
      <c r="O138">
        <v>56250</v>
      </c>
      <c r="P138" t="s">
        <v>35</v>
      </c>
      <c r="Q138" t="s">
        <v>2356</v>
      </c>
      <c r="R138" t="s">
        <v>82</v>
      </c>
      <c r="S138">
        <v>3</v>
      </c>
      <c r="T138" t="s">
        <v>24</v>
      </c>
      <c r="U138" t="s">
        <v>2401</v>
      </c>
      <c r="V138">
        <v>2025</v>
      </c>
      <c r="W138">
        <v>1</v>
      </c>
    </row>
    <row r="139" spans="1:23" x14ac:dyDescent="0.25">
      <c r="A139" t="s">
        <v>1067</v>
      </c>
      <c r="B139">
        <v>45680.820555555547</v>
      </c>
      <c r="C139" t="s">
        <v>985</v>
      </c>
      <c r="D139" t="s">
        <v>53</v>
      </c>
      <c r="E139" t="s">
        <v>144</v>
      </c>
      <c r="F139" t="s">
        <v>2396</v>
      </c>
      <c r="G139" t="s">
        <v>2379</v>
      </c>
      <c r="H139">
        <v>18000</v>
      </c>
      <c r="I139">
        <v>5</v>
      </c>
      <c r="J139">
        <v>20</v>
      </c>
      <c r="K139">
        <v>90000</v>
      </c>
      <c r="L139">
        <v>18000</v>
      </c>
      <c r="M139">
        <v>72000</v>
      </c>
      <c r="N139">
        <v>18000</v>
      </c>
      <c r="O139">
        <v>90000</v>
      </c>
      <c r="P139" t="s">
        <v>29</v>
      </c>
      <c r="Q139" t="s">
        <v>2357</v>
      </c>
      <c r="R139" t="s">
        <v>23</v>
      </c>
      <c r="S139">
        <v>3</v>
      </c>
      <c r="T139" t="s">
        <v>24</v>
      </c>
      <c r="U139" t="s">
        <v>2401</v>
      </c>
      <c r="V139">
        <v>2025</v>
      </c>
      <c r="W139">
        <v>1</v>
      </c>
    </row>
    <row r="140" spans="1:23" x14ac:dyDescent="0.25">
      <c r="A140" t="s">
        <v>1068</v>
      </c>
      <c r="B140">
        <v>45680.968819444453</v>
      </c>
      <c r="C140" t="s">
        <v>1069</v>
      </c>
      <c r="D140" t="s">
        <v>189</v>
      </c>
      <c r="E140" t="s">
        <v>45</v>
      </c>
      <c r="F140" t="s">
        <v>2394</v>
      </c>
      <c r="G140" t="s">
        <v>2378</v>
      </c>
      <c r="H140">
        <v>40000</v>
      </c>
      <c r="I140">
        <v>2</v>
      </c>
      <c r="J140">
        <v>15</v>
      </c>
      <c r="K140">
        <v>80000</v>
      </c>
      <c r="L140">
        <v>12000</v>
      </c>
      <c r="M140">
        <v>68000</v>
      </c>
      <c r="N140">
        <v>57000</v>
      </c>
      <c r="O140">
        <v>125000</v>
      </c>
      <c r="P140" t="s">
        <v>29</v>
      </c>
      <c r="Q140" t="s">
        <v>2356</v>
      </c>
      <c r="R140" t="s">
        <v>30</v>
      </c>
      <c r="S140">
        <v>1</v>
      </c>
      <c r="T140" t="s">
        <v>24</v>
      </c>
      <c r="U140" t="s">
        <v>2401</v>
      </c>
      <c r="V140">
        <v>2025</v>
      </c>
      <c r="W140">
        <v>1</v>
      </c>
    </row>
    <row r="141" spans="1:23" x14ac:dyDescent="0.25">
      <c r="A141" t="s">
        <v>1070</v>
      </c>
      <c r="B141">
        <v>45681.229664351849</v>
      </c>
      <c r="C141" t="s">
        <v>572</v>
      </c>
      <c r="D141" t="s">
        <v>33</v>
      </c>
      <c r="E141" t="s">
        <v>50</v>
      </c>
      <c r="F141" t="s">
        <v>2400</v>
      </c>
      <c r="G141" t="s">
        <v>2379</v>
      </c>
      <c r="H141">
        <v>14000</v>
      </c>
      <c r="I141">
        <v>1</v>
      </c>
      <c r="J141">
        <v>5</v>
      </c>
      <c r="K141">
        <v>14000</v>
      </c>
      <c r="L141">
        <v>700</v>
      </c>
      <c r="M141">
        <v>13300</v>
      </c>
      <c r="N141">
        <v>76000</v>
      </c>
      <c r="O141">
        <v>89300</v>
      </c>
      <c r="P141" t="s">
        <v>63</v>
      </c>
      <c r="Q141" t="s">
        <v>2357</v>
      </c>
      <c r="R141" t="s">
        <v>23</v>
      </c>
      <c r="S141">
        <v>5</v>
      </c>
      <c r="T141" t="s">
        <v>24</v>
      </c>
      <c r="U141" t="s">
        <v>2401</v>
      </c>
      <c r="V141">
        <v>2025</v>
      </c>
      <c r="W141">
        <v>1</v>
      </c>
    </row>
    <row r="142" spans="1:23" x14ac:dyDescent="0.25">
      <c r="A142" t="s">
        <v>1071</v>
      </c>
      <c r="B142">
        <v>45681.394502314812</v>
      </c>
      <c r="C142" t="s">
        <v>568</v>
      </c>
      <c r="D142" t="s">
        <v>435</v>
      </c>
      <c r="E142" t="s">
        <v>45</v>
      </c>
      <c r="F142" t="s">
        <v>2394</v>
      </c>
      <c r="G142" t="s">
        <v>2378</v>
      </c>
      <c r="H142">
        <v>40000</v>
      </c>
      <c r="I142">
        <v>3</v>
      </c>
      <c r="J142">
        <v>5</v>
      </c>
      <c r="K142">
        <v>120000</v>
      </c>
      <c r="L142">
        <v>6000</v>
      </c>
      <c r="M142">
        <v>114000</v>
      </c>
      <c r="N142">
        <v>67000</v>
      </c>
      <c r="O142">
        <v>181000</v>
      </c>
      <c r="P142" t="s">
        <v>35</v>
      </c>
      <c r="Q142" t="s">
        <v>2357</v>
      </c>
      <c r="R142" t="s">
        <v>30</v>
      </c>
      <c r="S142">
        <v>3</v>
      </c>
      <c r="T142" t="s">
        <v>24</v>
      </c>
      <c r="U142" t="s">
        <v>2401</v>
      </c>
      <c r="V142">
        <v>2025</v>
      </c>
      <c r="W142">
        <v>1</v>
      </c>
    </row>
    <row r="143" spans="1:23" x14ac:dyDescent="0.25">
      <c r="A143" t="s">
        <v>1072</v>
      </c>
      <c r="B143">
        <v>45681.422662037039</v>
      </c>
      <c r="C143" t="s">
        <v>1073</v>
      </c>
      <c r="D143" t="s">
        <v>27</v>
      </c>
      <c r="E143" t="s">
        <v>62</v>
      </c>
      <c r="F143" t="s">
        <v>2398</v>
      </c>
      <c r="G143" t="s">
        <v>2378</v>
      </c>
      <c r="H143">
        <v>50000</v>
      </c>
      <c r="I143">
        <v>5</v>
      </c>
      <c r="J143">
        <v>10</v>
      </c>
      <c r="K143">
        <v>250000</v>
      </c>
      <c r="L143">
        <v>25000</v>
      </c>
      <c r="M143">
        <v>225000</v>
      </c>
      <c r="N143">
        <v>17000</v>
      </c>
      <c r="O143">
        <v>242000</v>
      </c>
      <c r="P143" t="s">
        <v>29</v>
      </c>
      <c r="Q143" t="s">
        <v>2357</v>
      </c>
      <c r="R143" t="s">
        <v>30</v>
      </c>
      <c r="S143">
        <v>1</v>
      </c>
      <c r="T143" t="s">
        <v>24</v>
      </c>
      <c r="U143" t="s">
        <v>2401</v>
      </c>
      <c r="V143">
        <v>2025</v>
      </c>
      <c r="W143">
        <v>1</v>
      </c>
    </row>
    <row r="144" spans="1:23" x14ac:dyDescent="0.25">
      <c r="A144" t="s">
        <v>1074</v>
      </c>
      <c r="B144">
        <v>45681.651539351849</v>
      </c>
      <c r="C144" t="s">
        <v>808</v>
      </c>
      <c r="D144" t="s">
        <v>61</v>
      </c>
      <c r="E144" t="s">
        <v>190</v>
      </c>
      <c r="F144" t="s">
        <v>2392</v>
      </c>
      <c r="G144" t="s">
        <v>2378</v>
      </c>
      <c r="H144">
        <v>35000</v>
      </c>
      <c r="I144">
        <v>4</v>
      </c>
      <c r="J144">
        <v>20</v>
      </c>
      <c r="K144">
        <v>140000</v>
      </c>
      <c r="L144">
        <v>28000</v>
      </c>
      <c r="M144">
        <v>112000</v>
      </c>
      <c r="N144">
        <v>26000</v>
      </c>
      <c r="O144">
        <v>138000</v>
      </c>
      <c r="P144" t="s">
        <v>35</v>
      </c>
      <c r="Q144" t="s">
        <v>2357</v>
      </c>
      <c r="R144" t="s">
        <v>30</v>
      </c>
      <c r="S144">
        <v>5</v>
      </c>
      <c r="T144" t="s">
        <v>24</v>
      </c>
      <c r="U144" t="s">
        <v>2401</v>
      </c>
      <c r="V144">
        <v>2025</v>
      </c>
      <c r="W144">
        <v>1</v>
      </c>
    </row>
    <row r="145" spans="1:23" x14ac:dyDescent="0.25">
      <c r="A145" t="s">
        <v>1075</v>
      </c>
      <c r="B145">
        <v>45681.790972222218</v>
      </c>
      <c r="C145" t="s">
        <v>140</v>
      </c>
      <c r="D145" t="s">
        <v>92</v>
      </c>
      <c r="E145" t="s">
        <v>67</v>
      </c>
      <c r="F145" t="s">
        <v>2393</v>
      </c>
      <c r="G145" t="s">
        <v>2378</v>
      </c>
      <c r="H145">
        <v>15000</v>
      </c>
      <c r="I145">
        <v>3</v>
      </c>
      <c r="J145">
        <v>15</v>
      </c>
      <c r="K145">
        <v>45000</v>
      </c>
      <c r="L145">
        <v>6750</v>
      </c>
      <c r="M145">
        <v>38250</v>
      </c>
      <c r="N145">
        <v>30000</v>
      </c>
      <c r="O145">
        <v>68250</v>
      </c>
      <c r="P145" t="s">
        <v>63</v>
      </c>
      <c r="Q145" t="s">
        <v>2357</v>
      </c>
      <c r="R145" t="s">
        <v>36</v>
      </c>
      <c r="S145">
        <v>1</v>
      </c>
      <c r="T145" t="s">
        <v>24</v>
      </c>
      <c r="U145" t="s">
        <v>2401</v>
      </c>
      <c r="V145">
        <v>2025</v>
      </c>
      <c r="W145">
        <v>1</v>
      </c>
    </row>
    <row r="146" spans="1:23" x14ac:dyDescent="0.25">
      <c r="A146" t="s">
        <v>1076</v>
      </c>
      <c r="B146">
        <v>45681.946469907409</v>
      </c>
      <c r="C146" t="s">
        <v>1033</v>
      </c>
      <c r="D146" t="s">
        <v>122</v>
      </c>
      <c r="E146" t="s">
        <v>123</v>
      </c>
      <c r="F146" t="s">
        <v>2399</v>
      </c>
      <c r="G146" t="s">
        <v>2377</v>
      </c>
      <c r="H146">
        <v>22000</v>
      </c>
      <c r="I146">
        <v>3</v>
      </c>
      <c r="J146">
        <v>15</v>
      </c>
      <c r="K146">
        <v>66000</v>
      </c>
      <c r="L146">
        <v>9900</v>
      </c>
      <c r="M146">
        <v>56100</v>
      </c>
      <c r="N146">
        <v>78000</v>
      </c>
      <c r="O146">
        <v>134100</v>
      </c>
      <c r="P146" t="s">
        <v>63</v>
      </c>
      <c r="Q146" t="s">
        <v>2357</v>
      </c>
      <c r="R146" t="s">
        <v>30</v>
      </c>
      <c r="S146">
        <v>3</v>
      </c>
      <c r="T146" t="s">
        <v>24</v>
      </c>
      <c r="U146" t="s">
        <v>2401</v>
      </c>
      <c r="V146">
        <v>2025</v>
      </c>
      <c r="W146">
        <v>1</v>
      </c>
    </row>
    <row r="147" spans="1:23" x14ac:dyDescent="0.25">
      <c r="A147" t="s">
        <v>1077</v>
      </c>
      <c r="B147">
        <v>45682.091898148137</v>
      </c>
      <c r="C147" t="s">
        <v>363</v>
      </c>
      <c r="D147" t="s">
        <v>189</v>
      </c>
      <c r="E147" t="s">
        <v>93</v>
      </c>
      <c r="F147" t="s">
        <v>2399</v>
      </c>
      <c r="G147" t="s">
        <v>2378</v>
      </c>
      <c r="H147">
        <v>25000</v>
      </c>
      <c r="I147">
        <v>3</v>
      </c>
      <c r="J147">
        <v>5</v>
      </c>
      <c r="K147">
        <v>75000</v>
      </c>
      <c r="L147">
        <v>3750</v>
      </c>
      <c r="M147">
        <v>71250</v>
      </c>
      <c r="N147">
        <v>57000</v>
      </c>
      <c r="O147">
        <v>128250</v>
      </c>
      <c r="P147" t="s">
        <v>63</v>
      </c>
      <c r="Q147" t="s">
        <v>2357</v>
      </c>
      <c r="R147" t="s">
        <v>30</v>
      </c>
      <c r="S147">
        <v>4</v>
      </c>
      <c r="T147" t="s">
        <v>24</v>
      </c>
      <c r="U147" t="s">
        <v>2401</v>
      </c>
      <c r="V147">
        <v>2025</v>
      </c>
      <c r="W147">
        <v>1</v>
      </c>
    </row>
    <row r="148" spans="1:23" x14ac:dyDescent="0.25">
      <c r="A148" t="s">
        <v>1078</v>
      </c>
      <c r="B148">
        <v>45682.285428240742</v>
      </c>
      <c r="C148" t="s">
        <v>235</v>
      </c>
      <c r="D148" t="s">
        <v>189</v>
      </c>
      <c r="E148" t="s">
        <v>62</v>
      </c>
      <c r="F148" t="s">
        <v>2398</v>
      </c>
      <c r="G148" t="s">
        <v>2378</v>
      </c>
      <c r="H148">
        <v>50000</v>
      </c>
      <c r="I148">
        <v>5</v>
      </c>
      <c r="J148">
        <v>10</v>
      </c>
      <c r="K148">
        <v>250000</v>
      </c>
      <c r="L148">
        <v>25000</v>
      </c>
      <c r="M148">
        <v>225000</v>
      </c>
      <c r="N148">
        <v>57000</v>
      </c>
      <c r="O148">
        <v>282000</v>
      </c>
      <c r="P148" t="s">
        <v>22</v>
      </c>
      <c r="Q148" t="s">
        <v>2357</v>
      </c>
      <c r="R148" t="s">
        <v>46</v>
      </c>
      <c r="S148">
        <v>3</v>
      </c>
      <c r="T148" t="s">
        <v>37</v>
      </c>
      <c r="U148" t="s">
        <v>2401</v>
      </c>
      <c r="V148">
        <v>2025</v>
      </c>
      <c r="W148">
        <v>1</v>
      </c>
    </row>
    <row r="149" spans="1:23" x14ac:dyDescent="0.25">
      <c r="A149" t="s">
        <v>1079</v>
      </c>
      <c r="B149">
        <v>45682.301770833343</v>
      </c>
      <c r="C149" t="s">
        <v>56</v>
      </c>
      <c r="D149" t="s">
        <v>57</v>
      </c>
      <c r="E149" t="s">
        <v>144</v>
      </c>
      <c r="F149" t="s">
        <v>2396</v>
      </c>
      <c r="G149" t="s">
        <v>2379</v>
      </c>
      <c r="H149">
        <v>18000</v>
      </c>
      <c r="I149">
        <v>5</v>
      </c>
      <c r="J149">
        <v>20</v>
      </c>
      <c r="K149">
        <v>90000</v>
      </c>
      <c r="L149">
        <v>18000</v>
      </c>
      <c r="M149">
        <v>72000</v>
      </c>
      <c r="N149">
        <v>80000</v>
      </c>
      <c r="O149">
        <v>152000</v>
      </c>
      <c r="P149" t="s">
        <v>29</v>
      </c>
      <c r="Q149" t="s">
        <v>2357</v>
      </c>
      <c r="R149" t="s">
        <v>30</v>
      </c>
      <c r="S149">
        <v>3</v>
      </c>
      <c r="T149" t="s">
        <v>24</v>
      </c>
      <c r="U149" t="s">
        <v>2401</v>
      </c>
      <c r="V149">
        <v>2025</v>
      </c>
      <c r="W149">
        <v>1</v>
      </c>
    </row>
    <row r="150" spans="1:23" x14ac:dyDescent="0.25">
      <c r="A150" t="s">
        <v>1080</v>
      </c>
      <c r="B150">
        <v>45682.525972222233</v>
      </c>
      <c r="C150" t="s">
        <v>582</v>
      </c>
      <c r="D150" t="s">
        <v>435</v>
      </c>
      <c r="E150" t="s">
        <v>28</v>
      </c>
      <c r="F150" t="s">
        <v>2395</v>
      </c>
      <c r="G150" t="s">
        <v>2378</v>
      </c>
      <c r="H150">
        <v>5000</v>
      </c>
      <c r="I150">
        <v>5</v>
      </c>
      <c r="J150">
        <v>10</v>
      </c>
      <c r="K150">
        <v>25000</v>
      </c>
      <c r="L150">
        <v>2500</v>
      </c>
      <c r="M150">
        <v>22500</v>
      </c>
      <c r="N150">
        <v>67000</v>
      </c>
      <c r="O150">
        <v>89500</v>
      </c>
      <c r="P150" t="s">
        <v>22</v>
      </c>
      <c r="Q150" t="s">
        <v>2357</v>
      </c>
      <c r="R150" t="s">
        <v>30</v>
      </c>
      <c r="S150">
        <v>4</v>
      </c>
      <c r="T150" t="s">
        <v>24</v>
      </c>
      <c r="U150" t="s">
        <v>2401</v>
      </c>
      <c r="V150">
        <v>2025</v>
      </c>
      <c r="W150">
        <v>1</v>
      </c>
    </row>
    <row r="151" spans="1:23" x14ac:dyDescent="0.25">
      <c r="A151" t="s">
        <v>1081</v>
      </c>
      <c r="B151">
        <v>45682.660451388889</v>
      </c>
      <c r="C151" t="s">
        <v>194</v>
      </c>
      <c r="D151" t="s">
        <v>195</v>
      </c>
      <c r="E151" t="s">
        <v>104</v>
      </c>
      <c r="F151" t="s">
        <v>2392</v>
      </c>
      <c r="G151" t="s">
        <v>2377</v>
      </c>
      <c r="H151">
        <v>30000</v>
      </c>
      <c r="I151">
        <v>4</v>
      </c>
      <c r="J151">
        <v>15</v>
      </c>
      <c r="K151">
        <v>120000</v>
      </c>
      <c r="L151">
        <v>18000</v>
      </c>
      <c r="M151">
        <v>102000</v>
      </c>
      <c r="N151">
        <v>87000</v>
      </c>
      <c r="O151">
        <v>189000</v>
      </c>
      <c r="P151" t="s">
        <v>29</v>
      </c>
      <c r="Q151" t="s">
        <v>2357</v>
      </c>
      <c r="R151" t="s">
        <v>23</v>
      </c>
      <c r="S151">
        <v>5</v>
      </c>
      <c r="T151" t="s">
        <v>24</v>
      </c>
      <c r="U151" t="s">
        <v>2401</v>
      </c>
      <c r="V151">
        <v>2025</v>
      </c>
      <c r="W151">
        <v>1</v>
      </c>
    </row>
    <row r="152" spans="1:23" x14ac:dyDescent="0.25">
      <c r="A152" t="s">
        <v>1082</v>
      </c>
      <c r="B152">
        <v>45682.917245370372</v>
      </c>
      <c r="C152" t="s">
        <v>1083</v>
      </c>
      <c r="D152" t="s">
        <v>170</v>
      </c>
      <c r="E152" t="s">
        <v>34</v>
      </c>
      <c r="F152" t="s">
        <v>2397</v>
      </c>
      <c r="G152" t="s">
        <v>2377</v>
      </c>
      <c r="H152">
        <v>16000</v>
      </c>
      <c r="I152">
        <v>3</v>
      </c>
      <c r="J152">
        <v>20</v>
      </c>
      <c r="K152">
        <v>48000</v>
      </c>
      <c r="L152">
        <v>9600</v>
      </c>
      <c r="M152">
        <v>38400</v>
      </c>
      <c r="N152">
        <v>46000</v>
      </c>
      <c r="O152">
        <v>84400</v>
      </c>
      <c r="P152" t="s">
        <v>22</v>
      </c>
      <c r="Q152" t="s">
        <v>2357</v>
      </c>
      <c r="R152" t="s">
        <v>46</v>
      </c>
      <c r="S152">
        <v>2</v>
      </c>
      <c r="T152" t="s">
        <v>24</v>
      </c>
      <c r="U152" t="s">
        <v>2401</v>
      </c>
      <c r="V152">
        <v>2025</v>
      </c>
      <c r="W152">
        <v>1</v>
      </c>
    </row>
    <row r="153" spans="1:23" x14ac:dyDescent="0.25">
      <c r="A153" t="s">
        <v>1084</v>
      </c>
      <c r="B153">
        <v>45683.408587962957</v>
      </c>
      <c r="C153" t="s">
        <v>959</v>
      </c>
      <c r="D153" t="s">
        <v>182</v>
      </c>
      <c r="E153" t="s">
        <v>93</v>
      </c>
      <c r="F153" t="s">
        <v>2399</v>
      </c>
      <c r="G153" t="s">
        <v>2378</v>
      </c>
      <c r="H153">
        <v>25000</v>
      </c>
      <c r="I153">
        <v>5</v>
      </c>
      <c r="J153">
        <v>0</v>
      </c>
      <c r="K153">
        <v>125000</v>
      </c>
      <c r="L153">
        <v>0</v>
      </c>
      <c r="M153">
        <v>125000</v>
      </c>
      <c r="N153">
        <v>48000</v>
      </c>
      <c r="O153">
        <v>173000</v>
      </c>
      <c r="P153" t="s">
        <v>35</v>
      </c>
      <c r="Q153" t="s">
        <v>2357</v>
      </c>
      <c r="R153" t="s">
        <v>23</v>
      </c>
      <c r="S153">
        <v>5</v>
      </c>
      <c r="T153" t="s">
        <v>24</v>
      </c>
      <c r="U153" t="s">
        <v>2401</v>
      </c>
      <c r="V153">
        <v>2025</v>
      </c>
      <c r="W153">
        <v>1</v>
      </c>
    </row>
    <row r="154" spans="1:23" x14ac:dyDescent="0.25">
      <c r="A154" t="s">
        <v>1085</v>
      </c>
      <c r="B154">
        <v>45683.608252314807</v>
      </c>
      <c r="C154" t="s">
        <v>408</v>
      </c>
      <c r="D154" t="s">
        <v>74</v>
      </c>
      <c r="E154" t="s">
        <v>50</v>
      </c>
      <c r="F154" t="s">
        <v>2400</v>
      </c>
      <c r="G154" t="s">
        <v>2379</v>
      </c>
      <c r="H154">
        <v>14000</v>
      </c>
      <c r="I154">
        <v>2</v>
      </c>
      <c r="J154">
        <v>15</v>
      </c>
      <c r="K154">
        <v>28000</v>
      </c>
      <c r="L154">
        <v>4200</v>
      </c>
      <c r="M154">
        <v>23800</v>
      </c>
      <c r="N154">
        <v>87000</v>
      </c>
      <c r="O154">
        <v>110800</v>
      </c>
      <c r="P154" t="s">
        <v>22</v>
      </c>
      <c r="Q154" t="s">
        <v>2357</v>
      </c>
      <c r="R154" t="s">
        <v>82</v>
      </c>
      <c r="S154">
        <v>3</v>
      </c>
      <c r="T154" t="s">
        <v>24</v>
      </c>
      <c r="U154" t="s">
        <v>2401</v>
      </c>
      <c r="V154">
        <v>2025</v>
      </c>
      <c r="W154">
        <v>1</v>
      </c>
    </row>
    <row r="155" spans="1:23" x14ac:dyDescent="0.25">
      <c r="A155" t="s">
        <v>1086</v>
      </c>
      <c r="B155">
        <v>45683.758414351847</v>
      </c>
      <c r="C155" t="s">
        <v>1087</v>
      </c>
      <c r="D155" t="s">
        <v>143</v>
      </c>
      <c r="E155" t="s">
        <v>21</v>
      </c>
      <c r="F155" t="s">
        <v>2394</v>
      </c>
      <c r="G155" t="s">
        <v>2379</v>
      </c>
      <c r="H155">
        <v>45000</v>
      </c>
      <c r="I155">
        <v>5</v>
      </c>
      <c r="J155">
        <v>0</v>
      </c>
      <c r="K155">
        <v>225000</v>
      </c>
      <c r="L155">
        <v>0</v>
      </c>
      <c r="M155">
        <v>225000</v>
      </c>
      <c r="N155">
        <v>50000</v>
      </c>
      <c r="O155">
        <v>275000</v>
      </c>
      <c r="P155" t="s">
        <v>29</v>
      </c>
      <c r="Q155" t="s">
        <v>2357</v>
      </c>
      <c r="R155" t="s">
        <v>82</v>
      </c>
      <c r="S155">
        <v>5</v>
      </c>
      <c r="T155" t="s">
        <v>24</v>
      </c>
      <c r="U155" t="s">
        <v>2401</v>
      </c>
      <c r="V155">
        <v>2025</v>
      </c>
      <c r="W155">
        <v>1</v>
      </c>
    </row>
    <row r="156" spans="1:23" x14ac:dyDescent="0.25">
      <c r="A156" t="s">
        <v>1088</v>
      </c>
      <c r="B156">
        <v>45683.790763888886</v>
      </c>
      <c r="C156" t="s">
        <v>763</v>
      </c>
      <c r="D156" t="s">
        <v>74</v>
      </c>
      <c r="E156" t="s">
        <v>81</v>
      </c>
      <c r="F156" t="s">
        <v>2397</v>
      </c>
      <c r="G156" t="s">
        <v>2378</v>
      </c>
      <c r="H156">
        <v>17000</v>
      </c>
      <c r="I156">
        <v>4</v>
      </c>
      <c r="J156">
        <v>0</v>
      </c>
      <c r="K156">
        <v>68000</v>
      </c>
      <c r="L156">
        <v>0</v>
      </c>
      <c r="M156">
        <v>68000</v>
      </c>
      <c r="N156">
        <v>87000</v>
      </c>
      <c r="O156">
        <v>155000</v>
      </c>
      <c r="P156" t="s">
        <v>63</v>
      </c>
      <c r="Q156" t="s">
        <v>2357</v>
      </c>
      <c r="R156" t="s">
        <v>82</v>
      </c>
      <c r="S156">
        <v>4</v>
      </c>
      <c r="T156" t="s">
        <v>24</v>
      </c>
      <c r="U156" t="s">
        <v>2401</v>
      </c>
      <c r="V156">
        <v>2025</v>
      </c>
      <c r="W156">
        <v>1</v>
      </c>
    </row>
    <row r="157" spans="1:23" x14ac:dyDescent="0.25">
      <c r="A157" t="s">
        <v>1089</v>
      </c>
      <c r="B157">
        <v>45684.484722222223</v>
      </c>
      <c r="C157" t="s">
        <v>412</v>
      </c>
      <c r="D157" t="s">
        <v>70</v>
      </c>
      <c r="E157" t="s">
        <v>110</v>
      </c>
      <c r="F157" t="s">
        <v>2395</v>
      </c>
      <c r="G157" t="s">
        <v>2379</v>
      </c>
      <c r="H157">
        <v>6000</v>
      </c>
      <c r="I157">
        <v>5</v>
      </c>
      <c r="J157">
        <v>10</v>
      </c>
      <c r="K157">
        <v>30000</v>
      </c>
      <c r="L157">
        <v>3000</v>
      </c>
      <c r="M157">
        <v>27000</v>
      </c>
      <c r="N157">
        <v>89000</v>
      </c>
      <c r="O157">
        <v>116000</v>
      </c>
      <c r="P157" t="s">
        <v>22</v>
      </c>
      <c r="Q157" t="s">
        <v>2356</v>
      </c>
      <c r="R157" t="s">
        <v>36</v>
      </c>
      <c r="S157">
        <v>5</v>
      </c>
      <c r="T157" t="s">
        <v>24</v>
      </c>
      <c r="U157" t="s">
        <v>2401</v>
      </c>
      <c r="V157">
        <v>2025</v>
      </c>
      <c r="W157">
        <v>1</v>
      </c>
    </row>
    <row r="158" spans="1:23" x14ac:dyDescent="0.25">
      <c r="A158" t="s">
        <v>1090</v>
      </c>
      <c r="B158">
        <v>45684.688935185193</v>
      </c>
      <c r="C158" t="s">
        <v>1091</v>
      </c>
      <c r="D158" t="s">
        <v>160</v>
      </c>
      <c r="E158" t="s">
        <v>62</v>
      </c>
      <c r="F158" t="s">
        <v>2398</v>
      </c>
      <c r="G158" t="s">
        <v>2378</v>
      </c>
      <c r="H158">
        <v>50000</v>
      </c>
      <c r="I158">
        <v>2</v>
      </c>
      <c r="J158">
        <v>10</v>
      </c>
      <c r="K158">
        <v>100000</v>
      </c>
      <c r="L158">
        <v>10000</v>
      </c>
      <c r="M158">
        <v>90000</v>
      </c>
      <c r="N158">
        <v>68000</v>
      </c>
      <c r="O158">
        <v>158000</v>
      </c>
      <c r="P158" t="s">
        <v>22</v>
      </c>
      <c r="Q158" t="s">
        <v>2357</v>
      </c>
      <c r="R158" t="s">
        <v>30</v>
      </c>
      <c r="S158">
        <v>4</v>
      </c>
      <c r="T158" t="s">
        <v>37</v>
      </c>
      <c r="U158" t="s">
        <v>2401</v>
      </c>
      <c r="V158">
        <v>2025</v>
      </c>
      <c r="W158">
        <v>1</v>
      </c>
    </row>
    <row r="159" spans="1:23" x14ac:dyDescent="0.25">
      <c r="A159" t="s">
        <v>1092</v>
      </c>
      <c r="B159">
        <v>45685.353761574072</v>
      </c>
      <c r="C159" t="s">
        <v>596</v>
      </c>
      <c r="D159" t="s">
        <v>70</v>
      </c>
      <c r="E159" t="s">
        <v>45</v>
      </c>
      <c r="F159" t="s">
        <v>2394</v>
      </c>
      <c r="G159" t="s">
        <v>2378</v>
      </c>
      <c r="H159">
        <v>40000</v>
      </c>
      <c r="I159">
        <v>1</v>
      </c>
      <c r="J159">
        <v>15</v>
      </c>
      <c r="K159">
        <v>40000</v>
      </c>
      <c r="L159">
        <v>6000</v>
      </c>
      <c r="M159">
        <v>34000</v>
      </c>
      <c r="N159">
        <v>89000</v>
      </c>
      <c r="O159">
        <v>123000</v>
      </c>
      <c r="P159" t="s">
        <v>29</v>
      </c>
      <c r="Q159" t="s">
        <v>2357</v>
      </c>
      <c r="R159" t="s">
        <v>30</v>
      </c>
      <c r="S159">
        <v>4</v>
      </c>
      <c r="T159" t="s">
        <v>24</v>
      </c>
      <c r="U159" t="s">
        <v>2401</v>
      </c>
      <c r="V159">
        <v>2025</v>
      </c>
      <c r="W159">
        <v>1</v>
      </c>
    </row>
    <row r="160" spans="1:23" x14ac:dyDescent="0.25">
      <c r="A160" t="s">
        <v>1093</v>
      </c>
      <c r="B160">
        <v>45685.369444444441</v>
      </c>
      <c r="C160" t="s">
        <v>40</v>
      </c>
      <c r="D160" t="s">
        <v>27</v>
      </c>
      <c r="E160" t="s">
        <v>88</v>
      </c>
      <c r="F160" t="s">
        <v>2393</v>
      </c>
      <c r="G160" t="s">
        <v>2377</v>
      </c>
      <c r="H160">
        <v>14000</v>
      </c>
      <c r="I160">
        <v>2</v>
      </c>
      <c r="J160">
        <v>15</v>
      </c>
      <c r="K160">
        <v>28000</v>
      </c>
      <c r="L160">
        <v>4200</v>
      </c>
      <c r="M160">
        <v>23800</v>
      </c>
      <c r="N160">
        <v>17000</v>
      </c>
      <c r="O160">
        <v>40800</v>
      </c>
      <c r="P160" t="s">
        <v>29</v>
      </c>
      <c r="Q160" t="s">
        <v>2357</v>
      </c>
      <c r="R160" t="s">
        <v>23</v>
      </c>
      <c r="S160">
        <v>4</v>
      </c>
      <c r="T160" t="s">
        <v>24</v>
      </c>
      <c r="U160" t="s">
        <v>2401</v>
      </c>
      <c r="V160">
        <v>2025</v>
      </c>
      <c r="W160">
        <v>1</v>
      </c>
    </row>
    <row r="161" spans="1:23" x14ac:dyDescent="0.25">
      <c r="A161" t="s">
        <v>1094</v>
      </c>
      <c r="B161">
        <v>45685.746377314812</v>
      </c>
      <c r="C161" t="s">
        <v>1069</v>
      </c>
      <c r="D161" t="s">
        <v>189</v>
      </c>
      <c r="E161" t="s">
        <v>28</v>
      </c>
      <c r="F161" t="s">
        <v>2395</v>
      </c>
      <c r="G161" t="s">
        <v>2378</v>
      </c>
      <c r="H161">
        <v>5000</v>
      </c>
      <c r="I161">
        <v>1</v>
      </c>
      <c r="J161">
        <v>15</v>
      </c>
      <c r="K161">
        <v>5000</v>
      </c>
      <c r="L161">
        <v>750</v>
      </c>
      <c r="M161">
        <v>4250</v>
      </c>
      <c r="N161">
        <v>57000</v>
      </c>
      <c r="O161">
        <v>61250</v>
      </c>
      <c r="P161" t="s">
        <v>35</v>
      </c>
      <c r="Q161" t="s">
        <v>2357</v>
      </c>
      <c r="R161" t="s">
        <v>36</v>
      </c>
      <c r="S161">
        <v>2</v>
      </c>
      <c r="T161" t="s">
        <v>24</v>
      </c>
      <c r="U161" t="s">
        <v>2401</v>
      </c>
      <c r="V161">
        <v>2025</v>
      </c>
      <c r="W161">
        <v>1</v>
      </c>
    </row>
    <row r="162" spans="1:23" x14ac:dyDescent="0.25">
      <c r="A162" t="s">
        <v>1095</v>
      </c>
      <c r="B162">
        <v>45686.106516203698</v>
      </c>
      <c r="C162" t="s">
        <v>875</v>
      </c>
      <c r="D162" t="s">
        <v>170</v>
      </c>
      <c r="E162" t="s">
        <v>93</v>
      </c>
      <c r="F162" t="s">
        <v>2399</v>
      </c>
      <c r="G162" t="s">
        <v>2378</v>
      </c>
      <c r="H162">
        <v>25000</v>
      </c>
      <c r="I162">
        <v>4</v>
      </c>
      <c r="J162">
        <v>0</v>
      </c>
      <c r="K162">
        <v>100000</v>
      </c>
      <c r="L162">
        <v>0</v>
      </c>
      <c r="M162">
        <v>100000</v>
      </c>
      <c r="N162">
        <v>46000</v>
      </c>
      <c r="O162">
        <v>146000</v>
      </c>
      <c r="P162" t="s">
        <v>63</v>
      </c>
      <c r="Q162" t="s">
        <v>2357</v>
      </c>
      <c r="R162" t="s">
        <v>30</v>
      </c>
      <c r="S162">
        <v>1</v>
      </c>
      <c r="T162" t="s">
        <v>24</v>
      </c>
      <c r="U162" t="s">
        <v>2401</v>
      </c>
      <c r="V162">
        <v>2025</v>
      </c>
      <c r="W162">
        <v>1</v>
      </c>
    </row>
    <row r="163" spans="1:23" x14ac:dyDescent="0.25">
      <c r="A163" t="s">
        <v>1096</v>
      </c>
      <c r="B163">
        <v>45686.161377314813</v>
      </c>
      <c r="C163" t="s">
        <v>389</v>
      </c>
      <c r="D163" t="s">
        <v>182</v>
      </c>
      <c r="E163" t="s">
        <v>88</v>
      </c>
      <c r="F163" t="s">
        <v>2393</v>
      </c>
      <c r="G163" t="s">
        <v>2377</v>
      </c>
      <c r="H163">
        <v>14000</v>
      </c>
      <c r="I163">
        <v>2</v>
      </c>
      <c r="J163">
        <v>10</v>
      </c>
      <c r="K163">
        <v>28000</v>
      </c>
      <c r="L163">
        <v>2800</v>
      </c>
      <c r="M163">
        <v>25200</v>
      </c>
      <c r="N163">
        <v>48000</v>
      </c>
      <c r="O163">
        <v>73200</v>
      </c>
      <c r="P163" t="s">
        <v>35</v>
      </c>
      <c r="Q163" t="s">
        <v>2357</v>
      </c>
      <c r="R163" t="s">
        <v>23</v>
      </c>
      <c r="S163">
        <v>4</v>
      </c>
      <c r="T163" t="s">
        <v>24</v>
      </c>
      <c r="U163" t="s">
        <v>2401</v>
      </c>
      <c r="V163">
        <v>2025</v>
      </c>
      <c r="W163">
        <v>1</v>
      </c>
    </row>
    <row r="164" spans="1:23" x14ac:dyDescent="0.25">
      <c r="A164" t="s">
        <v>1097</v>
      </c>
      <c r="B164">
        <v>45686.323159722233</v>
      </c>
      <c r="C164" t="s">
        <v>1098</v>
      </c>
      <c r="D164" t="s">
        <v>126</v>
      </c>
      <c r="E164" t="s">
        <v>58</v>
      </c>
      <c r="F164" t="s">
        <v>2396</v>
      </c>
      <c r="G164" t="s">
        <v>2377</v>
      </c>
      <c r="H164">
        <v>16000</v>
      </c>
      <c r="I164">
        <v>1</v>
      </c>
      <c r="J164">
        <v>10</v>
      </c>
      <c r="K164">
        <v>16000</v>
      </c>
      <c r="L164">
        <v>1600</v>
      </c>
      <c r="M164">
        <v>14400</v>
      </c>
      <c r="N164">
        <v>84000</v>
      </c>
      <c r="O164">
        <v>98400</v>
      </c>
      <c r="P164" t="s">
        <v>22</v>
      </c>
      <c r="Q164" t="s">
        <v>2357</v>
      </c>
      <c r="R164" t="s">
        <v>82</v>
      </c>
      <c r="S164">
        <v>2</v>
      </c>
      <c r="T164" t="s">
        <v>37</v>
      </c>
      <c r="U164" t="s">
        <v>2401</v>
      </c>
      <c r="V164">
        <v>2025</v>
      </c>
      <c r="W164">
        <v>1</v>
      </c>
    </row>
    <row r="165" spans="1:23" x14ac:dyDescent="0.25">
      <c r="A165" t="s">
        <v>1099</v>
      </c>
      <c r="B165">
        <v>45686.779074074067</v>
      </c>
      <c r="C165" t="s">
        <v>340</v>
      </c>
      <c r="D165" t="s">
        <v>126</v>
      </c>
      <c r="E165" t="s">
        <v>28</v>
      </c>
      <c r="F165" t="s">
        <v>2395</v>
      </c>
      <c r="G165" t="s">
        <v>2378</v>
      </c>
      <c r="H165">
        <v>5000</v>
      </c>
      <c r="I165">
        <v>3</v>
      </c>
      <c r="J165">
        <v>15</v>
      </c>
      <c r="K165">
        <v>15000</v>
      </c>
      <c r="L165">
        <v>2250</v>
      </c>
      <c r="M165">
        <v>12750</v>
      </c>
      <c r="N165">
        <v>84000</v>
      </c>
      <c r="O165">
        <v>96750</v>
      </c>
      <c r="P165" t="s">
        <v>29</v>
      </c>
      <c r="Q165" t="s">
        <v>2357</v>
      </c>
      <c r="R165" t="s">
        <v>36</v>
      </c>
      <c r="S165">
        <v>4</v>
      </c>
      <c r="T165" t="s">
        <v>37</v>
      </c>
      <c r="U165" t="s">
        <v>2401</v>
      </c>
      <c r="V165">
        <v>2025</v>
      </c>
      <c r="W165">
        <v>1</v>
      </c>
    </row>
    <row r="166" spans="1:23" x14ac:dyDescent="0.25">
      <c r="A166" t="s">
        <v>1100</v>
      </c>
      <c r="B166">
        <v>45687.633761574078</v>
      </c>
      <c r="C166" t="s">
        <v>598</v>
      </c>
      <c r="D166" t="s">
        <v>61</v>
      </c>
      <c r="E166" t="s">
        <v>41</v>
      </c>
      <c r="F166" t="s">
        <v>2395</v>
      </c>
      <c r="G166" t="s">
        <v>2377</v>
      </c>
      <c r="H166">
        <v>4000</v>
      </c>
      <c r="I166">
        <v>2</v>
      </c>
      <c r="J166">
        <v>5</v>
      </c>
      <c r="K166">
        <v>8000</v>
      </c>
      <c r="L166">
        <v>400</v>
      </c>
      <c r="M166">
        <v>7600</v>
      </c>
      <c r="N166">
        <v>26000</v>
      </c>
      <c r="O166">
        <v>33600</v>
      </c>
      <c r="P166" t="s">
        <v>29</v>
      </c>
      <c r="Q166" t="s">
        <v>2357</v>
      </c>
      <c r="R166" t="s">
        <v>36</v>
      </c>
      <c r="S166">
        <v>1</v>
      </c>
      <c r="T166" t="s">
        <v>24</v>
      </c>
      <c r="U166" t="s">
        <v>2401</v>
      </c>
      <c r="V166">
        <v>2025</v>
      </c>
      <c r="W166">
        <v>1</v>
      </c>
    </row>
    <row r="167" spans="1:23" x14ac:dyDescent="0.25">
      <c r="A167" t="s">
        <v>1100</v>
      </c>
      <c r="B167">
        <v>45687.633761574078</v>
      </c>
      <c r="C167" t="s">
        <v>598</v>
      </c>
      <c r="D167" t="s">
        <v>61</v>
      </c>
      <c r="E167" t="s">
        <v>110</v>
      </c>
      <c r="F167" t="s">
        <v>2395</v>
      </c>
      <c r="G167" t="s">
        <v>2379</v>
      </c>
      <c r="H167">
        <v>6000</v>
      </c>
      <c r="I167">
        <v>1</v>
      </c>
      <c r="J167">
        <v>20</v>
      </c>
      <c r="K167">
        <v>6000</v>
      </c>
      <c r="L167">
        <v>1200</v>
      </c>
      <c r="M167">
        <v>4800</v>
      </c>
      <c r="N167">
        <v>0</v>
      </c>
      <c r="O167">
        <v>4800</v>
      </c>
      <c r="P167" t="s">
        <v>29</v>
      </c>
      <c r="Q167" t="s">
        <v>2357</v>
      </c>
      <c r="R167" t="s">
        <v>36</v>
      </c>
      <c r="S167">
        <v>1</v>
      </c>
      <c r="T167" t="s">
        <v>24</v>
      </c>
      <c r="U167" t="s">
        <v>2401</v>
      </c>
      <c r="V167">
        <v>2025</v>
      </c>
      <c r="W167">
        <v>1</v>
      </c>
    </row>
    <row r="168" spans="1:23" x14ac:dyDescent="0.25">
      <c r="A168" t="s">
        <v>1101</v>
      </c>
      <c r="B168">
        <v>45687.905613425923</v>
      </c>
      <c r="C168" t="s">
        <v>52</v>
      </c>
      <c r="D168" t="s">
        <v>53</v>
      </c>
      <c r="E168" t="s">
        <v>50</v>
      </c>
      <c r="F168" t="s">
        <v>2400</v>
      </c>
      <c r="G168" t="s">
        <v>2379</v>
      </c>
      <c r="H168">
        <v>14000</v>
      </c>
      <c r="I168">
        <v>1</v>
      </c>
      <c r="J168">
        <v>15</v>
      </c>
      <c r="K168">
        <v>14000</v>
      </c>
      <c r="L168">
        <v>2100</v>
      </c>
      <c r="M168">
        <v>11900</v>
      </c>
      <c r="N168">
        <v>18000</v>
      </c>
      <c r="O168">
        <v>29900</v>
      </c>
      <c r="P168" t="s">
        <v>29</v>
      </c>
      <c r="Q168" t="s">
        <v>2357</v>
      </c>
      <c r="R168" t="s">
        <v>82</v>
      </c>
      <c r="S168">
        <v>4</v>
      </c>
      <c r="T168" t="s">
        <v>24</v>
      </c>
      <c r="U168" t="s">
        <v>2401</v>
      </c>
      <c r="V168">
        <v>2025</v>
      </c>
      <c r="W168">
        <v>1</v>
      </c>
    </row>
    <row r="169" spans="1:23" x14ac:dyDescent="0.25">
      <c r="A169" t="s">
        <v>1102</v>
      </c>
      <c r="B169">
        <v>45688.018125000002</v>
      </c>
      <c r="C169" t="s">
        <v>638</v>
      </c>
      <c r="D169" t="s">
        <v>195</v>
      </c>
      <c r="E169" t="s">
        <v>41</v>
      </c>
      <c r="F169" t="s">
        <v>2395</v>
      </c>
      <c r="G169" t="s">
        <v>2377</v>
      </c>
      <c r="H169">
        <v>4000</v>
      </c>
      <c r="I169">
        <v>5</v>
      </c>
      <c r="J169">
        <v>0</v>
      </c>
      <c r="K169">
        <v>20000</v>
      </c>
      <c r="L169">
        <v>0</v>
      </c>
      <c r="M169">
        <v>20000</v>
      </c>
      <c r="N169">
        <v>87000</v>
      </c>
      <c r="O169">
        <v>107000</v>
      </c>
      <c r="P169" t="s">
        <v>22</v>
      </c>
      <c r="Q169" t="s">
        <v>2357</v>
      </c>
      <c r="R169" t="s">
        <v>46</v>
      </c>
      <c r="S169">
        <v>3</v>
      </c>
      <c r="T169" t="s">
        <v>37</v>
      </c>
      <c r="U169" t="s">
        <v>2401</v>
      </c>
      <c r="V169">
        <v>2025</v>
      </c>
      <c r="W169">
        <v>1</v>
      </c>
    </row>
    <row r="170" spans="1:23" x14ac:dyDescent="0.25">
      <c r="A170" t="s">
        <v>1103</v>
      </c>
      <c r="B170">
        <v>45688.090949074067</v>
      </c>
      <c r="C170" t="s">
        <v>488</v>
      </c>
      <c r="D170" t="s">
        <v>49</v>
      </c>
      <c r="E170" t="s">
        <v>123</v>
      </c>
      <c r="F170" t="s">
        <v>2399</v>
      </c>
      <c r="G170" t="s">
        <v>2377</v>
      </c>
      <c r="H170">
        <v>22000</v>
      </c>
      <c r="I170">
        <v>5</v>
      </c>
      <c r="J170">
        <v>10</v>
      </c>
      <c r="K170">
        <v>110000</v>
      </c>
      <c r="L170">
        <v>11000</v>
      </c>
      <c r="M170">
        <v>99000</v>
      </c>
      <c r="N170">
        <v>43000</v>
      </c>
      <c r="O170">
        <v>142000</v>
      </c>
      <c r="P170" t="s">
        <v>35</v>
      </c>
      <c r="Q170" t="s">
        <v>2357</v>
      </c>
      <c r="R170" t="s">
        <v>46</v>
      </c>
      <c r="S170">
        <v>4</v>
      </c>
      <c r="T170" t="s">
        <v>24</v>
      </c>
      <c r="U170" t="s">
        <v>2401</v>
      </c>
      <c r="V170">
        <v>2025</v>
      </c>
      <c r="W170">
        <v>1</v>
      </c>
    </row>
    <row r="171" spans="1:23" x14ac:dyDescent="0.25">
      <c r="A171" t="s">
        <v>1104</v>
      </c>
      <c r="B171">
        <v>45688.387233796297</v>
      </c>
      <c r="C171" t="s">
        <v>649</v>
      </c>
      <c r="D171" t="s">
        <v>177</v>
      </c>
      <c r="E171" t="s">
        <v>75</v>
      </c>
      <c r="F171" t="s">
        <v>2398</v>
      </c>
      <c r="G171" t="s">
        <v>2379</v>
      </c>
      <c r="H171">
        <v>55000</v>
      </c>
      <c r="I171">
        <v>5</v>
      </c>
      <c r="J171">
        <v>10</v>
      </c>
      <c r="K171">
        <v>275000</v>
      </c>
      <c r="L171">
        <v>27500</v>
      </c>
      <c r="M171">
        <v>247500</v>
      </c>
      <c r="N171">
        <v>56000</v>
      </c>
      <c r="O171">
        <v>303500</v>
      </c>
      <c r="P171" t="s">
        <v>29</v>
      </c>
      <c r="Q171" t="s">
        <v>2357</v>
      </c>
      <c r="R171" t="s">
        <v>36</v>
      </c>
      <c r="S171">
        <v>1</v>
      </c>
      <c r="T171" t="s">
        <v>24</v>
      </c>
      <c r="U171" t="s">
        <v>2401</v>
      </c>
      <c r="V171">
        <v>2025</v>
      </c>
      <c r="W171">
        <v>1</v>
      </c>
    </row>
    <row r="172" spans="1:23" x14ac:dyDescent="0.25">
      <c r="A172" t="s">
        <v>1105</v>
      </c>
      <c r="B172">
        <v>45688.695543981477</v>
      </c>
      <c r="C172" t="s">
        <v>1106</v>
      </c>
      <c r="D172" t="s">
        <v>70</v>
      </c>
      <c r="E172" t="s">
        <v>138</v>
      </c>
      <c r="F172" t="s">
        <v>2396</v>
      </c>
      <c r="G172" t="s">
        <v>2378</v>
      </c>
      <c r="H172">
        <v>17000</v>
      </c>
      <c r="I172">
        <v>4</v>
      </c>
      <c r="J172">
        <v>10</v>
      </c>
      <c r="K172">
        <v>68000</v>
      </c>
      <c r="L172">
        <v>6800</v>
      </c>
      <c r="M172">
        <v>61200</v>
      </c>
      <c r="N172">
        <v>89000</v>
      </c>
      <c r="O172">
        <v>150200</v>
      </c>
      <c r="P172" t="s">
        <v>63</v>
      </c>
      <c r="Q172" t="s">
        <v>2359</v>
      </c>
      <c r="R172" t="s">
        <v>30</v>
      </c>
      <c r="S172">
        <v>1</v>
      </c>
      <c r="T172" t="s">
        <v>24</v>
      </c>
      <c r="U172" t="s">
        <v>2401</v>
      </c>
      <c r="V172">
        <v>2025</v>
      </c>
      <c r="W172">
        <v>1</v>
      </c>
    </row>
    <row r="173" spans="1:23" x14ac:dyDescent="0.25">
      <c r="A173" t="s">
        <v>1107</v>
      </c>
      <c r="B173">
        <v>45688.908587962957</v>
      </c>
      <c r="C173" t="s">
        <v>309</v>
      </c>
      <c r="D173" t="s">
        <v>107</v>
      </c>
      <c r="E173" t="s">
        <v>71</v>
      </c>
      <c r="F173" t="s">
        <v>2392</v>
      </c>
      <c r="G173" t="s">
        <v>2379</v>
      </c>
      <c r="H173">
        <v>40000</v>
      </c>
      <c r="I173">
        <v>3</v>
      </c>
      <c r="J173">
        <v>5</v>
      </c>
      <c r="K173">
        <v>120000</v>
      </c>
      <c r="L173">
        <v>6000</v>
      </c>
      <c r="M173">
        <v>114000</v>
      </c>
      <c r="N173">
        <v>97000</v>
      </c>
      <c r="O173">
        <v>211000</v>
      </c>
      <c r="P173" t="s">
        <v>35</v>
      </c>
      <c r="Q173" t="s">
        <v>2357</v>
      </c>
      <c r="R173" t="s">
        <v>23</v>
      </c>
      <c r="S173">
        <v>3</v>
      </c>
      <c r="T173" t="s">
        <v>37</v>
      </c>
      <c r="U173" t="s">
        <v>2401</v>
      </c>
      <c r="V173">
        <v>2025</v>
      </c>
      <c r="W173">
        <v>1</v>
      </c>
    </row>
    <row r="174" spans="1:23" x14ac:dyDescent="0.25">
      <c r="A174" t="s">
        <v>1108</v>
      </c>
      <c r="B174">
        <v>45689.01189814815</v>
      </c>
      <c r="C174" t="s">
        <v>669</v>
      </c>
      <c r="D174" t="s">
        <v>151</v>
      </c>
      <c r="E174" t="s">
        <v>110</v>
      </c>
      <c r="F174" t="s">
        <v>2395</v>
      </c>
      <c r="G174" t="s">
        <v>2379</v>
      </c>
      <c r="H174">
        <v>6000</v>
      </c>
      <c r="I174">
        <v>1</v>
      </c>
      <c r="J174">
        <v>20</v>
      </c>
      <c r="K174">
        <v>6000</v>
      </c>
      <c r="L174">
        <v>1200</v>
      </c>
      <c r="M174">
        <v>4800</v>
      </c>
      <c r="N174">
        <v>55000</v>
      </c>
      <c r="O174">
        <v>59800</v>
      </c>
      <c r="P174" t="s">
        <v>63</v>
      </c>
      <c r="Q174" t="s">
        <v>2357</v>
      </c>
      <c r="R174" t="s">
        <v>36</v>
      </c>
      <c r="S174">
        <v>3</v>
      </c>
      <c r="T174" t="s">
        <v>24</v>
      </c>
      <c r="U174" t="s">
        <v>2402</v>
      </c>
      <c r="V174">
        <v>2025</v>
      </c>
      <c r="W174">
        <v>2</v>
      </c>
    </row>
    <row r="175" spans="1:23" x14ac:dyDescent="0.25">
      <c r="A175" t="s">
        <v>1109</v>
      </c>
      <c r="B175">
        <v>45689.021377314813</v>
      </c>
      <c r="C175" t="s">
        <v>125</v>
      </c>
      <c r="D175" t="s">
        <v>126</v>
      </c>
      <c r="E175" t="s">
        <v>85</v>
      </c>
      <c r="F175" t="s">
        <v>2394</v>
      </c>
      <c r="G175" t="s">
        <v>2377</v>
      </c>
      <c r="H175">
        <v>35000</v>
      </c>
      <c r="I175">
        <v>3</v>
      </c>
      <c r="J175">
        <v>0</v>
      </c>
      <c r="K175">
        <v>105000</v>
      </c>
      <c r="L175">
        <v>0</v>
      </c>
      <c r="M175">
        <v>105000</v>
      </c>
      <c r="N175">
        <v>84000</v>
      </c>
      <c r="O175">
        <v>189000</v>
      </c>
      <c r="P175" t="s">
        <v>35</v>
      </c>
      <c r="Q175" t="s">
        <v>2357</v>
      </c>
      <c r="R175" t="s">
        <v>36</v>
      </c>
      <c r="S175">
        <v>2</v>
      </c>
      <c r="T175" t="s">
        <v>24</v>
      </c>
      <c r="U175" t="s">
        <v>2402</v>
      </c>
      <c r="V175">
        <v>2025</v>
      </c>
      <c r="W175">
        <v>2</v>
      </c>
    </row>
    <row r="176" spans="1:23" x14ac:dyDescent="0.25">
      <c r="A176" t="s">
        <v>1110</v>
      </c>
      <c r="B176">
        <v>45689.042731481481</v>
      </c>
      <c r="C176" t="s">
        <v>1111</v>
      </c>
      <c r="D176" t="s">
        <v>151</v>
      </c>
      <c r="E176" t="s">
        <v>138</v>
      </c>
      <c r="F176" t="s">
        <v>2396</v>
      </c>
      <c r="G176" t="s">
        <v>2378</v>
      </c>
      <c r="H176">
        <v>17000</v>
      </c>
      <c r="I176">
        <v>1</v>
      </c>
      <c r="J176">
        <v>5</v>
      </c>
      <c r="K176">
        <v>17000</v>
      </c>
      <c r="L176">
        <v>850</v>
      </c>
      <c r="M176">
        <v>16150</v>
      </c>
      <c r="N176">
        <v>55000</v>
      </c>
      <c r="O176">
        <v>71150</v>
      </c>
      <c r="P176" t="s">
        <v>35</v>
      </c>
      <c r="Q176" t="s">
        <v>2357</v>
      </c>
      <c r="R176" t="s">
        <v>30</v>
      </c>
      <c r="S176">
        <v>2</v>
      </c>
      <c r="T176" t="s">
        <v>37</v>
      </c>
      <c r="U176" t="s">
        <v>2402</v>
      </c>
      <c r="V176">
        <v>2025</v>
      </c>
      <c r="W176">
        <v>2</v>
      </c>
    </row>
    <row r="177" spans="1:23" x14ac:dyDescent="0.25">
      <c r="A177" t="s">
        <v>1112</v>
      </c>
      <c r="B177">
        <v>45689.339363425926</v>
      </c>
      <c r="C177" t="s">
        <v>483</v>
      </c>
      <c r="D177" t="s">
        <v>170</v>
      </c>
      <c r="E177" t="s">
        <v>75</v>
      </c>
      <c r="F177" t="s">
        <v>2398</v>
      </c>
      <c r="G177" t="s">
        <v>2379</v>
      </c>
      <c r="H177">
        <v>55000</v>
      </c>
      <c r="I177">
        <v>2</v>
      </c>
      <c r="J177">
        <v>20</v>
      </c>
      <c r="K177">
        <v>110000</v>
      </c>
      <c r="L177">
        <v>22000</v>
      </c>
      <c r="M177">
        <v>88000</v>
      </c>
      <c r="N177">
        <v>46000</v>
      </c>
      <c r="O177">
        <v>134000</v>
      </c>
      <c r="P177" t="s">
        <v>22</v>
      </c>
      <c r="Q177" t="s">
        <v>2359</v>
      </c>
      <c r="R177" t="s">
        <v>30</v>
      </c>
      <c r="S177">
        <v>2</v>
      </c>
      <c r="T177" t="s">
        <v>24</v>
      </c>
      <c r="U177" t="s">
        <v>2402</v>
      </c>
      <c r="V177">
        <v>2025</v>
      </c>
      <c r="W177">
        <v>2</v>
      </c>
    </row>
    <row r="178" spans="1:23" x14ac:dyDescent="0.25">
      <c r="A178" t="s">
        <v>1113</v>
      </c>
      <c r="B178">
        <v>45689.554756944453</v>
      </c>
      <c r="C178" t="s">
        <v>741</v>
      </c>
      <c r="D178" t="s">
        <v>189</v>
      </c>
      <c r="E178" t="s">
        <v>144</v>
      </c>
      <c r="F178" t="s">
        <v>2396</v>
      </c>
      <c r="G178" t="s">
        <v>2379</v>
      </c>
      <c r="H178">
        <v>18000</v>
      </c>
      <c r="I178">
        <v>5</v>
      </c>
      <c r="J178">
        <v>20</v>
      </c>
      <c r="K178">
        <v>90000</v>
      </c>
      <c r="L178">
        <v>18000</v>
      </c>
      <c r="M178">
        <v>72000</v>
      </c>
      <c r="N178">
        <v>57000</v>
      </c>
      <c r="O178">
        <v>129000</v>
      </c>
      <c r="P178" t="s">
        <v>22</v>
      </c>
      <c r="Q178" t="s">
        <v>2357</v>
      </c>
      <c r="R178" t="s">
        <v>30</v>
      </c>
      <c r="S178">
        <v>3</v>
      </c>
      <c r="T178" t="s">
        <v>24</v>
      </c>
      <c r="U178" t="s">
        <v>2402</v>
      </c>
      <c r="V178">
        <v>2025</v>
      </c>
      <c r="W178">
        <v>2</v>
      </c>
    </row>
    <row r="179" spans="1:23" x14ac:dyDescent="0.25">
      <c r="A179" t="s">
        <v>1114</v>
      </c>
      <c r="B179">
        <v>45689.659432870372</v>
      </c>
      <c r="C179" t="s">
        <v>461</v>
      </c>
      <c r="D179" t="s">
        <v>92</v>
      </c>
      <c r="E179" t="s">
        <v>62</v>
      </c>
      <c r="F179" t="s">
        <v>2398</v>
      </c>
      <c r="G179" t="s">
        <v>2378</v>
      </c>
      <c r="H179">
        <v>50000</v>
      </c>
      <c r="I179">
        <v>1</v>
      </c>
      <c r="J179">
        <v>15</v>
      </c>
      <c r="K179">
        <v>50000</v>
      </c>
      <c r="L179">
        <v>7500</v>
      </c>
      <c r="M179">
        <v>42500</v>
      </c>
      <c r="N179">
        <v>30000</v>
      </c>
      <c r="O179">
        <v>72500</v>
      </c>
      <c r="P179" t="s">
        <v>29</v>
      </c>
      <c r="Q179" t="s">
        <v>2357</v>
      </c>
      <c r="R179" t="s">
        <v>46</v>
      </c>
      <c r="S179">
        <v>3</v>
      </c>
      <c r="T179" t="s">
        <v>37</v>
      </c>
      <c r="U179" t="s">
        <v>2402</v>
      </c>
      <c r="V179">
        <v>2025</v>
      </c>
      <c r="W179">
        <v>2</v>
      </c>
    </row>
    <row r="180" spans="1:23" x14ac:dyDescent="0.25">
      <c r="A180" t="s">
        <v>1115</v>
      </c>
      <c r="B180">
        <v>45689.713287037041</v>
      </c>
      <c r="C180" t="s">
        <v>570</v>
      </c>
      <c r="D180" t="s">
        <v>80</v>
      </c>
      <c r="E180" t="s">
        <v>123</v>
      </c>
      <c r="F180" t="s">
        <v>2399</v>
      </c>
      <c r="G180" t="s">
        <v>2377</v>
      </c>
      <c r="H180">
        <v>22000</v>
      </c>
      <c r="I180">
        <v>4</v>
      </c>
      <c r="J180">
        <v>20</v>
      </c>
      <c r="K180">
        <v>88000</v>
      </c>
      <c r="L180">
        <v>17600</v>
      </c>
      <c r="M180">
        <v>70400</v>
      </c>
      <c r="N180">
        <v>74000</v>
      </c>
      <c r="O180">
        <v>144400</v>
      </c>
      <c r="P180" t="s">
        <v>29</v>
      </c>
      <c r="Q180" t="s">
        <v>2357</v>
      </c>
      <c r="R180" t="s">
        <v>46</v>
      </c>
      <c r="S180">
        <v>2</v>
      </c>
      <c r="T180" t="s">
        <v>24</v>
      </c>
      <c r="U180" t="s">
        <v>2402</v>
      </c>
      <c r="V180">
        <v>2025</v>
      </c>
      <c r="W180">
        <v>2</v>
      </c>
    </row>
    <row r="181" spans="1:23" x14ac:dyDescent="0.25">
      <c r="A181" t="s">
        <v>1116</v>
      </c>
      <c r="B181">
        <v>45689.952928240738</v>
      </c>
      <c r="C181" t="s">
        <v>1117</v>
      </c>
      <c r="D181" t="s">
        <v>126</v>
      </c>
      <c r="E181" t="s">
        <v>250</v>
      </c>
      <c r="F181" t="s">
        <v>2397</v>
      </c>
      <c r="G181" t="s">
        <v>2379</v>
      </c>
      <c r="H181">
        <v>18000</v>
      </c>
      <c r="I181">
        <v>1</v>
      </c>
      <c r="J181">
        <v>10</v>
      </c>
      <c r="K181">
        <v>18000</v>
      </c>
      <c r="L181">
        <v>1800</v>
      </c>
      <c r="M181">
        <v>16200</v>
      </c>
      <c r="N181">
        <v>84000</v>
      </c>
      <c r="O181">
        <v>100200</v>
      </c>
      <c r="P181" t="s">
        <v>63</v>
      </c>
      <c r="Q181" t="s">
        <v>2356</v>
      </c>
      <c r="R181" t="s">
        <v>82</v>
      </c>
      <c r="S181">
        <v>1</v>
      </c>
      <c r="T181" t="s">
        <v>24</v>
      </c>
      <c r="U181" t="s">
        <v>2402</v>
      </c>
      <c r="V181">
        <v>2025</v>
      </c>
      <c r="W181">
        <v>2</v>
      </c>
    </row>
    <row r="182" spans="1:23" x14ac:dyDescent="0.25">
      <c r="A182" t="s">
        <v>1118</v>
      </c>
      <c r="B182">
        <v>45690.020752314813</v>
      </c>
      <c r="C182" t="s">
        <v>201</v>
      </c>
      <c r="D182" t="s">
        <v>107</v>
      </c>
      <c r="E182" t="s">
        <v>136</v>
      </c>
      <c r="F182" t="s">
        <v>2400</v>
      </c>
      <c r="G182" t="s">
        <v>2378</v>
      </c>
      <c r="H182">
        <v>12000</v>
      </c>
      <c r="I182">
        <v>5</v>
      </c>
      <c r="J182">
        <v>20</v>
      </c>
      <c r="K182">
        <v>60000</v>
      </c>
      <c r="L182">
        <v>12000</v>
      </c>
      <c r="M182">
        <v>48000</v>
      </c>
      <c r="N182">
        <v>97000</v>
      </c>
      <c r="O182">
        <v>145000</v>
      </c>
      <c r="P182" t="s">
        <v>29</v>
      </c>
      <c r="Q182" t="s">
        <v>2357</v>
      </c>
      <c r="R182" t="s">
        <v>36</v>
      </c>
      <c r="S182">
        <v>3</v>
      </c>
      <c r="T182" t="s">
        <v>24</v>
      </c>
      <c r="U182" t="s">
        <v>2402</v>
      </c>
      <c r="V182">
        <v>2025</v>
      </c>
      <c r="W182">
        <v>2</v>
      </c>
    </row>
    <row r="183" spans="1:23" x14ac:dyDescent="0.25">
      <c r="A183" t="s">
        <v>1119</v>
      </c>
      <c r="B183">
        <v>45690.148148148153</v>
      </c>
      <c r="C183" t="s">
        <v>1120</v>
      </c>
      <c r="D183" t="s">
        <v>173</v>
      </c>
      <c r="E183" t="s">
        <v>58</v>
      </c>
      <c r="F183" t="s">
        <v>2396</v>
      </c>
      <c r="G183" t="s">
        <v>2377</v>
      </c>
      <c r="H183">
        <v>16000</v>
      </c>
      <c r="I183">
        <v>4</v>
      </c>
      <c r="J183">
        <v>15</v>
      </c>
      <c r="K183">
        <v>64000</v>
      </c>
      <c r="L183">
        <v>9600</v>
      </c>
      <c r="M183">
        <v>54400</v>
      </c>
      <c r="N183">
        <v>49000</v>
      </c>
      <c r="O183">
        <v>103400</v>
      </c>
      <c r="P183" t="s">
        <v>63</v>
      </c>
      <c r="Q183" t="s">
        <v>2357</v>
      </c>
      <c r="R183" t="s">
        <v>23</v>
      </c>
      <c r="S183">
        <v>4</v>
      </c>
      <c r="T183" t="s">
        <v>24</v>
      </c>
      <c r="U183" t="s">
        <v>2402</v>
      </c>
      <c r="V183">
        <v>2025</v>
      </c>
      <c r="W183">
        <v>2</v>
      </c>
    </row>
    <row r="184" spans="1:23" x14ac:dyDescent="0.25">
      <c r="A184" t="s">
        <v>1121</v>
      </c>
      <c r="B184">
        <v>45690.70416666667</v>
      </c>
      <c r="C184" t="s">
        <v>1122</v>
      </c>
      <c r="D184" t="s">
        <v>33</v>
      </c>
      <c r="E184" t="s">
        <v>21</v>
      </c>
      <c r="F184" t="s">
        <v>2394</v>
      </c>
      <c r="G184" t="s">
        <v>2379</v>
      </c>
      <c r="H184">
        <v>45000</v>
      </c>
      <c r="I184">
        <v>4</v>
      </c>
      <c r="J184">
        <v>15</v>
      </c>
      <c r="K184">
        <v>180000</v>
      </c>
      <c r="L184">
        <v>27000</v>
      </c>
      <c r="M184">
        <v>153000</v>
      </c>
      <c r="N184">
        <v>76000</v>
      </c>
      <c r="O184">
        <v>229000</v>
      </c>
      <c r="P184" t="s">
        <v>35</v>
      </c>
      <c r="Q184" t="s">
        <v>2356</v>
      </c>
      <c r="R184" t="s">
        <v>46</v>
      </c>
      <c r="S184">
        <v>4</v>
      </c>
      <c r="T184" t="s">
        <v>24</v>
      </c>
      <c r="U184" t="s">
        <v>2402</v>
      </c>
      <c r="V184">
        <v>2025</v>
      </c>
      <c r="W184">
        <v>2</v>
      </c>
    </row>
    <row r="185" spans="1:23" x14ac:dyDescent="0.25">
      <c r="A185" t="s">
        <v>1121</v>
      </c>
      <c r="B185">
        <v>45690.70416666667</v>
      </c>
      <c r="C185" t="s">
        <v>1122</v>
      </c>
      <c r="D185" t="s">
        <v>33</v>
      </c>
      <c r="E185" t="s">
        <v>250</v>
      </c>
      <c r="F185" t="s">
        <v>2397</v>
      </c>
      <c r="G185" t="s">
        <v>2379</v>
      </c>
      <c r="H185">
        <v>18000</v>
      </c>
      <c r="I185">
        <v>5</v>
      </c>
      <c r="J185">
        <v>10</v>
      </c>
      <c r="K185">
        <v>90000</v>
      </c>
      <c r="L185">
        <v>9000</v>
      </c>
      <c r="M185">
        <v>81000</v>
      </c>
      <c r="N185">
        <v>0</v>
      </c>
      <c r="O185">
        <v>81000</v>
      </c>
      <c r="P185" t="s">
        <v>35</v>
      </c>
      <c r="Q185" t="s">
        <v>2356</v>
      </c>
      <c r="R185" t="s">
        <v>46</v>
      </c>
      <c r="S185">
        <v>4</v>
      </c>
      <c r="T185" t="s">
        <v>24</v>
      </c>
      <c r="U185" t="s">
        <v>2402</v>
      </c>
      <c r="V185">
        <v>2025</v>
      </c>
      <c r="W185">
        <v>2</v>
      </c>
    </row>
    <row r="186" spans="1:23" x14ac:dyDescent="0.25">
      <c r="A186" t="s">
        <v>1123</v>
      </c>
      <c r="B186">
        <v>45691.065671296303</v>
      </c>
      <c r="C186" t="s">
        <v>377</v>
      </c>
      <c r="D186" t="s">
        <v>182</v>
      </c>
      <c r="E186" t="s">
        <v>50</v>
      </c>
      <c r="F186" t="s">
        <v>2400</v>
      </c>
      <c r="G186" t="s">
        <v>2379</v>
      </c>
      <c r="H186">
        <v>14000</v>
      </c>
      <c r="I186">
        <v>2</v>
      </c>
      <c r="J186">
        <v>0</v>
      </c>
      <c r="K186">
        <v>28000</v>
      </c>
      <c r="L186">
        <v>0</v>
      </c>
      <c r="M186">
        <v>28000</v>
      </c>
      <c r="N186">
        <v>48000</v>
      </c>
      <c r="O186">
        <v>76000</v>
      </c>
      <c r="P186" t="s">
        <v>63</v>
      </c>
      <c r="Q186" t="s">
        <v>2357</v>
      </c>
      <c r="R186" t="s">
        <v>23</v>
      </c>
      <c r="S186">
        <v>4</v>
      </c>
      <c r="T186" t="s">
        <v>24</v>
      </c>
      <c r="U186" t="s">
        <v>2402</v>
      </c>
      <c r="V186">
        <v>2025</v>
      </c>
      <c r="W186">
        <v>2</v>
      </c>
    </row>
    <row r="187" spans="1:23" x14ac:dyDescent="0.25">
      <c r="A187" t="s">
        <v>1124</v>
      </c>
      <c r="B187">
        <v>45691.805914351848</v>
      </c>
      <c r="C187" t="s">
        <v>1125</v>
      </c>
      <c r="D187" t="s">
        <v>170</v>
      </c>
      <c r="E187" t="s">
        <v>45</v>
      </c>
      <c r="F187" t="s">
        <v>2394</v>
      </c>
      <c r="G187" t="s">
        <v>2378</v>
      </c>
      <c r="H187">
        <v>40000</v>
      </c>
      <c r="I187">
        <v>1</v>
      </c>
      <c r="J187">
        <v>15</v>
      </c>
      <c r="K187">
        <v>40000</v>
      </c>
      <c r="L187">
        <v>6000</v>
      </c>
      <c r="M187">
        <v>34000</v>
      </c>
      <c r="N187">
        <v>46000</v>
      </c>
      <c r="O187">
        <v>80000</v>
      </c>
      <c r="P187" t="s">
        <v>22</v>
      </c>
      <c r="Q187" t="s">
        <v>2357</v>
      </c>
      <c r="R187" t="s">
        <v>46</v>
      </c>
      <c r="S187">
        <v>1</v>
      </c>
      <c r="T187" t="s">
        <v>24</v>
      </c>
      <c r="U187" t="s">
        <v>2402</v>
      </c>
      <c r="V187">
        <v>2025</v>
      </c>
      <c r="W187">
        <v>2</v>
      </c>
    </row>
    <row r="188" spans="1:23" x14ac:dyDescent="0.25">
      <c r="A188" t="s">
        <v>1126</v>
      </c>
      <c r="B188">
        <v>45692.066134259258</v>
      </c>
      <c r="C188" t="s">
        <v>285</v>
      </c>
      <c r="D188" t="s">
        <v>20</v>
      </c>
      <c r="E188" t="s">
        <v>85</v>
      </c>
      <c r="F188" t="s">
        <v>2394</v>
      </c>
      <c r="G188" t="s">
        <v>2377</v>
      </c>
      <c r="H188">
        <v>35000</v>
      </c>
      <c r="I188">
        <v>3</v>
      </c>
      <c r="J188">
        <v>5</v>
      </c>
      <c r="K188">
        <v>105000</v>
      </c>
      <c r="L188">
        <v>5250</v>
      </c>
      <c r="M188">
        <v>99750</v>
      </c>
      <c r="N188">
        <v>15000</v>
      </c>
      <c r="O188">
        <v>114750</v>
      </c>
      <c r="P188" t="s">
        <v>29</v>
      </c>
      <c r="Q188" t="s">
        <v>2357</v>
      </c>
      <c r="R188" t="s">
        <v>30</v>
      </c>
      <c r="S188">
        <v>3</v>
      </c>
      <c r="T188" t="s">
        <v>37</v>
      </c>
      <c r="U188" t="s">
        <v>2402</v>
      </c>
      <c r="V188">
        <v>2025</v>
      </c>
      <c r="W188">
        <v>2</v>
      </c>
    </row>
    <row r="189" spans="1:23" x14ac:dyDescent="0.25">
      <c r="A189" t="s">
        <v>1127</v>
      </c>
      <c r="B189">
        <v>45692.273553240739</v>
      </c>
      <c r="C189" t="s">
        <v>1128</v>
      </c>
      <c r="D189" t="s">
        <v>113</v>
      </c>
      <c r="E189" t="s">
        <v>174</v>
      </c>
      <c r="F189" t="s">
        <v>2400</v>
      </c>
      <c r="G189" t="s">
        <v>2377</v>
      </c>
      <c r="H189">
        <v>10000</v>
      </c>
      <c r="I189">
        <v>5</v>
      </c>
      <c r="J189">
        <v>20</v>
      </c>
      <c r="K189">
        <v>50000</v>
      </c>
      <c r="L189">
        <v>10000</v>
      </c>
      <c r="M189">
        <v>40000</v>
      </c>
      <c r="N189">
        <v>18000</v>
      </c>
      <c r="O189">
        <v>58000</v>
      </c>
      <c r="P189" t="s">
        <v>22</v>
      </c>
      <c r="Q189" t="s">
        <v>2357</v>
      </c>
      <c r="R189" t="s">
        <v>46</v>
      </c>
      <c r="S189">
        <v>4</v>
      </c>
      <c r="T189" t="s">
        <v>24</v>
      </c>
      <c r="U189" t="s">
        <v>2402</v>
      </c>
      <c r="V189">
        <v>2025</v>
      </c>
      <c r="W189">
        <v>2</v>
      </c>
    </row>
    <row r="190" spans="1:23" x14ac:dyDescent="0.25">
      <c r="A190" t="s">
        <v>1129</v>
      </c>
      <c r="B190">
        <v>45692.610300925917</v>
      </c>
      <c r="C190" t="s">
        <v>1130</v>
      </c>
      <c r="D190" t="s">
        <v>122</v>
      </c>
      <c r="E190" t="s">
        <v>75</v>
      </c>
      <c r="F190" t="s">
        <v>2398</v>
      </c>
      <c r="G190" t="s">
        <v>2379</v>
      </c>
      <c r="H190">
        <v>55000</v>
      </c>
      <c r="I190">
        <v>5</v>
      </c>
      <c r="J190">
        <v>20</v>
      </c>
      <c r="K190">
        <v>275000</v>
      </c>
      <c r="L190">
        <v>55000</v>
      </c>
      <c r="M190">
        <v>220000</v>
      </c>
      <c r="N190">
        <v>78000</v>
      </c>
      <c r="O190">
        <v>298000</v>
      </c>
      <c r="P190" t="s">
        <v>35</v>
      </c>
      <c r="Q190" t="s">
        <v>2357</v>
      </c>
      <c r="R190" t="s">
        <v>82</v>
      </c>
      <c r="S190">
        <v>2</v>
      </c>
      <c r="T190" t="s">
        <v>24</v>
      </c>
      <c r="U190" t="s">
        <v>2402</v>
      </c>
      <c r="V190">
        <v>2025</v>
      </c>
      <c r="W190">
        <v>2</v>
      </c>
    </row>
    <row r="191" spans="1:23" x14ac:dyDescent="0.25">
      <c r="A191" t="s">
        <v>1131</v>
      </c>
      <c r="B191">
        <v>45692.876574074071</v>
      </c>
      <c r="C191" t="s">
        <v>457</v>
      </c>
      <c r="D191" t="s">
        <v>80</v>
      </c>
      <c r="E191" t="s">
        <v>138</v>
      </c>
      <c r="F191" t="s">
        <v>2396</v>
      </c>
      <c r="G191" t="s">
        <v>2378</v>
      </c>
      <c r="H191">
        <v>17000</v>
      </c>
      <c r="I191">
        <v>5</v>
      </c>
      <c r="J191">
        <v>15</v>
      </c>
      <c r="K191">
        <v>85000</v>
      </c>
      <c r="L191">
        <v>12750</v>
      </c>
      <c r="M191">
        <v>72250</v>
      </c>
      <c r="N191">
        <v>74000</v>
      </c>
      <c r="O191">
        <v>146250</v>
      </c>
      <c r="P191" t="s">
        <v>63</v>
      </c>
      <c r="Q191" t="s">
        <v>2357</v>
      </c>
      <c r="R191" t="s">
        <v>23</v>
      </c>
      <c r="S191">
        <v>1</v>
      </c>
      <c r="T191" t="s">
        <v>24</v>
      </c>
      <c r="U191" t="s">
        <v>2402</v>
      </c>
      <c r="V191">
        <v>2025</v>
      </c>
      <c r="W191">
        <v>2</v>
      </c>
    </row>
    <row r="192" spans="1:23" x14ac:dyDescent="0.25">
      <c r="A192" t="s">
        <v>1132</v>
      </c>
      <c r="B192">
        <v>45692.893854166658</v>
      </c>
      <c r="C192" t="s">
        <v>1133</v>
      </c>
      <c r="D192" t="s">
        <v>80</v>
      </c>
      <c r="E192" t="s">
        <v>88</v>
      </c>
      <c r="F192" t="s">
        <v>2393</v>
      </c>
      <c r="G192" t="s">
        <v>2377</v>
      </c>
      <c r="H192">
        <v>14000</v>
      </c>
      <c r="I192">
        <v>5</v>
      </c>
      <c r="J192">
        <v>15</v>
      </c>
      <c r="K192">
        <v>70000</v>
      </c>
      <c r="L192">
        <v>10500</v>
      </c>
      <c r="M192">
        <v>59500</v>
      </c>
      <c r="N192">
        <v>74000</v>
      </c>
      <c r="O192">
        <v>133500</v>
      </c>
      <c r="P192" t="s">
        <v>35</v>
      </c>
      <c r="Q192" t="s">
        <v>2357</v>
      </c>
      <c r="R192" t="s">
        <v>46</v>
      </c>
      <c r="S192">
        <v>5</v>
      </c>
      <c r="T192" t="s">
        <v>24</v>
      </c>
      <c r="U192" t="s">
        <v>2402</v>
      </c>
      <c r="V192">
        <v>2025</v>
      </c>
      <c r="W192">
        <v>2</v>
      </c>
    </row>
    <row r="193" spans="1:23" x14ac:dyDescent="0.25">
      <c r="A193" t="s">
        <v>1134</v>
      </c>
      <c r="B193">
        <v>45692.917812500003</v>
      </c>
      <c r="C193" t="s">
        <v>441</v>
      </c>
      <c r="D193" t="s">
        <v>116</v>
      </c>
      <c r="E193" t="s">
        <v>62</v>
      </c>
      <c r="F193" t="s">
        <v>2398</v>
      </c>
      <c r="G193" t="s">
        <v>2378</v>
      </c>
      <c r="H193">
        <v>50000</v>
      </c>
      <c r="I193">
        <v>4</v>
      </c>
      <c r="J193">
        <v>5</v>
      </c>
      <c r="K193">
        <v>200000</v>
      </c>
      <c r="L193">
        <v>10000</v>
      </c>
      <c r="M193">
        <v>190000</v>
      </c>
      <c r="N193">
        <v>72000</v>
      </c>
      <c r="O193">
        <v>262000</v>
      </c>
      <c r="P193" t="s">
        <v>29</v>
      </c>
      <c r="Q193" t="s">
        <v>2357</v>
      </c>
      <c r="R193" t="s">
        <v>36</v>
      </c>
      <c r="S193">
        <v>3</v>
      </c>
      <c r="T193" t="s">
        <v>37</v>
      </c>
      <c r="U193" t="s">
        <v>2402</v>
      </c>
      <c r="V193">
        <v>2025</v>
      </c>
      <c r="W193">
        <v>2</v>
      </c>
    </row>
    <row r="194" spans="1:23" x14ac:dyDescent="0.25">
      <c r="A194" t="s">
        <v>1135</v>
      </c>
      <c r="B194">
        <v>45692.964780092603</v>
      </c>
      <c r="C194" t="s">
        <v>1136</v>
      </c>
      <c r="D194" t="s">
        <v>195</v>
      </c>
      <c r="E194" t="s">
        <v>144</v>
      </c>
      <c r="F194" t="s">
        <v>2396</v>
      </c>
      <c r="G194" t="s">
        <v>2379</v>
      </c>
      <c r="H194">
        <v>18000</v>
      </c>
      <c r="I194">
        <v>5</v>
      </c>
      <c r="J194">
        <v>15</v>
      </c>
      <c r="K194">
        <v>90000</v>
      </c>
      <c r="L194">
        <v>13500</v>
      </c>
      <c r="M194">
        <v>76500</v>
      </c>
      <c r="N194">
        <v>87000</v>
      </c>
      <c r="O194">
        <v>163500</v>
      </c>
      <c r="P194" t="s">
        <v>63</v>
      </c>
      <c r="Q194" t="s">
        <v>2357</v>
      </c>
      <c r="R194" t="s">
        <v>46</v>
      </c>
      <c r="S194">
        <v>1</v>
      </c>
      <c r="T194" t="s">
        <v>24</v>
      </c>
      <c r="U194" t="s">
        <v>2402</v>
      </c>
      <c r="V194">
        <v>2025</v>
      </c>
      <c r="W194">
        <v>2</v>
      </c>
    </row>
    <row r="195" spans="1:23" x14ac:dyDescent="0.25">
      <c r="A195" t="s">
        <v>1137</v>
      </c>
      <c r="B195">
        <v>45693.053726851853</v>
      </c>
      <c r="C195" t="s">
        <v>598</v>
      </c>
      <c r="D195" t="s">
        <v>61</v>
      </c>
      <c r="E195" t="s">
        <v>67</v>
      </c>
      <c r="F195" t="s">
        <v>2393</v>
      </c>
      <c r="G195" t="s">
        <v>2378</v>
      </c>
      <c r="H195">
        <v>15000</v>
      </c>
      <c r="I195">
        <v>1</v>
      </c>
      <c r="J195">
        <v>15</v>
      </c>
      <c r="K195">
        <v>15000</v>
      </c>
      <c r="L195">
        <v>2250</v>
      </c>
      <c r="M195">
        <v>12750</v>
      </c>
      <c r="N195">
        <v>26000</v>
      </c>
      <c r="O195">
        <v>38750</v>
      </c>
      <c r="P195" t="s">
        <v>29</v>
      </c>
      <c r="Q195" t="s">
        <v>2359</v>
      </c>
      <c r="R195" t="s">
        <v>30</v>
      </c>
      <c r="S195">
        <v>1</v>
      </c>
      <c r="T195" t="s">
        <v>24</v>
      </c>
      <c r="U195" t="s">
        <v>2402</v>
      </c>
      <c r="V195">
        <v>2025</v>
      </c>
      <c r="W195">
        <v>2</v>
      </c>
    </row>
    <row r="196" spans="1:23" x14ac:dyDescent="0.25">
      <c r="A196" t="s">
        <v>1137</v>
      </c>
      <c r="B196">
        <v>45693.053726851853</v>
      </c>
      <c r="C196" t="s">
        <v>598</v>
      </c>
      <c r="D196" t="s">
        <v>61</v>
      </c>
      <c r="E196" t="s">
        <v>250</v>
      </c>
      <c r="F196" t="s">
        <v>2397</v>
      </c>
      <c r="G196" t="s">
        <v>2379</v>
      </c>
      <c r="H196">
        <v>18000</v>
      </c>
      <c r="I196">
        <v>1</v>
      </c>
      <c r="J196">
        <v>0</v>
      </c>
      <c r="K196">
        <v>18000</v>
      </c>
      <c r="L196">
        <v>0</v>
      </c>
      <c r="M196">
        <v>18000</v>
      </c>
      <c r="N196">
        <v>0</v>
      </c>
      <c r="O196">
        <v>18000</v>
      </c>
      <c r="P196" t="s">
        <v>29</v>
      </c>
      <c r="Q196" t="s">
        <v>2359</v>
      </c>
      <c r="R196" t="s">
        <v>30</v>
      </c>
      <c r="S196">
        <v>1</v>
      </c>
      <c r="T196" t="s">
        <v>24</v>
      </c>
      <c r="U196" t="s">
        <v>2402</v>
      </c>
      <c r="V196">
        <v>2025</v>
      </c>
      <c r="W196">
        <v>2</v>
      </c>
    </row>
    <row r="197" spans="1:23" x14ac:dyDescent="0.25">
      <c r="A197" t="s">
        <v>1138</v>
      </c>
      <c r="B197">
        <v>45693.254884259259</v>
      </c>
      <c r="C197" t="s">
        <v>1139</v>
      </c>
      <c r="D197" t="s">
        <v>53</v>
      </c>
      <c r="E197" t="s">
        <v>186</v>
      </c>
      <c r="F197" t="s">
        <v>2398</v>
      </c>
      <c r="G197" t="s">
        <v>2377</v>
      </c>
      <c r="H197">
        <v>45000</v>
      </c>
      <c r="I197">
        <v>1</v>
      </c>
      <c r="J197">
        <v>20</v>
      </c>
      <c r="K197">
        <v>45000</v>
      </c>
      <c r="L197">
        <v>9000</v>
      </c>
      <c r="M197">
        <v>36000</v>
      </c>
      <c r="N197">
        <v>18000</v>
      </c>
      <c r="O197">
        <v>54000</v>
      </c>
      <c r="P197" t="s">
        <v>35</v>
      </c>
      <c r="Q197" t="s">
        <v>2357</v>
      </c>
      <c r="R197" t="s">
        <v>46</v>
      </c>
      <c r="S197">
        <v>3</v>
      </c>
      <c r="T197" t="s">
        <v>37</v>
      </c>
      <c r="U197" t="s">
        <v>2402</v>
      </c>
      <c r="V197">
        <v>2025</v>
      </c>
      <c r="W197">
        <v>2</v>
      </c>
    </row>
    <row r="198" spans="1:23" x14ac:dyDescent="0.25">
      <c r="A198" t="s">
        <v>1140</v>
      </c>
      <c r="B198">
        <v>45693.429791666669</v>
      </c>
      <c r="C198" t="s">
        <v>483</v>
      </c>
      <c r="D198" t="s">
        <v>170</v>
      </c>
      <c r="E198" t="s">
        <v>186</v>
      </c>
      <c r="F198" t="s">
        <v>2398</v>
      </c>
      <c r="G198" t="s">
        <v>2377</v>
      </c>
      <c r="H198">
        <v>45000</v>
      </c>
      <c r="I198">
        <v>2</v>
      </c>
      <c r="J198">
        <v>20</v>
      </c>
      <c r="K198">
        <v>90000</v>
      </c>
      <c r="L198">
        <v>18000</v>
      </c>
      <c r="M198">
        <v>72000</v>
      </c>
      <c r="N198">
        <v>46000</v>
      </c>
      <c r="O198">
        <v>118000</v>
      </c>
      <c r="P198" t="s">
        <v>63</v>
      </c>
      <c r="Q198" t="s">
        <v>2357</v>
      </c>
      <c r="R198" t="s">
        <v>36</v>
      </c>
      <c r="S198">
        <v>2</v>
      </c>
      <c r="T198" t="s">
        <v>24</v>
      </c>
      <c r="U198" t="s">
        <v>2402</v>
      </c>
      <c r="V198">
        <v>2025</v>
      </c>
      <c r="W198">
        <v>2</v>
      </c>
    </row>
    <row r="199" spans="1:23" x14ac:dyDescent="0.25">
      <c r="A199" t="s">
        <v>1141</v>
      </c>
      <c r="B199">
        <v>45693.457546296297</v>
      </c>
      <c r="C199" t="s">
        <v>318</v>
      </c>
      <c r="D199" t="s">
        <v>244</v>
      </c>
      <c r="E199" t="s">
        <v>110</v>
      </c>
      <c r="F199" t="s">
        <v>2395</v>
      </c>
      <c r="G199" t="s">
        <v>2379</v>
      </c>
      <c r="H199">
        <v>6000</v>
      </c>
      <c r="I199">
        <v>2</v>
      </c>
      <c r="J199">
        <v>15</v>
      </c>
      <c r="K199">
        <v>12000</v>
      </c>
      <c r="L199">
        <v>1800</v>
      </c>
      <c r="M199">
        <v>10200</v>
      </c>
      <c r="N199">
        <v>80000</v>
      </c>
      <c r="O199">
        <v>90200</v>
      </c>
      <c r="P199" t="s">
        <v>29</v>
      </c>
      <c r="Q199" t="s">
        <v>2357</v>
      </c>
      <c r="R199" t="s">
        <v>30</v>
      </c>
      <c r="S199">
        <v>3</v>
      </c>
      <c r="T199" t="s">
        <v>37</v>
      </c>
      <c r="U199" t="s">
        <v>2402</v>
      </c>
      <c r="V199">
        <v>2025</v>
      </c>
      <c r="W199">
        <v>2</v>
      </c>
    </row>
    <row r="200" spans="1:23" x14ac:dyDescent="0.25">
      <c r="A200" t="s">
        <v>1142</v>
      </c>
      <c r="B200">
        <v>45693.717557870368</v>
      </c>
      <c r="C200" t="s">
        <v>782</v>
      </c>
      <c r="D200" t="s">
        <v>177</v>
      </c>
      <c r="E200" t="s">
        <v>136</v>
      </c>
      <c r="F200" t="s">
        <v>2400</v>
      </c>
      <c r="G200" t="s">
        <v>2378</v>
      </c>
      <c r="H200">
        <v>12000</v>
      </c>
      <c r="I200">
        <v>3</v>
      </c>
      <c r="J200">
        <v>0</v>
      </c>
      <c r="K200">
        <v>36000</v>
      </c>
      <c r="L200">
        <v>0</v>
      </c>
      <c r="M200">
        <v>36000</v>
      </c>
      <c r="N200">
        <v>56000</v>
      </c>
      <c r="O200">
        <v>92000</v>
      </c>
      <c r="P200" t="s">
        <v>22</v>
      </c>
      <c r="Q200" t="s">
        <v>2357</v>
      </c>
      <c r="R200" t="s">
        <v>30</v>
      </c>
      <c r="S200">
        <v>5</v>
      </c>
      <c r="T200" t="s">
        <v>24</v>
      </c>
      <c r="U200" t="s">
        <v>2402</v>
      </c>
      <c r="V200">
        <v>2025</v>
      </c>
      <c r="W200">
        <v>2</v>
      </c>
    </row>
    <row r="201" spans="1:23" x14ac:dyDescent="0.25">
      <c r="A201" t="s">
        <v>1143</v>
      </c>
      <c r="B201">
        <v>45693.829722222217</v>
      </c>
      <c r="C201" t="s">
        <v>853</v>
      </c>
      <c r="D201" t="s">
        <v>151</v>
      </c>
      <c r="E201" t="s">
        <v>190</v>
      </c>
      <c r="F201" t="s">
        <v>2392</v>
      </c>
      <c r="G201" t="s">
        <v>2378</v>
      </c>
      <c r="H201">
        <v>35000</v>
      </c>
      <c r="I201">
        <v>5</v>
      </c>
      <c r="J201">
        <v>20</v>
      </c>
      <c r="K201">
        <v>175000</v>
      </c>
      <c r="L201">
        <v>35000</v>
      </c>
      <c r="M201">
        <v>140000</v>
      </c>
      <c r="N201">
        <v>55000</v>
      </c>
      <c r="O201">
        <v>195000</v>
      </c>
      <c r="P201" t="s">
        <v>35</v>
      </c>
      <c r="Q201" t="s">
        <v>2357</v>
      </c>
      <c r="R201" t="s">
        <v>82</v>
      </c>
      <c r="S201">
        <v>1</v>
      </c>
      <c r="T201" t="s">
        <v>24</v>
      </c>
      <c r="U201" t="s">
        <v>2402</v>
      </c>
      <c r="V201">
        <v>2025</v>
      </c>
      <c r="W201">
        <v>2</v>
      </c>
    </row>
    <row r="202" spans="1:23" x14ac:dyDescent="0.25">
      <c r="A202" t="s">
        <v>1144</v>
      </c>
      <c r="B202">
        <v>45694.074432870373</v>
      </c>
      <c r="C202" t="s">
        <v>446</v>
      </c>
      <c r="D202" t="s">
        <v>296</v>
      </c>
      <c r="E202" t="s">
        <v>186</v>
      </c>
      <c r="F202" t="s">
        <v>2398</v>
      </c>
      <c r="G202" t="s">
        <v>2377</v>
      </c>
      <c r="H202">
        <v>45000</v>
      </c>
      <c r="I202">
        <v>2</v>
      </c>
      <c r="J202">
        <v>5</v>
      </c>
      <c r="K202">
        <v>90000</v>
      </c>
      <c r="L202">
        <v>4500</v>
      </c>
      <c r="M202">
        <v>85500</v>
      </c>
      <c r="N202">
        <v>79000</v>
      </c>
      <c r="O202">
        <v>164500</v>
      </c>
      <c r="P202" t="s">
        <v>22</v>
      </c>
      <c r="Q202" t="s">
        <v>2356</v>
      </c>
      <c r="R202" t="s">
        <v>46</v>
      </c>
      <c r="S202">
        <v>3</v>
      </c>
      <c r="T202" t="s">
        <v>37</v>
      </c>
      <c r="U202" t="s">
        <v>2402</v>
      </c>
      <c r="V202">
        <v>2025</v>
      </c>
      <c r="W202">
        <v>2</v>
      </c>
    </row>
    <row r="203" spans="1:23" x14ac:dyDescent="0.25">
      <c r="A203" t="s">
        <v>1145</v>
      </c>
      <c r="B203">
        <v>45694.231400462973</v>
      </c>
      <c r="C203" t="s">
        <v>1146</v>
      </c>
      <c r="D203" t="s">
        <v>116</v>
      </c>
      <c r="E203" t="s">
        <v>21</v>
      </c>
      <c r="F203" t="s">
        <v>2394</v>
      </c>
      <c r="G203" t="s">
        <v>2379</v>
      </c>
      <c r="H203">
        <v>45000</v>
      </c>
      <c r="I203">
        <v>1</v>
      </c>
      <c r="J203">
        <v>15</v>
      </c>
      <c r="K203">
        <v>45000</v>
      </c>
      <c r="L203">
        <v>6750</v>
      </c>
      <c r="M203">
        <v>38250</v>
      </c>
      <c r="N203">
        <v>72000</v>
      </c>
      <c r="O203">
        <v>110250</v>
      </c>
      <c r="P203" t="s">
        <v>35</v>
      </c>
      <c r="Q203" t="s">
        <v>2357</v>
      </c>
      <c r="R203" t="s">
        <v>23</v>
      </c>
      <c r="S203">
        <v>3</v>
      </c>
      <c r="T203" t="s">
        <v>24</v>
      </c>
      <c r="U203" t="s">
        <v>2402</v>
      </c>
      <c r="V203">
        <v>2025</v>
      </c>
      <c r="W203">
        <v>2</v>
      </c>
    </row>
    <row r="204" spans="1:23" x14ac:dyDescent="0.25">
      <c r="A204" t="s">
        <v>1147</v>
      </c>
      <c r="B204">
        <v>45694.304247685177</v>
      </c>
      <c r="C204" t="s">
        <v>468</v>
      </c>
      <c r="D204" t="s">
        <v>163</v>
      </c>
      <c r="E204" t="s">
        <v>104</v>
      </c>
      <c r="F204" t="s">
        <v>2392</v>
      </c>
      <c r="G204" t="s">
        <v>2377</v>
      </c>
      <c r="H204">
        <v>30000</v>
      </c>
      <c r="I204">
        <v>2</v>
      </c>
      <c r="J204">
        <v>20</v>
      </c>
      <c r="K204">
        <v>60000</v>
      </c>
      <c r="L204">
        <v>12000</v>
      </c>
      <c r="M204">
        <v>48000</v>
      </c>
      <c r="N204">
        <v>50000</v>
      </c>
      <c r="O204">
        <v>98000</v>
      </c>
      <c r="P204" t="s">
        <v>29</v>
      </c>
      <c r="Q204" t="s">
        <v>2357</v>
      </c>
      <c r="R204" t="s">
        <v>46</v>
      </c>
      <c r="S204">
        <v>1</v>
      </c>
      <c r="T204" t="s">
        <v>24</v>
      </c>
      <c r="U204" t="s">
        <v>2402</v>
      </c>
      <c r="V204">
        <v>2025</v>
      </c>
      <c r="W204">
        <v>2</v>
      </c>
    </row>
    <row r="205" spans="1:23" x14ac:dyDescent="0.25">
      <c r="A205" t="s">
        <v>1148</v>
      </c>
      <c r="B205">
        <v>45694.367881944447</v>
      </c>
      <c r="C205" t="s">
        <v>605</v>
      </c>
      <c r="D205" t="s">
        <v>151</v>
      </c>
      <c r="E205" t="s">
        <v>144</v>
      </c>
      <c r="F205" t="s">
        <v>2396</v>
      </c>
      <c r="G205" t="s">
        <v>2379</v>
      </c>
      <c r="H205">
        <v>18000</v>
      </c>
      <c r="I205">
        <v>1</v>
      </c>
      <c r="J205">
        <v>15</v>
      </c>
      <c r="K205">
        <v>18000</v>
      </c>
      <c r="L205">
        <v>2700</v>
      </c>
      <c r="M205">
        <v>15300</v>
      </c>
      <c r="N205">
        <v>55000</v>
      </c>
      <c r="O205">
        <v>70300</v>
      </c>
      <c r="P205" t="s">
        <v>29</v>
      </c>
      <c r="Q205" t="s">
        <v>2356</v>
      </c>
      <c r="R205" t="s">
        <v>23</v>
      </c>
      <c r="S205">
        <v>1</v>
      </c>
      <c r="T205" t="s">
        <v>24</v>
      </c>
      <c r="U205" t="s">
        <v>2402</v>
      </c>
      <c r="V205">
        <v>2025</v>
      </c>
      <c r="W205">
        <v>2</v>
      </c>
    </row>
    <row r="206" spans="1:23" x14ac:dyDescent="0.25">
      <c r="A206" t="s">
        <v>1149</v>
      </c>
      <c r="B206">
        <v>45694.565115740741</v>
      </c>
      <c r="C206" t="s">
        <v>192</v>
      </c>
      <c r="D206" t="s">
        <v>107</v>
      </c>
      <c r="E206" t="s">
        <v>38</v>
      </c>
      <c r="F206" t="s">
        <v>2399</v>
      </c>
      <c r="G206" t="s">
        <v>2379</v>
      </c>
      <c r="H206">
        <v>28000</v>
      </c>
      <c r="I206">
        <v>1</v>
      </c>
      <c r="J206">
        <v>5</v>
      </c>
      <c r="K206">
        <v>28000</v>
      </c>
      <c r="L206">
        <v>1400</v>
      </c>
      <c r="M206">
        <v>26600</v>
      </c>
      <c r="N206">
        <v>97000</v>
      </c>
      <c r="O206">
        <v>123600</v>
      </c>
      <c r="P206" t="s">
        <v>22</v>
      </c>
      <c r="Q206" t="s">
        <v>2357</v>
      </c>
      <c r="R206" t="s">
        <v>82</v>
      </c>
      <c r="S206">
        <v>3</v>
      </c>
      <c r="T206" t="s">
        <v>24</v>
      </c>
      <c r="U206" t="s">
        <v>2402</v>
      </c>
      <c r="V206">
        <v>2025</v>
      </c>
      <c r="W206">
        <v>2</v>
      </c>
    </row>
    <row r="207" spans="1:23" x14ac:dyDescent="0.25">
      <c r="A207" t="s">
        <v>1150</v>
      </c>
      <c r="B207">
        <v>45694.859965277778</v>
      </c>
      <c r="C207" t="s">
        <v>979</v>
      </c>
      <c r="D207" t="s">
        <v>49</v>
      </c>
      <c r="E207" t="s">
        <v>186</v>
      </c>
      <c r="F207" t="s">
        <v>2398</v>
      </c>
      <c r="G207" t="s">
        <v>2377</v>
      </c>
      <c r="H207">
        <v>45000</v>
      </c>
      <c r="I207">
        <v>3</v>
      </c>
      <c r="J207">
        <v>15</v>
      </c>
      <c r="K207">
        <v>135000</v>
      </c>
      <c r="L207">
        <v>20250</v>
      </c>
      <c r="M207">
        <v>114750</v>
      </c>
      <c r="N207">
        <v>43000</v>
      </c>
      <c r="O207">
        <v>157750</v>
      </c>
      <c r="P207" t="s">
        <v>22</v>
      </c>
      <c r="Q207" t="s">
        <v>2357</v>
      </c>
      <c r="R207" t="s">
        <v>23</v>
      </c>
      <c r="S207">
        <v>4</v>
      </c>
      <c r="T207" t="s">
        <v>24</v>
      </c>
      <c r="U207" t="s">
        <v>2402</v>
      </c>
      <c r="V207">
        <v>2025</v>
      </c>
      <c r="W207">
        <v>2</v>
      </c>
    </row>
    <row r="208" spans="1:23" x14ac:dyDescent="0.25">
      <c r="A208" t="s">
        <v>1151</v>
      </c>
      <c r="B208">
        <v>45695.20621527778</v>
      </c>
      <c r="C208" t="s">
        <v>106</v>
      </c>
      <c r="D208" t="s">
        <v>107</v>
      </c>
      <c r="E208" t="s">
        <v>93</v>
      </c>
      <c r="F208" t="s">
        <v>2399</v>
      </c>
      <c r="G208" t="s">
        <v>2378</v>
      </c>
      <c r="H208">
        <v>25000</v>
      </c>
      <c r="I208">
        <v>2</v>
      </c>
      <c r="J208">
        <v>0</v>
      </c>
      <c r="K208">
        <v>50000</v>
      </c>
      <c r="L208">
        <v>0</v>
      </c>
      <c r="M208">
        <v>50000</v>
      </c>
      <c r="N208">
        <v>97000</v>
      </c>
      <c r="O208">
        <v>147000</v>
      </c>
      <c r="P208" t="s">
        <v>29</v>
      </c>
      <c r="Q208" t="s">
        <v>2357</v>
      </c>
      <c r="R208" t="s">
        <v>23</v>
      </c>
      <c r="S208">
        <v>1</v>
      </c>
      <c r="T208" t="s">
        <v>24</v>
      </c>
      <c r="U208" t="s">
        <v>2402</v>
      </c>
      <c r="V208">
        <v>2025</v>
      </c>
      <c r="W208">
        <v>2</v>
      </c>
    </row>
    <row r="209" spans="1:23" x14ac:dyDescent="0.25">
      <c r="A209" t="s">
        <v>1152</v>
      </c>
      <c r="B209">
        <v>45695.245104166657</v>
      </c>
      <c r="C209" t="s">
        <v>157</v>
      </c>
      <c r="D209" t="s">
        <v>20</v>
      </c>
      <c r="E209" t="s">
        <v>45</v>
      </c>
      <c r="F209" t="s">
        <v>2394</v>
      </c>
      <c r="G209" t="s">
        <v>2378</v>
      </c>
      <c r="H209">
        <v>40000</v>
      </c>
      <c r="I209">
        <v>5</v>
      </c>
      <c r="J209">
        <v>5</v>
      </c>
      <c r="K209">
        <v>200000</v>
      </c>
      <c r="L209">
        <v>10000</v>
      </c>
      <c r="M209">
        <v>190000</v>
      </c>
      <c r="N209">
        <v>15000</v>
      </c>
      <c r="O209">
        <v>205000</v>
      </c>
      <c r="P209" t="s">
        <v>35</v>
      </c>
      <c r="Q209" t="s">
        <v>2357</v>
      </c>
      <c r="R209" t="s">
        <v>23</v>
      </c>
      <c r="S209">
        <v>4</v>
      </c>
      <c r="T209" t="s">
        <v>24</v>
      </c>
      <c r="U209" t="s">
        <v>2402</v>
      </c>
      <c r="V209">
        <v>2025</v>
      </c>
      <c r="W209">
        <v>2</v>
      </c>
    </row>
    <row r="210" spans="1:23" x14ac:dyDescent="0.25">
      <c r="A210" t="s">
        <v>1153</v>
      </c>
      <c r="B210">
        <v>45695.398715277777</v>
      </c>
      <c r="C210" t="s">
        <v>237</v>
      </c>
      <c r="D210" t="s">
        <v>238</v>
      </c>
      <c r="E210" t="s">
        <v>93</v>
      </c>
      <c r="F210" t="s">
        <v>2399</v>
      </c>
      <c r="G210" t="s">
        <v>2378</v>
      </c>
      <c r="H210">
        <v>25000</v>
      </c>
      <c r="I210">
        <v>3</v>
      </c>
      <c r="J210">
        <v>0</v>
      </c>
      <c r="K210">
        <v>75000</v>
      </c>
      <c r="L210">
        <v>0</v>
      </c>
      <c r="M210">
        <v>75000</v>
      </c>
      <c r="N210">
        <v>28000</v>
      </c>
      <c r="O210">
        <v>103000</v>
      </c>
      <c r="P210" t="s">
        <v>29</v>
      </c>
      <c r="Q210" t="s">
        <v>2357</v>
      </c>
      <c r="R210" t="s">
        <v>46</v>
      </c>
      <c r="S210">
        <v>1</v>
      </c>
      <c r="T210" t="s">
        <v>24</v>
      </c>
      <c r="U210" t="s">
        <v>2402</v>
      </c>
      <c r="V210">
        <v>2025</v>
      </c>
      <c r="W210">
        <v>2</v>
      </c>
    </row>
    <row r="211" spans="1:23" x14ac:dyDescent="0.25">
      <c r="A211" t="s">
        <v>1154</v>
      </c>
      <c r="B211">
        <v>45695.789201388892</v>
      </c>
      <c r="C211" t="s">
        <v>900</v>
      </c>
      <c r="D211" t="s">
        <v>27</v>
      </c>
      <c r="E211" t="s">
        <v>62</v>
      </c>
      <c r="F211" t="s">
        <v>2398</v>
      </c>
      <c r="G211" t="s">
        <v>2378</v>
      </c>
      <c r="H211">
        <v>50000</v>
      </c>
      <c r="I211">
        <v>5</v>
      </c>
      <c r="J211">
        <v>15</v>
      </c>
      <c r="K211">
        <v>250000</v>
      </c>
      <c r="L211">
        <v>37500</v>
      </c>
      <c r="M211">
        <v>212500</v>
      </c>
      <c r="N211">
        <v>17000</v>
      </c>
      <c r="O211">
        <v>229500</v>
      </c>
      <c r="P211" t="s">
        <v>22</v>
      </c>
      <c r="Q211" t="s">
        <v>2357</v>
      </c>
      <c r="R211" t="s">
        <v>36</v>
      </c>
      <c r="S211">
        <v>3</v>
      </c>
      <c r="T211" t="s">
        <v>24</v>
      </c>
      <c r="U211" t="s">
        <v>2402</v>
      </c>
      <c r="V211">
        <v>2025</v>
      </c>
      <c r="W211">
        <v>2</v>
      </c>
    </row>
    <row r="212" spans="1:23" x14ac:dyDescent="0.25">
      <c r="A212" t="s">
        <v>1155</v>
      </c>
      <c r="B212">
        <v>45695.963761574072</v>
      </c>
      <c r="C212" t="s">
        <v>125</v>
      </c>
      <c r="D212" t="s">
        <v>126</v>
      </c>
      <c r="E212" t="s">
        <v>67</v>
      </c>
      <c r="F212" t="s">
        <v>2393</v>
      </c>
      <c r="G212" t="s">
        <v>2378</v>
      </c>
      <c r="H212">
        <v>15000</v>
      </c>
      <c r="I212">
        <v>3</v>
      </c>
      <c r="J212">
        <v>10</v>
      </c>
      <c r="K212">
        <v>45000</v>
      </c>
      <c r="L212">
        <v>4500</v>
      </c>
      <c r="M212">
        <v>40500</v>
      </c>
      <c r="N212">
        <v>84000</v>
      </c>
      <c r="O212">
        <v>124500</v>
      </c>
      <c r="P212" t="s">
        <v>22</v>
      </c>
      <c r="Q212" t="s">
        <v>2356</v>
      </c>
      <c r="R212" t="s">
        <v>30</v>
      </c>
      <c r="S212">
        <v>5</v>
      </c>
      <c r="T212" t="s">
        <v>24</v>
      </c>
      <c r="U212" t="s">
        <v>2402</v>
      </c>
      <c r="V212">
        <v>2025</v>
      </c>
      <c r="W212">
        <v>2</v>
      </c>
    </row>
    <row r="213" spans="1:23" x14ac:dyDescent="0.25">
      <c r="A213" t="s">
        <v>1156</v>
      </c>
      <c r="B213">
        <v>45696.170405092591</v>
      </c>
      <c r="C213" t="s">
        <v>582</v>
      </c>
      <c r="D213" t="s">
        <v>435</v>
      </c>
      <c r="E213" t="s">
        <v>88</v>
      </c>
      <c r="F213" t="s">
        <v>2393</v>
      </c>
      <c r="G213" t="s">
        <v>2377</v>
      </c>
      <c r="H213">
        <v>14000</v>
      </c>
      <c r="I213">
        <v>1</v>
      </c>
      <c r="J213">
        <v>10</v>
      </c>
      <c r="K213">
        <v>14000</v>
      </c>
      <c r="L213">
        <v>1400</v>
      </c>
      <c r="M213">
        <v>12600</v>
      </c>
      <c r="N213">
        <v>67000</v>
      </c>
      <c r="O213">
        <v>79600</v>
      </c>
      <c r="P213" t="s">
        <v>22</v>
      </c>
      <c r="Q213" t="s">
        <v>2357</v>
      </c>
      <c r="R213" t="s">
        <v>82</v>
      </c>
      <c r="S213">
        <v>1</v>
      </c>
      <c r="T213" t="s">
        <v>24</v>
      </c>
      <c r="U213" t="s">
        <v>2402</v>
      </c>
      <c r="V213">
        <v>2025</v>
      </c>
      <c r="W213">
        <v>2</v>
      </c>
    </row>
    <row r="214" spans="1:23" x14ac:dyDescent="0.25">
      <c r="A214" t="s">
        <v>1157</v>
      </c>
      <c r="B214">
        <v>45696.373900462961</v>
      </c>
      <c r="C214" t="s">
        <v>693</v>
      </c>
      <c r="D214" t="s">
        <v>119</v>
      </c>
      <c r="E214" t="s">
        <v>174</v>
      </c>
      <c r="F214" t="s">
        <v>2400</v>
      </c>
      <c r="G214" t="s">
        <v>2377</v>
      </c>
      <c r="H214">
        <v>10000</v>
      </c>
      <c r="I214">
        <v>4</v>
      </c>
      <c r="J214">
        <v>20</v>
      </c>
      <c r="K214">
        <v>40000</v>
      </c>
      <c r="L214">
        <v>8000</v>
      </c>
      <c r="M214">
        <v>32000</v>
      </c>
      <c r="N214">
        <v>0</v>
      </c>
      <c r="O214">
        <v>32000</v>
      </c>
      <c r="P214" t="s">
        <v>22</v>
      </c>
      <c r="Q214" t="s">
        <v>2357</v>
      </c>
      <c r="R214" t="s">
        <v>82</v>
      </c>
      <c r="S214">
        <v>1</v>
      </c>
      <c r="T214" t="s">
        <v>24</v>
      </c>
      <c r="U214" t="s">
        <v>2402</v>
      </c>
      <c r="V214">
        <v>2025</v>
      </c>
      <c r="W214">
        <v>2</v>
      </c>
    </row>
    <row r="215" spans="1:23" x14ac:dyDescent="0.25">
      <c r="A215" t="s">
        <v>1158</v>
      </c>
      <c r="B215">
        <v>45696.560844907413</v>
      </c>
      <c r="C215" t="s">
        <v>243</v>
      </c>
      <c r="D215" t="s">
        <v>244</v>
      </c>
      <c r="E215" t="s">
        <v>123</v>
      </c>
      <c r="F215" t="s">
        <v>2399</v>
      </c>
      <c r="G215" t="s">
        <v>2377</v>
      </c>
      <c r="H215">
        <v>22000</v>
      </c>
      <c r="I215">
        <v>3</v>
      </c>
      <c r="J215">
        <v>0</v>
      </c>
      <c r="K215">
        <v>66000</v>
      </c>
      <c r="L215">
        <v>0</v>
      </c>
      <c r="M215">
        <v>66000</v>
      </c>
      <c r="N215">
        <v>80000</v>
      </c>
      <c r="O215">
        <v>146000</v>
      </c>
      <c r="P215" t="s">
        <v>29</v>
      </c>
      <c r="Q215" t="s">
        <v>2357</v>
      </c>
      <c r="R215" t="s">
        <v>36</v>
      </c>
      <c r="S215">
        <v>3</v>
      </c>
      <c r="T215" t="s">
        <v>37</v>
      </c>
      <c r="U215" t="s">
        <v>2402</v>
      </c>
      <c r="V215">
        <v>2025</v>
      </c>
      <c r="W215">
        <v>2</v>
      </c>
    </row>
    <row r="216" spans="1:23" x14ac:dyDescent="0.25">
      <c r="A216" t="s">
        <v>1159</v>
      </c>
      <c r="B216">
        <v>45696.675034722219</v>
      </c>
      <c r="C216" t="s">
        <v>1160</v>
      </c>
      <c r="D216" t="s">
        <v>96</v>
      </c>
      <c r="E216" t="s">
        <v>144</v>
      </c>
      <c r="F216" t="s">
        <v>2396</v>
      </c>
      <c r="G216" t="s">
        <v>2379</v>
      </c>
      <c r="H216">
        <v>18000</v>
      </c>
      <c r="I216">
        <v>2</v>
      </c>
      <c r="J216">
        <v>20</v>
      </c>
      <c r="K216">
        <v>36000</v>
      </c>
      <c r="L216">
        <v>7200</v>
      </c>
      <c r="M216">
        <v>28800</v>
      </c>
      <c r="N216">
        <v>49000</v>
      </c>
      <c r="O216">
        <v>77800</v>
      </c>
      <c r="P216" t="s">
        <v>63</v>
      </c>
      <c r="Q216" t="s">
        <v>2356</v>
      </c>
      <c r="R216" t="s">
        <v>82</v>
      </c>
      <c r="S216">
        <v>3</v>
      </c>
      <c r="T216" t="s">
        <v>24</v>
      </c>
      <c r="U216" t="s">
        <v>2402</v>
      </c>
      <c r="V216">
        <v>2025</v>
      </c>
      <c r="W216">
        <v>2</v>
      </c>
    </row>
    <row r="217" spans="1:23" x14ac:dyDescent="0.25">
      <c r="A217" t="s">
        <v>1161</v>
      </c>
      <c r="B217">
        <v>45696.889548611107</v>
      </c>
      <c r="C217" t="s">
        <v>836</v>
      </c>
      <c r="D217" t="s">
        <v>33</v>
      </c>
      <c r="E217" t="s">
        <v>38</v>
      </c>
      <c r="F217" t="s">
        <v>2399</v>
      </c>
      <c r="G217" t="s">
        <v>2379</v>
      </c>
      <c r="H217">
        <v>28000</v>
      </c>
      <c r="I217">
        <v>2</v>
      </c>
      <c r="J217">
        <v>0</v>
      </c>
      <c r="K217">
        <v>56000</v>
      </c>
      <c r="L217">
        <v>0</v>
      </c>
      <c r="M217">
        <v>56000</v>
      </c>
      <c r="N217">
        <v>76000</v>
      </c>
      <c r="O217">
        <v>132000</v>
      </c>
      <c r="P217" t="s">
        <v>29</v>
      </c>
      <c r="Q217" t="s">
        <v>2357</v>
      </c>
      <c r="R217" t="s">
        <v>46</v>
      </c>
      <c r="S217">
        <v>2</v>
      </c>
      <c r="T217" t="s">
        <v>37</v>
      </c>
      <c r="U217" t="s">
        <v>2402</v>
      </c>
      <c r="V217">
        <v>2025</v>
      </c>
      <c r="W217">
        <v>2</v>
      </c>
    </row>
    <row r="218" spans="1:23" x14ac:dyDescent="0.25">
      <c r="A218" t="s">
        <v>1162</v>
      </c>
      <c r="B218">
        <v>45696.894375000003</v>
      </c>
      <c r="C218" t="s">
        <v>1066</v>
      </c>
      <c r="D218" t="s">
        <v>113</v>
      </c>
      <c r="E218" t="s">
        <v>75</v>
      </c>
      <c r="F218" t="s">
        <v>2398</v>
      </c>
      <c r="G218" t="s">
        <v>2379</v>
      </c>
      <c r="H218">
        <v>55000</v>
      </c>
      <c r="I218">
        <v>3</v>
      </c>
      <c r="J218">
        <v>5</v>
      </c>
      <c r="K218">
        <v>165000</v>
      </c>
      <c r="L218">
        <v>8250</v>
      </c>
      <c r="M218">
        <v>156750</v>
      </c>
      <c r="N218">
        <v>18000</v>
      </c>
      <c r="O218">
        <v>174750</v>
      </c>
      <c r="P218" t="s">
        <v>63</v>
      </c>
      <c r="Q218" t="s">
        <v>2359</v>
      </c>
      <c r="R218" t="s">
        <v>36</v>
      </c>
      <c r="S218">
        <v>3</v>
      </c>
      <c r="T218" t="s">
        <v>24</v>
      </c>
      <c r="U218" t="s">
        <v>2402</v>
      </c>
      <c r="V218">
        <v>2025</v>
      </c>
      <c r="W218">
        <v>2</v>
      </c>
    </row>
    <row r="219" spans="1:23" x14ac:dyDescent="0.25">
      <c r="A219" t="s">
        <v>1163</v>
      </c>
      <c r="B219">
        <v>45697.154942129629</v>
      </c>
      <c r="C219" t="s">
        <v>654</v>
      </c>
      <c r="D219" t="s">
        <v>375</v>
      </c>
      <c r="E219" t="s">
        <v>54</v>
      </c>
      <c r="F219" t="s">
        <v>2393</v>
      </c>
      <c r="G219" t="s">
        <v>2379</v>
      </c>
      <c r="H219">
        <v>16000</v>
      </c>
      <c r="I219">
        <v>3</v>
      </c>
      <c r="J219">
        <v>5</v>
      </c>
      <c r="K219">
        <v>48000</v>
      </c>
      <c r="L219">
        <v>2400</v>
      </c>
      <c r="M219">
        <v>45600</v>
      </c>
      <c r="N219">
        <v>21000</v>
      </c>
      <c r="O219">
        <v>66600</v>
      </c>
      <c r="P219" t="s">
        <v>63</v>
      </c>
      <c r="Q219" t="s">
        <v>2357</v>
      </c>
      <c r="R219" t="s">
        <v>23</v>
      </c>
      <c r="S219">
        <v>5</v>
      </c>
      <c r="T219" t="s">
        <v>24</v>
      </c>
      <c r="U219" t="s">
        <v>2402</v>
      </c>
      <c r="V219">
        <v>2025</v>
      </c>
      <c r="W219">
        <v>2</v>
      </c>
    </row>
    <row r="220" spans="1:23" x14ac:dyDescent="0.25">
      <c r="A220" t="s">
        <v>1164</v>
      </c>
      <c r="B220">
        <v>45697.373240740737</v>
      </c>
      <c r="C220" t="s">
        <v>311</v>
      </c>
      <c r="D220" t="s">
        <v>116</v>
      </c>
      <c r="E220" t="s">
        <v>62</v>
      </c>
      <c r="F220" t="s">
        <v>2398</v>
      </c>
      <c r="G220" t="s">
        <v>2378</v>
      </c>
      <c r="H220">
        <v>50000</v>
      </c>
      <c r="I220">
        <v>5</v>
      </c>
      <c r="J220">
        <v>10</v>
      </c>
      <c r="K220">
        <v>250000</v>
      </c>
      <c r="L220">
        <v>25000</v>
      </c>
      <c r="M220">
        <v>225000</v>
      </c>
      <c r="N220">
        <v>72000</v>
      </c>
      <c r="O220">
        <v>297000</v>
      </c>
      <c r="P220" t="s">
        <v>63</v>
      </c>
      <c r="Q220" t="s">
        <v>2357</v>
      </c>
      <c r="R220" t="s">
        <v>46</v>
      </c>
      <c r="S220">
        <v>3</v>
      </c>
      <c r="T220" t="s">
        <v>24</v>
      </c>
      <c r="U220" t="s">
        <v>2402</v>
      </c>
      <c r="V220">
        <v>2025</v>
      </c>
      <c r="W220">
        <v>2</v>
      </c>
    </row>
    <row r="221" spans="1:23" x14ac:dyDescent="0.25">
      <c r="A221" t="s">
        <v>1165</v>
      </c>
      <c r="B221">
        <v>45698.16673611111</v>
      </c>
      <c r="C221" t="s">
        <v>1047</v>
      </c>
      <c r="D221" t="s">
        <v>160</v>
      </c>
      <c r="E221" t="s">
        <v>250</v>
      </c>
      <c r="F221" t="s">
        <v>2397</v>
      </c>
      <c r="G221" t="s">
        <v>2379</v>
      </c>
      <c r="H221">
        <v>18000</v>
      </c>
      <c r="I221">
        <v>3</v>
      </c>
      <c r="J221">
        <v>15</v>
      </c>
      <c r="K221">
        <v>54000</v>
      </c>
      <c r="L221">
        <v>8100</v>
      </c>
      <c r="M221">
        <v>45900</v>
      </c>
      <c r="N221">
        <v>68000</v>
      </c>
      <c r="O221">
        <v>113900</v>
      </c>
      <c r="P221" t="s">
        <v>63</v>
      </c>
      <c r="Q221" t="s">
        <v>2357</v>
      </c>
      <c r="R221" t="s">
        <v>82</v>
      </c>
      <c r="S221">
        <v>4</v>
      </c>
      <c r="T221" t="s">
        <v>24</v>
      </c>
      <c r="U221" t="s">
        <v>2402</v>
      </c>
      <c r="V221">
        <v>2025</v>
      </c>
      <c r="W221">
        <v>2</v>
      </c>
    </row>
    <row r="222" spans="1:23" x14ac:dyDescent="0.25">
      <c r="A222" t="s">
        <v>1166</v>
      </c>
      <c r="B222">
        <v>45698.298506944448</v>
      </c>
      <c r="C222" t="s">
        <v>416</v>
      </c>
      <c r="D222" t="s">
        <v>131</v>
      </c>
      <c r="E222" t="s">
        <v>28</v>
      </c>
      <c r="F222" t="s">
        <v>2395</v>
      </c>
      <c r="G222" t="s">
        <v>2378</v>
      </c>
      <c r="H222">
        <v>5000</v>
      </c>
      <c r="I222">
        <v>1</v>
      </c>
      <c r="J222">
        <v>10</v>
      </c>
      <c r="K222">
        <v>5000</v>
      </c>
      <c r="L222">
        <v>500</v>
      </c>
      <c r="M222">
        <v>4500</v>
      </c>
      <c r="N222">
        <v>59000</v>
      </c>
      <c r="O222">
        <v>63500</v>
      </c>
      <c r="P222" t="s">
        <v>63</v>
      </c>
      <c r="Q222" t="s">
        <v>2357</v>
      </c>
      <c r="R222" t="s">
        <v>36</v>
      </c>
      <c r="S222">
        <v>4</v>
      </c>
      <c r="T222" t="s">
        <v>24</v>
      </c>
      <c r="U222" t="s">
        <v>2402</v>
      </c>
      <c r="V222">
        <v>2025</v>
      </c>
      <c r="W222">
        <v>2</v>
      </c>
    </row>
    <row r="223" spans="1:23" x14ac:dyDescent="0.25">
      <c r="A223" t="s">
        <v>1167</v>
      </c>
      <c r="B223">
        <v>45698.61142361111</v>
      </c>
      <c r="C223" t="s">
        <v>557</v>
      </c>
      <c r="D223" t="s">
        <v>173</v>
      </c>
      <c r="E223" t="s">
        <v>21</v>
      </c>
      <c r="F223" t="s">
        <v>2394</v>
      </c>
      <c r="G223" t="s">
        <v>2379</v>
      </c>
      <c r="H223">
        <v>45000</v>
      </c>
      <c r="I223">
        <v>5</v>
      </c>
      <c r="J223">
        <v>20</v>
      </c>
      <c r="K223">
        <v>225000</v>
      </c>
      <c r="L223">
        <v>45000</v>
      </c>
      <c r="M223">
        <v>180000</v>
      </c>
      <c r="N223">
        <v>49000</v>
      </c>
      <c r="O223">
        <v>229000</v>
      </c>
      <c r="P223" t="s">
        <v>35</v>
      </c>
      <c r="Q223" t="s">
        <v>2356</v>
      </c>
      <c r="R223" t="s">
        <v>23</v>
      </c>
      <c r="S223">
        <v>3</v>
      </c>
      <c r="T223" t="s">
        <v>24</v>
      </c>
      <c r="U223" t="s">
        <v>2402</v>
      </c>
      <c r="V223">
        <v>2025</v>
      </c>
      <c r="W223">
        <v>2</v>
      </c>
    </row>
    <row r="224" spans="1:23" x14ac:dyDescent="0.25">
      <c r="A224" t="s">
        <v>1168</v>
      </c>
      <c r="B224">
        <v>45698.775995370372</v>
      </c>
      <c r="C224" t="s">
        <v>598</v>
      </c>
      <c r="D224" t="s">
        <v>61</v>
      </c>
      <c r="E224" t="s">
        <v>138</v>
      </c>
      <c r="F224" t="s">
        <v>2396</v>
      </c>
      <c r="G224" t="s">
        <v>2378</v>
      </c>
      <c r="H224">
        <v>17000</v>
      </c>
      <c r="I224">
        <v>1</v>
      </c>
      <c r="J224">
        <v>20</v>
      </c>
      <c r="K224">
        <v>17000</v>
      </c>
      <c r="L224">
        <v>3400</v>
      </c>
      <c r="M224">
        <v>13600</v>
      </c>
      <c r="N224">
        <v>26000</v>
      </c>
      <c r="O224">
        <v>39600</v>
      </c>
      <c r="P224" t="s">
        <v>35</v>
      </c>
      <c r="Q224" t="s">
        <v>2357</v>
      </c>
      <c r="R224" t="s">
        <v>30</v>
      </c>
      <c r="S224">
        <v>3</v>
      </c>
      <c r="T224" t="s">
        <v>24</v>
      </c>
      <c r="U224" t="s">
        <v>2402</v>
      </c>
      <c r="V224">
        <v>2025</v>
      </c>
      <c r="W224">
        <v>2</v>
      </c>
    </row>
    <row r="225" spans="1:23" x14ac:dyDescent="0.25">
      <c r="A225" t="s">
        <v>1169</v>
      </c>
      <c r="B225">
        <v>45698.947395833333</v>
      </c>
      <c r="C225" t="s">
        <v>644</v>
      </c>
      <c r="D225" t="s">
        <v>244</v>
      </c>
      <c r="E225" t="s">
        <v>174</v>
      </c>
      <c r="F225" t="s">
        <v>2400</v>
      </c>
      <c r="G225" t="s">
        <v>2377</v>
      </c>
      <c r="H225">
        <v>10000</v>
      </c>
      <c r="I225">
        <v>2</v>
      </c>
      <c r="J225">
        <v>10</v>
      </c>
      <c r="K225">
        <v>20000</v>
      </c>
      <c r="L225">
        <v>2000</v>
      </c>
      <c r="M225">
        <v>18000</v>
      </c>
      <c r="N225">
        <v>80000</v>
      </c>
      <c r="O225">
        <v>98000</v>
      </c>
      <c r="P225" t="s">
        <v>29</v>
      </c>
      <c r="Q225" t="s">
        <v>2357</v>
      </c>
      <c r="R225" t="s">
        <v>46</v>
      </c>
      <c r="S225">
        <v>1</v>
      </c>
      <c r="T225" t="s">
        <v>24</v>
      </c>
      <c r="U225" t="s">
        <v>2402</v>
      </c>
      <c r="V225">
        <v>2025</v>
      </c>
      <c r="W225">
        <v>2</v>
      </c>
    </row>
    <row r="226" spans="1:23" x14ac:dyDescent="0.25">
      <c r="A226" t="s">
        <v>1170</v>
      </c>
      <c r="B226">
        <v>45699.032824074071</v>
      </c>
      <c r="C226" t="s">
        <v>353</v>
      </c>
      <c r="D226" t="s">
        <v>66</v>
      </c>
      <c r="E226" t="s">
        <v>250</v>
      </c>
      <c r="F226" t="s">
        <v>2397</v>
      </c>
      <c r="G226" t="s">
        <v>2379</v>
      </c>
      <c r="H226">
        <v>18000</v>
      </c>
      <c r="I226">
        <v>1</v>
      </c>
      <c r="J226">
        <v>0</v>
      </c>
      <c r="K226">
        <v>18000</v>
      </c>
      <c r="L226">
        <v>0</v>
      </c>
      <c r="M226">
        <v>18000</v>
      </c>
      <c r="N226">
        <v>59000</v>
      </c>
      <c r="O226">
        <v>77000</v>
      </c>
      <c r="P226" t="s">
        <v>35</v>
      </c>
      <c r="Q226" t="s">
        <v>2357</v>
      </c>
      <c r="R226" t="s">
        <v>23</v>
      </c>
      <c r="S226">
        <v>5</v>
      </c>
      <c r="T226" t="s">
        <v>24</v>
      </c>
      <c r="U226" t="s">
        <v>2402</v>
      </c>
      <c r="V226">
        <v>2025</v>
      </c>
      <c r="W226">
        <v>2</v>
      </c>
    </row>
    <row r="227" spans="1:23" x14ac:dyDescent="0.25">
      <c r="A227" t="s">
        <v>1171</v>
      </c>
      <c r="B227">
        <v>45699.038425925923</v>
      </c>
      <c r="C227" t="s">
        <v>437</v>
      </c>
      <c r="D227" t="s">
        <v>375</v>
      </c>
      <c r="E227" t="s">
        <v>34</v>
      </c>
      <c r="F227" t="s">
        <v>2397</v>
      </c>
      <c r="G227" t="s">
        <v>2377</v>
      </c>
      <c r="H227">
        <v>16000</v>
      </c>
      <c r="I227">
        <v>1</v>
      </c>
      <c r="J227">
        <v>10</v>
      </c>
      <c r="K227">
        <v>16000</v>
      </c>
      <c r="L227">
        <v>1600</v>
      </c>
      <c r="M227">
        <v>14400</v>
      </c>
      <c r="N227">
        <v>21000</v>
      </c>
      <c r="O227">
        <v>35400</v>
      </c>
      <c r="P227" t="s">
        <v>35</v>
      </c>
      <c r="Q227" t="s">
        <v>2357</v>
      </c>
      <c r="R227" t="s">
        <v>82</v>
      </c>
      <c r="S227">
        <v>2</v>
      </c>
      <c r="T227" t="s">
        <v>24</v>
      </c>
      <c r="U227" t="s">
        <v>2402</v>
      </c>
      <c r="V227">
        <v>2025</v>
      </c>
      <c r="W227">
        <v>2</v>
      </c>
    </row>
    <row r="228" spans="1:23" x14ac:dyDescent="0.25">
      <c r="A228" t="s">
        <v>1172</v>
      </c>
      <c r="B228">
        <v>45699.473240740743</v>
      </c>
      <c r="C228" t="s">
        <v>1173</v>
      </c>
      <c r="D228" t="s">
        <v>170</v>
      </c>
      <c r="E228" t="s">
        <v>174</v>
      </c>
      <c r="F228" t="s">
        <v>2400</v>
      </c>
      <c r="G228" t="s">
        <v>2377</v>
      </c>
      <c r="H228">
        <v>10000</v>
      </c>
      <c r="I228">
        <v>1</v>
      </c>
      <c r="J228">
        <v>15</v>
      </c>
      <c r="K228">
        <v>10000</v>
      </c>
      <c r="L228">
        <v>1500</v>
      </c>
      <c r="M228">
        <v>8500</v>
      </c>
      <c r="N228">
        <v>46000</v>
      </c>
      <c r="O228">
        <v>54500</v>
      </c>
      <c r="P228" t="s">
        <v>35</v>
      </c>
      <c r="Q228" t="s">
        <v>2357</v>
      </c>
      <c r="R228" t="s">
        <v>82</v>
      </c>
      <c r="S228">
        <v>2</v>
      </c>
      <c r="T228" t="s">
        <v>24</v>
      </c>
      <c r="U228" t="s">
        <v>2402</v>
      </c>
      <c r="V228">
        <v>2025</v>
      </c>
      <c r="W228">
        <v>2</v>
      </c>
    </row>
    <row r="229" spans="1:23" x14ac:dyDescent="0.25">
      <c r="A229" t="s">
        <v>1174</v>
      </c>
      <c r="B229">
        <v>45699.704618055563</v>
      </c>
      <c r="C229" t="s">
        <v>229</v>
      </c>
      <c r="D229" t="s">
        <v>195</v>
      </c>
      <c r="E229" t="s">
        <v>144</v>
      </c>
      <c r="F229" t="s">
        <v>2396</v>
      </c>
      <c r="G229" t="s">
        <v>2379</v>
      </c>
      <c r="H229">
        <v>18000</v>
      </c>
      <c r="I229">
        <v>3</v>
      </c>
      <c r="J229">
        <v>15</v>
      </c>
      <c r="K229">
        <v>54000</v>
      </c>
      <c r="L229">
        <v>8100</v>
      </c>
      <c r="M229">
        <v>45900</v>
      </c>
      <c r="N229">
        <v>87000</v>
      </c>
      <c r="O229">
        <v>132900</v>
      </c>
      <c r="P229" t="s">
        <v>22</v>
      </c>
      <c r="Q229" t="s">
        <v>2359</v>
      </c>
      <c r="R229" t="s">
        <v>23</v>
      </c>
      <c r="S229">
        <v>1</v>
      </c>
      <c r="T229" t="s">
        <v>24</v>
      </c>
      <c r="U229" t="s">
        <v>2402</v>
      </c>
      <c r="V229">
        <v>2025</v>
      </c>
      <c r="W229">
        <v>2</v>
      </c>
    </row>
    <row r="230" spans="1:23" x14ac:dyDescent="0.25">
      <c r="A230" t="s">
        <v>1175</v>
      </c>
      <c r="B230">
        <v>45700.082442129627</v>
      </c>
      <c r="C230" t="s">
        <v>741</v>
      </c>
      <c r="D230" t="s">
        <v>189</v>
      </c>
      <c r="E230" t="s">
        <v>110</v>
      </c>
      <c r="F230" t="s">
        <v>2395</v>
      </c>
      <c r="G230" t="s">
        <v>2379</v>
      </c>
      <c r="H230">
        <v>6000</v>
      </c>
      <c r="I230">
        <v>3</v>
      </c>
      <c r="J230">
        <v>15</v>
      </c>
      <c r="K230">
        <v>18000</v>
      </c>
      <c r="L230">
        <v>2700</v>
      </c>
      <c r="M230">
        <v>15300</v>
      </c>
      <c r="N230">
        <v>57000</v>
      </c>
      <c r="O230">
        <v>72300</v>
      </c>
      <c r="P230" t="s">
        <v>22</v>
      </c>
      <c r="Q230" t="s">
        <v>2357</v>
      </c>
      <c r="R230" t="s">
        <v>23</v>
      </c>
      <c r="S230">
        <v>5</v>
      </c>
      <c r="T230" t="s">
        <v>24</v>
      </c>
      <c r="U230" t="s">
        <v>2402</v>
      </c>
      <c r="V230">
        <v>2025</v>
      </c>
      <c r="W230">
        <v>2</v>
      </c>
    </row>
    <row r="231" spans="1:23" x14ac:dyDescent="0.25">
      <c r="A231" t="s">
        <v>1176</v>
      </c>
      <c r="B231">
        <v>45700.28434027778</v>
      </c>
      <c r="C231" t="s">
        <v>804</v>
      </c>
      <c r="D231" t="s">
        <v>49</v>
      </c>
      <c r="E231" t="s">
        <v>88</v>
      </c>
      <c r="F231" t="s">
        <v>2393</v>
      </c>
      <c r="G231" t="s">
        <v>2377</v>
      </c>
      <c r="H231">
        <v>14000</v>
      </c>
      <c r="I231">
        <v>2</v>
      </c>
      <c r="J231">
        <v>5</v>
      </c>
      <c r="K231">
        <v>28000</v>
      </c>
      <c r="L231">
        <v>1400</v>
      </c>
      <c r="M231">
        <v>26600</v>
      </c>
      <c r="N231">
        <v>43000</v>
      </c>
      <c r="O231">
        <v>69600</v>
      </c>
      <c r="P231" t="s">
        <v>29</v>
      </c>
      <c r="Q231" t="s">
        <v>2356</v>
      </c>
      <c r="R231" t="s">
        <v>82</v>
      </c>
      <c r="S231">
        <v>4</v>
      </c>
      <c r="T231" t="s">
        <v>24</v>
      </c>
      <c r="U231" t="s">
        <v>2402</v>
      </c>
      <c r="V231">
        <v>2025</v>
      </c>
      <c r="W231">
        <v>2</v>
      </c>
    </row>
    <row r="232" spans="1:23" x14ac:dyDescent="0.25">
      <c r="A232" t="s">
        <v>1177</v>
      </c>
      <c r="B232">
        <v>45700.710787037038</v>
      </c>
      <c r="C232" t="s">
        <v>222</v>
      </c>
      <c r="D232" t="s">
        <v>49</v>
      </c>
      <c r="E232" t="s">
        <v>174</v>
      </c>
      <c r="F232" t="s">
        <v>2400</v>
      </c>
      <c r="G232" t="s">
        <v>2377</v>
      </c>
      <c r="H232">
        <v>10000</v>
      </c>
      <c r="I232">
        <v>5</v>
      </c>
      <c r="J232">
        <v>20</v>
      </c>
      <c r="K232">
        <v>50000</v>
      </c>
      <c r="L232">
        <v>10000</v>
      </c>
      <c r="M232">
        <v>40000</v>
      </c>
      <c r="N232">
        <v>43000</v>
      </c>
      <c r="O232">
        <v>83000</v>
      </c>
      <c r="P232" t="s">
        <v>22</v>
      </c>
      <c r="Q232" t="s">
        <v>2359</v>
      </c>
      <c r="R232" t="s">
        <v>82</v>
      </c>
      <c r="S232">
        <v>2</v>
      </c>
      <c r="T232" t="s">
        <v>24</v>
      </c>
      <c r="U232" t="s">
        <v>2402</v>
      </c>
      <c r="V232">
        <v>2025</v>
      </c>
      <c r="W232">
        <v>2</v>
      </c>
    </row>
    <row r="233" spans="1:23" x14ac:dyDescent="0.25">
      <c r="A233" t="s">
        <v>1177</v>
      </c>
      <c r="B233">
        <v>45700.710787037038</v>
      </c>
      <c r="C233" t="s">
        <v>222</v>
      </c>
      <c r="D233" t="s">
        <v>49</v>
      </c>
      <c r="E233" t="s">
        <v>174</v>
      </c>
      <c r="F233" t="s">
        <v>2400</v>
      </c>
      <c r="G233" t="s">
        <v>2377</v>
      </c>
      <c r="H233">
        <v>10000</v>
      </c>
      <c r="I233">
        <v>2</v>
      </c>
      <c r="J233">
        <v>5</v>
      </c>
      <c r="K233">
        <v>20000</v>
      </c>
      <c r="L233">
        <v>1000</v>
      </c>
      <c r="M233">
        <v>19000</v>
      </c>
      <c r="N233">
        <v>0</v>
      </c>
      <c r="O233">
        <v>19000</v>
      </c>
      <c r="P233" t="s">
        <v>22</v>
      </c>
      <c r="Q233" t="s">
        <v>2359</v>
      </c>
      <c r="R233" t="s">
        <v>82</v>
      </c>
      <c r="S233">
        <v>2</v>
      </c>
      <c r="T233" t="s">
        <v>24</v>
      </c>
      <c r="U233" t="s">
        <v>2402</v>
      </c>
      <c r="V233">
        <v>2025</v>
      </c>
      <c r="W233">
        <v>2</v>
      </c>
    </row>
    <row r="234" spans="1:23" x14ac:dyDescent="0.25">
      <c r="A234" t="s">
        <v>1178</v>
      </c>
      <c r="B234">
        <v>45700.962106481478</v>
      </c>
      <c r="C234" t="s">
        <v>1179</v>
      </c>
      <c r="D234" t="s">
        <v>170</v>
      </c>
      <c r="E234" t="s">
        <v>45</v>
      </c>
      <c r="F234" t="s">
        <v>2394</v>
      </c>
      <c r="G234" t="s">
        <v>2378</v>
      </c>
      <c r="H234">
        <v>40000</v>
      </c>
      <c r="I234">
        <v>1</v>
      </c>
      <c r="J234">
        <v>0</v>
      </c>
      <c r="K234">
        <v>40000</v>
      </c>
      <c r="L234">
        <v>0</v>
      </c>
      <c r="M234">
        <v>40000</v>
      </c>
      <c r="N234">
        <v>46000</v>
      </c>
      <c r="O234">
        <v>86000</v>
      </c>
      <c r="P234" t="s">
        <v>29</v>
      </c>
      <c r="Q234" t="s">
        <v>2357</v>
      </c>
      <c r="R234" t="s">
        <v>23</v>
      </c>
      <c r="S234">
        <v>2</v>
      </c>
      <c r="T234" t="s">
        <v>24</v>
      </c>
      <c r="U234" t="s">
        <v>2402</v>
      </c>
      <c r="V234">
        <v>2025</v>
      </c>
      <c r="W234">
        <v>2</v>
      </c>
    </row>
    <row r="235" spans="1:23" x14ac:dyDescent="0.25">
      <c r="A235" t="s">
        <v>1180</v>
      </c>
      <c r="B235">
        <v>45701.299745370372</v>
      </c>
      <c r="C235" t="s">
        <v>211</v>
      </c>
      <c r="D235" t="s">
        <v>49</v>
      </c>
      <c r="E235" t="s">
        <v>21</v>
      </c>
      <c r="F235" t="s">
        <v>2394</v>
      </c>
      <c r="G235" t="s">
        <v>2379</v>
      </c>
      <c r="H235">
        <v>45000</v>
      </c>
      <c r="I235">
        <v>2</v>
      </c>
      <c r="J235">
        <v>20</v>
      </c>
      <c r="K235">
        <v>90000</v>
      </c>
      <c r="L235">
        <v>18000</v>
      </c>
      <c r="M235">
        <v>72000</v>
      </c>
      <c r="N235">
        <v>43000</v>
      </c>
      <c r="O235">
        <v>115000</v>
      </c>
      <c r="P235" t="s">
        <v>22</v>
      </c>
      <c r="Q235" t="s">
        <v>2356</v>
      </c>
      <c r="R235" t="s">
        <v>30</v>
      </c>
      <c r="S235">
        <v>3</v>
      </c>
      <c r="T235" t="s">
        <v>24</v>
      </c>
      <c r="U235" t="s">
        <v>2402</v>
      </c>
      <c r="V235">
        <v>2025</v>
      </c>
      <c r="W235">
        <v>2</v>
      </c>
    </row>
    <row r="236" spans="1:23" x14ac:dyDescent="0.25">
      <c r="A236" t="s">
        <v>1181</v>
      </c>
      <c r="B236">
        <v>45701.335729166669</v>
      </c>
      <c r="C236" t="s">
        <v>1091</v>
      </c>
      <c r="D236" t="s">
        <v>160</v>
      </c>
      <c r="E236" t="s">
        <v>50</v>
      </c>
      <c r="F236" t="s">
        <v>2400</v>
      </c>
      <c r="G236" t="s">
        <v>2379</v>
      </c>
      <c r="H236">
        <v>14000</v>
      </c>
      <c r="I236">
        <v>3</v>
      </c>
      <c r="J236">
        <v>10</v>
      </c>
      <c r="K236">
        <v>42000</v>
      </c>
      <c r="L236">
        <v>4200</v>
      </c>
      <c r="M236">
        <v>37800</v>
      </c>
      <c r="N236">
        <v>68000</v>
      </c>
      <c r="O236">
        <v>105800</v>
      </c>
      <c r="P236" t="s">
        <v>35</v>
      </c>
      <c r="Q236" t="s">
        <v>2357</v>
      </c>
      <c r="R236" t="s">
        <v>46</v>
      </c>
      <c r="S236">
        <v>5</v>
      </c>
      <c r="T236" t="s">
        <v>37</v>
      </c>
      <c r="U236" t="s">
        <v>2402</v>
      </c>
      <c r="V236">
        <v>2025</v>
      </c>
      <c r="W236">
        <v>2</v>
      </c>
    </row>
    <row r="237" spans="1:23" x14ac:dyDescent="0.25">
      <c r="A237" t="s">
        <v>1182</v>
      </c>
      <c r="B237">
        <v>45701.521331018521</v>
      </c>
      <c r="C237" t="s">
        <v>133</v>
      </c>
      <c r="D237" t="s">
        <v>33</v>
      </c>
      <c r="E237" t="s">
        <v>50</v>
      </c>
      <c r="F237" t="s">
        <v>2400</v>
      </c>
      <c r="G237" t="s">
        <v>2379</v>
      </c>
      <c r="H237">
        <v>14000</v>
      </c>
      <c r="I237">
        <v>4</v>
      </c>
      <c r="J237">
        <v>10</v>
      </c>
      <c r="K237">
        <v>56000</v>
      </c>
      <c r="L237">
        <v>5600</v>
      </c>
      <c r="M237">
        <v>50400</v>
      </c>
      <c r="N237">
        <v>76000</v>
      </c>
      <c r="O237">
        <v>126400</v>
      </c>
      <c r="P237" t="s">
        <v>22</v>
      </c>
      <c r="Q237" t="s">
        <v>2357</v>
      </c>
      <c r="R237" t="s">
        <v>30</v>
      </c>
      <c r="S237">
        <v>2</v>
      </c>
      <c r="T237" t="s">
        <v>24</v>
      </c>
      <c r="U237" t="s">
        <v>2402</v>
      </c>
      <c r="V237">
        <v>2025</v>
      </c>
      <c r="W237">
        <v>2</v>
      </c>
    </row>
    <row r="238" spans="1:23" x14ac:dyDescent="0.25">
      <c r="A238" t="s">
        <v>1183</v>
      </c>
      <c r="B238">
        <v>45701.57744212963</v>
      </c>
      <c r="C238" t="s">
        <v>722</v>
      </c>
      <c r="D238" t="s">
        <v>57</v>
      </c>
      <c r="E238" t="s">
        <v>50</v>
      </c>
      <c r="F238" t="s">
        <v>2400</v>
      </c>
      <c r="G238" t="s">
        <v>2379</v>
      </c>
      <c r="H238">
        <v>14000</v>
      </c>
      <c r="I238">
        <v>4</v>
      </c>
      <c r="J238">
        <v>10</v>
      </c>
      <c r="K238">
        <v>56000</v>
      </c>
      <c r="L238">
        <v>5600</v>
      </c>
      <c r="M238">
        <v>50400</v>
      </c>
      <c r="N238">
        <v>80000</v>
      </c>
      <c r="O238">
        <v>130400</v>
      </c>
      <c r="P238" t="s">
        <v>22</v>
      </c>
      <c r="Q238" t="s">
        <v>2357</v>
      </c>
      <c r="R238" t="s">
        <v>23</v>
      </c>
      <c r="S238">
        <v>1</v>
      </c>
      <c r="T238" t="s">
        <v>24</v>
      </c>
      <c r="U238" t="s">
        <v>2402</v>
      </c>
      <c r="V238">
        <v>2025</v>
      </c>
      <c r="W238">
        <v>2</v>
      </c>
    </row>
    <row r="239" spans="1:23" x14ac:dyDescent="0.25">
      <c r="A239" t="s">
        <v>1184</v>
      </c>
      <c r="B239">
        <v>45701.792673611111</v>
      </c>
      <c r="C239" t="s">
        <v>167</v>
      </c>
      <c r="D239" t="s">
        <v>44</v>
      </c>
      <c r="E239" t="s">
        <v>88</v>
      </c>
      <c r="F239" t="s">
        <v>2393</v>
      </c>
      <c r="G239" t="s">
        <v>2377</v>
      </c>
      <c r="H239">
        <v>14000</v>
      </c>
      <c r="I239">
        <v>2</v>
      </c>
      <c r="J239">
        <v>15</v>
      </c>
      <c r="K239">
        <v>28000</v>
      </c>
      <c r="L239">
        <v>4200</v>
      </c>
      <c r="M239">
        <v>23800</v>
      </c>
      <c r="N239">
        <v>93000</v>
      </c>
      <c r="O239">
        <v>116800</v>
      </c>
      <c r="P239" t="s">
        <v>22</v>
      </c>
      <c r="Q239" t="s">
        <v>2359</v>
      </c>
      <c r="R239" t="s">
        <v>46</v>
      </c>
      <c r="S239">
        <v>2</v>
      </c>
      <c r="T239" t="s">
        <v>24</v>
      </c>
      <c r="U239" t="s">
        <v>2402</v>
      </c>
      <c r="V239">
        <v>2025</v>
      </c>
      <c r="W239">
        <v>2</v>
      </c>
    </row>
    <row r="240" spans="1:23" x14ac:dyDescent="0.25">
      <c r="A240" t="s">
        <v>1185</v>
      </c>
      <c r="B240">
        <v>45702.395196759258</v>
      </c>
      <c r="C240" t="s">
        <v>470</v>
      </c>
      <c r="D240" t="s">
        <v>116</v>
      </c>
      <c r="E240" t="s">
        <v>136</v>
      </c>
      <c r="F240" t="s">
        <v>2400</v>
      </c>
      <c r="G240" t="s">
        <v>2378</v>
      </c>
      <c r="H240">
        <v>12000</v>
      </c>
      <c r="I240">
        <v>1</v>
      </c>
      <c r="J240">
        <v>5</v>
      </c>
      <c r="K240">
        <v>12000</v>
      </c>
      <c r="L240">
        <v>600</v>
      </c>
      <c r="M240">
        <v>11400</v>
      </c>
      <c r="N240">
        <v>72000</v>
      </c>
      <c r="O240">
        <v>83400</v>
      </c>
      <c r="P240" t="s">
        <v>35</v>
      </c>
      <c r="Q240" t="s">
        <v>2357</v>
      </c>
      <c r="R240" t="s">
        <v>36</v>
      </c>
      <c r="S240">
        <v>2</v>
      </c>
      <c r="T240" t="s">
        <v>24</v>
      </c>
      <c r="U240" t="s">
        <v>2402</v>
      </c>
      <c r="V240">
        <v>2025</v>
      </c>
      <c r="W240">
        <v>2</v>
      </c>
    </row>
    <row r="241" spans="1:23" x14ac:dyDescent="0.25">
      <c r="A241" t="s">
        <v>1186</v>
      </c>
      <c r="B241">
        <v>45702.578518518523</v>
      </c>
      <c r="C241" t="s">
        <v>744</v>
      </c>
      <c r="D241" t="s">
        <v>375</v>
      </c>
      <c r="E241" t="s">
        <v>38</v>
      </c>
      <c r="F241" t="s">
        <v>2399</v>
      </c>
      <c r="G241" t="s">
        <v>2379</v>
      </c>
      <c r="H241">
        <v>28000</v>
      </c>
      <c r="I241">
        <v>3</v>
      </c>
      <c r="J241">
        <v>5</v>
      </c>
      <c r="K241">
        <v>84000</v>
      </c>
      <c r="L241">
        <v>4200</v>
      </c>
      <c r="M241">
        <v>79800</v>
      </c>
      <c r="N241">
        <v>21000</v>
      </c>
      <c r="O241">
        <v>100800</v>
      </c>
      <c r="P241" t="s">
        <v>35</v>
      </c>
      <c r="Q241" t="s">
        <v>2357</v>
      </c>
      <c r="R241" t="s">
        <v>30</v>
      </c>
      <c r="S241">
        <v>4</v>
      </c>
      <c r="T241" t="s">
        <v>24</v>
      </c>
      <c r="U241" t="s">
        <v>2402</v>
      </c>
      <c r="V241">
        <v>2025</v>
      </c>
      <c r="W241">
        <v>2</v>
      </c>
    </row>
    <row r="242" spans="1:23" x14ac:dyDescent="0.25">
      <c r="A242" t="s">
        <v>1187</v>
      </c>
      <c r="B242">
        <v>45702.711562500001</v>
      </c>
      <c r="C242" t="s">
        <v>544</v>
      </c>
      <c r="D242" t="s">
        <v>163</v>
      </c>
      <c r="E242" t="s">
        <v>50</v>
      </c>
      <c r="F242" t="s">
        <v>2400</v>
      </c>
      <c r="G242" t="s">
        <v>2379</v>
      </c>
      <c r="H242">
        <v>14000</v>
      </c>
      <c r="I242">
        <v>4</v>
      </c>
      <c r="J242">
        <v>5</v>
      </c>
      <c r="K242">
        <v>56000</v>
      </c>
      <c r="L242">
        <v>2800</v>
      </c>
      <c r="M242">
        <v>53200</v>
      </c>
      <c r="N242">
        <v>50000</v>
      </c>
      <c r="O242">
        <v>103200</v>
      </c>
      <c r="P242" t="s">
        <v>35</v>
      </c>
      <c r="Q242" t="s">
        <v>2357</v>
      </c>
      <c r="R242" t="s">
        <v>23</v>
      </c>
      <c r="S242">
        <v>3</v>
      </c>
      <c r="T242" t="s">
        <v>24</v>
      </c>
      <c r="U242" t="s">
        <v>2402</v>
      </c>
      <c r="V242">
        <v>2025</v>
      </c>
      <c r="W242">
        <v>2</v>
      </c>
    </row>
    <row r="243" spans="1:23" x14ac:dyDescent="0.25">
      <c r="A243" t="s">
        <v>1188</v>
      </c>
      <c r="B243">
        <v>45703.613344907397</v>
      </c>
      <c r="C243" t="s">
        <v>402</v>
      </c>
      <c r="D243" t="s">
        <v>163</v>
      </c>
      <c r="E243" t="s">
        <v>250</v>
      </c>
      <c r="F243" t="s">
        <v>2397</v>
      </c>
      <c r="G243" t="s">
        <v>2379</v>
      </c>
      <c r="H243">
        <v>18000</v>
      </c>
      <c r="I243">
        <v>2</v>
      </c>
      <c r="J243">
        <v>5</v>
      </c>
      <c r="K243">
        <v>36000</v>
      </c>
      <c r="L243">
        <v>1800</v>
      </c>
      <c r="M243">
        <v>34200</v>
      </c>
      <c r="N243">
        <v>50000</v>
      </c>
      <c r="O243">
        <v>84200</v>
      </c>
      <c r="P243" t="s">
        <v>29</v>
      </c>
      <c r="Q243" t="s">
        <v>2357</v>
      </c>
      <c r="R243" t="s">
        <v>30</v>
      </c>
      <c r="S243">
        <v>2</v>
      </c>
      <c r="T243" t="s">
        <v>24</v>
      </c>
      <c r="U243" t="s">
        <v>2402</v>
      </c>
      <c r="V243">
        <v>2025</v>
      </c>
      <c r="W243">
        <v>2</v>
      </c>
    </row>
    <row r="244" spans="1:23" x14ac:dyDescent="0.25">
      <c r="A244" t="s">
        <v>1189</v>
      </c>
      <c r="B244">
        <v>45703.764722222222</v>
      </c>
      <c r="C244" t="s">
        <v>582</v>
      </c>
      <c r="D244" t="s">
        <v>435</v>
      </c>
      <c r="E244" t="s">
        <v>41</v>
      </c>
      <c r="F244" t="s">
        <v>2395</v>
      </c>
      <c r="G244" t="s">
        <v>2377</v>
      </c>
      <c r="H244">
        <v>4000</v>
      </c>
      <c r="I244">
        <v>4</v>
      </c>
      <c r="J244">
        <v>20</v>
      </c>
      <c r="K244">
        <v>16000</v>
      </c>
      <c r="L244">
        <v>3200</v>
      </c>
      <c r="M244">
        <v>12800</v>
      </c>
      <c r="N244">
        <v>67000</v>
      </c>
      <c r="O244">
        <v>79800</v>
      </c>
      <c r="P244" t="s">
        <v>29</v>
      </c>
      <c r="Q244" t="s">
        <v>2357</v>
      </c>
      <c r="R244" t="s">
        <v>23</v>
      </c>
      <c r="S244">
        <v>5</v>
      </c>
      <c r="T244" t="s">
        <v>24</v>
      </c>
      <c r="U244" t="s">
        <v>2402</v>
      </c>
      <c r="V244">
        <v>2025</v>
      </c>
      <c r="W244">
        <v>2</v>
      </c>
    </row>
    <row r="245" spans="1:23" x14ac:dyDescent="0.25">
      <c r="A245" t="s">
        <v>1190</v>
      </c>
      <c r="B245">
        <v>45703.924745370372</v>
      </c>
      <c r="C245" t="s">
        <v>19</v>
      </c>
      <c r="D245" t="s">
        <v>20</v>
      </c>
      <c r="E245" t="s">
        <v>38</v>
      </c>
      <c r="F245" t="s">
        <v>2399</v>
      </c>
      <c r="G245" t="s">
        <v>2379</v>
      </c>
      <c r="H245">
        <v>28000</v>
      </c>
      <c r="I245">
        <v>1</v>
      </c>
      <c r="J245">
        <v>5</v>
      </c>
      <c r="K245">
        <v>28000</v>
      </c>
      <c r="L245">
        <v>1400</v>
      </c>
      <c r="M245">
        <v>26600</v>
      </c>
      <c r="N245">
        <v>15000</v>
      </c>
      <c r="O245">
        <v>41600</v>
      </c>
      <c r="P245" t="s">
        <v>35</v>
      </c>
      <c r="Q245" t="s">
        <v>2357</v>
      </c>
      <c r="R245" t="s">
        <v>30</v>
      </c>
      <c r="S245">
        <v>3</v>
      </c>
      <c r="T245" t="s">
        <v>24</v>
      </c>
      <c r="U245" t="s">
        <v>2402</v>
      </c>
      <c r="V245">
        <v>2025</v>
      </c>
      <c r="W245">
        <v>2</v>
      </c>
    </row>
    <row r="246" spans="1:23" x14ac:dyDescent="0.25">
      <c r="A246" t="s">
        <v>1191</v>
      </c>
      <c r="B246">
        <v>45704.347256944442</v>
      </c>
      <c r="C246" t="s">
        <v>780</v>
      </c>
      <c r="D246" t="s">
        <v>113</v>
      </c>
      <c r="E246" t="s">
        <v>71</v>
      </c>
      <c r="F246" t="s">
        <v>2392</v>
      </c>
      <c r="G246" t="s">
        <v>2379</v>
      </c>
      <c r="H246">
        <v>40000</v>
      </c>
      <c r="I246">
        <v>2</v>
      </c>
      <c r="J246">
        <v>5</v>
      </c>
      <c r="K246">
        <v>80000</v>
      </c>
      <c r="L246">
        <v>4000</v>
      </c>
      <c r="M246">
        <v>76000</v>
      </c>
      <c r="N246">
        <v>18000</v>
      </c>
      <c r="O246">
        <v>94000</v>
      </c>
      <c r="P246" t="s">
        <v>22</v>
      </c>
      <c r="Q246" t="s">
        <v>2359</v>
      </c>
      <c r="R246" t="s">
        <v>23</v>
      </c>
      <c r="S246">
        <v>2</v>
      </c>
      <c r="T246" t="s">
        <v>24</v>
      </c>
      <c r="U246" t="s">
        <v>2402</v>
      </c>
      <c r="V246">
        <v>2025</v>
      </c>
      <c r="W246">
        <v>2</v>
      </c>
    </row>
    <row r="247" spans="1:23" x14ac:dyDescent="0.25">
      <c r="A247" t="s">
        <v>1192</v>
      </c>
      <c r="B247">
        <v>45704.779814814807</v>
      </c>
      <c r="C247" t="s">
        <v>121</v>
      </c>
      <c r="D247" t="s">
        <v>122</v>
      </c>
      <c r="E247" t="s">
        <v>67</v>
      </c>
      <c r="F247" t="s">
        <v>2393</v>
      </c>
      <c r="G247" t="s">
        <v>2378</v>
      </c>
      <c r="H247">
        <v>15000</v>
      </c>
      <c r="I247">
        <v>1</v>
      </c>
      <c r="J247">
        <v>20</v>
      </c>
      <c r="K247">
        <v>15000</v>
      </c>
      <c r="L247">
        <v>3000</v>
      </c>
      <c r="M247">
        <v>12000</v>
      </c>
      <c r="N247">
        <v>78000</v>
      </c>
      <c r="O247">
        <v>90000</v>
      </c>
      <c r="P247" t="s">
        <v>35</v>
      </c>
      <c r="Q247" t="s">
        <v>2357</v>
      </c>
      <c r="R247" t="s">
        <v>23</v>
      </c>
      <c r="S247">
        <v>2</v>
      </c>
      <c r="T247" t="s">
        <v>24</v>
      </c>
      <c r="U247" t="s">
        <v>2402</v>
      </c>
      <c r="V247">
        <v>2025</v>
      </c>
      <c r="W247">
        <v>2</v>
      </c>
    </row>
    <row r="248" spans="1:23" x14ac:dyDescent="0.25">
      <c r="A248" t="s">
        <v>1193</v>
      </c>
      <c r="B248">
        <v>45704.955081018517</v>
      </c>
      <c r="C248" t="s">
        <v>601</v>
      </c>
      <c r="D248" t="s">
        <v>119</v>
      </c>
      <c r="E248" t="s">
        <v>50</v>
      </c>
      <c r="F248" t="s">
        <v>2400</v>
      </c>
      <c r="G248" t="s">
        <v>2379</v>
      </c>
      <c r="H248">
        <v>14000</v>
      </c>
      <c r="I248">
        <v>5</v>
      </c>
      <c r="J248">
        <v>10</v>
      </c>
      <c r="K248">
        <v>70000</v>
      </c>
      <c r="L248">
        <v>7000</v>
      </c>
      <c r="M248">
        <v>63000</v>
      </c>
      <c r="N248">
        <v>0</v>
      </c>
      <c r="O248">
        <v>63000</v>
      </c>
      <c r="P248" t="s">
        <v>35</v>
      </c>
      <c r="Q248" t="s">
        <v>2357</v>
      </c>
      <c r="R248" t="s">
        <v>23</v>
      </c>
      <c r="S248">
        <v>1</v>
      </c>
      <c r="T248" t="s">
        <v>24</v>
      </c>
      <c r="U248" t="s">
        <v>2402</v>
      </c>
      <c r="V248">
        <v>2025</v>
      </c>
      <c r="W248">
        <v>2</v>
      </c>
    </row>
    <row r="249" spans="1:23" x14ac:dyDescent="0.25">
      <c r="A249" t="s">
        <v>1194</v>
      </c>
      <c r="B249">
        <v>45705.520138888889</v>
      </c>
      <c r="C249" t="s">
        <v>299</v>
      </c>
      <c r="D249" t="s">
        <v>163</v>
      </c>
      <c r="E249" t="s">
        <v>71</v>
      </c>
      <c r="F249" t="s">
        <v>2392</v>
      </c>
      <c r="G249" t="s">
        <v>2379</v>
      </c>
      <c r="H249">
        <v>40000</v>
      </c>
      <c r="I249">
        <v>1</v>
      </c>
      <c r="J249">
        <v>10</v>
      </c>
      <c r="K249">
        <v>40000</v>
      </c>
      <c r="L249">
        <v>4000</v>
      </c>
      <c r="M249">
        <v>36000</v>
      </c>
      <c r="N249">
        <v>50000</v>
      </c>
      <c r="O249">
        <v>86000</v>
      </c>
      <c r="P249" t="s">
        <v>29</v>
      </c>
      <c r="Q249" t="s">
        <v>2356</v>
      </c>
      <c r="R249" t="s">
        <v>23</v>
      </c>
      <c r="S249">
        <v>1</v>
      </c>
      <c r="T249" t="s">
        <v>24</v>
      </c>
      <c r="U249" t="s">
        <v>2402</v>
      </c>
      <c r="V249">
        <v>2025</v>
      </c>
      <c r="W249">
        <v>2</v>
      </c>
    </row>
    <row r="250" spans="1:23" x14ac:dyDescent="0.25">
      <c r="A250" t="s">
        <v>1195</v>
      </c>
      <c r="B250">
        <v>45705.598402777781</v>
      </c>
      <c r="C250" t="s">
        <v>235</v>
      </c>
      <c r="D250" t="s">
        <v>189</v>
      </c>
      <c r="E250" t="s">
        <v>136</v>
      </c>
      <c r="F250" t="s">
        <v>2400</v>
      </c>
      <c r="G250" t="s">
        <v>2378</v>
      </c>
      <c r="H250">
        <v>12000</v>
      </c>
      <c r="I250">
        <v>3</v>
      </c>
      <c r="J250">
        <v>5</v>
      </c>
      <c r="K250">
        <v>36000</v>
      </c>
      <c r="L250">
        <v>1800</v>
      </c>
      <c r="M250">
        <v>34200</v>
      </c>
      <c r="N250">
        <v>57000</v>
      </c>
      <c r="O250">
        <v>91200</v>
      </c>
      <c r="P250" t="s">
        <v>63</v>
      </c>
      <c r="Q250" t="s">
        <v>2359</v>
      </c>
      <c r="R250" t="s">
        <v>82</v>
      </c>
      <c r="S250">
        <v>4</v>
      </c>
      <c r="T250" t="s">
        <v>37</v>
      </c>
      <c r="U250" t="s">
        <v>2402</v>
      </c>
      <c r="V250">
        <v>2025</v>
      </c>
      <c r="W250">
        <v>2</v>
      </c>
    </row>
    <row r="251" spans="1:23" x14ac:dyDescent="0.25">
      <c r="A251" t="s">
        <v>1196</v>
      </c>
      <c r="B251">
        <v>45705.628761574073</v>
      </c>
      <c r="C251" t="s">
        <v>1063</v>
      </c>
      <c r="D251" t="s">
        <v>96</v>
      </c>
      <c r="E251" t="s">
        <v>38</v>
      </c>
      <c r="F251" t="s">
        <v>2399</v>
      </c>
      <c r="G251" t="s">
        <v>2379</v>
      </c>
      <c r="H251">
        <v>28000</v>
      </c>
      <c r="I251">
        <v>1</v>
      </c>
      <c r="J251">
        <v>10</v>
      </c>
      <c r="K251">
        <v>28000</v>
      </c>
      <c r="L251">
        <v>2800</v>
      </c>
      <c r="M251">
        <v>25200</v>
      </c>
      <c r="N251">
        <v>49000</v>
      </c>
      <c r="O251">
        <v>74200</v>
      </c>
      <c r="P251" t="s">
        <v>22</v>
      </c>
      <c r="Q251" t="s">
        <v>2356</v>
      </c>
      <c r="R251" t="s">
        <v>46</v>
      </c>
      <c r="S251">
        <v>1</v>
      </c>
      <c r="T251" t="s">
        <v>24</v>
      </c>
      <c r="U251" t="s">
        <v>2402</v>
      </c>
      <c r="V251">
        <v>2025</v>
      </c>
      <c r="W251">
        <v>2</v>
      </c>
    </row>
    <row r="252" spans="1:23" x14ac:dyDescent="0.25">
      <c r="A252" t="s">
        <v>1197</v>
      </c>
      <c r="B252">
        <v>45705.915300925917</v>
      </c>
      <c r="C252" t="s">
        <v>396</v>
      </c>
      <c r="D252" t="s">
        <v>66</v>
      </c>
      <c r="E252" t="s">
        <v>144</v>
      </c>
      <c r="F252" t="s">
        <v>2396</v>
      </c>
      <c r="G252" t="s">
        <v>2379</v>
      </c>
      <c r="H252">
        <v>18000</v>
      </c>
      <c r="I252">
        <v>4</v>
      </c>
      <c r="J252">
        <v>5</v>
      </c>
      <c r="K252">
        <v>72000</v>
      </c>
      <c r="L252">
        <v>3600</v>
      </c>
      <c r="M252">
        <v>68400</v>
      </c>
      <c r="N252">
        <v>59000</v>
      </c>
      <c r="O252">
        <v>127400</v>
      </c>
      <c r="P252" t="s">
        <v>35</v>
      </c>
      <c r="Q252" t="s">
        <v>2356</v>
      </c>
      <c r="R252" t="s">
        <v>82</v>
      </c>
      <c r="S252">
        <v>1</v>
      </c>
      <c r="T252" t="s">
        <v>37</v>
      </c>
      <c r="U252" t="s">
        <v>2402</v>
      </c>
      <c r="V252">
        <v>2025</v>
      </c>
      <c r="W252">
        <v>2</v>
      </c>
    </row>
    <row r="253" spans="1:23" x14ac:dyDescent="0.25">
      <c r="A253" t="s">
        <v>1198</v>
      </c>
      <c r="B253">
        <v>45706.043124999997</v>
      </c>
      <c r="C253" t="s">
        <v>1199</v>
      </c>
      <c r="D253" t="s">
        <v>375</v>
      </c>
      <c r="E253" t="s">
        <v>85</v>
      </c>
      <c r="F253" t="s">
        <v>2394</v>
      </c>
      <c r="G253" t="s">
        <v>2377</v>
      </c>
      <c r="H253">
        <v>35000</v>
      </c>
      <c r="I253">
        <v>3</v>
      </c>
      <c r="J253">
        <v>0</v>
      </c>
      <c r="K253">
        <v>105000</v>
      </c>
      <c r="L253">
        <v>0</v>
      </c>
      <c r="M253">
        <v>105000</v>
      </c>
      <c r="N253">
        <v>21000</v>
      </c>
      <c r="O253">
        <v>126000</v>
      </c>
      <c r="P253" t="s">
        <v>22</v>
      </c>
      <c r="Q253" t="s">
        <v>2356</v>
      </c>
      <c r="R253" t="s">
        <v>36</v>
      </c>
      <c r="S253">
        <v>5</v>
      </c>
      <c r="T253" t="s">
        <v>24</v>
      </c>
      <c r="U253" t="s">
        <v>2402</v>
      </c>
      <c r="V253">
        <v>2025</v>
      </c>
      <c r="W253">
        <v>2</v>
      </c>
    </row>
    <row r="254" spans="1:23" x14ac:dyDescent="0.25">
      <c r="A254" t="s">
        <v>1200</v>
      </c>
      <c r="B254">
        <v>45706.288402777784</v>
      </c>
      <c r="C254" t="s">
        <v>133</v>
      </c>
      <c r="D254" t="s">
        <v>33</v>
      </c>
      <c r="E254" t="s">
        <v>110</v>
      </c>
      <c r="F254" t="s">
        <v>2395</v>
      </c>
      <c r="G254" t="s">
        <v>2379</v>
      </c>
      <c r="H254">
        <v>6000</v>
      </c>
      <c r="I254">
        <v>2</v>
      </c>
      <c r="J254">
        <v>10</v>
      </c>
      <c r="K254">
        <v>12000</v>
      </c>
      <c r="L254">
        <v>1200</v>
      </c>
      <c r="M254">
        <v>10800</v>
      </c>
      <c r="N254">
        <v>76000</v>
      </c>
      <c r="O254">
        <v>86800</v>
      </c>
      <c r="P254" t="s">
        <v>22</v>
      </c>
      <c r="Q254" t="s">
        <v>2357</v>
      </c>
      <c r="R254" t="s">
        <v>82</v>
      </c>
      <c r="S254">
        <v>5</v>
      </c>
      <c r="T254" t="s">
        <v>24</v>
      </c>
      <c r="U254" t="s">
        <v>2402</v>
      </c>
      <c r="V254">
        <v>2025</v>
      </c>
      <c r="W254">
        <v>2</v>
      </c>
    </row>
    <row r="255" spans="1:23" x14ac:dyDescent="0.25">
      <c r="A255" t="s">
        <v>1201</v>
      </c>
      <c r="B255">
        <v>45706.851782407408</v>
      </c>
      <c r="C255" t="s">
        <v>48</v>
      </c>
      <c r="D255" t="s">
        <v>49</v>
      </c>
      <c r="E255" t="s">
        <v>123</v>
      </c>
      <c r="F255" t="s">
        <v>2399</v>
      </c>
      <c r="G255" t="s">
        <v>2377</v>
      </c>
      <c r="H255">
        <v>22000</v>
      </c>
      <c r="I255">
        <v>4</v>
      </c>
      <c r="J255">
        <v>20</v>
      </c>
      <c r="K255">
        <v>88000</v>
      </c>
      <c r="L255">
        <v>17600</v>
      </c>
      <c r="M255">
        <v>70400</v>
      </c>
      <c r="N255">
        <v>43000</v>
      </c>
      <c r="O255">
        <v>113400</v>
      </c>
      <c r="P255" t="s">
        <v>22</v>
      </c>
      <c r="Q255" t="s">
        <v>2357</v>
      </c>
      <c r="R255" t="s">
        <v>46</v>
      </c>
      <c r="S255">
        <v>3</v>
      </c>
      <c r="T255" t="s">
        <v>24</v>
      </c>
      <c r="U255" t="s">
        <v>2402</v>
      </c>
      <c r="V255">
        <v>2025</v>
      </c>
      <c r="W255">
        <v>2</v>
      </c>
    </row>
    <row r="256" spans="1:23" x14ac:dyDescent="0.25">
      <c r="A256" t="s">
        <v>1202</v>
      </c>
      <c r="B256">
        <v>45707.281608796293</v>
      </c>
      <c r="C256" t="s">
        <v>916</v>
      </c>
      <c r="D256" t="s">
        <v>96</v>
      </c>
      <c r="E256" t="s">
        <v>110</v>
      </c>
      <c r="F256" t="s">
        <v>2395</v>
      </c>
      <c r="G256" t="s">
        <v>2379</v>
      </c>
      <c r="H256">
        <v>6000</v>
      </c>
      <c r="I256">
        <v>1</v>
      </c>
      <c r="J256">
        <v>10</v>
      </c>
      <c r="K256">
        <v>6000</v>
      </c>
      <c r="L256">
        <v>600</v>
      </c>
      <c r="M256">
        <v>5400</v>
      </c>
      <c r="N256">
        <v>49000</v>
      </c>
      <c r="O256">
        <v>54400</v>
      </c>
      <c r="P256" t="s">
        <v>35</v>
      </c>
      <c r="Q256" t="s">
        <v>2356</v>
      </c>
      <c r="R256" t="s">
        <v>82</v>
      </c>
      <c r="S256">
        <v>3</v>
      </c>
      <c r="T256" t="s">
        <v>24</v>
      </c>
      <c r="U256" t="s">
        <v>2402</v>
      </c>
      <c r="V256">
        <v>2025</v>
      </c>
      <c r="W256">
        <v>2</v>
      </c>
    </row>
    <row r="257" spans="1:23" x14ac:dyDescent="0.25">
      <c r="A257" t="s">
        <v>1203</v>
      </c>
      <c r="B257">
        <v>45707.320428240739</v>
      </c>
      <c r="C257" t="s">
        <v>261</v>
      </c>
      <c r="D257" t="s">
        <v>262</v>
      </c>
      <c r="E257" t="s">
        <v>21</v>
      </c>
      <c r="F257" t="s">
        <v>2394</v>
      </c>
      <c r="G257" t="s">
        <v>2379</v>
      </c>
      <c r="H257">
        <v>45000</v>
      </c>
      <c r="I257">
        <v>5</v>
      </c>
      <c r="J257">
        <v>5</v>
      </c>
      <c r="K257">
        <v>225000</v>
      </c>
      <c r="L257">
        <v>11250</v>
      </c>
      <c r="M257">
        <v>213750</v>
      </c>
      <c r="N257">
        <v>18000</v>
      </c>
      <c r="O257">
        <v>231750</v>
      </c>
      <c r="P257" t="s">
        <v>29</v>
      </c>
      <c r="Q257" t="s">
        <v>2357</v>
      </c>
      <c r="R257" t="s">
        <v>46</v>
      </c>
      <c r="S257">
        <v>5</v>
      </c>
      <c r="T257" t="s">
        <v>24</v>
      </c>
      <c r="U257" t="s">
        <v>2402</v>
      </c>
      <c r="V257">
        <v>2025</v>
      </c>
      <c r="W257">
        <v>2</v>
      </c>
    </row>
    <row r="258" spans="1:23" x14ac:dyDescent="0.25">
      <c r="A258" t="s">
        <v>1203</v>
      </c>
      <c r="B258">
        <v>45707.320428240739</v>
      </c>
      <c r="C258" t="s">
        <v>261</v>
      </c>
      <c r="D258" t="s">
        <v>262</v>
      </c>
      <c r="E258" t="s">
        <v>174</v>
      </c>
      <c r="F258" t="s">
        <v>2400</v>
      </c>
      <c r="G258" t="s">
        <v>2377</v>
      </c>
      <c r="H258">
        <v>10000</v>
      </c>
      <c r="I258">
        <v>4</v>
      </c>
      <c r="J258">
        <v>5</v>
      </c>
      <c r="K258">
        <v>40000</v>
      </c>
      <c r="L258">
        <v>2000</v>
      </c>
      <c r="M258">
        <v>38000</v>
      </c>
      <c r="N258">
        <v>0</v>
      </c>
      <c r="O258">
        <v>38000</v>
      </c>
      <c r="P258" t="s">
        <v>29</v>
      </c>
      <c r="Q258" t="s">
        <v>2357</v>
      </c>
      <c r="R258" t="s">
        <v>46</v>
      </c>
      <c r="S258">
        <v>5</v>
      </c>
      <c r="T258" t="s">
        <v>24</v>
      </c>
      <c r="U258" t="s">
        <v>2402</v>
      </c>
      <c r="V258">
        <v>2025</v>
      </c>
      <c r="W258">
        <v>2</v>
      </c>
    </row>
    <row r="259" spans="1:23" x14ac:dyDescent="0.25">
      <c r="A259" t="s">
        <v>1204</v>
      </c>
      <c r="B259">
        <v>45707.330289351848</v>
      </c>
      <c r="C259" t="s">
        <v>827</v>
      </c>
      <c r="D259" t="s">
        <v>20</v>
      </c>
      <c r="E259" t="s">
        <v>75</v>
      </c>
      <c r="F259" t="s">
        <v>2398</v>
      </c>
      <c r="G259" t="s">
        <v>2379</v>
      </c>
      <c r="H259">
        <v>55000</v>
      </c>
      <c r="I259">
        <v>3</v>
      </c>
      <c r="J259">
        <v>15</v>
      </c>
      <c r="K259">
        <v>165000</v>
      </c>
      <c r="L259">
        <v>24750</v>
      </c>
      <c r="M259">
        <v>140250</v>
      </c>
      <c r="N259">
        <v>15000</v>
      </c>
      <c r="O259">
        <v>155250</v>
      </c>
      <c r="P259" t="s">
        <v>63</v>
      </c>
      <c r="Q259" t="s">
        <v>2357</v>
      </c>
      <c r="R259" t="s">
        <v>23</v>
      </c>
      <c r="S259">
        <v>5</v>
      </c>
      <c r="T259" t="s">
        <v>24</v>
      </c>
      <c r="U259" t="s">
        <v>2402</v>
      </c>
      <c r="V259">
        <v>2025</v>
      </c>
      <c r="W259">
        <v>2</v>
      </c>
    </row>
    <row r="260" spans="1:23" x14ac:dyDescent="0.25">
      <c r="A260" t="s">
        <v>1205</v>
      </c>
      <c r="B260">
        <v>45707.727094907408</v>
      </c>
      <c r="C260" t="s">
        <v>287</v>
      </c>
      <c r="D260" t="s">
        <v>262</v>
      </c>
      <c r="E260" t="s">
        <v>104</v>
      </c>
      <c r="F260" t="s">
        <v>2392</v>
      </c>
      <c r="G260" t="s">
        <v>2377</v>
      </c>
      <c r="H260">
        <v>30000</v>
      </c>
      <c r="I260">
        <v>3</v>
      </c>
      <c r="J260">
        <v>5</v>
      </c>
      <c r="K260">
        <v>90000</v>
      </c>
      <c r="L260">
        <v>4500</v>
      </c>
      <c r="M260">
        <v>85500</v>
      </c>
      <c r="N260">
        <v>18000</v>
      </c>
      <c r="O260">
        <v>103500</v>
      </c>
      <c r="P260" t="s">
        <v>35</v>
      </c>
      <c r="Q260" t="s">
        <v>2357</v>
      </c>
      <c r="R260" t="s">
        <v>36</v>
      </c>
      <c r="S260">
        <v>5</v>
      </c>
      <c r="T260" t="s">
        <v>24</v>
      </c>
      <c r="U260" t="s">
        <v>2402</v>
      </c>
      <c r="V260">
        <v>2025</v>
      </c>
      <c r="W260">
        <v>2</v>
      </c>
    </row>
    <row r="261" spans="1:23" x14ac:dyDescent="0.25">
      <c r="A261" t="s">
        <v>1206</v>
      </c>
      <c r="B261">
        <v>45708.040451388893</v>
      </c>
      <c r="C261" t="s">
        <v>525</v>
      </c>
      <c r="D261" t="s">
        <v>96</v>
      </c>
      <c r="E261" t="s">
        <v>45</v>
      </c>
      <c r="F261" t="s">
        <v>2394</v>
      </c>
      <c r="G261" t="s">
        <v>2378</v>
      </c>
      <c r="H261">
        <v>40000</v>
      </c>
      <c r="I261">
        <v>5</v>
      </c>
      <c r="J261">
        <v>10</v>
      </c>
      <c r="K261">
        <v>200000</v>
      </c>
      <c r="L261">
        <v>20000</v>
      </c>
      <c r="M261">
        <v>180000</v>
      </c>
      <c r="N261">
        <v>49000</v>
      </c>
      <c r="O261">
        <v>229000</v>
      </c>
      <c r="P261" t="s">
        <v>35</v>
      </c>
      <c r="Q261" t="s">
        <v>2357</v>
      </c>
      <c r="R261" t="s">
        <v>46</v>
      </c>
      <c r="S261">
        <v>5</v>
      </c>
      <c r="T261" t="s">
        <v>24</v>
      </c>
      <c r="U261" t="s">
        <v>2402</v>
      </c>
      <c r="V261">
        <v>2025</v>
      </c>
      <c r="W261">
        <v>2</v>
      </c>
    </row>
    <row r="262" spans="1:23" x14ac:dyDescent="0.25">
      <c r="A262" t="s">
        <v>1207</v>
      </c>
      <c r="B262">
        <v>45708.093530092592</v>
      </c>
      <c r="C262" t="s">
        <v>729</v>
      </c>
      <c r="D262" t="s">
        <v>74</v>
      </c>
      <c r="E262" t="s">
        <v>28</v>
      </c>
      <c r="F262" t="s">
        <v>2395</v>
      </c>
      <c r="G262" t="s">
        <v>2378</v>
      </c>
      <c r="H262">
        <v>5000</v>
      </c>
      <c r="I262">
        <v>5</v>
      </c>
      <c r="J262">
        <v>0</v>
      </c>
      <c r="K262">
        <v>25000</v>
      </c>
      <c r="L262">
        <v>0</v>
      </c>
      <c r="M262">
        <v>25000</v>
      </c>
      <c r="N262">
        <v>87000</v>
      </c>
      <c r="O262">
        <v>112000</v>
      </c>
      <c r="P262" t="s">
        <v>29</v>
      </c>
      <c r="Q262" t="s">
        <v>2357</v>
      </c>
      <c r="R262" t="s">
        <v>23</v>
      </c>
      <c r="S262">
        <v>3</v>
      </c>
      <c r="T262" t="s">
        <v>24</v>
      </c>
      <c r="U262" t="s">
        <v>2402</v>
      </c>
      <c r="V262">
        <v>2025</v>
      </c>
      <c r="W262">
        <v>2</v>
      </c>
    </row>
    <row r="263" spans="1:23" x14ac:dyDescent="0.25">
      <c r="A263" t="s">
        <v>1208</v>
      </c>
      <c r="B263">
        <v>45708.313923611109</v>
      </c>
      <c r="C263" t="s">
        <v>644</v>
      </c>
      <c r="D263" t="s">
        <v>244</v>
      </c>
      <c r="E263" t="s">
        <v>104</v>
      </c>
      <c r="F263" t="s">
        <v>2392</v>
      </c>
      <c r="G263" t="s">
        <v>2377</v>
      </c>
      <c r="H263">
        <v>30000</v>
      </c>
      <c r="I263">
        <v>4</v>
      </c>
      <c r="J263">
        <v>0</v>
      </c>
      <c r="K263">
        <v>120000</v>
      </c>
      <c r="L263">
        <v>0</v>
      </c>
      <c r="M263">
        <v>120000</v>
      </c>
      <c r="N263">
        <v>80000</v>
      </c>
      <c r="O263">
        <v>200000</v>
      </c>
      <c r="P263" t="s">
        <v>63</v>
      </c>
      <c r="Q263" t="s">
        <v>2357</v>
      </c>
      <c r="R263" t="s">
        <v>23</v>
      </c>
      <c r="S263">
        <v>4</v>
      </c>
      <c r="T263" t="s">
        <v>24</v>
      </c>
      <c r="U263" t="s">
        <v>2402</v>
      </c>
      <c r="V263">
        <v>2025</v>
      </c>
      <c r="W263">
        <v>2</v>
      </c>
    </row>
    <row r="264" spans="1:23" x14ac:dyDescent="0.25">
      <c r="A264" t="s">
        <v>1209</v>
      </c>
      <c r="B264">
        <v>45708.372812499998</v>
      </c>
      <c r="C264" t="s">
        <v>1210</v>
      </c>
      <c r="D264" t="s">
        <v>113</v>
      </c>
      <c r="E264" t="s">
        <v>71</v>
      </c>
      <c r="F264" t="s">
        <v>2392</v>
      </c>
      <c r="G264" t="s">
        <v>2379</v>
      </c>
      <c r="H264">
        <v>40000</v>
      </c>
      <c r="I264">
        <v>4</v>
      </c>
      <c r="J264">
        <v>5</v>
      </c>
      <c r="K264">
        <v>160000</v>
      </c>
      <c r="L264">
        <v>8000</v>
      </c>
      <c r="M264">
        <v>152000</v>
      </c>
      <c r="N264">
        <v>18000</v>
      </c>
      <c r="O264">
        <v>170000</v>
      </c>
      <c r="P264" t="s">
        <v>29</v>
      </c>
      <c r="Q264" t="s">
        <v>2356</v>
      </c>
      <c r="R264" t="s">
        <v>46</v>
      </c>
      <c r="S264">
        <v>3</v>
      </c>
      <c r="T264" t="s">
        <v>24</v>
      </c>
      <c r="U264" t="s">
        <v>2402</v>
      </c>
      <c r="V264">
        <v>2025</v>
      </c>
      <c r="W264">
        <v>2</v>
      </c>
    </row>
    <row r="265" spans="1:23" x14ac:dyDescent="0.25">
      <c r="A265" t="s">
        <v>1211</v>
      </c>
      <c r="B265">
        <v>45708.462071759262</v>
      </c>
      <c r="C265" t="s">
        <v>374</v>
      </c>
      <c r="D265" t="s">
        <v>375</v>
      </c>
      <c r="E265" t="s">
        <v>34</v>
      </c>
      <c r="F265" t="s">
        <v>2397</v>
      </c>
      <c r="G265" t="s">
        <v>2377</v>
      </c>
      <c r="H265">
        <v>16000</v>
      </c>
      <c r="I265">
        <v>1</v>
      </c>
      <c r="J265">
        <v>15</v>
      </c>
      <c r="K265">
        <v>16000</v>
      </c>
      <c r="L265">
        <v>2400</v>
      </c>
      <c r="M265">
        <v>13600</v>
      </c>
      <c r="N265">
        <v>21000</v>
      </c>
      <c r="O265">
        <v>34600</v>
      </c>
      <c r="P265" t="s">
        <v>63</v>
      </c>
      <c r="Q265" t="s">
        <v>2357</v>
      </c>
      <c r="R265" t="s">
        <v>23</v>
      </c>
      <c r="S265">
        <v>3</v>
      </c>
      <c r="T265" t="s">
        <v>37</v>
      </c>
      <c r="U265" t="s">
        <v>2402</v>
      </c>
      <c r="V265">
        <v>2025</v>
      </c>
      <c r="W265">
        <v>2</v>
      </c>
    </row>
    <row r="266" spans="1:23" x14ac:dyDescent="0.25">
      <c r="A266" t="s">
        <v>1212</v>
      </c>
      <c r="B266">
        <v>45710.038969907408</v>
      </c>
      <c r="C266" t="s">
        <v>635</v>
      </c>
      <c r="D266" t="s">
        <v>103</v>
      </c>
      <c r="E266" t="s">
        <v>67</v>
      </c>
      <c r="F266" t="s">
        <v>2393</v>
      </c>
      <c r="G266" t="s">
        <v>2378</v>
      </c>
      <c r="H266">
        <v>15000</v>
      </c>
      <c r="I266">
        <v>2</v>
      </c>
      <c r="J266">
        <v>5</v>
      </c>
      <c r="K266">
        <v>30000</v>
      </c>
      <c r="L266">
        <v>1500</v>
      </c>
      <c r="M266">
        <v>28500</v>
      </c>
      <c r="N266">
        <v>85000</v>
      </c>
      <c r="O266">
        <v>113500</v>
      </c>
      <c r="P266" t="s">
        <v>22</v>
      </c>
      <c r="Q266" t="s">
        <v>2357</v>
      </c>
      <c r="R266" t="s">
        <v>82</v>
      </c>
      <c r="S266">
        <v>1</v>
      </c>
      <c r="T266" t="s">
        <v>24</v>
      </c>
      <c r="U266" t="s">
        <v>2402</v>
      </c>
      <c r="V266">
        <v>2025</v>
      </c>
      <c r="W266">
        <v>2</v>
      </c>
    </row>
    <row r="267" spans="1:23" x14ac:dyDescent="0.25">
      <c r="A267" t="s">
        <v>1213</v>
      </c>
      <c r="B267">
        <v>45710.237928240742</v>
      </c>
      <c r="C267" t="s">
        <v>615</v>
      </c>
      <c r="D267" t="s">
        <v>92</v>
      </c>
      <c r="E267" t="s">
        <v>85</v>
      </c>
      <c r="F267" t="s">
        <v>2394</v>
      </c>
      <c r="G267" t="s">
        <v>2377</v>
      </c>
      <c r="H267">
        <v>35000</v>
      </c>
      <c r="I267">
        <v>3</v>
      </c>
      <c r="J267">
        <v>10</v>
      </c>
      <c r="K267">
        <v>105000</v>
      </c>
      <c r="L267">
        <v>10500</v>
      </c>
      <c r="M267">
        <v>94500</v>
      </c>
      <c r="N267">
        <v>30000</v>
      </c>
      <c r="O267">
        <v>124500</v>
      </c>
      <c r="P267" t="s">
        <v>29</v>
      </c>
      <c r="Q267" t="s">
        <v>2356</v>
      </c>
      <c r="R267" t="s">
        <v>23</v>
      </c>
      <c r="S267">
        <v>1</v>
      </c>
      <c r="T267" t="s">
        <v>24</v>
      </c>
      <c r="U267" t="s">
        <v>2402</v>
      </c>
      <c r="V267">
        <v>2025</v>
      </c>
      <c r="W267">
        <v>2</v>
      </c>
    </row>
    <row r="268" spans="1:23" x14ac:dyDescent="0.25">
      <c r="A268" t="s">
        <v>1214</v>
      </c>
      <c r="B268">
        <v>45710.321087962962</v>
      </c>
      <c r="C268" t="s">
        <v>412</v>
      </c>
      <c r="D268" t="s">
        <v>70</v>
      </c>
      <c r="E268" t="s">
        <v>62</v>
      </c>
      <c r="F268" t="s">
        <v>2398</v>
      </c>
      <c r="G268" t="s">
        <v>2378</v>
      </c>
      <c r="H268">
        <v>50000</v>
      </c>
      <c r="I268">
        <v>5</v>
      </c>
      <c r="J268">
        <v>15</v>
      </c>
      <c r="K268">
        <v>250000</v>
      </c>
      <c r="L268">
        <v>37500</v>
      </c>
      <c r="M268">
        <v>212500</v>
      </c>
      <c r="N268">
        <v>89000</v>
      </c>
      <c r="O268">
        <v>301500</v>
      </c>
      <c r="P268" t="s">
        <v>35</v>
      </c>
      <c r="Q268" t="s">
        <v>2357</v>
      </c>
      <c r="R268" t="s">
        <v>23</v>
      </c>
      <c r="S268">
        <v>4</v>
      </c>
      <c r="T268" t="s">
        <v>24</v>
      </c>
      <c r="U268" t="s">
        <v>2402</v>
      </c>
      <c r="V268">
        <v>2025</v>
      </c>
      <c r="W268">
        <v>2</v>
      </c>
    </row>
    <row r="269" spans="1:23" x14ac:dyDescent="0.25">
      <c r="A269" t="s">
        <v>1215</v>
      </c>
      <c r="B269">
        <v>45710.368113425917</v>
      </c>
      <c r="C269" t="s">
        <v>419</v>
      </c>
      <c r="D269" t="s">
        <v>103</v>
      </c>
      <c r="E269" t="s">
        <v>38</v>
      </c>
      <c r="F269" t="s">
        <v>2399</v>
      </c>
      <c r="G269" t="s">
        <v>2379</v>
      </c>
      <c r="H269">
        <v>28000</v>
      </c>
      <c r="I269">
        <v>2</v>
      </c>
      <c r="J269">
        <v>15</v>
      </c>
      <c r="K269">
        <v>56000</v>
      </c>
      <c r="L269">
        <v>8400</v>
      </c>
      <c r="M269">
        <v>47600</v>
      </c>
      <c r="N269">
        <v>85000</v>
      </c>
      <c r="O269">
        <v>132600</v>
      </c>
      <c r="P269" t="s">
        <v>63</v>
      </c>
      <c r="Q269" t="s">
        <v>2359</v>
      </c>
      <c r="R269" t="s">
        <v>82</v>
      </c>
      <c r="S269">
        <v>5</v>
      </c>
      <c r="T269" t="s">
        <v>37</v>
      </c>
      <c r="U269" t="s">
        <v>2402</v>
      </c>
      <c r="V269">
        <v>2025</v>
      </c>
      <c r="W269">
        <v>2</v>
      </c>
    </row>
    <row r="270" spans="1:23" x14ac:dyDescent="0.25">
      <c r="A270" t="s">
        <v>1216</v>
      </c>
      <c r="B270">
        <v>45710.415034722217</v>
      </c>
      <c r="C270" t="s">
        <v>408</v>
      </c>
      <c r="D270" t="s">
        <v>74</v>
      </c>
      <c r="E270" t="s">
        <v>88</v>
      </c>
      <c r="F270" t="s">
        <v>2393</v>
      </c>
      <c r="G270" t="s">
        <v>2377</v>
      </c>
      <c r="H270">
        <v>14000</v>
      </c>
      <c r="I270">
        <v>2</v>
      </c>
      <c r="J270">
        <v>0</v>
      </c>
      <c r="K270">
        <v>28000</v>
      </c>
      <c r="L270">
        <v>0</v>
      </c>
      <c r="M270">
        <v>28000</v>
      </c>
      <c r="N270">
        <v>87000</v>
      </c>
      <c r="O270">
        <v>115000</v>
      </c>
      <c r="P270" t="s">
        <v>29</v>
      </c>
      <c r="Q270" t="s">
        <v>2357</v>
      </c>
      <c r="R270" t="s">
        <v>23</v>
      </c>
      <c r="S270">
        <v>5</v>
      </c>
      <c r="T270" t="s">
        <v>24</v>
      </c>
      <c r="U270" t="s">
        <v>2402</v>
      </c>
      <c r="V270">
        <v>2025</v>
      </c>
      <c r="W270">
        <v>2</v>
      </c>
    </row>
    <row r="271" spans="1:23" x14ac:dyDescent="0.25">
      <c r="A271" t="s">
        <v>1217</v>
      </c>
      <c r="B271">
        <v>45710.959374999999</v>
      </c>
      <c r="C271" t="s">
        <v>1003</v>
      </c>
      <c r="D271" t="s">
        <v>262</v>
      </c>
      <c r="E271" t="s">
        <v>88</v>
      </c>
      <c r="F271" t="s">
        <v>2393</v>
      </c>
      <c r="G271" t="s">
        <v>2377</v>
      </c>
      <c r="H271">
        <v>14000</v>
      </c>
      <c r="I271">
        <v>1</v>
      </c>
      <c r="J271">
        <v>5</v>
      </c>
      <c r="K271">
        <v>14000</v>
      </c>
      <c r="L271">
        <v>700</v>
      </c>
      <c r="M271">
        <v>13300</v>
      </c>
      <c r="N271">
        <v>18000</v>
      </c>
      <c r="O271">
        <v>31300</v>
      </c>
      <c r="P271" t="s">
        <v>63</v>
      </c>
      <c r="Q271" t="s">
        <v>2357</v>
      </c>
      <c r="R271" t="s">
        <v>46</v>
      </c>
      <c r="S271">
        <v>2</v>
      </c>
      <c r="T271" t="s">
        <v>24</v>
      </c>
      <c r="U271" t="s">
        <v>2402</v>
      </c>
      <c r="V271">
        <v>2025</v>
      </c>
      <c r="W271">
        <v>2</v>
      </c>
    </row>
    <row r="272" spans="1:23" x14ac:dyDescent="0.25">
      <c r="A272" t="s">
        <v>1218</v>
      </c>
      <c r="B272">
        <v>45711.086180555547</v>
      </c>
      <c r="C272" t="s">
        <v>295</v>
      </c>
      <c r="D272" t="s">
        <v>296</v>
      </c>
      <c r="E272" t="s">
        <v>85</v>
      </c>
      <c r="F272" t="s">
        <v>2394</v>
      </c>
      <c r="G272" t="s">
        <v>2377</v>
      </c>
      <c r="H272">
        <v>35000</v>
      </c>
      <c r="I272">
        <v>4</v>
      </c>
      <c r="J272">
        <v>5</v>
      </c>
      <c r="K272">
        <v>140000</v>
      </c>
      <c r="L272">
        <v>7000</v>
      </c>
      <c r="M272">
        <v>133000</v>
      </c>
      <c r="N272">
        <v>79000</v>
      </c>
      <c r="O272">
        <v>212000</v>
      </c>
      <c r="P272" t="s">
        <v>29</v>
      </c>
      <c r="Q272" t="s">
        <v>2357</v>
      </c>
      <c r="R272" t="s">
        <v>36</v>
      </c>
      <c r="S272">
        <v>2</v>
      </c>
      <c r="T272" t="s">
        <v>24</v>
      </c>
      <c r="U272" t="s">
        <v>2402</v>
      </c>
      <c r="V272">
        <v>2025</v>
      </c>
      <c r="W272">
        <v>2</v>
      </c>
    </row>
    <row r="273" spans="1:23" x14ac:dyDescent="0.25">
      <c r="A273" t="s">
        <v>1219</v>
      </c>
      <c r="B273">
        <v>45711.112835648149</v>
      </c>
      <c r="C273" t="s">
        <v>644</v>
      </c>
      <c r="D273" t="s">
        <v>244</v>
      </c>
      <c r="E273" t="s">
        <v>71</v>
      </c>
      <c r="F273" t="s">
        <v>2392</v>
      </c>
      <c r="G273" t="s">
        <v>2379</v>
      </c>
      <c r="H273">
        <v>40000</v>
      </c>
      <c r="I273">
        <v>3</v>
      </c>
      <c r="J273">
        <v>0</v>
      </c>
      <c r="K273">
        <v>120000</v>
      </c>
      <c r="L273">
        <v>0</v>
      </c>
      <c r="M273">
        <v>120000</v>
      </c>
      <c r="N273">
        <v>80000</v>
      </c>
      <c r="O273">
        <v>200000</v>
      </c>
      <c r="P273" t="s">
        <v>63</v>
      </c>
      <c r="Q273" t="s">
        <v>2356</v>
      </c>
      <c r="R273" t="s">
        <v>82</v>
      </c>
      <c r="S273">
        <v>5</v>
      </c>
      <c r="T273" t="s">
        <v>24</v>
      </c>
      <c r="U273" t="s">
        <v>2402</v>
      </c>
      <c r="V273">
        <v>2025</v>
      </c>
      <c r="W273">
        <v>2</v>
      </c>
    </row>
    <row r="274" spans="1:23" x14ac:dyDescent="0.25">
      <c r="A274" t="s">
        <v>1220</v>
      </c>
      <c r="B274">
        <v>45711.125011574077</v>
      </c>
      <c r="C274" t="s">
        <v>227</v>
      </c>
      <c r="D274" t="s">
        <v>70</v>
      </c>
      <c r="E274" t="s">
        <v>50</v>
      </c>
      <c r="F274" t="s">
        <v>2400</v>
      </c>
      <c r="G274" t="s">
        <v>2379</v>
      </c>
      <c r="H274">
        <v>14000</v>
      </c>
      <c r="I274">
        <v>5</v>
      </c>
      <c r="J274">
        <v>10</v>
      </c>
      <c r="K274">
        <v>70000</v>
      </c>
      <c r="L274">
        <v>7000</v>
      </c>
      <c r="M274">
        <v>63000</v>
      </c>
      <c r="N274">
        <v>89000</v>
      </c>
      <c r="O274">
        <v>152000</v>
      </c>
      <c r="P274" t="s">
        <v>29</v>
      </c>
      <c r="Q274" t="s">
        <v>2356</v>
      </c>
      <c r="R274" t="s">
        <v>23</v>
      </c>
      <c r="S274">
        <v>4</v>
      </c>
      <c r="T274" t="s">
        <v>24</v>
      </c>
      <c r="U274" t="s">
        <v>2402</v>
      </c>
      <c r="V274">
        <v>2025</v>
      </c>
      <c r="W274">
        <v>2</v>
      </c>
    </row>
    <row r="275" spans="1:23" x14ac:dyDescent="0.25">
      <c r="A275" t="s">
        <v>1221</v>
      </c>
      <c r="B275">
        <v>45711.494050925918</v>
      </c>
      <c r="C275" t="s">
        <v>726</v>
      </c>
      <c r="D275" t="s">
        <v>53</v>
      </c>
      <c r="E275" t="s">
        <v>85</v>
      </c>
      <c r="F275" t="s">
        <v>2394</v>
      </c>
      <c r="G275" t="s">
        <v>2377</v>
      </c>
      <c r="H275">
        <v>35000</v>
      </c>
      <c r="I275">
        <v>5</v>
      </c>
      <c r="J275">
        <v>15</v>
      </c>
      <c r="K275">
        <v>175000</v>
      </c>
      <c r="L275">
        <v>26250</v>
      </c>
      <c r="M275">
        <v>148750</v>
      </c>
      <c r="N275">
        <v>18000</v>
      </c>
      <c r="O275">
        <v>166750</v>
      </c>
      <c r="P275" t="s">
        <v>22</v>
      </c>
      <c r="Q275" t="s">
        <v>2357</v>
      </c>
      <c r="R275" t="s">
        <v>30</v>
      </c>
      <c r="S275">
        <v>4</v>
      </c>
      <c r="T275" t="s">
        <v>37</v>
      </c>
      <c r="U275" t="s">
        <v>2402</v>
      </c>
      <c r="V275">
        <v>2025</v>
      </c>
      <c r="W275">
        <v>2</v>
      </c>
    </row>
    <row r="276" spans="1:23" x14ac:dyDescent="0.25">
      <c r="A276" t="s">
        <v>1222</v>
      </c>
      <c r="B276">
        <v>45711.808391203696</v>
      </c>
      <c r="C276" t="s">
        <v>389</v>
      </c>
      <c r="D276" t="s">
        <v>182</v>
      </c>
      <c r="E276" t="s">
        <v>136</v>
      </c>
      <c r="F276" t="s">
        <v>2400</v>
      </c>
      <c r="G276" t="s">
        <v>2378</v>
      </c>
      <c r="H276">
        <v>12000</v>
      </c>
      <c r="I276">
        <v>2</v>
      </c>
      <c r="J276">
        <v>5</v>
      </c>
      <c r="K276">
        <v>24000</v>
      </c>
      <c r="L276">
        <v>1200</v>
      </c>
      <c r="M276">
        <v>22800</v>
      </c>
      <c r="N276">
        <v>48000</v>
      </c>
      <c r="O276">
        <v>70800</v>
      </c>
      <c r="P276" t="s">
        <v>35</v>
      </c>
      <c r="Q276" t="s">
        <v>2357</v>
      </c>
      <c r="R276" t="s">
        <v>30</v>
      </c>
      <c r="S276">
        <v>2</v>
      </c>
      <c r="T276" t="s">
        <v>24</v>
      </c>
      <c r="U276" t="s">
        <v>2402</v>
      </c>
      <c r="V276">
        <v>2025</v>
      </c>
      <c r="W276">
        <v>2</v>
      </c>
    </row>
    <row r="277" spans="1:23" x14ac:dyDescent="0.25">
      <c r="A277" t="s">
        <v>1223</v>
      </c>
      <c r="B277">
        <v>45711.86005787037</v>
      </c>
      <c r="C277" t="s">
        <v>398</v>
      </c>
      <c r="D277" t="s">
        <v>182</v>
      </c>
      <c r="E277" t="s">
        <v>58</v>
      </c>
      <c r="F277" t="s">
        <v>2396</v>
      </c>
      <c r="G277" t="s">
        <v>2377</v>
      </c>
      <c r="H277">
        <v>16000</v>
      </c>
      <c r="I277">
        <v>3</v>
      </c>
      <c r="J277">
        <v>5</v>
      </c>
      <c r="K277">
        <v>48000</v>
      </c>
      <c r="L277">
        <v>2400</v>
      </c>
      <c r="M277">
        <v>45600</v>
      </c>
      <c r="N277">
        <v>48000</v>
      </c>
      <c r="O277">
        <v>93600</v>
      </c>
      <c r="P277" t="s">
        <v>22</v>
      </c>
      <c r="Q277" t="s">
        <v>2357</v>
      </c>
      <c r="R277" t="s">
        <v>46</v>
      </c>
      <c r="S277">
        <v>4</v>
      </c>
      <c r="T277" t="s">
        <v>24</v>
      </c>
      <c r="U277" t="s">
        <v>2402</v>
      </c>
      <c r="V277">
        <v>2025</v>
      </c>
      <c r="W277">
        <v>2</v>
      </c>
    </row>
    <row r="278" spans="1:23" x14ac:dyDescent="0.25">
      <c r="A278" t="s">
        <v>1224</v>
      </c>
      <c r="B278">
        <v>45711.942013888889</v>
      </c>
      <c r="C278" t="s">
        <v>513</v>
      </c>
      <c r="D278" t="s">
        <v>182</v>
      </c>
      <c r="E278" t="s">
        <v>50</v>
      </c>
      <c r="F278" t="s">
        <v>2400</v>
      </c>
      <c r="G278" t="s">
        <v>2379</v>
      </c>
      <c r="H278">
        <v>14000</v>
      </c>
      <c r="I278">
        <v>2</v>
      </c>
      <c r="J278">
        <v>5</v>
      </c>
      <c r="K278">
        <v>28000</v>
      </c>
      <c r="L278">
        <v>1400</v>
      </c>
      <c r="M278">
        <v>26600</v>
      </c>
      <c r="N278">
        <v>48000</v>
      </c>
      <c r="O278">
        <v>74600</v>
      </c>
      <c r="P278" t="s">
        <v>35</v>
      </c>
      <c r="Q278" t="s">
        <v>2357</v>
      </c>
      <c r="R278" t="s">
        <v>23</v>
      </c>
      <c r="S278">
        <v>1</v>
      </c>
      <c r="T278" t="s">
        <v>24</v>
      </c>
      <c r="U278" t="s">
        <v>2402</v>
      </c>
      <c r="V278">
        <v>2025</v>
      </c>
      <c r="W278">
        <v>2</v>
      </c>
    </row>
    <row r="279" spans="1:23" x14ac:dyDescent="0.25">
      <c r="A279" t="s">
        <v>1225</v>
      </c>
      <c r="B279">
        <v>45712.076365740737</v>
      </c>
      <c r="C279" t="s">
        <v>1087</v>
      </c>
      <c r="D279" t="s">
        <v>143</v>
      </c>
      <c r="E279" t="s">
        <v>250</v>
      </c>
      <c r="F279" t="s">
        <v>2397</v>
      </c>
      <c r="G279" t="s">
        <v>2379</v>
      </c>
      <c r="H279">
        <v>18000</v>
      </c>
      <c r="I279">
        <v>1</v>
      </c>
      <c r="J279">
        <v>20</v>
      </c>
      <c r="K279">
        <v>18000</v>
      </c>
      <c r="L279">
        <v>3600</v>
      </c>
      <c r="M279">
        <v>14400</v>
      </c>
      <c r="N279">
        <v>50000</v>
      </c>
      <c r="O279">
        <v>64400</v>
      </c>
      <c r="P279" t="s">
        <v>22</v>
      </c>
      <c r="Q279" t="s">
        <v>2357</v>
      </c>
      <c r="R279" t="s">
        <v>36</v>
      </c>
      <c r="S279">
        <v>2</v>
      </c>
      <c r="T279" t="s">
        <v>24</v>
      </c>
      <c r="U279" t="s">
        <v>2402</v>
      </c>
      <c r="V279">
        <v>2025</v>
      </c>
      <c r="W279">
        <v>2</v>
      </c>
    </row>
    <row r="280" spans="1:23" x14ac:dyDescent="0.25">
      <c r="A280" t="s">
        <v>1226</v>
      </c>
      <c r="B280">
        <v>45712.117476851847</v>
      </c>
      <c r="C280" t="s">
        <v>635</v>
      </c>
      <c r="D280" t="s">
        <v>103</v>
      </c>
      <c r="E280" t="s">
        <v>45</v>
      </c>
      <c r="F280" t="s">
        <v>2394</v>
      </c>
      <c r="G280" t="s">
        <v>2378</v>
      </c>
      <c r="H280">
        <v>40000</v>
      </c>
      <c r="I280">
        <v>1</v>
      </c>
      <c r="J280">
        <v>10</v>
      </c>
      <c r="K280">
        <v>40000</v>
      </c>
      <c r="L280">
        <v>4000</v>
      </c>
      <c r="M280">
        <v>36000</v>
      </c>
      <c r="N280">
        <v>85000</v>
      </c>
      <c r="O280">
        <v>121000</v>
      </c>
      <c r="P280" t="s">
        <v>63</v>
      </c>
      <c r="Q280" t="s">
        <v>2357</v>
      </c>
      <c r="R280" t="s">
        <v>30</v>
      </c>
      <c r="S280">
        <v>4</v>
      </c>
      <c r="T280" t="s">
        <v>24</v>
      </c>
      <c r="U280" t="s">
        <v>2402</v>
      </c>
      <c r="V280">
        <v>2025</v>
      </c>
      <c r="W280">
        <v>2</v>
      </c>
    </row>
    <row r="281" spans="1:23" x14ac:dyDescent="0.25">
      <c r="A281" t="s">
        <v>1227</v>
      </c>
      <c r="B281">
        <v>45712.22797453704</v>
      </c>
      <c r="C281" t="s">
        <v>1228</v>
      </c>
      <c r="D281" t="s">
        <v>33</v>
      </c>
      <c r="E281" t="s">
        <v>41</v>
      </c>
      <c r="F281" t="s">
        <v>2395</v>
      </c>
      <c r="G281" t="s">
        <v>2377</v>
      </c>
      <c r="H281">
        <v>4000</v>
      </c>
      <c r="I281">
        <v>4</v>
      </c>
      <c r="J281">
        <v>15</v>
      </c>
      <c r="K281">
        <v>16000</v>
      </c>
      <c r="L281">
        <v>2400</v>
      </c>
      <c r="M281">
        <v>13600</v>
      </c>
      <c r="N281">
        <v>76000</v>
      </c>
      <c r="O281">
        <v>89600</v>
      </c>
      <c r="P281" t="s">
        <v>22</v>
      </c>
      <c r="Q281" t="s">
        <v>2357</v>
      </c>
      <c r="R281" t="s">
        <v>82</v>
      </c>
      <c r="S281">
        <v>4</v>
      </c>
      <c r="T281" t="s">
        <v>24</v>
      </c>
      <c r="U281" t="s">
        <v>2402</v>
      </c>
      <c r="V281">
        <v>2025</v>
      </c>
      <c r="W281">
        <v>2</v>
      </c>
    </row>
    <row r="282" spans="1:23" x14ac:dyDescent="0.25">
      <c r="A282" t="s">
        <v>1229</v>
      </c>
      <c r="B282">
        <v>45712.513819444437</v>
      </c>
      <c r="C282" t="s">
        <v>681</v>
      </c>
      <c r="D282" t="s">
        <v>262</v>
      </c>
      <c r="E282" t="s">
        <v>54</v>
      </c>
      <c r="F282" t="s">
        <v>2393</v>
      </c>
      <c r="G282" t="s">
        <v>2379</v>
      </c>
      <c r="H282">
        <v>16000</v>
      </c>
      <c r="I282">
        <v>1</v>
      </c>
      <c r="J282">
        <v>10</v>
      </c>
      <c r="K282">
        <v>16000</v>
      </c>
      <c r="L282">
        <v>1600</v>
      </c>
      <c r="M282">
        <v>14400</v>
      </c>
      <c r="N282">
        <v>18000</v>
      </c>
      <c r="O282">
        <v>32400</v>
      </c>
      <c r="P282" t="s">
        <v>29</v>
      </c>
      <c r="Q282" t="s">
        <v>2357</v>
      </c>
      <c r="R282" t="s">
        <v>36</v>
      </c>
      <c r="S282">
        <v>4</v>
      </c>
      <c r="T282" t="s">
        <v>24</v>
      </c>
      <c r="U282" t="s">
        <v>2402</v>
      </c>
      <c r="V282">
        <v>2025</v>
      </c>
      <c r="W282">
        <v>2</v>
      </c>
    </row>
    <row r="283" spans="1:23" x14ac:dyDescent="0.25">
      <c r="A283" t="s">
        <v>1230</v>
      </c>
      <c r="B283">
        <v>45712.65587962963</v>
      </c>
      <c r="C283" t="s">
        <v>693</v>
      </c>
      <c r="D283" t="s">
        <v>119</v>
      </c>
      <c r="E283" t="s">
        <v>81</v>
      </c>
      <c r="F283" t="s">
        <v>2397</v>
      </c>
      <c r="G283" t="s">
        <v>2378</v>
      </c>
      <c r="H283">
        <v>17000</v>
      </c>
      <c r="I283">
        <v>1</v>
      </c>
      <c r="J283">
        <v>5</v>
      </c>
      <c r="K283">
        <v>17000</v>
      </c>
      <c r="L283">
        <v>850</v>
      </c>
      <c r="M283">
        <v>16150</v>
      </c>
      <c r="N283">
        <v>0</v>
      </c>
      <c r="O283">
        <v>16150</v>
      </c>
      <c r="P283" t="s">
        <v>63</v>
      </c>
      <c r="Q283" t="s">
        <v>2357</v>
      </c>
      <c r="R283" t="s">
        <v>36</v>
      </c>
      <c r="S283">
        <v>3</v>
      </c>
      <c r="T283" t="s">
        <v>24</v>
      </c>
      <c r="U283" t="s">
        <v>2402</v>
      </c>
      <c r="V283">
        <v>2025</v>
      </c>
      <c r="W283">
        <v>2</v>
      </c>
    </row>
    <row r="284" spans="1:23" x14ac:dyDescent="0.25">
      <c r="A284" t="s">
        <v>1231</v>
      </c>
      <c r="B284">
        <v>45712.691458333327</v>
      </c>
      <c r="C284" t="s">
        <v>203</v>
      </c>
      <c r="D284" t="s">
        <v>20</v>
      </c>
      <c r="E284" t="s">
        <v>85</v>
      </c>
      <c r="F284" t="s">
        <v>2394</v>
      </c>
      <c r="G284" t="s">
        <v>2377</v>
      </c>
      <c r="H284">
        <v>35000</v>
      </c>
      <c r="I284">
        <v>2</v>
      </c>
      <c r="J284">
        <v>0</v>
      </c>
      <c r="K284">
        <v>70000</v>
      </c>
      <c r="L284">
        <v>0</v>
      </c>
      <c r="M284">
        <v>70000</v>
      </c>
      <c r="N284">
        <v>15000</v>
      </c>
      <c r="O284">
        <v>85000</v>
      </c>
      <c r="P284" t="s">
        <v>29</v>
      </c>
      <c r="Q284" t="s">
        <v>2359</v>
      </c>
      <c r="R284" t="s">
        <v>36</v>
      </c>
      <c r="S284">
        <v>2</v>
      </c>
      <c r="T284" t="s">
        <v>24</v>
      </c>
      <c r="U284" t="s">
        <v>2402</v>
      </c>
      <c r="V284">
        <v>2025</v>
      </c>
      <c r="W284">
        <v>2</v>
      </c>
    </row>
    <row r="285" spans="1:23" x14ac:dyDescent="0.25">
      <c r="A285" t="s">
        <v>1232</v>
      </c>
      <c r="B285">
        <v>45712.874178240738</v>
      </c>
      <c r="C285" t="s">
        <v>237</v>
      </c>
      <c r="D285" t="s">
        <v>238</v>
      </c>
      <c r="E285" t="s">
        <v>71</v>
      </c>
      <c r="F285" t="s">
        <v>2392</v>
      </c>
      <c r="G285" t="s">
        <v>2379</v>
      </c>
      <c r="H285">
        <v>40000</v>
      </c>
      <c r="I285">
        <v>4</v>
      </c>
      <c r="J285">
        <v>0</v>
      </c>
      <c r="K285">
        <v>160000</v>
      </c>
      <c r="L285">
        <v>0</v>
      </c>
      <c r="M285">
        <v>160000</v>
      </c>
      <c r="N285">
        <v>28000</v>
      </c>
      <c r="O285">
        <v>188000</v>
      </c>
      <c r="P285" t="s">
        <v>63</v>
      </c>
      <c r="Q285" t="s">
        <v>2357</v>
      </c>
      <c r="R285" t="s">
        <v>36</v>
      </c>
      <c r="S285">
        <v>4</v>
      </c>
      <c r="T285" t="s">
        <v>24</v>
      </c>
      <c r="U285" t="s">
        <v>2402</v>
      </c>
      <c r="V285">
        <v>2025</v>
      </c>
      <c r="W285">
        <v>2</v>
      </c>
    </row>
    <row r="286" spans="1:23" x14ac:dyDescent="0.25">
      <c r="A286" t="s">
        <v>1233</v>
      </c>
      <c r="B286">
        <v>45712.878692129627</v>
      </c>
      <c r="C286" t="s">
        <v>776</v>
      </c>
      <c r="D286" t="s">
        <v>103</v>
      </c>
      <c r="E286" t="s">
        <v>250</v>
      </c>
      <c r="F286" t="s">
        <v>2397</v>
      </c>
      <c r="G286" t="s">
        <v>2379</v>
      </c>
      <c r="H286">
        <v>18000</v>
      </c>
      <c r="I286">
        <v>3</v>
      </c>
      <c r="J286">
        <v>0</v>
      </c>
      <c r="K286">
        <v>54000</v>
      </c>
      <c r="L286">
        <v>0</v>
      </c>
      <c r="M286">
        <v>54000</v>
      </c>
      <c r="N286">
        <v>85000</v>
      </c>
      <c r="O286">
        <v>139000</v>
      </c>
      <c r="P286" t="s">
        <v>22</v>
      </c>
      <c r="Q286" t="s">
        <v>2357</v>
      </c>
      <c r="R286" t="s">
        <v>82</v>
      </c>
      <c r="S286">
        <v>5</v>
      </c>
      <c r="T286" t="s">
        <v>24</v>
      </c>
      <c r="U286" t="s">
        <v>2402</v>
      </c>
      <c r="V286">
        <v>2025</v>
      </c>
      <c r="W286">
        <v>2</v>
      </c>
    </row>
    <row r="287" spans="1:23" x14ac:dyDescent="0.25">
      <c r="A287" t="s">
        <v>1234</v>
      </c>
      <c r="B287">
        <v>45713.314629629633</v>
      </c>
      <c r="C287" t="s">
        <v>169</v>
      </c>
      <c r="D287" t="s">
        <v>170</v>
      </c>
      <c r="E287" t="s">
        <v>136</v>
      </c>
      <c r="F287" t="s">
        <v>2400</v>
      </c>
      <c r="G287" t="s">
        <v>2378</v>
      </c>
      <c r="H287">
        <v>12000</v>
      </c>
      <c r="I287">
        <v>4</v>
      </c>
      <c r="J287">
        <v>10</v>
      </c>
      <c r="K287">
        <v>48000</v>
      </c>
      <c r="L287">
        <v>4800</v>
      </c>
      <c r="M287">
        <v>43200</v>
      </c>
      <c r="N287">
        <v>46000</v>
      </c>
      <c r="O287">
        <v>89200</v>
      </c>
      <c r="P287" t="s">
        <v>22</v>
      </c>
      <c r="Q287" t="s">
        <v>2356</v>
      </c>
      <c r="R287" t="s">
        <v>30</v>
      </c>
      <c r="S287">
        <v>3</v>
      </c>
      <c r="T287" t="s">
        <v>24</v>
      </c>
      <c r="U287" t="s">
        <v>2402</v>
      </c>
      <c r="V287">
        <v>2025</v>
      </c>
      <c r="W287">
        <v>2</v>
      </c>
    </row>
    <row r="288" spans="1:23" x14ac:dyDescent="0.25">
      <c r="A288" t="s">
        <v>1235</v>
      </c>
      <c r="B288">
        <v>45713.316724537042</v>
      </c>
      <c r="C288" t="s">
        <v>557</v>
      </c>
      <c r="D288" t="s">
        <v>173</v>
      </c>
      <c r="E288" t="s">
        <v>110</v>
      </c>
      <c r="F288" t="s">
        <v>2395</v>
      </c>
      <c r="G288" t="s">
        <v>2379</v>
      </c>
      <c r="H288">
        <v>6000</v>
      </c>
      <c r="I288">
        <v>1</v>
      </c>
      <c r="J288">
        <v>0</v>
      </c>
      <c r="K288">
        <v>6000</v>
      </c>
      <c r="L288">
        <v>0</v>
      </c>
      <c r="M288">
        <v>6000</v>
      </c>
      <c r="N288">
        <v>49000</v>
      </c>
      <c r="O288">
        <v>55000</v>
      </c>
      <c r="P288" t="s">
        <v>63</v>
      </c>
      <c r="Q288" t="s">
        <v>2357</v>
      </c>
      <c r="R288" t="s">
        <v>46</v>
      </c>
      <c r="S288">
        <v>1</v>
      </c>
      <c r="T288" t="s">
        <v>24</v>
      </c>
      <c r="U288" t="s">
        <v>2402</v>
      </c>
      <c r="V288">
        <v>2025</v>
      </c>
      <c r="W288">
        <v>2</v>
      </c>
    </row>
    <row r="289" spans="1:23" x14ac:dyDescent="0.25">
      <c r="A289" t="s">
        <v>1236</v>
      </c>
      <c r="B289">
        <v>45713.395243055558</v>
      </c>
      <c r="C289" t="s">
        <v>1237</v>
      </c>
      <c r="D289" t="s">
        <v>92</v>
      </c>
      <c r="E289" t="s">
        <v>93</v>
      </c>
      <c r="F289" t="s">
        <v>2399</v>
      </c>
      <c r="G289" t="s">
        <v>2378</v>
      </c>
      <c r="H289">
        <v>25000</v>
      </c>
      <c r="I289">
        <v>5</v>
      </c>
      <c r="J289">
        <v>0</v>
      </c>
      <c r="K289">
        <v>125000</v>
      </c>
      <c r="L289">
        <v>0</v>
      </c>
      <c r="M289">
        <v>125000</v>
      </c>
      <c r="N289">
        <v>30000</v>
      </c>
      <c r="O289">
        <v>155000</v>
      </c>
      <c r="P289" t="s">
        <v>22</v>
      </c>
      <c r="Q289" t="s">
        <v>2357</v>
      </c>
      <c r="R289" t="s">
        <v>30</v>
      </c>
      <c r="S289">
        <v>1</v>
      </c>
      <c r="T289" t="s">
        <v>24</v>
      </c>
      <c r="U289" t="s">
        <v>2402</v>
      </c>
      <c r="V289">
        <v>2025</v>
      </c>
      <c r="W289">
        <v>2</v>
      </c>
    </row>
    <row r="290" spans="1:23" x14ac:dyDescent="0.25">
      <c r="A290" t="s">
        <v>1238</v>
      </c>
      <c r="B290">
        <v>45713.818136574067</v>
      </c>
      <c r="C290" t="s">
        <v>812</v>
      </c>
      <c r="D290" t="s">
        <v>33</v>
      </c>
      <c r="E290" t="s">
        <v>71</v>
      </c>
      <c r="F290" t="s">
        <v>2392</v>
      </c>
      <c r="G290" t="s">
        <v>2379</v>
      </c>
      <c r="H290">
        <v>40000</v>
      </c>
      <c r="I290">
        <v>2</v>
      </c>
      <c r="J290">
        <v>20</v>
      </c>
      <c r="K290">
        <v>80000</v>
      </c>
      <c r="L290">
        <v>16000</v>
      </c>
      <c r="M290">
        <v>64000</v>
      </c>
      <c r="N290">
        <v>76000</v>
      </c>
      <c r="O290">
        <v>140000</v>
      </c>
      <c r="P290" t="s">
        <v>22</v>
      </c>
      <c r="Q290" t="s">
        <v>2356</v>
      </c>
      <c r="R290" t="s">
        <v>46</v>
      </c>
      <c r="S290">
        <v>4</v>
      </c>
      <c r="T290" t="s">
        <v>24</v>
      </c>
      <c r="U290" t="s">
        <v>2402</v>
      </c>
      <c r="V290">
        <v>2025</v>
      </c>
      <c r="W290">
        <v>2</v>
      </c>
    </row>
    <row r="291" spans="1:23" x14ac:dyDescent="0.25">
      <c r="A291" t="s">
        <v>1239</v>
      </c>
      <c r="B291">
        <v>45714.135601851849</v>
      </c>
      <c r="C291" t="s">
        <v>400</v>
      </c>
      <c r="D291" t="s">
        <v>27</v>
      </c>
      <c r="E291" t="s">
        <v>67</v>
      </c>
      <c r="F291" t="s">
        <v>2393</v>
      </c>
      <c r="G291" t="s">
        <v>2378</v>
      </c>
      <c r="H291">
        <v>15000</v>
      </c>
      <c r="I291">
        <v>1</v>
      </c>
      <c r="J291">
        <v>0</v>
      </c>
      <c r="K291">
        <v>15000</v>
      </c>
      <c r="L291">
        <v>0</v>
      </c>
      <c r="M291">
        <v>15000</v>
      </c>
      <c r="N291">
        <v>17000</v>
      </c>
      <c r="O291">
        <v>32000</v>
      </c>
      <c r="P291" t="s">
        <v>35</v>
      </c>
      <c r="Q291" t="s">
        <v>2357</v>
      </c>
      <c r="R291" t="s">
        <v>23</v>
      </c>
      <c r="S291">
        <v>4</v>
      </c>
      <c r="T291" t="s">
        <v>24</v>
      </c>
      <c r="U291" t="s">
        <v>2402</v>
      </c>
      <c r="V291">
        <v>2025</v>
      </c>
      <c r="W291">
        <v>2</v>
      </c>
    </row>
    <row r="292" spans="1:23" x14ac:dyDescent="0.25">
      <c r="A292" t="s">
        <v>1240</v>
      </c>
      <c r="B292">
        <v>45714.195416666669</v>
      </c>
      <c r="C292" t="s">
        <v>1241</v>
      </c>
      <c r="D292" t="s">
        <v>80</v>
      </c>
      <c r="E292" t="s">
        <v>34</v>
      </c>
      <c r="F292" t="s">
        <v>2397</v>
      </c>
      <c r="G292" t="s">
        <v>2377</v>
      </c>
      <c r="H292">
        <v>16000</v>
      </c>
      <c r="I292">
        <v>2</v>
      </c>
      <c r="J292">
        <v>0</v>
      </c>
      <c r="K292">
        <v>32000</v>
      </c>
      <c r="L292">
        <v>0</v>
      </c>
      <c r="M292">
        <v>32000</v>
      </c>
      <c r="N292">
        <v>74000</v>
      </c>
      <c r="O292">
        <v>106000</v>
      </c>
      <c r="P292" t="s">
        <v>35</v>
      </c>
      <c r="Q292" t="s">
        <v>2357</v>
      </c>
      <c r="R292" t="s">
        <v>36</v>
      </c>
      <c r="S292">
        <v>4</v>
      </c>
      <c r="T292" t="s">
        <v>24</v>
      </c>
      <c r="U292" t="s">
        <v>2402</v>
      </c>
      <c r="V292">
        <v>2025</v>
      </c>
      <c r="W292">
        <v>2</v>
      </c>
    </row>
    <row r="293" spans="1:23" x14ac:dyDescent="0.25">
      <c r="A293" t="s">
        <v>1240</v>
      </c>
      <c r="B293">
        <v>45714.195416666669</v>
      </c>
      <c r="C293" t="s">
        <v>1241</v>
      </c>
      <c r="D293" t="s">
        <v>80</v>
      </c>
      <c r="E293" t="s">
        <v>88</v>
      </c>
      <c r="F293" t="s">
        <v>2393</v>
      </c>
      <c r="G293" t="s">
        <v>2377</v>
      </c>
      <c r="H293">
        <v>14000</v>
      </c>
      <c r="I293">
        <v>3</v>
      </c>
      <c r="J293">
        <v>20</v>
      </c>
      <c r="K293">
        <v>42000</v>
      </c>
      <c r="L293">
        <v>8400</v>
      </c>
      <c r="M293">
        <v>33600</v>
      </c>
      <c r="N293">
        <v>0</v>
      </c>
      <c r="O293">
        <v>33600</v>
      </c>
      <c r="P293" t="s">
        <v>35</v>
      </c>
      <c r="Q293" t="s">
        <v>2357</v>
      </c>
      <c r="R293" t="s">
        <v>36</v>
      </c>
      <c r="S293">
        <v>4</v>
      </c>
      <c r="T293" t="s">
        <v>24</v>
      </c>
      <c r="U293" t="s">
        <v>2402</v>
      </c>
      <c r="V293">
        <v>2025</v>
      </c>
      <c r="W293">
        <v>2</v>
      </c>
    </row>
    <row r="294" spans="1:23" x14ac:dyDescent="0.25">
      <c r="A294" t="s">
        <v>1242</v>
      </c>
      <c r="B294">
        <v>45714.426736111112</v>
      </c>
      <c r="C294" t="s">
        <v>565</v>
      </c>
      <c r="D294" t="s">
        <v>163</v>
      </c>
      <c r="E294" t="s">
        <v>71</v>
      </c>
      <c r="F294" t="s">
        <v>2392</v>
      </c>
      <c r="G294" t="s">
        <v>2379</v>
      </c>
      <c r="H294">
        <v>40000</v>
      </c>
      <c r="I294">
        <v>5</v>
      </c>
      <c r="J294">
        <v>0</v>
      </c>
      <c r="K294">
        <v>200000</v>
      </c>
      <c r="L294">
        <v>0</v>
      </c>
      <c r="M294">
        <v>200000</v>
      </c>
      <c r="N294">
        <v>50000</v>
      </c>
      <c r="O294">
        <v>250000</v>
      </c>
      <c r="P294" t="s">
        <v>35</v>
      </c>
      <c r="Q294" t="s">
        <v>2357</v>
      </c>
      <c r="R294" t="s">
        <v>30</v>
      </c>
      <c r="S294">
        <v>4</v>
      </c>
      <c r="T294" t="s">
        <v>24</v>
      </c>
      <c r="U294" t="s">
        <v>2402</v>
      </c>
      <c r="V294">
        <v>2025</v>
      </c>
      <c r="W294">
        <v>2</v>
      </c>
    </row>
    <row r="295" spans="1:23" x14ac:dyDescent="0.25">
      <c r="A295" t="s">
        <v>1243</v>
      </c>
      <c r="B295">
        <v>45714.548750000002</v>
      </c>
      <c r="C295" t="s">
        <v>1022</v>
      </c>
      <c r="D295" t="s">
        <v>177</v>
      </c>
      <c r="E295" t="s">
        <v>67</v>
      </c>
      <c r="F295" t="s">
        <v>2393</v>
      </c>
      <c r="G295" t="s">
        <v>2378</v>
      </c>
      <c r="H295">
        <v>15000</v>
      </c>
      <c r="I295">
        <v>5</v>
      </c>
      <c r="J295">
        <v>15</v>
      </c>
      <c r="K295">
        <v>75000</v>
      </c>
      <c r="L295">
        <v>11250</v>
      </c>
      <c r="M295">
        <v>63750</v>
      </c>
      <c r="N295">
        <v>56000</v>
      </c>
      <c r="O295">
        <v>119750</v>
      </c>
      <c r="P295" t="s">
        <v>29</v>
      </c>
      <c r="Q295" t="s">
        <v>2357</v>
      </c>
      <c r="R295" t="s">
        <v>82</v>
      </c>
      <c r="S295">
        <v>1</v>
      </c>
      <c r="T295" t="s">
        <v>24</v>
      </c>
      <c r="U295" t="s">
        <v>2402</v>
      </c>
      <c r="V295">
        <v>2025</v>
      </c>
      <c r="W295">
        <v>2</v>
      </c>
    </row>
    <row r="296" spans="1:23" x14ac:dyDescent="0.25">
      <c r="A296" t="s">
        <v>1244</v>
      </c>
      <c r="B296">
        <v>45714.591539351852</v>
      </c>
      <c r="C296" t="s">
        <v>525</v>
      </c>
      <c r="D296" t="s">
        <v>96</v>
      </c>
      <c r="E296" t="s">
        <v>174</v>
      </c>
      <c r="F296" t="s">
        <v>2400</v>
      </c>
      <c r="G296" t="s">
        <v>2377</v>
      </c>
      <c r="H296">
        <v>10000</v>
      </c>
      <c r="I296">
        <v>2</v>
      </c>
      <c r="J296">
        <v>0</v>
      </c>
      <c r="K296">
        <v>20000</v>
      </c>
      <c r="L296">
        <v>0</v>
      </c>
      <c r="M296">
        <v>20000</v>
      </c>
      <c r="N296">
        <v>49000</v>
      </c>
      <c r="O296">
        <v>69000</v>
      </c>
      <c r="P296" t="s">
        <v>29</v>
      </c>
      <c r="Q296" t="s">
        <v>2357</v>
      </c>
      <c r="R296" t="s">
        <v>36</v>
      </c>
      <c r="S296">
        <v>1</v>
      </c>
      <c r="T296" t="s">
        <v>24</v>
      </c>
      <c r="U296" t="s">
        <v>2402</v>
      </c>
      <c r="V296">
        <v>2025</v>
      </c>
      <c r="W296">
        <v>2</v>
      </c>
    </row>
    <row r="297" spans="1:23" x14ac:dyDescent="0.25">
      <c r="A297" t="s">
        <v>1245</v>
      </c>
      <c r="B297">
        <v>45714.638622685183</v>
      </c>
      <c r="C297" t="s">
        <v>1146</v>
      </c>
      <c r="D297" t="s">
        <v>116</v>
      </c>
      <c r="E297" t="s">
        <v>45</v>
      </c>
      <c r="F297" t="s">
        <v>2394</v>
      </c>
      <c r="G297" t="s">
        <v>2378</v>
      </c>
      <c r="H297">
        <v>40000</v>
      </c>
      <c r="I297">
        <v>4</v>
      </c>
      <c r="J297">
        <v>0</v>
      </c>
      <c r="K297">
        <v>160000</v>
      </c>
      <c r="L297">
        <v>0</v>
      </c>
      <c r="M297">
        <v>160000</v>
      </c>
      <c r="N297">
        <v>72000</v>
      </c>
      <c r="O297">
        <v>232000</v>
      </c>
      <c r="P297" t="s">
        <v>35</v>
      </c>
      <c r="Q297" t="s">
        <v>2356</v>
      </c>
      <c r="R297" t="s">
        <v>23</v>
      </c>
      <c r="S297">
        <v>3</v>
      </c>
      <c r="T297" t="s">
        <v>24</v>
      </c>
      <c r="U297" t="s">
        <v>2402</v>
      </c>
      <c r="V297">
        <v>2025</v>
      </c>
      <c r="W297">
        <v>2</v>
      </c>
    </row>
    <row r="298" spans="1:23" x14ac:dyDescent="0.25">
      <c r="A298" t="s">
        <v>1246</v>
      </c>
      <c r="B298">
        <v>45714.876273148147</v>
      </c>
      <c r="C298" t="s">
        <v>582</v>
      </c>
      <c r="D298" t="s">
        <v>435</v>
      </c>
      <c r="E298" t="s">
        <v>110</v>
      </c>
      <c r="F298" t="s">
        <v>2395</v>
      </c>
      <c r="G298" t="s">
        <v>2379</v>
      </c>
      <c r="H298">
        <v>6000</v>
      </c>
      <c r="I298">
        <v>2</v>
      </c>
      <c r="J298">
        <v>15</v>
      </c>
      <c r="K298">
        <v>12000</v>
      </c>
      <c r="L298">
        <v>1800</v>
      </c>
      <c r="M298">
        <v>10200</v>
      </c>
      <c r="N298">
        <v>67000</v>
      </c>
      <c r="O298">
        <v>77200</v>
      </c>
      <c r="P298" t="s">
        <v>35</v>
      </c>
      <c r="Q298" t="s">
        <v>2357</v>
      </c>
      <c r="R298" t="s">
        <v>36</v>
      </c>
      <c r="S298">
        <v>4</v>
      </c>
      <c r="T298" t="s">
        <v>24</v>
      </c>
      <c r="U298" t="s">
        <v>2402</v>
      </c>
      <c r="V298">
        <v>2025</v>
      </c>
      <c r="W298">
        <v>2</v>
      </c>
    </row>
    <row r="299" spans="1:23" x14ac:dyDescent="0.25">
      <c r="A299" t="s">
        <v>1247</v>
      </c>
      <c r="B299">
        <v>45715.039212962962</v>
      </c>
      <c r="C299" t="s">
        <v>1033</v>
      </c>
      <c r="D299" t="s">
        <v>122</v>
      </c>
      <c r="E299" t="s">
        <v>85</v>
      </c>
      <c r="F299" t="s">
        <v>2394</v>
      </c>
      <c r="G299" t="s">
        <v>2377</v>
      </c>
      <c r="H299">
        <v>35000</v>
      </c>
      <c r="I299">
        <v>1</v>
      </c>
      <c r="J299">
        <v>5</v>
      </c>
      <c r="K299">
        <v>35000</v>
      </c>
      <c r="L299">
        <v>1750</v>
      </c>
      <c r="M299">
        <v>33250</v>
      </c>
      <c r="N299">
        <v>78000</v>
      </c>
      <c r="O299">
        <v>111250</v>
      </c>
      <c r="P299" t="s">
        <v>22</v>
      </c>
      <c r="Q299" t="s">
        <v>2357</v>
      </c>
      <c r="R299" t="s">
        <v>23</v>
      </c>
      <c r="S299">
        <v>5</v>
      </c>
      <c r="T299" t="s">
        <v>24</v>
      </c>
      <c r="U299" t="s">
        <v>2402</v>
      </c>
      <c r="V299">
        <v>2025</v>
      </c>
      <c r="W299">
        <v>2</v>
      </c>
    </row>
    <row r="300" spans="1:23" x14ac:dyDescent="0.25">
      <c r="A300" t="s">
        <v>1248</v>
      </c>
      <c r="B300">
        <v>45715.534409722219</v>
      </c>
      <c r="C300" t="s">
        <v>56</v>
      </c>
      <c r="D300" t="s">
        <v>57</v>
      </c>
      <c r="E300" t="s">
        <v>67</v>
      </c>
      <c r="F300" t="s">
        <v>2393</v>
      </c>
      <c r="G300" t="s">
        <v>2378</v>
      </c>
      <c r="H300">
        <v>15000</v>
      </c>
      <c r="I300">
        <v>4</v>
      </c>
      <c r="J300">
        <v>15</v>
      </c>
      <c r="K300">
        <v>60000</v>
      </c>
      <c r="L300">
        <v>9000</v>
      </c>
      <c r="M300">
        <v>51000</v>
      </c>
      <c r="N300">
        <v>80000</v>
      </c>
      <c r="O300">
        <v>131000</v>
      </c>
      <c r="P300" t="s">
        <v>22</v>
      </c>
      <c r="Q300" t="s">
        <v>2357</v>
      </c>
      <c r="R300" t="s">
        <v>23</v>
      </c>
      <c r="S300">
        <v>2</v>
      </c>
      <c r="T300" t="s">
        <v>24</v>
      </c>
      <c r="U300" t="s">
        <v>2402</v>
      </c>
      <c r="V300">
        <v>2025</v>
      </c>
      <c r="W300">
        <v>2</v>
      </c>
    </row>
    <row r="301" spans="1:23" x14ac:dyDescent="0.25">
      <c r="A301" t="s">
        <v>1249</v>
      </c>
      <c r="B301">
        <v>45715.552372685182</v>
      </c>
      <c r="C301" t="s">
        <v>1250</v>
      </c>
      <c r="D301" t="s">
        <v>195</v>
      </c>
      <c r="E301" t="s">
        <v>85</v>
      </c>
      <c r="F301" t="s">
        <v>2394</v>
      </c>
      <c r="G301" t="s">
        <v>2377</v>
      </c>
      <c r="H301">
        <v>35000</v>
      </c>
      <c r="I301">
        <v>5</v>
      </c>
      <c r="J301">
        <v>10</v>
      </c>
      <c r="K301">
        <v>175000</v>
      </c>
      <c r="L301">
        <v>17500</v>
      </c>
      <c r="M301">
        <v>157500</v>
      </c>
      <c r="N301">
        <v>87000</v>
      </c>
      <c r="O301">
        <v>244500</v>
      </c>
      <c r="P301" t="s">
        <v>35</v>
      </c>
      <c r="Q301" t="s">
        <v>2357</v>
      </c>
      <c r="R301" t="s">
        <v>30</v>
      </c>
      <c r="S301">
        <v>4</v>
      </c>
      <c r="T301" t="s">
        <v>24</v>
      </c>
      <c r="U301" t="s">
        <v>2402</v>
      </c>
      <c r="V301">
        <v>2025</v>
      </c>
      <c r="W301">
        <v>2</v>
      </c>
    </row>
    <row r="302" spans="1:23" x14ac:dyDescent="0.25">
      <c r="A302" t="s">
        <v>1251</v>
      </c>
      <c r="B302">
        <v>45715.583726851852</v>
      </c>
      <c r="C302" t="s">
        <v>1130</v>
      </c>
      <c r="D302" t="s">
        <v>122</v>
      </c>
      <c r="E302" t="s">
        <v>81</v>
      </c>
      <c r="F302" t="s">
        <v>2397</v>
      </c>
      <c r="G302" t="s">
        <v>2378</v>
      </c>
      <c r="H302">
        <v>17000</v>
      </c>
      <c r="I302">
        <v>1</v>
      </c>
      <c r="J302">
        <v>20</v>
      </c>
      <c r="K302">
        <v>17000</v>
      </c>
      <c r="L302">
        <v>3400</v>
      </c>
      <c r="M302">
        <v>13600</v>
      </c>
      <c r="N302">
        <v>78000</v>
      </c>
      <c r="O302">
        <v>91600</v>
      </c>
      <c r="P302" t="s">
        <v>22</v>
      </c>
      <c r="Q302" t="s">
        <v>2357</v>
      </c>
      <c r="R302" t="s">
        <v>23</v>
      </c>
      <c r="S302">
        <v>5</v>
      </c>
      <c r="T302" t="s">
        <v>24</v>
      </c>
      <c r="U302" t="s">
        <v>2402</v>
      </c>
      <c r="V302">
        <v>2025</v>
      </c>
      <c r="W302">
        <v>2</v>
      </c>
    </row>
    <row r="303" spans="1:23" x14ac:dyDescent="0.25">
      <c r="A303" t="s">
        <v>1252</v>
      </c>
      <c r="B303">
        <v>45715.597060185188</v>
      </c>
      <c r="C303" t="s">
        <v>451</v>
      </c>
      <c r="D303" t="s">
        <v>116</v>
      </c>
      <c r="E303" t="s">
        <v>38</v>
      </c>
      <c r="F303" t="s">
        <v>2399</v>
      </c>
      <c r="G303" t="s">
        <v>2379</v>
      </c>
      <c r="H303">
        <v>28000</v>
      </c>
      <c r="I303">
        <v>1</v>
      </c>
      <c r="J303">
        <v>0</v>
      </c>
      <c r="K303">
        <v>28000</v>
      </c>
      <c r="L303">
        <v>0</v>
      </c>
      <c r="M303">
        <v>28000</v>
      </c>
      <c r="N303">
        <v>72000</v>
      </c>
      <c r="O303">
        <v>100000</v>
      </c>
      <c r="P303" t="s">
        <v>29</v>
      </c>
      <c r="Q303" t="s">
        <v>2357</v>
      </c>
      <c r="R303" t="s">
        <v>23</v>
      </c>
      <c r="S303">
        <v>1</v>
      </c>
      <c r="T303" t="s">
        <v>24</v>
      </c>
      <c r="U303" t="s">
        <v>2402</v>
      </c>
      <c r="V303">
        <v>2025</v>
      </c>
      <c r="W303">
        <v>2</v>
      </c>
    </row>
    <row r="304" spans="1:23" x14ac:dyDescent="0.25">
      <c r="A304" t="s">
        <v>1253</v>
      </c>
      <c r="B304">
        <v>45716.261458333327</v>
      </c>
      <c r="C304" t="s">
        <v>708</v>
      </c>
      <c r="D304" t="s">
        <v>116</v>
      </c>
      <c r="E304" t="s">
        <v>34</v>
      </c>
      <c r="F304" t="s">
        <v>2397</v>
      </c>
      <c r="G304" t="s">
        <v>2377</v>
      </c>
      <c r="H304">
        <v>16000</v>
      </c>
      <c r="I304">
        <v>2</v>
      </c>
      <c r="J304">
        <v>20</v>
      </c>
      <c r="K304">
        <v>32000</v>
      </c>
      <c r="L304">
        <v>6400</v>
      </c>
      <c r="M304">
        <v>25600</v>
      </c>
      <c r="N304">
        <v>72000</v>
      </c>
      <c r="O304">
        <v>97600</v>
      </c>
      <c r="P304" t="s">
        <v>63</v>
      </c>
      <c r="Q304" t="s">
        <v>2359</v>
      </c>
      <c r="R304" t="s">
        <v>23</v>
      </c>
      <c r="S304">
        <v>4</v>
      </c>
      <c r="T304" t="s">
        <v>24</v>
      </c>
      <c r="U304" t="s">
        <v>2402</v>
      </c>
      <c r="V304">
        <v>2025</v>
      </c>
      <c r="W304">
        <v>2</v>
      </c>
    </row>
    <row r="305" spans="1:23" x14ac:dyDescent="0.25">
      <c r="A305" t="s">
        <v>1254</v>
      </c>
      <c r="B305">
        <v>45716.313310185193</v>
      </c>
      <c r="C305" t="s">
        <v>100</v>
      </c>
      <c r="D305" t="s">
        <v>66</v>
      </c>
      <c r="E305" t="s">
        <v>28</v>
      </c>
      <c r="F305" t="s">
        <v>2395</v>
      </c>
      <c r="G305" t="s">
        <v>2378</v>
      </c>
      <c r="H305">
        <v>5000</v>
      </c>
      <c r="I305">
        <v>1</v>
      </c>
      <c r="J305">
        <v>0</v>
      </c>
      <c r="K305">
        <v>5000</v>
      </c>
      <c r="L305">
        <v>0</v>
      </c>
      <c r="M305">
        <v>5000</v>
      </c>
      <c r="N305">
        <v>59000</v>
      </c>
      <c r="O305">
        <v>64000</v>
      </c>
      <c r="P305" t="s">
        <v>29</v>
      </c>
      <c r="Q305" t="s">
        <v>2357</v>
      </c>
      <c r="R305" t="s">
        <v>23</v>
      </c>
      <c r="S305">
        <v>1</v>
      </c>
      <c r="T305" t="s">
        <v>24</v>
      </c>
      <c r="U305" t="s">
        <v>2402</v>
      </c>
      <c r="V305">
        <v>2025</v>
      </c>
      <c r="W305">
        <v>2</v>
      </c>
    </row>
    <row r="306" spans="1:23" x14ac:dyDescent="0.25">
      <c r="A306" t="s">
        <v>1255</v>
      </c>
      <c r="B306">
        <v>45716.335428240738</v>
      </c>
      <c r="C306" t="s">
        <v>642</v>
      </c>
      <c r="D306" t="s">
        <v>160</v>
      </c>
      <c r="E306" t="s">
        <v>45</v>
      </c>
      <c r="F306" t="s">
        <v>2394</v>
      </c>
      <c r="G306" t="s">
        <v>2378</v>
      </c>
      <c r="H306">
        <v>40000</v>
      </c>
      <c r="I306">
        <v>4</v>
      </c>
      <c r="J306">
        <v>5</v>
      </c>
      <c r="K306">
        <v>160000</v>
      </c>
      <c r="L306">
        <v>8000</v>
      </c>
      <c r="M306">
        <v>152000</v>
      </c>
      <c r="N306">
        <v>68000</v>
      </c>
      <c r="O306">
        <v>220000</v>
      </c>
      <c r="P306" t="s">
        <v>22</v>
      </c>
      <c r="Q306" t="s">
        <v>2357</v>
      </c>
      <c r="R306" t="s">
        <v>36</v>
      </c>
      <c r="S306">
        <v>1</v>
      </c>
      <c r="T306" t="s">
        <v>24</v>
      </c>
      <c r="U306" t="s">
        <v>2402</v>
      </c>
      <c r="V306">
        <v>2025</v>
      </c>
      <c r="W306">
        <v>2</v>
      </c>
    </row>
    <row r="307" spans="1:23" x14ac:dyDescent="0.25">
      <c r="A307" t="s">
        <v>1256</v>
      </c>
      <c r="B307">
        <v>45716.615949074083</v>
      </c>
      <c r="C307" t="s">
        <v>102</v>
      </c>
      <c r="D307" t="s">
        <v>103</v>
      </c>
      <c r="E307" t="s">
        <v>67</v>
      </c>
      <c r="F307" t="s">
        <v>2393</v>
      </c>
      <c r="G307" t="s">
        <v>2378</v>
      </c>
      <c r="H307">
        <v>15000</v>
      </c>
      <c r="I307">
        <v>5</v>
      </c>
      <c r="J307">
        <v>15</v>
      </c>
      <c r="K307">
        <v>75000</v>
      </c>
      <c r="L307">
        <v>11250</v>
      </c>
      <c r="M307">
        <v>63750</v>
      </c>
      <c r="N307">
        <v>85000</v>
      </c>
      <c r="O307">
        <v>148750</v>
      </c>
      <c r="P307" t="s">
        <v>63</v>
      </c>
      <c r="Q307" t="s">
        <v>2357</v>
      </c>
      <c r="R307" t="s">
        <v>82</v>
      </c>
      <c r="S307">
        <v>2</v>
      </c>
      <c r="T307" t="s">
        <v>24</v>
      </c>
      <c r="U307" t="s">
        <v>2402</v>
      </c>
      <c r="V307">
        <v>2025</v>
      </c>
      <c r="W307">
        <v>2</v>
      </c>
    </row>
    <row r="308" spans="1:23" x14ac:dyDescent="0.25">
      <c r="A308" t="s">
        <v>1257</v>
      </c>
      <c r="B308">
        <v>45716.807546296302</v>
      </c>
      <c r="C308" t="s">
        <v>979</v>
      </c>
      <c r="D308" t="s">
        <v>49</v>
      </c>
      <c r="E308" t="s">
        <v>34</v>
      </c>
      <c r="F308" t="s">
        <v>2397</v>
      </c>
      <c r="G308" t="s">
        <v>2377</v>
      </c>
      <c r="H308">
        <v>16000</v>
      </c>
      <c r="I308">
        <v>5</v>
      </c>
      <c r="J308">
        <v>5</v>
      </c>
      <c r="K308">
        <v>80000</v>
      </c>
      <c r="L308">
        <v>4000</v>
      </c>
      <c r="M308">
        <v>76000</v>
      </c>
      <c r="N308">
        <v>43000</v>
      </c>
      <c r="O308">
        <v>119000</v>
      </c>
      <c r="P308" t="s">
        <v>22</v>
      </c>
      <c r="Q308" t="s">
        <v>2357</v>
      </c>
      <c r="R308" t="s">
        <v>23</v>
      </c>
      <c r="S308">
        <v>1</v>
      </c>
      <c r="T308" t="s">
        <v>24</v>
      </c>
      <c r="U308" t="s">
        <v>2402</v>
      </c>
      <c r="V308">
        <v>2025</v>
      </c>
      <c r="W308">
        <v>2</v>
      </c>
    </row>
    <row r="309" spans="1:23" x14ac:dyDescent="0.25">
      <c r="A309" t="s">
        <v>1258</v>
      </c>
      <c r="B309">
        <v>45716.868668981479</v>
      </c>
      <c r="C309" t="s">
        <v>1259</v>
      </c>
      <c r="D309" t="s">
        <v>107</v>
      </c>
      <c r="E309" t="s">
        <v>34</v>
      </c>
      <c r="F309" t="s">
        <v>2397</v>
      </c>
      <c r="G309" t="s">
        <v>2377</v>
      </c>
      <c r="H309">
        <v>16000</v>
      </c>
      <c r="I309">
        <v>5</v>
      </c>
      <c r="J309">
        <v>15</v>
      </c>
      <c r="K309">
        <v>80000</v>
      </c>
      <c r="L309">
        <v>12000</v>
      </c>
      <c r="M309">
        <v>68000</v>
      </c>
      <c r="N309">
        <v>97000</v>
      </c>
      <c r="O309">
        <v>165000</v>
      </c>
      <c r="P309" t="s">
        <v>35</v>
      </c>
      <c r="Q309" t="s">
        <v>2357</v>
      </c>
      <c r="R309" t="s">
        <v>23</v>
      </c>
      <c r="S309">
        <v>4</v>
      </c>
      <c r="T309" t="s">
        <v>37</v>
      </c>
      <c r="U309" t="s">
        <v>2402</v>
      </c>
      <c r="V309">
        <v>2025</v>
      </c>
      <c r="W309">
        <v>2</v>
      </c>
    </row>
    <row r="310" spans="1:23" x14ac:dyDescent="0.25">
      <c r="A310" t="s">
        <v>1260</v>
      </c>
      <c r="B310">
        <v>45716.888009259259</v>
      </c>
      <c r="C310" t="s">
        <v>159</v>
      </c>
      <c r="D310" t="s">
        <v>160</v>
      </c>
      <c r="E310" t="s">
        <v>54</v>
      </c>
      <c r="F310" t="s">
        <v>2393</v>
      </c>
      <c r="G310" t="s">
        <v>2379</v>
      </c>
      <c r="H310">
        <v>16000</v>
      </c>
      <c r="I310">
        <v>2</v>
      </c>
      <c r="J310">
        <v>0</v>
      </c>
      <c r="K310">
        <v>32000</v>
      </c>
      <c r="L310">
        <v>0</v>
      </c>
      <c r="M310">
        <v>32000</v>
      </c>
      <c r="N310">
        <v>68000</v>
      </c>
      <c r="O310">
        <v>100000</v>
      </c>
      <c r="P310" t="s">
        <v>22</v>
      </c>
      <c r="Q310" t="s">
        <v>2357</v>
      </c>
      <c r="R310" t="s">
        <v>30</v>
      </c>
      <c r="S310">
        <v>2</v>
      </c>
      <c r="T310" t="s">
        <v>24</v>
      </c>
      <c r="U310" t="s">
        <v>2402</v>
      </c>
      <c r="V310">
        <v>2025</v>
      </c>
      <c r="W310">
        <v>2</v>
      </c>
    </row>
    <row r="311" spans="1:23" x14ac:dyDescent="0.25">
      <c r="A311" t="s">
        <v>1261</v>
      </c>
      <c r="B311">
        <v>45716.935740740737</v>
      </c>
      <c r="C311" t="s">
        <v>421</v>
      </c>
      <c r="D311" t="s">
        <v>103</v>
      </c>
      <c r="E311" t="s">
        <v>110</v>
      </c>
      <c r="F311" t="s">
        <v>2395</v>
      </c>
      <c r="G311" t="s">
        <v>2379</v>
      </c>
      <c r="H311">
        <v>6000</v>
      </c>
      <c r="I311">
        <v>4</v>
      </c>
      <c r="J311">
        <v>0</v>
      </c>
      <c r="K311">
        <v>24000</v>
      </c>
      <c r="L311">
        <v>0</v>
      </c>
      <c r="M311">
        <v>24000</v>
      </c>
      <c r="N311">
        <v>85000</v>
      </c>
      <c r="O311">
        <v>109000</v>
      </c>
      <c r="P311" t="s">
        <v>22</v>
      </c>
      <c r="Q311" t="s">
        <v>2356</v>
      </c>
      <c r="R311" t="s">
        <v>46</v>
      </c>
      <c r="S311">
        <v>3</v>
      </c>
      <c r="T311" t="s">
        <v>24</v>
      </c>
      <c r="U311" t="s">
        <v>2402</v>
      </c>
      <c r="V311">
        <v>2025</v>
      </c>
      <c r="W311">
        <v>2</v>
      </c>
    </row>
    <row r="312" spans="1:23" x14ac:dyDescent="0.25">
      <c r="A312" t="s">
        <v>1262</v>
      </c>
      <c r="B312">
        <v>45717.145219907397</v>
      </c>
      <c r="C312" t="s">
        <v>1263</v>
      </c>
      <c r="D312" t="s">
        <v>435</v>
      </c>
      <c r="E312" t="s">
        <v>85</v>
      </c>
      <c r="F312" t="s">
        <v>2394</v>
      </c>
      <c r="G312" t="s">
        <v>2377</v>
      </c>
      <c r="H312">
        <v>35000</v>
      </c>
      <c r="I312">
        <v>1</v>
      </c>
      <c r="J312">
        <v>5</v>
      </c>
      <c r="K312">
        <v>35000</v>
      </c>
      <c r="L312">
        <v>1750</v>
      </c>
      <c r="M312">
        <v>33250</v>
      </c>
      <c r="N312">
        <v>67000</v>
      </c>
      <c r="O312">
        <v>100250</v>
      </c>
      <c r="P312" t="s">
        <v>22</v>
      </c>
      <c r="Q312" t="s">
        <v>2357</v>
      </c>
      <c r="R312" t="s">
        <v>23</v>
      </c>
      <c r="S312">
        <v>3</v>
      </c>
      <c r="T312" t="s">
        <v>24</v>
      </c>
      <c r="U312" t="s">
        <v>2403</v>
      </c>
      <c r="V312">
        <v>2025</v>
      </c>
      <c r="W312">
        <v>3</v>
      </c>
    </row>
    <row r="313" spans="1:23" x14ac:dyDescent="0.25">
      <c r="A313" t="s">
        <v>1264</v>
      </c>
      <c r="B313">
        <v>45717.271678240737</v>
      </c>
      <c r="C313" t="s">
        <v>162</v>
      </c>
      <c r="D313" t="s">
        <v>163</v>
      </c>
      <c r="E313" t="s">
        <v>45</v>
      </c>
      <c r="F313" t="s">
        <v>2394</v>
      </c>
      <c r="G313" t="s">
        <v>2378</v>
      </c>
      <c r="H313">
        <v>40000</v>
      </c>
      <c r="I313">
        <v>5</v>
      </c>
      <c r="J313">
        <v>15</v>
      </c>
      <c r="K313">
        <v>200000</v>
      </c>
      <c r="L313">
        <v>30000</v>
      </c>
      <c r="M313">
        <v>170000</v>
      </c>
      <c r="N313">
        <v>50000</v>
      </c>
      <c r="O313">
        <v>220000</v>
      </c>
      <c r="P313" t="s">
        <v>35</v>
      </c>
      <c r="Q313" t="s">
        <v>2357</v>
      </c>
      <c r="R313" t="s">
        <v>30</v>
      </c>
      <c r="S313">
        <v>5</v>
      </c>
      <c r="T313" t="s">
        <v>24</v>
      </c>
      <c r="U313" t="s">
        <v>2403</v>
      </c>
      <c r="V313">
        <v>2025</v>
      </c>
      <c r="W313">
        <v>3</v>
      </c>
    </row>
    <row r="314" spans="1:23" x14ac:dyDescent="0.25">
      <c r="A314" t="s">
        <v>1265</v>
      </c>
      <c r="B314">
        <v>45717.567476851851</v>
      </c>
      <c r="C314" t="s">
        <v>1098</v>
      </c>
      <c r="D314" t="s">
        <v>126</v>
      </c>
      <c r="E314" t="s">
        <v>85</v>
      </c>
      <c r="F314" t="s">
        <v>2394</v>
      </c>
      <c r="G314" t="s">
        <v>2377</v>
      </c>
      <c r="H314">
        <v>35000</v>
      </c>
      <c r="I314">
        <v>2</v>
      </c>
      <c r="J314">
        <v>15</v>
      </c>
      <c r="K314">
        <v>70000</v>
      </c>
      <c r="L314">
        <v>10500</v>
      </c>
      <c r="M314">
        <v>59500</v>
      </c>
      <c r="N314">
        <v>84000</v>
      </c>
      <c r="O314">
        <v>143500</v>
      </c>
      <c r="P314" t="s">
        <v>22</v>
      </c>
      <c r="Q314" t="s">
        <v>2357</v>
      </c>
      <c r="R314" t="s">
        <v>23</v>
      </c>
      <c r="S314">
        <v>4</v>
      </c>
      <c r="T314" t="s">
        <v>37</v>
      </c>
      <c r="U314" t="s">
        <v>2403</v>
      </c>
      <c r="V314">
        <v>2025</v>
      </c>
      <c r="W314">
        <v>3</v>
      </c>
    </row>
    <row r="315" spans="1:23" x14ac:dyDescent="0.25">
      <c r="A315" t="s">
        <v>1266</v>
      </c>
      <c r="B315">
        <v>45717.747175925928</v>
      </c>
      <c r="C315" t="s">
        <v>821</v>
      </c>
      <c r="D315" t="s">
        <v>131</v>
      </c>
      <c r="E315" t="s">
        <v>28</v>
      </c>
      <c r="F315" t="s">
        <v>2395</v>
      </c>
      <c r="G315" t="s">
        <v>2378</v>
      </c>
      <c r="H315">
        <v>5000</v>
      </c>
      <c r="I315">
        <v>4</v>
      </c>
      <c r="J315">
        <v>0</v>
      </c>
      <c r="K315">
        <v>20000</v>
      </c>
      <c r="L315">
        <v>0</v>
      </c>
      <c r="M315">
        <v>20000</v>
      </c>
      <c r="N315">
        <v>59000</v>
      </c>
      <c r="O315">
        <v>79000</v>
      </c>
      <c r="P315" t="s">
        <v>35</v>
      </c>
      <c r="Q315" t="s">
        <v>2357</v>
      </c>
      <c r="R315" t="s">
        <v>36</v>
      </c>
      <c r="S315">
        <v>4</v>
      </c>
      <c r="T315" t="s">
        <v>24</v>
      </c>
      <c r="U315" t="s">
        <v>2403</v>
      </c>
      <c r="V315">
        <v>2025</v>
      </c>
      <c r="W315">
        <v>3</v>
      </c>
    </row>
    <row r="316" spans="1:23" x14ac:dyDescent="0.25">
      <c r="A316" t="s">
        <v>1267</v>
      </c>
      <c r="B316">
        <v>45717.831157407411</v>
      </c>
      <c r="C316" t="s">
        <v>1053</v>
      </c>
      <c r="D316" t="s">
        <v>80</v>
      </c>
      <c r="E316" t="s">
        <v>75</v>
      </c>
      <c r="F316" t="s">
        <v>2398</v>
      </c>
      <c r="G316" t="s">
        <v>2379</v>
      </c>
      <c r="H316">
        <v>55000</v>
      </c>
      <c r="I316">
        <v>4</v>
      </c>
      <c r="J316">
        <v>15</v>
      </c>
      <c r="K316">
        <v>220000</v>
      </c>
      <c r="L316">
        <v>33000</v>
      </c>
      <c r="M316">
        <v>187000</v>
      </c>
      <c r="N316">
        <v>74000</v>
      </c>
      <c r="O316">
        <v>261000</v>
      </c>
      <c r="P316" t="s">
        <v>63</v>
      </c>
      <c r="Q316" t="s">
        <v>2357</v>
      </c>
      <c r="R316" t="s">
        <v>23</v>
      </c>
      <c r="S316">
        <v>2</v>
      </c>
      <c r="T316" t="s">
        <v>24</v>
      </c>
      <c r="U316" t="s">
        <v>2403</v>
      </c>
      <c r="V316">
        <v>2025</v>
      </c>
      <c r="W316">
        <v>3</v>
      </c>
    </row>
    <row r="317" spans="1:23" x14ac:dyDescent="0.25">
      <c r="A317" t="s">
        <v>1268</v>
      </c>
      <c r="B317">
        <v>45717.837037037039</v>
      </c>
      <c r="C317" t="s">
        <v>1098</v>
      </c>
      <c r="D317" t="s">
        <v>126</v>
      </c>
      <c r="E317" t="s">
        <v>75</v>
      </c>
      <c r="F317" t="s">
        <v>2398</v>
      </c>
      <c r="G317" t="s">
        <v>2379</v>
      </c>
      <c r="H317">
        <v>55000</v>
      </c>
      <c r="I317">
        <v>1</v>
      </c>
      <c r="J317">
        <v>20</v>
      </c>
      <c r="K317">
        <v>55000</v>
      </c>
      <c r="L317">
        <v>11000</v>
      </c>
      <c r="M317">
        <v>44000</v>
      </c>
      <c r="N317">
        <v>84000</v>
      </c>
      <c r="O317">
        <v>128000</v>
      </c>
      <c r="P317" t="s">
        <v>35</v>
      </c>
      <c r="Q317" t="s">
        <v>2357</v>
      </c>
      <c r="R317" t="s">
        <v>36</v>
      </c>
      <c r="S317">
        <v>4</v>
      </c>
      <c r="T317" t="s">
        <v>37</v>
      </c>
      <c r="U317" t="s">
        <v>2403</v>
      </c>
      <c r="V317">
        <v>2025</v>
      </c>
      <c r="W317">
        <v>3</v>
      </c>
    </row>
    <row r="318" spans="1:23" x14ac:dyDescent="0.25">
      <c r="A318" t="s">
        <v>1269</v>
      </c>
      <c r="B318">
        <v>45718.266932870371</v>
      </c>
      <c r="C318" t="s">
        <v>1270</v>
      </c>
      <c r="D318" t="s">
        <v>182</v>
      </c>
      <c r="E318" t="s">
        <v>123</v>
      </c>
      <c r="F318" t="s">
        <v>2399</v>
      </c>
      <c r="G318" t="s">
        <v>2377</v>
      </c>
      <c r="H318">
        <v>22000</v>
      </c>
      <c r="I318">
        <v>3</v>
      </c>
      <c r="J318">
        <v>15</v>
      </c>
      <c r="K318">
        <v>66000</v>
      </c>
      <c r="L318">
        <v>9900</v>
      </c>
      <c r="M318">
        <v>56100</v>
      </c>
      <c r="N318">
        <v>48000</v>
      </c>
      <c r="O318">
        <v>104100</v>
      </c>
      <c r="P318" t="s">
        <v>29</v>
      </c>
      <c r="Q318" t="s">
        <v>2357</v>
      </c>
      <c r="R318" t="s">
        <v>36</v>
      </c>
      <c r="S318">
        <v>3</v>
      </c>
      <c r="T318" t="s">
        <v>24</v>
      </c>
      <c r="U318" t="s">
        <v>2403</v>
      </c>
      <c r="V318">
        <v>2025</v>
      </c>
      <c r="W318">
        <v>3</v>
      </c>
    </row>
    <row r="319" spans="1:23" x14ac:dyDescent="0.25">
      <c r="A319" t="s">
        <v>1271</v>
      </c>
      <c r="B319">
        <v>45718.775312500002</v>
      </c>
      <c r="C319" t="s">
        <v>385</v>
      </c>
      <c r="D319" t="s">
        <v>375</v>
      </c>
      <c r="E319" t="s">
        <v>174</v>
      </c>
      <c r="F319" t="s">
        <v>2400</v>
      </c>
      <c r="G319" t="s">
        <v>2377</v>
      </c>
      <c r="H319">
        <v>10000</v>
      </c>
      <c r="I319">
        <v>2</v>
      </c>
      <c r="J319">
        <v>15</v>
      </c>
      <c r="K319">
        <v>20000</v>
      </c>
      <c r="L319">
        <v>3000</v>
      </c>
      <c r="M319">
        <v>17000</v>
      </c>
      <c r="N319">
        <v>21000</v>
      </c>
      <c r="O319">
        <v>38000</v>
      </c>
      <c r="P319" t="s">
        <v>29</v>
      </c>
      <c r="Q319" t="s">
        <v>2357</v>
      </c>
      <c r="R319" t="s">
        <v>30</v>
      </c>
      <c r="S319">
        <v>3</v>
      </c>
      <c r="T319" t="s">
        <v>24</v>
      </c>
      <c r="U319" t="s">
        <v>2403</v>
      </c>
      <c r="V319">
        <v>2025</v>
      </c>
      <c r="W319">
        <v>3</v>
      </c>
    </row>
    <row r="320" spans="1:23" x14ac:dyDescent="0.25">
      <c r="A320" t="s">
        <v>1272</v>
      </c>
      <c r="B320">
        <v>45718.805578703701</v>
      </c>
      <c r="C320" t="s">
        <v>261</v>
      </c>
      <c r="D320" t="s">
        <v>262</v>
      </c>
      <c r="E320" t="s">
        <v>50</v>
      </c>
      <c r="F320" t="s">
        <v>2400</v>
      </c>
      <c r="G320" t="s">
        <v>2379</v>
      </c>
      <c r="H320">
        <v>14000</v>
      </c>
      <c r="I320">
        <v>1</v>
      </c>
      <c r="J320">
        <v>5</v>
      </c>
      <c r="K320">
        <v>14000</v>
      </c>
      <c r="L320">
        <v>700</v>
      </c>
      <c r="M320">
        <v>13300</v>
      </c>
      <c r="N320">
        <v>18000</v>
      </c>
      <c r="O320">
        <v>31300</v>
      </c>
      <c r="P320" t="s">
        <v>29</v>
      </c>
      <c r="Q320" t="s">
        <v>2357</v>
      </c>
      <c r="R320" t="s">
        <v>30</v>
      </c>
      <c r="S320">
        <v>4</v>
      </c>
      <c r="T320" t="s">
        <v>24</v>
      </c>
      <c r="U320" t="s">
        <v>2403</v>
      </c>
      <c r="V320">
        <v>2025</v>
      </c>
      <c r="W320">
        <v>3</v>
      </c>
    </row>
    <row r="321" spans="1:23" x14ac:dyDescent="0.25">
      <c r="A321" t="s">
        <v>1273</v>
      </c>
      <c r="B321">
        <v>45719.348402777781</v>
      </c>
      <c r="C321" t="s">
        <v>98</v>
      </c>
      <c r="D321" t="s">
        <v>92</v>
      </c>
      <c r="E321" t="s">
        <v>88</v>
      </c>
      <c r="F321" t="s">
        <v>2393</v>
      </c>
      <c r="G321" t="s">
        <v>2377</v>
      </c>
      <c r="H321">
        <v>14000</v>
      </c>
      <c r="I321">
        <v>1</v>
      </c>
      <c r="J321">
        <v>10</v>
      </c>
      <c r="K321">
        <v>14000</v>
      </c>
      <c r="L321">
        <v>1400</v>
      </c>
      <c r="M321">
        <v>12600</v>
      </c>
      <c r="N321">
        <v>30000</v>
      </c>
      <c r="O321">
        <v>42600</v>
      </c>
      <c r="P321" t="s">
        <v>63</v>
      </c>
      <c r="Q321" t="s">
        <v>2357</v>
      </c>
      <c r="R321" t="s">
        <v>23</v>
      </c>
      <c r="S321">
        <v>5</v>
      </c>
      <c r="T321" t="s">
        <v>24</v>
      </c>
      <c r="U321" t="s">
        <v>2403</v>
      </c>
      <c r="V321">
        <v>2025</v>
      </c>
      <c r="W321">
        <v>3</v>
      </c>
    </row>
    <row r="322" spans="1:23" x14ac:dyDescent="0.25">
      <c r="A322" t="s">
        <v>1274</v>
      </c>
      <c r="B322">
        <v>45719.554074074083</v>
      </c>
      <c r="C322" t="s">
        <v>959</v>
      </c>
      <c r="D322" t="s">
        <v>182</v>
      </c>
      <c r="E322" t="s">
        <v>41</v>
      </c>
      <c r="F322" t="s">
        <v>2395</v>
      </c>
      <c r="G322" t="s">
        <v>2377</v>
      </c>
      <c r="H322">
        <v>4000</v>
      </c>
      <c r="I322">
        <v>1</v>
      </c>
      <c r="J322">
        <v>10</v>
      </c>
      <c r="K322">
        <v>4000</v>
      </c>
      <c r="L322">
        <v>400</v>
      </c>
      <c r="M322">
        <v>3600</v>
      </c>
      <c r="N322">
        <v>48000</v>
      </c>
      <c r="O322">
        <v>51600</v>
      </c>
      <c r="P322" t="s">
        <v>63</v>
      </c>
      <c r="Q322" t="s">
        <v>2356</v>
      </c>
      <c r="R322" t="s">
        <v>46</v>
      </c>
      <c r="S322">
        <v>1</v>
      </c>
      <c r="T322" t="s">
        <v>24</v>
      </c>
      <c r="U322" t="s">
        <v>2403</v>
      </c>
      <c r="V322">
        <v>2025</v>
      </c>
      <c r="W322">
        <v>3</v>
      </c>
    </row>
    <row r="323" spans="1:23" x14ac:dyDescent="0.25">
      <c r="A323" t="s">
        <v>1275</v>
      </c>
      <c r="B323">
        <v>45719.600648148153</v>
      </c>
      <c r="C323" t="s">
        <v>269</v>
      </c>
      <c r="D323" t="s">
        <v>173</v>
      </c>
      <c r="E323" t="s">
        <v>38</v>
      </c>
      <c r="F323" t="s">
        <v>2399</v>
      </c>
      <c r="G323" t="s">
        <v>2379</v>
      </c>
      <c r="H323">
        <v>28000</v>
      </c>
      <c r="I323">
        <v>1</v>
      </c>
      <c r="J323">
        <v>15</v>
      </c>
      <c r="K323">
        <v>28000</v>
      </c>
      <c r="L323">
        <v>4200</v>
      </c>
      <c r="M323">
        <v>23800</v>
      </c>
      <c r="N323">
        <v>49000</v>
      </c>
      <c r="O323">
        <v>72800</v>
      </c>
      <c r="P323" t="s">
        <v>35</v>
      </c>
      <c r="Q323" t="s">
        <v>2357</v>
      </c>
      <c r="R323" t="s">
        <v>23</v>
      </c>
      <c r="S323">
        <v>3</v>
      </c>
      <c r="T323" t="s">
        <v>37</v>
      </c>
      <c r="U323" t="s">
        <v>2403</v>
      </c>
      <c r="V323">
        <v>2025</v>
      </c>
      <c r="W323">
        <v>3</v>
      </c>
    </row>
    <row r="324" spans="1:23" x14ac:dyDescent="0.25">
      <c r="A324" t="s">
        <v>1276</v>
      </c>
      <c r="B324">
        <v>45719.933981481481</v>
      </c>
      <c r="C324" t="s">
        <v>199</v>
      </c>
      <c r="D324" t="s">
        <v>143</v>
      </c>
      <c r="E324" t="s">
        <v>62</v>
      </c>
      <c r="F324" t="s">
        <v>2398</v>
      </c>
      <c r="G324" t="s">
        <v>2378</v>
      </c>
      <c r="H324">
        <v>50000</v>
      </c>
      <c r="I324">
        <v>1</v>
      </c>
      <c r="J324">
        <v>0</v>
      </c>
      <c r="K324">
        <v>50000</v>
      </c>
      <c r="L324">
        <v>0</v>
      </c>
      <c r="M324">
        <v>50000</v>
      </c>
      <c r="N324">
        <v>50000</v>
      </c>
      <c r="O324">
        <v>100000</v>
      </c>
      <c r="P324" t="s">
        <v>63</v>
      </c>
      <c r="Q324" t="s">
        <v>2357</v>
      </c>
      <c r="R324" t="s">
        <v>36</v>
      </c>
      <c r="S324">
        <v>3</v>
      </c>
      <c r="T324" t="s">
        <v>24</v>
      </c>
      <c r="U324" t="s">
        <v>2403</v>
      </c>
      <c r="V324">
        <v>2025</v>
      </c>
      <c r="W324">
        <v>3</v>
      </c>
    </row>
    <row r="325" spans="1:23" x14ac:dyDescent="0.25">
      <c r="A325" t="s">
        <v>1277</v>
      </c>
      <c r="B325">
        <v>45719.946967592587</v>
      </c>
      <c r="C325" t="s">
        <v>1278</v>
      </c>
      <c r="D325" t="s">
        <v>74</v>
      </c>
      <c r="E325" t="s">
        <v>67</v>
      </c>
      <c r="F325" t="s">
        <v>2393</v>
      </c>
      <c r="G325" t="s">
        <v>2378</v>
      </c>
      <c r="H325">
        <v>15000</v>
      </c>
      <c r="I325">
        <v>1</v>
      </c>
      <c r="J325">
        <v>10</v>
      </c>
      <c r="K325">
        <v>15000</v>
      </c>
      <c r="L325">
        <v>1500</v>
      </c>
      <c r="M325">
        <v>13500</v>
      </c>
      <c r="N325">
        <v>87000</v>
      </c>
      <c r="O325">
        <v>100500</v>
      </c>
      <c r="P325" t="s">
        <v>29</v>
      </c>
      <c r="Q325" t="s">
        <v>2356</v>
      </c>
      <c r="R325" t="s">
        <v>82</v>
      </c>
      <c r="S325">
        <v>1</v>
      </c>
      <c r="T325" t="s">
        <v>24</v>
      </c>
      <c r="U325" t="s">
        <v>2403</v>
      </c>
      <c r="V325">
        <v>2025</v>
      </c>
      <c r="W325">
        <v>3</v>
      </c>
    </row>
    <row r="326" spans="1:23" x14ac:dyDescent="0.25">
      <c r="A326" t="s">
        <v>1279</v>
      </c>
      <c r="B326">
        <v>45720.108634259261</v>
      </c>
      <c r="C326" t="s">
        <v>451</v>
      </c>
      <c r="D326" t="s">
        <v>116</v>
      </c>
      <c r="E326" t="s">
        <v>45</v>
      </c>
      <c r="F326" t="s">
        <v>2394</v>
      </c>
      <c r="G326" t="s">
        <v>2378</v>
      </c>
      <c r="H326">
        <v>40000</v>
      </c>
      <c r="I326">
        <v>4</v>
      </c>
      <c r="J326">
        <v>0</v>
      </c>
      <c r="K326">
        <v>160000</v>
      </c>
      <c r="L326">
        <v>0</v>
      </c>
      <c r="M326">
        <v>160000</v>
      </c>
      <c r="N326">
        <v>72000</v>
      </c>
      <c r="O326">
        <v>232000</v>
      </c>
      <c r="P326" t="s">
        <v>29</v>
      </c>
      <c r="Q326" t="s">
        <v>2357</v>
      </c>
      <c r="R326" t="s">
        <v>23</v>
      </c>
      <c r="S326">
        <v>4</v>
      </c>
      <c r="T326" t="s">
        <v>24</v>
      </c>
      <c r="U326" t="s">
        <v>2403</v>
      </c>
      <c r="V326">
        <v>2025</v>
      </c>
      <c r="W326">
        <v>3</v>
      </c>
    </row>
    <row r="327" spans="1:23" x14ac:dyDescent="0.25">
      <c r="A327" t="s">
        <v>1280</v>
      </c>
      <c r="B327">
        <v>45720.173634259263</v>
      </c>
      <c r="C327" t="s">
        <v>1091</v>
      </c>
      <c r="D327" t="s">
        <v>160</v>
      </c>
      <c r="E327" t="s">
        <v>41</v>
      </c>
      <c r="F327" t="s">
        <v>2395</v>
      </c>
      <c r="G327" t="s">
        <v>2377</v>
      </c>
      <c r="H327">
        <v>4000</v>
      </c>
      <c r="I327">
        <v>1</v>
      </c>
      <c r="J327">
        <v>5</v>
      </c>
      <c r="K327">
        <v>4000</v>
      </c>
      <c r="L327">
        <v>200</v>
      </c>
      <c r="M327">
        <v>3800</v>
      </c>
      <c r="N327">
        <v>68000</v>
      </c>
      <c r="O327">
        <v>71800</v>
      </c>
      <c r="P327" t="s">
        <v>35</v>
      </c>
      <c r="Q327" t="s">
        <v>2357</v>
      </c>
      <c r="R327" t="s">
        <v>23</v>
      </c>
      <c r="S327">
        <v>4</v>
      </c>
      <c r="T327" t="s">
        <v>37</v>
      </c>
      <c r="U327" t="s">
        <v>2403</v>
      </c>
      <c r="V327">
        <v>2025</v>
      </c>
      <c r="W327">
        <v>3</v>
      </c>
    </row>
    <row r="328" spans="1:23" x14ac:dyDescent="0.25">
      <c r="A328" t="s">
        <v>1281</v>
      </c>
      <c r="B328">
        <v>45720.294849537036</v>
      </c>
      <c r="C328" t="s">
        <v>402</v>
      </c>
      <c r="D328" t="s">
        <v>163</v>
      </c>
      <c r="E328" t="s">
        <v>67</v>
      </c>
      <c r="F328" t="s">
        <v>2393</v>
      </c>
      <c r="G328" t="s">
        <v>2378</v>
      </c>
      <c r="H328">
        <v>15000</v>
      </c>
      <c r="I328">
        <v>2</v>
      </c>
      <c r="J328">
        <v>10</v>
      </c>
      <c r="K328">
        <v>30000</v>
      </c>
      <c r="L328">
        <v>3000</v>
      </c>
      <c r="M328">
        <v>27000</v>
      </c>
      <c r="N328">
        <v>50000</v>
      </c>
      <c r="O328">
        <v>77000</v>
      </c>
      <c r="P328" t="s">
        <v>29</v>
      </c>
      <c r="Q328" t="s">
        <v>2357</v>
      </c>
      <c r="R328" t="s">
        <v>30</v>
      </c>
      <c r="S328">
        <v>2</v>
      </c>
      <c r="T328" t="s">
        <v>24</v>
      </c>
      <c r="U328" t="s">
        <v>2403</v>
      </c>
      <c r="V328">
        <v>2025</v>
      </c>
      <c r="W328">
        <v>3</v>
      </c>
    </row>
    <row r="329" spans="1:23" x14ac:dyDescent="0.25">
      <c r="A329" t="s">
        <v>1282</v>
      </c>
      <c r="B329">
        <v>45720.448784722219</v>
      </c>
      <c r="C329" t="s">
        <v>796</v>
      </c>
      <c r="D329" t="s">
        <v>119</v>
      </c>
      <c r="E329" t="s">
        <v>144</v>
      </c>
      <c r="F329" t="s">
        <v>2396</v>
      </c>
      <c r="G329" t="s">
        <v>2379</v>
      </c>
      <c r="H329">
        <v>18000</v>
      </c>
      <c r="I329">
        <v>4</v>
      </c>
      <c r="J329">
        <v>5</v>
      </c>
      <c r="K329">
        <v>72000</v>
      </c>
      <c r="L329">
        <v>3600</v>
      </c>
      <c r="M329">
        <v>68400</v>
      </c>
      <c r="N329">
        <v>0</v>
      </c>
      <c r="O329">
        <v>68400</v>
      </c>
      <c r="P329" t="s">
        <v>63</v>
      </c>
      <c r="Q329" t="s">
        <v>2357</v>
      </c>
      <c r="R329" t="s">
        <v>82</v>
      </c>
      <c r="S329">
        <v>1</v>
      </c>
      <c r="T329" t="s">
        <v>24</v>
      </c>
      <c r="U329" t="s">
        <v>2403</v>
      </c>
      <c r="V329">
        <v>2025</v>
      </c>
      <c r="W329">
        <v>3</v>
      </c>
    </row>
    <row r="330" spans="1:23" x14ac:dyDescent="0.25">
      <c r="A330" t="s">
        <v>1283</v>
      </c>
      <c r="B330">
        <v>45720.509108796286</v>
      </c>
      <c r="C330" t="s">
        <v>488</v>
      </c>
      <c r="D330" t="s">
        <v>49</v>
      </c>
      <c r="E330" t="s">
        <v>21</v>
      </c>
      <c r="F330" t="s">
        <v>2394</v>
      </c>
      <c r="G330" t="s">
        <v>2379</v>
      </c>
      <c r="H330">
        <v>45000</v>
      </c>
      <c r="I330">
        <v>1</v>
      </c>
      <c r="J330">
        <v>5</v>
      </c>
      <c r="K330">
        <v>45000</v>
      </c>
      <c r="L330">
        <v>2250</v>
      </c>
      <c r="M330">
        <v>42750</v>
      </c>
      <c r="N330">
        <v>43000</v>
      </c>
      <c r="O330">
        <v>85750</v>
      </c>
      <c r="P330" t="s">
        <v>35</v>
      </c>
      <c r="Q330" t="s">
        <v>2357</v>
      </c>
      <c r="R330" t="s">
        <v>46</v>
      </c>
      <c r="S330">
        <v>5</v>
      </c>
      <c r="T330" t="s">
        <v>24</v>
      </c>
      <c r="U330" t="s">
        <v>2403</v>
      </c>
      <c r="V330">
        <v>2025</v>
      </c>
      <c r="W330">
        <v>3</v>
      </c>
    </row>
    <row r="331" spans="1:23" x14ac:dyDescent="0.25">
      <c r="A331" t="s">
        <v>1283</v>
      </c>
      <c r="B331">
        <v>45720.509108796286</v>
      </c>
      <c r="C331" t="s">
        <v>488</v>
      </c>
      <c r="D331" t="s">
        <v>49</v>
      </c>
      <c r="E331" t="s">
        <v>104</v>
      </c>
      <c r="F331" t="s">
        <v>2392</v>
      </c>
      <c r="G331" t="s">
        <v>2377</v>
      </c>
      <c r="H331">
        <v>30000</v>
      </c>
      <c r="I331">
        <v>2</v>
      </c>
      <c r="J331">
        <v>0</v>
      </c>
      <c r="K331">
        <v>60000</v>
      </c>
      <c r="L331">
        <v>0</v>
      </c>
      <c r="M331">
        <v>60000</v>
      </c>
      <c r="N331">
        <v>0</v>
      </c>
      <c r="O331">
        <v>60000</v>
      </c>
      <c r="P331" t="s">
        <v>35</v>
      </c>
      <c r="Q331" t="s">
        <v>2357</v>
      </c>
      <c r="R331" t="s">
        <v>46</v>
      </c>
      <c r="S331">
        <v>5</v>
      </c>
      <c r="T331" t="s">
        <v>24</v>
      </c>
      <c r="U331" t="s">
        <v>2403</v>
      </c>
      <c r="V331">
        <v>2025</v>
      </c>
      <c r="W331">
        <v>3</v>
      </c>
    </row>
    <row r="332" spans="1:23" x14ac:dyDescent="0.25">
      <c r="A332" t="s">
        <v>1284</v>
      </c>
      <c r="B332">
        <v>45720.880462962959</v>
      </c>
      <c r="C332" t="s">
        <v>1285</v>
      </c>
      <c r="D332" t="s">
        <v>163</v>
      </c>
      <c r="E332" t="s">
        <v>250</v>
      </c>
      <c r="F332" t="s">
        <v>2397</v>
      </c>
      <c r="G332" t="s">
        <v>2379</v>
      </c>
      <c r="H332">
        <v>18000</v>
      </c>
      <c r="I332">
        <v>2</v>
      </c>
      <c r="J332">
        <v>5</v>
      </c>
      <c r="K332">
        <v>36000</v>
      </c>
      <c r="L332">
        <v>1800</v>
      </c>
      <c r="M332">
        <v>34200</v>
      </c>
      <c r="N332">
        <v>50000</v>
      </c>
      <c r="O332">
        <v>84200</v>
      </c>
      <c r="P332" t="s">
        <v>29</v>
      </c>
      <c r="Q332" t="s">
        <v>2357</v>
      </c>
      <c r="R332" t="s">
        <v>82</v>
      </c>
      <c r="S332">
        <v>4</v>
      </c>
      <c r="T332" t="s">
        <v>24</v>
      </c>
      <c r="U332" t="s">
        <v>2403</v>
      </c>
      <c r="V332">
        <v>2025</v>
      </c>
      <c r="W332">
        <v>3</v>
      </c>
    </row>
    <row r="333" spans="1:23" x14ac:dyDescent="0.25">
      <c r="A333" t="s">
        <v>1286</v>
      </c>
      <c r="B333">
        <v>45721.00445601852</v>
      </c>
      <c r="C333" t="s">
        <v>350</v>
      </c>
      <c r="D333" t="s">
        <v>195</v>
      </c>
      <c r="E333" t="s">
        <v>81</v>
      </c>
      <c r="F333" t="s">
        <v>2397</v>
      </c>
      <c r="G333" t="s">
        <v>2378</v>
      </c>
      <c r="H333">
        <v>17000</v>
      </c>
      <c r="I333">
        <v>1</v>
      </c>
      <c r="J333">
        <v>0</v>
      </c>
      <c r="K333">
        <v>17000</v>
      </c>
      <c r="L333">
        <v>0</v>
      </c>
      <c r="M333">
        <v>17000</v>
      </c>
      <c r="N333">
        <v>87000</v>
      </c>
      <c r="O333">
        <v>104000</v>
      </c>
      <c r="P333" t="s">
        <v>29</v>
      </c>
      <c r="Q333" t="s">
        <v>2359</v>
      </c>
      <c r="R333" t="s">
        <v>30</v>
      </c>
      <c r="S333">
        <v>2</v>
      </c>
      <c r="T333" t="s">
        <v>37</v>
      </c>
      <c r="U333" t="s">
        <v>2403</v>
      </c>
      <c r="V333">
        <v>2025</v>
      </c>
      <c r="W333">
        <v>3</v>
      </c>
    </row>
    <row r="334" spans="1:23" x14ac:dyDescent="0.25">
      <c r="A334" t="s">
        <v>1287</v>
      </c>
      <c r="B334">
        <v>45721.068078703713</v>
      </c>
      <c r="C334" t="s">
        <v>557</v>
      </c>
      <c r="D334" t="s">
        <v>173</v>
      </c>
      <c r="E334" t="s">
        <v>123</v>
      </c>
      <c r="F334" t="s">
        <v>2399</v>
      </c>
      <c r="G334" t="s">
        <v>2377</v>
      </c>
      <c r="H334">
        <v>22000</v>
      </c>
      <c r="I334">
        <v>4</v>
      </c>
      <c r="J334">
        <v>0</v>
      </c>
      <c r="K334">
        <v>88000</v>
      </c>
      <c r="L334">
        <v>0</v>
      </c>
      <c r="M334">
        <v>88000</v>
      </c>
      <c r="N334">
        <v>49000</v>
      </c>
      <c r="O334">
        <v>137000</v>
      </c>
      <c r="P334" t="s">
        <v>22</v>
      </c>
      <c r="Q334" t="s">
        <v>2357</v>
      </c>
      <c r="R334" t="s">
        <v>82</v>
      </c>
      <c r="S334">
        <v>3</v>
      </c>
      <c r="T334" t="s">
        <v>24</v>
      </c>
      <c r="U334" t="s">
        <v>2403</v>
      </c>
      <c r="V334">
        <v>2025</v>
      </c>
      <c r="W334">
        <v>3</v>
      </c>
    </row>
    <row r="335" spans="1:23" x14ac:dyDescent="0.25">
      <c r="A335" t="s">
        <v>1288</v>
      </c>
      <c r="B335">
        <v>45721.158819444441</v>
      </c>
      <c r="C335" t="s">
        <v>295</v>
      </c>
      <c r="D335" t="s">
        <v>296</v>
      </c>
      <c r="E335" t="s">
        <v>58</v>
      </c>
      <c r="F335" t="s">
        <v>2396</v>
      </c>
      <c r="G335" t="s">
        <v>2377</v>
      </c>
      <c r="H335">
        <v>16000</v>
      </c>
      <c r="I335">
        <v>5</v>
      </c>
      <c r="J335">
        <v>5</v>
      </c>
      <c r="K335">
        <v>80000</v>
      </c>
      <c r="L335">
        <v>4000</v>
      </c>
      <c r="M335">
        <v>76000</v>
      </c>
      <c r="N335">
        <v>79000</v>
      </c>
      <c r="O335">
        <v>155000</v>
      </c>
      <c r="P335" t="s">
        <v>29</v>
      </c>
      <c r="Q335" t="s">
        <v>2357</v>
      </c>
      <c r="R335" t="s">
        <v>36</v>
      </c>
      <c r="S335">
        <v>3</v>
      </c>
      <c r="T335" t="s">
        <v>24</v>
      </c>
      <c r="U335" t="s">
        <v>2403</v>
      </c>
      <c r="V335">
        <v>2025</v>
      </c>
      <c r="W335">
        <v>3</v>
      </c>
    </row>
    <row r="336" spans="1:23" x14ac:dyDescent="0.25">
      <c r="A336" t="s">
        <v>1289</v>
      </c>
      <c r="B336">
        <v>45721.439282407409</v>
      </c>
      <c r="C336" t="s">
        <v>615</v>
      </c>
      <c r="D336" t="s">
        <v>92</v>
      </c>
      <c r="E336" t="s">
        <v>21</v>
      </c>
      <c r="F336" t="s">
        <v>2394</v>
      </c>
      <c r="G336" t="s">
        <v>2379</v>
      </c>
      <c r="H336">
        <v>45000</v>
      </c>
      <c r="I336">
        <v>2</v>
      </c>
      <c r="J336">
        <v>20</v>
      </c>
      <c r="K336">
        <v>90000</v>
      </c>
      <c r="L336">
        <v>18000</v>
      </c>
      <c r="M336">
        <v>72000</v>
      </c>
      <c r="N336">
        <v>30000</v>
      </c>
      <c r="O336">
        <v>102000</v>
      </c>
      <c r="P336" t="s">
        <v>35</v>
      </c>
      <c r="Q336" t="s">
        <v>2357</v>
      </c>
      <c r="R336" t="s">
        <v>30</v>
      </c>
      <c r="S336">
        <v>1</v>
      </c>
      <c r="T336" t="s">
        <v>24</v>
      </c>
      <c r="U336" t="s">
        <v>2403</v>
      </c>
      <c r="V336">
        <v>2025</v>
      </c>
      <c r="W336">
        <v>3</v>
      </c>
    </row>
    <row r="337" spans="1:23" x14ac:dyDescent="0.25">
      <c r="A337" t="s">
        <v>1290</v>
      </c>
      <c r="B337">
        <v>45721.613692129627</v>
      </c>
      <c r="C337" t="s">
        <v>576</v>
      </c>
      <c r="D337" t="s">
        <v>57</v>
      </c>
      <c r="E337" t="s">
        <v>58</v>
      </c>
      <c r="F337" t="s">
        <v>2396</v>
      </c>
      <c r="G337" t="s">
        <v>2377</v>
      </c>
      <c r="H337">
        <v>16000</v>
      </c>
      <c r="I337">
        <v>1</v>
      </c>
      <c r="J337">
        <v>10</v>
      </c>
      <c r="K337">
        <v>16000</v>
      </c>
      <c r="L337">
        <v>1600</v>
      </c>
      <c r="M337">
        <v>14400</v>
      </c>
      <c r="N337">
        <v>80000</v>
      </c>
      <c r="O337">
        <v>94400</v>
      </c>
      <c r="P337" t="s">
        <v>35</v>
      </c>
      <c r="Q337" t="s">
        <v>2357</v>
      </c>
      <c r="R337" t="s">
        <v>36</v>
      </c>
      <c r="S337">
        <v>1</v>
      </c>
      <c r="T337" t="s">
        <v>37</v>
      </c>
      <c r="U337" t="s">
        <v>2403</v>
      </c>
      <c r="V337">
        <v>2025</v>
      </c>
      <c r="W337">
        <v>3</v>
      </c>
    </row>
    <row r="338" spans="1:23" x14ac:dyDescent="0.25">
      <c r="A338" t="s">
        <v>1291</v>
      </c>
      <c r="B338">
        <v>45721.627256944441</v>
      </c>
      <c r="C338" t="s">
        <v>716</v>
      </c>
      <c r="D338" t="s">
        <v>66</v>
      </c>
      <c r="E338" t="s">
        <v>136</v>
      </c>
      <c r="F338" t="s">
        <v>2400</v>
      </c>
      <c r="G338" t="s">
        <v>2378</v>
      </c>
      <c r="H338">
        <v>12000</v>
      </c>
      <c r="I338">
        <v>1</v>
      </c>
      <c r="J338">
        <v>0</v>
      </c>
      <c r="K338">
        <v>12000</v>
      </c>
      <c r="L338">
        <v>0</v>
      </c>
      <c r="M338">
        <v>12000</v>
      </c>
      <c r="N338">
        <v>59000</v>
      </c>
      <c r="O338">
        <v>71000</v>
      </c>
      <c r="P338" t="s">
        <v>63</v>
      </c>
      <c r="Q338" t="s">
        <v>2357</v>
      </c>
      <c r="R338" t="s">
        <v>46</v>
      </c>
      <c r="S338">
        <v>3</v>
      </c>
      <c r="T338" t="s">
        <v>24</v>
      </c>
      <c r="U338" t="s">
        <v>2403</v>
      </c>
      <c r="V338">
        <v>2025</v>
      </c>
      <c r="W338">
        <v>3</v>
      </c>
    </row>
    <row r="339" spans="1:23" x14ac:dyDescent="0.25">
      <c r="A339" t="s">
        <v>1292</v>
      </c>
      <c r="B339">
        <v>45721.824803240743</v>
      </c>
      <c r="C339" t="s">
        <v>1293</v>
      </c>
      <c r="D339" t="s">
        <v>44</v>
      </c>
      <c r="E339" t="s">
        <v>110</v>
      </c>
      <c r="F339" t="s">
        <v>2395</v>
      </c>
      <c r="G339" t="s">
        <v>2379</v>
      </c>
      <c r="H339">
        <v>6000</v>
      </c>
      <c r="I339">
        <v>3</v>
      </c>
      <c r="J339">
        <v>0</v>
      </c>
      <c r="K339">
        <v>18000</v>
      </c>
      <c r="L339">
        <v>0</v>
      </c>
      <c r="M339">
        <v>18000</v>
      </c>
      <c r="N339">
        <v>93000</v>
      </c>
      <c r="O339">
        <v>111000</v>
      </c>
      <c r="P339" t="s">
        <v>35</v>
      </c>
      <c r="Q339" t="s">
        <v>2357</v>
      </c>
      <c r="R339" t="s">
        <v>36</v>
      </c>
      <c r="S339">
        <v>2</v>
      </c>
      <c r="T339" t="s">
        <v>24</v>
      </c>
      <c r="U339" t="s">
        <v>2403</v>
      </c>
      <c r="V339">
        <v>2025</v>
      </c>
      <c r="W339">
        <v>3</v>
      </c>
    </row>
    <row r="340" spans="1:23" x14ac:dyDescent="0.25">
      <c r="A340" t="s">
        <v>1294</v>
      </c>
      <c r="B340">
        <v>45722.83053240741</v>
      </c>
      <c r="C340" t="s">
        <v>87</v>
      </c>
      <c r="D340" t="s">
        <v>80</v>
      </c>
      <c r="E340" t="s">
        <v>38</v>
      </c>
      <c r="F340" t="s">
        <v>2399</v>
      </c>
      <c r="G340" t="s">
        <v>2379</v>
      </c>
      <c r="H340">
        <v>28000</v>
      </c>
      <c r="I340">
        <v>2</v>
      </c>
      <c r="J340">
        <v>5</v>
      </c>
      <c r="K340">
        <v>56000</v>
      </c>
      <c r="L340">
        <v>2800</v>
      </c>
      <c r="M340">
        <v>53200</v>
      </c>
      <c r="N340">
        <v>74000</v>
      </c>
      <c r="O340">
        <v>127200</v>
      </c>
      <c r="P340" t="s">
        <v>22</v>
      </c>
      <c r="Q340" t="s">
        <v>2356</v>
      </c>
      <c r="R340" t="s">
        <v>36</v>
      </c>
      <c r="S340">
        <v>2</v>
      </c>
      <c r="T340" t="s">
        <v>24</v>
      </c>
      <c r="U340" t="s">
        <v>2403</v>
      </c>
      <c r="V340">
        <v>2025</v>
      </c>
      <c r="W340">
        <v>3</v>
      </c>
    </row>
    <row r="341" spans="1:23" x14ac:dyDescent="0.25">
      <c r="A341" t="s">
        <v>1295</v>
      </c>
      <c r="B341">
        <v>45723.094317129631</v>
      </c>
      <c r="C341" t="s">
        <v>192</v>
      </c>
      <c r="D341" t="s">
        <v>107</v>
      </c>
      <c r="E341" t="s">
        <v>88</v>
      </c>
      <c r="F341" t="s">
        <v>2393</v>
      </c>
      <c r="G341" t="s">
        <v>2377</v>
      </c>
      <c r="H341">
        <v>14000</v>
      </c>
      <c r="I341">
        <v>4</v>
      </c>
      <c r="J341">
        <v>10</v>
      </c>
      <c r="K341">
        <v>56000</v>
      </c>
      <c r="L341">
        <v>5600</v>
      </c>
      <c r="M341">
        <v>50400</v>
      </c>
      <c r="N341">
        <v>97000</v>
      </c>
      <c r="O341">
        <v>147400</v>
      </c>
      <c r="P341" t="s">
        <v>35</v>
      </c>
      <c r="Q341" t="s">
        <v>2359</v>
      </c>
      <c r="R341" t="s">
        <v>23</v>
      </c>
      <c r="S341">
        <v>5</v>
      </c>
      <c r="T341" t="s">
        <v>24</v>
      </c>
      <c r="U341" t="s">
        <v>2403</v>
      </c>
      <c r="V341">
        <v>2025</v>
      </c>
      <c r="W341">
        <v>3</v>
      </c>
    </row>
    <row r="342" spans="1:23" x14ac:dyDescent="0.25">
      <c r="A342" t="s">
        <v>1295</v>
      </c>
      <c r="B342">
        <v>45723.094317129631</v>
      </c>
      <c r="C342" t="s">
        <v>192</v>
      </c>
      <c r="D342" t="s">
        <v>107</v>
      </c>
      <c r="E342" t="s">
        <v>93</v>
      </c>
      <c r="F342" t="s">
        <v>2399</v>
      </c>
      <c r="G342" t="s">
        <v>2378</v>
      </c>
      <c r="H342">
        <v>25000</v>
      </c>
      <c r="I342">
        <v>5</v>
      </c>
      <c r="J342">
        <v>0</v>
      </c>
      <c r="K342">
        <v>125000</v>
      </c>
      <c r="L342">
        <v>0</v>
      </c>
      <c r="M342">
        <v>125000</v>
      </c>
      <c r="N342">
        <v>0</v>
      </c>
      <c r="O342">
        <v>125000</v>
      </c>
      <c r="P342" t="s">
        <v>35</v>
      </c>
      <c r="Q342" t="s">
        <v>2359</v>
      </c>
      <c r="R342" t="s">
        <v>23</v>
      </c>
      <c r="S342">
        <v>5</v>
      </c>
      <c r="T342" t="s">
        <v>24</v>
      </c>
      <c r="U342" t="s">
        <v>2403</v>
      </c>
      <c r="V342">
        <v>2025</v>
      </c>
      <c r="W342">
        <v>3</v>
      </c>
    </row>
    <row r="343" spans="1:23" x14ac:dyDescent="0.25">
      <c r="A343" t="s">
        <v>1296</v>
      </c>
      <c r="B343">
        <v>45723.156400462962</v>
      </c>
      <c r="C343" t="s">
        <v>502</v>
      </c>
      <c r="D343" t="s">
        <v>107</v>
      </c>
      <c r="E343" t="s">
        <v>85</v>
      </c>
      <c r="F343" t="s">
        <v>2394</v>
      </c>
      <c r="G343" t="s">
        <v>2377</v>
      </c>
      <c r="H343">
        <v>35000</v>
      </c>
      <c r="I343">
        <v>3</v>
      </c>
      <c r="J343">
        <v>15</v>
      </c>
      <c r="K343">
        <v>105000</v>
      </c>
      <c r="L343">
        <v>15750</v>
      </c>
      <c r="M343">
        <v>89250</v>
      </c>
      <c r="N343">
        <v>97000</v>
      </c>
      <c r="O343">
        <v>186250</v>
      </c>
      <c r="P343" t="s">
        <v>29</v>
      </c>
      <c r="Q343" t="s">
        <v>2357</v>
      </c>
      <c r="R343" t="s">
        <v>23</v>
      </c>
      <c r="S343">
        <v>2</v>
      </c>
      <c r="T343" t="s">
        <v>24</v>
      </c>
      <c r="U343" t="s">
        <v>2403</v>
      </c>
      <c r="V343">
        <v>2025</v>
      </c>
      <c r="W343">
        <v>3</v>
      </c>
    </row>
    <row r="344" spans="1:23" x14ac:dyDescent="0.25">
      <c r="A344" t="s">
        <v>1297</v>
      </c>
      <c r="B344">
        <v>45723.228993055563</v>
      </c>
      <c r="C344" t="s">
        <v>192</v>
      </c>
      <c r="D344" t="s">
        <v>107</v>
      </c>
      <c r="E344" t="s">
        <v>81</v>
      </c>
      <c r="F344" t="s">
        <v>2397</v>
      </c>
      <c r="G344" t="s">
        <v>2378</v>
      </c>
      <c r="H344">
        <v>17000</v>
      </c>
      <c r="I344">
        <v>2</v>
      </c>
      <c r="J344">
        <v>10</v>
      </c>
      <c r="K344">
        <v>34000</v>
      </c>
      <c r="L344">
        <v>3400</v>
      </c>
      <c r="M344">
        <v>30600</v>
      </c>
      <c r="N344">
        <v>97000</v>
      </c>
      <c r="O344">
        <v>127600</v>
      </c>
      <c r="P344" t="s">
        <v>22</v>
      </c>
      <c r="Q344" t="s">
        <v>2356</v>
      </c>
      <c r="R344" t="s">
        <v>23</v>
      </c>
      <c r="S344">
        <v>2</v>
      </c>
      <c r="T344" t="s">
        <v>24</v>
      </c>
      <c r="U344" t="s">
        <v>2403</v>
      </c>
      <c r="V344">
        <v>2025</v>
      </c>
      <c r="W344">
        <v>3</v>
      </c>
    </row>
    <row r="345" spans="1:23" x14ac:dyDescent="0.25">
      <c r="A345" t="s">
        <v>1297</v>
      </c>
      <c r="B345">
        <v>45723.228993055563</v>
      </c>
      <c r="C345" t="s">
        <v>192</v>
      </c>
      <c r="D345" t="s">
        <v>107</v>
      </c>
      <c r="E345" t="s">
        <v>41</v>
      </c>
      <c r="F345" t="s">
        <v>2395</v>
      </c>
      <c r="G345" t="s">
        <v>2377</v>
      </c>
      <c r="H345">
        <v>4000</v>
      </c>
      <c r="I345">
        <v>4</v>
      </c>
      <c r="J345">
        <v>0</v>
      </c>
      <c r="K345">
        <v>16000</v>
      </c>
      <c r="L345">
        <v>0</v>
      </c>
      <c r="M345">
        <v>16000</v>
      </c>
      <c r="N345">
        <v>0</v>
      </c>
      <c r="O345">
        <v>16000</v>
      </c>
      <c r="P345" t="s">
        <v>22</v>
      </c>
      <c r="Q345" t="s">
        <v>2356</v>
      </c>
      <c r="R345" t="s">
        <v>23</v>
      </c>
      <c r="S345">
        <v>2</v>
      </c>
      <c r="T345" t="s">
        <v>24</v>
      </c>
      <c r="U345" t="s">
        <v>2403</v>
      </c>
      <c r="V345">
        <v>2025</v>
      </c>
      <c r="W345">
        <v>3</v>
      </c>
    </row>
    <row r="346" spans="1:23" x14ac:dyDescent="0.25">
      <c r="A346" t="s">
        <v>1298</v>
      </c>
      <c r="B346">
        <v>45723.521898148138</v>
      </c>
      <c r="C346" t="s">
        <v>638</v>
      </c>
      <c r="D346" t="s">
        <v>195</v>
      </c>
      <c r="E346" t="s">
        <v>104</v>
      </c>
      <c r="F346" t="s">
        <v>2392</v>
      </c>
      <c r="G346" t="s">
        <v>2377</v>
      </c>
      <c r="H346">
        <v>30000</v>
      </c>
      <c r="I346">
        <v>3</v>
      </c>
      <c r="J346">
        <v>5</v>
      </c>
      <c r="K346">
        <v>90000</v>
      </c>
      <c r="L346">
        <v>4500</v>
      </c>
      <c r="M346">
        <v>85500</v>
      </c>
      <c r="N346">
        <v>87000</v>
      </c>
      <c r="O346">
        <v>172500</v>
      </c>
      <c r="P346" t="s">
        <v>22</v>
      </c>
      <c r="Q346" t="s">
        <v>2359</v>
      </c>
      <c r="R346" t="s">
        <v>82</v>
      </c>
      <c r="S346">
        <v>3</v>
      </c>
      <c r="T346" t="s">
        <v>37</v>
      </c>
      <c r="U346" t="s">
        <v>2403</v>
      </c>
      <c r="V346">
        <v>2025</v>
      </c>
      <c r="W346">
        <v>3</v>
      </c>
    </row>
    <row r="347" spans="1:23" x14ac:dyDescent="0.25">
      <c r="A347" t="s">
        <v>1299</v>
      </c>
      <c r="B347">
        <v>45723.540567129632</v>
      </c>
      <c r="C347" t="s">
        <v>1300</v>
      </c>
      <c r="D347" t="s">
        <v>262</v>
      </c>
      <c r="E347" t="s">
        <v>123</v>
      </c>
      <c r="F347" t="s">
        <v>2399</v>
      </c>
      <c r="G347" t="s">
        <v>2377</v>
      </c>
      <c r="H347">
        <v>22000</v>
      </c>
      <c r="I347">
        <v>3</v>
      </c>
      <c r="J347">
        <v>0</v>
      </c>
      <c r="K347">
        <v>66000</v>
      </c>
      <c r="L347">
        <v>0</v>
      </c>
      <c r="M347">
        <v>66000</v>
      </c>
      <c r="N347">
        <v>18000</v>
      </c>
      <c r="O347">
        <v>84000</v>
      </c>
      <c r="P347" t="s">
        <v>63</v>
      </c>
      <c r="Q347" t="s">
        <v>2357</v>
      </c>
      <c r="R347" t="s">
        <v>30</v>
      </c>
      <c r="S347">
        <v>3</v>
      </c>
      <c r="T347" t="s">
        <v>24</v>
      </c>
      <c r="U347" t="s">
        <v>2403</v>
      </c>
      <c r="V347">
        <v>2025</v>
      </c>
      <c r="W347">
        <v>3</v>
      </c>
    </row>
    <row r="348" spans="1:23" x14ac:dyDescent="0.25">
      <c r="A348" t="s">
        <v>1301</v>
      </c>
      <c r="B348">
        <v>45723.839074074072</v>
      </c>
      <c r="C348" t="s">
        <v>157</v>
      </c>
      <c r="D348" t="s">
        <v>20</v>
      </c>
      <c r="E348" t="s">
        <v>67</v>
      </c>
      <c r="F348" t="s">
        <v>2393</v>
      </c>
      <c r="G348" t="s">
        <v>2378</v>
      </c>
      <c r="H348">
        <v>15000</v>
      </c>
      <c r="I348">
        <v>4</v>
      </c>
      <c r="J348">
        <v>10</v>
      </c>
      <c r="K348">
        <v>60000</v>
      </c>
      <c r="L348">
        <v>6000</v>
      </c>
      <c r="M348">
        <v>54000</v>
      </c>
      <c r="N348">
        <v>15000</v>
      </c>
      <c r="O348">
        <v>69000</v>
      </c>
      <c r="P348" t="s">
        <v>22</v>
      </c>
      <c r="Q348" t="s">
        <v>2357</v>
      </c>
      <c r="R348" t="s">
        <v>82</v>
      </c>
      <c r="S348">
        <v>1</v>
      </c>
      <c r="T348" t="s">
        <v>24</v>
      </c>
      <c r="U348" t="s">
        <v>2403</v>
      </c>
      <c r="V348">
        <v>2025</v>
      </c>
      <c r="W348">
        <v>3</v>
      </c>
    </row>
    <row r="349" spans="1:23" x14ac:dyDescent="0.25">
      <c r="A349" t="s">
        <v>1302</v>
      </c>
      <c r="B349">
        <v>45724.429675925923</v>
      </c>
      <c r="C349" t="s">
        <v>165</v>
      </c>
      <c r="D349" t="s">
        <v>143</v>
      </c>
      <c r="E349" t="s">
        <v>62</v>
      </c>
      <c r="F349" t="s">
        <v>2398</v>
      </c>
      <c r="G349" t="s">
        <v>2378</v>
      </c>
      <c r="H349">
        <v>50000</v>
      </c>
      <c r="I349">
        <v>3</v>
      </c>
      <c r="J349">
        <v>15</v>
      </c>
      <c r="K349">
        <v>150000</v>
      </c>
      <c r="L349">
        <v>22500</v>
      </c>
      <c r="M349">
        <v>127500</v>
      </c>
      <c r="N349">
        <v>50000</v>
      </c>
      <c r="O349">
        <v>177500</v>
      </c>
      <c r="P349" t="s">
        <v>22</v>
      </c>
      <c r="Q349" t="s">
        <v>2357</v>
      </c>
      <c r="R349" t="s">
        <v>36</v>
      </c>
      <c r="S349">
        <v>1</v>
      </c>
      <c r="T349" t="s">
        <v>24</v>
      </c>
      <c r="U349" t="s">
        <v>2403</v>
      </c>
      <c r="V349">
        <v>2025</v>
      </c>
      <c r="W349">
        <v>3</v>
      </c>
    </row>
    <row r="350" spans="1:23" x14ac:dyDescent="0.25">
      <c r="A350" t="s">
        <v>1303</v>
      </c>
      <c r="B350">
        <v>45724.549745370372</v>
      </c>
      <c r="C350" t="s">
        <v>192</v>
      </c>
      <c r="D350" t="s">
        <v>107</v>
      </c>
      <c r="E350" t="s">
        <v>67</v>
      </c>
      <c r="F350" t="s">
        <v>2393</v>
      </c>
      <c r="G350" t="s">
        <v>2378</v>
      </c>
      <c r="H350">
        <v>15000</v>
      </c>
      <c r="I350">
        <v>1</v>
      </c>
      <c r="J350">
        <v>5</v>
      </c>
      <c r="K350">
        <v>15000</v>
      </c>
      <c r="L350">
        <v>750</v>
      </c>
      <c r="M350">
        <v>14250</v>
      </c>
      <c r="N350">
        <v>97000</v>
      </c>
      <c r="O350">
        <v>111250</v>
      </c>
      <c r="P350" t="s">
        <v>22</v>
      </c>
      <c r="Q350" t="s">
        <v>2357</v>
      </c>
      <c r="R350" t="s">
        <v>82</v>
      </c>
      <c r="S350">
        <v>5</v>
      </c>
      <c r="T350" t="s">
        <v>24</v>
      </c>
      <c r="U350" t="s">
        <v>2403</v>
      </c>
      <c r="V350">
        <v>2025</v>
      </c>
      <c r="W350">
        <v>3</v>
      </c>
    </row>
    <row r="351" spans="1:23" x14ac:dyDescent="0.25">
      <c r="A351" t="s">
        <v>1304</v>
      </c>
      <c r="B351">
        <v>45724.994201388887</v>
      </c>
      <c r="C351" t="s">
        <v>197</v>
      </c>
      <c r="D351" t="s">
        <v>119</v>
      </c>
      <c r="E351" t="s">
        <v>123</v>
      </c>
      <c r="F351" t="s">
        <v>2399</v>
      </c>
      <c r="G351" t="s">
        <v>2377</v>
      </c>
      <c r="H351">
        <v>22000</v>
      </c>
      <c r="I351">
        <v>4</v>
      </c>
      <c r="J351">
        <v>5</v>
      </c>
      <c r="K351">
        <v>88000</v>
      </c>
      <c r="L351">
        <v>4400</v>
      </c>
      <c r="M351">
        <v>83600</v>
      </c>
      <c r="N351">
        <v>0</v>
      </c>
      <c r="O351">
        <v>83600</v>
      </c>
      <c r="P351" t="s">
        <v>22</v>
      </c>
      <c r="Q351" t="s">
        <v>2357</v>
      </c>
      <c r="R351" t="s">
        <v>23</v>
      </c>
      <c r="S351">
        <v>2</v>
      </c>
      <c r="T351" t="s">
        <v>37</v>
      </c>
      <c r="U351" t="s">
        <v>2403</v>
      </c>
      <c r="V351">
        <v>2025</v>
      </c>
      <c r="W351">
        <v>3</v>
      </c>
    </row>
    <row r="352" spans="1:23" x14ac:dyDescent="0.25">
      <c r="A352" t="s">
        <v>1305</v>
      </c>
      <c r="B352">
        <v>45725.128101851849</v>
      </c>
      <c r="C352" t="s">
        <v>642</v>
      </c>
      <c r="D352" t="s">
        <v>160</v>
      </c>
      <c r="E352" t="s">
        <v>34</v>
      </c>
      <c r="F352" t="s">
        <v>2397</v>
      </c>
      <c r="G352" t="s">
        <v>2377</v>
      </c>
      <c r="H352">
        <v>16000</v>
      </c>
      <c r="I352">
        <v>3</v>
      </c>
      <c r="J352">
        <v>20</v>
      </c>
      <c r="K352">
        <v>48000</v>
      </c>
      <c r="L352">
        <v>9600</v>
      </c>
      <c r="M352">
        <v>38400</v>
      </c>
      <c r="N352">
        <v>68000</v>
      </c>
      <c r="O352">
        <v>106400</v>
      </c>
      <c r="P352" t="s">
        <v>63</v>
      </c>
      <c r="Q352" t="s">
        <v>2357</v>
      </c>
      <c r="R352" t="s">
        <v>30</v>
      </c>
      <c r="S352">
        <v>2</v>
      </c>
      <c r="T352" t="s">
        <v>24</v>
      </c>
      <c r="U352" t="s">
        <v>2403</v>
      </c>
      <c r="V352">
        <v>2025</v>
      </c>
      <c r="W352">
        <v>3</v>
      </c>
    </row>
    <row r="353" spans="1:23" x14ac:dyDescent="0.25">
      <c r="A353" t="s">
        <v>1306</v>
      </c>
      <c r="B353">
        <v>45725.204328703701</v>
      </c>
      <c r="C353" t="s">
        <v>446</v>
      </c>
      <c r="D353" t="s">
        <v>296</v>
      </c>
      <c r="E353" t="s">
        <v>34</v>
      </c>
      <c r="F353" t="s">
        <v>2397</v>
      </c>
      <c r="G353" t="s">
        <v>2377</v>
      </c>
      <c r="H353">
        <v>16000</v>
      </c>
      <c r="I353">
        <v>1</v>
      </c>
      <c r="J353">
        <v>5</v>
      </c>
      <c r="K353">
        <v>16000</v>
      </c>
      <c r="L353">
        <v>800</v>
      </c>
      <c r="M353">
        <v>15200</v>
      </c>
      <c r="N353">
        <v>79000</v>
      </c>
      <c r="O353">
        <v>94200</v>
      </c>
      <c r="P353" t="s">
        <v>22</v>
      </c>
      <c r="Q353" t="s">
        <v>2357</v>
      </c>
      <c r="R353" t="s">
        <v>30</v>
      </c>
      <c r="S353">
        <v>4</v>
      </c>
      <c r="T353" t="s">
        <v>37</v>
      </c>
      <c r="U353" t="s">
        <v>2403</v>
      </c>
      <c r="V353">
        <v>2025</v>
      </c>
      <c r="W353">
        <v>3</v>
      </c>
    </row>
    <row r="354" spans="1:23" x14ac:dyDescent="0.25">
      <c r="A354" t="s">
        <v>1307</v>
      </c>
      <c r="B354">
        <v>45725.31523148148</v>
      </c>
      <c r="C354" t="s">
        <v>499</v>
      </c>
      <c r="D354" t="s">
        <v>131</v>
      </c>
      <c r="E354" t="s">
        <v>38</v>
      </c>
      <c r="F354" t="s">
        <v>2399</v>
      </c>
      <c r="G354" t="s">
        <v>2379</v>
      </c>
      <c r="H354">
        <v>28000</v>
      </c>
      <c r="I354">
        <v>5</v>
      </c>
      <c r="J354">
        <v>5</v>
      </c>
      <c r="K354">
        <v>140000</v>
      </c>
      <c r="L354">
        <v>7000</v>
      </c>
      <c r="M354">
        <v>133000</v>
      </c>
      <c r="N354">
        <v>59000</v>
      </c>
      <c r="O354">
        <v>192000</v>
      </c>
      <c r="P354" t="s">
        <v>22</v>
      </c>
      <c r="Q354" t="s">
        <v>2357</v>
      </c>
      <c r="R354" t="s">
        <v>82</v>
      </c>
      <c r="S354">
        <v>2</v>
      </c>
      <c r="T354" t="s">
        <v>24</v>
      </c>
      <c r="U354" t="s">
        <v>2403</v>
      </c>
      <c r="V354">
        <v>2025</v>
      </c>
      <c r="W354">
        <v>3</v>
      </c>
    </row>
    <row r="355" spans="1:23" x14ac:dyDescent="0.25">
      <c r="A355" t="s">
        <v>1308</v>
      </c>
      <c r="B355">
        <v>45725.410868055558</v>
      </c>
      <c r="C355" t="s">
        <v>846</v>
      </c>
      <c r="D355" t="s">
        <v>107</v>
      </c>
      <c r="E355" t="s">
        <v>138</v>
      </c>
      <c r="F355" t="s">
        <v>2396</v>
      </c>
      <c r="G355" t="s">
        <v>2378</v>
      </c>
      <c r="H355">
        <v>17000</v>
      </c>
      <c r="I355">
        <v>1</v>
      </c>
      <c r="J355">
        <v>20</v>
      </c>
      <c r="K355">
        <v>17000</v>
      </c>
      <c r="L355">
        <v>3400</v>
      </c>
      <c r="M355">
        <v>13600</v>
      </c>
      <c r="N355">
        <v>97000</v>
      </c>
      <c r="O355">
        <v>110600</v>
      </c>
      <c r="P355" t="s">
        <v>29</v>
      </c>
      <c r="Q355" t="s">
        <v>2357</v>
      </c>
      <c r="R355" t="s">
        <v>46</v>
      </c>
      <c r="S355">
        <v>2</v>
      </c>
      <c r="T355" t="s">
        <v>24</v>
      </c>
      <c r="U355" t="s">
        <v>2403</v>
      </c>
      <c r="V355">
        <v>2025</v>
      </c>
      <c r="W355">
        <v>3</v>
      </c>
    </row>
    <row r="356" spans="1:23" x14ac:dyDescent="0.25">
      <c r="A356" t="s">
        <v>1309</v>
      </c>
      <c r="B356">
        <v>45725.501157407409</v>
      </c>
      <c r="C356" t="s">
        <v>19</v>
      </c>
      <c r="D356" t="s">
        <v>20</v>
      </c>
      <c r="E356" t="s">
        <v>21</v>
      </c>
      <c r="F356" t="s">
        <v>2394</v>
      </c>
      <c r="G356" t="s">
        <v>2379</v>
      </c>
      <c r="H356">
        <v>45000</v>
      </c>
      <c r="I356">
        <v>2</v>
      </c>
      <c r="J356">
        <v>20</v>
      </c>
      <c r="K356">
        <v>90000</v>
      </c>
      <c r="L356">
        <v>18000</v>
      </c>
      <c r="M356">
        <v>72000</v>
      </c>
      <c r="N356">
        <v>15000</v>
      </c>
      <c r="O356">
        <v>87000</v>
      </c>
      <c r="P356" t="s">
        <v>63</v>
      </c>
      <c r="Q356" t="s">
        <v>2357</v>
      </c>
      <c r="R356" t="s">
        <v>46</v>
      </c>
      <c r="S356">
        <v>5</v>
      </c>
      <c r="T356" t="s">
        <v>24</v>
      </c>
      <c r="U356" t="s">
        <v>2403</v>
      </c>
      <c r="V356">
        <v>2025</v>
      </c>
      <c r="W356">
        <v>3</v>
      </c>
    </row>
    <row r="357" spans="1:23" x14ac:dyDescent="0.25">
      <c r="A357" t="s">
        <v>1310</v>
      </c>
      <c r="B357">
        <v>45725.740613425929</v>
      </c>
      <c r="C357" t="s">
        <v>1311</v>
      </c>
      <c r="D357" t="s">
        <v>49</v>
      </c>
      <c r="E357" t="s">
        <v>45</v>
      </c>
      <c r="F357" t="s">
        <v>2394</v>
      </c>
      <c r="G357" t="s">
        <v>2378</v>
      </c>
      <c r="H357">
        <v>40000</v>
      </c>
      <c r="I357">
        <v>4</v>
      </c>
      <c r="J357">
        <v>10</v>
      </c>
      <c r="K357">
        <v>160000</v>
      </c>
      <c r="L357">
        <v>16000</v>
      </c>
      <c r="M357">
        <v>144000</v>
      </c>
      <c r="N357">
        <v>43000</v>
      </c>
      <c r="O357">
        <v>187000</v>
      </c>
      <c r="P357" t="s">
        <v>35</v>
      </c>
      <c r="Q357" t="s">
        <v>2357</v>
      </c>
      <c r="R357" t="s">
        <v>30</v>
      </c>
      <c r="S357">
        <v>2</v>
      </c>
      <c r="T357" t="s">
        <v>24</v>
      </c>
      <c r="U357" t="s">
        <v>2403</v>
      </c>
      <c r="V357">
        <v>2025</v>
      </c>
      <c r="W357">
        <v>3</v>
      </c>
    </row>
    <row r="358" spans="1:23" x14ac:dyDescent="0.25">
      <c r="A358" t="s">
        <v>1312</v>
      </c>
      <c r="B358">
        <v>45725.995694444442</v>
      </c>
      <c r="C358" t="s">
        <v>1313</v>
      </c>
      <c r="D358" t="s">
        <v>103</v>
      </c>
      <c r="E358" t="s">
        <v>186</v>
      </c>
      <c r="F358" t="s">
        <v>2398</v>
      </c>
      <c r="G358" t="s">
        <v>2377</v>
      </c>
      <c r="H358">
        <v>45000</v>
      </c>
      <c r="I358">
        <v>5</v>
      </c>
      <c r="J358">
        <v>5</v>
      </c>
      <c r="K358">
        <v>225000</v>
      </c>
      <c r="L358">
        <v>11250</v>
      </c>
      <c r="M358">
        <v>213750</v>
      </c>
      <c r="N358">
        <v>85000</v>
      </c>
      <c r="O358">
        <v>298750</v>
      </c>
      <c r="P358" t="s">
        <v>35</v>
      </c>
      <c r="Q358" t="s">
        <v>2356</v>
      </c>
      <c r="R358" t="s">
        <v>23</v>
      </c>
      <c r="S358">
        <v>2</v>
      </c>
      <c r="T358" t="s">
        <v>24</v>
      </c>
      <c r="U358" t="s">
        <v>2403</v>
      </c>
      <c r="V358">
        <v>2025</v>
      </c>
      <c r="W358">
        <v>3</v>
      </c>
    </row>
    <row r="359" spans="1:23" x14ac:dyDescent="0.25">
      <c r="A359" t="s">
        <v>1314</v>
      </c>
      <c r="B359">
        <v>45726.032893518517</v>
      </c>
      <c r="C359" t="s">
        <v>1035</v>
      </c>
      <c r="D359" t="s">
        <v>66</v>
      </c>
      <c r="E359" t="s">
        <v>21</v>
      </c>
      <c r="F359" t="s">
        <v>2394</v>
      </c>
      <c r="G359" t="s">
        <v>2379</v>
      </c>
      <c r="H359">
        <v>45000</v>
      </c>
      <c r="I359">
        <v>4</v>
      </c>
      <c r="J359">
        <v>15</v>
      </c>
      <c r="K359">
        <v>180000</v>
      </c>
      <c r="L359">
        <v>27000</v>
      </c>
      <c r="M359">
        <v>153000</v>
      </c>
      <c r="N359">
        <v>59000</v>
      </c>
      <c r="O359">
        <v>212000</v>
      </c>
      <c r="P359" t="s">
        <v>29</v>
      </c>
      <c r="Q359" t="s">
        <v>2357</v>
      </c>
      <c r="R359" t="s">
        <v>23</v>
      </c>
      <c r="S359">
        <v>1</v>
      </c>
      <c r="T359" t="s">
        <v>24</v>
      </c>
      <c r="U359" t="s">
        <v>2403</v>
      </c>
      <c r="V359">
        <v>2025</v>
      </c>
      <c r="W359">
        <v>3</v>
      </c>
    </row>
    <row r="360" spans="1:23" x14ac:dyDescent="0.25">
      <c r="A360" t="s">
        <v>1315</v>
      </c>
      <c r="B360">
        <v>45726.272233796299</v>
      </c>
      <c r="C360" t="s">
        <v>237</v>
      </c>
      <c r="D360" t="s">
        <v>238</v>
      </c>
      <c r="E360" t="s">
        <v>58</v>
      </c>
      <c r="F360" t="s">
        <v>2396</v>
      </c>
      <c r="G360" t="s">
        <v>2377</v>
      </c>
      <c r="H360">
        <v>16000</v>
      </c>
      <c r="I360">
        <v>3</v>
      </c>
      <c r="J360">
        <v>10</v>
      </c>
      <c r="K360">
        <v>48000</v>
      </c>
      <c r="L360">
        <v>4800</v>
      </c>
      <c r="M360">
        <v>43200</v>
      </c>
      <c r="N360">
        <v>28000</v>
      </c>
      <c r="O360">
        <v>71200</v>
      </c>
      <c r="P360" t="s">
        <v>29</v>
      </c>
      <c r="Q360" t="s">
        <v>2357</v>
      </c>
      <c r="R360" t="s">
        <v>30</v>
      </c>
      <c r="S360">
        <v>4</v>
      </c>
      <c r="T360" t="s">
        <v>24</v>
      </c>
      <c r="U360" t="s">
        <v>2403</v>
      </c>
      <c r="V360">
        <v>2025</v>
      </c>
      <c r="W360">
        <v>3</v>
      </c>
    </row>
    <row r="361" spans="1:23" x14ac:dyDescent="0.25">
      <c r="A361" t="s">
        <v>1316</v>
      </c>
      <c r="B361">
        <v>45726.737812500003</v>
      </c>
      <c r="C361" t="s">
        <v>1317</v>
      </c>
      <c r="D361" t="s">
        <v>113</v>
      </c>
      <c r="E361" t="s">
        <v>62</v>
      </c>
      <c r="F361" t="s">
        <v>2398</v>
      </c>
      <c r="G361" t="s">
        <v>2378</v>
      </c>
      <c r="H361">
        <v>50000</v>
      </c>
      <c r="I361">
        <v>3</v>
      </c>
      <c r="J361">
        <v>15</v>
      </c>
      <c r="K361">
        <v>150000</v>
      </c>
      <c r="L361">
        <v>22500</v>
      </c>
      <c r="M361">
        <v>127500</v>
      </c>
      <c r="N361">
        <v>18000</v>
      </c>
      <c r="O361">
        <v>145500</v>
      </c>
      <c r="P361" t="s">
        <v>35</v>
      </c>
      <c r="Q361" t="s">
        <v>2356</v>
      </c>
      <c r="R361" t="s">
        <v>82</v>
      </c>
      <c r="S361">
        <v>2</v>
      </c>
      <c r="T361" t="s">
        <v>37</v>
      </c>
      <c r="U361" t="s">
        <v>2403</v>
      </c>
      <c r="V361">
        <v>2025</v>
      </c>
      <c r="W361">
        <v>3</v>
      </c>
    </row>
    <row r="362" spans="1:23" x14ac:dyDescent="0.25">
      <c r="A362" t="s">
        <v>1318</v>
      </c>
      <c r="B362">
        <v>45726.9840625</v>
      </c>
      <c r="C362" t="s">
        <v>359</v>
      </c>
      <c r="D362" t="s">
        <v>70</v>
      </c>
      <c r="E362" t="s">
        <v>110</v>
      </c>
      <c r="F362" t="s">
        <v>2395</v>
      </c>
      <c r="G362" t="s">
        <v>2379</v>
      </c>
      <c r="H362">
        <v>6000</v>
      </c>
      <c r="I362">
        <v>4</v>
      </c>
      <c r="J362">
        <v>0</v>
      </c>
      <c r="K362">
        <v>24000</v>
      </c>
      <c r="L362">
        <v>0</v>
      </c>
      <c r="M362">
        <v>24000</v>
      </c>
      <c r="N362">
        <v>89000</v>
      </c>
      <c r="O362">
        <v>113000</v>
      </c>
      <c r="P362" t="s">
        <v>35</v>
      </c>
      <c r="Q362" t="s">
        <v>2357</v>
      </c>
      <c r="R362" t="s">
        <v>30</v>
      </c>
      <c r="S362">
        <v>1</v>
      </c>
      <c r="T362" t="s">
        <v>24</v>
      </c>
      <c r="U362" t="s">
        <v>2403</v>
      </c>
      <c r="V362">
        <v>2025</v>
      </c>
      <c r="W362">
        <v>3</v>
      </c>
    </row>
    <row r="363" spans="1:23" x14ac:dyDescent="0.25">
      <c r="A363" t="s">
        <v>1319</v>
      </c>
      <c r="B363">
        <v>45727.215324074074</v>
      </c>
      <c r="C363" t="s">
        <v>959</v>
      </c>
      <c r="D363" t="s">
        <v>182</v>
      </c>
      <c r="E363" t="s">
        <v>54</v>
      </c>
      <c r="F363" t="s">
        <v>2393</v>
      </c>
      <c r="G363" t="s">
        <v>2379</v>
      </c>
      <c r="H363">
        <v>16000</v>
      </c>
      <c r="I363">
        <v>5</v>
      </c>
      <c r="J363">
        <v>20</v>
      </c>
      <c r="K363">
        <v>80000</v>
      </c>
      <c r="L363">
        <v>16000</v>
      </c>
      <c r="M363">
        <v>64000</v>
      </c>
      <c r="N363">
        <v>48000</v>
      </c>
      <c r="O363">
        <v>112000</v>
      </c>
      <c r="P363" t="s">
        <v>29</v>
      </c>
      <c r="Q363" t="s">
        <v>2357</v>
      </c>
      <c r="R363" t="s">
        <v>82</v>
      </c>
      <c r="S363">
        <v>1</v>
      </c>
      <c r="T363" t="s">
        <v>24</v>
      </c>
      <c r="U363" t="s">
        <v>2403</v>
      </c>
      <c r="V363">
        <v>2025</v>
      </c>
      <c r="W363">
        <v>3</v>
      </c>
    </row>
    <row r="364" spans="1:23" x14ac:dyDescent="0.25">
      <c r="A364" t="s">
        <v>1319</v>
      </c>
      <c r="B364">
        <v>45727.215324074074</v>
      </c>
      <c r="C364" t="s">
        <v>959</v>
      </c>
      <c r="D364" t="s">
        <v>182</v>
      </c>
      <c r="E364" t="s">
        <v>50</v>
      </c>
      <c r="F364" t="s">
        <v>2400</v>
      </c>
      <c r="G364" t="s">
        <v>2379</v>
      </c>
      <c r="H364">
        <v>14000</v>
      </c>
      <c r="I364">
        <v>3</v>
      </c>
      <c r="J364">
        <v>20</v>
      </c>
      <c r="K364">
        <v>42000</v>
      </c>
      <c r="L364">
        <v>8400</v>
      </c>
      <c r="M364">
        <v>33600</v>
      </c>
      <c r="N364">
        <v>0</v>
      </c>
      <c r="O364">
        <v>33600</v>
      </c>
      <c r="P364" t="s">
        <v>29</v>
      </c>
      <c r="Q364" t="s">
        <v>2357</v>
      </c>
      <c r="R364" t="s">
        <v>82</v>
      </c>
      <c r="S364">
        <v>1</v>
      </c>
      <c r="T364" t="s">
        <v>24</v>
      </c>
      <c r="U364" t="s">
        <v>2403</v>
      </c>
      <c r="V364">
        <v>2025</v>
      </c>
      <c r="W364">
        <v>3</v>
      </c>
    </row>
    <row r="365" spans="1:23" x14ac:dyDescent="0.25">
      <c r="A365" t="s">
        <v>1320</v>
      </c>
      <c r="B365">
        <v>45727.299363425933</v>
      </c>
      <c r="C365" t="s">
        <v>1321</v>
      </c>
      <c r="D365" t="s">
        <v>113</v>
      </c>
      <c r="E365" t="s">
        <v>186</v>
      </c>
      <c r="F365" t="s">
        <v>2398</v>
      </c>
      <c r="G365" t="s">
        <v>2377</v>
      </c>
      <c r="H365">
        <v>45000</v>
      </c>
      <c r="I365">
        <v>5</v>
      </c>
      <c r="J365">
        <v>5</v>
      </c>
      <c r="K365">
        <v>225000</v>
      </c>
      <c r="L365">
        <v>11250</v>
      </c>
      <c r="M365">
        <v>213750</v>
      </c>
      <c r="N365">
        <v>18000</v>
      </c>
      <c r="O365">
        <v>231750</v>
      </c>
      <c r="P365" t="s">
        <v>63</v>
      </c>
      <c r="Q365" t="s">
        <v>2357</v>
      </c>
      <c r="R365" t="s">
        <v>46</v>
      </c>
      <c r="S365">
        <v>4</v>
      </c>
      <c r="T365" t="s">
        <v>24</v>
      </c>
      <c r="U365" t="s">
        <v>2403</v>
      </c>
      <c r="V365">
        <v>2025</v>
      </c>
      <c r="W365">
        <v>3</v>
      </c>
    </row>
    <row r="366" spans="1:23" x14ac:dyDescent="0.25">
      <c r="A366" t="s">
        <v>1322</v>
      </c>
      <c r="B366">
        <v>45727.602858796286</v>
      </c>
      <c r="C366" t="s">
        <v>1323</v>
      </c>
      <c r="D366" t="s">
        <v>74</v>
      </c>
      <c r="E366" t="s">
        <v>174</v>
      </c>
      <c r="F366" t="s">
        <v>2400</v>
      </c>
      <c r="G366" t="s">
        <v>2377</v>
      </c>
      <c r="H366">
        <v>10000</v>
      </c>
      <c r="I366">
        <v>5</v>
      </c>
      <c r="J366">
        <v>20</v>
      </c>
      <c r="K366">
        <v>50000</v>
      </c>
      <c r="L366">
        <v>10000</v>
      </c>
      <c r="M366">
        <v>40000</v>
      </c>
      <c r="N366">
        <v>87000</v>
      </c>
      <c r="O366">
        <v>127000</v>
      </c>
      <c r="P366" t="s">
        <v>35</v>
      </c>
      <c r="Q366" t="s">
        <v>2357</v>
      </c>
      <c r="R366" t="s">
        <v>23</v>
      </c>
      <c r="S366">
        <v>5</v>
      </c>
      <c r="T366" t="s">
        <v>24</v>
      </c>
      <c r="U366" t="s">
        <v>2403</v>
      </c>
      <c r="V366">
        <v>2025</v>
      </c>
      <c r="W366">
        <v>3</v>
      </c>
    </row>
    <row r="367" spans="1:23" x14ac:dyDescent="0.25">
      <c r="A367" t="s">
        <v>1324</v>
      </c>
      <c r="B367">
        <v>45727.7344212963</v>
      </c>
      <c r="C367" t="s">
        <v>150</v>
      </c>
      <c r="D367" t="s">
        <v>151</v>
      </c>
      <c r="E367" t="s">
        <v>138</v>
      </c>
      <c r="F367" t="s">
        <v>2396</v>
      </c>
      <c r="G367" t="s">
        <v>2378</v>
      </c>
      <c r="H367">
        <v>17000</v>
      </c>
      <c r="I367">
        <v>3</v>
      </c>
      <c r="J367">
        <v>20</v>
      </c>
      <c r="K367">
        <v>51000</v>
      </c>
      <c r="L367">
        <v>10200</v>
      </c>
      <c r="M367">
        <v>40800</v>
      </c>
      <c r="N367">
        <v>55000</v>
      </c>
      <c r="O367">
        <v>95800</v>
      </c>
      <c r="P367" t="s">
        <v>22</v>
      </c>
      <c r="Q367" t="s">
        <v>2357</v>
      </c>
      <c r="R367" t="s">
        <v>36</v>
      </c>
      <c r="S367">
        <v>2</v>
      </c>
      <c r="T367" t="s">
        <v>37</v>
      </c>
      <c r="U367" t="s">
        <v>2403</v>
      </c>
      <c r="V367">
        <v>2025</v>
      </c>
      <c r="W367">
        <v>3</v>
      </c>
    </row>
    <row r="368" spans="1:23" x14ac:dyDescent="0.25">
      <c r="A368" t="s">
        <v>1325</v>
      </c>
      <c r="B368">
        <v>45728.049456018518</v>
      </c>
      <c r="C368" t="s">
        <v>169</v>
      </c>
      <c r="D368" t="s">
        <v>170</v>
      </c>
      <c r="E368" t="s">
        <v>38</v>
      </c>
      <c r="F368" t="s">
        <v>2399</v>
      </c>
      <c r="G368" t="s">
        <v>2379</v>
      </c>
      <c r="H368">
        <v>28000</v>
      </c>
      <c r="I368">
        <v>2</v>
      </c>
      <c r="J368">
        <v>5</v>
      </c>
      <c r="K368">
        <v>56000</v>
      </c>
      <c r="L368">
        <v>2800</v>
      </c>
      <c r="M368">
        <v>53200</v>
      </c>
      <c r="N368">
        <v>46000</v>
      </c>
      <c r="O368">
        <v>99200</v>
      </c>
      <c r="P368" t="s">
        <v>22</v>
      </c>
      <c r="Q368" t="s">
        <v>2357</v>
      </c>
      <c r="R368" t="s">
        <v>23</v>
      </c>
      <c r="S368">
        <v>5</v>
      </c>
      <c r="T368" t="s">
        <v>24</v>
      </c>
      <c r="U368" t="s">
        <v>2403</v>
      </c>
      <c r="V368">
        <v>2025</v>
      </c>
      <c r="W368">
        <v>3</v>
      </c>
    </row>
    <row r="369" spans="1:23" x14ac:dyDescent="0.25">
      <c r="A369" t="s">
        <v>1326</v>
      </c>
      <c r="B369">
        <v>45728.865740740737</v>
      </c>
      <c r="C369" t="s">
        <v>688</v>
      </c>
      <c r="D369" t="s">
        <v>92</v>
      </c>
      <c r="E369" t="s">
        <v>190</v>
      </c>
      <c r="F369" t="s">
        <v>2392</v>
      </c>
      <c r="G369" t="s">
        <v>2378</v>
      </c>
      <c r="H369">
        <v>35000</v>
      </c>
      <c r="I369">
        <v>3</v>
      </c>
      <c r="J369">
        <v>0</v>
      </c>
      <c r="K369">
        <v>105000</v>
      </c>
      <c r="L369">
        <v>0</v>
      </c>
      <c r="M369">
        <v>105000</v>
      </c>
      <c r="N369">
        <v>30000</v>
      </c>
      <c r="O369">
        <v>135000</v>
      </c>
      <c r="P369" t="s">
        <v>22</v>
      </c>
      <c r="Q369" t="s">
        <v>2357</v>
      </c>
      <c r="R369" t="s">
        <v>23</v>
      </c>
      <c r="S369">
        <v>3</v>
      </c>
      <c r="T369" t="s">
        <v>24</v>
      </c>
      <c r="U369" t="s">
        <v>2403</v>
      </c>
      <c r="V369">
        <v>2025</v>
      </c>
      <c r="W369">
        <v>3</v>
      </c>
    </row>
    <row r="370" spans="1:23" x14ac:dyDescent="0.25">
      <c r="A370" t="s">
        <v>1327</v>
      </c>
      <c r="B370">
        <v>45729.184178240743</v>
      </c>
      <c r="C370" t="s">
        <v>222</v>
      </c>
      <c r="D370" t="s">
        <v>49</v>
      </c>
      <c r="E370" t="s">
        <v>34</v>
      </c>
      <c r="F370" t="s">
        <v>2397</v>
      </c>
      <c r="G370" t="s">
        <v>2377</v>
      </c>
      <c r="H370">
        <v>16000</v>
      </c>
      <c r="I370">
        <v>2</v>
      </c>
      <c r="J370">
        <v>5</v>
      </c>
      <c r="K370">
        <v>32000</v>
      </c>
      <c r="L370">
        <v>1600</v>
      </c>
      <c r="M370">
        <v>30400</v>
      </c>
      <c r="N370">
        <v>43000</v>
      </c>
      <c r="O370">
        <v>73400</v>
      </c>
      <c r="P370" t="s">
        <v>35</v>
      </c>
      <c r="Q370" t="s">
        <v>2357</v>
      </c>
      <c r="R370" t="s">
        <v>23</v>
      </c>
      <c r="S370">
        <v>2</v>
      </c>
      <c r="T370" t="s">
        <v>24</v>
      </c>
      <c r="U370" t="s">
        <v>2403</v>
      </c>
      <c r="V370">
        <v>2025</v>
      </c>
      <c r="W370">
        <v>3</v>
      </c>
    </row>
    <row r="371" spans="1:23" x14ac:dyDescent="0.25">
      <c r="A371" t="s">
        <v>1328</v>
      </c>
      <c r="B371">
        <v>45729.425821759258</v>
      </c>
      <c r="C371" t="s">
        <v>649</v>
      </c>
      <c r="D371" t="s">
        <v>177</v>
      </c>
      <c r="E371" t="s">
        <v>34</v>
      </c>
      <c r="F371" t="s">
        <v>2397</v>
      </c>
      <c r="G371" t="s">
        <v>2377</v>
      </c>
      <c r="H371">
        <v>16000</v>
      </c>
      <c r="I371">
        <v>4</v>
      </c>
      <c r="J371">
        <v>0</v>
      </c>
      <c r="K371">
        <v>64000</v>
      </c>
      <c r="L371">
        <v>0</v>
      </c>
      <c r="M371">
        <v>64000</v>
      </c>
      <c r="N371">
        <v>56000</v>
      </c>
      <c r="O371">
        <v>120000</v>
      </c>
      <c r="P371" t="s">
        <v>63</v>
      </c>
      <c r="Q371" t="s">
        <v>2357</v>
      </c>
      <c r="R371" t="s">
        <v>30</v>
      </c>
      <c r="S371">
        <v>1</v>
      </c>
      <c r="T371" t="s">
        <v>24</v>
      </c>
      <c r="U371" t="s">
        <v>2403</v>
      </c>
      <c r="V371">
        <v>2025</v>
      </c>
      <c r="W371">
        <v>3</v>
      </c>
    </row>
    <row r="372" spans="1:23" x14ac:dyDescent="0.25">
      <c r="A372" t="s">
        <v>1329</v>
      </c>
      <c r="B372">
        <v>45729.67701388889</v>
      </c>
      <c r="C372" t="s">
        <v>1120</v>
      </c>
      <c r="D372" t="s">
        <v>173</v>
      </c>
      <c r="E372" t="s">
        <v>174</v>
      </c>
      <c r="F372" t="s">
        <v>2400</v>
      </c>
      <c r="G372" t="s">
        <v>2377</v>
      </c>
      <c r="H372">
        <v>10000</v>
      </c>
      <c r="I372">
        <v>5</v>
      </c>
      <c r="J372">
        <v>5</v>
      </c>
      <c r="K372">
        <v>50000</v>
      </c>
      <c r="L372">
        <v>2500</v>
      </c>
      <c r="M372">
        <v>47500</v>
      </c>
      <c r="N372">
        <v>49000</v>
      </c>
      <c r="O372">
        <v>96500</v>
      </c>
      <c r="P372" t="s">
        <v>29</v>
      </c>
      <c r="Q372" t="s">
        <v>2357</v>
      </c>
      <c r="R372" t="s">
        <v>46</v>
      </c>
      <c r="S372">
        <v>3</v>
      </c>
      <c r="T372" t="s">
        <v>24</v>
      </c>
      <c r="U372" t="s">
        <v>2403</v>
      </c>
      <c r="V372">
        <v>2025</v>
      </c>
      <c r="W372">
        <v>3</v>
      </c>
    </row>
    <row r="373" spans="1:23" x14ac:dyDescent="0.25">
      <c r="A373" t="s">
        <v>1330</v>
      </c>
      <c r="B373">
        <v>45730.104768518519</v>
      </c>
      <c r="C373" t="s">
        <v>254</v>
      </c>
      <c r="D373" t="s">
        <v>61</v>
      </c>
      <c r="E373" t="s">
        <v>50</v>
      </c>
      <c r="F373" t="s">
        <v>2400</v>
      </c>
      <c r="G373" t="s">
        <v>2379</v>
      </c>
      <c r="H373">
        <v>14000</v>
      </c>
      <c r="I373">
        <v>2</v>
      </c>
      <c r="J373">
        <v>5</v>
      </c>
      <c r="K373">
        <v>28000</v>
      </c>
      <c r="L373">
        <v>1400</v>
      </c>
      <c r="M373">
        <v>26600</v>
      </c>
      <c r="N373">
        <v>26000</v>
      </c>
      <c r="O373">
        <v>52600</v>
      </c>
      <c r="P373" t="s">
        <v>29</v>
      </c>
      <c r="Q373" t="s">
        <v>2359</v>
      </c>
      <c r="R373" t="s">
        <v>23</v>
      </c>
      <c r="S373">
        <v>4</v>
      </c>
      <c r="T373" t="s">
        <v>24</v>
      </c>
      <c r="U373" t="s">
        <v>2403</v>
      </c>
      <c r="V373">
        <v>2025</v>
      </c>
      <c r="W373">
        <v>3</v>
      </c>
    </row>
    <row r="374" spans="1:23" x14ac:dyDescent="0.25">
      <c r="A374" t="s">
        <v>1331</v>
      </c>
      <c r="B374">
        <v>45730.133055555547</v>
      </c>
      <c r="C374" t="s">
        <v>570</v>
      </c>
      <c r="D374" t="s">
        <v>80</v>
      </c>
      <c r="E374" t="s">
        <v>38</v>
      </c>
      <c r="F374" t="s">
        <v>2399</v>
      </c>
      <c r="G374" t="s">
        <v>2379</v>
      </c>
      <c r="H374">
        <v>28000</v>
      </c>
      <c r="I374">
        <v>5</v>
      </c>
      <c r="J374">
        <v>15</v>
      </c>
      <c r="K374">
        <v>140000</v>
      </c>
      <c r="L374">
        <v>21000</v>
      </c>
      <c r="M374">
        <v>119000</v>
      </c>
      <c r="N374">
        <v>74000</v>
      </c>
      <c r="O374">
        <v>193000</v>
      </c>
      <c r="P374" t="s">
        <v>22</v>
      </c>
      <c r="Q374" t="s">
        <v>2357</v>
      </c>
      <c r="R374" t="s">
        <v>82</v>
      </c>
      <c r="S374">
        <v>4</v>
      </c>
      <c r="T374" t="s">
        <v>24</v>
      </c>
      <c r="U374" t="s">
        <v>2403</v>
      </c>
      <c r="V374">
        <v>2025</v>
      </c>
      <c r="W374">
        <v>3</v>
      </c>
    </row>
    <row r="375" spans="1:23" x14ac:dyDescent="0.25">
      <c r="A375" t="s">
        <v>1332</v>
      </c>
      <c r="B375">
        <v>45730.175393518519</v>
      </c>
      <c r="C375" t="s">
        <v>565</v>
      </c>
      <c r="D375" t="s">
        <v>163</v>
      </c>
      <c r="E375" t="s">
        <v>123</v>
      </c>
      <c r="F375" t="s">
        <v>2399</v>
      </c>
      <c r="G375" t="s">
        <v>2377</v>
      </c>
      <c r="H375">
        <v>22000</v>
      </c>
      <c r="I375">
        <v>3</v>
      </c>
      <c r="J375">
        <v>0</v>
      </c>
      <c r="K375">
        <v>66000</v>
      </c>
      <c r="L375">
        <v>0</v>
      </c>
      <c r="M375">
        <v>66000</v>
      </c>
      <c r="N375">
        <v>50000</v>
      </c>
      <c r="O375">
        <v>116000</v>
      </c>
      <c r="P375" t="s">
        <v>63</v>
      </c>
      <c r="Q375" t="s">
        <v>2357</v>
      </c>
      <c r="R375" t="s">
        <v>23</v>
      </c>
      <c r="S375">
        <v>2</v>
      </c>
      <c r="T375" t="s">
        <v>24</v>
      </c>
      <c r="U375" t="s">
        <v>2403</v>
      </c>
      <c r="V375">
        <v>2025</v>
      </c>
      <c r="W375">
        <v>3</v>
      </c>
    </row>
    <row r="376" spans="1:23" x14ac:dyDescent="0.25">
      <c r="A376" t="s">
        <v>1332</v>
      </c>
      <c r="B376">
        <v>45730.175393518519</v>
      </c>
      <c r="C376" t="s">
        <v>565</v>
      </c>
      <c r="D376" t="s">
        <v>163</v>
      </c>
      <c r="E376" t="s">
        <v>104</v>
      </c>
      <c r="F376" t="s">
        <v>2392</v>
      </c>
      <c r="G376" t="s">
        <v>2377</v>
      </c>
      <c r="H376">
        <v>30000</v>
      </c>
      <c r="I376">
        <v>1</v>
      </c>
      <c r="J376">
        <v>0</v>
      </c>
      <c r="K376">
        <v>30000</v>
      </c>
      <c r="L376">
        <v>0</v>
      </c>
      <c r="M376">
        <v>30000</v>
      </c>
      <c r="N376">
        <v>0</v>
      </c>
      <c r="O376">
        <v>30000</v>
      </c>
      <c r="P376" t="s">
        <v>63</v>
      </c>
      <c r="Q376" t="s">
        <v>2357</v>
      </c>
      <c r="R376" t="s">
        <v>23</v>
      </c>
      <c r="S376">
        <v>2</v>
      </c>
      <c r="T376" t="s">
        <v>24</v>
      </c>
      <c r="U376" t="s">
        <v>2403</v>
      </c>
      <c r="V376">
        <v>2025</v>
      </c>
      <c r="W376">
        <v>3</v>
      </c>
    </row>
    <row r="377" spans="1:23" x14ac:dyDescent="0.25">
      <c r="A377" t="s">
        <v>1333</v>
      </c>
      <c r="B377">
        <v>45730.360902777778</v>
      </c>
      <c r="C377" t="s">
        <v>410</v>
      </c>
      <c r="D377" t="s">
        <v>151</v>
      </c>
      <c r="E377" t="s">
        <v>186</v>
      </c>
      <c r="F377" t="s">
        <v>2398</v>
      </c>
      <c r="G377" t="s">
        <v>2377</v>
      </c>
      <c r="H377">
        <v>45000</v>
      </c>
      <c r="I377">
        <v>3</v>
      </c>
      <c r="J377">
        <v>0</v>
      </c>
      <c r="K377">
        <v>135000</v>
      </c>
      <c r="L377">
        <v>0</v>
      </c>
      <c r="M377">
        <v>135000</v>
      </c>
      <c r="N377">
        <v>55000</v>
      </c>
      <c r="O377">
        <v>190000</v>
      </c>
      <c r="P377" t="s">
        <v>29</v>
      </c>
      <c r="Q377" t="s">
        <v>2357</v>
      </c>
      <c r="R377" t="s">
        <v>30</v>
      </c>
      <c r="S377">
        <v>3</v>
      </c>
      <c r="T377" t="s">
        <v>24</v>
      </c>
      <c r="U377" t="s">
        <v>2403</v>
      </c>
      <c r="V377">
        <v>2025</v>
      </c>
      <c r="W377">
        <v>3</v>
      </c>
    </row>
    <row r="378" spans="1:23" x14ac:dyDescent="0.25">
      <c r="A378" t="s">
        <v>1334</v>
      </c>
      <c r="B378">
        <v>45730.645069444443</v>
      </c>
      <c r="C378" t="s">
        <v>732</v>
      </c>
      <c r="D378" t="s">
        <v>170</v>
      </c>
      <c r="E378" t="s">
        <v>104</v>
      </c>
      <c r="F378" t="s">
        <v>2392</v>
      </c>
      <c r="G378" t="s">
        <v>2377</v>
      </c>
      <c r="H378">
        <v>30000</v>
      </c>
      <c r="I378">
        <v>1</v>
      </c>
      <c r="J378">
        <v>10</v>
      </c>
      <c r="K378">
        <v>30000</v>
      </c>
      <c r="L378">
        <v>3000</v>
      </c>
      <c r="M378">
        <v>27000</v>
      </c>
      <c r="N378">
        <v>46000</v>
      </c>
      <c r="O378">
        <v>73000</v>
      </c>
      <c r="P378" t="s">
        <v>35</v>
      </c>
      <c r="Q378" t="s">
        <v>2359</v>
      </c>
      <c r="R378" t="s">
        <v>46</v>
      </c>
      <c r="S378">
        <v>5</v>
      </c>
      <c r="T378" t="s">
        <v>24</v>
      </c>
      <c r="U378" t="s">
        <v>2403</v>
      </c>
      <c r="V378">
        <v>2025</v>
      </c>
      <c r="W378">
        <v>3</v>
      </c>
    </row>
    <row r="379" spans="1:23" x14ac:dyDescent="0.25">
      <c r="A379" t="s">
        <v>1335</v>
      </c>
      <c r="B379">
        <v>45730.962870370371</v>
      </c>
      <c r="C379" t="s">
        <v>1336</v>
      </c>
      <c r="D379" t="s">
        <v>96</v>
      </c>
      <c r="E379" t="s">
        <v>54</v>
      </c>
      <c r="F379" t="s">
        <v>2393</v>
      </c>
      <c r="G379" t="s">
        <v>2379</v>
      </c>
      <c r="H379">
        <v>16000</v>
      </c>
      <c r="I379">
        <v>3</v>
      </c>
      <c r="J379">
        <v>5</v>
      </c>
      <c r="K379">
        <v>48000</v>
      </c>
      <c r="L379">
        <v>2400</v>
      </c>
      <c r="M379">
        <v>45600</v>
      </c>
      <c r="N379">
        <v>49000</v>
      </c>
      <c r="O379">
        <v>94600</v>
      </c>
      <c r="P379" t="s">
        <v>63</v>
      </c>
      <c r="Q379" t="s">
        <v>2357</v>
      </c>
      <c r="R379" t="s">
        <v>82</v>
      </c>
      <c r="S379">
        <v>2</v>
      </c>
      <c r="T379" t="s">
        <v>37</v>
      </c>
      <c r="U379" t="s">
        <v>2403</v>
      </c>
      <c r="V379">
        <v>2025</v>
      </c>
      <c r="W379">
        <v>3</v>
      </c>
    </row>
    <row r="380" spans="1:23" x14ac:dyDescent="0.25">
      <c r="A380" t="s">
        <v>1337</v>
      </c>
      <c r="B380">
        <v>45731.213993055557</v>
      </c>
      <c r="C380" t="s">
        <v>544</v>
      </c>
      <c r="D380" t="s">
        <v>163</v>
      </c>
      <c r="E380" t="s">
        <v>88</v>
      </c>
      <c r="F380" t="s">
        <v>2393</v>
      </c>
      <c r="G380" t="s">
        <v>2377</v>
      </c>
      <c r="H380">
        <v>14000</v>
      </c>
      <c r="I380">
        <v>4</v>
      </c>
      <c r="J380">
        <v>0</v>
      </c>
      <c r="K380">
        <v>56000</v>
      </c>
      <c r="L380">
        <v>0</v>
      </c>
      <c r="M380">
        <v>56000</v>
      </c>
      <c r="N380">
        <v>50000</v>
      </c>
      <c r="O380">
        <v>106000</v>
      </c>
      <c r="P380" t="s">
        <v>29</v>
      </c>
      <c r="Q380" t="s">
        <v>2356</v>
      </c>
      <c r="R380" t="s">
        <v>82</v>
      </c>
      <c r="S380">
        <v>5</v>
      </c>
      <c r="T380" t="s">
        <v>24</v>
      </c>
      <c r="U380" t="s">
        <v>2403</v>
      </c>
      <c r="V380">
        <v>2025</v>
      </c>
      <c r="W380">
        <v>3</v>
      </c>
    </row>
    <row r="381" spans="1:23" x14ac:dyDescent="0.25">
      <c r="A381" t="s">
        <v>1338</v>
      </c>
      <c r="B381">
        <v>45731.278726851851</v>
      </c>
      <c r="C381" t="s">
        <v>1087</v>
      </c>
      <c r="D381" t="s">
        <v>143</v>
      </c>
      <c r="E381" t="s">
        <v>85</v>
      </c>
      <c r="F381" t="s">
        <v>2394</v>
      </c>
      <c r="G381" t="s">
        <v>2377</v>
      </c>
      <c r="H381">
        <v>35000</v>
      </c>
      <c r="I381">
        <v>1</v>
      </c>
      <c r="J381">
        <v>5</v>
      </c>
      <c r="K381">
        <v>35000</v>
      </c>
      <c r="L381">
        <v>1750</v>
      </c>
      <c r="M381">
        <v>33250</v>
      </c>
      <c r="N381">
        <v>50000</v>
      </c>
      <c r="O381">
        <v>83250</v>
      </c>
      <c r="P381" t="s">
        <v>22</v>
      </c>
      <c r="Q381" t="s">
        <v>2357</v>
      </c>
      <c r="R381" t="s">
        <v>82</v>
      </c>
      <c r="S381">
        <v>5</v>
      </c>
      <c r="T381" t="s">
        <v>24</v>
      </c>
      <c r="U381" t="s">
        <v>2403</v>
      </c>
      <c r="V381">
        <v>2025</v>
      </c>
      <c r="W381">
        <v>3</v>
      </c>
    </row>
    <row r="382" spans="1:23" x14ac:dyDescent="0.25">
      <c r="A382" t="s">
        <v>1339</v>
      </c>
      <c r="B382">
        <v>45731.311550925922</v>
      </c>
      <c r="C382" t="s">
        <v>523</v>
      </c>
      <c r="D382" t="s">
        <v>113</v>
      </c>
      <c r="E382" t="s">
        <v>186</v>
      </c>
      <c r="F382" t="s">
        <v>2398</v>
      </c>
      <c r="G382" t="s">
        <v>2377</v>
      </c>
      <c r="H382">
        <v>45000</v>
      </c>
      <c r="I382">
        <v>2</v>
      </c>
      <c r="J382">
        <v>0</v>
      </c>
      <c r="K382">
        <v>90000</v>
      </c>
      <c r="L382">
        <v>0</v>
      </c>
      <c r="M382">
        <v>90000</v>
      </c>
      <c r="N382">
        <v>18000</v>
      </c>
      <c r="O382">
        <v>108000</v>
      </c>
      <c r="P382" t="s">
        <v>29</v>
      </c>
      <c r="Q382" t="s">
        <v>2357</v>
      </c>
      <c r="R382" t="s">
        <v>82</v>
      </c>
      <c r="S382">
        <v>3</v>
      </c>
      <c r="T382" t="s">
        <v>24</v>
      </c>
      <c r="U382" t="s">
        <v>2403</v>
      </c>
      <c r="V382">
        <v>2025</v>
      </c>
      <c r="W382">
        <v>3</v>
      </c>
    </row>
    <row r="383" spans="1:23" x14ac:dyDescent="0.25">
      <c r="A383" t="s">
        <v>1340</v>
      </c>
      <c r="B383">
        <v>45731.37128472222</v>
      </c>
      <c r="C383" t="s">
        <v>1341</v>
      </c>
      <c r="D383" t="s">
        <v>107</v>
      </c>
      <c r="E383" t="s">
        <v>41</v>
      </c>
      <c r="F383" t="s">
        <v>2395</v>
      </c>
      <c r="G383" t="s">
        <v>2377</v>
      </c>
      <c r="H383">
        <v>4000</v>
      </c>
      <c r="I383">
        <v>3</v>
      </c>
      <c r="J383">
        <v>10</v>
      </c>
      <c r="K383">
        <v>12000</v>
      </c>
      <c r="L383">
        <v>1200</v>
      </c>
      <c r="M383">
        <v>10800</v>
      </c>
      <c r="N383">
        <v>97000</v>
      </c>
      <c r="O383">
        <v>107800</v>
      </c>
      <c r="P383" t="s">
        <v>29</v>
      </c>
      <c r="Q383" t="s">
        <v>2359</v>
      </c>
      <c r="R383" t="s">
        <v>23</v>
      </c>
      <c r="S383">
        <v>5</v>
      </c>
      <c r="T383" t="s">
        <v>37</v>
      </c>
      <c r="U383" t="s">
        <v>2403</v>
      </c>
      <c r="V383">
        <v>2025</v>
      </c>
      <c r="W383">
        <v>3</v>
      </c>
    </row>
    <row r="384" spans="1:23" x14ac:dyDescent="0.25">
      <c r="A384" t="s">
        <v>1342</v>
      </c>
      <c r="B384">
        <v>45731.530219907407</v>
      </c>
      <c r="C384" t="s">
        <v>508</v>
      </c>
      <c r="D384" t="s">
        <v>20</v>
      </c>
      <c r="E384" t="s">
        <v>62</v>
      </c>
      <c r="F384" t="s">
        <v>2398</v>
      </c>
      <c r="G384" t="s">
        <v>2378</v>
      </c>
      <c r="H384">
        <v>50000</v>
      </c>
      <c r="I384">
        <v>1</v>
      </c>
      <c r="J384">
        <v>15</v>
      </c>
      <c r="K384">
        <v>50000</v>
      </c>
      <c r="L384">
        <v>7500</v>
      </c>
      <c r="M384">
        <v>42500</v>
      </c>
      <c r="N384">
        <v>15000</v>
      </c>
      <c r="O384">
        <v>57500</v>
      </c>
      <c r="P384" t="s">
        <v>22</v>
      </c>
      <c r="Q384" t="s">
        <v>2357</v>
      </c>
      <c r="R384" t="s">
        <v>36</v>
      </c>
      <c r="S384">
        <v>3</v>
      </c>
      <c r="T384" t="s">
        <v>37</v>
      </c>
      <c r="U384" t="s">
        <v>2403</v>
      </c>
      <c r="V384">
        <v>2025</v>
      </c>
      <c r="W384">
        <v>3</v>
      </c>
    </row>
    <row r="385" spans="1:23" x14ac:dyDescent="0.25">
      <c r="A385" t="s">
        <v>1343</v>
      </c>
      <c r="B385">
        <v>45731.567349537043</v>
      </c>
      <c r="C385" t="s">
        <v>549</v>
      </c>
      <c r="D385" t="s">
        <v>107</v>
      </c>
      <c r="E385" t="s">
        <v>71</v>
      </c>
      <c r="F385" t="s">
        <v>2392</v>
      </c>
      <c r="G385" t="s">
        <v>2379</v>
      </c>
      <c r="H385">
        <v>40000</v>
      </c>
      <c r="I385">
        <v>5</v>
      </c>
      <c r="J385">
        <v>5</v>
      </c>
      <c r="K385">
        <v>200000</v>
      </c>
      <c r="L385">
        <v>10000</v>
      </c>
      <c r="M385">
        <v>190000</v>
      </c>
      <c r="N385">
        <v>97000</v>
      </c>
      <c r="O385">
        <v>287000</v>
      </c>
      <c r="P385" t="s">
        <v>22</v>
      </c>
      <c r="Q385" t="s">
        <v>2357</v>
      </c>
      <c r="R385" t="s">
        <v>82</v>
      </c>
      <c r="S385">
        <v>4</v>
      </c>
      <c r="T385" t="s">
        <v>24</v>
      </c>
      <c r="U385" t="s">
        <v>2403</v>
      </c>
      <c r="V385">
        <v>2025</v>
      </c>
      <c r="W385">
        <v>3</v>
      </c>
    </row>
    <row r="386" spans="1:23" x14ac:dyDescent="0.25">
      <c r="A386" t="s">
        <v>1344</v>
      </c>
      <c r="B386">
        <v>45731.654363425929</v>
      </c>
      <c r="C386" t="s">
        <v>654</v>
      </c>
      <c r="D386" t="s">
        <v>375</v>
      </c>
      <c r="E386" t="s">
        <v>21</v>
      </c>
      <c r="F386" t="s">
        <v>2394</v>
      </c>
      <c r="G386" t="s">
        <v>2379</v>
      </c>
      <c r="H386">
        <v>45000</v>
      </c>
      <c r="I386">
        <v>5</v>
      </c>
      <c r="J386">
        <v>20</v>
      </c>
      <c r="K386">
        <v>225000</v>
      </c>
      <c r="L386">
        <v>45000</v>
      </c>
      <c r="M386">
        <v>180000</v>
      </c>
      <c r="N386">
        <v>21000</v>
      </c>
      <c r="O386">
        <v>201000</v>
      </c>
      <c r="P386" t="s">
        <v>22</v>
      </c>
      <c r="Q386" t="s">
        <v>2357</v>
      </c>
      <c r="R386" t="s">
        <v>82</v>
      </c>
      <c r="S386">
        <v>2</v>
      </c>
      <c r="T386" t="s">
        <v>24</v>
      </c>
      <c r="U386" t="s">
        <v>2403</v>
      </c>
      <c r="V386">
        <v>2025</v>
      </c>
      <c r="W386">
        <v>3</v>
      </c>
    </row>
    <row r="387" spans="1:23" x14ac:dyDescent="0.25">
      <c r="A387" t="s">
        <v>1345</v>
      </c>
      <c r="B387">
        <v>45731.982557870368</v>
      </c>
      <c r="C387" t="s">
        <v>834</v>
      </c>
      <c r="D387" t="s">
        <v>177</v>
      </c>
      <c r="E387" t="s">
        <v>34</v>
      </c>
      <c r="F387" t="s">
        <v>2397</v>
      </c>
      <c r="G387" t="s">
        <v>2377</v>
      </c>
      <c r="H387">
        <v>16000</v>
      </c>
      <c r="I387">
        <v>5</v>
      </c>
      <c r="J387">
        <v>15</v>
      </c>
      <c r="K387">
        <v>80000</v>
      </c>
      <c r="L387">
        <v>12000</v>
      </c>
      <c r="M387">
        <v>68000</v>
      </c>
      <c r="N387">
        <v>56000</v>
      </c>
      <c r="O387">
        <v>124000</v>
      </c>
      <c r="P387" t="s">
        <v>22</v>
      </c>
      <c r="Q387" t="s">
        <v>2357</v>
      </c>
      <c r="R387" t="s">
        <v>46</v>
      </c>
      <c r="S387">
        <v>4</v>
      </c>
      <c r="T387" t="s">
        <v>37</v>
      </c>
      <c r="U387" t="s">
        <v>2403</v>
      </c>
      <c r="V387">
        <v>2025</v>
      </c>
      <c r="W387">
        <v>3</v>
      </c>
    </row>
    <row r="388" spans="1:23" x14ac:dyDescent="0.25">
      <c r="A388" t="s">
        <v>1346</v>
      </c>
      <c r="B388">
        <v>45732.265682870369</v>
      </c>
      <c r="C388" t="s">
        <v>100</v>
      </c>
      <c r="D388" t="s">
        <v>66</v>
      </c>
      <c r="E388" t="s">
        <v>174</v>
      </c>
      <c r="F388" t="s">
        <v>2400</v>
      </c>
      <c r="G388" t="s">
        <v>2377</v>
      </c>
      <c r="H388">
        <v>10000</v>
      </c>
      <c r="I388">
        <v>2</v>
      </c>
      <c r="J388">
        <v>15</v>
      </c>
      <c r="K388">
        <v>20000</v>
      </c>
      <c r="L388">
        <v>3000</v>
      </c>
      <c r="M388">
        <v>17000</v>
      </c>
      <c r="N388">
        <v>59000</v>
      </c>
      <c r="O388">
        <v>76000</v>
      </c>
      <c r="P388" t="s">
        <v>63</v>
      </c>
      <c r="Q388" t="s">
        <v>2357</v>
      </c>
      <c r="R388" t="s">
        <v>30</v>
      </c>
      <c r="S388">
        <v>4</v>
      </c>
      <c r="T388" t="s">
        <v>24</v>
      </c>
      <c r="U388" t="s">
        <v>2403</v>
      </c>
      <c r="V388">
        <v>2025</v>
      </c>
      <c r="W388">
        <v>3</v>
      </c>
    </row>
    <row r="389" spans="1:23" x14ac:dyDescent="0.25">
      <c r="A389" t="s">
        <v>1347</v>
      </c>
      <c r="B389">
        <v>45732.344641203701</v>
      </c>
      <c r="C389" t="s">
        <v>1348</v>
      </c>
      <c r="D389" t="s">
        <v>296</v>
      </c>
      <c r="E389" t="s">
        <v>38</v>
      </c>
      <c r="F389" t="s">
        <v>2399</v>
      </c>
      <c r="G389" t="s">
        <v>2379</v>
      </c>
      <c r="H389">
        <v>28000</v>
      </c>
      <c r="I389">
        <v>2</v>
      </c>
      <c r="J389">
        <v>10</v>
      </c>
      <c r="K389">
        <v>56000</v>
      </c>
      <c r="L389">
        <v>5600</v>
      </c>
      <c r="M389">
        <v>50400</v>
      </c>
      <c r="N389">
        <v>79000</v>
      </c>
      <c r="O389">
        <v>129400</v>
      </c>
      <c r="P389" t="s">
        <v>29</v>
      </c>
      <c r="Q389" t="s">
        <v>2356</v>
      </c>
      <c r="R389" t="s">
        <v>30</v>
      </c>
      <c r="S389">
        <v>3</v>
      </c>
      <c r="T389" t="s">
        <v>24</v>
      </c>
      <c r="U389" t="s">
        <v>2403</v>
      </c>
      <c r="V389">
        <v>2025</v>
      </c>
      <c r="W389">
        <v>3</v>
      </c>
    </row>
    <row r="390" spans="1:23" x14ac:dyDescent="0.25">
      <c r="A390" t="s">
        <v>1349</v>
      </c>
      <c r="B390">
        <v>45732.50613425926</v>
      </c>
      <c r="C390" t="s">
        <v>374</v>
      </c>
      <c r="D390" t="s">
        <v>375</v>
      </c>
      <c r="E390" t="s">
        <v>190</v>
      </c>
      <c r="F390" t="s">
        <v>2392</v>
      </c>
      <c r="G390" t="s">
        <v>2378</v>
      </c>
      <c r="H390">
        <v>35000</v>
      </c>
      <c r="I390">
        <v>3</v>
      </c>
      <c r="J390">
        <v>5</v>
      </c>
      <c r="K390">
        <v>105000</v>
      </c>
      <c r="L390">
        <v>5250</v>
      </c>
      <c r="M390">
        <v>99750</v>
      </c>
      <c r="N390">
        <v>21000</v>
      </c>
      <c r="O390">
        <v>120750</v>
      </c>
      <c r="P390" t="s">
        <v>29</v>
      </c>
      <c r="Q390" t="s">
        <v>2357</v>
      </c>
      <c r="R390" t="s">
        <v>82</v>
      </c>
      <c r="S390">
        <v>5</v>
      </c>
      <c r="T390" t="s">
        <v>37</v>
      </c>
      <c r="U390" t="s">
        <v>2403</v>
      </c>
      <c r="V390">
        <v>2025</v>
      </c>
      <c r="W390">
        <v>3</v>
      </c>
    </row>
    <row r="391" spans="1:23" x14ac:dyDescent="0.25">
      <c r="A391" t="s">
        <v>1350</v>
      </c>
      <c r="B391">
        <v>45732.608958333331</v>
      </c>
      <c r="C391" t="s">
        <v>443</v>
      </c>
      <c r="D391" t="s">
        <v>53</v>
      </c>
      <c r="E391" t="s">
        <v>67</v>
      </c>
      <c r="F391" t="s">
        <v>2393</v>
      </c>
      <c r="G391" t="s">
        <v>2378</v>
      </c>
      <c r="H391">
        <v>15000</v>
      </c>
      <c r="I391">
        <v>4</v>
      </c>
      <c r="J391">
        <v>10</v>
      </c>
      <c r="K391">
        <v>60000</v>
      </c>
      <c r="L391">
        <v>6000</v>
      </c>
      <c r="M391">
        <v>54000</v>
      </c>
      <c r="N391">
        <v>18000</v>
      </c>
      <c r="O391">
        <v>72000</v>
      </c>
      <c r="P391" t="s">
        <v>35</v>
      </c>
      <c r="Q391" t="s">
        <v>2359</v>
      </c>
      <c r="R391" t="s">
        <v>23</v>
      </c>
      <c r="S391">
        <v>1</v>
      </c>
      <c r="T391" t="s">
        <v>24</v>
      </c>
      <c r="U391" t="s">
        <v>2403</v>
      </c>
      <c r="V391">
        <v>2025</v>
      </c>
      <c r="W391">
        <v>3</v>
      </c>
    </row>
    <row r="392" spans="1:23" x14ac:dyDescent="0.25">
      <c r="A392" t="s">
        <v>1351</v>
      </c>
      <c r="B392">
        <v>45733.356956018521</v>
      </c>
      <c r="C392" t="s">
        <v>922</v>
      </c>
      <c r="D392" t="s">
        <v>33</v>
      </c>
      <c r="E392" t="s">
        <v>21</v>
      </c>
      <c r="F392" t="s">
        <v>2394</v>
      </c>
      <c r="G392" t="s">
        <v>2379</v>
      </c>
      <c r="H392">
        <v>45000</v>
      </c>
      <c r="I392">
        <v>3</v>
      </c>
      <c r="J392">
        <v>5</v>
      </c>
      <c r="K392">
        <v>135000</v>
      </c>
      <c r="L392">
        <v>6750</v>
      </c>
      <c r="M392">
        <v>128250</v>
      </c>
      <c r="N392">
        <v>76000</v>
      </c>
      <c r="O392">
        <v>204250</v>
      </c>
      <c r="P392" t="s">
        <v>29</v>
      </c>
      <c r="Q392" t="s">
        <v>2357</v>
      </c>
      <c r="R392" t="s">
        <v>30</v>
      </c>
      <c r="S392">
        <v>2</v>
      </c>
      <c r="T392" t="s">
        <v>37</v>
      </c>
      <c r="U392" t="s">
        <v>2403</v>
      </c>
      <c r="V392">
        <v>2025</v>
      </c>
      <c r="W392">
        <v>3</v>
      </c>
    </row>
    <row r="393" spans="1:23" x14ac:dyDescent="0.25">
      <c r="A393" t="s">
        <v>1352</v>
      </c>
      <c r="B393">
        <v>45734.148993055547</v>
      </c>
      <c r="C393" t="s">
        <v>419</v>
      </c>
      <c r="D393" t="s">
        <v>103</v>
      </c>
      <c r="E393" t="s">
        <v>62</v>
      </c>
      <c r="F393" t="s">
        <v>2398</v>
      </c>
      <c r="G393" t="s">
        <v>2378</v>
      </c>
      <c r="H393">
        <v>50000</v>
      </c>
      <c r="I393">
        <v>4</v>
      </c>
      <c r="J393">
        <v>15</v>
      </c>
      <c r="K393">
        <v>200000</v>
      </c>
      <c r="L393">
        <v>30000</v>
      </c>
      <c r="M393">
        <v>170000</v>
      </c>
      <c r="N393">
        <v>85000</v>
      </c>
      <c r="O393">
        <v>255000</v>
      </c>
      <c r="P393" t="s">
        <v>29</v>
      </c>
      <c r="Q393" t="s">
        <v>2357</v>
      </c>
      <c r="R393" t="s">
        <v>82</v>
      </c>
      <c r="S393">
        <v>1</v>
      </c>
      <c r="T393" t="s">
        <v>37</v>
      </c>
      <c r="U393" t="s">
        <v>2403</v>
      </c>
      <c r="V393">
        <v>2025</v>
      </c>
      <c r="W393">
        <v>3</v>
      </c>
    </row>
    <row r="394" spans="1:23" x14ac:dyDescent="0.25">
      <c r="A394" t="s">
        <v>1353</v>
      </c>
      <c r="B394">
        <v>45734.5075</v>
      </c>
      <c r="C394" t="s">
        <v>1117</v>
      </c>
      <c r="D394" t="s">
        <v>126</v>
      </c>
      <c r="E394" t="s">
        <v>186</v>
      </c>
      <c r="F394" t="s">
        <v>2398</v>
      </c>
      <c r="G394" t="s">
        <v>2377</v>
      </c>
      <c r="H394">
        <v>45000</v>
      </c>
      <c r="I394">
        <v>5</v>
      </c>
      <c r="J394">
        <v>10</v>
      </c>
      <c r="K394">
        <v>225000</v>
      </c>
      <c r="L394">
        <v>22500</v>
      </c>
      <c r="M394">
        <v>202500</v>
      </c>
      <c r="N394">
        <v>84000</v>
      </c>
      <c r="O394">
        <v>286500</v>
      </c>
      <c r="P394" t="s">
        <v>35</v>
      </c>
      <c r="Q394" t="s">
        <v>2357</v>
      </c>
      <c r="R394" t="s">
        <v>30</v>
      </c>
      <c r="S394">
        <v>1</v>
      </c>
      <c r="T394" t="s">
        <v>24</v>
      </c>
      <c r="U394" t="s">
        <v>2403</v>
      </c>
      <c r="V394">
        <v>2025</v>
      </c>
      <c r="W394">
        <v>3</v>
      </c>
    </row>
    <row r="395" spans="1:23" x14ac:dyDescent="0.25">
      <c r="A395" t="s">
        <v>1354</v>
      </c>
      <c r="B395">
        <v>45734.971296296288</v>
      </c>
      <c r="C395" t="s">
        <v>209</v>
      </c>
      <c r="D395" t="s">
        <v>143</v>
      </c>
      <c r="E395" t="s">
        <v>190</v>
      </c>
      <c r="F395" t="s">
        <v>2392</v>
      </c>
      <c r="G395" t="s">
        <v>2378</v>
      </c>
      <c r="H395">
        <v>35000</v>
      </c>
      <c r="I395">
        <v>5</v>
      </c>
      <c r="J395">
        <v>10</v>
      </c>
      <c r="K395">
        <v>175000</v>
      </c>
      <c r="L395">
        <v>17500</v>
      </c>
      <c r="M395">
        <v>157500</v>
      </c>
      <c r="N395">
        <v>50000</v>
      </c>
      <c r="O395">
        <v>207500</v>
      </c>
      <c r="P395" t="s">
        <v>22</v>
      </c>
      <c r="Q395" t="s">
        <v>2357</v>
      </c>
      <c r="R395" t="s">
        <v>82</v>
      </c>
      <c r="S395">
        <v>5</v>
      </c>
      <c r="T395" t="s">
        <v>37</v>
      </c>
      <c r="U395" t="s">
        <v>2403</v>
      </c>
      <c r="V395">
        <v>2025</v>
      </c>
      <c r="W395">
        <v>3</v>
      </c>
    </row>
    <row r="396" spans="1:23" x14ac:dyDescent="0.25">
      <c r="A396" t="s">
        <v>1355</v>
      </c>
      <c r="B396">
        <v>45735.488240740742</v>
      </c>
      <c r="C396" t="s">
        <v>73</v>
      </c>
      <c r="D396" t="s">
        <v>74</v>
      </c>
      <c r="E396" t="s">
        <v>54</v>
      </c>
      <c r="F396" t="s">
        <v>2393</v>
      </c>
      <c r="G396" t="s">
        <v>2379</v>
      </c>
      <c r="H396">
        <v>16000</v>
      </c>
      <c r="I396">
        <v>2</v>
      </c>
      <c r="J396">
        <v>10</v>
      </c>
      <c r="K396">
        <v>32000</v>
      </c>
      <c r="L396">
        <v>3200</v>
      </c>
      <c r="M396">
        <v>28800</v>
      </c>
      <c r="N396">
        <v>87000</v>
      </c>
      <c r="O396">
        <v>115800</v>
      </c>
      <c r="P396" t="s">
        <v>63</v>
      </c>
      <c r="Q396" t="s">
        <v>2357</v>
      </c>
      <c r="R396" t="s">
        <v>23</v>
      </c>
      <c r="S396">
        <v>4</v>
      </c>
      <c r="T396" t="s">
        <v>24</v>
      </c>
      <c r="U396" t="s">
        <v>2403</v>
      </c>
      <c r="V396">
        <v>2025</v>
      </c>
      <c r="W396">
        <v>3</v>
      </c>
    </row>
    <row r="397" spans="1:23" x14ac:dyDescent="0.25">
      <c r="A397" t="s">
        <v>1356</v>
      </c>
      <c r="B397">
        <v>45735.5234837963</v>
      </c>
      <c r="C397" t="s">
        <v>557</v>
      </c>
      <c r="D397" t="s">
        <v>173</v>
      </c>
      <c r="E397" t="s">
        <v>250</v>
      </c>
      <c r="F397" t="s">
        <v>2397</v>
      </c>
      <c r="G397" t="s">
        <v>2379</v>
      </c>
      <c r="H397">
        <v>18000</v>
      </c>
      <c r="I397">
        <v>3</v>
      </c>
      <c r="J397">
        <v>0</v>
      </c>
      <c r="K397">
        <v>54000</v>
      </c>
      <c r="L397">
        <v>0</v>
      </c>
      <c r="M397">
        <v>54000</v>
      </c>
      <c r="N397">
        <v>49000</v>
      </c>
      <c r="O397">
        <v>103000</v>
      </c>
      <c r="P397" t="s">
        <v>22</v>
      </c>
      <c r="Q397" t="s">
        <v>2357</v>
      </c>
      <c r="R397" t="s">
        <v>30</v>
      </c>
      <c r="S397">
        <v>3</v>
      </c>
      <c r="T397" t="s">
        <v>24</v>
      </c>
      <c r="U397" t="s">
        <v>2403</v>
      </c>
      <c r="V397">
        <v>2025</v>
      </c>
      <c r="W397">
        <v>3</v>
      </c>
    </row>
    <row r="398" spans="1:23" x14ac:dyDescent="0.25">
      <c r="A398" t="s">
        <v>1357</v>
      </c>
      <c r="B398">
        <v>45735.684131944443</v>
      </c>
      <c r="C398" t="s">
        <v>461</v>
      </c>
      <c r="D398" t="s">
        <v>92</v>
      </c>
      <c r="E398" t="s">
        <v>50</v>
      </c>
      <c r="F398" t="s">
        <v>2400</v>
      </c>
      <c r="G398" t="s">
        <v>2379</v>
      </c>
      <c r="H398">
        <v>14000</v>
      </c>
      <c r="I398">
        <v>3</v>
      </c>
      <c r="J398">
        <v>15</v>
      </c>
      <c r="K398">
        <v>42000</v>
      </c>
      <c r="L398">
        <v>6300</v>
      </c>
      <c r="M398">
        <v>35700</v>
      </c>
      <c r="N398">
        <v>30000</v>
      </c>
      <c r="O398">
        <v>65700</v>
      </c>
      <c r="P398" t="s">
        <v>22</v>
      </c>
      <c r="Q398" t="s">
        <v>2357</v>
      </c>
      <c r="R398" t="s">
        <v>46</v>
      </c>
      <c r="S398">
        <v>5</v>
      </c>
      <c r="T398" t="s">
        <v>37</v>
      </c>
      <c r="U398" t="s">
        <v>2403</v>
      </c>
      <c r="V398">
        <v>2025</v>
      </c>
      <c r="W398">
        <v>3</v>
      </c>
    </row>
    <row r="399" spans="1:23" x14ac:dyDescent="0.25">
      <c r="A399" t="s">
        <v>1358</v>
      </c>
      <c r="B399">
        <v>45735.826261574082</v>
      </c>
      <c r="C399" t="s">
        <v>1359</v>
      </c>
      <c r="D399" t="s">
        <v>375</v>
      </c>
      <c r="E399" t="s">
        <v>58</v>
      </c>
      <c r="F399" t="s">
        <v>2396</v>
      </c>
      <c r="G399" t="s">
        <v>2377</v>
      </c>
      <c r="H399">
        <v>16000</v>
      </c>
      <c r="I399">
        <v>5</v>
      </c>
      <c r="J399">
        <v>0</v>
      </c>
      <c r="K399">
        <v>80000</v>
      </c>
      <c r="L399">
        <v>0</v>
      </c>
      <c r="M399">
        <v>80000</v>
      </c>
      <c r="N399">
        <v>21000</v>
      </c>
      <c r="O399">
        <v>101000</v>
      </c>
      <c r="P399" t="s">
        <v>22</v>
      </c>
      <c r="Q399" t="s">
        <v>2357</v>
      </c>
      <c r="R399" t="s">
        <v>23</v>
      </c>
      <c r="S399">
        <v>5</v>
      </c>
      <c r="T399" t="s">
        <v>24</v>
      </c>
      <c r="U399" t="s">
        <v>2403</v>
      </c>
      <c r="V399">
        <v>2025</v>
      </c>
      <c r="W399">
        <v>3</v>
      </c>
    </row>
    <row r="400" spans="1:23" x14ac:dyDescent="0.25">
      <c r="A400" t="s">
        <v>1360</v>
      </c>
      <c r="B400">
        <v>45736.021226851852</v>
      </c>
      <c r="C400" t="s">
        <v>649</v>
      </c>
      <c r="D400" t="s">
        <v>177</v>
      </c>
      <c r="E400" t="s">
        <v>136</v>
      </c>
      <c r="F400" t="s">
        <v>2400</v>
      </c>
      <c r="G400" t="s">
        <v>2378</v>
      </c>
      <c r="H400">
        <v>12000</v>
      </c>
      <c r="I400">
        <v>2</v>
      </c>
      <c r="J400">
        <v>10</v>
      </c>
      <c r="K400">
        <v>24000</v>
      </c>
      <c r="L400">
        <v>2400</v>
      </c>
      <c r="M400">
        <v>21600</v>
      </c>
      <c r="N400">
        <v>56000</v>
      </c>
      <c r="O400">
        <v>77600</v>
      </c>
      <c r="P400" t="s">
        <v>29</v>
      </c>
      <c r="Q400" t="s">
        <v>2357</v>
      </c>
      <c r="R400" t="s">
        <v>46</v>
      </c>
      <c r="S400">
        <v>5</v>
      </c>
      <c r="T400" t="s">
        <v>24</v>
      </c>
      <c r="U400" t="s">
        <v>2403</v>
      </c>
      <c r="V400">
        <v>2025</v>
      </c>
      <c r="W400">
        <v>3</v>
      </c>
    </row>
    <row r="401" spans="1:23" x14ac:dyDescent="0.25">
      <c r="A401" t="s">
        <v>1361</v>
      </c>
      <c r="B401">
        <v>45736.038449074083</v>
      </c>
      <c r="C401" t="s">
        <v>804</v>
      </c>
      <c r="D401" t="s">
        <v>49</v>
      </c>
      <c r="E401" t="s">
        <v>138</v>
      </c>
      <c r="F401" t="s">
        <v>2396</v>
      </c>
      <c r="G401" t="s">
        <v>2378</v>
      </c>
      <c r="H401">
        <v>17000</v>
      </c>
      <c r="I401">
        <v>4</v>
      </c>
      <c r="J401">
        <v>10</v>
      </c>
      <c r="K401">
        <v>68000</v>
      </c>
      <c r="L401">
        <v>6800</v>
      </c>
      <c r="M401">
        <v>61200</v>
      </c>
      <c r="N401">
        <v>43000</v>
      </c>
      <c r="O401">
        <v>104200</v>
      </c>
      <c r="P401" t="s">
        <v>22</v>
      </c>
      <c r="Q401" t="s">
        <v>2357</v>
      </c>
      <c r="R401" t="s">
        <v>46</v>
      </c>
      <c r="S401">
        <v>3</v>
      </c>
      <c r="T401" t="s">
        <v>24</v>
      </c>
      <c r="U401" t="s">
        <v>2403</v>
      </c>
      <c r="V401">
        <v>2025</v>
      </c>
      <c r="W401">
        <v>3</v>
      </c>
    </row>
    <row r="402" spans="1:23" x14ac:dyDescent="0.25">
      <c r="A402" t="s">
        <v>1362</v>
      </c>
      <c r="B402">
        <v>45736.070740740739</v>
      </c>
      <c r="C402" t="s">
        <v>786</v>
      </c>
      <c r="D402" t="s">
        <v>107</v>
      </c>
      <c r="E402" t="s">
        <v>45</v>
      </c>
      <c r="F402" t="s">
        <v>2394</v>
      </c>
      <c r="G402" t="s">
        <v>2378</v>
      </c>
      <c r="H402">
        <v>40000</v>
      </c>
      <c r="I402">
        <v>3</v>
      </c>
      <c r="J402">
        <v>15</v>
      </c>
      <c r="K402">
        <v>120000</v>
      </c>
      <c r="L402">
        <v>18000</v>
      </c>
      <c r="M402">
        <v>102000</v>
      </c>
      <c r="N402">
        <v>97000</v>
      </c>
      <c r="O402">
        <v>199000</v>
      </c>
      <c r="P402" t="s">
        <v>35</v>
      </c>
      <c r="Q402" t="s">
        <v>2357</v>
      </c>
      <c r="R402" t="s">
        <v>23</v>
      </c>
      <c r="S402">
        <v>3</v>
      </c>
      <c r="T402" t="s">
        <v>24</v>
      </c>
      <c r="U402" t="s">
        <v>2403</v>
      </c>
      <c r="V402">
        <v>2025</v>
      </c>
      <c r="W402">
        <v>3</v>
      </c>
    </row>
    <row r="403" spans="1:23" x14ac:dyDescent="0.25">
      <c r="A403" t="s">
        <v>1363</v>
      </c>
      <c r="B403">
        <v>45736.211562500001</v>
      </c>
      <c r="C403" t="s">
        <v>576</v>
      </c>
      <c r="D403" t="s">
        <v>57</v>
      </c>
      <c r="E403" t="s">
        <v>38</v>
      </c>
      <c r="F403" t="s">
        <v>2399</v>
      </c>
      <c r="G403" t="s">
        <v>2379</v>
      </c>
      <c r="H403">
        <v>28000</v>
      </c>
      <c r="I403">
        <v>3</v>
      </c>
      <c r="J403">
        <v>5</v>
      </c>
      <c r="K403">
        <v>84000</v>
      </c>
      <c r="L403">
        <v>4200</v>
      </c>
      <c r="M403">
        <v>79800</v>
      </c>
      <c r="N403">
        <v>80000</v>
      </c>
      <c r="O403">
        <v>159800</v>
      </c>
      <c r="P403" t="s">
        <v>29</v>
      </c>
      <c r="Q403" t="s">
        <v>2359</v>
      </c>
      <c r="R403" t="s">
        <v>23</v>
      </c>
      <c r="S403">
        <v>3</v>
      </c>
      <c r="T403" t="s">
        <v>37</v>
      </c>
      <c r="U403" t="s">
        <v>2403</v>
      </c>
      <c r="V403">
        <v>2025</v>
      </c>
      <c r="W403">
        <v>3</v>
      </c>
    </row>
    <row r="404" spans="1:23" x14ac:dyDescent="0.25">
      <c r="A404" t="s">
        <v>1364</v>
      </c>
      <c r="B404">
        <v>45736.284513888888</v>
      </c>
      <c r="C404" t="s">
        <v>856</v>
      </c>
      <c r="D404" t="s">
        <v>244</v>
      </c>
      <c r="E404" t="s">
        <v>110</v>
      </c>
      <c r="F404" t="s">
        <v>2395</v>
      </c>
      <c r="G404" t="s">
        <v>2379</v>
      </c>
      <c r="H404">
        <v>6000</v>
      </c>
      <c r="I404">
        <v>5</v>
      </c>
      <c r="J404">
        <v>0</v>
      </c>
      <c r="K404">
        <v>30000</v>
      </c>
      <c r="L404">
        <v>0</v>
      </c>
      <c r="M404">
        <v>30000</v>
      </c>
      <c r="N404">
        <v>80000</v>
      </c>
      <c r="O404">
        <v>110000</v>
      </c>
      <c r="P404" t="s">
        <v>63</v>
      </c>
      <c r="Q404" t="s">
        <v>2356</v>
      </c>
      <c r="R404" t="s">
        <v>23</v>
      </c>
      <c r="S404">
        <v>5</v>
      </c>
      <c r="T404" t="s">
        <v>24</v>
      </c>
      <c r="U404" t="s">
        <v>2403</v>
      </c>
      <c r="V404">
        <v>2025</v>
      </c>
      <c r="W404">
        <v>3</v>
      </c>
    </row>
    <row r="405" spans="1:23" x14ac:dyDescent="0.25">
      <c r="A405" t="s">
        <v>1365</v>
      </c>
      <c r="B405">
        <v>45736.322326388887</v>
      </c>
      <c r="C405" t="s">
        <v>1366</v>
      </c>
      <c r="D405" t="s">
        <v>126</v>
      </c>
      <c r="E405" t="s">
        <v>123</v>
      </c>
      <c r="F405" t="s">
        <v>2399</v>
      </c>
      <c r="G405" t="s">
        <v>2377</v>
      </c>
      <c r="H405">
        <v>22000</v>
      </c>
      <c r="I405">
        <v>1</v>
      </c>
      <c r="J405">
        <v>0</v>
      </c>
      <c r="K405">
        <v>22000</v>
      </c>
      <c r="L405">
        <v>0</v>
      </c>
      <c r="M405">
        <v>22000</v>
      </c>
      <c r="N405">
        <v>84000</v>
      </c>
      <c r="O405">
        <v>106000</v>
      </c>
      <c r="P405" t="s">
        <v>29</v>
      </c>
      <c r="Q405" t="s">
        <v>2357</v>
      </c>
      <c r="R405" t="s">
        <v>30</v>
      </c>
      <c r="S405">
        <v>1</v>
      </c>
      <c r="T405" t="s">
        <v>24</v>
      </c>
      <c r="U405" t="s">
        <v>2403</v>
      </c>
      <c r="V405">
        <v>2025</v>
      </c>
      <c r="W405">
        <v>3</v>
      </c>
    </row>
    <row r="406" spans="1:23" x14ac:dyDescent="0.25">
      <c r="A406" t="s">
        <v>1367</v>
      </c>
      <c r="B406">
        <v>45736.34652777778</v>
      </c>
      <c r="C406" t="s">
        <v>844</v>
      </c>
      <c r="D406" t="s">
        <v>119</v>
      </c>
      <c r="E406" t="s">
        <v>34</v>
      </c>
      <c r="F406" t="s">
        <v>2397</v>
      </c>
      <c r="G406" t="s">
        <v>2377</v>
      </c>
      <c r="H406">
        <v>16000</v>
      </c>
      <c r="I406">
        <v>3</v>
      </c>
      <c r="J406">
        <v>0</v>
      </c>
      <c r="K406">
        <v>48000</v>
      </c>
      <c r="L406">
        <v>0</v>
      </c>
      <c r="M406">
        <v>48000</v>
      </c>
      <c r="N406">
        <v>0</v>
      </c>
      <c r="O406">
        <v>48000</v>
      </c>
      <c r="P406" t="s">
        <v>35</v>
      </c>
      <c r="Q406" t="s">
        <v>2357</v>
      </c>
      <c r="R406" t="s">
        <v>36</v>
      </c>
      <c r="S406">
        <v>4</v>
      </c>
      <c r="T406" t="s">
        <v>24</v>
      </c>
      <c r="U406" t="s">
        <v>2403</v>
      </c>
      <c r="V406">
        <v>2025</v>
      </c>
      <c r="W406">
        <v>3</v>
      </c>
    </row>
    <row r="407" spans="1:23" x14ac:dyDescent="0.25">
      <c r="A407" t="s">
        <v>1368</v>
      </c>
      <c r="B407">
        <v>45736.6719212963</v>
      </c>
      <c r="C407" t="s">
        <v>100</v>
      </c>
      <c r="D407" t="s">
        <v>66</v>
      </c>
      <c r="E407" t="s">
        <v>85</v>
      </c>
      <c r="F407" t="s">
        <v>2394</v>
      </c>
      <c r="G407" t="s">
        <v>2377</v>
      </c>
      <c r="H407">
        <v>35000</v>
      </c>
      <c r="I407">
        <v>4</v>
      </c>
      <c r="J407">
        <v>10</v>
      </c>
      <c r="K407">
        <v>140000</v>
      </c>
      <c r="L407">
        <v>14000</v>
      </c>
      <c r="M407">
        <v>126000</v>
      </c>
      <c r="N407">
        <v>59000</v>
      </c>
      <c r="O407">
        <v>185000</v>
      </c>
      <c r="P407" t="s">
        <v>22</v>
      </c>
      <c r="Q407" t="s">
        <v>2357</v>
      </c>
      <c r="R407" t="s">
        <v>30</v>
      </c>
      <c r="S407">
        <v>2</v>
      </c>
      <c r="T407" t="s">
        <v>24</v>
      </c>
      <c r="U407" t="s">
        <v>2403</v>
      </c>
      <c r="V407">
        <v>2025</v>
      </c>
      <c r="W407">
        <v>3</v>
      </c>
    </row>
    <row r="408" spans="1:23" x14ac:dyDescent="0.25">
      <c r="A408" t="s">
        <v>1369</v>
      </c>
      <c r="B408">
        <v>45736.679571759261</v>
      </c>
      <c r="C408" t="s">
        <v>477</v>
      </c>
      <c r="D408" t="s">
        <v>182</v>
      </c>
      <c r="E408" t="s">
        <v>75</v>
      </c>
      <c r="F408" t="s">
        <v>2398</v>
      </c>
      <c r="G408" t="s">
        <v>2379</v>
      </c>
      <c r="H408">
        <v>55000</v>
      </c>
      <c r="I408">
        <v>2</v>
      </c>
      <c r="J408">
        <v>10</v>
      </c>
      <c r="K408">
        <v>110000</v>
      </c>
      <c r="L408">
        <v>11000</v>
      </c>
      <c r="M408">
        <v>99000</v>
      </c>
      <c r="N408">
        <v>48000</v>
      </c>
      <c r="O408">
        <v>147000</v>
      </c>
      <c r="P408" t="s">
        <v>35</v>
      </c>
      <c r="Q408" t="s">
        <v>2357</v>
      </c>
      <c r="R408" t="s">
        <v>46</v>
      </c>
      <c r="S408">
        <v>3</v>
      </c>
      <c r="T408" t="s">
        <v>24</v>
      </c>
      <c r="U408" t="s">
        <v>2403</v>
      </c>
      <c r="V408">
        <v>2025</v>
      </c>
      <c r="W408">
        <v>3</v>
      </c>
    </row>
    <row r="409" spans="1:23" x14ac:dyDescent="0.25">
      <c r="A409" t="s">
        <v>1370</v>
      </c>
      <c r="B409">
        <v>45736.849074074067</v>
      </c>
      <c r="C409" t="s">
        <v>520</v>
      </c>
      <c r="D409" t="s">
        <v>103</v>
      </c>
      <c r="E409" t="s">
        <v>174</v>
      </c>
      <c r="F409" t="s">
        <v>2400</v>
      </c>
      <c r="G409" t="s">
        <v>2377</v>
      </c>
      <c r="H409">
        <v>10000</v>
      </c>
      <c r="I409">
        <v>4</v>
      </c>
      <c r="J409">
        <v>20</v>
      </c>
      <c r="K409">
        <v>40000</v>
      </c>
      <c r="L409">
        <v>8000</v>
      </c>
      <c r="M409">
        <v>32000</v>
      </c>
      <c r="N409">
        <v>85000</v>
      </c>
      <c r="O409">
        <v>117000</v>
      </c>
      <c r="P409" t="s">
        <v>29</v>
      </c>
      <c r="Q409" t="s">
        <v>2357</v>
      </c>
      <c r="R409" t="s">
        <v>30</v>
      </c>
      <c r="S409">
        <v>4</v>
      </c>
      <c r="T409" t="s">
        <v>24</v>
      </c>
      <c r="U409" t="s">
        <v>2403</v>
      </c>
      <c r="V409">
        <v>2025</v>
      </c>
      <c r="W409">
        <v>3</v>
      </c>
    </row>
    <row r="410" spans="1:23" x14ac:dyDescent="0.25">
      <c r="A410" t="s">
        <v>1371</v>
      </c>
      <c r="B410">
        <v>45737.027592592603</v>
      </c>
      <c r="C410" t="s">
        <v>389</v>
      </c>
      <c r="D410" t="s">
        <v>182</v>
      </c>
      <c r="E410" t="s">
        <v>21</v>
      </c>
      <c r="F410" t="s">
        <v>2394</v>
      </c>
      <c r="G410" t="s">
        <v>2379</v>
      </c>
      <c r="H410">
        <v>45000</v>
      </c>
      <c r="I410">
        <v>3</v>
      </c>
      <c r="J410">
        <v>20</v>
      </c>
      <c r="K410">
        <v>135000</v>
      </c>
      <c r="L410">
        <v>27000</v>
      </c>
      <c r="M410">
        <v>108000</v>
      </c>
      <c r="N410">
        <v>48000</v>
      </c>
      <c r="O410">
        <v>156000</v>
      </c>
      <c r="P410" t="s">
        <v>22</v>
      </c>
      <c r="Q410" t="s">
        <v>2357</v>
      </c>
      <c r="R410" t="s">
        <v>23</v>
      </c>
      <c r="S410">
        <v>1</v>
      </c>
      <c r="T410" t="s">
        <v>24</v>
      </c>
      <c r="U410" t="s">
        <v>2403</v>
      </c>
      <c r="V410">
        <v>2025</v>
      </c>
      <c r="W410">
        <v>3</v>
      </c>
    </row>
    <row r="411" spans="1:23" x14ac:dyDescent="0.25">
      <c r="A411" t="s">
        <v>1372</v>
      </c>
      <c r="B411">
        <v>45737.09814814815</v>
      </c>
      <c r="C411" t="s">
        <v>530</v>
      </c>
      <c r="D411" t="s">
        <v>151</v>
      </c>
      <c r="E411" t="s">
        <v>75</v>
      </c>
      <c r="F411" t="s">
        <v>2398</v>
      </c>
      <c r="G411" t="s">
        <v>2379</v>
      </c>
      <c r="H411">
        <v>55000</v>
      </c>
      <c r="I411">
        <v>4</v>
      </c>
      <c r="J411">
        <v>5</v>
      </c>
      <c r="K411">
        <v>220000</v>
      </c>
      <c r="L411">
        <v>11000</v>
      </c>
      <c r="M411">
        <v>209000</v>
      </c>
      <c r="N411">
        <v>55000</v>
      </c>
      <c r="O411">
        <v>264000</v>
      </c>
      <c r="P411" t="s">
        <v>22</v>
      </c>
      <c r="Q411" t="s">
        <v>2357</v>
      </c>
      <c r="R411" t="s">
        <v>82</v>
      </c>
      <c r="S411">
        <v>2</v>
      </c>
      <c r="T411" t="s">
        <v>24</v>
      </c>
      <c r="U411" t="s">
        <v>2403</v>
      </c>
      <c r="V411">
        <v>2025</v>
      </c>
      <c r="W411">
        <v>3</v>
      </c>
    </row>
    <row r="412" spans="1:23" x14ac:dyDescent="0.25">
      <c r="A412" t="s">
        <v>1372</v>
      </c>
      <c r="B412">
        <v>45737.09814814815</v>
      </c>
      <c r="C412" t="s">
        <v>530</v>
      </c>
      <c r="D412" t="s">
        <v>151</v>
      </c>
      <c r="E412" t="s">
        <v>104</v>
      </c>
      <c r="F412" t="s">
        <v>2392</v>
      </c>
      <c r="G412" t="s">
        <v>2377</v>
      </c>
      <c r="H412">
        <v>30000</v>
      </c>
      <c r="I412">
        <v>3</v>
      </c>
      <c r="J412">
        <v>5</v>
      </c>
      <c r="K412">
        <v>90000</v>
      </c>
      <c r="L412">
        <v>4500</v>
      </c>
      <c r="M412">
        <v>85500</v>
      </c>
      <c r="N412">
        <v>0</v>
      </c>
      <c r="O412">
        <v>85500</v>
      </c>
      <c r="P412" t="s">
        <v>22</v>
      </c>
      <c r="Q412" t="s">
        <v>2357</v>
      </c>
      <c r="R412" t="s">
        <v>82</v>
      </c>
      <c r="S412">
        <v>2</v>
      </c>
      <c r="T412" t="s">
        <v>24</v>
      </c>
      <c r="U412" t="s">
        <v>2403</v>
      </c>
      <c r="V412">
        <v>2025</v>
      </c>
      <c r="W412">
        <v>3</v>
      </c>
    </row>
    <row r="413" spans="1:23" x14ac:dyDescent="0.25">
      <c r="A413" t="s">
        <v>1373</v>
      </c>
      <c r="B413">
        <v>45737.182812500003</v>
      </c>
      <c r="C413" t="s">
        <v>379</v>
      </c>
      <c r="D413" t="s">
        <v>27</v>
      </c>
      <c r="E413" t="s">
        <v>75</v>
      </c>
      <c r="F413" t="s">
        <v>2398</v>
      </c>
      <c r="G413" t="s">
        <v>2379</v>
      </c>
      <c r="H413">
        <v>55000</v>
      </c>
      <c r="I413">
        <v>4</v>
      </c>
      <c r="J413">
        <v>20</v>
      </c>
      <c r="K413">
        <v>220000</v>
      </c>
      <c r="L413">
        <v>44000</v>
      </c>
      <c r="M413">
        <v>176000</v>
      </c>
      <c r="N413">
        <v>17000</v>
      </c>
      <c r="O413">
        <v>193000</v>
      </c>
      <c r="P413" t="s">
        <v>29</v>
      </c>
      <c r="Q413" t="s">
        <v>2356</v>
      </c>
      <c r="R413" t="s">
        <v>46</v>
      </c>
      <c r="S413">
        <v>1</v>
      </c>
      <c r="T413" t="s">
        <v>24</v>
      </c>
      <c r="U413" t="s">
        <v>2403</v>
      </c>
      <c r="V413">
        <v>2025</v>
      </c>
      <c r="W413">
        <v>3</v>
      </c>
    </row>
    <row r="414" spans="1:23" x14ac:dyDescent="0.25">
      <c r="A414" t="s">
        <v>1374</v>
      </c>
      <c r="B414">
        <v>45737.262083333328</v>
      </c>
      <c r="C414" t="s">
        <v>157</v>
      </c>
      <c r="D414" t="s">
        <v>20</v>
      </c>
      <c r="E414" t="s">
        <v>190</v>
      </c>
      <c r="F414" t="s">
        <v>2392</v>
      </c>
      <c r="G414" t="s">
        <v>2378</v>
      </c>
      <c r="H414">
        <v>35000</v>
      </c>
      <c r="I414">
        <v>1</v>
      </c>
      <c r="J414">
        <v>15</v>
      </c>
      <c r="K414">
        <v>35000</v>
      </c>
      <c r="L414">
        <v>5250</v>
      </c>
      <c r="M414">
        <v>29750</v>
      </c>
      <c r="N414">
        <v>15000</v>
      </c>
      <c r="O414">
        <v>44750</v>
      </c>
      <c r="P414" t="s">
        <v>29</v>
      </c>
      <c r="Q414" t="s">
        <v>2357</v>
      </c>
      <c r="R414" t="s">
        <v>30</v>
      </c>
      <c r="S414">
        <v>2</v>
      </c>
      <c r="T414" t="s">
        <v>24</v>
      </c>
      <c r="U414" t="s">
        <v>2403</v>
      </c>
      <c r="V414">
        <v>2025</v>
      </c>
      <c r="W414">
        <v>3</v>
      </c>
    </row>
    <row r="415" spans="1:23" x14ac:dyDescent="0.25">
      <c r="A415" t="s">
        <v>1375</v>
      </c>
      <c r="B415">
        <v>45737.274826388893</v>
      </c>
      <c r="C415" t="s">
        <v>197</v>
      </c>
      <c r="D415" t="s">
        <v>119</v>
      </c>
      <c r="E415" t="s">
        <v>93</v>
      </c>
      <c r="F415" t="s">
        <v>2399</v>
      </c>
      <c r="G415" t="s">
        <v>2378</v>
      </c>
      <c r="H415">
        <v>25000</v>
      </c>
      <c r="I415">
        <v>2</v>
      </c>
      <c r="J415">
        <v>0</v>
      </c>
      <c r="K415">
        <v>50000</v>
      </c>
      <c r="L415">
        <v>0</v>
      </c>
      <c r="M415">
        <v>50000</v>
      </c>
      <c r="N415">
        <v>0</v>
      </c>
      <c r="O415">
        <v>50000</v>
      </c>
      <c r="P415" t="s">
        <v>35</v>
      </c>
      <c r="Q415" t="s">
        <v>2357</v>
      </c>
      <c r="R415" t="s">
        <v>23</v>
      </c>
      <c r="S415">
        <v>1</v>
      </c>
      <c r="T415" t="s">
        <v>37</v>
      </c>
      <c r="U415" t="s">
        <v>2403</v>
      </c>
      <c r="V415">
        <v>2025</v>
      </c>
      <c r="W415">
        <v>3</v>
      </c>
    </row>
    <row r="416" spans="1:23" x14ac:dyDescent="0.25">
      <c r="A416" t="s">
        <v>1376</v>
      </c>
      <c r="B416">
        <v>45737.416400462957</v>
      </c>
      <c r="C416" t="s">
        <v>459</v>
      </c>
      <c r="D416" t="s">
        <v>61</v>
      </c>
      <c r="E416" t="s">
        <v>41</v>
      </c>
      <c r="F416" t="s">
        <v>2395</v>
      </c>
      <c r="G416" t="s">
        <v>2377</v>
      </c>
      <c r="H416">
        <v>4000</v>
      </c>
      <c r="I416">
        <v>1</v>
      </c>
      <c r="J416">
        <v>15</v>
      </c>
      <c r="K416">
        <v>4000</v>
      </c>
      <c r="L416">
        <v>600</v>
      </c>
      <c r="M416">
        <v>3400</v>
      </c>
      <c r="N416">
        <v>26000</v>
      </c>
      <c r="O416">
        <v>29400</v>
      </c>
      <c r="P416" t="s">
        <v>22</v>
      </c>
      <c r="Q416" t="s">
        <v>2356</v>
      </c>
      <c r="R416" t="s">
        <v>82</v>
      </c>
      <c r="S416">
        <v>1</v>
      </c>
      <c r="T416" t="s">
        <v>24</v>
      </c>
      <c r="U416" t="s">
        <v>2403</v>
      </c>
      <c r="V416">
        <v>2025</v>
      </c>
      <c r="W416">
        <v>3</v>
      </c>
    </row>
    <row r="417" spans="1:23" x14ac:dyDescent="0.25">
      <c r="A417" t="s">
        <v>1377</v>
      </c>
      <c r="B417">
        <v>45737.589224537027</v>
      </c>
      <c r="C417" t="s">
        <v>699</v>
      </c>
      <c r="D417" t="s">
        <v>238</v>
      </c>
      <c r="E417" t="s">
        <v>144</v>
      </c>
      <c r="F417" t="s">
        <v>2396</v>
      </c>
      <c r="G417" t="s">
        <v>2379</v>
      </c>
      <c r="H417">
        <v>18000</v>
      </c>
      <c r="I417">
        <v>3</v>
      </c>
      <c r="J417">
        <v>0</v>
      </c>
      <c r="K417">
        <v>54000</v>
      </c>
      <c r="L417">
        <v>0</v>
      </c>
      <c r="M417">
        <v>54000</v>
      </c>
      <c r="N417">
        <v>28000</v>
      </c>
      <c r="O417">
        <v>82000</v>
      </c>
      <c r="P417" t="s">
        <v>22</v>
      </c>
      <c r="Q417" t="s">
        <v>2357</v>
      </c>
      <c r="R417" t="s">
        <v>36</v>
      </c>
      <c r="S417">
        <v>4</v>
      </c>
      <c r="T417" t="s">
        <v>37</v>
      </c>
      <c r="U417" t="s">
        <v>2403</v>
      </c>
      <c r="V417">
        <v>2025</v>
      </c>
      <c r="W417">
        <v>3</v>
      </c>
    </row>
    <row r="418" spans="1:23" x14ac:dyDescent="0.25">
      <c r="A418" t="s">
        <v>1378</v>
      </c>
      <c r="B418">
        <v>45738.016157407408</v>
      </c>
      <c r="C418" t="s">
        <v>287</v>
      </c>
      <c r="D418" t="s">
        <v>262</v>
      </c>
      <c r="E418" t="s">
        <v>28</v>
      </c>
      <c r="F418" t="s">
        <v>2395</v>
      </c>
      <c r="G418" t="s">
        <v>2378</v>
      </c>
      <c r="H418">
        <v>5000</v>
      </c>
      <c r="I418">
        <v>2</v>
      </c>
      <c r="J418">
        <v>10</v>
      </c>
      <c r="K418">
        <v>10000</v>
      </c>
      <c r="L418">
        <v>1000</v>
      </c>
      <c r="M418">
        <v>9000</v>
      </c>
      <c r="N418">
        <v>18000</v>
      </c>
      <c r="O418">
        <v>27000</v>
      </c>
      <c r="P418" t="s">
        <v>35</v>
      </c>
      <c r="Q418" t="s">
        <v>2357</v>
      </c>
      <c r="R418" t="s">
        <v>30</v>
      </c>
      <c r="S418">
        <v>4</v>
      </c>
      <c r="T418" t="s">
        <v>24</v>
      </c>
      <c r="U418" t="s">
        <v>2403</v>
      </c>
      <c r="V418">
        <v>2025</v>
      </c>
      <c r="W418">
        <v>3</v>
      </c>
    </row>
    <row r="419" spans="1:23" x14ac:dyDescent="0.25">
      <c r="A419" t="s">
        <v>1379</v>
      </c>
      <c r="B419">
        <v>45738.317511574067</v>
      </c>
      <c r="C419" t="s">
        <v>425</v>
      </c>
      <c r="D419" t="s">
        <v>44</v>
      </c>
      <c r="E419" t="s">
        <v>190</v>
      </c>
      <c r="F419" t="s">
        <v>2392</v>
      </c>
      <c r="G419" t="s">
        <v>2378</v>
      </c>
      <c r="H419">
        <v>35000</v>
      </c>
      <c r="I419">
        <v>1</v>
      </c>
      <c r="J419">
        <v>5</v>
      </c>
      <c r="K419">
        <v>35000</v>
      </c>
      <c r="L419">
        <v>1750</v>
      </c>
      <c r="M419">
        <v>33250</v>
      </c>
      <c r="N419">
        <v>93000</v>
      </c>
      <c r="O419">
        <v>126250</v>
      </c>
      <c r="P419" t="s">
        <v>35</v>
      </c>
      <c r="Q419" t="s">
        <v>2357</v>
      </c>
      <c r="R419" t="s">
        <v>46</v>
      </c>
      <c r="S419">
        <v>3</v>
      </c>
      <c r="T419" t="s">
        <v>37</v>
      </c>
      <c r="U419" t="s">
        <v>2403</v>
      </c>
      <c r="V419">
        <v>2025</v>
      </c>
      <c r="W419">
        <v>3</v>
      </c>
    </row>
    <row r="420" spans="1:23" x14ac:dyDescent="0.25">
      <c r="A420" t="s">
        <v>1380</v>
      </c>
      <c r="B420">
        <v>45738.897222222222</v>
      </c>
      <c r="C420" t="s">
        <v>983</v>
      </c>
      <c r="D420" t="s">
        <v>262</v>
      </c>
      <c r="E420" t="s">
        <v>41</v>
      </c>
      <c r="F420" t="s">
        <v>2395</v>
      </c>
      <c r="G420" t="s">
        <v>2377</v>
      </c>
      <c r="H420">
        <v>4000</v>
      </c>
      <c r="I420">
        <v>4</v>
      </c>
      <c r="J420">
        <v>0</v>
      </c>
      <c r="K420">
        <v>16000</v>
      </c>
      <c r="L420">
        <v>0</v>
      </c>
      <c r="M420">
        <v>16000</v>
      </c>
      <c r="N420">
        <v>18000</v>
      </c>
      <c r="O420">
        <v>34000</v>
      </c>
      <c r="P420" t="s">
        <v>22</v>
      </c>
      <c r="Q420" t="s">
        <v>2357</v>
      </c>
      <c r="R420" t="s">
        <v>46</v>
      </c>
      <c r="S420">
        <v>3</v>
      </c>
      <c r="T420" t="s">
        <v>37</v>
      </c>
      <c r="U420" t="s">
        <v>2403</v>
      </c>
      <c r="V420">
        <v>2025</v>
      </c>
      <c r="W420">
        <v>3</v>
      </c>
    </row>
    <row r="421" spans="1:23" x14ac:dyDescent="0.25">
      <c r="A421" t="s">
        <v>1381</v>
      </c>
      <c r="B421">
        <v>45739.073599537027</v>
      </c>
      <c r="C421" t="s">
        <v>1382</v>
      </c>
      <c r="D421" t="s">
        <v>74</v>
      </c>
      <c r="E421" t="s">
        <v>93</v>
      </c>
      <c r="F421" t="s">
        <v>2399</v>
      </c>
      <c r="G421" t="s">
        <v>2378</v>
      </c>
      <c r="H421">
        <v>25000</v>
      </c>
      <c r="I421">
        <v>5</v>
      </c>
      <c r="J421">
        <v>5</v>
      </c>
      <c r="K421">
        <v>125000</v>
      </c>
      <c r="L421">
        <v>6250</v>
      </c>
      <c r="M421">
        <v>118750</v>
      </c>
      <c r="N421">
        <v>87000</v>
      </c>
      <c r="O421">
        <v>205750</v>
      </c>
      <c r="P421" t="s">
        <v>29</v>
      </c>
      <c r="Q421" t="s">
        <v>2357</v>
      </c>
      <c r="R421" t="s">
        <v>30</v>
      </c>
      <c r="S421">
        <v>1</v>
      </c>
      <c r="T421" t="s">
        <v>24</v>
      </c>
      <c r="U421" t="s">
        <v>2403</v>
      </c>
      <c r="V421">
        <v>2025</v>
      </c>
      <c r="W421">
        <v>3</v>
      </c>
    </row>
    <row r="422" spans="1:23" x14ac:dyDescent="0.25">
      <c r="A422" t="s">
        <v>1383</v>
      </c>
      <c r="B422">
        <v>45739.2190625</v>
      </c>
      <c r="C422" t="s">
        <v>355</v>
      </c>
      <c r="D422" t="s">
        <v>116</v>
      </c>
      <c r="E422" t="s">
        <v>104</v>
      </c>
      <c r="F422" t="s">
        <v>2392</v>
      </c>
      <c r="G422" t="s">
        <v>2377</v>
      </c>
      <c r="H422">
        <v>30000</v>
      </c>
      <c r="I422">
        <v>3</v>
      </c>
      <c r="J422">
        <v>10</v>
      </c>
      <c r="K422">
        <v>90000</v>
      </c>
      <c r="L422">
        <v>9000</v>
      </c>
      <c r="M422">
        <v>81000</v>
      </c>
      <c r="N422">
        <v>72000</v>
      </c>
      <c r="O422">
        <v>153000</v>
      </c>
      <c r="P422" t="s">
        <v>29</v>
      </c>
      <c r="Q422" t="s">
        <v>2357</v>
      </c>
      <c r="R422" t="s">
        <v>23</v>
      </c>
      <c r="S422">
        <v>3</v>
      </c>
      <c r="T422" t="s">
        <v>24</v>
      </c>
      <c r="U422" t="s">
        <v>2403</v>
      </c>
      <c r="V422">
        <v>2025</v>
      </c>
      <c r="W422">
        <v>3</v>
      </c>
    </row>
    <row r="423" spans="1:23" x14ac:dyDescent="0.25">
      <c r="A423" t="s">
        <v>1384</v>
      </c>
      <c r="B423">
        <v>45739.852824074071</v>
      </c>
      <c r="C423" t="s">
        <v>150</v>
      </c>
      <c r="D423" t="s">
        <v>151</v>
      </c>
      <c r="E423" t="s">
        <v>144</v>
      </c>
      <c r="F423" t="s">
        <v>2396</v>
      </c>
      <c r="G423" t="s">
        <v>2379</v>
      </c>
      <c r="H423">
        <v>18000</v>
      </c>
      <c r="I423">
        <v>3</v>
      </c>
      <c r="J423">
        <v>20</v>
      </c>
      <c r="K423">
        <v>54000</v>
      </c>
      <c r="L423">
        <v>10800</v>
      </c>
      <c r="M423">
        <v>43200</v>
      </c>
      <c r="N423">
        <v>55000</v>
      </c>
      <c r="O423">
        <v>98200</v>
      </c>
      <c r="P423" t="s">
        <v>22</v>
      </c>
      <c r="Q423" t="s">
        <v>2359</v>
      </c>
      <c r="R423" t="s">
        <v>23</v>
      </c>
      <c r="S423">
        <v>1</v>
      </c>
      <c r="T423" t="s">
        <v>37</v>
      </c>
      <c r="U423" t="s">
        <v>2403</v>
      </c>
      <c r="V423">
        <v>2025</v>
      </c>
      <c r="W423">
        <v>3</v>
      </c>
    </row>
    <row r="424" spans="1:23" x14ac:dyDescent="0.25">
      <c r="A424" t="s">
        <v>1385</v>
      </c>
      <c r="B424">
        <v>45740.333715277768</v>
      </c>
      <c r="C424" t="s">
        <v>796</v>
      </c>
      <c r="D424" t="s">
        <v>119</v>
      </c>
      <c r="E424" t="s">
        <v>93</v>
      </c>
      <c r="F424" t="s">
        <v>2399</v>
      </c>
      <c r="G424" t="s">
        <v>2378</v>
      </c>
      <c r="H424">
        <v>25000</v>
      </c>
      <c r="I424">
        <v>4</v>
      </c>
      <c r="J424">
        <v>15</v>
      </c>
      <c r="K424">
        <v>100000</v>
      </c>
      <c r="L424">
        <v>15000</v>
      </c>
      <c r="M424">
        <v>85000</v>
      </c>
      <c r="N424">
        <v>0</v>
      </c>
      <c r="O424">
        <v>85000</v>
      </c>
      <c r="P424" t="s">
        <v>35</v>
      </c>
      <c r="Q424" t="s">
        <v>2357</v>
      </c>
      <c r="R424" t="s">
        <v>36</v>
      </c>
      <c r="S424">
        <v>4</v>
      </c>
      <c r="T424" t="s">
        <v>24</v>
      </c>
      <c r="U424" t="s">
        <v>2403</v>
      </c>
      <c r="V424">
        <v>2025</v>
      </c>
      <c r="W424">
        <v>3</v>
      </c>
    </row>
    <row r="425" spans="1:23" x14ac:dyDescent="0.25">
      <c r="A425" t="s">
        <v>1386</v>
      </c>
      <c r="B425">
        <v>45741.51085648148</v>
      </c>
      <c r="C425" t="s">
        <v>79</v>
      </c>
      <c r="D425" t="s">
        <v>80</v>
      </c>
      <c r="E425" t="s">
        <v>250</v>
      </c>
      <c r="F425" t="s">
        <v>2397</v>
      </c>
      <c r="G425" t="s">
        <v>2379</v>
      </c>
      <c r="H425">
        <v>18000</v>
      </c>
      <c r="I425">
        <v>2</v>
      </c>
      <c r="J425">
        <v>10</v>
      </c>
      <c r="K425">
        <v>36000</v>
      </c>
      <c r="L425">
        <v>3600</v>
      </c>
      <c r="M425">
        <v>32400</v>
      </c>
      <c r="N425">
        <v>74000</v>
      </c>
      <c r="O425">
        <v>106400</v>
      </c>
      <c r="P425" t="s">
        <v>63</v>
      </c>
      <c r="Q425" t="s">
        <v>2357</v>
      </c>
      <c r="R425" t="s">
        <v>23</v>
      </c>
      <c r="S425">
        <v>4</v>
      </c>
      <c r="T425" t="s">
        <v>24</v>
      </c>
      <c r="U425" t="s">
        <v>2403</v>
      </c>
      <c r="V425">
        <v>2025</v>
      </c>
      <c r="W425">
        <v>3</v>
      </c>
    </row>
    <row r="426" spans="1:23" x14ac:dyDescent="0.25">
      <c r="A426" t="s">
        <v>1387</v>
      </c>
      <c r="B426">
        <v>45741.629004629627</v>
      </c>
      <c r="C426" t="s">
        <v>1122</v>
      </c>
      <c r="D426" t="s">
        <v>33</v>
      </c>
      <c r="E426" t="s">
        <v>136</v>
      </c>
      <c r="F426" t="s">
        <v>2400</v>
      </c>
      <c r="G426" t="s">
        <v>2378</v>
      </c>
      <c r="H426">
        <v>12000</v>
      </c>
      <c r="I426">
        <v>4</v>
      </c>
      <c r="J426">
        <v>5</v>
      </c>
      <c r="K426">
        <v>48000</v>
      </c>
      <c r="L426">
        <v>2400</v>
      </c>
      <c r="M426">
        <v>45600</v>
      </c>
      <c r="N426">
        <v>76000</v>
      </c>
      <c r="O426">
        <v>121600</v>
      </c>
      <c r="P426" t="s">
        <v>22</v>
      </c>
      <c r="Q426" t="s">
        <v>2357</v>
      </c>
      <c r="R426" t="s">
        <v>30</v>
      </c>
      <c r="S426">
        <v>4</v>
      </c>
      <c r="T426" t="s">
        <v>24</v>
      </c>
      <c r="U426" t="s">
        <v>2403</v>
      </c>
      <c r="V426">
        <v>2025</v>
      </c>
      <c r="W426">
        <v>3</v>
      </c>
    </row>
    <row r="427" spans="1:23" x14ac:dyDescent="0.25">
      <c r="A427" t="s">
        <v>1388</v>
      </c>
      <c r="B427">
        <v>45741.712824074071</v>
      </c>
      <c r="C427" t="s">
        <v>821</v>
      </c>
      <c r="D427" t="s">
        <v>131</v>
      </c>
      <c r="E427" t="s">
        <v>136</v>
      </c>
      <c r="F427" t="s">
        <v>2400</v>
      </c>
      <c r="G427" t="s">
        <v>2378</v>
      </c>
      <c r="H427">
        <v>12000</v>
      </c>
      <c r="I427">
        <v>5</v>
      </c>
      <c r="J427">
        <v>5</v>
      </c>
      <c r="K427">
        <v>60000</v>
      </c>
      <c r="L427">
        <v>3000</v>
      </c>
      <c r="M427">
        <v>57000</v>
      </c>
      <c r="N427">
        <v>59000</v>
      </c>
      <c r="O427">
        <v>116000</v>
      </c>
      <c r="P427" t="s">
        <v>35</v>
      </c>
      <c r="Q427" t="s">
        <v>2357</v>
      </c>
      <c r="R427" t="s">
        <v>23</v>
      </c>
      <c r="S427">
        <v>1</v>
      </c>
      <c r="T427" t="s">
        <v>24</v>
      </c>
      <c r="U427" t="s">
        <v>2403</v>
      </c>
      <c r="V427">
        <v>2025</v>
      </c>
      <c r="W427">
        <v>3</v>
      </c>
    </row>
    <row r="428" spans="1:23" x14ac:dyDescent="0.25">
      <c r="A428" t="s">
        <v>1389</v>
      </c>
      <c r="B428">
        <v>45741.821875000001</v>
      </c>
      <c r="C428" t="s">
        <v>1061</v>
      </c>
      <c r="D428" t="s">
        <v>44</v>
      </c>
      <c r="E428" t="s">
        <v>250</v>
      </c>
      <c r="F428" t="s">
        <v>2397</v>
      </c>
      <c r="G428" t="s">
        <v>2379</v>
      </c>
      <c r="H428">
        <v>18000</v>
      </c>
      <c r="I428">
        <v>3</v>
      </c>
      <c r="J428">
        <v>15</v>
      </c>
      <c r="K428">
        <v>54000</v>
      </c>
      <c r="L428">
        <v>8100</v>
      </c>
      <c r="M428">
        <v>45900</v>
      </c>
      <c r="N428">
        <v>93000</v>
      </c>
      <c r="O428">
        <v>138900</v>
      </c>
      <c r="P428" t="s">
        <v>63</v>
      </c>
      <c r="Q428" t="s">
        <v>2356</v>
      </c>
      <c r="R428" t="s">
        <v>36</v>
      </c>
      <c r="S428">
        <v>4</v>
      </c>
      <c r="T428" t="s">
        <v>37</v>
      </c>
      <c r="U428" t="s">
        <v>2403</v>
      </c>
      <c r="V428">
        <v>2025</v>
      </c>
      <c r="W428">
        <v>3</v>
      </c>
    </row>
    <row r="429" spans="1:23" x14ac:dyDescent="0.25">
      <c r="A429" t="s">
        <v>1390</v>
      </c>
      <c r="B429">
        <v>45741.848124999997</v>
      </c>
      <c r="C429" t="s">
        <v>179</v>
      </c>
      <c r="D429" t="s">
        <v>66</v>
      </c>
      <c r="E429" t="s">
        <v>41</v>
      </c>
      <c r="F429" t="s">
        <v>2395</v>
      </c>
      <c r="G429" t="s">
        <v>2377</v>
      </c>
      <c r="H429">
        <v>4000</v>
      </c>
      <c r="I429">
        <v>5</v>
      </c>
      <c r="J429">
        <v>15</v>
      </c>
      <c r="K429">
        <v>20000</v>
      </c>
      <c r="L429">
        <v>3000</v>
      </c>
      <c r="M429">
        <v>17000</v>
      </c>
      <c r="N429">
        <v>59000</v>
      </c>
      <c r="O429">
        <v>76000</v>
      </c>
      <c r="P429" t="s">
        <v>22</v>
      </c>
      <c r="Q429" t="s">
        <v>2357</v>
      </c>
      <c r="R429" t="s">
        <v>23</v>
      </c>
      <c r="S429">
        <v>5</v>
      </c>
      <c r="T429" t="s">
        <v>24</v>
      </c>
      <c r="U429" t="s">
        <v>2403</v>
      </c>
      <c r="V429">
        <v>2025</v>
      </c>
      <c r="W429">
        <v>3</v>
      </c>
    </row>
    <row r="430" spans="1:23" x14ac:dyDescent="0.25">
      <c r="A430" t="s">
        <v>1391</v>
      </c>
      <c r="B430">
        <v>45741.960219907407</v>
      </c>
      <c r="C430" t="s">
        <v>1033</v>
      </c>
      <c r="D430" t="s">
        <v>122</v>
      </c>
      <c r="E430" t="s">
        <v>81</v>
      </c>
      <c r="F430" t="s">
        <v>2397</v>
      </c>
      <c r="G430" t="s">
        <v>2378</v>
      </c>
      <c r="H430">
        <v>17000</v>
      </c>
      <c r="I430">
        <v>2</v>
      </c>
      <c r="J430">
        <v>5</v>
      </c>
      <c r="K430">
        <v>34000</v>
      </c>
      <c r="L430">
        <v>1700</v>
      </c>
      <c r="M430">
        <v>32300</v>
      </c>
      <c r="N430">
        <v>78000</v>
      </c>
      <c r="O430">
        <v>110300</v>
      </c>
      <c r="P430" t="s">
        <v>22</v>
      </c>
      <c r="Q430" t="s">
        <v>2357</v>
      </c>
      <c r="R430" t="s">
        <v>82</v>
      </c>
      <c r="S430">
        <v>4</v>
      </c>
      <c r="T430" t="s">
        <v>24</v>
      </c>
      <c r="U430" t="s">
        <v>2403</v>
      </c>
      <c r="V430">
        <v>2025</v>
      </c>
      <c r="W430">
        <v>3</v>
      </c>
    </row>
    <row r="431" spans="1:23" x14ac:dyDescent="0.25">
      <c r="A431" t="s">
        <v>1392</v>
      </c>
      <c r="B431">
        <v>45741.97420138889</v>
      </c>
      <c r="C431" t="s">
        <v>1003</v>
      </c>
      <c r="D431" t="s">
        <v>262</v>
      </c>
      <c r="E431" t="s">
        <v>71</v>
      </c>
      <c r="F431" t="s">
        <v>2392</v>
      </c>
      <c r="G431" t="s">
        <v>2379</v>
      </c>
      <c r="H431">
        <v>40000</v>
      </c>
      <c r="I431">
        <v>2</v>
      </c>
      <c r="J431">
        <v>0</v>
      </c>
      <c r="K431">
        <v>80000</v>
      </c>
      <c r="L431">
        <v>0</v>
      </c>
      <c r="M431">
        <v>80000</v>
      </c>
      <c r="N431">
        <v>18000</v>
      </c>
      <c r="O431">
        <v>98000</v>
      </c>
      <c r="P431" t="s">
        <v>29</v>
      </c>
      <c r="Q431" t="s">
        <v>2357</v>
      </c>
      <c r="R431" t="s">
        <v>46</v>
      </c>
      <c r="S431">
        <v>5</v>
      </c>
      <c r="T431" t="s">
        <v>24</v>
      </c>
      <c r="U431" t="s">
        <v>2403</v>
      </c>
      <c r="V431">
        <v>2025</v>
      </c>
      <c r="W431">
        <v>3</v>
      </c>
    </row>
    <row r="432" spans="1:23" x14ac:dyDescent="0.25">
      <c r="A432" t="s">
        <v>1393</v>
      </c>
      <c r="B432">
        <v>45742.000601851847</v>
      </c>
      <c r="C432" t="s">
        <v>1053</v>
      </c>
      <c r="D432" t="s">
        <v>80</v>
      </c>
      <c r="E432" t="s">
        <v>136</v>
      </c>
      <c r="F432" t="s">
        <v>2400</v>
      </c>
      <c r="G432" t="s">
        <v>2378</v>
      </c>
      <c r="H432">
        <v>12000</v>
      </c>
      <c r="I432">
        <v>3</v>
      </c>
      <c r="J432">
        <v>5</v>
      </c>
      <c r="K432">
        <v>36000</v>
      </c>
      <c r="L432">
        <v>1800</v>
      </c>
      <c r="M432">
        <v>34200</v>
      </c>
      <c r="N432">
        <v>74000</v>
      </c>
      <c r="O432">
        <v>108200</v>
      </c>
      <c r="P432" t="s">
        <v>63</v>
      </c>
      <c r="Q432" t="s">
        <v>2356</v>
      </c>
      <c r="R432" t="s">
        <v>46</v>
      </c>
      <c r="S432">
        <v>5</v>
      </c>
      <c r="T432" t="s">
        <v>24</v>
      </c>
      <c r="U432" t="s">
        <v>2403</v>
      </c>
      <c r="V432">
        <v>2025</v>
      </c>
      <c r="W432">
        <v>3</v>
      </c>
    </row>
    <row r="433" spans="1:23" x14ac:dyDescent="0.25">
      <c r="A433" t="s">
        <v>1394</v>
      </c>
      <c r="B433">
        <v>45742.223946759259</v>
      </c>
      <c r="C433" t="s">
        <v>295</v>
      </c>
      <c r="D433" t="s">
        <v>296</v>
      </c>
      <c r="E433" t="s">
        <v>50</v>
      </c>
      <c r="F433" t="s">
        <v>2400</v>
      </c>
      <c r="G433" t="s">
        <v>2379</v>
      </c>
      <c r="H433">
        <v>14000</v>
      </c>
      <c r="I433">
        <v>5</v>
      </c>
      <c r="J433">
        <v>0</v>
      </c>
      <c r="K433">
        <v>70000</v>
      </c>
      <c r="L433">
        <v>0</v>
      </c>
      <c r="M433">
        <v>70000</v>
      </c>
      <c r="N433">
        <v>79000</v>
      </c>
      <c r="O433">
        <v>149000</v>
      </c>
      <c r="P433" t="s">
        <v>22</v>
      </c>
      <c r="Q433" t="s">
        <v>2356</v>
      </c>
      <c r="R433" t="s">
        <v>82</v>
      </c>
      <c r="S433">
        <v>4</v>
      </c>
      <c r="T433" t="s">
        <v>24</v>
      </c>
      <c r="U433" t="s">
        <v>2403</v>
      </c>
      <c r="V433">
        <v>2025</v>
      </c>
      <c r="W433">
        <v>3</v>
      </c>
    </row>
    <row r="434" spans="1:23" x14ac:dyDescent="0.25">
      <c r="A434" t="s">
        <v>1394</v>
      </c>
      <c r="B434">
        <v>45742.223946759259</v>
      </c>
      <c r="C434" t="s">
        <v>295</v>
      </c>
      <c r="D434" t="s">
        <v>296</v>
      </c>
      <c r="E434" t="s">
        <v>41</v>
      </c>
      <c r="F434" t="s">
        <v>2395</v>
      </c>
      <c r="G434" t="s">
        <v>2377</v>
      </c>
      <c r="H434">
        <v>4000</v>
      </c>
      <c r="I434">
        <v>1</v>
      </c>
      <c r="J434">
        <v>5</v>
      </c>
      <c r="K434">
        <v>4000</v>
      </c>
      <c r="L434">
        <v>200</v>
      </c>
      <c r="M434">
        <v>3800</v>
      </c>
      <c r="N434">
        <v>0</v>
      </c>
      <c r="O434">
        <v>3800</v>
      </c>
      <c r="P434" t="s">
        <v>22</v>
      </c>
      <c r="Q434" t="s">
        <v>2356</v>
      </c>
      <c r="R434" t="s">
        <v>82</v>
      </c>
      <c r="S434">
        <v>4</v>
      </c>
      <c r="T434" t="s">
        <v>24</v>
      </c>
      <c r="U434" t="s">
        <v>2403</v>
      </c>
      <c r="V434">
        <v>2025</v>
      </c>
      <c r="W434">
        <v>3</v>
      </c>
    </row>
    <row r="435" spans="1:23" x14ac:dyDescent="0.25">
      <c r="A435" t="s">
        <v>1395</v>
      </c>
      <c r="B435">
        <v>45742.256909722222</v>
      </c>
      <c r="C435" t="s">
        <v>1396</v>
      </c>
      <c r="D435" t="s">
        <v>435</v>
      </c>
      <c r="E435" t="s">
        <v>50</v>
      </c>
      <c r="F435" t="s">
        <v>2400</v>
      </c>
      <c r="G435" t="s">
        <v>2379</v>
      </c>
      <c r="H435">
        <v>14000</v>
      </c>
      <c r="I435">
        <v>4</v>
      </c>
      <c r="J435">
        <v>0</v>
      </c>
      <c r="K435">
        <v>56000</v>
      </c>
      <c r="L435">
        <v>0</v>
      </c>
      <c r="M435">
        <v>56000</v>
      </c>
      <c r="N435">
        <v>67000</v>
      </c>
      <c r="O435">
        <v>123000</v>
      </c>
      <c r="P435" t="s">
        <v>29</v>
      </c>
      <c r="Q435" t="s">
        <v>2357</v>
      </c>
      <c r="R435" t="s">
        <v>82</v>
      </c>
      <c r="S435">
        <v>1</v>
      </c>
      <c r="T435" t="s">
        <v>24</v>
      </c>
      <c r="U435" t="s">
        <v>2403</v>
      </c>
      <c r="V435">
        <v>2025</v>
      </c>
      <c r="W435">
        <v>3</v>
      </c>
    </row>
    <row r="436" spans="1:23" x14ac:dyDescent="0.25">
      <c r="A436" t="s">
        <v>1397</v>
      </c>
      <c r="B436">
        <v>45742.446446759262</v>
      </c>
      <c r="C436" t="s">
        <v>1263</v>
      </c>
      <c r="D436" t="s">
        <v>435</v>
      </c>
      <c r="E436" t="s">
        <v>45</v>
      </c>
      <c r="F436" t="s">
        <v>2394</v>
      </c>
      <c r="G436" t="s">
        <v>2378</v>
      </c>
      <c r="H436">
        <v>40000</v>
      </c>
      <c r="I436">
        <v>2</v>
      </c>
      <c r="J436">
        <v>10</v>
      </c>
      <c r="K436">
        <v>80000</v>
      </c>
      <c r="L436">
        <v>8000</v>
      </c>
      <c r="M436">
        <v>72000</v>
      </c>
      <c r="N436">
        <v>67000</v>
      </c>
      <c r="O436">
        <v>139000</v>
      </c>
      <c r="P436" t="s">
        <v>35</v>
      </c>
      <c r="Q436" t="s">
        <v>2357</v>
      </c>
      <c r="R436" t="s">
        <v>46</v>
      </c>
      <c r="S436">
        <v>2</v>
      </c>
      <c r="T436" t="s">
        <v>24</v>
      </c>
      <c r="U436" t="s">
        <v>2403</v>
      </c>
      <c r="V436">
        <v>2025</v>
      </c>
      <c r="W436">
        <v>3</v>
      </c>
    </row>
    <row r="437" spans="1:23" x14ac:dyDescent="0.25">
      <c r="A437" t="s">
        <v>1398</v>
      </c>
      <c r="B437">
        <v>45742.488703703697</v>
      </c>
      <c r="C437" t="s">
        <v>502</v>
      </c>
      <c r="D437" t="s">
        <v>107</v>
      </c>
      <c r="E437" t="s">
        <v>21</v>
      </c>
      <c r="F437" t="s">
        <v>2394</v>
      </c>
      <c r="G437" t="s">
        <v>2379</v>
      </c>
      <c r="H437">
        <v>45000</v>
      </c>
      <c r="I437">
        <v>1</v>
      </c>
      <c r="J437">
        <v>15</v>
      </c>
      <c r="K437">
        <v>45000</v>
      </c>
      <c r="L437">
        <v>6750</v>
      </c>
      <c r="M437">
        <v>38250</v>
      </c>
      <c r="N437">
        <v>97000</v>
      </c>
      <c r="O437">
        <v>135250</v>
      </c>
      <c r="P437" t="s">
        <v>22</v>
      </c>
      <c r="Q437" t="s">
        <v>2357</v>
      </c>
      <c r="R437" t="s">
        <v>36</v>
      </c>
      <c r="S437">
        <v>1</v>
      </c>
      <c r="T437" t="s">
        <v>24</v>
      </c>
      <c r="U437" t="s">
        <v>2403</v>
      </c>
      <c r="V437">
        <v>2025</v>
      </c>
      <c r="W437">
        <v>3</v>
      </c>
    </row>
    <row r="438" spans="1:23" x14ac:dyDescent="0.25">
      <c r="A438" t="s">
        <v>1399</v>
      </c>
      <c r="B438">
        <v>45743.070451388892</v>
      </c>
      <c r="C438" t="s">
        <v>307</v>
      </c>
      <c r="D438" t="s">
        <v>70</v>
      </c>
      <c r="E438" t="s">
        <v>104</v>
      </c>
      <c r="F438" t="s">
        <v>2392</v>
      </c>
      <c r="G438" t="s">
        <v>2377</v>
      </c>
      <c r="H438">
        <v>30000</v>
      </c>
      <c r="I438">
        <v>2</v>
      </c>
      <c r="J438">
        <v>10</v>
      </c>
      <c r="K438">
        <v>60000</v>
      </c>
      <c r="L438">
        <v>6000</v>
      </c>
      <c r="M438">
        <v>54000</v>
      </c>
      <c r="N438">
        <v>89000</v>
      </c>
      <c r="O438">
        <v>143000</v>
      </c>
      <c r="P438" t="s">
        <v>35</v>
      </c>
      <c r="Q438" t="s">
        <v>2357</v>
      </c>
      <c r="R438" t="s">
        <v>30</v>
      </c>
      <c r="S438">
        <v>1</v>
      </c>
      <c r="T438" t="s">
        <v>24</v>
      </c>
      <c r="U438" t="s">
        <v>2403</v>
      </c>
      <c r="V438">
        <v>2025</v>
      </c>
      <c r="W438">
        <v>3</v>
      </c>
    </row>
    <row r="439" spans="1:23" x14ac:dyDescent="0.25">
      <c r="A439" t="s">
        <v>1400</v>
      </c>
      <c r="B439">
        <v>45743.113888888889</v>
      </c>
      <c r="C439" t="s">
        <v>1005</v>
      </c>
      <c r="D439" t="s">
        <v>122</v>
      </c>
      <c r="E439" t="s">
        <v>190</v>
      </c>
      <c r="F439" t="s">
        <v>2392</v>
      </c>
      <c r="G439" t="s">
        <v>2378</v>
      </c>
      <c r="H439">
        <v>35000</v>
      </c>
      <c r="I439">
        <v>4</v>
      </c>
      <c r="J439">
        <v>20</v>
      </c>
      <c r="K439">
        <v>140000</v>
      </c>
      <c r="L439">
        <v>28000</v>
      </c>
      <c r="M439">
        <v>112000</v>
      </c>
      <c r="N439">
        <v>78000</v>
      </c>
      <c r="O439">
        <v>190000</v>
      </c>
      <c r="P439" t="s">
        <v>22</v>
      </c>
      <c r="Q439" t="s">
        <v>2356</v>
      </c>
      <c r="R439" t="s">
        <v>82</v>
      </c>
      <c r="S439">
        <v>5</v>
      </c>
      <c r="T439" t="s">
        <v>24</v>
      </c>
      <c r="U439" t="s">
        <v>2403</v>
      </c>
      <c r="V439">
        <v>2025</v>
      </c>
      <c r="W439">
        <v>3</v>
      </c>
    </row>
    <row r="440" spans="1:23" x14ac:dyDescent="0.25">
      <c r="A440" t="s">
        <v>1401</v>
      </c>
      <c r="B440">
        <v>45743.153726851851</v>
      </c>
      <c r="C440" t="s">
        <v>203</v>
      </c>
      <c r="D440" t="s">
        <v>20</v>
      </c>
      <c r="E440" t="s">
        <v>93</v>
      </c>
      <c r="F440" t="s">
        <v>2399</v>
      </c>
      <c r="G440" t="s">
        <v>2378</v>
      </c>
      <c r="H440">
        <v>25000</v>
      </c>
      <c r="I440">
        <v>1</v>
      </c>
      <c r="J440">
        <v>20</v>
      </c>
      <c r="K440">
        <v>25000</v>
      </c>
      <c r="L440">
        <v>5000</v>
      </c>
      <c r="M440">
        <v>20000</v>
      </c>
      <c r="N440">
        <v>15000</v>
      </c>
      <c r="O440">
        <v>35000</v>
      </c>
      <c r="P440" t="s">
        <v>22</v>
      </c>
      <c r="Q440" t="s">
        <v>2357</v>
      </c>
      <c r="R440" t="s">
        <v>30</v>
      </c>
      <c r="S440">
        <v>5</v>
      </c>
      <c r="T440" t="s">
        <v>24</v>
      </c>
      <c r="U440" t="s">
        <v>2403</v>
      </c>
      <c r="V440">
        <v>2025</v>
      </c>
      <c r="W440">
        <v>3</v>
      </c>
    </row>
    <row r="441" spans="1:23" x14ac:dyDescent="0.25">
      <c r="A441" t="s">
        <v>1402</v>
      </c>
      <c r="B441">
        <v>45743.156956018523</v>
      </c>
      <c r="C441" t="s">
        <v>883</v>
      </c>
      <c r="D441" t="s">
        <v>44</v>
      </c>
      <c r="E441" t="s">
        <v>38</v>
      </c>
      <c r="F441" t="s">
        <v>2399</v>
      </c>
      <c r="G441" t="s">
        <v>2379</v>
      </c>
      <c r="H441">
        <v>28000</v>
      </c>
      <c r="I441">
        <v>2</v>
      </c>
      <c r="J441">
        <v>20</v>
      </c>
      <c r="K441">
        <v>56000</v>
      </c>
      <c r="L441">
        <v>11200</v>
      </c>
      <c r="M441">
        <v>44800</v>
      </c>
      <c r="N441">
        <v>93000</v>
      </c>
      <c r="O441">
        <v>137800</v>
      </c>
      <c r="P441" t="s">
        <v>63</v>
      </c>
      <c r="Q441" t="s">
        <v>2357</v>
      </c>
      <c r="R441" t="s">
        <v>23</v>
      </c>
      <c r="S441">
        <v>1</v>
      </c>
      <c r="T441" t="s">
        <v>37</v>
      </c>
      <c r="U441" t="s">
        <v>2403</v>
      </c>
      <c r="V441">
        <v>2025</v>
      </c>
      <c r="W441">
        <v>3</v>
      </c>
    </row>
    <row r="442" spans="1:23" x14ac:dyDescent="0.25">
      <c r="A442" t="s">
        <v>1403</v>
      </c>
      <c r="B442">
        <v>45743.376828703702</v>
      </c>
      <c r="C442" t="s">
        <v>188</v>
      </c>
      <c r="D442" t="s">
        <v>189</v>
      </c>
      <c r="E442" t="s">
        <v>186</v>
      </c>
      <c r="F442" t="s">
        <v>2398</v>
      </c>
      <c r="G442" t="s">
        <v>2377</v>
      </c>
      <c r="H442">
        <v>45000</v>
      </c>
      <c r="I442">
        <v>3</v>
      </c>
      <c r="J442">
        <v>15</v>
      </c>
      <c r="K442">
        <v>135000</v>
      </c>
      <c r="L442">
        <v>20250</v>
      </c>
      <c r="M442">
        <v>114750</v>
      </c>
      <c r="N442">
        <v>57000</v>
      </c>
      <c r="O442">
        <v>171750</v>
      </c>
      <c r="P442" t="s">
        <v>29</v>
      </c>
      <c r="Q442" t="s">
        <v>2357</v>
      </c>
      <c r="R442" t="s">
        <v>30</v>
      </c>
      <c r="S442">
        <v>3</v>
      </c>
      <c r="T442" t="s">
        <v>24</v>
      </c>
      <c r="U442" t="s">
        <v>2403</v>
      </c>
      <c r="V442">
        <v>2025</v>
      </c>
      <c r="W442">
        <v>3</v>
      </c>
    </row>
    <row r="443" spans="1:23" x14ac:dyDescent="0.25">
      <c r="A443" t="s">
        <v>1403</v>
      </c>
      <c r="B443">
        <v>45743.376828703702</v>
      </c>
      <c r="C443" t="s">
        <v>188</v>
      </c>
      <c r="D443" t="s">
        <v>189</v>
      </c>
      <c r="E443" t="s">
        <v>41</v>
      </c>
      <c r="F443" t="s">
        <v>2395</v>
      </c>
      <c r="G443" t="s">
        <v>2377</v>
      </c>
      <c r="H443">
        <v>4000</v>
      </c>
      <c r="I443">
        <v>2</v>
      </c>
      <c r="J443">
        <v>0</v>
      </c>
      <c r="K443">
        <v>8000</v>
      </c>
      <c r="L443">
        <v>0</v>
      </c>
      <c r="M443">
        <v>8000</v>
      </c>
      <c r="N443">
        <v>0</v>
      </c>
      <c r="O443">
        <v>8000</v>
      </c>
      <c r="P443" t="s">
        <v>29</v>
      </c>
      <c r="Q443" t="s">
        <v>2357</v>
      </c>
      <c r="R443" t="s">
        <v>30</v>
      </c>
      <c r="S443">
        <v>3</v>
      </c>
      <c r="T443" t="s">
        <v>24</v>
      </c>
      <c r="U443" t="s">
        <v>2403</v>
      </c>
      <c r="V443">
        <v>2025</v>
      </c>
      <c r="W443">
        <v>3</v>
      </c>
    </row>
    <row r="444" spans="1:23" x14ac:dyDescent="0.25">
      <c r="A444" t="s">
        <v>1404</v>
      </c>
      <c r="B444">
        <v>45743.42528935185</v>
      </c>
      <c r="C444" t="s">
        <v>287</v>
      </c>
      <c r="D444" t="s">
        <v>262</v>
      </c>
      <c r="E444" t="s">
        <v>45</v>
      </c>
      <c r="F444" t="s">
        <v>2394</v>
      </c>
      <c r="G444" t="s">
        <v>2378</v>
      </c>
      <c r="H444">
        <v>40000</v>
      </c>
      <c r="I444">
        <v>1</v>
      </c>
      <c r="J444">
        <v>15</v>
      </c>
      <c r="K444">
        <v>40000</v>
      </c>
      <c r="L444">
        <v>6000</v>
      </c>
      <c r="M444">
        <v>34000</v>
      </c>
      <c r="N444">
        <v>18000</v>
      </c>
      <c r="O444">
        <v>52000</v>
      </c>
      <c r="P444" t="s">
        <v>35</v>
      </c>
      <c r="Q444" t="s">
        <v>2357</v>
      </c>
      <c r="R444" t="s">
        <v>46</v>
      </c>
      <c r="S444">
        <v>5</v>
      </c>
      <c r="T444" t="s">
        <v>24</v>
      </c>
      <c r="U444" t="s">
        <v>2403</v>
      </c>
      <c r="V444">
        <v>2025</v>
      </c>
      <c r="W444">
        <v>3</v>
      </c>
    </row>
    <row r="445" spans="1:23" x14ac:dyDescent="0.25">
      <c r="A445" t="s">
        <v>1405</v>
      </c>
      <c r="B445">
        <v>45743.454618055563</v>
      </c>
      <c r="C445" t="s">
        <v>451</v>
      </c>
      <c r="D445" t="s">
        <v>116</v>
      </c>
      <c r="E445" t="s">
        <v>54</v>
      </c>
      <c r="F445" t="s">
        <v>2393</v>
      </c>
      <c r="G445" t="s">
        <v>2379</v>
      </c>
      <c r="H445">
        <v>16000</v>
      </c>
      <c r="I445">
        <v>1</v>
      </c>
      <c r="J445">
        <v>5</v>
      </c>
      <c r="K445">
        <v>16000</v>
      </c>
      <c r="L445">
        <v>800</v>
      </c>
      <c r="M445">
        <v>15200</v>
      </c>
      <c r="N445">
        <v>72000</v>
      </c>
      <c r="O445">
        <v>87200</v>
      </c>
      <c r="P445" t="s">
        <v>29</v>
      </c>
      <c r="Q445" t="s">
        <v>2356</v>
      </c>
      <c r="R445" t="s">
        <v>30</v>
      </c>
      <c r="S445">
        <v>5</v>
      </c>
      <c r="T445" t="s">
        <v>24</v>
      </c>
      <c r="U445" t="s">
        <v>2403</v>
      </c>
      <c r="V445">
        <v>2025</v>
      </c>
      <c r="W445">
        <v>3</v>
      </c>
    </row>
    <row r="446" spans="1:23" x14ac:dyDescent="0.25">
      <c r="A446" t="s">
        <v>1406</v>
      </c>
      <c r="B446">
        <v>45743.784884259258</v>
      </c>
      <c r="C446" t="s">
        <v>121</v>
      </c>
      <c r="D446" t="s">
        <v>122</v>
      </c>
      <c r="E446" t="s">
        <v>186</v>
      </c>
      <c r="F446" t="s">
        <v>2398</v>
      </c>
      <c r="G446" t="s">
        <v>2377</v>
      </c>
      <c r="H446">
        <v>45000</v>
      </c>
      <c r="I446">
        <v>3</v>
      </c>
      <c r="J446">
        <v>15</v>
      </c>
      <c r="K446">
        <v>135000</v>
      </c>
      <c r="L446">
        <v>20250</v>
      </c>
      <c r="M446">
        <v>114750</v>
      </c>
      <c r="N446">
        <v>78000</v>
      </c>
      <c r="O446">
        <v>192750</v>
      </c>
      <c r="P446" t="s">
        <v>22</v>
      </c>
      <c r="Q446" t="s">
        <v>2356</v>
      </c>
      <c r="R446" t="s">
        <v>30</v>
      </c>
      <c r="S446">
        <v>5</v>
      </c>
      <c r="T446" t="s">
        <v>24</v>
      </c>
      <c r="U446" t="s">
        <v>2403</v>
      </c>
      <c r="V446">
        <v>2025</v>
      </c>
      <c r="W446">
        <v>3</v>
      </c>
    </row>
    <row r="447" spans="1:23" x14ac:dyDescent="0.25">
      <c r="A447" t="s">
        <v>1407</v>
      </c>
      <c r="B447">
        <v>45743.863807870373</v>
      </c>
      <c r="C447" t="s">
        <v>891</v>
      </c>
      <c r="D447" t="s">
        <v>126</v>
      </c>
      <c r="E447" t="s">
        <v>28</v>
      </c>
      <c r="F447" t="s">
        <v>2395</v>
      </c>
      <c r="G447" t="s">
        <v>2378</v>
      </c>
      <c r="H447">
        <v>5000</v>
      </c>
      <c r="I447">
        <v>2</v>
      </c>
      <c r="J447">
        <v>10</v>
      </c>
      <c r="K447">
        <v>10000</v>
      </c>
      <c r="L447">
        <v>1000</v>
      </c>
      <c r="M447">
        <v>9000</v>
      </c>
      <c r="N447">
        <v>84000</v>
      </c>
      <c r="O447">
        <v>93000</v>
      </c>
      <c r="P447" t="s">
        <v>22</v>
      </c>
      <c r="Q447" t="s">
        <v>2357</v>
      </c>
      <c r="R447" t="s">
        <v>23</v>
      </c>
      <c r="S447">
        <v>1</v>
      </c>
      <c r="T447" t="s">
        <v>37</v>
      </c>
      <c r="U447" t="s">
        <v>2403</v>
      </c>
      <c r="V447">
        <v>2025</v>
      </c>
      <c r="W447">
        <v>3</v>
      </c>
    </row>
    <row r="448" spans="1:23" x14ac:dyDescent="0.25">
      <c r="A448" t="s">
        <v>1408</v>
      </c>
      <c r="B448">
        <v>45743.934872685182</v>
      </c>
      <c r="C448" t="s">
        <v>582</v>
      </c>
      <c r="D448" t="s">
        <v>435</v>
      </c>
      <c r="E448" t="s">
        <v>174</v>
      </c>
      <c r="F448" t="s">
        <v>2400</v>
      </c>
      <c r="G448" t="s">
        <v>2377</v>
      </c>
      <c r="H448">
        <v>10000</v>
      </c>
      <c r="I448">
        <v>3</v>
      </c>
      <c r="J448">
        <v>20</v>
      </c>
      <c r="K448">
        <v>30000</v>
      </c>
      <c r="L448">
        <v>6000</v>
      </c>
      <c r="M448">
        <v>24000</v>
      </c>
      <c r="N448">
        <v>67000</v>
      </c>
      <c r="O448">
        <v>91000</v>
      </c>
      <c r="P448" t="s">
        <v>63</v>
      </c>
      <c r="Q448" t="s">
        <v>2356</v>
      </c>
      <c r="R448" t="s">
        <v>46</v>
      </c>
      <c r="S448">
        <v>1</v>
      </c>
      <c r="T448" t="s">
        <v>24</v>
      </c>
      <c r="U448" t="s">
        <v>2403</v>
      </c>
      <c r="V448">
        <v>2025</v>
      </c>
      <c r="W448">
        <v>3</v>
      </c>
    </row>
    <row r="449" spans="1:23" x14ac:dyDescent="0.25">
      <c r="A449" t="s">
        <v>1409</v>
      </c>
      <c r="B449">
        <v>45744.346817129634</v>
      </c>
      <c r="C449" t="s">
        <v>464</v>
      </c>
      <c r="D449" t="s">
        <v>296</v>
      </c>
      <c r="E449" t="s">
        <v>34</v>
      </c>
      <c r="F449" t="s">
        <v>2397</v>
      </c>
      <c r="G449" t="s">
        <v>2377</v>
      </c>
      <c r="H449">
        <v>16000</v>
      </c>
      <c r="I449">
        <v>5</v>
      </c>
      <c r="J449">
        <v>15</v>
      </c>
      <c r="K449">
        <v>80000</v>
      </c>
      <c r="L449">
        <v>12000</v>
      </c>
      <c r="M449">
        <v>68000</v>
      </c>
      <c r="N449">
        <v>79000</v>
      </c>
      <c r="O449">
        <v>147000</v>
      </c>
      <c r="P449" t="s">
        <v>63</v>
      </c>
      <c r="Q449" t="s">
        <v>2357</v>
      </c>
      <c r="R449" t="s">
        <v>36</v>
      </c>
      <c r="S449">
        <v>4</v>
      </c>
      <c r="T449" t="s">
        <v>37</v>
      </c>
      <c r="U449" t="s">
        <v>2403</v>
      </c>
      <c r="V449">
        <v>2025</v>
      </c>
      <c r="W449">
        <v>3</v>
      </c>
    </row>
    <row r="450" spans="1:23" x14ac:dyDescent="0.25">
      <c r="A450" t="s">
        <v>1410</v>
      </c>
      <c r="B450">
        <v>45744.659861111111</v>
      </c>
      <c r="C450" t="s">
        <v>157</v>
      </c>
      <c r="D450" t="s">
        <v>20</v>
      </c>
      <c r="E450" t="s">
        <v>110</v>
      </c>
      <c r="F450" t="s">
        <v>2395</v>
      </c>
      <c r="G450" t="s">
        <v>2379</v>
      </c>
      <c r="H450">
        <v>6000</v>
      </c>
      <c r="I450">
        <v>2</v>
      </c>
      <c r="J450">
        <v>10</v>
      </c>
      <c r="K450">
        <v>12000</v>
      </c>
      <c r="L450">
        <v>1200</v>
      </c>
      <c r="M450">
        <v>10800</v>
      </c>
      <c r="N450">
        <v>15000</v>
      </c>
      <c r="O450">
        <v>25800</v>
      </c>
      <c r="P450" t="s">
        <v>29</v>
      </c>
      <c r="Q450" t="s">
        <v>2357</v>
      </c>
      <c r="R450" t="s">
        <v>23</v>
      </c>
      <c r="S450">
        <v>5</v>
      </c>
      <c r="T450" t="s">
        <v>24</v>
      </c>
      <c r="U450" t="s">
        <v>2403</v>
      </c>
      <c r="V450">
        <v>2025</v>
      </c>
      <c r="W450">
        <v>3</v>
      </c>
    </row>
    <row r="451" spans="1:23" x14ac:dyDescent="0.25">
      <c r="A451" t="s">
        <v>1411</v>
      </c>
      <c r="B451">
        <v>45744.885023148148</v>
      </c>
      <c r="C451" t="s">
        <v>184</v>
      </c>
      <c r="D451" t="s">
        <v>103</v>
      </c>
      <c r="E451" t="s">
        <v>190</v>
      </c>
      <c r="F451" t="s">
        <v>2392</v>
      </c>
      <c r="G451" t="s">
        <v>2378</v>
      </c>
      <c r="H451">
        <v>35000</v>
      </c>
      <c r="I451">
        <v>1</v>
      </c>
      <c r="J451">
        <v>20</v>
      </c>
      <c r="K451">
        <v>35000</v>
      </c>
      <c r="L451">
        <v>7000</v>
      </c>
      <c r="M451">
        <v>28000</v>
      </c>
      <c r="N451">
        <v>85000</v>
      </c>
      <c r="O451">
        <v>113000</v>
      </c>
      <c r="P451" t="s">
        <v>29</v>
      </c>
      <c r="Q451" t="s">
        <v>2357</v>
      </c>
      <c r="R451" t="s">
        <v>46</v>
      </c>
      <c r="S451">
        <v>4</v>
      </c>
      <c r="T451" t="s">
        <v>24</v>
      </c>
      <c r="U451" t="s">
        <v>2403</v>
      </c>
      <c r="V451">
        <v>2025</v>
      </c>
      <c r="W451">
        <v>3</v>
      </c>
    </row>
    <row r="452" spans="1:23" x14ac:dyDescent="0.25">
      <c r="A452" t="s">
        <v>1412</v>
      </c>
      <c r="B452">
        <v>45744.981238425928</v>
      </c>
      <c r="C452" t="s">
        <v>133</v>
      </c>
      <c r="D452" t="s">
        <v>33</v>
      </c>
      <c r="E452" t="s">
        <v>190</v>
      </c>
      <c r="F452" t="s">
        <v>2392</v>
      </c>
      <c r="G452" t="s">
        <v>2378</v>
      </c>
      <c r="H452">
        <v>35000</v>
      </c>
      <c r="I452">
        <v>4</v>
      </c>
      <c r="J452">
        <v>15</v>
      </c>
      <c r="K452">
        <v>140000</v>
      </c>
      <c r="L452">
        <v>21000</v>
      </c>
      <c r="M452">
        <v>119000</v>
      </c>
      <c r="N452">
        <v>76000</v>
      </c>
      <c r="O452">
        <v>195000</v>
      </c>
      <c r="P452" t="s">
        <v>35</v>
      </c>
      <c r="Q452" t="s">
        <v>2357</v>
      </c>
      <c r="R452" t="s">
        <v>23</v>
      </c>
      <c r="S452">
        <v>1</v>
      </c>
      <c r="T452" t="s">
        <v>24</v>
      </c>
      <c r="U452" t="s">
        <v>2403</v>
      </c>
      <c r="V452">
        <v>2025</v>
      </c>
      <c r="W452">
        <v>3</v>
      </c>
    </row>
    <row r="453" spans="1:23" x14ac:dyDescent="0.25">
      <c r="A453" t="s">
        <v>1413</v>
      </c>
      <c r="B453">
        <v>45745.021608796298</v>
      </c>
      <c r="C453" t="s">
        <v>337</v>
      </c>
      <c r="D453" t="s">
        <v>131</v>
      </c>
      <c r="E453" t="s">
        <v>174</v>
      </c>
      <c r="F453" t="s">
        <v>2400</v>
      </c>
      <c r="G453" t="s">
        <v>2377</v>
      </c>
      <c r="H453">
        <v>10000</v>
      </c>
      <c r="I453">
        <v>5</v>
      </c>
      <c r="J453">
        <v>0</v>
      </c>
      <c r="K453">
        <v>50000</v>
      </c>
      <c r="L453">
        <v>0</v>
      </c>
      <c r="M453">
        <v>50000</v>
      </c>
      <c r="N453">
        <v>59000</v>
      </c>
      <c r="O453">
        <v>109000</v>
      </c>
      <c r="P453" t="s">
        <v>63</v>
      </c>
      <c r="Q453" t="s">
        <v>2357</v>
      </c>
      <c r="R453" t="s">
        <v>36</v>
      </c>
      <c r="S453">
        <v>4</v>
      </c>
      <c r="T453" t="s">
        <v>24</v>
      </c>
      <c r="U453" t="s">
        <v>2403</v>
      </c>
      <c r="V453">
        <v>2025</v>
      </c>
      <c r="W453">
        <v>3</v>
      </c>
    </row>
    <row r="454" spans="1:23" x14ac:dyDescent="0.25">
      <c r="A454" t="s">
        <v>1413</v>
      </c>
      <c r="B454">
        <v>45745.021608796298</v>
      </c>
      <c r="C454" t="s">
        <v>337</v>
      </c>
      <c r="D454" t="s">
        <v>131</v>
      </c>
      <c r="E454" t="s">
        <v>45</v>
      </c>
      <c r="F454" t="s">
        <v>2394</v>
      </c>
      <c r="G454" t="s">
        <v>2378</v>
      </c>
      <c r="H454">
        <v>40000</v>
      </c>
      <c r="I454">
        <v>3</v>
      </c>
      <c r="J454">
        <v>20</v>
      </c>
      <c r="K454">
        <v>120000</v>
      </c>
      <c r="L454">
        <v>24000</v>
      </c>
      <c r="M454">
        <v>96000</v>
      </c>
      <c r="N454">
        <v>0</v>
      </c>
      <c r="O454">
        <v>96000</v>
      </c>
      <c r="P454" t="s">
        <v>63</v>
      </c>
      <c r="Q454" t="s">
        <v>2357</v>
      </c>
      <c r="R454" t="s">
        <v>36</v>
      </c>
      <c r="S454">
        <v>4</v>
      </c>
      <c r="T454" t="s">
        <v>24</v>
      </c>
      <c r="U454" t="s">
        <v>2403</v>
      </c>
      <c r="V454">
        <v>2025</v>
      </c>
      <c r="W454">
        <v>3</v>
      </c>
    </row>
    <row r="455" spans="1:23" x14ac:dyDescent="0.25">
      <c r="A455" t="s">
        <v>1414</v>
      </c>
      <c r="B455">
        <v>45745.218368055554</v>
      </c>
      <c r="C455" t="s">
        <v>295</v>
      </c>
      <c r="D455" t="s">
        <v>296</v>
      </c>
      <c r="E455" t="s">
        <v>75</v>
      </c>
      <c r="F455" t="s">
        <v>2398</v>
      </c>
      <c r="G455" t="s">
        <v>2379</v>
      </c>
      <c r="H455">
        <v>55000</v>
      </c>
      <c r="I455">
        <v>5</v>
      </c>
      <c r="J455">
        <v>10</v>
      </c>
      <c r="K455">
        <v>275000</v>
      </c>
      <c r="L455">
        <v>27500</v>
      </c>
      <c r="M455">
        <v>247500</v>
      </c>
      <c r="N455">
        <v>79000</v>
      </c>
      <c r="O455">
        <v>326500</v>
      </c>
      <c r="P455" t="s">
        <v>35</v>
      </c>
      <c r="Q455" t="s">
        <v>2357</v>
      </c>
      <c r="R455" t="s">
        <v>82</v>
      </c>
      <c r="S455">
        <v>4</v>
      </c>
      <c r="T455" t="s">
        <v>24</v>
      </c>
      <c r="U455" t="s">
        <v>2403</v>
      </c>
      <c r="V455">
        <v>2025</v>
      </c>
      <c r="W455">
        <v>3</v>
      </c>
    </row>
    <row r="456" spans="1:23" x14ac:dyDescent="0.25">
      <c r="A456" t="s">
        <v>1415</v>
      </c>
      <c r="B456">
        <v>45745.329351851848</v>
      </c>
      <c r="C456" t="s">
        <v>269</v>
      </c>
      <c r="D456" t="s">
        <v>173</v>
      </c>
      <c r="E456" t="s">
        <v>54</v>
      </c>
      <c r="F456" t="s">
        <v>2393</v>
      </c>
      <c r="G456" t="s">
        <v>2379</v>
      </c>
      <c r="H456">
        <v>16000</v>
      </c>
      <c r="I456">
        <v>4</v>
      </c>
      <c r="J456">
        <v>20</v>
      </c>
      <c r="K456">
        <v>64000</v>
      </c>
      <c r="L456">
        <v>12800</v>
      </c>
      <c r="M456">
        <v>51200</v>
      </c>
      <c r="N456">
        <v>49000</v>
      </c>
      <c r="O456">
        <v>100200</v>
      </c>
      <c r="P456" t="s">
        <v>22</v>
      </c>
      <c r="Q456" t="s">
        <v>2357</v>
      </c>
      <c r="R456" t="s">
        <v>30</v>
      </c>
      <c r="S456">
        <v>2</v>
      </c>
      <c r="T456" t="s">
        <v>37</v>
      </c>
      <c r="U456" t="s">
        <v>2403</v>
      </c>
      <c r="V456">
        <v>2025</v>
      </c>
      <c r="W456">
        <v>3</v>
      </c>
    </row>
    <row r="457" spans="1:23" x14ac:dyDescent="0.25">
      <c r="A457" t="s">
        <v>1416</v>
      </c>
      <c r="B457">
        <v>45745.366122685176</v>
      </c>
      <c r="C457" t="s">
        <v>1066</v>
      </c>
      <c r="D457" t="s">
        <v>113</v>
      </c>
      <c r="E457" t="s">
        <v>174</v>
      </c>
      <c r="F457" t="s">
        <v>2400</v>
      </c>
      <c r="G457" t="s">
        <v>2377</v>
      </c>
      <c r="H457">
        <v>10000</v>
      </c>
      <c r="I457">
        <v>3</v>
      </c>
      <c r="J457">
        <v>5</v>
      </c>
      <c r="K457">
        <v>30000</v>
      </c>
      <c r="L457">
        <v>1500</v>
      </c>
      <c r="M457">
        <v>28500</v>
      </c>
      <c r="N457">
        <v>18000</v>
      </c>
      <c r="O457">
        <v>46500</v>
      </c>
      <c r="P457" t="s">
        <v>63</v>
      </c>
      <c r="Q457" t="s">
        <v>2357</v>
      </c>
      <c r="R457" t="s">
        <v>23</v>
      </c>
      <c r="S457">
        <v>3</v>
      </c>
      <c r="T457" t="s">
        <v>24</v>
      </c>
      <c r="U457" t="s">
        <v>2403</v>
      </c>
      <c r="V457">
        <v>2025</v>
      </c>
      <c r="W457">
        <v>3</v>
      </c>
    </row>
    <row r="458" spans="1:23" x14ac:dyDescent="0.25">
      <c r="A458" t="s">
        <v>1417</v>
      </c>
      <c r="B458">
        <v>45745.597604166673</v>
      </c>
      <c r="C458" t="s">
        <v>1418</v>
      </c>
      <c r="D458" t="s">
        <v>262</v>
      </c>
      <c r="E458" t="s">
        <v>174</v>
      </c>
      <c r="F458" t="s">
        <v>2400</v>
      </c>
      <c r="G458" t="s">
        <v>2377</v>
      </c>
      <c r="H458">
        <v>10000</v>
      </c>
      <c r="I458">
        <v>4</v>
      </c>
      <c r="J458">
        <v>5</v>
      </c>
      <c r="K458">
        <v>40000</v>
      </c>
      <c r="L458">
        <v>2000</v>
      </c>
      <c r="M458">
        <v>38000</v>
      </c>
      <c r="N458">
        <v>18000</v>
      </c>
      <c r="O458">
        <v>56000</v>
      </c>
      <c r="P458" t="s">
        <v>29</v>
      </c>
      <c r="Q458" t="s">
        <v>2357</v>
      </c>
      <c r="R458" t="s">
        <v>82</v>
      </c>
      <c r="S458">
        <v>4</v>
      </c>
      <c r="T458" t="s">
        <v>24</v>
      </c>
      <c r="U458" t="s">
        <v>2403</v>
      </c>
      <c r="V458">
        <v>2025</v>
      </c>
      <c r="W458">
        <v>3</v>
      </c>
    </row>
    <row r="459" spans="1:23" x14ac:dyDescent="0.25">
      <c r="A459" t="s">
        <v>1419</v>
      </c>
      <c r="B459">
        <v>45745.640833333331</v>
      </c>
      <c r="C459" t="s">
        <v>515</v>
      </c>
      <c r="D459" t="s">
        <v>182</v>
      </c>
      <c r="E459" t="s">
        <v>54</v>
      </c>
      <c r="F459" t="s">
        <v>2393</v>
      </c>
      <c r="G459" t="s">
        <v>2379</v>
      </c>
      <c r="H459">
        <v>16000</v>
      </c>
      <c r="I459">
        <v>2</v>
      </c>
      <c r="J459">
        <v>20</v>
      </c>
      <c r="K459">
        <v>32000</v>
      </c>
      <c r="L459">
        <v>6400</v>
      </c>
      <c r="M459">
        <v>25600</v>
      </c>
      <c r="N459">
        <v>48000</v>
      </c>
      <c r="O459">
        <v>73600</v>
      </c>
      <c r="P459" t="s">
        <v>63</v>
      </c>
      <c r="Q459" t="s">
        <v>2357</v>
      </c>
      <c r="R459" t="s">
        <v>36</v>
      </c>
      <c r="S459">
        <v>2</v>
      </c>
      <c r="T459" t="s">
        <v>24</v>
      </c>
      <c r="U459" t="s">
        <v>2403</v>
      </c>
      <c r="V459">
        <v>2025</v>
      </c>
      <c r="W459">
        <v>3</v>
      </c>
    </row>
    <row r="460" spans="1:23" x14ac:dyDescent="0.25">
      <c r="A460" t="s">
        <v>1420</v>
      </c>
      <c r="B460">
        <v>45746.238703703697</v>
      </c>
      <c r="C460" t="s">
        <v>162</v>
      </c>
      <c r="D460" t="s">
        <v>163</v>
      </c>
      <c r="E460" t="s">
        <v>88</v>
      </c>
      <c r="F460" t="s">
        <v>2393</v>
      </c>
      <c r="G460" t="s">
        <v>2377</v>
      </c>
      <c r="H460">
        <v>14000</v>
      </c>
      <c r="I460">
        <v>2</v>
      </c>
      <c r="J460">
        <v>5</v>
      </c>
      <c r="K460">
        <v>28000</v>
      </c>
      <c r="L460">
        <v>1400</v>
      </c>
      <c r="M460">
        <v>26600</v>
      </c>
      <c r="N460">
        <v>50000</v>
      </c>
      <c r="O460">
        <v>76600</v>
      </c>
      <c r="P460" t="s">
        <v>22</v>
      </c>
      <c r="Q460" t="s">
        <v>2357</v>
      </c>
      <c r="R460" t="s">
        <v>36</v>
      </c>
      <c r="S460">
        <v>3</v>
      </c>
      <c r="T460" t="s">
        <v>24</v>
      </c>
      <c r="U460" t="s">
        <v>2403</v>
      </c>
      <c r="V460">
        <v>2025</v>
      </c>
      <c r="W460">
        <v>3</v>
      </c>
    </row>
    <row r="461" spans="1:23" x14ac:dyDescent="0.25">
      <c r="A461" t="s">
        <v>1421</v>
      </c>
      <c r="B461">
        <v>45746.490671296298</v>
      </c>
      <c r="C461" t="s">
        <v>1336</v>
      </c>
      <c r="D461" t="s">
        <v>96</v>
      </c>
      <c r="E461" t="s">
        <v>41</v>
      </c>
      <c r="F461" t="s">
        <v>2395</v>
      </c>
      <c r="G461" t="s">
        <v>2377</v>
      </c>
      <c r="H461">
        <v>4000</v>
      </c>
      <c r="I461">
        <v>3</v>
      </c>
      <c r="J461">
        <v>10</v>
      </c>
      <c r="K461">
        <v>12000</v>
      </c>
      <c r="L461">
        <v>1200</v>
      </c>
      <c r="M461">
        <v>10800</v>
      </c>
      <c r="N461">
        <v>49000</v>
      </c>
      <c r="O461">
        <v>59800</v>
      </c>
      <c r="P461" t="s">
        <v>35</v>
      </c>
      <c r="Q461" t="s">
        <v>2356</v>
      </c>
      <c r="R461" t="s">
        <v>46</v>
      </c>
      <c r="S461">
        <v>4</v>
      </c>
      <c r="T461" t="s">
        <v>37</v>
      </c>
      <c r="U461" t="s">
        <v>2403</v>
      </c>
      <c r="V461">
        <v>2025</v>
      </c>
      <c r="W461">
        <v>3</v>
      </c>
    </row>
    <row r="462" spans="1:23" x14ac:dyDescent="0.25">
      <c r="A462" t="s">
        <v>1422</v>
      </c>
      <c r="B462">
        <v>45746.511157407411</v>
      </c>
      <c r="C462" t="s">
        <v>229</v>
      </c>
      <c r="D462" t="s">
        <v>195</v>
      </c>
      <c r="E462" t="s">
        <v>67</v>
      </c>
      <c r="F462" t="s">
        <v>2393</v>
      </c>
      <c r="G462" t="s">
        <v>2378</v>
      </c>
      <c r="H462">
        <v>15000</v>
      </c>
      <c r="I462">
        <v>5</v>
      </c>
      <c r="J462">
        <v>10</v>
      </c>
      <c r="K462">
        <v>75000</v>
      </c>
      <c r="L462">
        <v>7500</v>
      </c>
      <c r="M462">
        <v>67500</v>
      </c>
      <c r="N462">
        <v>87000</v>
      </c>
      <c r="O462">
        <v>154500</v>
      </c>
      <c r="P462" t="s">
        <v>63</v>
      </c>
      <c r="Q462" t="s">
        <v>2357</v>
      </c>
      <c r="R462" t="s">
        <v>36</v>
      </c>
      <c r="S462">
        <v>4</v>
      </c>
      <c r="T462" t="s">
        <v>24</v>
      </c>
      <c r="U462" t="s">
        <v>2403</v>
      </c>
      <c r="V462">
        <v>2025</v>
      </c>
      <c r="W462">
        <v>3</v>
      </c>
    </row>
    <row r="463" spans="1:23" x14ac:dyDescent="0.25">
      <c r="A463" t="s">
        <v>1423</v>
      </c>
      <c r="B463">
        <v>45746.834351851852</v>
      </c>
      <c r="C463" t="s">
        <v>1424</v>
      </c>
      <c r="D463" t="s">
        <v>296</v>
      </c>
      <c r="E463" t="s">
        <v>186</v>
      </c>
      <c r="F463" t="s">
        <v>2398</v>
      </c>
      <c r="G463" t="s">
        <v>2377</v>
      </c>
      <c r="H463">
        <v>45000</v>
      </c>
      <c r="I463">
        <v>1</v>
      </c>
      <c r="J463">
        <v>20</v>
      </c>
      <c r="K463">
        <v>45000</v>
      </c>
      <c r="L463">
        <v>9000</v>
      </c>
      <c r="M463">
        <v>36000</v>
      </c>
      <c r="N463">
        <v>79000</v>
      </c>
      <c r="O463">
        <v>115000</v>
      </c>
      <c r="P463" t="s">
        <v>29</v>
      </c>
      <c r="Q463" t="s">
        <v>2357</v>
      </c>
      <c r="R463" t="s">
        <v>46</v>
      </c>
      <c r="S463">
        <v>3</v>
      </c>
      <c r="T463" t="s">
        <v>24</v>
      </c>
      <c r="U463" t="s">
        <v>2403</v>
      </c>
      <c r="V463">
        <v>2025</v>
      </c>
      <c r="W463">
        <v>3</v>
      </c>
    </row>
    <row r="464" spans="1:23" x14ac:dyDescent="0.25">
      <c r="A464" t="s">
        <v>1425</v>
      </c>
      <c r="B464">
        <v>45747.215324074074</v>
      </c>
      <c r="C464" t="s">
        <v>983</v>
      </c>
      <c r="D464" t="s">
        <v>262</v>
      </c>
      <c r="E464" t="s">
        <v>28</v>
      </c>
      <c r="F464" t="s">
        <v>2395</v>
      </c>
      <c r="G464" t="s">
        <v>2378</v>
      </c>
      <c r="H464">
        <v>5000</v>
      </c>
      <c r="I464">
        <v>1</v>
      </c>
      <c r="J464">
        <v>0</v>
      </c>
      <c r="K464">
        <v>5000</v>
      </c>
      <c r="L464">
        <v>0</v>
      </c>
      <c r="M464">
        <v>5000</v>
      </c>
      <c r="N464">
        <v>18000</v>
      </c>
      <c r="O464">
        <v>23000</v>
      </c>
      <c r="P464" t="s">
        <v>22</v>
      </c>
      <c r="Q464" t="s">
        <v>2357</v>
      </c>
      <c r="R464" t="s">
        <v>46</v>
      </c>
      <c r="S464">
        <v>1</v>
      </c>
      <c r="T464" t="s">
        <v>37</v>
      </c>
      <c r="U464" t="s">
        <v>2403</v>
      </c>
      <c r="V464">
        <v>2025</v>
      </c>
      <c r="W464">
        <v>3</v>
      </c>
    </row>
    <row r="465" spans="1:23" x14ac:dyDescent="0.25">
      <c r="A465" t="s">
        <v>1426</v>
      </c>
      <c r="B465">
        <v>45747.776400462957</v>
      </c>
      <c r="C465" t="s">
        <v>56</v>
      </c>
      <c r="D465" t="s">
        <v>57</v>
      </c>
      <c r="E465" t="s">
        <v>85</v>
      </c>
      <c r="F465" t="s">
        <v>2394</v>
      </c>
      <c r="G465" t="s">
        <v>2377</v>
      </c>
      <c r="H465">
        <v>35000</v>
      </c>
      <c r="I465">
        <v>3</v>
      </c>
      <c r="J465">
        <v>20</v>
      </c>
      <c r="K465">
        <v>105000</v>
      </c>
      <c r="L465">
        <v>21000</v>
      </c>
      <c r="M465">
        <v>84000</v>
      </c>
      <c r="N465">
        <v>80000</v>
      </c>
      <c r="O465">
        <v>164000</v>
      </c>
      <c r="P465" t="s">
        <v>29</v>
      </c>
      <c r="Q465" t="s">
        <v>2357</v>
      </c>
      <c r="R465" t="s">
        <v>82</v>
      </c>
      <c r="S465">
        <v>1</v>
      </c>
      <c r="T465" t="s">
        <v>24</v>
      </c>
      <c r="U465" t="s">
        <v>2403</v>
      </c>
      <c r="V465">
        <v>2025</v>
      </c>
      <c r="W465">
        <v>3</v>
      </c>
    </row>
    <row r="466" spans="1:23" x14ac:dyDescent="0.25">
      <c r="A466" t="s">
        <v>1427</v>
      </c>
      <c r="B466">
        <v>45747.794293981482</v>
      </c>
      <c r="C466" t="s">
        <v>1317</v>
      </c>
      <c r="D466" t="s">
        <v>113</v>
      </c>
      <c r="E466" t="s">
        <v>190</v>
      </c>
      <c r="F466" t="s">
        <v>2392</v>
      </c>
      <c r="G466" t="s">
        <v>2378</v>
      </c>
      <c r="H466">
        <v>35000</v>
      </c>
      <c r="I466">
        <v>4</v>
      </c>
      <c r="J466">
        <v>5</v>
      </c>
      <c r="K466">
        <v>140000</v>
      </c>
      <c r="L466">
        <v>7000</v>
      </c>
      <c r="M466">
        <v>133000</v>
      </c>
      <c r="N466">
        <v>18000</v>
      </c>
      <c r="O466">
        <v>151000</v>
      </c>
      <c r="P466" t="s">
        <v>63</v>
      </c>
      <c r="Q466" t="s">
        <v>2357</v>
      </c>
      <c r="R466" t="s">
        <v>82</v>
      </c>
      <c r="S466">
        <v>3</v>
      </c>
      <c r="T466" t="s">
        <v>37</v>
      </c>
      <c r="U466" t="s">
        <v>2403</v>
      </c>
      <c r="V466">
        <v>2025</v>
      </c>
      <c r="W466">
        <v>3</v>
      </c>
    </row>
    <row r="467" spans="1:23" x14ac:dyDescent="0.25">
      <c r="A467" t="s">
        <v>1428</v>
      </c>
      <c r="B467">
        <v>45748.173981481479</v>
      </c>
      <c r="C467" t="s">
        <v>651</v>
      </c>
      <c r="D467" t="s">
        <v>182</v>
      </c>
      <c r="E467" t="s">
        <v>104</v>
      </c>
      <c r="F467" t="s">
        <v>2392</v>
      </c>
      <c r="G467" t="s">
        <v>2377</v>
      </c>
      <c r="H467">
        <v>30000</v>
      </c>
      <c r="I467">
        <v>5</v>
      </c>
      <c r="J467">
        <v>20</v>
      </c>
      <c r="K467">
        <v>150000</v>
      </c>
      <c r="L467">
        <v>30000</v>
      </c>
      <c r="M467">
        <v>120000</v>
      </c>
      <c r="N467">
        <v>48000</v>
      </c>
      <c r="O467">
        <v>168000</v>
      </c>
      <c r="P467" t="s">
        <v>35</v>
      </c>
      <c r="Q467" t="s">
        <v>2357</v>
      </c>
      <c r="R467" t="s">
        <v>36</v>
      </c>
      <c r="S467">
        <v>2</v>
      </c>
      <c r="T467" t="s">
        <v>37</v>
      </c>
      <c r="U467" t="s">
        <v>2404</v>
      </c>
      <c r="V467">
        <v>2025</v>
      </c>
      <c r="W467">
        <v>4</v>
      </c>
    </row>
    <row r="468" spans="1:23" x14ac:dyDescent="0.25">
      <c r="A468" t="s">
        <v>1429</v>
      </c>
      <c r="B468">
        <v>45748.177071759259</v>
      </c>
      <c r="C468" t="s">
        <v>162</v>
      </c>
      <c r="D468" t="s">
        <v>163</v>
      </c>
      <c r="E468" t="s">
        <v>21</v>
      </c>
      <c r="F468" t="s">
        <v>2394</v>
      </c>
      <c r="G468" t="s">
        <v>2379</v>
      </c>
      <c r="H468">
        <v>45000</v>
      </c>
      <c r="I468">
        <v>5</v>
      </c>
      <c r="J468">
        <v>15</v>
      </c>
      <c r="K468">
        <v>225000</v>
      </c>
      <c r="L468">
        <v>33750</v>
      </c>
      <c r="M468">
        <v>191250</v>
      </c>
      <c r="N468">
        <v>50000</v>
      </c>
      <c r="O468">
        <v>241250</v>
      </c>
      <c r="P468" t="s">
        <v>29</v>
      </c>
      <c r="Q468" t="s">
        <v>2357</v>
      </c>
      <c r="R468" t="s">
        <v>23</v>
      </c>
      <c r="S468">
        <v>1</v>
      </c>
      <c r="T468" t="s">
        <v>24</v>
      </c>
      <c r="U468" t="s">
        <v>2404</v>
      </c>
      <c r="V468">
        <v>2025</v>
      </c>
      <c r="W468">
        <v>4</v>
      </c>
    </row>
    <row r="469" spans="1:23" x14ac:dyDescent="0.25">
      <c r="A469" t="s">
        <v>1430</v>
      </c>
      <c r="B469">
        <v>45748.264421296299</v>
      </c>
      <c r="C469" t="s">
        <v>214</v>
      </c>
      <c r="D469" t="s">
        <v>131</v>
      </c>
      <c r="E469" t="s">
        <v>190</v>
      </c>
      <c r="F469" t="s">
        <v>2392</v>
      </c>
      <c r="G469" t="s">
        <v>2378</v>
      </c>
      <c r="H469">
        <v>35000</v>
      </c>
      <c r="I469">
        <v>1</v>
      </c>
      <c r="J469">
        <v>20</v>
      </c>
      <c r="K469">
        <v>35000</v>
      </c>
      <c r="L469">
        <v>7000</v>
      </c>
      <c r="M469">
        <v>28000</v>
      </c>
      <c r="N469">
        <v>59000</v>
      </c>
      <c r="O469">
        <v>87000</v>
      </c>
      <c r="P469" t="s">
        <v>63</v>
      </c>
      <c r="Q469" t="s">
        <v>2357</v>
      </c>
      <c r="R469" t="s">
        <v>30</v>
      </c>
      <c r="S469">
        <v>1</v>
      </c>
      <c r="T469" t="s">
        <v>24</v>
      </c>
      <c r="U469" t="s">
        <v>2404</v>
      </c>
      <c r="V469">
        <v>2025</v>
      </c>
      <c r="W469">
        <v>4</v>
      </c>
    </row>
    <row r="470" spans="1:23" x14ac:dyDescent="0.25">
      <c r="A470" t="s">
        <v>1431</v>
      </c>
      <c r="B470">
        <v>45748.499374999999</v>
      </c>
      <c r="C470" t="s">
        <v>95</v>
      </c>
      <c r="D470" t="s">
        <v>96</v>
      </c>
      <c r="E470" t="s">
        <v>28</v>
      </c>
      <c r="F470" t="s">
        <v>2395</v>
      </c>
      <c r="G470" t="s">
        <v>2378</v>
      </c>
      <c r="H470">
        <v>5000</v>
      </c>
      <c r="I470">
        <v>1</v>
      </c>
      <c r="J470">
        <v>20</v>
      </c>
      <c r="K470">
        <v>5000</v>
      </c>
      <c r="L470">
        <v>1000</v>
      </c>
      <c r="M470">
        <v>4000</v>
      </c>
      <c r="N470">
        <v>49000</v>
      </c>
      <c r="O470">
        <v>53000</v>
      </c>
      <c r="P470" t="s">
        <v>35</v>
      </c>
      <c r="Q470" t="s">
        <v>2357</v>
      </c>
      <c r="R470" t="s">
        <v>30</v>
      </c>
      <c r="S470">
        <v>1</v>
      </c>
      <c r="T470" t="s">
        <v>24</v>
      </c>
      <c r="U470" t="s">
        <v>2404</v>
      </c>
      <c r="V470">
        <v>2025</v>
      </c>
      <c r="W470">
        <v>4</v>
      </c>
    </row>
    <row r="471" spans="1:23" x14ac:dyDescent="0.25">
      <c r="A471" t="s">
        <v>1432</v>
      </c>
      <c r="B471">
        <v>45748.5153587963</v>
      </c>
      <c r="C471" t="s">
        <v>1130</v>
      </c>
      <c r="D471" t="s">
        <v>122</v>
      </c>
      <c r="E471" t="s">
        <v>88</v>
      </c>
      <c r="F471" t="s">
        <v>2393</v>
      </c>
      <c r="G471" t="s">
        <v>2377</v>
      </c>
      <c r="H471">
        <v>14000</v>
      </c>
      <c r="I471">
        <v>3</v>
      </c>
      <c r="J471">
        <v>15</v>
      </c>
      <c r="K471">
        <v>42000</v>
      </c>
      <c r="L471">
        <v>6300</v>
      </c>
      <c r="M471">
        <v>35700</v>
      </c>
      <c r="N471">
        <v>78000</v>
      </c>
      <c r="O471">
        <v>113700</v>
      </c>
      <c r="P471" t="s">
        <v>29</v>
      </c>
      <c r="Q471" t="s">
        <v>2359</v>
      </c>
      <c r="R471" t="s">
        <v>30</v>
      </c>
      <c r="S471">
        <v>4</v>
      </c>
      <c r="T471" t="s">
        <v>24</v>
      </c>
      <c r="U471" t="s">
        <v>2404</v>
      </c>
      <c r="V471">
        <v>2025</v>
      </c>
      <c r="W471">
        <v>4</v>
      </c>
    </row>
    <row r="472" spans="1:23" x14ac:dyDescent="0.25">
      <c r="A472" t="s">
        <v>1433</v>
      </c>
      <c r="B472">
        <v>45749.739803240736</v>
      </c>
      <c r="C472" t="s">
        <v>969</v>
      </c>
      <c r="D472" t="s">
        <v>177</v>
      </c>
      <c r="E472" t="s">
        <v>45</v>
      </c>
      <c r="F472" t="s">
        <v>2394</v>
      </c>
      <c r="G472" t="s">
        <v>2378</v>
      </c>
      <c r="H472">
        <v>40000</v>
      </c>
      <c r="I472">
        <v>4</v>
      </c>
      <c r="J472">
        <v>10</v>
      </c>
      <c r="K472">
        <v>160000</v>
      </c>
      <c r="L472">
        <v>16000</v>
      </c>
      <c r="M472">
        <v>144000</v>
      </c>
      <c r="N472">
        <v>56000</v>
      </c>
      <c r="O472">
        <v>200000</v>
      </c>
      <c r="P472" t="s">
        <v>63</v>
      </c>
      <c r="Q472" t="s">
        <v>2356</v>
      </c>
      <c r="R472" t="s">
        <v>30</v>
      </c>
      <c r="S472">
        <v>1</v>
      </c>
      <c r="T472" t="s">
        <v>24</v>
      </c>
      <c r="U472" t="s">
        <v>2404</v>
      </c>
      <c r="V472">
        <v>2025</v>
      </c>
      <c r="W472">
        <v>4</v>
      </c>
    </row>
    <row r="473" spans="1:23" x14ac:dyDescent="0.25">
      <c r="A473" t="s">
        <v>1434</v>
      </c>
      <c r="B473">
        <v>45750.04550925926</v>
      </c>
      <c r="C473" t="s">
        <v>983</v>
      </c>
      <c r="D473" t="s">
        <v>262</v>
      </c>
      <c r="E473" t="s">
        <v>136</v>
      </c>
      <c r="F473" t="s">
        <v>2400</v>
      </c>
      <c r="G473" t="s">
        <v>2378</v>
      </c>
      <c r="H473">
        <v>12000</v>
      </c>
      <c r="I473">
        <v>4</v>
      </c>
      <c r="J473">
        <v>0</v>
      </c>
      <c r="K473">
        <v>48000</v>
      </c>
      <c r="L473">
        <v>0</v>
      </c>
      <c r="M473">
        <v>48000</v>
      </c>
      <c r="N473">
        <v>18000</v>
      </c>
      <c r="O473">
        <v>66000</v>
      </c>
      <c r="P473" t="s">
        <v>63</v>
      </c>
      <c r="Q473" t="s">
        <v>2357</v>
      </c>
      <c r="R473" t="s">
        <v>36</v>
      </c>
      <c r="S473">
        <v>1</v>
      </c>
      <c r="T473" t="s">
        <v>37</v>
      </c>
      <c r="U473" t="s">
        <v>2404</v>
      </c>
      <c r="V473">
        <v>2025</v>
      </c>
      <c r="W473">
        <v>4</v>
      </c>
    </row>
    <row r="474" spans="1:23" x14ac:dyDescent="0.25">
      <c r="A474" t="s">
        <v>1435</v>
      </c>
      <c r="B474">
        <v>45750.168321759258</v>
      </c>
      <c r="C474" t="s">
        <v>1436</v>
      </c>
      <c r="D474" t="s">
        <v>119</v>
      </c>
      <c r="E474" t="s">
        <v>81</v>
      </c>
      <c r="F474" t="s">
        <v>2397</v>
      </c>
      <c r="G474" t="s">
        <v>2378</v>
      </c>
      <c r="H474">
        <v>17000</v>
      </c>
      <c r="I474">
        <v>2</v>
      </c>
      <c r="J474">
        <v>15</v>
      </c>
      <c r="K474">
        <v>34000</v>
      </c>
      <c r="L474">
        <v>5100</v>
      </c>
      <c r="M474">
        <v>28900</v>
      </c>
      <c r="N474">
        <v>0</v>
      </c>
      <c r="O474">
        <v>28900</v>
      </c>
      <c r="P474" t="s">
        <v>63</v>
      </c>
      <c r="Q474" t="s">
        <v>2357</v>
      </c>
      <c r="R474" t="s">
        <v>82</v>
      </c>
      <c r="S474">
        <v>2</v>
      </c>
      <c r="T474" t="s">
        <v>24</v>
      </c>
      <c r="U474" t="s">
        <v>2404</v>
      </c>
      <c r="V474">
        <v>2025</v>
      </c>
      <c r="W474">
        <v>4</v>
      </c>
    </row>
    <row r="475" spans="1:23" x14ac:dyDescent="0.25">
      <c r="A475" t="s">
        <v>1437</v>
      </c>
      <c r="B475">
        <v>45750.200752314813</v>
      </c>
      <c r="C475" t="s">
        <v>455</v>
      </c>
      <c r="D475" t="s">
        <v>33</v>
      </c>
      <c r="E475" t="s">
        <v>28</v>
      </c>
      <c r="F475" t="s">
        <v>2395</v>
      </c>
      <c r="G475" t="s">
        <v>2378</v>
      </c>
      <c r="H475">
        <v>5000</v>
      </c>
      <c r="I475">
        <v>1</v>
      </c>
      <c r="J475">
        <v>10</v>
      </c>
      <c r="K475">
        <v>5000</v>
      </c>
      <c r="L475">
        <v>500</v>
      </c>
      <c r="M475">
        <v>4500</v>
      </c>
      <c r="N475">
        <v>76000</v>
      </c>
      <c r="O475">
        <v>80500</v>
      </c>
      <c r="P475" t="s">
        <v>63</v>
      </c>
      <c r="Q475" t="s">
        <v>2357</v>
      </c>
      <c r="R475" t="s">
        <v>30</v>
      </c>
      <c r="S475">
        <v>1</v>
      </c>
      <c r="T475" t="s">
        <v>24</v>
      </c>
      <c r="U475" t="s">
        <v>2404</v>
      </c>
      <c r="V475">
        <v>2025</v>
      </c>
      <c r="W475">
        <v>4</v>
      </c>
    </row>
    <row r="476" spans="1:23" x14ac:dyDescent="0.25">
      <c r="A476" t="s">
        <v>1438</v>
      </c>
      <c r="B476">
        <v>45750.217245370368</v>
      </c>
      <c r="C476" t="s">
        <v>307</v>
      </c>
      <c r="D476" t="s">
        <v>70</v>
      </c>
      <c r="E476" t="s">
        <v>81</v>
      </c>
      <c r="F476" t="s">
        <v>2397</v>
      </c>
      <c r="G476" t="s">
        <v>2378</v>
      </c>
      <c r="H476">
        <v>17000</v>
      </c>
      <c r="I476">
        <v>2</v>
      </c>
      <c r="J476">
        <v>20</v>
      </c>
      <c r="K476">
        <v>34000</v>
      </c>
      <c r="L476">
        <v>6800</v>
      </c>
      <c r="M476">
        <v>27200</v>
      </c>
      <c r="N476">
        <v>89000</v>
      </c>
      <c r="O476">
        <v>116200</v>
      </c>
      <c r="P476" t="s">
        <v>22</v>
      </c>
      <c r="Q476" t="s">
        <v>2357</v>
      </c>
      <c r="R476" t="s">
        <v>23</v>
      </c>
      <c r="S476">
        <v>5</v>
      </c>
      <c r="T476" t="s">
        <v>24</v>
      </c>
      <c r="U476" t="s">
        <v>2404</v>
      </c>
      <c r="V476">
        <v>2025</v>
      </c>
      <c r="W476">
        <v>4</v>
      </c>
    </row>
    <row r="477" spans="1:23" x14ac:dyDescent="0.25">
      <c r="A477" t="s">
        <v>1439</v>
      </c>
      <c r="B477">
        <v>45750.277291666673</v>
      </c>
      <c r="C477" t="s">
        <v>877</v>
      </c>
      <c r="D477" t="s">
        <v>107</v>
      </c>
      <c r="E477" t="s">
        <v>81</v>
      </c>
      <c r="F477" t="s">
        <v>2397</v>
      </c>
      <c r="G477" t="s">
        <v>2378</v>
      </c>
      <c r="H477">
        <v>17000</v>
      </c>
      <c r="I477">
        <v>4</v>
      </c>
      <c r="J477">
        <v>10</v>
      </c>
      <c r="K477">
        <v>68000</v>
      </c>
      <c r="L477">
        <v>6800</v>
      </c>
      <c r="M477">
        <v>61200</v>
      </c>
      <c r="N477">
        <v>97000</v>
      </c>
      <c r="O477">
        <v>158200</v>
      </c>
      <c r="P477" t="s">
        <v>29</v>
      </c>
      <c r="Q477" t="s">
        <v>2359</v>
      </c>
      <c r="R477" t="s">
        <v>36</v>
      </c>
      <c r="S477">
        <v>1</v>
      </c>
      <c r="T477" t="s">
        <v>24</v>
      </c>
      <c r="U477" t="s">
        <v>2404</v>
      </c>
      <c r="V477">
        <v>2025</v>
      </c>
      <c r="W477">
        <v>4</v>
      </c>
    </row>
    <row r="478" spans="1:23" x14ac:dyDescent="0.25">
      <c r="A478" t="s">
        <v>1440</v>
      </c>
      <c r="B478">
        <v>45750.577199074083</v>
      </c>
      <c r="C478" t="s">
        <v>596</v>
      </c>
      <c r="D478" t="s">
        <v>70</v>
      </c>
      <c r="E478" t="s">
        <v>85</v>
      </c>
      <c r="F478" t="s">
        <v>2394</v>
      </c>
      <c r="G478" t="s">
        <v>2377</v>
      </c>
      <c r="H478">
        <v>35000</v>
      </c>
      <c r="I478">
        <v>4</v>
      </c>
      <c r="J478">
        <v>10</v>
      </c>
      <c r="K478">
        <v>140000</v>
      </c>
      <c r="L478">
        <v>14000</v>
      </c>
      <c r="M478">
        <v>126000</v>
      </c>
      <c r="N478">
        <v>89000</v>
      </c>
      <c r="O478">
        <v>215000</v>
      </c>
      <c r="P478" t="s">
        <v>22</v>
      </c>
      <c r="Q478" t="s">
        <v>2357</v>
      </c>
      <c r="R478" t="s">
        <v>46</v>
      </c>
      <c r="S478">
        <v>4</v>
      </c>
      <c r="T478" t="s">
        <v>24</v>
      </c>
      <c r="U478" t="s">
        <v>2404</v>
      </c>
      <c r="V478">
        <v>2025</v>
      </c>
      <c r="W478">
        <v>4</v>
      </c>
    </row>
    <row r="479" spans="1:23" x14ac:dyDescent="0.25">
      <c r="A479" t="s">
        <v>1441</v>
      </c>
      <c r="B479">
        <v>45750.997083333343</v>
      </c>
      <c r="C479" t="s">
        <v>1237</v>
      </c>
      <c r="D479" t="s">
        <v>92</v>
      </c>
      <c r="E479" t="s">
        <v>21</v>
      </c>
      <c r="F479" t="s">
        <v>2394</v>
      </c>
      <c r="G479" t="s">
        <v>2379</v>
      </c>
      <c r="H479">
        <v>45000</v>
      </c>
      <c r="I479">
        <v>1</v>
      </c>
      <c r="J479">
        <v>10</v>
      </c>
      <c r="K479">
        <v>45000</v>
      </c>
      <c r="L479">
        <v>4500</v>
      </c>
      <c r="M479">
        <v>40500</v>
      </c>
      <c r="N479">
        <v>30000</v>
      </c>
      <c r="O479">
        <v>70500</v>
      </c>
      <c r="P479" t="s">
        <v>22</v>
      </c>
      <c r="Q479" t="s">
        <v>2357</v>
      </c>
      <c r="R479" t="s">
        <v>82</v>
      </c>
      <c r="S479">
        <v>4</v>
      </c>
      <c r="T479" t="s">
        <v>24</v>
      </c>
      <c r="U479" t="s">
        <v>2404</v>
      </c>
      <c r="V479">
        <v>2025</v>
      </c>
      <c r="W479">
        <v>4</v>
      </c>
    </row>
    <row r="480" spans="1:23" x14ac:dyDescent="0.25">
      <c r="A480" t="s">
        <v>1442</v>
      </c>
      <c r="B480">
        <v>45751.136388888888</v>
      </c>
      <c r="C480" t="s">
        <v>726</v>
      </c>
      <c r="D480" t="s">
        <v>53</v>
      </c>
      <c r="E480" t="s">
        <v>21</v>
      </c>
      <c r="F480" t="s">
        <v>2394</v>
      </c>
      <c r="G480" t="s">
        <v>2379</v>
      </c>
      <c r="H480">
        <v>45000</v>
      </c>
      <c r="I480">
        <v>3</v>
      </c>
      <c r="J480">
        <v>10</v>
      </c>
      <c r="K480">
        <v>135000</v>
      </c>
      <c r="L480">
        <v>13500</v>
      </c>
      <c r="M480">
        <v>121500</v>
      </c>
      <c r="N480">
        <v>18000</v>
      </c>
      <c r="O480">
        <v>139500</v>
      </c>
      <c r="P480" t="s">
        <v>29</v>
      </c>
      <c r="Q480" t="s">
        <v>2357</v>
      </c>
      <c r="R480" t="s">
        <v>46</v>
      </c>
      <c r="S480">
        <v>3</v>
      </c>
      <c r="T480" t="s">
        <v>37</v>
      </c>
      <c r="U480" t="s">
        <v>2404</v>
      </c>
      <c r="V480">
        <v>2025</v>
      </c>
      <c r="W480">
        <v>4</v>
      </c>
    </row>
    <row r="481" spans="1:23" x14ac:dyDescent="0.25">
      <c r="A481" t="s">
        <v>1443</v>
      </c>
      <c r="B481">
        <v>45751.214456018519</v>
      </c>
      <c r="C481" t="s">
        <v>530</v>
      </c>
      <c r="D481" t="s">
        <v>151</v>
      </c>
      <c r="E481" t="s">
        <v>138</v>
      </c>
      <c r="F481" t="s">
        <v>2396</v>
      </c>
      <c r="G481" t="s">
        <v>2378</v>
      </c>
      <c r="H481">
        <v>17000</v>
      </c>
      <c r="I481">
        <v>4</v>
      </c>
      <c r="J481">
        <v>15</v>
      </c>
      <c r="K481">
        <v>68000</v>
      </c>
      <c r="L481">
        <v>10200</v>
      </c>
      <c r="M481">
        <v>57800</v>
      </c>
      <c r="N481">
        <v>55000</v>
      </c>
      <c r="O481">
        <v>112800</v>
      </c>
      <c r="P481" t="s">
        <v>29</v>
      </c>
      <c r="Q481" t="s">
        <v>2357</v>
      </c>
      <c r="R481" t="s">
        <v>36</v>
      </c>
      <c r="S481">
        <v>2</v>
      </c>
      <c r="T481" t="s">
        <v>24</v>
      </c>
      <c r="U481" t="s">
        <v>2404</v>
      </c>
      <c r="V481">
        <v>2025</v>
      </c>
      <c r="W481">
        <v>4</v>
      </c>
    </row>
    <row r="482" spans="1:23" x14ac:dyDescent="0.25">
      <c r="A482" t="s">
        <v>1443</v>
      </c>
      <c r="B482">
        <v>45751.214456018519</v>
      </c>
      <c r="C482" t="s">
        <v>530</v>
      </c>
      <c r="D482" t="s">
        <v>151</v>
      </c>
      <c r="E482" t="s">
        <v>93</v>
      </c>
      <c r="F482" t="s">
        <v>2399</v>
      </c>
      <c r="G482" t="s">
        <v>2378</v>
      </c>
      <c r="H482">
        <v>25000</v>
      </c>
      <c r="I482">
        <v>5</v>
      </c>
      <c r="J482">
        <v>10</v>
      </c>
      <c r="K482">
        <v>125000</v>
      </c>
      <c r="L482">
        <v>12500</v>
      </c>
      <c r="M482">
        <v>112500</v>
      </c>
      <c r="N482">
        <v>0</v>
      </c>
      <c r="O482">
        <v>112500</v>
      </c>
      <c r="P482" t="s">
        <v>29</v>
      </c>
      <c r="Q482" t="s">
        <v>2357</v>
      </c>
      <c r="R482" t="s">
        <v>36</v>
      </c>
      <c r="S482">
        <v>2</v>
      </c>
      <c r="T482" t="s">
        <v>24</v>
      </c>
      <c r="U482" t="s">
        <v>2404</v>
      </c>
      <c r="V482">
        <v>2025</v>
      </c>
      <c r="W482">
        <v>4</v>
      </c>
    </row>
    <row r="483" spans="1:23" x14ac:dyDescent="0.25">
      <c r="A483" t="s">
        <v>1444</v>
      </c>
      <c r="B483">
        <v>45751.327152777783</v>
      </c>
      <c r="C483" t="s">
        <v>1445</v>
      </c>
      <c r="D483" t="s">
        <v>296</v>
      </c>
      <c r="E483" t="s">
        <v>75</v>
      </c>
      <c r="F483" t="s">
        <v>2398</v>
      </c>
      <c r="G483" t="s">
        <v>2379</v>
      </c>
      <c r="H483">
        <v>55000</v>
      </c>
      <c r="I483">
        <v>1</v>
      </c>
      <c r="J483">
        <v>5</v>
      </c>
      <c r="K483">
        <v>55000</v>
      </c>
      <c r="L483">
        <v>2750</v>
      </c>
      <c r="M483">
        <v>52250</v>
      </c>
      <c r="N483">
        <v>79000</v>
      </c>
      <c r="O483">
        <v>131250</v>
      </c>
      <c r="P483" t="s">
        <v>29</v>
      </c>
      <c r="Q483" t="s">
        <v>2357</v>
      </c>
      <c r="R483" t="s">
        <v>30</v>
      </c>
      <c r="S483">
        <v>2</v>
      </c>
      <c r="T483" t="s">
        <v>37</v>
      </c>
      <c r="U483" t="s">
        <v>2404</v>
      </c>
      <c r="V483">
        <v>2025</v>
      </c>
      <c r="W483">
        <v>4</v>
      </c>
    </row>
    <row r="484" spans="1:23" x14ac:dyDescent="0.25">
      <c r="A484" t="s">
        <v>1446</v>
      </c>
      <c r="B484">
        <v>45751.547349537039</v>
      </c>
      <c r="C484" t="s">
        <v>385</v>
      </c>
      <c r="D484" t="s">
        <v>375</v>
      </c>
      <c r="E484" t="s">
        <v>50</v>
      </c>
      <c r="F484" t="s">
        <v>2400</v>
      </c>
      <c r="G484" t="s">
        <v>2379</v>
      </c>
      <c r="H484">
        <v>14000</v>
      </c>
      <c r="I484">
        <v>2</v>
      </c>
      <c r="J484">
        <v>10</v>
      </c>
      <c r="K484">
        <v>28000</v>
      </c>
      <c r="L484">
        <v>2800</v>
      </c>
      <c r="M484">
        <v>25200</v>
      </c>
      <c r="N484">
        <v>21000</v>
      </c>
      <c r="O484">
        <v>46200</v>
      </c>
      <c r="P484" t="s">
        <v>35</v>
      </c>
      <c r="Q484" t="s">
        <v>2357</v>
      </c>
      <c r="R484" t="s">
        <v>82</v>
      </c>
      <c r="S484">
        <v>2</v>
      </c>
      <c r="T484" t="s">
        <v>24</v>
      </c>
      <c r="U484" t="s">
        <v>2404</v>
      </c>
      <c r="V484">
        <v>2025</v>
      </c>
      <c r="W484">
        <v>4</v>
      </c>
    </row>
    <row r="485" spans="1:23" x14ac:dyDescent="0.25">
      <c r="A485" t="s">
        <v>1447</v>
      </c>
      <c r="B485">
        <v>45751.882256944453</v>
      </c>
      <c r="C485" t="s">
        <v>40</v>
      </c>
      <c r="D485" t="s">
        <v>27</v>
      </c>
      <c r="E485" t="s">
        <v>81</v>
      </c>
      <c r="F485" t="s">
        <v>2397</v>
      </c>
      <c r="G485" t="s">
        <v>2378</v>
      </c>
      <c r="H485">
        <v>17000</v>
      </c>
      <c r="I485">
        <v>5</v>
      </c>
      <c r="J485">
        <v>10</v>
      </c>
      <c r="K485">
        <v>85000</v>
      </c>
      <c r="L485">
        <v>8500</v>
      </c>
      <c r="M485">
        <v>76500</v>
      </c>
      <c r="N485">
        <v>17000</v>
      </c>
      <c r="O485">
        <v>93500</v>
      </c>
      <c r="P485" t="s">
        <v>63</v>
      </c>
      <c r="Q485" t="s">
        <v>2357</v>
      </c>
      <c r="R485" t="s">
        <v>23</v>
      </c>
      <c r="S485">
        <v>1</v>
      </c>
      <c r="T485" t="s">
        <v>24</v>
      </c>
      <c r="U485" t="s">
        <v>2404</v>
      </c>
      <c r="V485">
        <v>2025</v>
      </c>
      <c r="W485">
        <v>4</v>
      </c>
    </row>
    <row r="486" spans="1:23" x14ac:dyDescent="0.25">
      <c r="A486" t="s">
        <v>1448</v>
      </c>
      <c r="B486">
        <v>45751.964918981481</v>
      </c>
      <c r="C486" t="s">
        <v>488</v>
      </c>
      <c r="D486" t="s">
        <v>49</v>
      </c>
      <c r="E486" t="s">
        <v>186</v>
      </c>
      <c r="F486" t="s">
        <v>2398</v>
      </c>
      <c r="G486" t="s">
        <v>2377</v>
      </c>
      <c r="H486">
        <v>45000</v>
      </c>
      <c r="I486">
        <v>4</v>
      </c>
      <c r="J486">
        <v>15</v>
      </c>
      <c r="K486">
        <v>180000</v>
      </c>
      <c r="L486">
        <v>27000</v>
      </c>
      <c r="M486">
        <v>153000</v>
      </c>
      <c r="N486">
        <v>43000</v>
      </c>
      <c r="O486">
        <v>196000</v>
      </c>
      <c r="P486" t="s">
        <v>35</v>
      </c>
      <c r="Q486" t="s">
        <v>2357</v>
      </c>
      <c r="R486" t="s">
        <v>30</v>
      </c>
      <c r="S486">
        <v>4</v>
      </c>
      <c r="T486" t="s">
        <v>24</v>
      </c>
      <c r="U486" t="s">
        <v>2404</v>
      </c>
      <c r="V486">
        <v>2025</v>
      </c>
      <c r="W486">
        <v>4</v>
      </c>
    </row>
    <row r="487" spans="1:23" x14ac:dyDescent="0.25">
      <c r="A487" t="s">
        <v>1449</v>
      </c>
      <c r="B487">
        <v>45752.093229166669</v>
      </c>
      <c r="C487" t="s">
        <v>598</v>
      </c>
      <c r="D487" t="s">
        <v>61</v>
      </c>
      <c r="E487" t="s">
        <v>71</v>
      </c>
      <c r="F487" t="s">
        <v>2392</v>
      </c>
      <c r="G487" t="s">
        <v>2379</v>
      </c>
      <c r="H487">
        <v>40000</v>
      </c>
      <c r="I487">
        <v>2</v>
      </c>
      <c r="J487">
        <v>15</v>
      </c>
      <c r="K487">
        <v>80000</v>
      </c>
      <c r="L487">
        <v>12000</v>
      </c>
      <c r="M487">
        <v>68000</v>
      </c>
      <c r="N487">
        <v>26000</v>
      </c>
      <c r="O487">
        <v>94000</v>
      </c>
      <c r="P487" t="s">
        <v>22</v>
      </c>
      <c r="Q487" t="s">
        <v>2356</v>
      </c>
      <c r="R487" t="s">
        <v>36</v>
      </c>
      <c r="S487">
        <v>3</v>
      </c>
      <c r="T487" t="s">
        <v>24</v>
      </c>
      <c r="U487" t="s">
        <v>2404</v>
      </c>
      <c r="V487">
        <v>2025</v>
      </c>
      <c r="W487">
        <v>4</v>
      </c>
    </row>
    <row r="488" spans="1:23" x14ac:dyDescent="0.25">
      <c r="A488" t="s">
        <v>1450</v>
      </c>
      <c r="B488">
        <v>45752.300821759258</v>
      </c>
      <c r="C488" t="s">
        <v>188</v>
      </c>
      <c r="D488" t="s">
        <v>189</v>
      </c>
      <c r="E488" t="s">
        <v>45</v>
      </c>
      <c r="F488" t="s">
        <v>2394</v>
      </c>
      <c r="G488" t="s">
        <v>2378</v>
      </c>
      <c r="H488">
        <v>40000</v>
      </c>
      <c r="I488">
        <v>5</v>
      </c>
      <c r="J488">
        <v>0</v>
      </c>
      <c r="K488">
        <v>200000</v>
      </c>
      <c r="L488">
        <v>0</v>
      </c>
      <c r="M488">
        <v>200000</v>
      </c>
      <c r="N488">
        <v>57000</v>
      </c>
      <c r="O488">
        <v>257000</v>
      </c>
      <c r="P488" t="s">
        <v>29</v>
      </c>
      <c r="Q488" t="s">
        <v>2357</v>
      </c>
      <c r="R488" t="s">
        <v>46</v>
      </c>
      <c r="S488">
        <v>5</v>
      </c>
      <c r="T488" t="s">
        <v>24</v>
      </c>
      <c r="U488" t="s">
        <v>2404</v>
      </c>
      <c r="V488">
        <v>2025</v>
      </c>
      <c r="W488">
        <v>4</v>
      </c>
    </row>
    <row r="489" spans="1:23" x14ac:dyDescent="0.25">
      <c r="A489" t="s">
        <v>1451</v>
      </c>
      <c r="B489">
        <v>45752.329907407409</v>
      </c>
      <c r="C489" t="s">
        <v>79</v>
      </c>
      <c r="D489" t="s">
        <v>80</v>
      </c>
      <c r="E489" t="s">
        <v>58</v>
      </c>
      <c r="F489" t="s">
        <v>2396</v>
      </c>
      <c r="G489" t="s">
        <v>2377</v>
      </c>
      <c r="H489">
        <v>16000</v>
      </c>
      <c r="I489">
        <v>4</v>
      </c>
      <c r="J489">
        <v>5</v>
      </c>
      <c r="K489">
        <v>64000</v>
      </c>
      <c r="L489">
        <v>3200</v>
      </c>
      <c r="M489">
        <v>60800</v>
      </c>
      <c r="N489">
        <v>74000</v>
      </c>
      <c r="O489">
        <v>134800</v>
      </c>
      <c r="P489" t="s">
        <v>35</v>
      </c>
      <c r="Q489" t="s">
        <v>2357</v>
      </c>
      <c r="R489" t="s">
        <v>23</v>
      </c>
      <c r="S489">
        <v>5</v>
      </c>
      <c r="T489" t="s">
        <v>24</v>
      </c>
      <c r="U489" t="s">
        <v>2404</v>
      </c>
      <c r="V489">
        <v>2025</v>
      </c>
      <c r="W489">
        <v>4</v>
      </c>
    </row>
    <row r="490" spans="1:23" x14ac:dyDescent="0.25">
      <c r="A490" t="s">
        <v>1452</v>
      </c>
      <c r="B490">
        <v>45752.344236111108</v>
      </c>
      <c r="C490" t="s">
        <v>19</v>
      </c>
      <c r="D490" t="s">
        <v>20</v>
      </c>
      <c r="E490" t="s">
        <v>85</v>
      </c>
      <c r="F490" t="s">
        <v>2394</v>
      </c>
      <c r="G490" t="s">
        <v>2377</v>
      </c>
      <c r="H490">
        <v>35000</v>
      </c>
      <c r="I490">
        <v>2</v>
      </c>
      <c r="J490">
        <v>0</v>
      </c>
      <c r="K490">
        <v>70000</v>
      </c>
      <c r="L490">
        <v>0</v>
      </c>
      <c r="M490">
        <v>70000</v>
      </c>
      <c r="N490">
        <v>15000</v>
      </c>
      <c r="O490">
        <v>85000</v>
      </c>
      <c r="P490" t="s">
        <v>22</v>
      </c>
      <c r="Q490" t="s">
        <v>2357</v>
      </c>
      <c r="R490" t="s">
        <v>46</v>
      </c>
      <c r="S490">
        <v>1</v>
      </c>
      <c r="T490" t="s">
        <v>24</v>
      </c>
      <c r="U490" t="s">
        <v>2404</v>
      </c>
      <c r="V490">
        <v>2025</v>
      </c>
      <c r="W490">
        <v>4</v>
      </c>
    </row>
    <row r="491" spans="1:23" x14ac:dyDescent="0.25">
      <c r="A491" t="s">
        <v>1453</v>
      </c>
      <c r="B491">
        <v>45752.705439814818</v>
      </c>
      <c r="C491" t="s">
        <v>165</v>
      </c>
      <c r="D491" t="s">
        <v>143</v>
      </c>
      <c r="E491" t="s">
        <v>110</v>
      </c>
      <c r="F491" t="s">
        <v>2395</v>
      </c>
      <c r="G491" t="s">
        <v>2379</v>
      </c>
      <c r="H491">
        <v>6000</v>
      </c>
      <c r="I491">
        <v>3</v>
      </c>
      <c r="J491">
        <v>20</v>
      </c>
      <c r="K491">
        <v>18000</v>
      </c>
      <c r="L491">
        <v>3600</v>
      </c>
      <c r="M491">
        <v>14400</v>
      </c>
      <c r="N491">
        <v>50000</v>
      </c>
      <c r="O491">
        <v>64400</v>
      </c>
      <c r="P491" t="s">
        <v>63</v>
      </c>
      <c r="Q491" t="s">
        <v>2357</v>
      </c>
      <c r="R491" t="s">
        <v>23</v>
      </c>
      <c r="S491">
        <v>1</v>
      </c>
      <c r="T491" t="s">
        <v>24</v>
      </c>
      <c r="U491" t="s">
        <v>2404</v>
      </c>
      <c r="V491">
        <v>2025</v>
      </c>
      <c r="W491">
        <v>4</v>
      </c>
    </row>
    <row r="492" spans="1:23" x14ac:dyDescent="0.25">
      <c r="A492" t="s">
        <v>1454</v>
      </c>
      <c r="B492">
        <v>45753.030462962961</v>
      </c>
      <c r="C492" t="s">
        <v>780</v>
      </c>
      <c r="D492" t="s">
        <v>113</v>
      </c>
      <c r="E492" t="s">
        <v>93</v>
      </c>
      <c r="F492" t="s">
        <v>2399</v>
      </c>
      <c r="G492" t="s">
        <v>2378</v>
      </c>
      <c r="H492">
        <v>25000</v>
      </c>
      <c r="I492">
        <v>2</v>
      </c>
      <c r="J492">
        <v>5</v>
      </c>
      <c r="K492">
        <v>50000</v>
      </c>
      <c r="L492">
        <v>2500</v>
      </c>
      <c r="M492">
        <v>47500</v>
      </c>
      <c r="N492">
        <v>18000</v>
      </c>
      <c r="O492">
        <v>65500</v>
      </c>
      <c r="P492" t="s">
        <v>35</v>
      </c>
      <c r="Q492" t="s">
        <v>2357</v>
      </c>
      <c r="R492" t="s">
        <v>23</v>
      </c>
      <c r="S492">
        <v>4</v>
      </c>
      <c r="T492" t="s">
        <v>24</v>
      </c>
      <c r="U492" t="s">
        <v>2404</v>
      </c>
      <c r="V492">
        <v>2025</v>
      </c>
      <c r="W492">
        <v>4</v>
      </c>
    </row>
    <row r="493" spans="1:23" x14ac:dyDescent="0.25">
      <c r="A493" t="s">
        <v>1455</v>
      </c>
      <c r="B493">
        <v>45753.605590277781</v>
      </c>
      <c r="C493" t="s">
        <v>429</v>
      </c>
      <c r="D493" t="s">
        <v>177</v>
      </c>
      <c r="E493" t="s">
        <v>123</v>
      </c>
      <c r="F493" t="s">
        <v>2399</v>
      </c>
      <c r="G493" t="s">
        <v>2377</v>
      </c>
      <c r="H493">
        <v>22000</v>
      </c>
      <c r="I493">
        <v>1</v>
      </c>
      <c r="J493">
        <v>10</v>
      </c>
      <c r="K493">
        <v>22000</v>
      </c>
      <c r="L493">
        <v>2200</v>
      </c>
      <c r="M493">
        <v>19800</v>
      </c>
      <c r="N493">
        <v>56000</v>
      </c>
      <c r="O493">
        <v>75800</v>
      </c>
      <c r="P493" t="s">
        <v>29</v>
      </c>
      <c r="Q493" t="s">
        <v>2357</v>
      </c>
      <c r="R493" t="s">
        <v>82</v>
      </c>
      <c r="S493">
        <v>3</v>
      </c>
      <c r="T493" t="s">
        <v>37</v>
      </c>
      <c r="U493" t="s">
        <v>2404</v>
      </c>
      <c r="V493">
        <v>2025</v>
      </c>
      <c r="W493">
        <v>4</v>
      </c>
    </row>
    <row r="494" spans="1:23" x14ac:dyDescent="0.25">
      <c r="A494" t="s">
        <v>1456</v>
      </c>
      <c r="B494">
        <v>45753.93849537037</v>
      </c>
      <c r="C494" t="s">
        <v>1098</v>
      </c>
      <c r="D494" t="s">
        <v>126</v>
      </c>
      <c r="E494" t="s">
        <v>58</v>
      </c>
      <c r="F494" t="s">
        <v>2396</v>
      </c>
      <c r="G494" t="s">
        <v>2377</v>
      </c>
      <c r="H494">
        <v>16000</v>
      </c>
      <c r="I494">
        <v>4</v>
      </c>
      <c r="J494">
        <v>0</v>
      </c>
      <c r="K494">
        <v>64000</v>
      </c>
      <c r="L494">
        <v>0</v>
      </c>
      <c r="M494">
        <v>64000</v>
      </c>
      <c r="N494">
        <v>84000</v>
      </c>
      <c r="O494">
        <v>148000</v>
      </c>
      <c r="P494" t="s">
        <v>22</v>
      </c>
      <c r="Q494" t="s">
        <v>2357</v>
      </c>
      <c r="R494" t="s">
        <v>36</v>
      </c>
      <c r="S494">
        <v>1</v>
      </c>
      <c r="T494" t="s">
        <v>37</v>
      </c>
      <c r="U494" t="s">
        <v>2404</v>
      </c>
      <c r="V494">
        <v>2025</v>
      </c>
      <c r="W494">
        <v>4</v>
      </c>
    </row>
    <row r="495" spans="1:23" x14ac:dyDescent="0.25">
      <c r="A495" t="s">
        <v>1457</v>
      </c>
      <c r="B495">
        <v>45754.109212962961</v>
      </c>
      <c r="C495" t="s">
        <v>1285</v>
      </c>
      <c r="D495" t="s">
        <v>163</v>
      </c>
      <c r="E495" t="s">
        <v>123</v>
      </c>
      <c r="F495" t="s">
        <v>2399</v>
      </c>
      <c r="G495" t="s">
        <v>2377</v>
      </c>
      <c r="H495">
        <v>22000</v>
      </c>
      <c r="I495">
        <v>1</v>
      </c>
      <c r="J495">
        <v>10</v>
      </c>
      <c r="K495">
        <v>22000</v>
      </c>
      <c r="L495">
        <v>2200</v>
      </c>
      <c r="M495">
        <v>19800</v>
      </c>
      <c r="N495">
        <v>50000</v>
      </c>
      <c r="O495">
        <v>69800</v>
      </c>
      <c r="P495" t="s">
        <v>63</v>
      </c>
      <c r="Q495" t="s">
        <v>2357</v>
      </c>
      <c r="R495" t="s">
        <v>46</v>
      </c>
      <c r="S495">
        <v>4</v>
      </c>
      <c r="T495" t="s">
        <v>24</v>
      </c>
      <c r="U495" t="s">
        <v>2404</v>
      </c>
      <c r="V495">
        <v>2025</v>
      </c>
      <c r="W495">
        <v>4</v>
      </c>
    </row>
    <row r="496" spans="1:23" x14ac:dyDescent="0.25">
      <c r="A496" t="s">
        <v>1458</v>
      </c>
      <c r="B496">
        <v>45754.119652777779</v>
      </c>
      <c r="C496" t="s">
        <v>669</v>
      </c>
      <c r="D496" t="s">
        <v>151</v>
      </c>
      <c r="E496" t="s">
        <v>54</v>
      </c>
      <c r="F496" t="s">
        <v>2393</v>
      </c>
      <c r="G496" t="s">
        <v>2379</v>
      </c>
      <c r="H496">
        <v>16000</v>
      </c>
      <c r="I496">
        <v>2</v>
      </c>
      <c r="J496">
        <v>15</v>
      </c>
      <c r="K496">
        <v>32000</v>
      </c>
      <c r="L496">
        <v>4800</v>
      </c>
      <c r="M496">
        <v>27200</v>
      </c>
      <c r="N496">
        <v>55000</v>
      </c>
      <c r="O496">
        <v>82200</v>
      </c>
      <c r="P496" t="s">
        <v>29</v>
      </c>
      <c r="Q496" t="s">
        <v>2357</v>
      </c>
      <c r="R496" t="s">
        <v>36</v>
      </c>
      <c r="S496">
        <v>4</v>
      </c>
      <c r="T496" t="s">
        <v>24</v>
      </c>
      <c r="U496" t="s">
        <v>2404</v>
      </c>
      <c r="V496">
        <v>2025</v>
      </c>
      <c r="W496">
        <v>4</v>
      </c>
    </row>
    <row r="497" spans="1:23" x14ac:dyDescent="0.25">
      <c r="A497" t="s">
        <v>1459</v>
      </c>
      <c r="B497">
        <v>45754.476412037038</v>
      </c>
      <c r="C497" t="s">
        <v>371</v>
      </c>
      <c r="D497" t="s">
        <v>27</v>
      </c>
      <c r="E497" t="s">
        <v>190</v>
      </c>
      <c r="F497" t="s">
        <v>2392</v>
      </c>
      <c r="G497" t="s">
        <v>2378</v>
      </c>
      <c r="H497">
        <v>35000</v>
      </c>
      <c r="I497">
        <v>3</v>
      </c>
      <c r="J497">
        <v>5</v>
      </c>
      <c r="K497">
        <v>105000</v>
      </c>
      <c r="L497">
        <v>5250</v>
      </c>
      <c r="M497">
        <v>99750</v>
      </c>
      <c r="N497">
        <v>17000</v>
      </c>
      <c r="O497">
        <v>116750</v>
      </c>
      <c r="P497" t="s">
        <v>35</v>
      </c>
      <c r="Q497" t="s">
        <v>2357</v>
      </c>
      <c r="R497" t="s">
        <v>30</v>
      </c>
      <c r="S497">
        <v>5</v>
      </c>
      <c r="T497" t="s">
        <v>24</v>
      </c>
      <c r="U497" t="s">
        <v>2404</v>
      </c>
      <c r="V497">
        <v>2025</v>
      </c>
      <c r="W497">
        <v>4</v>
      </c>
    </row>
    <row r="498" spans="1:23" x14ac:dyDescent="0.25">
      <c r="A498" t="s">
        <v>1460</v>
      </c>
      <c r="B498">
        <v>45754.760428240741</v>
      </c>
      <c r="C498" t="s">
        <v>776</v>
      </c>
      <c r="D498" t="s">
        <v>103</v>
      </c>
      <c r="E498" t="s">
        <v>58</v>
      </c>
      <c r="F498" t="s">
        <v>2396</v>
      </c>
      <c r="G498" t="s">
        <v>2377</v>
      </c>
      <c r="H498">
        <v>16000</v>
      </c>
      <c r="I498">
        <v>2</v>
      </c>
      <c r="J498">
        <v>0</v>
      </c>
      <c r="K498">
        <v>32000</v>
      </c>
      <c r="L498">
        <v>0</v>
      </c>
      <c r="M498">
        <v>32000</v>
      </c>
      <c r="N498">
        <v>85000</v>
      </c>
      <c r="O498">
        <v>117000</v>
      </c>
      <c r="P498" t="s">
        <v>22</v>
      </c>
      <c r="Q498" t="s">
        <v>2357</v>
      </c>
      <c r="R498" t="s">
        <v>23</v>
      </c>
      <c r="S498">
        <v>1</v>
      </c>
      <c r="T498" t="s">
        <v>24</v>
      </c>
      <c r="U498" t="s">
        <v>2404</v>
      </c>
      <c r="V498">
        <v>2025</v>
      </c>
      <c r="W498">
        <v>4</v>
      </c>
    </row>
    <row r="499" spans="1:23" x14ac:dyDescent="0.25">
      <c r="A499" t="s">
        <v>1461</v>
      </c>
      <c r="B499">
        <v>45755.042569444442</v>
      </c>
      <c r="C499" t="s">
        <v>649</v>
      </c>
      <c r="D499" t="s">
        <v>177</v>
      </c>
      <c r="E499" t="s">
        <v>190</v>
      </c>
      <c r="F499" t="s">
        <v>2392</v>
      </c>
      <c r="G499" t="s">
        <v>2378</v>
      </c>
      <c r="H499">
        <v>35000</v>
      </c>
      <c r="I499">
        <v>3</v>
      </c>
      <c r="J499">
        <v>0</v>
      </c>
      <c r="K499">
        <v>105000</v>
      </c>
      <c r="L499">
        <v>0</v>
      </c>
      <c r="M499">
        <v>105000</v>
      </c>
      <c r="N499">
        <v>56000</v>
      </c>
      <c r="O499">
        <v>161000</v>
      </c>
      <c r="P499" t="s">
        <v>22</v>
      </c>
      <c r="Q499" t="s">
        <v>2356</v>
      </c>
      <c r="R499" t="s">
        <v>36</v>
      </c>
      <c r="S499">
        <v>1</v>
      </c>
      <c r="T499" t="s">
        <v>24</v>
      </c>
      <c r="U499" t="s">
        <v>2404</v>
      </c>
      <c r="V499">
        <v>2025</v>
      </c>
      <c r="W499">
        <v>4</v>
      </c>
    </row>
    <row r="500" spans="1:23" x14ac:dyDescent="0.25">
      <c r="A500" t="s">
        <v>1462</v>
      </c>
      <c r="B500">
        <v>45755.104618055557</v>
      </c>
      <c r="C500" t="s">
        <v>235</v>
      </c>
      <c r="D500" t="s">
        <v>189</v>
      </c>
      <c r="E500" t="s">
        <v>41</v>
      </c>
      <c r="F500" t="s">
        <v>2395</v>
      </c>
      <c r="G500" t="s">
        <v>2377</v>
      </c>
      <c r="H500">
        <v>4000</v>
      </c>
      <c r="I500">
        <v>1</v>
      </c>
      <c r="J500">
        <v>10</v>
      </c>
      <c r="K500">
        <v>4000</v>
      </c>
      <c r="L500">
        <v>400</v>
      </c>
      <c r="M500">
        <v>3600</v>
      </c>
      <c r="N500">
        <v>57000</v>
      </c>
      <c r="O500">
        <v>60600</v>
      </c>
      <c r="P500" t="s">
        <v>63</v>
      </c>
      <c r="Q500" t="s">
        <v>2357</v>
      </c>
      <c r="R500" t="s">
        <v>82</v>
      </c>
      <c r="S500">
        <v>3</v>
      </c>
      <c r="T500" t="s">
        <v>37</v>
      </c>
      <c r="U500" t="s">
        <v>2404</v>
      </c>
      <c r="V500">
        <v>2025</v>
      </c>
      <c r="W500">
        <v>4</v>
      </c>
    </row>
    <row r="501" spans="1:23" x14ac:dyDescent="0.25">
      <c r="A501" t="s">
        <v>1463</v>
      </c>
      <c r="B501">
        <v>45755.135312500002</v>
      </c>
      <c r="C501" t="s">
        <v>649</v>
      </c>
      <c r="D501" t="s">
        <v>177</v>
      </c>
      <c r="E501" t="s">
        <v>45</v>
      </c>
      <c r="F501" t="s">
        <v>2394</v>
      </c>
      <c r="G501" t="s">
        <v>2378</v>
      </c>
      <c r="H501">
        <v>40000</v>
      </c>
      <c r="I501">
        <v>4</v>
      </c>
      <c r="J501">
        <v>5</v>
      </c>
      <c r="K501">
        <v>160000</v>
      </c>
      <c r="L501">
        <v>8000</v>
      </c>
      <c r="M501">
        <v>152000</v>
      </c>
      <c r="N501">
        <v>56000</v>
      </c>
      <c r="O501">
        <v>208000</v>
      </c>
      <c r="P501" t="s">
        <v>63</v>
      </c>
      <c r="Q501" t="s">
        <v>2357</v>
      </c>
      <c r="R501" t="s">
        <v>46</v>
      </c>
      <c r="S501">
        <v>1</v>
      </c>
      <c r="T501" t="s">
        <v>24</v>
      </c>
      <c r="U501" t="s">
        <v>2404</v>
      </c>
      <c r="V501">
        <v>2025</v>
      </c>
      <c r="W501">
        <v>4</v>
      </c>
    </row>
    <row r="502" spans="1:23" x14ac:dyDescent="0.25">
      <c r="A502" t="s">
        <v>1463</v>
      </c>
      <c r="B502">
        <v>45755.135312500002</v>
      </c>
      <c r="C502" t="s">
        <v>649</v>
      </c>
      <c r="D502" t="s">
        <v>177</v>
      </c>
      <c r="E502" t="s">
        <v>67</v>
      </c>
      <c r="F502" t="s">
        <v>2393</v>
      </c>
      <c r="G502" t="s">
        <v>2378</v>
      </c>
      <c r="H502">
        <v>15000</v>
      </c>
      <c r="I502">
        <v>2</v>
      </c>
      <c r="J502">
        <v>10</v>
      </c>
      <c r="K502">
        <v>30000</v>
      </c>
      <c r="L502">
        <v>3000</v>
      </c>
      <c r="M502">
        <v>27000</v>
      </c>
      <c r="N502">
        <v>0</v>
      </c>
      <c r="O502">
        <v>27000</v>
      </c>
      <c r="P502" t="s">
        <v>63</v>
      </c>
      <c r="Q502" t="s">
        <v>2357</v>
      </c>
      <c r="R502" t="s">
        <v>46</v>
      </c>
      <c r="S502">
        <v>1</v>
      </c>
      <c r="T502" t="s">
        <v>24</v>
      </c>
      <c r="U502" t="s">
        <v>2404</v>
      </c>
      <c r="V502">
        <v>2025</v>
      </c>
      <c r="W502">
        <v>4</v>
      </c>
    </row>
    <row r="503" spans="1:23" x14ac:dyDescent="0.25">
      <c r="A503" t="s">
        <v>1464</v>
      </c>
      <c r="B503">
        <v>45755.440636574072</v>
      </c>
      <c r="C503" t="s">
        <v>708</v>
      </c>
      <c r="D503" t="s">
        <v>116</v>
      </c>
      <c r="E503" t="s">
        <v>67</v>
      </c>
      <c r="F503" t="s">
        <v>2393</v>
      </c>
      <c r="G503" t="s">
        <v>2378</v>
      </c>
      <c r="H503">
        <v>15000</v>
      </c>
      <c r="I503">
        <v>1</v>
      </c>
      <c r="J503">
        <v>10</v>
      </c>
      <c r="K503">
        <v>15000</v>
      </c>
      <c r="L503">
        <v>1500</v>
      </c>
      <c r="M503">
        <v>13500</v>
      </c>
      <c r="N503">
        <v>72000</v>
      </c>
      <c r="O503">
        <v>85500</v>
      </c>
      <c r="P503" t="s">
        <v>63</v>
      </c>
      <c r="Q503" t="s">
        <v>2357</v>
      </c>
      <c r="R503" t="s">
        <v>30</v>
      </c>
      <c r="S503">
        <v>2</v>
      </c>
      <c r="T503" t="s">
        <v>24</v>
      </c>
      <c r="U503" t="s">
        <v>2404</v>
      </c>
      <c r="V503">
        <v>2025</v>
      </c>
      <c r="W503">
        <v>4</v>
      </c>
    </row>
    <row r="504" spans="1:23" x14ac:dyDescent="0.25">
      <c r="A504" t="s">
        <v>1465</v>
      </c>
      <c r="B504">
        <v>45755.90111111111</v>
      </c>
      <c r="C504" t="s">
        <v>832</v>
      </c>
      <c r="D504" t="s">
        <v>131</v>
      </c>
      <c r="E504" t="s">
        <v>34</v>
      </c>
      <c r="F504" t="s">
        <v>2397</v>
      </c>
      <c r="G504" t="s">
        <v>2377</v>
      </c>
      <c r="H504">
        <v>16000</v>
      </c>
      <c r="I504">
        <v>1</v>
      </c>
      <c r="J504">
        <v>15</v>
      </c>
      <c r="K504">
        <v>16000</v>
      </c>
      <c r="L504">
        <v>2400</v>
      </c>
      <c r="M504">
        <v>13600</v>
      </c>
      <c r="N504">
        <v>59000</v>
      </c>
      <c r="O504">
        <v>72600</v>
      </c>
      <c r="P504" t="s">
        <v>22</v>
      </c>
      <c r="Q504" t="s">
        <v>2357</v>
      </c>
      <c r="R504" t="s">
        <v>46</v>
      </c>
      <c r="S504">
        <v>3</v>
      </c>
      <c r="T504" t="s">
        <v>24</v>
      </c>
      <c r="U504" t="s">
        <v>2404</v>
      </c>
      <c r="V504">
        <v>2025</v>
      </c>
      <c r="W504">
        <v>4</v>
      </c>
    </row>
    <row r="505" spans="1:23" x14ac:dyDescent="0.25">
      <c r="A505" t="s">
        <v>1466</v>
      </c>
      <c r="B505">
        <v>45756.402337962973</v>
      </c>
      <c r="C505" t="s">
        <v>542</v>
      </c>
      <c r="D505" t="s">
        <v>122</v>
      </c>
      <c r="E505" t="s">
        <v>110</v>
      </c>
      <c r="F505" t="s">
        <v>2395</v>
      </c>
      <c r="G505" t="s">
        <v>2379</v>
      </c>
      <c r="H505">
        <v>6000</v>
      </c>
      <c r="I505">
        <v>5</v>
      </c>
      <c r="J505">
        <v>5</v>
      </c>
      <c r="K505">
        <v>30000</v>
      </c>
      <c r="L505">
        <v>1500</v>
      </c>
      <c r="M505">
        <v>28500</v>
      </c>
      <c r="N505">
        <v>78000</v>
      </c>
      <c r="O505">
        <v>106500</v>
      </c>
      <c r="P505" t="s">
        <v>35</v>
      </c>
      <c r="Q505" t="s">
        <v>2357</v>
      </c>
      <c r="R505" t="s">
        <v>23</v>
      </c>
      <c r="S505">
        <v>1</v>
      </c>
      <c r="T505" t="s">
        <v>24</v>
      </c>
      <c r="U505" t="s">
        <v>2404</v>
      </c>
      <c r="V505">
        <v>2025</v>
      </c>
      <c r="W505">
        <v>4</v>
      </c>
    </row>
    <row r="506" spans="1:23" x14ac:dyDescent="0.25">
      <c r="A506" t="s">
        <v>1467</v>
      </c>
      <c r="B506">
        <v>45756.60083333333</v>
      </c>
      <c r="C506" t="s">
        <v>615</v>
      </c>
      <c r="D506" t="s">
        <v>92</v>
      </c>
      <c r="E506" t="s">
        <v>123</v>
      </c>
      <c r="F506" t="s">
        <v>2399</v>
      </c>
      <c r="G506" t="s">
        <v>2377</v>
      </c>
      <c r="H506">
        <v>22000</v>
      </c>
      <c r="I506">
        <v>4</v>
      </c>
      <c r="J506">
        <v>20</v>
      </c>
      <c r="K506">
        <v>88000</v>
      </c>
      <c r="L506">
        <v>17600</v>
      </c>
      <c r="M506">
        <v>70400</v>
      </c>
      <c r="N506">
        <v>30000</v>
      </c>
      <c r="O506">
        <v>100400</v>
      </c>
      <c r="P506" t="s">
        <v>22</v>
      </c>
      <c r="Q506" t="s">
        <v>2357</v>
      </c>
      <c r="R506" t="s">
        <v>46</v>
      </c>
      <c r="S506">
        <v>1</v>
      </c>
      <c r="T506" t="s">
        <v>24</v>
      </c>
      <c r="U506" t="s">
        <v>2404</v>
      </c>
      <c r="V506">
        <v>2025</v>
      </c>
      <c r="W506">
        <v>4</v>
      </c>
    </row>
    <row r="507" spans="1:23" x14ac:dyDescent="0.25">
      <c r="A507" t="s">
        <v>1468</v>
      </c>
      <c r="B507">
        <v>45756.609548611108</v>
      </c>
      <c r="C507" t="s">
        <v>135</v>
      </c>
      <c r="D507" t="s">
        <v>27</v>
      </c>
      <c r="E507" t="s">
        <v>21</v>
      </c>
      <c r="F507" t="s">
        <v>2394</v>
      </c>
      <c r="G507" t="s">
        <v>2379</v>
      </c>
      <c r="H507">
        <v>45000</v>
      </c>
      <c r="I507">
        <v>3</v>
      </c>
      <c r="J507">
        <v>20</v>
      </c>
      <c r="K507">
        <v>135000</v>
      </c>
      <c r="L507">
        <v>27000</v>
      </c>
      <c r="M507">
        <v>108000</v>
      </c>
      <c r="N507">
        <v>17000</v>
      </c>
      <c r="O507">
        <v>125000</v>
      </c>
      <c r="P507" t="s">
        <v>63</v>
      </c>
      <c r="Q507" t="s">
        <v>2357</v>
      </c>
      <c r="R507" t="s">
        <v>23</v>
      </c>
      <c r="S507">
        <v>2</v>
      </c>
      <c r="T507" t="s">
        <v>24</v>
      </c>
      <c r="U507" t="s">
        <v>2404</v>
      </c>
      <c r="V507">
        <v>2025</v>
      </c>
      <c r="W507">
        <v>4</v>
      </c>
    </row>
    <row r="508" spans="1:23" x14ac:dyDescent="0.25">
      <c r="A508" t="s">
        <v>1469</v>
      </c>
      <c r="B508">
        <v>45756.907071759262</v>
      </c>
      <c r="C508" t="s">
        <v>203</v>
      </c>
      <c r="D508" t="s">
        <v>20</v>
      </c>
      <c r="E508" t="s">
        <v>50</v>
      </c>
      <c r="F508" t="s">
        <v>2400</v>
      </c>
      <c r="G508" t="s">
        <v>2379</v>
      </c>
      <c r="H508">
        <v>14000</v>
      </c>
      <c r="I508">
        <v>5</v>
      </c>
      <c r="J508">
        <v>0</v>
      </c>
      <c r="K508">
        <v>70000</v>
      </c>
      <c r="L508">
        <v>0</v>
      </c>
      <c r="M508">
        <v>70000</v>
      </c>
      <c r="N508">
        <v>15000</v>
      </c>
      <c r="O508">
        <v>85000</v>
      </c>
      <c r="P508" t="s">
        <v>29</v>
      </c>
      <c r="Q508" t="s">
        <v>2357</v>
      </c>
      <c r="R508" t="s">
        <v>46</v>
      </c>
      <c r="S508">
        <v>4</v>
      </c>
      <c r="T508" t="s">
        <v>24</v>
      </c>
      <c r="U508" t="s">
        <v>2404</v>
      </c>
      <c r="V508">
        <v>2025</v>
      </c>
      <c r="W508">
        <v>4</v>
      </c>
    </row>
    <row r="509" spans="1:23" x14ac:dyDescent="0.25">
      <c r="A509" t="s">
        <v>1470</v>
      </c>
      <c r="B509">
        <v>45757.279039351852</v>
      </c>
      <c r="C509" t="s">
        <v>867</v>
      </c>
      <c r="D509" t="s">
        <v>20</v>
      </c>
      <c r="E509" t="s">
        <v>144</v>
      </c>
      <c r="F509" t="s">
        <v>2396</v>
      </c>
      <c r="G509" t="s">
        <v>2379</v>
      </c>
      <c r="H509">
        <v>18000</v>
      </c>
      <c r="I509">
        <v>3</v>
      </c>
      <c r="J509">
        <v>5</v>
      </c>
      <c r="K509">
        <v>54000</v>
      </c>
      <c r="L509">
        <v>2700</v>
      </c>
      <c r="M509">
        <v>51300</v>
      </c>
      <c r="N509">
        <v>15000</v>
      </c>
      <c r="O509">
        <v>66300</v>
      </c>
      <c r="P509" t="s">
        <v>35</v>
      </c>
      <c r="Q509" t="s">
        <v>2357</v>
      </c>
      <c r="R509" t="s">
        <v>23</v>
      </c>
      <c r="S509">
        <v>2</v>
      </c>
      <c r="T509" t="s">
        <v>37</v>
      </c>
      <c r="U509" t="s">
        <v>2404</v>
      </c>
      <c r="V509">
        <v>2025</v>
      </c>
      <c r="W509">
        <v>4</v>
      </c>
    </row>
    <row r="510" spans="1:23" x14ac:dyDescent="0.25">
      <c r="A510" t="s">
        <v>1471</v>
      </c>
      <c r="B510">
        <v>45757.298391203702</v>
      </c>
      <c r="C510" t="s">
        <v>125</v>
      </c>
      <c r="D510" t="s">
        <v>126</v>
      </c>
      <c r="E510" t="s">
        <v>71</v>
      </c>
      <c r="F510" t="s">
        <v>2392</v>
      </c>
      <c r="G510" t="s">
        <v>2379</v>
      </c>
      <c r="H510">
        <v>40000</v>
      </c>
      <c r="I510">
        <v>3</v>
      </c>
      <c r="J510">
        <v>5</v>
      </c>
      <c r="K510">
        <v>120000</v>
      </c>
      <c r="L510">
        <v>6000</v>
      </c>
      <c r="M510">
        <v>114000</v>
      </c>
      <c r="N510">
        <v>84000</v>
      </c>
      <c r="O510">
        <v>198000</v>
      </c>
      <c r="P510" t="s">
        <v>63</v>
      </c>
      <c r="Q510" t="s">
        <v>2357</v>
      </c>
      <c r="R510" t="s">
        <v>82</v>
      </c>
      <c r="S510">
        <v>5</v>
      </c>
      <c r="T510" t="s">
        <v>24</v>
      </c>
      <c r="U510" t="s">
        <v>2404</v>
      </c>
      <c r="V510">
        <v>2025</v>
      </c>
      <c r="W510">
        <v>4</v>
      </c>
    </row>
    <row r="511" spans="1:23" x14ac:dyDescent="0.25">
      <c r="A511" t="s">
        <v>1472</v>
      </c>
      <c r="B511">
        <v>45757.344097222223</v>
      </c>
      <c r="C511" t="s">
        <v>391</v>
      </c>
      <c r="D511" t="s">
        <v>122</v>
      </c>
      <c r="E511" t="s">
        <v>38</v>
      </c>
      <c r="F511" t="s">
        <v>2399</v>
      </c>
      <c r="G511" t="s">
        <v>2379</v>
      </c>
      <c r="H511">
        <v>28000</v>
      </c>
      <c r="I511">
        <v>3</v>
      </c>
      <c r="J511">
        <v>0</v>
      </c>
      <c r="K511">
        <v>84000</v>
      </c>
      <c r="L511">
        <v>0</v>
      </c>
      <c r="M511">
        <v>84000</v>
      </c>
      <c r="N511">
        <v>78000</v>
      </c>
      <c r="O511">
        <v>162000</v>
      </c>
      <c r="P511" t="s">
        <v>63</v>
      </c>
      <c r="Q511" t="s">
        <v>2357</v>
      </c>
      <c r="R511" t="s">
        <v>46</v>
      </c>
      <c r="S511">
        <v>2</v>
      </c>
      <c r="T511" t="s">
        <v>24</v>
      </c>
      <c r="U511" t="s">
        <v>2404</v>
      </c>
      <c r="V511">
        <v>2025</v>
      </c>
      <c r="W511">
        <v>4</v>
      </c>
    </row>
    <row r="512" spans="1:23" x14ac:dyDescent="0.25">
      <c r="A512" t="s">
        <v>1473</v>
      </c>
      <c r="B512">
        <v>45757.552777777782</v>
      </c>
      <c r="C512" t="s">
        <v>355</v>
      </c>
      <c r="D512" t="s">
        <v>116</v>
      </c>
      <c r="E512" t="s">
        <v>144</v>
      </c>
      <c r="F512" t="s">
        <v>2396</v>
      </c>
      <c r="G512" t="s">
        <v>2379</v>
      </c>
      <c r="H512">
        <v>18000</v>
      </c>
      <c r="I512">
        <v>1</v>
      </c>
      <c r="J512">
        <v>20</v>
      </c>
      <c r="K512">
        <v>18000</v>
      </c>
      <c r="L512">
        <v>3600</v>
      </c>
      <c r="M512">
        <v>14400</v>
      </c>
      <c r="N512">
        <v>72000</v>
      </c>
      <c r="O512">
        <v>86400</v>
      </c>
      <c r="P512" t="s">
        <v>22</v>
      </c>
      <c r="Q512" t="s">
        <v>2357</v>
      </c>
      <c r="R512" t="s">
        <v>30</v>
      </c>
      <c r="S512">
        <v>3</v>
      </c>
      <c r="T512" t="s">
        <v>24</v>
      </c>
      <c r="U512" t="s">
        <v>2404</v>
      </c>
      <c r="V512">
        <v>2025</v>
      </c>
      <c r="W512">
        <v>4</v>
      </c>
    </row>
    <row r="513" spans="1:23" x14ac:dyDescent="0.25">
      <c r="A513" t="s">
        <v>1474</v>
      </c>
      <c r="B513">
        <v>45757.577997685177</v>
      </c>
      <c r="C513" t="s">
        <v>681</v>
      </c>
      <c r="D513" t="s">
        <v>262</v>
      </c>
      <c r="E513" t="s">
        <v>110</v>
      </c>
      <c r="F513" t="s">
        <v>2395</v>
      </c>
      <c r="G513" t="s">
        <v>2379</v>
      </c>
      <c r="H513">
        <v>6000</v>
      </c>
      <c r="I513">
        <v>1</v>
      </c>
      <c r="J513">
        <v>15</v>
      </c>
      <c r="K513">
        <v>6000</v>
      </c>
      <c r="L513">
        <v>900</v>
      </c>
      <c r="M513">
        <v>5100</v>
      </c>
      <c r="N513">
        <v>18000</v>
      </c>
      <c r="O513">
        <v>23100</v>
      </c>
      <c r="P513" t="s">
        <v>35</v>
      </c>
      <c r="Q513" t="s">
        <v>2356</v>
      </c>
      <c r="R513" t="s">
        <v>46</v>
      </c>
      <c r="S513">
        <v>3</v>
      </c>
      <c r="T513" t="s">
        <v>24</v>
      </c>
      <c r="U513" t="s">
        <v>2404</v>
      </c>
      <c r="V513">
        <v>2025</v>
      </c>
      <c r="W513">
        <v>4</v>
      </c>
    </row>
    <row r="514" spans="1:23" x14ac:dyDescent="0.25">
      <c r="A514" t="s">
        <v>1475</v>
      </c>
      <c r="B514">
        <v>45757.587118055562</v>
      </c>
      <c r="C514" t="s">
        <v>1445</v>
      </c>
      <c r="D514" t="s">
        <v>296</v>
      </c>
      <c r="E514" t="s">
        <v>144</v>
      </c>
      <c r="F514" t="s">
        <v>2396</v>
      </c>
      <c r="G514" t="s">
        <v>2379</v>
      </c>
      <c r="H514">
        <v>18000</v>
      </c>
      <c r="I514">
        <v>1</v>
      </c>
      <c r="J514">
        <v>20</v>
      </c>
      <c r="K514">
        <v>18000</v>
      </c>
      <c r="L514">
        <v>3600</v>
      </c>
      <c r="M514">
        <v>14400</v>
      </c>
      <c r="N514">
        <v>79000</v>
      </c>
      <c r="O514">
        <v>93400</v>
      </c>
      <c r="P514" t="s">
        <v>29</v>
      </c>
      <c r="Q514" t="s">
        <v>2357</v>
      </c>
      <c r="R514" t="s">
        <v>36</v>
      </c>
      <c r="S514">
        <v>2</v>
      </c>
      <c r="T514" t="s">
        <v>37</v>
      </c>
      <c r="U514" t="s">
        <v>2404</v>
      </c>
      <c r="V514">
        <v>2025</v>
      </c>
      <c r="W514">
        <v>4</v>
      </c>
    </row>
    <row r="515" spans="1:23" x14ac:dyDescent="0.25">
      <c r="A515" t="s">
        <v>1476</v>
      </c>
      <c r="B515">
        <v>45757.787037037036</v>
      </c>
      <c r="C515" t="s">
        <v>361</v>
      </c>
      <c r="D515" t="s">
        <v>70</v>
      </c>
      <c r="E515" t="s">
        <v>71</v>
      </c>
      <c r="F515" t="s">
        <v>2392</v>
      </c>
      <c r="G515" t="s">
        <v>2379</v>
      </c>
      <c r="H515">
        <v>40000</v>
      </c>
      <c r="I515">
        <v>2</v>
      </c>
      <c r="J515">
        <v>5</v>
      </c>
      <c r="K515">
        <v>80000</v>
      </c>
      <c r="L515">
        <v>4000</v>
      </c>
      <c r="M515">
        <v>76000</v>
      </c>
      <c r="N515">
        <v>89000</v>
      </c>
      <c r="O515">
        <v>165000</v>
      </c>
      <c r="P515" t="s">
        <v>22</v>
      </c>
      <c r="Q515" t="s">
        <v>2359</v>
      </c>
      <c r="R515" t="s">
        <v>23</v>
      </c>
      <c r="S515">
        <v>1</v>
      </c>
      <c r="T515" t="s">
        <v>37</v>
      </c>
      <c r="U515" t="s">
        <v>2404</v>
      </c>
      <c r="V515">
        <v>2025</v>
      </c>
      <c r="W515">
        <v>4</v>
      </c>
    </row>
    <row r="516" spans="1:23" x14ac:dyDescent="0.25">
      <c r="A516" t="s">
        <v>1477</v>
      </c>
      <c r="B516">
        <v>45757.930636574078</v>
      </c>
      <c r="C516" t="s">
        <v>95</v>
      </c>
      <c r="D516" t="s">
        <v>96</v>
      </c>
      <c r="E516" t="s">
        <v>93</v>
      </c>
      <c r="F516" t="s">
        <v>2399</v>
      </c>
      <c r="G516" t="s">
        <v>2378</v>
      </c>
      <c r="H516">
        <v>25000</v>
      </c>
      <c r="I516">
        <v>4</v>
      </c>
      <c r="J516">
        <v>5</v>
      </c>
      <c r="K516">
        <v>100000</v>
      </c>
      <c r="L516">
        <v>5000</v>
      </c>
      <c r="M516">
        <v>95000</v>
      </c>
      <c r="N516">
        <v>49000</v>
      </c>
      <c r="O516">
        <v>144000</v>
      </c>
      <c r="P516" t="s">
        <v>63</v>
      </c>
      <c r="Q516" t="s">
        <v>2357</v>
      </c>
      <c r="R516" t="s">
        <v>23</v>
      </c>
      <c r="S516">
        <v>1</v>
      </c>
      <c r="T516" t="s">
        <v>24</v>
      </c>
      <c r="U516" t="s">
        <v>2404</v>
      </c>
      <c r="V516">
        <v>2025</v>
      </c>
      <c r="W516">
        <v>4</v>
      </c>
    </row>
    <row r="517" spans="1:23" x14ac:dyDescent="0.25">
      <c r="A517" t="s">
        <v>1478</v>
      </c>
      <c r="B517">
        <v>45758.120034722233</v>
      </c>
      <c r="C517" t="s">
        <v>159</v>
      </c>
      <c r="D517" t="s">
        <v>160</v>
      </c>
      <c r="E517" t="s">
        <v>34</v>
      </c>
      <c r="F517" t="s">
        <v>2397</v>
      </c>
      <c r="G517" t="s">
        <v>2377</v>
      </c>
      <c r="H517">
        <v>16000</v>
      </c>
      <c r="I517">
        <v>1</v>
      </c>
      <c r="J517">
        <v>10</v>
      </c>
      <c r="K517">
        <v>16000</v>
      </c>
      <c r="L517">
        <v>1600</v>
      </c>
      <c r="M517">
        <v>14400</v>
      </c>
      <c r="N517">
        <v>68000</v>
      </c>
      <c r="O517">
        <v>82400</v>
      </c>
      <c r="P517" t="s">
        <v>63</v>
      </c>
      <c r="Q517" t="s">
        <v>2357</v>
      </c>
      <c r="R517" t="s">
        <v>30</v>
      </c>
      <c r="S517">
        <v>3</v>
      </c>
      <c r="T517" t="s">
        <v>24</v>
      </c>
      <c r="U517" t="s">
        <v>2404</v>
      </c>
      <c r="V517">
        <v>2025</v>
      </c>
      <c r="W517">
        <v>4</v>
      </c>
    </row>
    <row r="518" spans="1:23" x14ac:dyDescent="0.25">
      <c r="A518" t="s">
        <v>1479</v>
      </c>
      <c r="B518">
        <v>45758.285497685189</v>
      </c>
      <c r="C518" t="s">
        <v>741</v>
      </c>
      <c r="D518" t="s">
        <v>189</v>
      </c>
      <c r="E518" t="s">
        <v>58</v>
      </c>
      <c r="F518" t="s">
        <v>2396</v>
      </c>
      <c r="G518" t="s">
        <v>2377</v>
      </c>
      <c r="H518">
        <v>16000</v>
      </c>
      <c r="I518">
        <v>4</v>
      </c>
      <c r="J518">
        <v>20</v>
      </c>
      <c r="K518">
        <v>64000</v>
      </c>
      <c r="L518">
        <v>12800</v>
      </c>
      <c r="M518">
        <v>51200</v>
      </c>
      <c r="N518">
        <v>57000</v>
      </c>
      <c r="O518">
        <v>108200</v>
      </c>
      <c r="P518" t="s">
        <v>22</v>
      </c>
      <c r="Q518" t="s">
        <v>2357</v>
      </c>
      <c r="R518" t="s">
        <v>46</v>
      </c>
      <c r="S518">
        <v>3</v>
      </c>
      <c r="T518" t="s">
        <v>24</v>
      </c>
      <c r="U518" t="s">
        <v>2404</v>
      </c>
      <c r="V518">
        <v>2025</v>
      </c>
      <c r="W518">
        <v>4</v>
      </c>
    </row>
    <row r="519" spans="1:23" x14ac:dyDescent="0.25">
      <c r="A519" t="s">
        <v>1480</v>
      </c>
      <c r="B519">
        <v>45758.358599537038</v>
      </c>
      <c r="C519" t="s">
        <v>449</v>
      </c>
      <c r="D519" t="s">
        <v>151</v>
      </c>
      <c r="E519" t="s">
        <v>28</v>
      </c>
      <c r="F519" t="s">
        <v>2395</v>
      </c>
      <c r="G519" t="s">
        <v>2378</v>
      </c>
      <c r="H519">
        <v>5000</v>
      </c>
      <c r="I519">
        <v>4</v>
      </c>
      <c r="J519">
        <v>15</v>
      </c>
      <c r="K519">
        <v>20000</v>
      </c>
      <c r="L519">
        <v>3000</v>
      </c>
      <c r="M519">
        <v>17000</v>
      </c>
      <c r="N519">
        <v>55000</v>
      </c>
      <c r="O519">
        <v>72000</v>
      </c>
      <c r="P519" t="s">
        <v>22</v>
      </c>
      <c r="Q519" t="s">
        <v>2357</v>
      </c>
      <c r="R519" t="s">
        <v>46</v>
      </c>
      <c r="S519">
        <v>2</v>
      </c>
      <c r="T519" t="s">
        <v>24</v>
      </c>
      <c r="U519" t="s">
        <v>2404</v>
      </c>
      <c r="V519">
        <v>2025</v>
      </c>
      <c r="W519">
        <v>4</v>
      </c>
    </row>
    <row r="520" spans="1:23" x14ac:dyDescent="0.25">
      <c r="A520" t="s">
        <v>1481</v>
      </c>
      <c r="B520">
        <v>45758.379479166673</v>
      </c>
      <c r="C520" t="s">
        <v>271</v>
      </c>
      <c r="D520" t="s">
        <v>49</v>
      </c>
      <c r="E520" t="s">
        <v>41</v>
      </c>
      <c r="F520" t="s">
        <v>2395</v>
      </c>
      <c r="G520" t="s">
        <v>2377</v>
      </c>
      <c r="H520">
        <v>4000</v>
      </c>
      <c r="I520">
        <v>4</v>
      </c>
      <c r="J520">
        <v>10</v>
      </c>
      <c r="K520">
        <v>16000</v>
      </c>
      <c r="L520">
        <v>1600</v>
      </c>
      <c r="M520">
        <v>14400</v>
      </c>
      <c r="N520">
        <v>43000</v>
      </c>
      <c r="O520">
        <v>57400</v>
      </c>
      <c r="P520" t="s">
        <v>22</v>
      </c>
      <c r="Q520" t="s">
        <v>2356</v>
      </c>
      <c r="R520" t="s">
        <v>23</v>
      </c>
      <c r="S520">
        <v>2</v>
      </c>
      <c r="T520" t="s">
        <v>24</v>
      </c>
      <c r="U520" t="s">
        <v>2404</v>
      </c>
      <c r="V520">
        <v>2025</v>
      </c>
      <c r="W520">
        <v>4</v>
      </c>
    </row>
    <row r="521" spans="1:23" x14ac:dyDescent="0.25">
      <c r="A521" t="s">
        <v>1482</v>
      </c>
      <c r="B521">
        <v>45758.631840277783</v>
      </c>
      <c r="C521" t="s">
        <v>804</v>
      </c>
      <c r="D521" t="s">
        <v>49</v>
      </c>
      <c r="E521" t="s">
        <v>58</v>
      </c>
      <c r="F521" t="s">
        <v>2396</v>
      </c>
      <c r="G521" t="s">
        <v>2377</v>
      </c>
      <c r="H521">
        <v>16000</v>
      </c>
      <c r="I521">
        <v>1</v>
      </c>
      <c r="J521">
        <v>5</v>
      </c>
      <c r="K521">
        <v>16000</v>
      </c>
      <c r="L521">
        <v>800</v>
      </c>
      <c r="M521">
        <v>15200</v>
      </c>
      <c r="N521">
        <v>43000</v>
      </c>
      <c r="O521">
        <v>58200</v>
      </c>
      <c r="P521" t="s">
        <v>22</v>
      </c>
      <c r="Q521" t="s">
        <v>2357</v>
      </c>
      <c r="R521" t="s">
        <v>36</v>
      </c>
      <c r="S521">
        <v>3</v>
      </c>
      <c r="T521" t="s">
        <v>24</v>
      </c>
      <c r="U521" t="s">
        <v>2404</v>
      </c>
      <c r="V521">
        <v>2025</v>
      </c>
      <c r="W521">
        <v>4</v>
      </c>
    </row>
    <row r="522" spans="1:23" x14ac:dyDescent="0.25">
      <c r="A522" t="s">
        <v>1483</v>
      </c>
      <c r="B522">
        <v>45758.780046296299</v>
      </c>
      <c r="C522" t="s">
        <v>214</v>
      </c>
      <c r="D522" t="s">
        <v>131</v>
      </c>
      <c r="E522" t="s">
        <v>50</v>
      </c>
      <c r="F522" t="s">
        <v>2400</v>
      </c>
      <c r="G522" t="s">
        <v>2379</v>
      </c>
      <c r="H522">
        <v>14000</v>
      </c>
      <c r="I522">
        <v>2</v>
      </c>
      <c r="J522">
        <v>20</v>
      </c>
      <c r="K522">
        <v>28000</v>
      </c>
      <c r="L522">
        <v>5600</v>
      </c>
      <c r="M522">
        <v>22400</v>
      </c>
      <c r="N522">
        <v>59000</v>
      </c>
      <c r="O522">
        <v>81400</v>
      </c>
      <c r="P522" t="s">
        <v>22</v>
      </c>
      <c r="Q522" t="s">
        <v>2356</v>
      </c>
      <c r="R522" t="s">
        <v>82</v>
      </c>
      <c r="S522">
        <v>5</v>
      </c>
      <c r="T522" t="s">
        <v>24</v>
      </c>
      <c r="U522" t="s">
        <v>2404</v>
      </c>
      <c r="V522">
        <v>2025</v>
      </c>
      <c r="W522">
        <v>4</v>
      </c>
    </row>
    <row r="523" spans="1:23" x14ac:dyDescent="0.25">
      <c r="A523" t="s">
        <v>1484</v>
      </c>
      <c r="B523">
        <v>45758.829409722217</v>
      </c>
      <c r="C523" t="s">
        <v>525</v>
      </c>
      <c r="D523" t="s">
        <v>96</v>
      </c>
      <c r="E523" t="s">
        <v>250</v>
      </c>
      <c r="F523" t="s">
        <v>2397</v>
      </c>
      <c r="G523" t="s">
        <v>2379</v>
      </c>
      <c r="H523">
        <v>18000</v>
      </c>
      <c r="I523">
        <v>1</v>
      </c>
      <c r="J523">
        <v>20</v>
      </c>
      <c r="K523">
        <v>18000</v>
      </c>
      <c r="L523">
        <v>3600</v>
      </c>
      <c r="M523">
        <v>14400</v>
      </c>
      <c r="N523">
        <v>49000</v>
      </c>
      <c r="O523">
        <v>63400</v>
      </c>
      <c r="P523" t="s">
        <v>22</v>
      </c>
      <c r="Q523" t="s">
        <v>2357</v>
      </c>
      <c r="R523" t="s">
        <v>36</v>
      </c>
      <c r="S523">
        <v>3</v>
      </c>
      <c r="T523" t="s">
        <v>24</v>
      </c>
      <c r="U523" t="s">
        <v>2404</v>
      </c>
      <c r="V523">
        <v>2025</v>
      </c>
      <c r="W523">
        <v>4</v>
      </c>
    </row>
    <row r="524" spans="1:23" x14ac:dyDescent="0.25">
      <c r="A524" t="s">
        <v>1485</v>
      </c>
      <c r="B524">
        <v>45759.326747685183</v>
      </c>
      <c r="C524" t="s">
        <v>416</v>
      </c>
      <c r="D524" t="s">
        <v>131</v>
      </c>
      <c r="E524" t="s">
        <v>50</v>
      </c>
      <c r="F524" t="s">
        <v>2400</v>
      </c>
      <c r="G524" t="s">
        <v>2379</v>
      </c>
      <c r="H524">
        <v>14000</v>
      </c>
      <c r="I524">
        <v>4</v>
      </c>
      <c r="J524">
        <v>5</v>
      </c>
      <c r="K524">
        <v>56000</v>
      </c>
      <c r="L524">
        <v>2800</v>
      </c>
      <c r="M524">
        <v>53200</v>
      </c>
      <c r="N524">
        <v>59000</v>
      </c>
      <c r="O524">
        <v>112200</v>
      </c>
      <c r="P524" t="s">
        <v>29</v>
      </c>
      <c r="Q524" t="s">
        <v>2357</v>
      </c>
      <c r="R524" t="s">
        <v>82</v>
      </c>
      <c r="S524">
        <v>3</v>
      </c>
      <c r="T524" t="s">
        <v>24</v>
      </c>
      <c r="U524" t="s">
        <v>2404</v>
      </c>
      <c r="V524">
        <v>2025</v>
      </c>
      <c r="W524">
        <v>4</v>
      </c>
    </row>
    <row r="525" spans="1:23" x14ac:dyDescent="0.25">
      <c r="A525" t="s">
        <v>1486</v>
      </c>
      <c r="B525">
        <v>45759.435787037037</v>
      </c>
      <c r="C525" t="s">
        <v>207</v>
      </c>
      <c r="D525" t="s">
        <v>96</v>
      </c>
      <c r="E525" t="s">
        <v>144</v>
      </c>
      <c r="F525" t="s">
        <v>2396</v>
      </c>
      <c r="G525" t="s">
        <v>2379</v>
      </c>
      <c r="H525">
        <v>18000</v>
      </c>
      <c r="I525">
        <v>1</v>
      </c>
      <c r="J525">
        <v>5</v>
      </c>
      <c r="K525">
        <v>18000</v>
      </c>
      <c r="L525">
        <v>900</v>
      </c>
      <c r="M525">
        <v>17100</v>
      </c>
      <c r="N525">
        <v>49000</v>
      </c>
      <c r="O525">
        <v>66100</v>
      </c>
      <c r="P525" t="s">
        <v>22</v>
      </c>
      <c r="Q525" t="s">
        <v>2359</v>
      </c>
      <c r="R525" t="s">
        <v>36</v>
      </c>
      <c r="S525">
        <v>4</v>
      </c>
      <c r="T525" t="s">
        <v>24</v>
      </c>
      <c r="U525" t="s">
        <v>2404</v>
      </c>
      <c r="V525">
        <v>2025</v>
      </c>
      <c r="W525">
        <v>4</v>
      </c>
    </row>
    <row r="526" spans="1:23" x14ac:dyDescent="0.25">
      <c r="A526" t="s">
        <v>1486</v>
      </c>
      <c r="B526">
        <v>45759.435787037037</v>
      </c>
      <c r="C526" t="s">
        <v>207</v>
      </c>
      <c r="D526" t="s">
        <v>96</v>
      </c>
      <c r="E526" t="s">
        <v>50</v>
      </c>
      <c r="F526" t="s">
        <v>2400</v>
      </c>
      <c r="G526" t="s">
        <v>2379</v>
      </c>
      <c r="H526">
        <v>14000</v>
      </c>
      <c r="I526">
        <v>4</v>
      </c>
      <c r="J526">
        <v>5</v>
      </c>
      <c r="K526">
        <v>56000</v>
      </c>
      <c r="L526">
        <v>2800</v>
      </c>
      <c r="M526">
        <v>53200</v>
      </c>
      <c r="N526">
        <v>0</v>
      </c>
      <c r="O526">
        <v>53200</v>
      </c>
      <c r="P526" t="s">
        <v>22</v>
      </c>
      <c r="Q526" t="s">
        <v>2359</v>
      </c>
      <c r="R526" t="s">
        <v>36</v>
      </c>
      <c r="S526">
        <v>4</v>
      </c>
      <c r="T526" t="s">
        <v>24</v>
      </c>
      <c r="U526" t="s">
        <v>2404</v>
      </c>
      <c r="V526">
        <v>2025</v>
      </c>
      <c r="W526">
        <v>4</v>
      </c>
    </row>
    <row r="527" spans="1:23" x14ac:dyDescent="0.25">
      <c r="A527" t="s">
        <v>1487</v>
      </c>
      <c r="B527">
        <v>45759.465162037042</v>
      </c>
      <c r="C527" t="s">
        <v>128</v>
      </c>
      <c r="D527" t="s">
        <v>103</v>
      </c>
      <c r="E527" t="s">
        <v>45</v>
      </c>
      <c r="F527" t="s">
        <v>2394</v>
      </c>
      <c r="G527" t="s">
        <v>2378</v>
      </c>
      <c r="H527">
        <v>40000</v>
      </c>
      <c r="I527">
        <v>4</v>
      </c>
      <c r="J527">
        <v>0</v>
      </c>
      <c r="K527">
        <v>160000</v>
      </c>
      <c r="L527">
        <v>0</v>
      </c>
      <c r="M527">
        <v>160000</v>
      </c>
      <c r="N527">
        <v>85000</v>
      </c>
      <c r="O527">
        <v>245000</v>
      </c>
      <c r="P527" t="s">
        <v>29</v>
      </c>
      <c r="Q527" t="s">
        <v>2357</v>
      </c>
      <c r="R527" t="s">
        <v>46</v>
      </c>
      <c r="S527">
        <v>4</v>
      </c>
      <c r="T527" t="s">
        <v>37</v>
      </c>
      <c r="U527" t="s">
        <v>2404</v>
      </c>
      <c r="V527">
        <v>2025</v>
      </c>
      <c r="W527">
        <v>4</v>
      </c>
    </row>
    <row r="528" spans="1:23" x14ac:dyDescent="0.25">
      <c r="A528" t="s">
        <v>1488</v>
      </c>
      <c r="B528">
        <v>45759.633217592593</v>
      </c>
      <c r="C528" t="s">
        <v>1128</v>
      </c>
      <c r="D528" t="s">
        <v>113</v>
      </c>
      <c r="E528" t="s">
        <v>138</v>
      </c>
      <c r="F528" t="s">
        <v>2396</v>
      </c>
      <c r="G528" t="s">
        <v>2378</v>
      </c>
      <c r="H528">
        <v>17000</v>
      </c>
      <c r="I528">
        <v>5</v>
      </c>
      <c r="J528">
        <v>20</v>
      </c>
      <c r="K528">
        <v>85000</v>
      </c>
      <c r="L528">
        <v>17000</v>
      </c>
      <c r="M528">
        <v>68000</v>
      </c>
      <c r="N528">
        <v>18000</v>
      </c>
      <c r="O528">
        <v>86000</v>
      </c>
      <c r="P528" t="s">
        <v>63</v>
      </c>
      <c r="Q528" t="s">
        <v>2357</v>
      </c>
      <c r="R528" t="s">
        <v>82</v>
      </c>
      <c r="S528">
        <v>3</v>
      </c>
      <c r="T528" t="s">
        <v>24</v>
      </c>
      <c r="U528" t="s">
        <v>2404</v>
      </c>
      <c r="V528">
        <v>2025</v>
      </c>
      <c r="W528">
        <v>4</v>
      </c>
    </row>
    <row r="529" spans="1:23" x14ac:dyDescent="0.25">
      <c r="A529" t="s">
        <v>1489</v>
      </c>
      <c r="B529">
        <v>45760.088553240741</v>
      </c>
      <c r="C529" t="s">
        <v>584</v>
      </c>
      <c r="D529" t="s">
        <v>92</v>
      </c>
      <c r="E529" t="s">
        <v>123</v>
      </c>
      <c r="F529" t="s">
        <v>2399</v>
      </c>
      <c r="G529" t="s">
        <v>2377</v>
      </c>
      <c r="H529">
        <v>22000</v>
      </c>
      <c r="I529">
        <v>2</v>
      </c>
      <c r="J529">
        <v>0</v>
      </c>
      <c r="K529">
        <v>44000</v>
      </c>
      <c r="L529">
        <v>0</v>
      </c>
      <c r="M529">
        <v>44000</v>
      </c>
      <c r="N529">
        <v>30000</v>
      </c>
      <c r="O529">
        <v>74000</v>
      </c>
      <c r="P529" t="s">
        <v>63</v>
      </c>
      <c r="Q529" t="s">
        <v>2356</v>
      </c>
      <c r="R529" t="s">
        <v>46</v>
      </c>
      <c r="S529">
        <v>5</v>
      </c>
      <c r="T529" t="s">
        <v>24</v>
      </c>
      <c r="U529" t="s">
        <v>2404</v>
      </c>
      <c r="V529">
        <v>2025</v>
      </c>
      <c r="W529">
        <v>4</v>
      </c>
    </row>
    <row r="530" spans="1:23" x14ac:dyDescent="0.25">
      <c r="A530" t="s">
        <v>1490</v>
      </c>
      <c r="B530">
        <v>45760.089467592603</v>
      </c>
      <c r="C530" t="s">
        <v>851</v>
      </c>
      <c r="D530" t="s">
        <v>66</v>
      </c>
      <c r="E530" t="s">
        <v>123</v>
      </c>
      <c r="F530" t="s">
        <v>2399</v>
      </c>
      <c r="G530" t="s">
        <v>2377</v>
      </c>
      <c r="H530">
        <v>22000</v>
      </c>
      <c r="I530">
        <v>5</v>
      </c>
      <c r="J530">
        <v>5</v>
      </c>
      <c r="K530">
        <v>110000</v>
      </c>
      <c r="L530">
        <v>5500</v>
      </c>
      <c r="M530">
        <v>104500</v>
      </c>
      <c r="N530">
        <v>59000</v>
      </c>
      <c r="O530">
        <v>163500</v>
      </c>
      <c r="P530" t="s">
        <v>22</v>
      </c>
      <c r="Q530" t="s">
        <v>2357</v>
      </c>
      <c r="R530" t="s">
        <v>82</v>
      </c>
      <c r="S530">
        <v>1</v>
      </c>
      <c r="T530" t="s">
        <v>37</v>
      </c>
      <c r="U530" t="s">
        <v>2404</v>
      </c>
      <c r="V530">
        <v>2025</v>
      </c>
      <c r="W530">
        <v>4</v>
      </c>
    </row>
    <row r="531" spans="1:23" x14ac:dyDescent="0.25">
      <c r="A531" t="s">
        <v>1491</v>
      </c>
      <c r="B531">
        <v>45760.267974537041</v>
      </c>
      <c r="C531" t="s">
        <v>258</v>
      </c>
      <c r="D531" t="s">
        <v>44</v>
      </c>
      <c r="E531" t="s">
        <v>250</v>
      </c>
      <c r="F531" t="s">
        <v>2397</v>
      </c>
      <c r="G531" t="s">
        <v>2379</v>
      </c>
      <c r="H531">
        <v>18000</v>
      </c>
      <c r="I531">
        <v>1</v>
      </c>
      <c r="J531">
        <v>20</v>
      </c>
      <c r="K531">
        <v>18000</v>
      </c>
      <c r="L531">
        <v>3600</v>
      </c>
      <c r="M531">
        <v>14400</v>
      </c>
      <c r="N531">
        <v>93000</v>
      </c>
      <c r="O531">
        <v>107400</v>
      </c>
      <c r="P531" t="s">
        <v>35</v>
      </c>
      <c r="Q531" t="s">
        <v>2357</v>
      </c>
      <c r="R531" t="s">
        <v>23</v>
      </c>
      <c r="S531">
        <v>3</v>
      </c>
      <c r="T531" t="s">
        <v>24</v>
      </c>
      <c r="U531" t="s">
        <v>2404</v>
      </c>
      <c r="V531">
        <v>2025</v>
      </c>
      <c r="W531">
        <v>4</v>
      </c>
    </row>
    <row r="532" spans="1:23" x14ac:dyDescent="0.25">
      <c r="A532" t="s">
        <v>1492</v>
      </c>
      <c r="B532">
        <v>45760.287974537037</v>
      </c>
      <c r="C532" t="s">
        <v>582</v>
      </c>
      <c r="D532" t="s">
        <v>435</v>
      </c>
      <c r="E532" t="s">
        <v>71</v>
      </c>
      <c r="F532" t="s">
        <v>2392</v>
      </c>
      <c r="G532" t="s">
        <v>2379</v>
      </c>
      <c r="H532">
        <v>40000</v>
      </c>
      <c r="I532">
        <v>5</v>
      </c>
      <c r="J532">
        <v>20</v>
      </c>
      <c r="K532">
        <v>200000</v>
      </c>
      <c r="L532">
        <v>40000</v>
      </c>
      <c r="M532">
        <v>160000</v>
      </c>
      <c r="N532">
        <v>67000</v>
      </c>
      <c r="O532">
        <v>227000</v>
      </c>
      <c r="P532" t="s">
        <v>35</v>
      </c>
      <c r="Q532" t="s">
        <v>2357</v>
      </c>
      <c r="R532" t="s">
        <v>23</v>
      </c>
      <c r="S532">
        <v>5</v>
      </c>
      <c r="T532" t="s">
        <v>24</v>
      </c>
      <c r="U532" t="s">
        <v>2404</v>
      </c>
      <c r="V532">
        <v>2025</v>
      </c>
      <c r="W532">
        <v>4</v>
      </c>
    </row>
    <row r="533" spans="1:23" x14ac:dyDescent="0.25">
      <c r="A533" t="s">
        <v>1492</v>
      </c>
      <c r="B533">
        <v>45760.287974537037</v>
      </c>
      <c r="C533" t="s">
        <v>582</v>
      </c>
      <c r="D533" t="s">
        <v>435</v>
      </c>
      <c r="E533" t="s">
        <v>81</v>
      </c>
      <c r="F533" t="s">
        <v>2397</v>
      </c>
      <c r="G533" t="s">
        <v>2378</v>
      </c>
      <c r="H533">
        <v>17000</v>
      </c>
      <c r="I533">
        <v>5</v>
      </c>
      <c r="J533">
        <v>20</v>
      </c>
      <c r="K533">
        <v>85000</v>
      </c>
      <c r="L533">
        <v>17000</v>
      </c>
      <c r="M533">
        <v>68000</v>
      </c>
      <c r="N533">
        <v>0</v>
      </c>
      <c r="O533">
        <v>68000</v>
      </c>
      <c r="P533" t="s">
        <v>35</v>
      </c>
      <c r="Q533" t="s">
        <v>2357</v>
      </c>
      <c r="R533" t="s">
        <v>23</v>
      </c>
      <c r="S533">
        <v>5</v>
      </c>
      <c r="T533" t="s">
        <v>24</v>
      </c>
      <c r="U533" t="s">
        <v>2404</v>
      </c>
      <c r="V533">
        <v>2025</v>
      </c>
      <c r="W533">
        <v>4</v>
      </c>
    </row>
    <row r="534" spans="1:23" x14ac:dyDescent="0.25">
      <c r="A534" t="s">
        <v>1493</v>
      </c>
      <c r="B534">
        <v>45760.309490740743</v>
      </c>
      <c r="C534" t="s">
        <v>102</v>
      </c>
      <c r="D534" t="s">
        <v>103</v>
      </c>
      <c r="E534" t="s">
        <v>138</v>
      </c>
      <c r="F534" t="s">
        <v>2396</v>
      </c>
      <c r="G534" t="s">
        <v>2378</v>
      </c>
      <c r="H534">
        <v>17000</v>
      </c>
      <c r="I534">
        <v>5</v>
      </c>
      <c r="J534">
        <v>5</v>
      </c>
      <c r="K534">
        <v>85000</v>
      </c>
      <c r="L534">
        <v>4250</v>
      </c>
      <c r="M534">
        <v>80750</v>
      </c>
      <c r="N534">
        <v>85000</v>
      </c>
      <c r="O534">
        <v>165750</v>
      </c>
      <c r="P534" t="s">
        <v>63</v>
      </c>
      <c r="Q534" t="s">
        <v>2356</v>
      </c>
      <c r="R534" t="s">
        <v>46</v>
      </c>
      <c r="S534">
        <v>2</v>
      </c>
      <c r="T534" t="s">
        <v>24</v>
      </c>
      <c r="U534" t="s">
        <v>2404</v>
      </c>
      <c r="V534">
        <v>2025</v>
      </c>
      <c r="W534">
        <v>4</v>
      </c>
    </row>
    <row r="535" spans="1:23" x14ac:dyDescent="0.25">
      <c r="A535" t="s">
        <v>1494</v>
      </c>
      <c r="B535">
        <v>45760.381064814806</v>
      </c>
      <c r="C535" t="s">
        <v>582</v>
      </c>
      <c r="D535" t="s">
        <v>435</v>
      </c>
      <c r="E535" t="s">
        <v>123</v>
      </c>
      <c r="F535" t="s">
        <v>2399</v>
      </c>
      <c r="G535" t="s">
        <v>2377</v>
      </c>
      <c r="H535">
        <v>22000</v>
      </c>
      <c r="I535">
        <v>1</v>
      </c>
      <c r="J535">
        <v>15</v>
      </c>
      <c r="K535">
        <v>22000</v>
      </c>
      <c r="L535">
        <v>3300</v>
      </c>
      <c r="M535">
        <v>18700</v>
      </c>
      <c r="N535">
        <v>67000</v>
      </c>
      <c r="O535">
        <v>85700</v>
      </c>
      <c r="P535" t="s">
        <v>35</v>
      </c>
      <c r="Q535" t="s">
        <v>2357</v>
      </c>
      <c r="R535" t="s">
        <v>46</v>
      </c>
      <c r="S535">
        <v>3</v>
      </c>
      <c r="T535" t="s">
        <v>24</v>
      </c>
      <c r="U535" t="s">
        <v>2404</v>
      </c>
      <c r="V535">
        <v>2025</v>
      </c>
      <c r="W535">
        <v>4</v>
      </c>
    </row>
    <row r="536" spans="1:23" x14ac:dyDescent="0.25">
      <c r="A536" t="s">
        <v>1494</v>
      </c>
      <c r="B536">
        <v>45760.381064814806</v>
      </c>
      <c r="C536" t="s">
        <v>582</v>
      </c>
      <c r="D536" t="s">
        <v>435</v>
      </c>
      <c r="E536" t="s">
        <v>250</v>
      </c>
      <c r="F536" t="s">
        <v>2397</v>
      </c>
      <c r="G536" t="s">
        <v>2379</v>
      </c>
      <c r="H536">
        <v>18000</v>
      </c>
      <c r="I536">
        <v>1</v>
      </c>
      <c r="J536">
        <v>10</v>
      </c>
      <c r="K536">
        <v>18000</v>
      </c>
      <c r="L536">
        <v>1800</v>
      </c>
      <c r="M536">
        <v>16200</v>
      </c>
      <c r="N536">
        <v>0</v>
      </c>
      <c r="O536">
        <v>16200</v>
      </c>
      <c r="P536" t="s">
        <v>35</v>
      </c>
      <c r="Q536" t="s">
        <v>2357</v>
      </c>
      <c r="R536" t="s">
        <v>46</v>
      </c>
      <c r="S536">
        <v>3</v>
      </c>
      <c r="T536" t="s">
        <v>24</v>
      </c>
      <c r="U536" t="s">
        <v>2404</v>
      </c>
      <c r="V536">
        <v>2025</v>
      </c>
      <c r="W536">
        <v>4</v>
      </c>
    </row>
    <row r="537" spans="1:23" x14ac:dyDescent="0.25">
      <c r="A537" t="s">
        <v>1495</v>
      </c>
      <c r="B537">
        <v>45760.54241898148</v>
      </c>
      <c r="C537" t="s">
        <v>73</v>
      </c>
      <c r="D537" t="s">
        <v>74</v>
      </c>
      <c r="E537" t="s">
        <v>190</v>
      </c>
      <c r="F537" t="s">
        <v>2392</v>
      </c>
      <c r="G537" t="s">
        <v>2378</v>
      </c>
      <c r="H537">
        <v>35000</v>
      </c>
      <c r="I537">
        <v>2</v>
      </c>
      <c r="J537">
        <v>0</v>
      </c>
      <c r="K537">
        <v>70000</v>
      </c>
      <c r="L537">
        <v>0</v>
      </c>
      <c r="M537">
        <v>70000</v>
      </c>
      <c r="N537">
        <v>87000</v>
      </c>
      <c r="O537">
        <v>157000</v>
      </c>
      <c r="P537" t="s">
        <v>35</v>
      </c>
      <c r="Q537" t="s">
        <v>2357</v>
      </c>
      <c r="R537" t="s">
        <v>82</v>
      </c>
      <c r="S537">
        <v>2</v>
      </c>
      <c r="T537" t="s">
        <v>24</v>
      </c>
      <c r="U537" t="s">
        <v>2404</v>
      </c>
      <c r="V537">
        <v>2025</v>
      </c>
      <c r="W537">
        <v>4</v>
      </c>
    </row>
    <row r="538" spans="1:23" x14ac:dyDescent="0.25">
      <c r="A538" t="s">
        <v>1496</v>
      </c>
      <c r="B538">
        <v>45760.649143518523</v>
      </c>
      <c r="C538" t="s">
        <v>638</v>
      </c>
      <c r="D538" t="s">
        <v>195</v>
      </c>
      <c r="E538" t="s">
        <v>186</v>
      </c>
      <c r="F538" t="s">
        <v>2398</v>
      </c>
      <c r="G538" t="s">
        <v>2377</v>
      </c>
      <c r="H538">
        <v>45000</v>
      </c>
      <c r="I538">
        <v>4</v>
      </c>
      <c r="J538">
        <v>5</v>
      </c>
      <c r="K538">
        <v>180000</v>
      </c>
      <c r="L538">
        <v>9000</v>
      </c>
      <c r="M538">
        <v>171000</v>
      </c>
      <c r="N538">
        <v>87000</v>
      </c>
      <c r="O538">
        <v>258000</v>
      </c>
      <c r="P538" t="s">
        <v>29</v>
      </c>
      <c r="Q538" t="s">
        <v>2357</v>
      </c>
      <c r="R538" t="s">
        <v>36</v>
      </c>
      <c r="S538">
        <v>1</v>
      </c>
      <c r="T538" t="s">
        <v>37</v>
      </c>
      <c r="U538" t="s">
        <v>2404</v>
      </c>
      <c r="V538">
        <v>2025</v>
      </c>
      <c r="W538">
        <v>4</v>
      </c>
    </row>
    <row r="539" spans="1:23" x14ac:dyDescent="0.25">
      <c r="A539" t="s">
        <v>1497</v>
      </c>
      <c r="B539">
        <v>45760.714467592603</v>
      </c>
      <c r="C539" t="s">
        <v>95</v>
      </c>
      <c r="D539" t="s">
        <v>96</v>
      </c>
      <c r="E539" t="s">
        <v>67</v>
      </c>
      <c r="F539" t="s">
        <v>2393</v>
      </c>
      <c r="G539" t="s">
        <v>2378</v>
      </c>
      <c r="H539">
        <v>15000</v>
      </c>
      <c r="I539">
        <v>5</v>
      </c>
      <c r="J539">
        <v>10</v>
      </c>
      <c r="K539">
        <v>75000</v>
      </c>
      <c r="L539">
        <v>7500</v>
      </c>
      <c r="M539">
        <v>67500</v>
      </c>
      <c r="N539">
        <v>49000</v>
      </c>
      <c r="O539">
        <v>116500</v>
      </c>
      <c r="P539" t="s">
        <v>29</v>
      </c>
      <c r="Q539" t="s">
        <v>2359</v>
      </c>
      <c r="R539" t="s">
        <v>82</v>
      </c>
      <c r="S539">
        <v>4</v>
      </c>
      <c r="T539" t="s">
        <v>24</v>
      </c>
      <c r="U539" t="s">
        <v>2404</v>
      </c>
      <c r="V539">
        <v>2025</v>
      </c>
      <c r="W539">
        <v>4</v>
      </c>
    </row>
    <row r="540" spans="1:23" x14ac:dyDescent="0.25">
      <c r="A540" t="s">
        <v>1498</v>
      </c>
      <c r="B540">
        <v>45760.76048611111</v>
      </c>
      <c r="C540" t="s">
        <v>269</v>
      </c>
      <c r="D540" t="s">
        <v>173</v>
      </c>
      <c r="E540" t="s">
        <v>34</v>
      </c>
      <c r="F540" t="s">
        <v>2397</v>
      </c>
      <c r="G540" t="s">
        <v>2377</v>
      </c>
      <c r="H540">
        <v>16000</v>
      </c>
      <c r="I540">
        <v>1</v>
      </c>
      <c r="J540">
        <v>5</v>
      </c>
      <c r="K540">
        <v>16000</v>
      </c>
      <c r="L540">
        <v>800</v>
      </c>
      <c r="M540">
        <v>15200</v>
      </c>
      <c r="N540">
        <v>49000</v>
      </c>
      <c r="O540">
        <v>64200</v>
      </c>
      <c r="P540" t="s">
        <v>29</v>
      </c>
      <c r="Q540" t="s">
        <v>2357</v>
      </c>
      <c r="R540" t="s">
        <v>30</v>
      </c>
      <c r="S540">
        <v>2</v>
      </c>
      <c r="T540" t="s">
        <v>37</v>
      </c>
      <c r="U540" t="s">
        <v>2404</v>
      </c>
      <c r="V540">
        <v>2025</v>
      </c>
      <c r="W540">
        <v>4</v>
      </c>
    </row>
    <row r="541" spans="1:23" x14ac:dyDescent="0.25">
      <c r="A541" t="s">
        <v>1499</v>
      </c>
      <c r="B541">
        <v>45760.78162037037</v>
      </c>
      <c r="C541" t="s">
        <v>774</v>
      </c>
      <c r="D541" t="s">
        <v>262</v>
      </c>
      <c r="E541" t="s">
        <v>34</v>
      </c>
      <c r="F541" t="s">
        <v>2397</v>
      </c>
      <c r="G541" t="s">
        <v>2377</v>
      </c>
      <c r="H541">
        <v>16000</v>
      </c>
      <c r="I541">
        <v>2</v>
      </c>
      <c r="J541">
        <v>15</v>
      </c>
      <c r="K541">
        <v>32000</v>
      </c>
      <c r="L541">
        <v>4800</v>
      </c>
      <c r="M541">
        <v>27200</v>
      </c>
      <c r="N541">
        <v>18000</v>
      </c>
      <c r="O541">
        <v>45200</v>
      </c>
      <c r="P541" t="s">
        <v>29</v>
      </c>
      <c r="Q541" t="s">
        <v>2356</v>
      </c>
      <c r="R541" t="s">
        <v>36</v>
      </c>
      <c r="S541">
        <v>5</v>
      </c>
      <c r="T541" t="s">
        <v>24</v>
      </c>
      <c r="U541" t="s">
        <v>2404</v>
      </c>
      <c r="V541">
        <v>2025</v>
      </c>
      <c r="W541">
        <v>4</v>
      </c>
    </row>
    <row r="542" spans="1:23" x14ac:dyDescent="0.25">
      <c r="A542" t="s">
        <v>1500</v>
      </c>
      <c r="B542">
        <v>45761.031817129631</v>
      </c>
      <c r="C542" t="s">
        <v>693</v>
      </c>
      <c r="D542" t="s">
        <v>119</v>
      </c>
      <c r="E542" t="s">
        <v>104</v>
      </c>
      <c r="F542" t="s">
        <v>2392</v>
      </c>
      <c r="G542" t="s">
        <v>2377</v>
      </c>
      <c r="H542">
        <v>30000</v>
      </c>
      <c r="I542">
        <v>1</v>
      </c>
      <c r="J542">
        <v>0</v>
      </c>
      <c r="K542">
        <v>30000</v>
      </c>
      <c r="L542">
        <v>0</v>
      </c>
      <c r="M542">
        <v>30000</v>
      </c>
      <c r="N542">
        <v>0</v>
      </c>
      <c r="O542">
        <v>30000</v>
      </c>
      <c r="P542" t="s">
        <v>22</v>
      </c>
      <c r="Q542" t="s">
        <v>2357</v>
      </c>
      <c r="R542" t="s">
        <v>36</v>
      </c>
      <c r="S542">
        <v>5</v>
      </c>
      <c r="T542" t="s">
        <v>24</v>
      </c>
      <c r="U542" t="s">
        <v>2404</v>
      </c>
      <c r="V542">
        <v>2025</v>
      </c>
      <c r="W542">
        <v>4</v>
      </c>
    </row>
    <row r="543" spans="1:23" x14ac:dyDescent="0.25">
      <c r="A543" t="s">
        <v>1501</v>
      </c>
      <c r="B543">
        <v>45761.144421296303</v>
      </c>
      <c r="C543" t="s">
        <v>79</v>
      </c>
      <c r="D543" t="s">
        <v>80</v>
      </c>
      <c r="E543" t="s">
        <v>21</v>
      </c>
      <c r="F543" t="s">
        <v>2394</v>
      </c>
      <c r="G543" t="s">
        <v>2379</v>
      </c>
      <c r="H543">
        <v>45000</v>
      </c>
      <c r="I543">
        <v>5</v>
      </c>
      <c r="J543">
        <v>0</v>
      </c>
      <c r="K543">
        <v>225000</v>
      </c>
      <c r="L543">
        <v>0</v>
      </c>
      <c r="M543">
        <v>225000</v>
      </c>
      <c r="N543">
        <v>74000</v>
      </c>
      <c r="O543">
        <v>299000</v>
      </c>
      <c r="P543" t="s">
        <v>29</v>
      </c>
      <c r="Q543" t="s">
        <v>2357</v>
      </c>
      <c r="R543" t="s">
        <v>36</v>
      </c>
      <c r="S543">
        <v>1</v>
      </c>
      <c r="T543" t="s">
        <v>24</v>
      </c>
      <c r="U543" t="s">
        <v>2404</v>
      </c>
      <c r="V543">
        <v>2025</v>
      </c>
      <c r="W543">
        <v>4</v>
      </c>
    </row>
    <row r="544" spans="1:23" x14ac:dyDescent="0.25">
      <c r="A544" t="s">
        <v>1502</v>
      </c>
      <c r="B544">
        <v>45761.204641203702</v>
      </c>
      <c r="C544" t="s">
        <v>295</v>
      </c>
      <c r="D544" t="s">
        <v>296</v>
      </c>
      <c r="E544" t="s">
        <v>81</v>
      </c>
      <c r="F544" t="s">
        <v>2397</v>
      </c>
      <c r="G544" t="s">
        <v>2378</v>
      </c>
      <c r="H544">
        <v>17000</v>
      </c>
      <c r="I544">
        <v>1</v>
      </c>
      <c r="J544">
        <v>0</v>
      </c>
      <c r="K544">
        <v>17000</v>
      </c>
      <c r="L544">
        <v>0</v>
      </c>
      <c r="M544">
        <v>17000</v>
      </c>
      <c r="N544">
        <v>79000</v>
      </c>
      <c r="O544">
        <v>96000</v>
      </c>
      <c r="P544" t="s">
        <v>29</v>
      </c>
      <c r="Q544" t="s">
        <v>2357</v>
      </c>
      <c r="R544" t="s">
        <v>82</v>
      </c>
      <c r="S544">
        <v>3</v>
      </c>
      <c r="T544" t="s">
        <v>24</v>
      </c>
      <c r="U544" t="s">
        <v>2404</v>
      </c>
      <c r="V544">
        <v>2025</v>
      </c>
      <c r="W544">
        <v>4</v>
      </c>
    </row>
    <row r="545" spans="1:23" x14ac:dyDescent="0.25">
      <c r="A545" t="s">
        <v>1503</v>
      </c>
      <c r="B545">
        <v>45761.648240740738</v>
      </c>
      <c r="C545" t="s">
        <v>459</v>
      </c>
      <c r="D545" t="s">
        <v>61</v>
      </c>
      <c r="E545" t="s">
        <v>186</v>
      </c>
      <c r="F545" t="s">
        <v>2398</v>
      </c>
      <c r="G545" t="s">
        <v>2377</v>
      </c>
      <c r="H545">
        <v>45000</v>
      </c>
      <c r="I545">
        <v>5</v>
      </c>
      <c r="J545">
        <v>5</v>
      </c>
      <c r="K545">
        <v>225000</v>
      </c>
      <c r="L545">
        <v>11250</v>
      </c>
      <c r="M545">
        <v>213750</v>
      </c>
      <c r="N545">
        <v>26000</v>
      </c>
      <c r="O545">
        <v>239750</v>
      </c>
      <c r="P545" t="s">
        <v>63</v>
      </c>
      <c r="Q545" t="s">
        <v>2357</v>
      </c>
      <c r="R545" t="s">
        <v>46</v>
      </c>
      <c r="S545">
        <v>5</v>
      </c>
      <c r="T545" t="s">
        <v>24</v>
      </c>
      <c r="U545" t="s">
        <v>2404</v>
      </c>
      <c r="V545">
        <v>2025</v>
      </c>
      <c r="W545">
        <v>4</v>
      </c>
    </row>
    <row r="546" spans="1:23" x14ac:dyDescent="0.25">
      <c r="A546" t="s">
        <v>1504</v>
      </c>
      <c r="B546">
        <v>45762.365925925929</v>
      </c>
      <c r="C546" t="s">
        <v>374</v>
      </c>
      <c r="D546" t="s">
        <v>375</v>
      </c>
      <c r="E546" t="s">
        <v>62</v>
      </c>
      <c r="F546" t="s">
        <v>2398</v>
      </c>
      <c r="G546" t="s">
        <v>2378</v>
      </c>
      <c r="H546">
        <v>50000</v>
      </c>
      <c r="I546">
        <v>5</v>
      </c>
      <c r="J546">
        <v>0</v>
      </c>
      <c r="K546">
        <v>250000</v>
      </c>
      <c r="L546">
        <v>0</v>
      </c>
      <c r="M546">
        <v>250000</v>
      </c>
      <c r="N546">
        <v>21000</v>
      </c>
      <c r="O546">
        <v>271000</v>
      </c>
      <c r="P546" t="s">
        <v>63</v>
      </c>
      <c r="Q546" t="s">
        <v>2357</v>
      </c>
      <c r="R546" t="s">
        <v>30</v>
      </c>
      <c r="S546">
        <v>5</v>
      </c>
      <c r="T546" t="s">
        <v>37</v>
      </c>
      <c r="U546" t="s">
        <v>2404</v>
      </c>
      <c r="V546">
        <v>2025</v>
      </c>
      <c r="W546">
        <v>4</v>
      </c>
    </row>
    <row r="547" spans="1:23" x14ac:dyDescent="0.25">
      <c r="A547" t="s">
        <v>1505</v>
      </c>
      <c r="B547">
        <v>45762.45076388889</v>
      </c>
      <c r="C547" t="s">
        <v>804</v>
      </c>
      <c r="D547" t="s">
        <v>49</v>
      </c>
      <c r="E547" t="s">
        <v>45</v>
      </c>
      <c r="F547" t="s">
        <v>2394</v>
      </c>
      <c r="G547" t="s">
        <v>2378</v>
      </c>
      <c r="H547">
        <v>40000</v>
      </c>
      <c r="I547">
        <v>4</v>
      </c>
      <c r="J547">
        <v>5</v>
      </c>
      <c r="K547">
        <v>160000</v>
      </c>
      <c r="L547">
        <v>8000</v>
      </c>
      <c r="M547">
        <v>152000</v>
      </c>
      <c r="N547">
        <v>43000</v>
      </c>
      <c r="O547">
        <v>195000</v>
      </c>
      <c r="P547" t="s">
        <v>22</v>
      </c>
      <c r="Q547" t="s">
        <v>2356</v>
      </c>
      <c r="R547" t="s">
        <v>23</v>
      </c>
      <c r="S547">
        <v>2</v>
      </c>
      <c r="T547" t="s">
        <v>24</v>
      </c>
      <c r="U547" t="s">
        <v>2404</v>
      </c>
      <c r="V547">
        <v>2025</v>
      </c>
      <c r="W547">
        <v>4</v>
      </c>
    </row>
    <row r="548" spans="1:23" x14ac:dyDescent="0.25">
      <c r="A548" t="s">
        <v>1506</v>
      </c>
      <c r="B548">
        <v>45762.508668981478</v>
      </c>
      <c r="C548" t="s">
        <v>832</v>
      </c>
      <c r="D548" t="s">
        <v>131</v>
      </c>
      <c r="E548" t="s">
        <v>28</v>
      </c>
      <c r="F548" t="s">
        <v>2395</v>
      </c>
      <c r="G548" t="s">
        <v>2378</v>
      </c>
      <c r="H548">
        <v>5000</v>
      </c>
      <c r="I548">
        <v>1</v>
      </c>
      <c r="J548">
        <v>0</v>
      </c>
      <c r="K548">
        <v>5000</v>
      </c>
      <c r="L548">
        <v>0</v>
      </c>
      <c r="M548">
        <v>5000</v>
      </c>
      <c r="N548">
        <v>59000</v>
      </c>
      <c r="O548">
        <v>64000</v>
      </c>
      <c r="P548" t="s">
        <v>29</v>
      </c>
      <c r="Q548" t="s">
        <v>2357</v>
      </c>
      <c r="R548" t="s">
        <v>23</v>
      </c>
      <c r="S548">
        <v>2</v>
      </c>
      <c r="T548" t="s">
        <v>24</v>
      </c>
      <c r="U548" t="s">
        <v>2404</v>
      </c>
      <c r="V548">
        <v>2025</v>
      </c>
      <c r="W548">
        <v>4</v>
      </c>
    </row>
    <row r="549" spans="1:23" x14ac:dyDescent="0.25">
      <c r="A549" t="s">
        <v>1507</v>
      </c>
      <c r="B549">
        <v>45762.786064814813</v>
      </c>
      <c r="C549" t="s">
        <v>468</v>
      </c>
      <c r="D549" t="s">
        <v>163</v>
      </c>
      <c r="E549" t="s">
        <v>104</v>
      </c>
      <c r="F549" t="s">
        <v>2392</v>
      </c>
      <c r="G549" t="s">
        <v>2377</v>
      </c>
      <c r="H549">
        <v>30000</v>
      </c>
      <c r="I549">
        <v>3</v>
      </c>
      <c r="J549">
        <v>10</v>
      </c>
      <c r="K549">
        <v>90000</v>
      </c>
      <c r="L549">
        <v>9000</v>
      </c>
      <c r="M549">
        <v>81000</v>
      </c>
      <c r="N549">
        <v>50000</v>
      </c>
      <c r="O549">
        <v>131000</v>
      </c>
      <c r="P549" t="s">
        <v>22</v>
      </c>
      <c r="Q549" t="s">
        <v>2357</v>
      </c>
      <c r="R549" t="s">
        <v>36</v>
      </c>
      <c r="S549">
        <v>4</v>
      </c>
      <c r="T549" t="s">
        <v>24</v>
      </c>
      <c r="U549" t="s">
        <v>2404</v>
      </c>
      <c r="V549">
        <v>2025</v>
      </c>
      <c r="W549">
        <v>4</v>
      </c>
    </row>
    <row r="550" spans="1:23" x14ac:dyDescent="0.25">
      <c r="A550" t="s">
        <v>1508</v>
      </c>
      <c r="B550">
        <v>45763.144907407397</v>
      </c>
      <c r="C550" t="s">
        <v>1509</v>
      </c>
      <c r="D550" t="s">
        <v>122</v>
      </c>
      <c r="E550" t="s">
        <v>50</v>
      </c>
      <c r="F550" t="s">
        <v>2400</v>
      </c>
      <c r="G550" t="s">
        <v>2379</v>
      </c>
      <c r="H550">
        <v>14000</v>
      </c>
      <c r="I550">
        <v>4</v>
      </c>
      <c r="J550">
        <v>10</v>
      </c>
      <c r="K550">
        <v>56000</v>
      </c>
      <c r="L550">
        <v>5600</v>
      </c>
      <c r="M550">
        <v>50400</v>
      </c>
      <c r="N550">
        <v>78000</v>
      </c>
      <c r="O550">
        <v>128400</v>
      </c>
      <c r="P550" t="s">
        <v>35</v>
      </c>
      <c r="Q550" t="s">
        <v>2356</v>
      </c>
      <c r="R550" t="s">
        <v>36</v>
      </c>
      <c r="S550">
        <v>1</v>
      </c>
      <c r="T550" t="s">
        <v>24</v>
      </c>
      <c r="U550" t="s">
        <v>2404</v>
      </c>
      <c r="V550">
        <v>2025</v>
      </c>
      <c r="W550">
        <v>4</v>
      </c>
    </row>
    <row r="551" spans="1:23" x14ac:dyDescent="0.25">
      <c r="A551" t="s">
        <v>1510</v>
      </c>
      <c r="B551">
        <v>45763.149722222217</v>
      </c>
      <c r="C551" t="s">
        <v>32</v>
      </c>
      <c r="D551" t="s">
        <v>33</v>
      </c>
      <c r="E551" t="s">
        <v>54</v>
      </c>
      <c r="F551" t="s">
        <v>2393</v>
      </c>
      <c r="G551" t="s">
        <v>2379</v>
      </c>
      <c r="H551">
        <v>16000</v>
      </c>
      <c r="I551">
        <v>4</v>
      </c>
      <c r="J551">
        <v>0</v>
      </c>
      <c r="K551">
        <v>64000</v>
      </c>
      <c r="L551">
        <v>0</v>
      </c>
      <c r="M551">
        <v>64000</v>
      </c>
      <c r="N551">
        <v>76000</v>
      </c>
      <c r="O551">
        <v>140000</v>
      </c>
      <c r="P551" t="s">
        <v>63</v>
      </c>
      <c r="Q551" t="s">
        <v>2357</v>
      </c>
      <c r="R551" t="s">
        <v>30</v>
      </c>
      <c r="S551">
        <v>1</v>
      </c>
      <c r="T551" t="s">
        <v>37</v>
      </c>
      <c r="U551" t="s">
        <v>2404</v>
      </c>
      <c r="V551">
        <v>2025</v>
      </c>
      <c r="W551">
        <v>4</v>
      </c>
    </row>
    <row r="552" spans="1:23" x14ac:dyDescent="0.25">
      <c r="A552" t="s">
        <v>1511</v>
      </c>
      <c r="B552">
        <v>45763.371516203697</v>
      </c>
      <c r="C552" t="s">
        <v>265</v>
      </c>
      <c r="D552" t="s">
        <v>119</v>
      </c>
      <c r="E552" t="s">
        <v>88</v>
      </c>
      <c r="F552" t="s">
        <v>2393</v>
      </c>
      <c r="G552" t="s">
        <v>2377</v>
      </c>
      <c r="H552">
        <v>14000</v>
      </c>
      <c r="I552">
        <v>5</v>
      </c>
      <c r="J552">
        <v>15</v>
      </c>
      <c r="K552">
        <v>70000</v>
      </c>
      <c r="L552">
        <v>10500</v>
      </c>
      <c r="M552">
        <v>59500</v>
      </c>
      <c r="N552">
        <v>0</v>
      </c>
      <c r="O552">
        <v>59500</v>
      </c>
      <c r="P552" t="s">
        <v>63</v>
      </c>
      <c r="Q552" t="s">
        <v>2357</v>
      </c>
      <c r="R552" t="s">
        <v>30</v>
      </c>
      <c r="S552">
        <v>1</v>
      </c>
      <c r="T552" t="s">
        <v>24</v>
      </c>
      <c r="U552" t="s">
        <v>2404</v>
      </c>
      <c r="V552">
        <v>2025</v>
      </c>
      <c r="W552">
        <v>4</v>
      </c>
    </row>
    <row r="553" spans="1:23" x14ac:dyDescent="0.25">
      <c r="A553" t="s">
        <v>1512</v>
      </c>
      <c r="B553">
        <v>45763.471747685187</v>
      </c>
      <c r="C553" t="s">
        <v>121</v>
      </c>
      <c r="D553" t="s">
        <v>122</v>
      </c>
      <c r="E553" t="s">
        <v>250</v>
      </c>
      <c r="F553" t="s">
        <v>2397</v>
      </c>
      <c r="G553" t="s">
        <v>2379</v>
      </c>
      <c r="H553">
        <v>18000</v>
      </c>
      <c r="I553">
        <v>2</v>
      </c>
      <c r="J553">
        <v>5</v>
      </c>
      <c r="K553">
        <v>36000</v>
      </c>
      <c r="L553">
        <v>1800</v>
      </c>
      <c r="M553">
        <v>34200</v>
      </c>
      <c r="N553">
        <v>78000</v>
      </c>
      <c r="O553">
        <v>112200</v>
      </c>
      <c r="P553" t="s">
        <v>29</v>
      </c>
      <c r="Q553" t="s">
        <v>2357</v>
      </c>
      <c r="R553" t="s">
        <v>82</v>
      </c>
      <c r="S553">
        <v>3</v>
      </c>
      <c r="T553" t="s">
        <v>24</v>
      </c>
      <c r="U553" t="s">
        <v>2404</v>
      </c>
      <c r="V553">
        <v>2025</v>
      </c>
      <c r="W553">
        <v>4</v>
      </c>
    </row>
    <row r="554" spans="1:23" x14ac:dyDescent="0.25">
      <c r="A554" t="s">
        <v>1513</v>
      </c>
      <c r="B554">
        <v>45763.515949074077</v>
      </c>
      <c r="C554" t="s">
        <v>209</v>
      </c>
      <c r="D554" t="s">
        <v>143</v>
      </c>
      <c r="E554" t="s">
        <v>50</v>
      </c>
      <c r="F554" t="s">
        <v>2400</v>
      </c>
      <c r="G554" t="s">
        <v>2379</v>
      </c>
      <c r="H554">
        <v>14000</v>
      </c>
      <c r="I554">
        <v>4</v>
      </c>
      <c r="J554">
        <v>20</v>
      </c>
      <c r="K554">
        <v>56000</v>
      </c>
      <c r="L554">
        <v>11200</v>
      </c>
      <c r="M554">
        <v>44800</v>
      </c>
      <c r="N554">
        <v>50000</v>
      </c>
      <c r="O554">
        <v>94800</v>
      </c>
      <c r="P554" t="s">
        <v>29</v>
      </c>
      <c r="Q554" t="s">
        <v>2357</v>
      </c>
      <c r="R554" t="s">
        <v>36</v>
      </c>
      <c r="S554">
        <v>5</v>
      </c>
      <c r="T554" t="s">
        <v>37</v>
      </c>
      <c r="U554" t="s">
        <v>2404</v>
      </c>
      <c r="V554">
        <v>2025</v>
      </c>
      <c r="W554">
        <v>4</v>
      </c>
    </row>
    <row r="555" spans="1:23" x14ac:dyDescent="0.25">
      <c r="A555" t="s">
        <v>1514</v>
      </c>
      <c r="B555">
        <v>45763.700844907413</v>
      </c>
      <c r="C555" t="s">
        <v>431</v>
      </c>
      <c r="D555" t="s">
        <v>33</v>
      </c>
      <c r="E555" t="s">
        <v>186</v>
      </c>
      <c r="F555" t="s">
        <v>2398</v>
      </c>
      <c r="G555" t="s">
        <v>2377</v>
      </c>
      <c r="H555">
        <v>45000</v>
      </c>
      <c r="I555">
        <v>2</v>
      </c>
      <c r="J555">
        <v>5</v>
      </c>
      <c r="K555">
        <v>90000</v>
      </c>
      <c r="L555">
        <v>4500</v>
      </c>
      <c r="M555">
        <v>85500</v>
      </c>
      <c r="N555">
        <v>76000</v>
      </c>
      <c r="O555">
        <v>161500</v>
      </c>
      <c r="P555" t="s">
        <v>35</v>
      </c>
      <c r="Q555" t="s">
        <v>2357</v>
      </c>
      <c r="R555" t="s">
        <v>36</v>
      </c>
      <c r="S555">
        <v>5</v>
      </c>
      <c r="T555" t="s">
        <v>24</v>
      </c>
      <c r="U555" t="s">
        <v>2404</v>
      </c>
      <c r="V555">
        <v>2025</v>
      </c>
      <c r="W555">
        <v>4</v>
      </c>
    </row>
    <row r="556" spans="1:23" x14ac:dyDescent="0.25">
      <c r="A556" t="s">
        <v>1515</v>
      </c>
      <c r="B556">
        <v>45764.046620370369</v>
      </c>
      <c r="C556" t="s">
        <v>459</v>
      </c>
      <c r="D556" t="s">
        <v>61</v>
      </c>
      <c r="E556" t="s">
        <v>28</v>
      </c>
      <c r="F556" t="s">
        <v>2395</v>
      </c>
      <c r="G556" t="s">
        <v>2378</v>
      </c>
      <c r="H556">
        <v>5000</v>
      </c>
      <c r="I556">
        <v>2</v>
      </c>
      <c r="J556">
        <v>5</v>
      </c>
      <c r="K556">
        <v>10000</v>
      </c>
      <c r="L556">
        <v>500</v>
      </c>
      <c r="M556">
        <v>9500</v>
      </c>
      <c r="N556">
        <v>26000</v>
      </c>
      <c r="O556">
        <v>35500</v>
      </c>
      <c r="P556" t="s">
        <v>22</v>
      </c>
      <c r="Q556" t="s">
        <v>2357</v>
      </c>
      <c r="R556" t="s">
        <v>46</v>
      </c>
      <c r="S556">
        <v>2</v>
      </c>
      <c r="T556" t="s">
        <v>24</v>
      </c>
      <c r="U556" t="s">
        <v>2404</v>
      </c>
      <c r="V556">
        <v>2025</v>
      </c>
      <c r="W556">
        <v>4</v>
      </c>
    </row>
    <row r="557" spans="1:23" x14ac:dyDescent="0.25">
      <c r="A557" t="s">
        <v>1516</v>
      </c>
      <c r="B557">
        <v>45764.619722222233</v>
      </c>
      <c r="C557" t="s">
        <v>922</v>
      </c>
      <c r="D557" t="s">
        <v>33</v>
      </c>
      <c r="E557" t="s">
        <v>45</v>
      </c>
      <c r="F557" t="s">
        <v>2394</v>
      </c>
      <c r="G557" t="s">
        <v>2378</v>
      </c>
      <c r="H557">
        <v>40000</v>
      </c>
      <c r="I557">
        <v>3</v>
      </c>
      <c r="J557">
        <v>0</v>
      </c>
      <c r="K557">
        <v>120000</v>
      </c>
      <c r="L557">
        <v>0</v>
      </c>
      <c r="M557">
        <v>120000</v>
      </c>
      <c r="N557">
        <v>76000</v>
      </c>
      <c r="O557">
        <v>196000</v>
      </c>
      <c r="P557" t="s">
        <v>35</v>
      </c>
      <c r="Q557" t="s">
        <v>2357</v>
      </c>
      <c r="R557" t="s">
        <v>36</v>
      </c>
      <c r="S557">
        <v>5</v>
      </c>
      <c r="T557" t="s">
        <v>37</v>
      </c>
      <c r="U557" t="s">
        <v>2404</v>
      </c>
      <c r="V557">
        <v>2025</v>
      </c>
      <c r="W557">
        <v>4</v>
      </c>
    </row>
    <row r="558" spans="1:23" x14ac:dyDescent="0.25">
      <c r="A558" t="s">
        <v>1517</v>
      </c>
      <c r="B558">
        <v>45764.76189814815</v>
      </c>
      <c r="C558" t="s">
        <v>572</v>
      </c>
      <c r="D558" t="s">
        <v>33</v>
      </c>
      <c r="E558" t="s">
        <v>34</v>
      </c>
      <c r="F558" t="s">
        <v>2397</v>
      </c>
      <c r="G558" t="s">
        <v>2377</v>
      </c>
      <c r="H558">
        <v>16000</v>
      </c>
      <c r="I558">
        <v>5</v>
      </c>
      <c r="J558">
        <v>10</v>
      </c>
      <c r="K558">
        <v>80000</v>
      </c>
      <c r="L558">
        <v>8000</v>
      </c>
      <c r="M558">
        <v>72000</v>
      </c>
      <c r="N558">
        <v>76000</v>
      </c>
      <c r="O558">
        <v>148000</v>
      </c>
      <c r="P558" t="s">
        <v>35</v>
      </c>
      <c r="Q558" t="s">
        <v>2357</v>
      </c>
      <c r="R558" t="s">
        <v>23</v>
      </c>
      <c r="S558">
        <v>2</v>
      </c>
      <c r="T558" t="s">
        <v>24</v>
      </c>
      <c r="U558" t="s">
        <v>2404</v>
      </c>
      <c r="V558">
        <v>2025</v>
      </c>
      <c r="W558">
        <v>4</v>
      </c>
    </row>
    <row r="559" spans="1:23" x14ac:dyDescent="0.25">
      <c r="A559" t="s">
        <v>1518</v>
      </c>
      <c r="B559">
        <v>45764.911377314813</v>
      </c>
      <c r="C559" t="s">
        <v>596</v>
      </c>
      <c r="D559" t="s">
        <v>70</v>
      </c>
      <c r="E559" t="s">
        <v>45</v>
      </c>
      <c r="F559" t="s">
        <v>2394</v>
      </c>
      <c r="G559" t="s">
        <v>2378</v>
      </c>
      <c r="H559">
        <v>40000</v>
      </c>
      <c r="I559">
        <v>3</v>
      </c>
      <c r="J559">
        <v>0</v>
      </c>
      <c r="K559">
        <v>120000</v>
      </c>
      <c r="L559">
        <v>0</v>
      </c>
      <c r="M559">
        <v>120000</v>
      </c>
      <c r="N559">
        <v>89000</v>
      </c>
      <c r="O559">
        <v>209000</v>
      </c>
      <c r="P559" t="s">
        <v>63</v>
      </c>
      <c r="Q559" t="s">
        <v>2357</v>
      </c>
      <c r="R559" t="s">
        <v>36</v>
      </c>
      <c r="S559">
        <v>4</v>
      </c>
      <c r="T559" t="s">
        <v>24</v>
      </c>
      <c r="U559" t="s">
        <v>2404</v>
      </c>
      <c r="V559">
        <v>2025</v>
      </c>
      <c r="W559">
        <v>4</v>
      </c>
    </row>
    <row r="560" spans="1:23" x14ac:dyDescent="0.25">
      <c r="A560" t="s">
        <v>1519</v>
      </c>
      <c r="B560">
        <v>45764.948333333326</v>
      </c>
      <c r="C560" t="s">
        <v>898</v>
      </c>
      <c r="D560" t="s">
        <v>195</v>
      </c>
      <c r="E560" t="s">
        <v>174</v>
      </c>
      <c r="F560" t="s">
        <v>2400</v>
      </c>
      <c r="G560" t="s">
        <v>2377</v>
      </c>
      <c r="H560">
        <v>10000</v>
      </c>
      <c r="I560">
        <v>3</v>
      </c>
      <c r="J560">
        <v>20</v>
      </c>
      <c r="K560">
        <v>30000</v>
      </c>
      <c r="L560">
        <v>6000</v>
      </c>
      <c r="M560">
        <v>24000</v>
      </c>
      <c r="N560">
        <v>87000</v>
      </c>
      <c r="O560">
        <v>111000</v>
      </c>
      <c r="P560" t="s">
        <v>29</v>
      </c>
      <c r="Q560" t="s">
        <v>2357</v>
      </c>
      <c r="R560" t="s">
        <v>30</v>
      </c>
      <c r="S560">
        <v>2</v>
      </c>
      <c r="T560" t="s">
        <v>24</v>
      </c>
      <c r="U560" t="s">
        <v>2404</v>
      </c>
      <c r="V560">
        <v>2025</v>
      </c>
      <c r="W560">
        <v>4</v>
      </c>
    </row>
    <row r="561" spans="1:23" x14ac:dyDescent="0.25">
      <c r="A561" t="s">
        <v>1520</v>
      </c>
      <c r="B561">
        <v>45765.371145833327</v>
      </c>
      <c r="C561" t="s">
        <v>383</v>
      </c>
      <c r="D561" t="s">
        <v>122</v>
      </c>
      <c r="E561" t="s">
        <v>34</v>
      </c>
      <c r="F561" t="s">
        <v>2397</v>
      </c>
      <c r="G561" t="s">
        <v>2377</v>
      </c>
      <c r="H561">
        <v>16000</v>
      </c>
      <c r="I561">
        <v>2</v>
      </c>
      <c r="J561">
        <v>0</v>
      </c>
      <c r="K561">
        <v>32000</v>
      </c>
      <c r="L561">
        <v>0</v>
      </c>
      <c r="M561">
        <v>32000</v>
      </c>
      <c r="N561">
        <v>78000</v>
      </c>
      <c r="O561">
        <v>110000</v>
      </c>
      <c r="P561" t="s">
        <v>63</v>
      </c>
      <c r="Q561" t="s">
        <v>2357</v>
      </c>
      <c r="R561" t="s">
        <v>82</v>
      </c>
      <c r="S561">
        <v>5</v>
      </c>
      <c r="T561" t="s">
        <v>24</v>
      </c>
      <c r="U561" t="s">
        <v>2404</v>
      </c>
      <c r="V561">
        <v>2025</v>
      </c>
      <c r="W561">
        <v>4</v>
      </c>
    </row>
    <row r="562" spans="1:23" x14ac:dyDescent="0.25">
      <c r="A562" t="s">
        <v>1521</v>
      </c>
      <c r="B562">
        <v>45765.387916666667</v>
      </c>
      <c r="C562" t="s">
        <v>443</v>
      </c>
      <c r="D562" t="s">
        <v>53</v>
      </c>
      <c r="E562" t="s">
        <v>58</v>
      </c>
      <c r="F562" t="s">
        <v>2396</v>
      </c>
      <c r="G562" t="s">
        <v>2377</v>
      </c>
      <c r="H562">
        <v>16000</v>
      </c>
      <c r="I562">
        <v>5</v>
      </c>
      <c r="J562">
        <v>15</v>
      </c>
      <c r="K562">
        <v>80000</v>
      </c>
      <c r="L562">
        <v>12000</v>
      </c>
      <c r="M562">
        <v>68000</v>
      </c>
      <c r="N562">
        <v>18000</v>
      </c>
      <c r="O562">
        <v>86000</v>
      </c>
      <c r="P562" t="s">
        <v>63</v>
      </c>
      <c r="Q562" t="s">
        <v>2357</v>
      </c>
      <c r="R562" t="s">
        <v>30</v>
      </c>
      <c r="S562">
        <v>4</v>
      </c>
      <c r="T562" t="s">
        <v>24</v>
      </c>
      <c r="U562" t="s">
        <v>2404</v>
      </c>
      <c r="V562">
        <v>2025</v>
      </c>
      <c r="W562">
        <v>4</v>
      </c>
    </row>
    <row r="563" spans="1:23" x14ac:dyDescent="0.25">
      <c r="A563" t="s">
        <v>1522</v>
      </c>
      <c r="B563">
        <v>45765.740231481483</v>
      </c>
      <c r="C563" t="s">
        <v>1523</v>
      </c>
      <c r="D563" t="s">
        <v>96</v>
      </c>
      <c r="E563" t="s">
        <v>28</v>
      </c>
      <c r="F563" t="s">
        <v>2395</v>
      </c>
      <c r="G563" t="s">
        <v>2378</v>
      </c>
      <c r="H563">
        <v>5000</v>
      </c>
      <c r="I563">
        <v>1</v>
      </c>
      <c r="J563">
        <v>10</v>
      </c>
      <c r="K563">
        <v>5000</v>
      </c>
      <c r="L563">
        <v>500</v>
      </c>
      <c r="M563">
        <v>4500</v>
      </c>
      <c r="N563">
        <v>49000</v>
      </c>
      <c r="O563">
        <v>53500</v>
      </c>
      <c r="P563" t="s">
        <v>63</v>
      </c>
      <c r="Q563" t="s">
        <v>2357</v>
      </c>
      <c r="R563" t="s">
        <v>30</v>
      </c>
      <c r="S563">
        <v>4</v>
      </c>
      <c r="T563" t="s">
        <v>24</v>
      </c>
      <c r="U563" t="s">
        <v>2404</v>
      </c>
      <c r="V563">
        <v>2025</v>
      </c>
      <c r="W563">
        <v>4</v>
      </c>
    </row>
    <row r="564" spans="1:23" x14ac:dyDescent="0.25">
      <c r="A564" t="s">
        <v>1524</v>
      </c>
      <c r="B564">
        <v>45766.156759259262</v>
      </c>
      <c r="C564" t="s">
        <v>1263</v>
      </c>
      <c r="D564" t="s">
        <v>435</v>
      </c>
      <c r="E564" t="s">
        <v>81</v>
      </c>
      <c r="F564" t="s">
        <v>2397</v>
      </c>
      <c r="G564" t="s">
        <v>2378</v>
      </c>
      <c r="H564">
        <v>17000</v>
      </c>
      <c r="I564">
        <v>4</v>
      </c>
      <c r="J564">
        <v>0</v>
      </c>
      <c r="K564">
        <v>68000</v>
      </c>
      <c r="L564">
        <v>0</v>
      </c>
      <c r="M564">
        <v>68000</v>
      </c>
      <c r="N564">
        <v>67000</v>
      </c>
      <c r="O564">
        <v>135000</v>
      </c>
      <c r="P564" t="s">
        <v>35</v>
      </c>
      <c r="Q564" t="s">
        <v>2357</v>
      </c>
      <c r="R564" t="s">
        <v>30</v>
      </c>
      <c r="S564">
        <v>2</v>
      </c>
      <c r="T564" t="s">
        <v>24</v>
      </c>
      <c r="U564" t="s">
        <v>2404</v>
      </c>
      <c r="V564">
        <v>2025</v>
      </c>
      <c r="W564">
        <v>4</v>
      </c>
    </row>
    <row r="565" spans="1:23" x14ac:dyDescent="0.25">
      <c r="A565" t="s">
        <v>1525</v>
      </c>
      <c r="B565">
        <v>45766.712314814817</v>
      </c>
      <c r="C565" t="s">
        <v>383</v>
      </c>
      <c r="D565" t="s">
        <v>122</v>
      </c>
      <c r="E565" t="s">
        <v>38</v>
      </c>
      <c r="F565" t="s">
        <v>2399</v>
      </c>
      <c r="G565" t="s">
        <v>2379</v>
      </c>
      <c r="H565">
        <v>28000</v>
      </c>
      <c r="I565">
        <v>4</v>
      </c>
      <c r="J565">
        <v>5</v>
      </c>
      <c r="K565">
        <v>112000</v>
      </c>
      <c r="L565">
        <v>5600</v>
      </c>
      <c r="M565">
        <v>106400</v>
      </c>
      <c r="N565">
        <v>78000</v>
      </c>
      <c r="O565">
        <v>184400</v>
      </c>
      <c r="P565" t="s">
        <v>22</v>
      </c>
      <c r="Q565" t="s">
        <v>2357</v>
      </c>
      <c r="R565" t="s">
        <v>23</v>
      </c>
      <c r="S565">
        <v>1</v>
      </c>
      <c r="T565" t="s">
        <v>24</v>
      </c>
      <c r="U565" t="s">
        <v>2404</v>
      </c>
      <c r="V565">
        <v>2025</v>
      </c>
      <c r="W565">
        <v>4</v>
      </c>
    </row>
    <row r="566" spans="1:23" x14ac:dyDescent="0.25">
      <c r="A566" t="s">
        <v>1526</v>
      </c>
      <c r="B566">
        <v>45767.189675925933</v>
      </c>
      <c r="C566" t="s">
        <v>95</v>
      </c>
      <c r="D566" t="s">
        <v>96</v>
      </c>
      <c r="E566" t="s">
        <v>21</v>
      </c>
      <c r="F566" t="s">
        <v>2394</v>
      </c>
      <c r="G566" t="s">
        <v>2379</v>
      </c>
      <c r="H566">
        <v>45000</v>
      </c>
      <c r="I566">
        <v>2</v>
      </c>
      <c r="J566">
        <v>20</v>
      </c>
      <c r="K566">
        <v>90000</v>
      </c>
      <c r="L566">
        <v>18000</v>
      </c>
      <c r="M566">
        <v>72000</v>
      </c>
      <c r="N566">
        <v>49000</v>
      </c>
      <c r="O566">
        <v>121000</v>
      </c>
      <c r="P566" t="s">
        <v>35</v>
      </c>
      <c r="Q566" t="s">
        <v>2359</v>
      </c>
      <c r="R566" t="s">
        <v>36</v>
      </c>
      <c r="S566">
        <v>1</v>
      </c>
      <c r="T566" t="s">
        <v>24</v>
      </c>
      <c r="U566" t="s">
        <v>2404</v>
      </c>
      <c r="V566">
        <v>2025</v>
      </c>
      <c r="W566">
        <v>4</v>
      </c>
    </row>
    <row r="567" spans="1:23" x14ac:dyDescent="0.25">
      <c r="A567" t="s">
        <v>1527</v>
      </c>
      <c r="B567">
        <v>45767.371342592603</v>
      </c>
      <c r="C567" t="s">
        <v>666</v>
      </c>
      <c r="D567" t="s">
        <v>66</v>
      </c>
      <c r="E567" t="s">
        <v>62</v>
      </c>
      <c r="F567" t="s">
        <v>2398</v>
      </c>
      <c r="G567" t="s">
        <v>2378</v>
      </c>
      <c r="H567">
        <v>50000</v>
      </c>
      <c r="I567">
        <v>1</v>
      </c>
      <c r="J567">
        <v>0</v>
      </c>
      <c r="K567">
        <v>50000</v>
      </c>
      <c r="L567">
        <v>0</v>
      </c>
      <c r="M567">
        <v>50000</v>
      </c>
      <c r="N567">
        <v>59000</v>
      </c>
      <c r="O567">
        <v>109000</v>
      </c>
      <c r="P567" t="s">
        <v>35</v>
      </c>
      <c r="Q567" t="s">
        <v>2357</v>
      </c>
      <c r="R567" t="s">
        <v>82</v>
      </c>
      <c r="S567">
        <v>1</v>
      </c>
      <c r="T567" t="s">
        <v>24</v>
      </c>
      <c r="U567" t="s">
        <v>2404</v>
      </c>
      <c r="V567">
        <v>2025</v>
      </c>
      <c r="W567">
        <v>4</v>
      </c>
    </row>
    <row r="568" spans="1:23" x14ac:dyDescent="0.25">
      <c r="A568" t="s">
        <v>1528</v>
      </c>
      <c r="B568">
        <v>45767.893483796302</v>
      </c>
      <c r="C568" t="s">
        <v>794</v>
      </c>
      <c r="D568" t="s">
        <v>61</v>
      </c>
      <c r="E568" t="s">
        <v>21</v>
      </c>
      <c r="F568" t="s">
        <v>2394</v>
      </c>
      <c r="G568" t="s">
        <v>2379</v>
      </c>
      <c r="H568">
        <v>45000</v>
      </c>
      <c r="I568">
        <v>5</v>
      </c>
      <c r="J568">
        <v>5</v>
      </c>
      <c r="K568">
        <v>225000</v>
      </c>
      <c r="L568">
        <v>11250</v>
      </c>
      <c r="M568">
        <v>213750</v>
      </c>
      <c r="N568">
        <v>26000</v>
      </c>
      <c r="O568">
        <v>239750</v>
      </c>
      <c r="P568" t="s">
        <v>29</v>
      </c>
      <c r="Q568" t="s">
        <v>2357</v>
      </c>
      <c r="R568" t="s">
        <v>23</v>
      </c>
      <c r="S568">
        <v>5</v>
      </c>
      <c r="T568" t="s">
        <v>37</v>
      </c>
      <c r="U568" t="s">
        <v>2404</v>
      </c>
      <c r="V568">
        <v>2025</v>
      </c>
      <c r="W568">
        <v>4</v>
      </c>
    </row>
    <row r="569" spans="1:23" x14ac:dyDescent="0.25">
      <c r="A569" t="s">
        <v>1529</v>
      </c>
      <c r="B569">
        <v>45767.8983912037</v>
      </c>
      <c r="C569" t="s">
        <v>1530</v>
      </c>
      <c r="D569" t="s">
        <v>122</v>
      </c>
      <c r="E569" t="s">
        <v>138</v>
      </c>
      <c r="F569" t="s">
        <v>2396</v>
      </c>
      <c r="G569" t="s">
        <v>2378</v>
      </c>
      <c r="H569">
        <v>17000</v>
      </c>
      <c r="I569">
        <v>2</v>
      </c>
      <c r="J569">
        <v>5</v>
      </c>
      <c r="K569">
        <v>34000</v>
      </c>
      <c r="L569">
        <v>1700</v>
      </c>
      <c r="M569">
        <v>32300</v>
      </c>
      <c r="N569">
        <v>78000</v>
      </c>
      <c r="O569">
        <v>110300</v>
      </c>
      <c r="P569" t="s">
        <v>63</v>
      </c>
      <c r="Q569" t="s">
        <v>2356</v>
      </c>
      <c r="R569" t="s">
        <v>30</v>
      </c>
      <c r="S569">
        <v>2</v>
      </c>
      <c r="T569" t="s">
        <v>24</v>
      </c>
      <c r="U569" t="s">
        <v>2404</v>
      </c>
      <c r="V569">
        <v>2025</v>
      </c>
      <c r="W569">
        <v>4</v>
      </c>
    </row>
    <row r="570" spans="1:23" x14ac:dyDescent="0.25">
      <c r="A570" t="s">
        <v>1531</v>
      </c>
      <c r="B570">
        <v>45768.227905092594</v>
      </c>
      <c r="C570" t="s">
        <v>891</v>
      </c>
      <c r="D570" t="s">
        <v>126</v>
      </c>
      <c r="E570" t="s">
        <v>75</v>
      </c>
      <c r="F570" t="s">
        <v>2398</v>
      </c>
      <c r="G570" t="s">
        <v>2379</v>
      </c>
      <c r="H570">
        <v>55000</v>
      </c>
      <c r="I570">
        <v>5</v>
      </c>
      <c r="J570">
        <v>15</v>
      </c>
      <c r="K570">
        <v>275000</v>
      </c>
      <c r="L570">
        <v>41250</v>
      </c>
      <c r="M570">
        <v>233750</v>
      </c>
      <c r="N570">
        <v>84000</v>
      </c>
      <c r="O570">
        <v>317750</v>
      </c>
      <c r="P570" t="s">
        <v>63</v>
      </c>
      <c r="Q570" t="s">
        <v>2356</v>
      </c>
      <c r="R570" t="s">
        <v>46</v>
      </c>
      <c r="S570">
        <v>1</v>
      </c>
      <c r="T570" t="s">
        <v>37</v>
      </c>
      <c r="U570" t="s">
        <v>2404</v>
      </c>
      <c r="V570">
        <v>2025</v>
      </c>
      <c r="W570">
        <v>4</v>
      </c>
    </row>
    <row r="571" spans="1:23" x14ac:dyDescent="0.25">
      <c r="A571" t="s">
        <v>1532</v>
      </c>
      <c r="B571">
        <v>45768.234861111108</v>
      </c>
      <c r="C571" t="s">
        <v>703</v>
      </c>
      <c r="D571" t="s">
        <v>122</v>
      </c>
      <c r="E571" t="s">
        <v>123</v>
      </c>
      <c r="F571" t="s">
        <v>2399</v>
      </c>
      <c r="G571" t="s">
        <v>2377</v>
      </c>
      <c r="H571">
        <v>22000</v>
      </c>
      <c r="I571">
        <v>4</v>
      </c>
      <c r="J571">
        <v>0</v>
      </c>
      <c r="K571">
        <v>88000</v>
      </c>
      <c r="L571">
        <v>0</v>
      </c>
      <c r="M571">
        <v>88000</v>
      </c>
      <c r="N571">
        <v>78000</v>
      </c>
      <c r="O571">
        <v>166000</v>
      </c>
      <c r="P571" t="s">
        <v>29</v>
      </c>
      <c r="Q571" t="s">
        <v>2357</v>
      </c>
      <c r="R571" t="s">
        <v>23</v>
      </c>
      <c r="S571">
        <v>3</v>
      </c>
      <c r="T571" t="s">
        <v>24</v>
      </c>
      <c r="U571" t="s">
        <v>2404</v>
      </c>
      <c r="V571">
        <v>2025</v>
      </c>
      <c r="W571">
        <v>4</v>
      </c>
    </row>
    <row r="572" spans="1:23" x14ac:dyDescent="0.25">
      <c r="A572" t="s">
        <v>1533</v>
      </c>
      <c r="B572">
        <v>45768.241712962961</v>
      </c>
      <c r="C572" t="s">
        <v>125</v>
      </c>
      <c r="D572" t="s">
        <v>126</v>
      </c>
      <c r="E572" t="s">
        <v>21</v>
      </c>
      <c r="F572" t="s">
        <v>2394</v>
      </c>
      <c r="G572" t="s">
        <v>2379</v>
      </c>
      <c r="H572">
        <v>45000</v>
      </c>
      <c r="I572">
        <v>2</v>
      </c>
      <c r="J572">
        <v>10</v>
      </c>
      <c r="K572">
        <v>90000</v>
      </c>
      <c r="L572">
        <v>9000</v>
      </c>
      <c r="M572">
        <v>81000</v>
      </c>
      <c r="N572">
        <v>84000</v>
      </c>
      <c r="O572">
        <v>165000</v>
      </c>
      <c r="P572" t="s">
        <v>63</v>
      </c>
      <c r="Q572" t="s">
        <v>2357</v>
      </c>
      <c r="R572" t="s">
        <v>36</v>
      </c>
      <c r="S572">
        <v>5</v>
      </c>
      <c r="T572" t="s">
        <v>24</v>
      </c>
      <c r="U572" t="s">
        <v>2404</v>
      </c>
      <c r="V572">
        <v>2025</v>
      </c>
      <c r="W572">
        <v>4</v>
      </c>
    </row>
    <row r="573" spans="1:23" x14ac:dyDescent="0.25">
      <c r="A573" t="s">
        <v>1534</v>
      </c>
      <c r="B573">
        <v>45769.019166666672</v>
      </c>
      <c r="C573" t="s">
        <v>335</v>
      </c>
      <c r="D573" t="s">
        <v>80</v>
      </c>
      <c r="E573" t="s">
        <v>138</v>
      </c>
      <c r="F573" t="s">
        <v>2396</v>
      </c>
      <c r="G573" t="s">
        <v>2378</v>
      </c>
      <c r="H573">
        <v>17000</v>
      </c>
      <c r="I573">
        <v>5</v>
      </c>
      <c r="J573">
        <v>15</v>
      </c>
      <c r="K573">
        <v>85000</v>
      </c>
      <c r="L573">
        <v>12750</v>
      </c>
      <c r="M573">
        <v>72250</v>
      </c>
      <c r="N573">
        <v>74000</v>
      </c>
      <c r="O573">
        <v>146250</v>
      </c>
      <c r="P573" t="s">
        <v>35</v>
      </c>
      <c r="Q573" t="s">
        <v>2359</v>
      </c>
      <c r="R573" t="s">
        <v>46</v>
      </c>
      <c r="S573">
        <v>2</v>
      </c>
      <c r="T573" t="s">
        <v>37</v>
      </c>
      <c r="U573" t="s">
        <v>2404</v>
      </c>
      <c r="V573">
        <v>2025</v>
      </c>
      <c r="W573">
        <v>4</v>
      </c>
    </row>
    <row r="574" spans="1:23" x14ac:dyDescent="0.25">
      <c r="A574" t="s">
        <v>1535</v>
      </c>
      <c r="B574">
        <v>45769.240497685183</v>
      </c>
      <c r="C574" t="s">
        <v>708</v>
      </c>
      <c r="D574" t="s">
        <v>116</v>
      </c>
      <c r="E574" t="s">
        <v>75</v>
      </c>
      <c r="F574" t="s">
        <v>2398</v>
      </c>
      <c r="G574" t="s">
        <v>2379</v>
      </c>
      <c r="H574">
        <v>55000</v>
      </c>
      <c r="I574">
        <v>5</v>
      </c>
      <c r="J574">
        <v>5</v>
      </c>
      <c r="K574">
        <v>275000</v>
      </c>
      <c r="L574">
        <v>13750</v>
      </c>
      <c r="M574">
        <v>261250</v>
      </c>
      <c r="N574">
        <v>72000</v>
      </c>
      <c r="O574">
        <v>333250</v>
      </c>
      <c r="P574" t="s">
        <v>63</v>
      </c>
      <c r="Q574" t="s">
        <v>2357</v>
      </c>
      <c r="R574" t="s">
        <v>36</v>
      </c>
      <c r="S574">
        <v>5</v>
      </c>
      <c r="T574" t="s">
        <v>24</v>
      </c>
      <c r="U574" t="s">
        <v>2404</v>
      </c>
      <c r="V574">
        <v>2025</v>
      </c>
      <c r="W574">
        <v>4</v>
      </c>
    </row>
    <row r="575" spans="1:23" x14ac:dyDescent="0.25">
      <c r="A575" t="s">
        <v>1536</v>
      </c>
      <c r="B575">
        <v>45769.297523148147</v>
      </c>
      <c r="C575" t="s">
        <v>1418</v>
      </c>
      <c r="D575" t="s">
        <v>262</v>
      </c>
      <c r="E575" t="s">
        <v>123</v>
      </c>
      <c r="F575" t="s">
        <v>2399</v>
      </c>
      <c r="G575" t="s">
        <v>2377</v>
      </c>
      <c r="H575">
        <v>22000</v>
      </c>
      <c r="I575">
        <v>4</v>
      </c>
      <c r="J575">
        <v>10</v>
      </c>
      <c r="K575">
        <v>88000</v>
      </c>
      <c r="L575">
        <v>8800</v>
      </c>
      <c r="M575">
        <v>79200</v>
      </c>
      <c r="N575">
        <v>18000</v>
      </c>
      <c r="O575">
        <v>97200</v>
      </c>
      <c r="P575" t="s">
        <v>29</v>
      </c>
      <c r="Q575" t="s">
        <v>2357</v>
      </c>
      <c r="R575" t="s">
        <v>23</v>
      </c>
      <c r="S575">
        <v>5</v>
      </c>
      <c r="T575" t="s">
        <v>24</v>
      </c>
      <c r="U575" t="s">
        <v>2404</v>
      </c>
      <c r="V575">
        <v>2025</v>
      </c>
      <c r="W575">
        <v>4</v>
      </c>
    </row>
    <row r="576" spans="1:23" x14ac:dyDescent="0.25">
      <c r="A576" t="s">
        <v>1537</v>
      </c>
      <c r="B576">
        <v>45769.384467592587</v>
      </c>
      <c r="C576" t="s">
        <v>314</v>
      </c>
      <c r="D576" t="s">
        <v>113</v>
      </c>
      <c r="E576" t="s">
        <v>67</v>
      </c>
      <c r="F576" t="s">
        <v>2393</v>
      </c>
      <c r="G576" t="s">
        <v>2378</v>
      </c>
      <c r="H576">
        <v>15000</v>
      </c>
      <c r="I576">
        <v>1</v>
      </c>
      <c r="J576">
        <v>10</v>
      </c>
      <c r="K576">
        <v>15000</v>
      </c>
      <c r="L576">
        <v>1500</v>
      </c>
      <c r="M576">
        <v>13500</v>
      </c>
      <c r="N576">
        <v>18000</v>
      </c>
      <c r="O576">
        <v>31500</v>
      </c>
      <c r="P576" t="s">
        <v>22</v>
      </c>
      <c r="Q576" t="s">
        <v>2357</v>
      </c>
      <c r="R576" t="s">
        <v>30</v>
      </c>
      <c r="S576">
        <v>3</v>
      </c>
      <c r="T576" t="s">
        <v>24</v>
      </c>
      <c r="U576" t="s">
        <v>2404</v>
      </c>
      <c r="V576">
        <v>2025</v>
      </c>
      <c r="W576">
        <v>4</v>
      </c>
    </row>
    <row r="577" spans="1:23" x14ac:dyDescent="0.25">
      <c r="A577" t="s">
        <v>1538</v>
      </c>
      <c r="B577">
        <v>45769.62190972222</v>
      </c>
      <c r="C577" t="s">
        <v>1348</v>
      </c>
      <c r="D577" t="s">
        <v>296</v>
      </c>
      <c r="E577" t="s">
        <v>190</v>
      </c>
      <c r="F577" t="s">
        <v>2392</v>
      </c>
      <c r="G577" t="s">
        <v>2378</v>
      </c>
      <c r="H577">
        <v>35000</v>
      </c>
      <c r="I577">
        <v>5</v>
      </c>
      <c r="J577">
        <v>15</v>
      </c>
      <c r="K577">
        <v>175000</v>
      </c>
      <c r="L577">
        <v>26250</v>
      </c>
      <c r="M577">
        <v>148750</v>
      </c>
      <c r="N577">
        <v>79000</v>
      </c>
      <c r="O577">
        <v>227750</v>
      </c>
      <c r="P577" t="s">
        <v>63</v>
      </c>
      <c r="Q577" t="s">
        <v>2357</v>
      </c>
      <c r="R577" t="s">
        <v>23</v>
      </c>
      <c r="S577">
        <v>4</v>
      </c>
      <c r="T577" t="s">
        <v>24</v>
      </c>
      <c r="U577" t="s">
        <v>2404</v>
      </c>
      <c r="V577">
        <v>2025</v>
      </c>
      <c r="W577">
        <v>4</v>
      </c>
    </row>
    <row r="578" spans="1:23" x14ac:dyDescent="0.25">
      <c r="A578" t="s">
        <v>1539</v>
      </c>
      <c r="B578">
        <v>45770.014398148152</v>
      </c>
      <c r="C578" t="s">
        <v>410</v>
      </c>
      <c r="D578" t="s">
        <v>151</v>
      </c>
      <c r="E578" t="s">
        <v>45</v>
      </c>
      <c r="F578" t="s">
        <v>2394</v>
      </c>
      <c r="G578" t="s">
        <v>2378</v>
      </c>
      <c r="H578">
        <v>40000</v>
      </c>
      <c r="I578">
        <v>3</v>
      </c>
      <c r="J578">
        <v>10</v>
      </c>
      <c r="K578">
        <v>120000</v>
      </c>
      <c r="L578">
        <v>12000</v>
      </c>
      <c r="M578">
        <v>108000</v>
      </c>
      <c r="N578">
        <v>55000</v>
      </c>
      <c r="O578">
        <v>163000</v>
      </c>
      <c r="P578" t="s">
        <v>29</v>
      </c>
      <c r="Q578" t="s">
        <v>2357</v>
      </c>
      <c r="R578" t="s">
        <v>36</v>
      </c>
      <c r="S578">
        <v>2</v>
      </c>
      <c r="T578" t="s">
        <v>24</v>
      </c>
      <c r="U578" t="s">
        <v>2404</v>
      </c>
      <c r="V578">
        <v>2025</v>
      </c>
      <c r="W578">
        <v>4</v>
      </c>
    </row>
    <row r="579" spans="1:23" x14ac:dyDescent="0.25">
      <c r="A579" t="s">
        <v>1540</v>
      </c>
      <c r="B579">
        <v>45770.167627314811</v>
      </c>
      <c r="C579" t="s">
        <v>285</v>
      </c>
      <c r="D579" t="s">
        <v>20</v>
      </c>
      <c r="E579" t="s">
        <v>75</v>
      </c>
      <c r="F579" t="s">
        <v>2398</v>
      </c>
      <c r="G579" t="s">
        <v>2379</v>
      </c>
      <c r="H579">
        <v>55000</v>
      </c>
      <c r="I579">
        <v>4</v>
      </c>
      <c r="J579">
        <v>5</v>
      </c>
      <c r="K579">
        <v>220000</v>
      </c>
      <c r="L579">
        <v>11000</v>
      </c>
      <c r="M579">
        <v>209000</v>
      </c>
      <c r="N579">
        <v>15000</v>
      </c>
      <c r="O579">
        <v>224000</v>
      </c>
      <c r="P579" t="s">
        <v>22</v>
      </c>
      <c r="Q579" t="s">
        <v>2357</v>
      </c>
      <c r="R579" t="s">
        <v>82</v>
      </c>
      <c r="S579">
        <v>2</v>
      </c>
      <c r="T579" t="s">
        <v>37</v>
      </c>
      <c r="U579" t="s">
        <v>2404</v>
      </c>
      <c r="V579">
        <v>2025</v>
      </c>
      <c r="W579">
        <v>4</v>
      </c>
    </row>
    <row r="580" spans="1:23" x14ac:dyDescent="0.25">
      <c r="A580" t="s">
        <v>1541</v>
      </c>
      <c r="B580">
        <v>45770.4606712963</v>
      </c>
      <c r="C580" t="s">
        <v>267</v>
      </c>
      <c r="D580" t="s">
        <v>131</v>
      </c>
      <c r="E580" t="s">
        <v>88</v>
      </c>
      <c r="F580" t="s">
        <v>2393</v>
      </c>
      <c r="G580" t="s">
        <v>2377</v>
      </c>
      <c r="H580">
        <v>14000</v>
      </c>
      <c r="I580">
        <v>1</v>
      </c>
      <c r="J580">
        <v>10</v>
      </c>
      <c r="K580">
        <v>14000</v>
      </c>
      <c r="L580">
        <v>1400</v>
      </c>
      <c r="M580">
        <v>12600</v>
      </c>
      <c r="N580">
        <v>59000</v>
      </c>
      <c r="O580">
        <v>71600</v>
      </c>
      <c r="P580" t="s">
        <v>22</v>
      </c>
      <c r="Q580" t="s">
        <v>2356</v>
      </c>
      <c r="R580" t="s">
        <v>46</v>
      </c>
      <c r="S580">
        <v>5</v>
      </c>
      <c r="T580" t="s">
        <v>24</v>
      </c>
      <c r="U580" t="s">
        <v>2404</v>
      </c>
      <c r="V580">
        <v>2025</v>
      </c>
      <c r="W580">
        <v>4</v>
      </c>
    </row>
    <row r="581" spans="1:23" x14ac:dyDescent="0.25">
      <c r="A581" t="s">
        <v>1542</v>
      </c>
      <c r="B581">
        <v>45770.479027777779</v>
      </c>
      <c r="C581" t="s">
        <v>576</v>
      </c>
      <c r="D581" t="s">
        <v>57</v>
      </c>
      <c r="E581" t="s">
        <v>71</v>
      </c>
      <c r="F581" t="s">
        <v>2392</v>
      </c>
      <c r="G581" t="s">
        <v>2379</v>
      </c>
      <c r="H581">
        <v>40000</v>
      </c>
      <c r="I581">
        <v>3</v>
      </c>
      <c r="J581">
        <v>0</v>
      </c>
      <c r="K581">
        <v>120000</v>
      </c>
      <c r="L581">
        <v>0</v>
      </c>
      <c r="M581">
        <v>120000</v>
      </c>
      <c r="N581">
        <v>80000</v>
      </c>
      <c r="O581">
        <v>200000</v>
      </c>
      <c r="P581" t="s">
        <v>63</v>
      </c>
      <c r="Q581" t="s">
        <v>2357</v>
      </c>
      <c r="R581" t="s">
        <v>36</v>
      </c>
      <c r="S581">
        <v>5</v>
      </c>
      <c r="T581" t="s">
        <v>37</v>
      </c>
      <c r="U581" t="s">
        <v>2404</v>
      </c>
      <c r="V581">
        <v>2025</v>
      </c>
      <c r="W581">
        <v>4</v>
      </c>
    </row>
    <row r="582" spans="1:23" x14ac:dyDescent="0.25">
      <c r="A582" t="s">
        <v>1543</v>
      </c>
      <c r="B582">
        <v>45770.734953703701</v>
      </c>
      <c r="C582" t="s">
        <v>570</v>
      </c>
      <c r="D582" t="s">
        <v>80</v>
      </c>
      <c r="E582" t="s">
        <v>85</v>
      </c>
      <c r="F582" t="s">
        <v>2394</v>
      </c>
      <c r="G582" t="s">
        <v>2377</v>
      </c>
      <c r="H582">
        <v>35000</v>
      </c>
      <c r="I582">
        <v>2</v>
      </c>
      <c r="J582">
        <v>15</v>
      </c>
      <c r="K582">
        <v>70000</v>
      </c>
      <c r="L582">
        <v>10500</v>
      </c>
      <c r="M582">
        <v>59500</v>
      </c>
      <c r="N582">
        <v>74000</v>
      </c>
      <c r="O582">
        <v>133500</v>
      </c>
      <c r="P582" t="s">
        <v>63</v>
      </c>
      <c r="Q582" t="s">
        <v>2359</v>
      </c>
      <c r="R582" t="s">
        <v>82</v>
      </c>
      <c r="S582">
        <v>1</v>
      </c>
      <c r="T582" t="s">
        <v>24</v>
      </c>
      <c r="U582" t="s">
        <v>2404</v>
      </c>
      <c r="V582">
        <v>2025</v>
      </c>
      <c r="W582">
        <v>4</v>
      </c>
    </row>
    <row r="583" spans="1:23" x14ac:dyDescent="0.25">
      <c r="A583" t="s">
        <v>1544</v>
      </c>
      <c r="B583">
        <v>45770.838750000003</v>
      </c>
      <c r="C583" t="s">
        <v>549</v>
      </c>
      <c r="D583" t="s">
        <v>107</v>
      </c>
      <c r="E583" t="s">
        <v>62</v>
      </c>
      <c r="F583" t="s">
        <v>2398</v>
      </c>
      <c r="G583" t="s">
        <v>2378</v>
      </c>
      <c r="H583">
        <v>50000</v>
      </c>
      <c r="I583">
        <v>2</v>
      </c>
      <c r="J583">
        <v>20</v>
      </c>
      <c r="K583">
        <v>100000</v>
      </c>
      <c r="L583">
        <v>20000</v>
      </c>
      <c r="M583">
        <v>80000</v>
      </c>
      <c r="N583">
        <v>97000</v>
      </c>
      <c r="O583">
        <v>177000</v>
      </c>
      <c r="P583" t="s">
        <v>29</v>
      </c>
      <c r="Q583" t="s">
        <v>2357</v>
      </c>
      <c r="R583" t="s">
        <v>30</v>
      </c>
      <c r="S583">
        <v>1</v>
      </c>
      <c r="T583" t="s">
        <v>24</v>
      </c>
      <c r="U583" t="s">
        <v>2404</v>
      </c>
      <c r="V583">
        <v>2025</v>
      </c>
      <c r="W583">
        <v>4</v>
      </c>
    </row>
    <row r="584" spans="1:23" x14ac:dyDescent="0.25">
      <c r="A584" t="s">
        <v>1545</v>
      </c>
      <c r="B584">
        <v>45771.602141203701</v>
      </c>
      <c r="C584" t="s">
        <v>877</v>
      </c>
      <c r="D584" t="s">
        <v>107</v>
      </c>
      <c r="E584" t="s">
        <v>93</v>
      </c>
      <c r="F584" t="s">
        <v>2399</v>
      </c>
      <c r="G584" t="s">
        <v>2378</v>
      </c>
      <c r="H584">
        <v>25000</v>
      </c>
      <c r="I584">
        <v>1</v>
      </c>
      <c r="J584">
        <v>5</v>
      </c>
      <c r="K584">
        <v>25000</v>
      </c>
      <c r="L584">
        <v>1250</v>
      </c>
      <c r="M584">
        <v>23750</v>
      </c>
      <c r="N584">
        <v>97000</v>
      </c>
      <c r="O584">
        <v>120750</v>
      </c>
      <c r="P584" t="s">
        <v>22</v>
      </c>
      <c r="Q584" t="s">
        <v>2357</v>
      </c>
      <c r="R584" t="s">
        <v>36</v>
      </c>
      <c r="S584">
        <v>3</v>
      </c>
      <c r="T584" t="s">
        <v>24</v>
      </c>
      <c r="U584" t="s">
        <v>2404</v>
      </c>
      <c r="V584">
        <v>2025</v>
      </c>
      <c r="W584">
        <v>4</v>
      </c>
    </row>
    <row r="585" spans="1:23" x14ac:dyDescent="0.25">
      <c r="A585" t="s">
        <v>1546</v>
      </c>
      <c r="B585">
        <v>45771.613807870373</v>
      </c>
      <c r="C585" t="s">
        <v>246</v>
      </c>
      <c r="D585" t="s">
        <v>238</v>
      </c>
      <c r="E585" t="s">
        <v>50</v>
      </c>
      <c r="F585" t="s">
        <v>2400</v>
      </c>
      <c r="G585" t="s">
        <v>2379</v>
      </c>
      <c r="H585">
        <v>14000</v>
      </c>
      <c r="I585">
        <v>5</v>
      </c>
      <c r="J585">
        <v>15</v>
      </c>
      <c r="K585">
        <v>70000</v>
      </c>
      <c r="L585">
        <v>10500</v>
      </c>
      <c r="M585">
        <v>59500</v>
      </c>
      <c r="N585">
        <v>28000</v>
      </c>
      <c r="O585">
        <v>87500</v>
      </c>
      <c r="P585" t="s">
        <v>22</v>
      </c>
      <c r="Q585" t="s">
        <v>2357</v>
      </c>
      <c r="R585" t="s">
        <v>23</v>
      </c>
      <c r="S585">
        <v>4</v>
      </c>
      <c r="T585" t="s">
        <v>24</v>
      </c>
      <c r="U585" t="s">
        <v>2404</v>
      </c>
      <c r="V585">
        <v>2025</v>
      </c>
      <c r="W585">
        <v>4</v>
      </c>
    </row>
    <row r="586" spans="1:23" x14ac:dyDescent="0.25">
      <c r="A586" t="s">
        <v>1547</v>
      </c>
      <c r="B586">
        <v>45771.835046296299</v>
      </c>
      <c r="C586" t="s">
        <v>287</v>
      </c>
      <c r="D586" t="s">
        <v>262</v>
      </c>
      <c r="E586" t="s">
        <v>110</v>
      </c>
      <c r="F586" t="s">
        <v>2395</v>
      </c>
      <c r="G586" t="s">
        <v>2379</v>
      </c>
      <c r="H586">
        <v>6000</v>
      </c>
      <c r="I586">
        <v>2</v>
      </c>
      <c r="J586">
        <v>15</v>
      </c>
      <c r="K586">
        <v>12000</v>
      </c>
      <c r="L586">
        <v>1800</v>
      </c>
      <c r="M586">
        <v>10200</v>
      </c>
      <c r="N586">
        <v>18000</v>
      </c>
      <c r="O586">
        <v>28200</v>
      </c>
      <c r="P586" t="s">
        <v>35</v>
      </c>
      <c r="Q586" t="s">
        <v>2357</v>
      </c>
      <c r="R586" t="s">
        <v>82</v>
      </c>
      <c r="S586">
        <v>4</v>
      </c>
      <c r="T586" t="s">
        <v>24</v>
      </c>
      <c r="U586" t="s">
        <v>2404</v>
      </c>
      <c r="V586">
        <v>2025</v>
      </c>
      <c r="W586">
        <v>4</v>
      </c>
    </row>
    <row r="587" spans="1:23" x14ac:dyDescent="0.25">
      <c r="A587" t="s">
        <v>1548</v>
      </c>
      <c r="B587">
        <v>45772.230312500003</v>
      </c>
      <c r="C587" t="s">
        <v>488</v>
      </c>
      <c r="D587" t="s">
        <v>49</v>
      </c>
      <c r="E587" t="s">
        <v>110</v>
      </c>
      <c r="F587" t="s">
        <v>2395</v>
      </c>
      <c r="G587" t="s">
        <v>2379</v>
      </c>
      <c r="H587">
        <v>6000</v>
      </c>
      <c r="I587">
        <v>4</v>
      </c>
      <c r="J587">
        <v>20</v>
      </c>
      <c r="K587">
        <v>24000</v>
      </c>
      <c r="L587">
        <v>4800</v>
      </c>
      <c r="M587">
        <v>19200</v>
      </c>
      <c r="N587">
        <v>43000</v>
      </c>
      <c r="O587">
        <v>62200</v>
      </c>
      <c r="P587" t="s">
        <v>22</v>
      </c>
      <c r="Q587" t="s">
        <v>2356</v>
      </c>
      <c r="R587" t="s">
        <v>30</v>
      </c>
      <c r="S587">
        <v>3</v>
      </c>
      <c r="T587" t="s">
        <v>24</v>
      </c>
      <c r="U587" t="s">
        <v>2404</v>
      </c>
      <c r="V587">
        <v>2025</v>
      </c>
      <c r="W587">
        <v>4</v>
      </c>
    </row>
    <row r="588" spans="1:23" x14ac:dyDescent="0.25">
      <c r="A588" t="s">
        <v>1549</v>
      </c>
      <c r="B588">
        <v>45772.276921296303</v>
      </c>
      <c r="C588" t="s">
        <v>844</v>
      </c>
      <c r="D588" t="s">
        <v>119</v>
      </c>
      <c r="E588" t="s">
        <v>93</v>
      </c>
      <c r="F588" t="s">
        <v>2399</v>
      </c>
      <c r="G588" t="s">
        <v>2378</v>
      </c>
      <c r="H588">
        <v>25000</v>
      </c>
      <c r="I588">
        <v>3</v>
      </c>
      <c r="J588">
        <v>15</v>
      </c>
      <c r="K588">
        <v>75000</v>
      </c>
      <c r="L588">
        <v>11250</v>
      </c>
      <c r="M588">
        <v>63750</v>
      </c>
      <c r="N588">
        <v>0</v>
      </c>
      <c r="O588">
        <v>63750</v>
      </c>
      <c r="P588" t="s">
        <v>29</v>
      </c>
      <c r="Q588" t="s">
        <v>2357</v>
      </c>
      <c r="R588" t="s">
        <v>46</v>
      </c>
      <c r="S588">
        <v>3</v>
      </c>
      <c r="T588" t="s">
        <v>24</v>
      </c>
      <c r="U588" t="s">
        <v>2404</v>
      </c>
      <c r="V588">
        <v>2025</v>
      </c>
      <c r="W588">
        <v>4</v>
      </c>
    </row>
    <row r="589" spans="1:23" x14ac:dyDescent="0.25">
      <c r="A589" t="s">
        <v>1550</v>
      </c>
      <c r="B589">
        <v>45772.479386574072</v>
      </c>
      <c r="C589" t="s">
        <v>379</v>
      </c>
      <c r="D589" t="s">
        <v>27</v>
      </c>
      <c r="E589" t="s">
        <v>21</v>
      </c>
      <c r="F589" t="s">
        <v>2394</v>
      </c>
      <c r="G589" t="s">
        <v>2379</v>
      </c>
      <c r="H589">
        <v>45000</v>
      </c>
      <c r="I589">
        <v>3</v>
      </c>
      <c r="J589">
        <v>20</v>
      </c>
      <c r="K589">
        <v>135000</v>
      </c>
      <c r="L589">
        <v>27000</v>
      </c>
      <c r="M589">
        <v>108000</v>
      </c>
      <c r="N589">
        <v>17000</v>
      </c>
      <c r="O589">
        <v>125000</v>
      </c>
      <c r="P589" t="s">
        <v>63</v>
      </c>
      <c r="Q589" t="s">
        <v>2357</v>
      </c>
      <c r="R589" t="s">
        <v>30</v>
      </c>
      <c r="S589">
        <v>1</v>
      </c>
      <c r="T589" t="s">
        <v>24</v>
      </c>
      <c r="U589" t="s">
        <v>2404</v>
      </c>
      <c r="V589">
        <v>2025</v>
      </c>
      <c r="W589">
        <v>4</v>
      </c>
    </row>
    <row r="590" spans="1:23" x14ac:dyDescent="0.25">
      <c r="A590" t="s">
        <v>1551</v>
      </c>
      <c r="B590">
        <v>45772.542812500003</v>
      </c>
      <c r="C590" t="s">
        <v>1382</v>
      </c>
      <c r="D590" t="s">
        <v>74</v>
      </c>
      <c r="E590" t="s">
        <v>85</v>
      </c>
      <c r="F590" t="s">
        <v>2394</v>
      </c>
      <c r="G590" t="s">
        <v>2377</v>
      </c>
      <c r="H590">
        <v>35000</v>
      </c>
      <c r="I590">
        <v>2</v>
      </c>
      <c r="J590">
        <v>15</v>
      </c>
      <c r="K590">
        <v>70000</v>
      </c>
      <c r="L590">
        <v>10500</v>
      </c>
      <c r="M590">
        <v>59500</v>
      </c>
      <c r="N590">
        <v>87000</v>
      </c>
      <c r="O590">
        <v>146500</v>
      </c>
      <c r="P590" t="s">
        <v>29</v>
      </c>
      <c r="Q590" t="s">
        <v>2357</v>
      </c>
      <c r="R590" t="s">
        <v>36</v>
      </c>
      <c r="S590">
        <v>3</v>
      </c>
      <c r="T590" t="s">
        <v>24</v>
      </c>
      <c r="U590" t="s">
        <v>2404</v>
      </c>
      <c r="V590">
        <v>2025</v>
      </c>
      <c r="W590">
        <v>4</v>
      </c>
    </row>
    <row r="591" spans="1:23" x14ac:dyDescent="0.25">
      <c r="A591" t="s">
        <v>1552</v>
      </c>
      <c r="B591">
        <v>45772.635474537034</v>
      </c>
      <c r="C591" t="s">
        <v>681</v>
      </c>
      <c r="D591" t="s">
        <v>262</v>
      </c>
      <c r="E591" t="s">
        <v>104</v>
      </c>
      <c r="F591" t="s">
        <v>2392</v>
      </c>
      <c r="G591" t="s">
        <v>2377</v>
      </c>
      <c r="H591">
        <v>30000</v>
      </c>
      <c r="I591">
        <v>1</v>
      </c>
      <c r="J591">
        <v>15</v>
      </c>
      <c r="K591">
        <v>30000</v>
      </c>
      <c r="L591">
        <v>4500</v>
      </c>
      <c r="M591">
        <v>25500</v>
      </c>
      <c r="N591">
        <v>18000</v>
      </c>
      <c r="O591">
        <v>43500</v>
      </c>
      <c r="P591" t="s">
        <v>22</v>
      </c>
      <c r="Q591" t="s">
        <v>2356</v>
      </c>
      <c r="R591" t="s">
        <v>36</v>
      </c>
      <c r="S591">
        <v>4</v>
      </c>
      <c r="T591" t="s">
        <v>24</v>
      </c>
      <c r="U591" t="s">
        <v>2404</v>
      </c>
      <c r="V591">
        <v>2025</v>
      </c>
      <c r="W591">
        <v>4</v>
      </c>
    </row>
    <row r="592" spans="1:23" x14ac:dyDescent="0.25">
      <c r="A592" t="s">
        <v>1553</v>
      </c>
      <c r="B592">
        <v>45772.678842592592</v>
      </c>
      <c r="C592" t="s">
        <v>333</v>
      </c>
      <c r="D592" t="s">
        <v>107</v>
      </c>
      <c r="E592" t="s">
        <v>190</v>
      </c>
      <c r="F592" t="s">
        <v>2392</v>
      </c>
      <c r="G592" t="s">
        <v>2378</v>
      </c>
      <c r="H592">
        <v>35000</v>
      </c>
      <c r="I592">
        <v>3</v>
      </c>
      <c r="J592">
        <v>0</v>
      </c>
      <c r="K592">
        <v>105000</v>
      </c>
      <c r="L592">
        <v>0</v>
      </c>
      <c r="M592">
        <v>105000</v>
      </c>
      <c r="N592">
        <v>97000</v>
      </c>
      <c r="O592">
        <v>202000</v>
      </c>
      <c r="P592" t="s">
        <v>35</v>
      </c>
      <c r="Q592" t="s">
        <v>2356</v>
      </c>
      <c r="R592" t="s">
        <v>36</v>
      </c>
      <c r="S592">
        <v>3</v>
      </c>
      <c r="T592" t="s">
        <v>37</v>
      </c>
      <c r="U592" t="s">
        <v>2404</v>
      </c>
      <c r="V592">
        <v>2025</v>
      </c>
      <c r="W592">
        <v>4</v>
      </c>
    </row>
    <row r="593" spans="1:23" x14ac:dyDescent="0.25">
      <c r="A593" t="s">
        <v>1554</v>
      </c>
      <c r="B593">
        <v>45772.681875000002</v>
      </c>
      <c r="C593" t="s">
        <v>184</v>
      </c>
      <c r="D593" t="s">
        <v>103</v>
      </c>
      <c r="E593" t="s">
        <v>138</v>
      </c>
      <c r="F593" t="s">
        <v>2396</v>
      </c>
      <c r="G593" t="s">
        <v>2378</v>
      </c>
      <c r="H593">
        <v>17000</v>
      </c>
      <c r="I593">
        <v>1</v>
      </c>
      <c r="J593">
        <v>0</v>
      </c>
      <c r="K593">
        <v>17000</v>
      </c>
      <c r="L593">
        <v>0</v>
      </c>
      <c r="M593">
        <v>17000</v>
      </c>
      <c r="N593">
        <v>85000</v>
      </c>
      <c r="O593">
        <v>102000</v>
      </c>
      <c r="P593" t="s">
        <v>22</v>
      </c>
      <c r="Q593" t="s">
        <v>2356</v>
      </c>
      <c r="R593" t="s">
        <v>30</v>
      </c>
      <c r="S593">
        <v>5</v>
      </c>
      <c r="T593" t="s">
        <v>24</v>
      </c>
      <c r="U593" t="s">
        <v>2404</v>
      </c>
      <c r="V593">
        <v>2025</v>
      </c>
      <c r="W593">
        <v>4</v>
      </c>
    </row>
    <row r="594" spans="1:23" x14ac:dyDescent="0.25">
      <c r="A594" t="s">
        <v>1555</v>
      </c>
      <c r="B594">
        <v>45773.230671296304</v>
      </c>
      <c r="C594" t="s">
        <v>429</v>
      </c>
      <c r="D594" t="s">
        <v>177</v>
      </c>
      <c r="E594" t="s">
        <v>67</v>
      </c>
      <c r="F594" t="s">
        <v>2393</v>
      </c>
      <c r="G594" t="s">
        <v>2378</v>
      </c>
      <c r="H594">
        <v>15000</v>
      </c>
      <c r="I594">
        <v>2</v>
      </c>
      <c r="J594">
        <v>0</v>
      </c>
      <c r="K594">
        <v>30000</v>
      </c>
      <c r="L594">
        <v>0</v>
      </c>
      <c r="M594">
        <v>30000</v>
      </c>
      <c r="N594">
        <v>56000</v>
      </c>
      <c r="O594">
        <v>86000</v>
      </c>
      <c r="P594" t="s">
        <v>35</v>
      </c>
      <c r="Q594" t="s">
        <v>2357</v>
      </c>
      <c r="R594" t="s">
        <v>36</v>
      </c>
      <c r="S594">
        <v>3</v>
      </c>
      <c r="T594" t="s">
        <v>37</v>
      </c>
      <c r="U594" t="s">
        <v>2404</v>
      </c>
      <c r="V594">
        <v>2025</v>
      </c>
      <c r="W594">
        <v>4</v>
      </c>
    </row>
    <row r="595" spans="1:23" x14ac:dyDescent="0.25">
      <c r="A595" t="s">
        <v>1556</v>
      </c>
      <c r="B595">
        <v>45773.302499999998</v>
      </c>
      <c r="C595" t="s">
        <v>249</v>
      </c>
      <c r="D595" t="s">
        <v>49</v>
      </c>
      <c r="E595" t="s">
        <v>50</v>
      </c>
      <c r="F595" t="s">
        <v>2400</v>
      </c>
      <c r="G595" t="s">
        <v>2379</v>
      </c>
      <c r="H595">
        <v>14000</v>
      </c>
      <c r="I595">
        <v>5</v>
      </c>
      <c r="J595">
        <v>0</v>
      </c>
      <c r="K595">
        <v>70000</v>
      </c>
      <c r="L595">
        <v>0</v>
      </c>
      <c r="M595">
        <v>70000</v>
      </c>
      <c r="N595">
        <v>43000</v>
      </c>
      <c r="O595">
        <v>113000</v>
      </c>
      <c r="P595" t="s">
        <v>35</v>
      </c>
      <c r="Q595" t="s">
        <v>2357</v>
      </c>
      <c r="R595" t="s">
        <v>46</v>
      </c>
      <c r="S595">
        <v>3</v>
      </c>
      <c r="T595" t="s">
        <v>24</v>
      </c>
      <c r="U595" t="s">
        <v>2404</v>
      </c>
      <c r="V595">
        <v>2025</v>
      </c>
      <c r="W595">
        <v>4</v>
      </c>
    </row>
    <row r="596" spans="1:23" x14ac:dyDescent="0.25">
      <c r="A596" t="s">
        <v>1557</v>
      </c>
      <c r="B596">
        <v>45773.45144675926</v>
      </c>
      <c r="C596" t="s">
        <v>739</v>
      </c>
      <c r="D596" t="s">
        <v>177</v>
      </c>
      <c r="E596" t="s">
        <v>110</v>
      </c>
      <c r="F596" t="s">
        <v>2395</v>
      </c>
      <c r="G596" t="s">
        <v>2379</v>
      </c>
      <c r="H596">
        <v>6000</v>
      </c>
      <c r="I596">
        <v>2</v>
      </c>
      <c r="J596">
        <v>5</v>
      </c>
      <c r="K596">
        <v>12000</v>
      </c>
      <c r="L596">
        <v>600</v>
      </c>
      <c r="M596">
        <v>11400</v>
      </c>
      <c r="N596">
        <v>56000</v>
      </c>
      <c r="O596">
        <v>67400</v>
      </c>
      <c r="P596" t="s">
        <v>35</v>
      </c>
      <c r="Q596" t="s">
        <v>2357</v>
      </c>
      <c r="R596" t="s">
        <v>36</v>
      </c>
      <c r="S596">
        <v>3</v>
      </c>
      <c r="T596" t="s">
        <v>24</v>
      </c>
      <c r="U596" t="s">
        <v>2404</v>
      </c>
      <c r="V596">
        <v>2025</v>
      </c>
      <c r="W596">
        <v>4</v>
      </c>
    </row>
    <row r="597" spans="1:23" x14ac:dyDescent="0.25">
      <c r="A597" t="s">
        <v>1558</v>
      </c>
      <c r="B597">
        <v>45773.462199074071</v>
      </c>
      <c r="C597" t="s">
        <v>1146</v>
      </c>
      <c r="D597" t="s">
        <v>116</v>
      </c>
      <c r="E597" t="s">
        <v>144</v>
      </c>
      <c r="F597" t="s">
        <v>2396</v>
      </c>
      <c r="G597" t="s">
        <v>2379</v>
      </c>
      <c r="H597">
        <v>18000</v>
      </c>
      <c r="I597">
        <v>3</v>
      </c>
      <c r="J597">
        <v>0</v>
      </c>
      <c r="K597">
        <v>54000</v>
      </c>
      <c r="L597">
        <v>0</v>
      </c>
      <c r="M597">
        <v>54000</v>
      </c>
      <c r="N597">
        <v>72000</v>
      </c>
      <c r="O597">
        <v>126000</v>
      </c>
      <c r="P597" t="s">
        <v>35</v>
      </c>
      <c r="Q597" t="s">
        <v>2357</v>
      </c>
      <c r="R597" t="s">
        <v>46</v>
      </c>
      <c r="S597">
        <v>5</v>
      </c>
      <c r="T597" t="s">
        <v>24</v>
      </c>
      <c r="U597" t="s">
        <v>2404</v>
      </c>
      <c r="V597">
        <v>2025</v>
      </c>
      <c r="W597">
        <v>4</v>
      </c>
    </row>
    <row r="598" spans="1:23" x14ac:dyDescent="0.25">
      <c r="A598" t="s">
        <v>1559</v>
      </c>
      <c r="B598">
        <v>45773.655370370368</v>
      </c>
      <c r="C598" t="s">
        <v>383</v>
      </c>
      <c r="D598" t="s">
        <v>122</v>
      </c>
      <c r="E598" t="s">
        <v>58</v>
      </c>
      <c r="F598" t="s">
        <v>2396</v>
      </c>
      <c r="G598" t="s">
        <v>2377</v>
      </c>
      <c r="H598">
        <v>16000</v>
      </c>
      <c r="I598">
        <v>4</v>
      </c>
      <c r="J598">
        <v>10</v>
      </c>
      <c r="K598">
        <v>64000</v>
      </c>
      <c r="L598">
        <v>6400</v>
      </c>
      <c r="M598">
        <v>57600</v>
      </c>
      <c r="N598">
        <v>78000</v>
      </c>
      <c r="O598">
        <v>135600</v>
      </c>
      <c r="P598" t="s">
        <v>63</v>
      </c>
      <c r="Q598" t="s">
        <v>2357</v>
      </c>
      <c r="R598" t="s">
        <v>36</v>
      </c>
      <c r="S598">
        <v>2</v>
      </c>
      <c r="T598" t="s">
        <v>24</v>
      </c>
      <c r="U598" t="s">
        <v>2404</v>
      </c>
      <c r="V598">
        <v>2025</v>
      </c>
      <c r="W598">
        <v>4</v>
      </c>
    </row>
    <row r="599" spans="1:23" x14ac:dyDescent="0.25">
      <c r="A599" t="s">
        <v>1560</v>
      </c>
      <c r="B599">
        <v>45773.874652777777</v>
      </c>
      <c r="C599" t="s">
        <v>1561</v>
      </c>
      <c r="D599" t="s">
        <v>160</v>
      </c>
      <c r="E599" t="s">
        <v>93</v>
      </c>
      <c r="F599" t="s">
        <v>2399</v>
      </c>
      <c r="G599" t="s">
        <v>2378</v>
      </c>
      <c r="H599">
        <v>25000</v>
      </c>
      <c r="I599">
        <v>4</v>
      </c>
      <c r="J599">
        <v>20</v>
      </c>
      <c r="K599">
        <v>100000</v>
      </c>
      <c r="L599">
        <v>20000</v>
      </c>
      <c r="M599">
        <v>80000</v>
      </c>
      <c r="N599">
        <v>68000</v>
      </c>
      <c r="O599">
        <v>148000</v>
      </c>
      <c r="P599" t="s">
        <v>63</v>
      </c>
      <c r="Q599" t="s">
        <v>2357</v>
      </c>
      <c r="R599" t="s">
        <v>30</v>
      </c>
      <c r="S599">
        <v>4</v>
      </c>
      <c r="T599" t="s">
        <v>24</v>
      </c>
      <c r="U599" t="s">
        <v>2404</v>
      </c>
      <c r="V599">
        <v>2025</v>
      </c>
      <c r="W599">
        <v>4</v>
      </c>
    </row>
    <row r="600" spans="1:23" x14ac:dyDescent="0.25">
      <c r="A600" t="s">
        <v>1562</v>
      </c>
      <c r="B600">
        <v>45774.049467592587</v>
      </c>
      <c r="C600" t="s">
        <v>231</v>
      </c>
      <c r="D600" t="s">
        <v>66</v>
      </c>
      <c r="E600" t="s">
        <v>71</v>
      </c>
      <c r="F600" t="s">
        <v>2392</v>
      </c>
      <c r="G600" t="s">
        <v>2379</v>
      </c>
      <c r="H600">
        <v>40000</v>
      </c>
      <c r="I600">
        <v>2</v>
      </c>
      <c r="J600">
        <v>5</v>
      </c>
      <c r="K600">
        <v>80000</v>
      </c>
      <c r="L600">
        <v>4000</v>
      </c>
      <c r="M600">
        <v>76000</v>
      </c>
      <c r="N600">
        <v>59000</v>
      </c>
      <c r="O600">
        <v>135000</v>
      </c>
      <c r="P600" t="s">
        <v>35</v>
      </c>
      <c r="Q600" t="s">
        <v>2357</v>
      </c>
      <c r="R600" t="s">
        <v>46</v>
      </c>
      <c r="S600">
        <v>4</v>
      </c>
      <c r="T600" t="s">
        <v>24</v>
      </c>
      <c r="U600" t="s">
        <v>2404</v>
      </c>
      <c r="V600">
        <v>2025</v>
      </c>
      <c r="W600">
        <v>4</v>
      </c>
    </row>
    <row r="601" spans="1:23" x14ac:dyDescent="0.25">
      <c r="A601" t="s">
        <v>1562</v>
      </c>
      <c r="B601">
        <v>45774.049467592587</v>
      </c>
      <c r="C601" t="s">
        <v>231</v>
      </c>
      <c r="D601" t="s">
        <v>66</v>
      </c>
      <c r="E601" t="s">
        <v>190</v>
      </c>
      <c r="F601" t="s">
        <v>2392</v>
      </c>
      <c r="G601" t="s">
        <v>2378</v>
      </c>
      <c r="H601">
        <v>35000</v>
      </c>
      <c r="I601">
        <v>2</v>
      </c>
      <c r="J601">
        <v>15</v>
      </c>
      <c r="K601">
        <v>70000</v>
      </c>
      <c r="L601">
        <v>10500</v>
      </c>
      <c r="M601">
        <v>59500</v>
      </c>
      <c r="N601">
        <v>0</v>
      </c>
      <c r="O601">
        <v>59500</v>
      </c>
      <c r="P601" t="s">
        <v>35</v>
      </c>
      <c r="Q601" t="s">
        <v>2357</v>
      </c>
      <c r="R601" t="s">
        <v>46</v>
      </c>
      <c r="S601">
        <v>4</v>
      </c>
      <c r="T601" t="s">
        <v>24</v>
      </c>
      <c r="U601" t="s">
        <v>2404</v>
      </c>
      <c r="V601">
        <v>2025</v>
      </c>
      <c r="W601">
        <v>4</v>
      </c>
    </row>
    <row r="602" spans="1:23" x14ac:dyDescent="0.25">
      <c r="A602" t="s">
        <v>1563</v>
      </c>
      <c r="B602">
        <v>45774.154432870368</v>
      </c>
      <c r="C602" t="s">
        <v>504</v>
      </c>
      <c r="D602" t="s">
        <v>195</v>
      </c>
      <c r="E602" t="s">
        <v>144</v>
      </c>
      <c r="F602" t="s">
        <v>2396</v>
      </c>
      <c r="G602" t="s">
        <v>2379</v>
      </c>
      <c r="H602">
        <v>18000</v>
      </c>
      <c r="I602">
        <v>2</v>
      </c>
      <c r="J602">
        <v>0</v>
      </c>
      <c r="K602">
        <v>36000</v>
      </c>
      <c r="L602">
        <v>0</v>
      </c>
      <c r="M602">
        <v>36000</v>
      </c>
      <c r="N602">
        <v>87000</v>
      </c>
      <c r="O602">
        <v>123000</v>
      </c>
      <c r="P602" t="s">
        <v>22</v>
      </c>
      <c r="Q602" t="s">
        <v>2357</v>
      </c>
      <c r="R602" t="s">
        <v>23</v>
      </c>
      <c r="S602">
        <v>3</v>
      </c>
      <c r="T602" t="s">
        <v>24</v>
      </c>
      <c r="U602" t="s">
        <v>2404</v>
      </c>
      <c r="V602">
        <v>2025</v>
      </c>
      <c r="W602">
        <v>4</v>
      </c>
    </row>
    <row r="603" spans="1:23" x14ac:dyDescent="0.25">
      <c r="A603" t="s">
        <v>1564</v>
      </c>
      <c r="B603">
        <v>45774.19327546296</v>
      </c>
      <c r="C603" t="s">
        <v>990</v>
      </c>
      <c r="D603" t="s">
        <v>173</v>
      </c>
      <c r="E603" t="s">
        <v>81</v>
      </c>
      <c r="F603" t="s">
        <v>2397</v>
      </c>
      <c r="G603" t="s">
        <v>2378</v>
      </c>
      <c r="H603">
        <v>17000</v>
      </c>
      <c r="I603">
        <v>3</v>
      </c>
      <c r="J603">
        <v>15</v>
      </c>
      <c r="K603">
        <v>51000</v>
      </c>
      <c r="L603">
        <v>7650</v>
      </c>
      <c r="M603">
        <v>43350</v>
      </c>
      <c r="N603">
        <v>49000</v>
      </c>
      <c r="O603">
        <v>92350</v>
      </c>
      <c r="P603" t="s">
        <v>22</v>
      </c>
      <c r="Q603" t="s">
        <v>2357</v>
      </c>
      <c r="R603" t="s">
        <v>30</v>
      </c>
      <c r="S603">
        <v>1</v>
      </c>
      <c r="T603" t="s">
        <v>24</v>
      </c>
      <c r="U603" t="s">
        <v>2404</v>
      </c>
      <c r="V603">
        <v>2025</v>
      </c>
      <c r="W603">
        <v>4</v>
      </c>
    </row>
    <row r="604" spans="1:23" x14ac:dyDescent="0.25">
      <c r="A604" t="s">
        <v>1565</v>
      </c>
      <c r="B604">
        <v>45774.265497685177</v>
      </c>
      <c r="C604" t="s">
        <v>273</v>
      </c>
      <c r="D604" t="s">
        <v>195</v>
      </c>
      <c r="E604" t="s">
        <v>85</v>
      </c>
      <c r="F604" t="s">
        <v>2394</v>
      </c>
      <c r="G604" t="s">
        <v>2377</v>
      </c>
      <c r="H604">
        <v>35000</v>
      </c>
      <c r="I604">
        <v>2</v>
      </c>
      <c r="J604">
        <v>0</v>
      </c>
      <c r="K604">
        <v>70000</v>
      </c>
      <c r="L604">
        <v>0</v>
      </c>
      <c r="M604">
        <v>70000</v>
      </c>
      <c r="N604">
        <v>87000</v>
      </c>
      <c r="O604">
        <v>157000</v>
      </c>
      <c r="P604" t="s">
        <v>22</v>
      </c>
      <c r="Q604" t="s">
        <v>2357</v>
      </c>
      <c r="R604" t="s">
        <v>82</v>
      </c>
      <c r="S604">
        <v>5</v>
      </c>
      <c r="T604" t="s">
        <v>24</v>
      </c>
      <c r="U604" t="s">
        <v>2404</v>
      </c>
      <c r="V604">
        <v>2025</v>
      </c>
      <c r="W604">
        <v>4</v>
      </c>
    </row>
    <row r="605" spans="1:23" x14ac:dyDescent="0.25">
      <c r="A605" t="s">
        <v>1566</v>
      </c>
      <c r="B605">
        <v>45774.329456018517</v>
      </c>
      <c r="C605" t="s">
        <v>77</v>
      </c>
      <c r="D605" t="s">
        <v>61</v>
      </c>
      <c r="E605" t="s">
        <v>190</v>
      </c>
      <c r="F605" t="s">
        <v>2392</v>
      </c>
      <c r="G605" t="s">
        <v>2378</v>
      </c>
      <c r="H605">
        <v>35000</v>
      </c>
      <c r="I605">
        <v>1</v>
      </c>
      <c r="J605">
        <v>5</v>
      </c>
      <c r="K605">
        <v>35000</v>
      </c>
      <c r="L605">
        <v>1750</v>
      </c>
      <c r="M605">
        <v>33250</v>
      </c>
      <c r="N605">
        <v>26000</v>
      </c>
      <c r="O605">
        <v>59250</v>
      </c>
      <c r="P605" t="s">
        <v>29</v>
      </c>
      <c r="Q605" t="s">
        <v>2357</v>
      </c>
      <c r="R605" t="s">
        <v>46</v>
      </c>
      <c r="S605">
        <v>1</v>
      </c>
      <c r="T605" t="s">
        <v>24</v>
      </c>
      <c r="U605" t="s">
        <v>2404</v>
      </c>
      <c r="V605">
        <v>2025</v>
      </c>
      <c r="W605">
        <v>4</v>
      </c>
    </row>
    <row r="606" spans="1:23" x14ac:dyDescent="0.25">
      <c r="A606" t="s">
        <v>1566</v>
      </c>
      <c r="B606">
        <v>45774.329456018517</v>
      </c>
      <c r="C606" t="s">
        <v>77</v>
      </c>
      <c r="D606" t="s">
        <v>61</v>
      </c>
      <c r="E606" t="s">
        <v>21</v>
      </c>
      <c r="F606" t="s">
        <v>2394</v>
      </c>
      <c r="G606" t="s">
        <v>2379</v>
      </c>
      <c r="H606">
        <v>45000</v>
      </c>
      <c r="I606">
        <v>4</v>
      </c>
      <c r="J606">
        <v>5</v>
      </c>
      <c r="K606">
        <v>180000</v>
      </c>
      <c r="L606">
        <v>9000</v>
      </c>
      <c r="M606">
        <v>171000</v>
      </c>
      <c r="N606">
        <v>0</v>
      </c>
      <c r="O606">
        <v>171000</v>
      </c>
      <c r="P606" t="s">
        <v>29</v>
      </c>
      <c r="Q606" t="s">
        <v>2357</v>
      </c>
      <c r="R606" t="s">
        <v>46</v>
      </c>
      <c r="S606">
        <v>1</v>
      </c>
      <c r="T606" t="s">
        <v>24</v>
      </c>
      <c r="U606" t="s">
        <v>2404</v>
      </c>
      <c r="V606">
        <v>2025</v>
      </c>
      <c r="W606">
        <v>4</v>
      </c>
    </row>
    <row r="607" spans="1:23" x14ac:dyDescent="0.25">
      <c r="A607" t="s">
        <v>1567</v>
      </c>
      <c r="B607">
        <v>45774.371990740743</v>
      </c>
      <c r="C607" t="s">
        <v>459</v>
      </c>
      <c r="D607" t="s">
        <v>61</v>
      </c>
      <c r="E607" t="s">
        <v>138</v>
      </c>
      <c r="F607" t="s">
        <v>2396</v>
      </c>
      <c r="G607" t="s">
        <v>2378</v>
      </c>
      <c r="H607">
        <v>17000</v>
      </c>
      <c r="I607">
        <v>1</v>
      </c>
      <c r="J607">
        <v>20</v>
      </c>
      <c r="K607">
        <v>17000</v>
      </c>
      <c r="L607">
        <v>3400</v>
      </c>
      <c r="M607">
        <v>13600</v>
      </c>
      <c r="N607">
        <v>26000</v>
      </c>
      <c r="O607">
        <v>39600</v>
      </c>
      <c r="P607" t="s">
        <v>63</v>
      </c>
      <c r="Q607" t="s">
        <v>2357</v>
      </c>
      <c r="R607" t="s">
        <v>46</v>
      </c>
      <c r="S607">
        <v>5</v>
      </c>
      <c r="T607" t="s">
        <v>24</v>
      </c>
      <c r="U607" t="s">
        <v>2404</v>
      </c>
      <c r="V607">
        <v>2025</v>
      </c>
      <c r="W607">
        <v>4</v>
      </c>
    </row>
    <row r="608" spans="1:23" x14ac:dyDescent="0.25">
      <c r="A608" t="s">
        <v>1568</v>
      </c>
      <c r="B608">
        <v>45774.540324074071</v>
      </c>
      <c r="C608" t="s">
        <v>333</v>
      </c>
      <c r="D608" t="s">
        <v>107</v>
      </c>
      <c r="E608" t="s">
        <v>138</v>
      </c>
      <c r="F608" t="s">
        <v>2396</v>
      </c>
      <c r="G608" t="s">
        <v>2378</v>
      </c>
      <c r="H608">
        <v>17000</v>
      </c>
      <c r="I608">
        <v>1</v>
      </c>
      <c r="J608">
        <v>20</v>
      </c>
      <c r="K608">
        <v>17000</v>
      </c>
      <c r="L608">
        <v>3400</v>
      </c>
      <c r="M608">
        <v>13600</v>
      </c>
      <c r="N608">
        <v>97000</v>
      </c>
      <c r="O608">
        <v>110600</v>
      </c>
      <c r="P608" t="s">
        <v>63</v>
      </c>
      <c r="Q608" t="s">
        <v>2357</v>
      </c>
      <c r="R608" t="s">
        <v>36</v>
      </c>
      <c r="S608">
        <v>3</v>
      </c>
      <c r="T608" t="s">
        <v>37</v>
      </c>
      <c r="U608" t="s">
        <v>2404</v>
      </c>
      <c r="V608">
        <v>2025</v>
      </c>
      <c r="W608">
        <v>4</v>
      </c>
    </row>
    <row r="609" spans="1:23" x14ac:dyDescent="0.25">
      <c r="A609" t="s">
        <v>1569</v>
      </c>
      <c r="B609">
        <v>45774.959687499999</v>
      </c>
      <c r="C609" t="s">
        <v>214</v>
      </c>
      <c r="D609" t="s">
        <v>131</v>
      </c>
      <c r="E609" t="s">
        <v>190</v>
      </c>
      <c r="F609" t="s">
        <v>2392</v>
      </c>
      <c r="G609" t="s">
        <v>2378</v>
      </c>
      <c r="H609">
        <v>35000</v>
      </c>
      <c r="I609">
        <v>2</v>
      </c>
      <c r="J609">
        <v>15</v>
      </c>
      <c r="K609">
        <v>70000</v>
      </c>
      <c r="L609">
        <v>10500</v>
      </c>
      <c r="M609">
        <v>59500</v>
      </c>
      <c r="N609">
        <v>59000</v>
      </c>
      <c r="O609">
        <v>118500</v>
      </c>
      <c r="P609" t="s">
        <v>35</v>
      </c>
      <c r="Q609" t="s">
        <v>2359</v>
      </c>
      <c r="R609" t="s">
        <v>36</v>
      </c>
      <c r="S609">
        <v>3</v>
      </c>
      <c r="T609" t="s">
        <v>24</v>
      </c>
      <c r="U609" t="s">
        <v>2404</v>
      </c>
      <c r="V609">
        <v>2025</v>
      </c>
      <c r="W609">
        <v>4</v>
      </c>
    </row>
    <row r="610" spans="1:23" x14ac:dyDescent="0.25">
      <c r="A610" t="s">
        <v>1570</v>
      </c>
      <c r="B610">
        <v>45775.081689814811</v>
      </c>
      <c r="C610" t="s">
        <v>1424</v>
      </c>
      <c r="D610" t="s">
        <v>296</v>
      </c>
      <c r="E610" t="s">
        <v>81</v>
      </c>
      <c r="F610" t="s">
        <v>2397</v>
      </c>
      <c r="G610" t="s">
        <v>2378</v>
      </c>
      <c r="H610">
        <v>17000</v>
      </c>
      <c r="I610">
        <v>1</v>
      </c>
      <c r="J610">
        <v>20</v>
      </c>
      <c r="K610">
        <v>17000</v>
      </c>
      <c r="L610">
        <v>3400</v>
      </c>
      <c r="M610">
        <v>13600</v>
      </c>
      <c r="N610">
        <v>79000</v>
      </c>
      <c r="O610">
        <v>92600</v>
      </c>
      <c r="P610" t="s">
        <v>63</v>
      </c>
      <c r="Q610" t="s">
        <v>2357</v>
      </c>
      <c r="R610" t="s">
        <v>82</v>
      </c>
      <c r="S610">
        <v>4</v>
      </c>
      <c r="T610" t="s">
        <v>24</v>
      </c>
      <c r="U610" t="s">
        <v>2404</v>
      </c>
      <c r="V610">
        <v>2025</v>
      </c>
      <c r="W610">
        <v>4</v>
      </c>
    </row>
    <row r="611" spans="1:23" x14ac:dyDescent="0.25">
      <c r="A611" t="s">
        <v>1571</v>
      </c>
      <c r="B611">
        <v>45775.093043981477</v>
      </c>
      <c r="C611" t="s">
        <v>488</v>
      </c>
      <c r="D611" t="s">
        <v>49</v>
      </c>
      <c r="E611" t="s">
        <v>21</v>
      </c>
      <c r="F611" t="s">
        <v>2394</v>
      </c>
      <c r="G611" t="s">
        <v>2379</v>
      </c>
      <c r="H611">
        <v>45000</v>
      </c>
      <c r="I611">
        <v>1</v>
      </c>
      <c r="J611">
        <v>15</v>
      </c>
      <c r="K611">
        <v>45000</v>
      </c>
      <c r="L611">
        <v>6750</v>
      </c>
      <c r="M611">
        <v>38250</v>
      </c>
      <c r="N611">
        <v>43000</v>
      </c>
      <c r="O611">
        <v>81250</v>
      </c>
      <c r="P611" t="s">
        <v>22</v>
      </c>
      <c r="Q611" t="s">
        <v>2357</v>
      </c>
      <c r="R611" t="s">
        <v>46</v>
      </c>
      <c r="S611">
        <v>2</v>
      </c>
      <c r="T611" t="s">
        <v>24</v>
      </c>
      <c r="U611" t="s">
        <v>2404</v>
      </c>
      <c r="V611">
        <v>2025</v>
      </c>
      <c r="W611">
        <v>4</v>
      </c>
    </row>
    <row r="612" spans="1:23" x14ac:dyDescent="0.25">
      <c r="A612" t="s">
        <v>1572</v>
      </c>
      <c r="B612">
        <v>45775.306168981479</v>
      </c>
      <c r="C612" t="s">
        <v>549</v>
      </c>
      <c r="D612" t="s">
        <v>107</v>
      </c>
      <c r="E612" t="s">
        <v>34</v>
      </c>
      <c r="F612" t="s">
        <v>2397</v>
      </c>
      <c r="G612" t="s">
        <v>2377</v>
      </c>
      <c r="H612">
        <v>16000</v>
      </c>
      <c r="I612">
        <v>5</v>
      </c>
      <c r="J612">
        <v>10</v>
      </c>
      <c r="K612">
        <v>80000</v>
      </c>
      <c r="L612">
        <v>8000</v>
      </c>
      <c r="M612">
        <v>72000</v>
      </c>
      <c r="N612">
        <v>97000</v>
      </c>
      <c r="O612">
        <v>169000</v>
      </c>
      <c r="P612" t="s">
        <v>22</v>
      </c>
      <c r="Q612" t="s">
        <v>2357</v>
      </c>
      <c r="R612" t="s">
        <v>23</v>
      </c>
      <c r="S612">
        <v>4</v>
      </c>
      <c r="T612" t="s">
        <v>24</v>
      </c>
      <c r="U612" t="s">
        <v>2404</v>
      </c>
      <c r="V612">
        <v>2025</v>
      </c>
      <c r="W612">
        <v>4</v>
      </c>
    </row>
    <row r="613" spans="1:23" x14ac:dyDescent="0.25">
      <c r="A613" t="s">
        <v>1573</v>
      </c>
      <c r="B613">
        <v>45775.459733796299</v>
      </c>
      <c r="C613" t="s">
        <v>1574</v>
      </c>
      <c r="D613" t="s">
        <v>33</v>
      </c>
      <c r="E613" t="s">
        <v>34</v>
      </c>
      <c r="F613" t="s">
        <v>2397</v>
      </c>
      <c r="G613" t="s">
        <v>2377</v>
      </c>
      <c r="H613">
        <v>16000</v>
      </c>
      <c r="I613">
        <v>2</v>
      </c>
      <c r="J613">
        <v>20</v>
      </c>
      <c r="K613">
        <v>32000</v>
      </c>
      <c r="L613">
        <v>6400</v>
      </c>
      <c r="M613">
        <v>25600</v>
      </c>
      <c r="N613">
        <v>76000</v>
      </c>
      <c r="O613">
        <v>101600</v>
      </c>
      <c r="P613" t="s">
        <v>35</v>
      </c>
      <c r="Q613" t="s">
        <v>2357</v>
      </c>
      <c r="R613" t="s">
        <v>36</v>
      </c>
      <c r="S613">
        <v>3</v>
      </c>
      <c r="T613" t="s">
        <v>24</v>
      </c>
      <c r="U613" t="s">
        <v>2404</v>
      </c>
      <c r="V613">
        <v>2025</v>
      </c>
      <c r="W613">
        <v>4</v>
      </c>
    </row>
    <row r="614" spans="1:23" x14ac:dyDescent="0.25">
      <c r="A614" t="s">
        <v>1575</v>
      </c>
      <c r="B614">
        <v>45775.59988425926</v>
      </c>
      <c r="C614" t="s">
        <v>77</v>
      </c>
      <c r="D614" t="s">
        <v>61</v>
      </c>
      <c r="E614" t="s">
        <v>138</v>
      </c>
      <c r="F614" t="s">
        <v>2396</v>
      </c>
      <c r="G614" t="s">
        <v>2378</v>
      </c>
      <c r="H614">
        <v>17000</v>
      </c>
      <c r="I614">
        <v>1</v>
      </c>
      <c r="J614">
        <v>15</v>
      </c>
      <c r="K614">
        <v>17000</v>
      </c>
      <c r="L614">
        <v>2550</v>
      </c>
      <c r="M614">
        <v>14450</v>
      </c>
      <c r="N614">
        <v>26000</v>
      </c>
      <c r="O614">
        <v>40450</v>
      </c>
      <c r="P614" t="s">
        <v>35</v>
      </c>
      <c r="Q614" t="s">
        <v>2357</v>
      </c>
      <c r="R614" t="s">
        <v>46</v>
      </c>
      <c r="S614">
        <v>3</v>
      </c>
      <c r="T614" t="s">
        <v>24</v>
      </c>
      <c r="U614" t="s">
        <v>2404</v>
      </c>
      <c r="V614">
        <v>2025</v>
      </c>
      <c r="W614">
        <v>4</v>
      </c>
    </row>
    <row r="615" spans="1:23" x14ac:dyDescent="0.25">
      <c r="A615" t="s">
        <v>1575</v>
      </c>
      <c r="B615">
        <v>45775.59988425926</v>
      </c>
      <c r="C615" t="s">
        <v>77</v>
      </c>
      <c r="D615" t="s">
        <v>61</v>
      </c>
      <c r="E615" t="s">
        <v>88</v>
      </c>
      <c r="F615" t="s">
        <v>2393</v>
      </c>
      <c r="G615" t="s">
        <v>2377</v>
      </c>
      <c r="H615">
        <v>14000</v>
      </c>
      <c r="I615">
        <v>1</v>
      </c>
      <c r="J615">
        <v>15</v>
      </c>
      <c r="K615">
        <v>14000</v>
      </c>
      <c r="L615">
        <v>2100</v>
      </c>
      <c r="M615">
        <v>11900</v>
      </c>
      <c r="N615">
        <v>0</v>
      </c>
      <c r="O615">
        <v>11900</v>
      </c>
      <c r="P615" t="s">
        <v>35</v>
      </c>
      <c r="Q615" t="s">
        <v>2357</v>
      </c>
      <c r="R615" t="s">
        <v>46</v>
      </c>
      <c r="S615">
        <v>3</v>
      </c>
      <c r="T615" t="s">
        <v>24</v>
      </c>
      <c r="U615" t="s">
        <v>2404</v>
      </c>
      <c r="V615">
        <v>2025</v>
      </c>
      <c r="W615">
        <v>4</v>
      </c>
    </row>
    <row r="616" spans="1:23" x14ac:dyDescent="0.25">
      <c r="A616" t="s">
        <v>1576</v>
      </c>
      <c r="B616">
        <v>45775.69017361111</v>
      </c>
      <c r="C616" t="s">
        <v>1228</v>
      </c>
      <c r="D616" t="s">
        <v>33</v>
      </c>
      <c r="E616" t="s">
        <v>38</v>
      </c>
      <c r="F616" t="s">
        <v>2399</v>
      </c>
      <c r="G616" t="s">
        <v>2379</v>
      </c>
      <c r="H616">
        <v>28000</v>
      </c>
      <c r="I616">
        <v>1</v>
      </c>
      <c r="J616">
        <v>0</v>
      </c>
      <c r="K616">
        <v>28000</v>
      </c>
      <c r="L616">
        <v>0</v>
      </c>
      <c r="M616">
        <v>28000</v>
      </c>
      <c r="N616">
        <v>76000</v>
      </c>
      <c r="O616">
        <v>104000</v>
      </c>
      <c r="P616" t="s">
        <v>29</v>
      </c>
      <c r="Q616" t="s">
        <v>2357</v>
      </c>
      <c r="R616" t="s">
        <v>23</v>
      </c>
      <c r="S616">
        <v>2</v>
      </c>
      <c r="T616" t="s">
        <v>24</v>
      </c>
      <c r="U616" t="s">
        <v>2404</v>
      </c>
      <c r="V616">
        <v>2025</v>
      </c>
      <c r="W616">
        <v>4</v>
      </c>
    </row>
    <row r="617" spans="1:23" x14ac:dyDescent="0.25">
      <c r="A617" t="s">
        <v>1577</v>
      </c>
      <c r="B617">
        <v>45775.777465277781</v>
      </c>
      <c r="C617" t="s">
        <v>651</v>
      </c>
      <c r="D617" t="s">
        <v>182</v>
      </c>
      <c r="E617" t="s">
        <v>62</v>
      </c>
      <c r="F617" t="s">
        <v>2398</v>
      </c>
      <c r="G617" t="s">
        <v>2378</v>
      </c>
      <c r="H617">
        <v>50000</v>
      </c>
      <c r="I617">
        <v>2</v>
      </c>
      <c r="J617">
        <v>0</v>
      </c>
      <c r="K617">
        <v>100000</v>
      </c>
      <c r="L617">
        <v>0</v>
      </c>
      <c r="M617">
        <v>100000</v>
      </c>
      <c r="N617">
        <v>48000</v>
      </c>
      <c r="O617">
        <v>148000</v>
      </c>
      <c r="P617" t="s">
        <v>35</v>
      </c>
      <c r="Q617" t="s">
        <v>2357</v>
      </c>
      <c r="R617" t="s">
        <v>36</v>
      </c>
      <c r="S617">
        <v>4</v>
      </c>
      <c r="T617" t="s">
        <v>37</v>
      </c>
      <c r="U617" t="s">
        <v>2404</v>
      </c>
      <c r="V617">
        <v>2025</v>
      </c>
      <c r="W617">
        <v>4</v>
      </c>
    </row>
    <row r="618" spans="1:23" x14ac:dyDescent="0.25">
      <c r="A618" t="s">
        <v>1578</v>
      </c>
      <c r="B618">
        <v>45776.06050925926</v>
      </c>
      <c r="C618" t="s">
        <v>323</v>
      </c>
      <c r="D618" t="s">
        <v>103</v>
      </c>
      <c r="E618" t="s">
        <v>81</v>
      </c>
      <c r="F618" t="s">
        <v>2397</v>
      </c>
      <c r="G618" t="s">
        <v>2378</v>
      </c>
      <c r="H618">
        <v>17000</v>
      </c>
      <c r="I618">
        <v>5</v>
      </c>
      <c r="J618">
        <v>5</v>
      </c>
      <c r="K618">
        <v>85000</v>
      </c>
      <c r="L618">
        <v>4250</v>
      </c>
      <c r="M618">
        <v>80750</v>
      </c>
      <c r="N618">
        <v>85000</v>
      </c>
      <c r="O618">
        <v>165750</v>
      </c>
      <c r="P618" t="s">
        <v>63</v>
      </c>
      <c r="Q618" t="s">
        <v>2357</v>
      </c>
      <c r="R618" t="s">
        <v>30</v>
      </c>
      <c r="S618">
        <v>4</v>
      </c>
      <c r="T618" t="s">
        <v>24</v>
      </c>
      <c r="U618" t="s">
        <v>2404</v>
      </c>
      <c r="V618">
        <v>2025</v>
      </c>
      <c r="W618">
        <v>4</v>
      </c>
    </row>
    <row r="619" spans="1:23" x14ac:dyDescent="0.25">
      <c r="A619" t="s">
        <v>1579</v>
      </c>
      <c r="B619">
        <v>45776.3515162037</v>
      </c>
      <c r="C619" t="s">
        <v>904</v>
      </c>
      <c r="D619" t="s">
        <v>296</v>
      </c>
      <c r="E619" t="s">
        <v>21</v>
      </c>
      <c r="F619" t="s">
        <v>2394</v>
      </c>
      <c r="G619" t="s">
        <v>2379</v>
      </c>
      <c r="H619">
        <v>45000</v>
      </c>
      <c r="I619">
        <v>5</v>
      </c>
      <c r="J619">
        <v>15</v>
      </c>
      <c r="K619">
        <v>225000</v>
      </c>
      <c r="L619">
        <v>33750</v>
      </c>
      <c r="M619">
        <v>191250</v>
      </c>
      <c r="N619">
        <v>79000</v>
      </c>
      <c r="O619">
        <v>270250</v>
      </c>
      <c r="P619" t="s">
        <v>22</v>
      </c>
      <c r="Q619" t="s">
        <v>2357</v>
      </c>
      <c r="R619" t="s">
        <v>23</v>
      </c>
      <c r="S619">
        <v>3</v>
      </c>
      <c r="T619" t="s">
        <v>37</v>
      </c>
      <c r="U619" t="s">
        <v>2404</v>
      </c>
      <c r="V619">
        <v>2025</v>
      </c>
      <c r="W619">
        <v>4</v>
      </c>
    </row>
    <row r="620" spans="1:23" x14ac:dyDescent="0.25">
      <c r="A620" t="s">
        <v>1580</v>
      </c>
      <c r="B620">
        <v>45776.844780092593</v>
      </c>
      <c r="C620" t="s">
        <v>211</v>
      </c>
      <c r="D620" t="s">
        <v>49</v>
      </c>
      <c r="E620" t="s">
        <v>34</v>
      </c>
      <c r="F620" t="s">
        <v>2397</v>
      </c>
      <c r="G620" t="s">
        <v>2377</v>
      </c>
      <c r="H620">
        <v>16000</v>
      </c>
      <c r="I620">
        <v>5</v>
      </c>
      <c r="J620">
        <v>20</v>
      </c>
      <c r="K620">
        <v>80000</v>
      </c>
      <c r="L620">
        <v>16000</v>
      </c>
      <c r="M620">
        <v>64000</v>
      </c>
      <c r="N620">
        <v>43000</v>
      </c>
      <c r="O620">
        <v>107000</v>
      </c>
      <c r="P620" t="s">
        <v>22</v>
      </c>
      <c r="Q620" t="s">
        <v>2357</v>
      </c>
      <c r="R620" t="s">
        <v>82</v>
      </c>
      <c r="S620">
        <v>2</v>
      </c>
      <c r="T620" t="s">
        <v>24</v>
      </c>
      <c r="U620" t="s">
        <v>2404</v>
      </c>
      <c r="V620">
        <v>2025</v>
      </c>
      <c r="W620">
        <v>4</v>
      </c>
    </row>
    <row r="621" spans="1:23" x14ac:dyDescent="0.25">
      <c r="A621" t="s">
        <v>1581</v>
      </c>
      <c r="B621">
        <v>45776.924502314818</v>
      </c>
      <c r="C621" t="s">
        <v>1582</v>
      </c>
      <c r="D621" t="s">
        <v>80</v>
      </c>
      <c r="E621" t="s">
        <v>41</v>
      </c>
      <c r="F621" t="s">
        <v>2395</v>
      </c>
      <c r="G621" t="s">
        <v>2377</v>
      </c>
      <c r="H621">
        <v>4000</v>
      </c>
      <c r="I621">
        <v>2</v>
      </c>
      <c r="J621">
        <v>20</v>
      </c>
      <c r="K621">
        <v>8000</v>
      </c>
      <c r="L621">
        <v>1600</v>
      </c>
      <c r="M621">
        <v>6400</v>
      </c>
      <c r="N621">
        <v>74000</v>
      </c>
      <c r="O621">
        <v>80400</v>
      </c>
      <c r="P621" t="s">
        <v>63</v>
      </c>
      <c r="Q621" t="s">
        <v>2359</v>
      </c>
      <c r="R621" t="s">
        <v>36</v>
      </c>
      <c r="S621">
        <v>5</v>
      </c>
      <c r="T621" t="s">
        <v>24</v>
      </c>
      <c r="U621" t="s">
        <v>2404</v>
      </c>
      <c r="V621">
        <v>2025</v>
      </c>
      <c r="W621">
        <v>4</v>
      </c>
    </row>
    <row r="622" spans="1:23" x14ac:dyDescent="0.25">
      <c r="A622" t="s">
        <v>1583</v>
      </c>
      <c r="B622">
        <v>45777.205011574071</v>
      </c>
      <c r="C622" t="s">
        <v>167</v>
      </c>
      <c r="D622" t="s">
        <v>44</v>
      </c>
      <c r="E622" t="s">
        <v>186</v>
      </c>
      <c r="F622" t="s">
        <v>2398</v>
      </c>
      <c r="G622" t="s">
        <v>2377</v>
      </c>
      <c r="H622">
        <v>45000</v>
      </c>
      <c r="I622">
        <v>3</v>
      </c>
      <c r="J622">
        <v>15</v>
      </c>
      <c r="K622">
        <v>135000</v>
      </c>
      <c r="L622">
        <v>20250</v>
      </c>
      <c r="M622">
        <v>114750</v>
      </c>
      <c r="N622">
        <v>93000</v>
      </c>
      <c r="O622">
        <v>207750</v>
      </c>
      <c r="P622" t="s">
        <v>29</v>
      </c>
      <c r="Q622" t="s">
        <v>2357</v>
      </c>
      <c r="R622" t="s">
        <v>23</v>
      </c>
      <c r="S622">
        <v>5</v>
      </c>
      <c r="T622" t="s">
        <v>24</v>
      </c>
      <c r="U622" t="s">
        <v>2404</v>
      </c>
      <c r="V622">
        <v>2025</v>
      </c>
      <c r="W622">
        <v>4</v>
      </c>
    </row>
    <row r="623" spans="1:23" x14ac:dyDescent="0.25">
      <c r="A623" t="s">
        <v>1584</v>
      </c>
      <c r="B623">
        <v>45778.036087962973</v>
      </c>
      <c r="C623" t="s">
        <v>214</v>
      </c>
      <c r="D623" t="s">
        <v>131</v>
      </c>
      <c r="E623" t="s">
        <v>71</v>
      </c>
      <c r="F623" t="s">
        <v>2392</v>
      </c>
      <c r="G623" t="s">
        <v>2379</v>
      </c>
      <c r="H623">
        <v>40000</v>
      </c>
      <c r="I623">
        <v>3</v>
      </c>
      <c r="J623">
        <v>10</v>
      </c>
      <c r="K623">
        <v>120000</v>
      </c>
      <c r="L623">
        <v>12000</v>
      </c>
      <c r="M623">
        <v>108000</v>
      </c>
      <c r="N623">
        <v>59000</v>
      </c>
      <c r="O623">
        <v>167000</v>
      </c>
      <c r="P623" t="s">
        <v>35</v>
      </c>
      <c r="Q623" t="s">
        <v>2357</v>
      </c>
      <c r="R623" t="s">
        <v>82</v>
      </c>
      <c r="S623">
        <v>1</v>
      </c>
      <c r="T623" t="s">
        <v>24</v>
      </c>
      <c r="U623" t="s">
        <v>2405</v>
      </c>
      <c r="V623">
        <v>2025</v>
      </c>
      <c r="W623">
        <v>5</v>
      </c>
    </row>
    <row r="624" spans="1:23" x14ac:dyDescent="0.25">
      <c r="A624" t="s">
        <v>1585</v>
      </c>
      <c r="B624">
        <v>45778.390381944453</v>
      </c>
      <c r="C624" t="s">
        <v>695</v>
      </c>
      <c r="D624" t="s">
        <v>119</v>
      </c>
      <c r="E624" t="s">
        <v>38</v>
      </c>
      <c r="F624" t="s">
        <v>2399</v>
      </c>
      <c r="G624" t="s">
        <v>2379</v>
      </c>
      <c r="H624">
        <v>28000</v>
      </c>
      <c r="I624">
        <v>3</v>
      </c>
      <c r="J624">
        <v>15</v>
      </c>
      <c r="K624">
        <v>84000</v>
      </c>
      <c r="L624">
        <v>12600</v>
      </c>
      <c r="M624">
        <v>71400</v>
      </c>
      <c r="N624">
        <v>0</v>
      </c>
      <c r="O624">
        <v>71400</v>
      </c>
      <c r="P624" t="s">
        <v>35</v>
      </c>
      <c r="Q624" t="s">
        <v>2357</v>
      </c>
      <c r="R624" t="s">
        <v>82</v>
      </c>
      <c r="S624">
        <v>4</v>
      </c>
      <c r="T624" t="s">
        <v>24</v>
      </c>
      <c r="U624" t="s">
        <v>2405</v>
      </c>
      <c r="V624">
        <v>2025</v>
      </c>
      <c r="W624">
        <v>5</v>
      </c>
    </row>
    <row r="625" spans="1:23" x14ac:dyDescent="0.25">
      <c r="A625" t="s">
        <v>1585</v>
      </c>
      <c r="B625">
        <v>45778.390381944453</v>
      </c>
      <c r="C625" t="s">
        <v>695</v>
      </c>
      <c r="D625" t="s">
        <v>119</v>
      </c>
      <c r="E625" t="s">
        <v>138</v>
      </c>
      <c r="F625" t="s">
        <v>2396</v>
      </c>
      <c r="G625" t="s">
        <v>2378</v>
      </c>
      <c r="H625">
        <v>17000</v>
      </c>
      <c r="I625">
        <v>4</v>
      </c>
      <c r="J625">
        <v>20</v>
      </c>
      <c r="K625">
        <v>68000</v>
      </c>
      <c r="L625">
        <v>13600</v>
      </c>
      <c r="M625">
        <v>54400</v>
      </c>
      <c r="N625">
        <v>0</v>
      </c>
      <c r="O625">
        <v>54400</v>
      </c>
      <c r="P625" t="s">
        <v>35</v>
      </c>
      <c r="Q625" t="s">
        <v>2357</v>
      </c>
      <c r="R625" t="s">
        <v>82</v>
      </c>
      <c r="S625">
        <v>4</v>
      </c>
      <c r="T625" t="s">
        <v>24</v>
      </c>
      <c r="U625" t="s">
        <v>2405</v>
      </c>
      <c r="V625">
        <v>2025</v>
      </c>
      <c r="W625">
        <v>5</v>
      </c>
    </row>
    <row r="626" spans="1:23" x14ac:dyDescent="0.25">
      <c r="A626" t="s">
        <v>1586</v>
      </c>
      <c r="B626">
        <v>45778.748715277783</v>
      </c>
      <c r="C626" t="s">
        <v>1509</v>
      </c>
      <c r="D626" t="s">
        <v>122</v>
      </c>
      <c r="E626" t="s">
        <v>104</v>
      </c>
      <c r="F626" t="s">
        <v>2392</v>
      </c>
      <c r="G626" t="s">
        <v>2377</v>
      </c>
      <c r="H626">
        <v>30000</v>
      </c>
      <c r="I626">
        <v>1</v>
      </c>
      <c r="J626">
        <v>0</v>
      </c>
      <c r="K626">
        <v>30000</v>
      </c>
      <c r="L626">
        <v>0</v>
      </c>
      <c r="M626">
        <v>30000</v>
      </c>
      <c r="N626">
        <v>78000</v>
      </c>
      <c r="O626">
        <v>108000</v>
      </c>
      <c r="P626" t="s">
        <v>63</v>
      </c>
      <c r="Q626" t="s">
        <v>2357</v>
      </c>
      <c r="R626" t="s">
        <v>46</v>
      </c>
      <c r="S626">
        <v>5</v>
      </c>
      <c r="T626" t="s">
        <v>24</v>
      </c>
      <c r="U626" t="s">
        <v>2405</v>
      </c>
      <c r="V626">
        <v>2025</v>
      </c>
      <c r="W626">
        <v>5</v>
      </c>
    </row>
    <row r="627" spans="1:23" x14ac:dyDescent="0.25">
      <c r="A627" t="s">
        <v>1587</v>
      </c>
      <c r="B627">
        <v>45778.814942129633</v>
      </c>
      <c r="C627" t="s">
        <v>1128</v>
      </c>
      <c r="D627" t="s">
        <v>113</v>
      </c>
      <c r="E627" t="s">
        <v>123</v>
      </c>
      <c r="F627" t="s">
        <v>2399</v>
      </c>
      <c r="G627" t="s">
        <v>2377</v>
      </c>
      <c r="H627">
        <v>22000</v>
      </c>
      <c r="I627">
        <v>1</v>
      </c>
      <c r="J627">
        <v>10</v>
      </c>
      <c r="K627">
        <v>22000</v>
      </c>
      <c r="L627">
        <v>2200</v>
      </c>
      <c r="M627">
        <v>19800</v>
      </c>
      <c r="N627">
        <v>18000</v>
      </c>
      <c r="O627">
        <v>37800</v>
      </c>
      <c r="P627" t="s">
        <v>35</v>
      </c>
      <c r="Q627" t="s">
        <v>2357</v>
      </c>
      <c r="R627" t="s">
        <v>30</v>
      </c>
      <c r="S627">
        <v>2</v>
      </c>
      <c r="T627" t="s">
        <v>24</v>
      </c>
      <c r="U627" t="s">
        <v>2405</v>
      </c>
      <c r="V627">
        <v>2025</v>
      </c>
      <c r="W627">
        <v>5</v>
      </c>
    </row>
    <row r="628" spans="1:23" x14ac:dyDescent="0.25">
      <c r="A628" t="s">
        <v>1587</v>
      </c>
      <c r="B628">
        <v>45778.814942129633</v>
      </c>
      <c r="C628" t="s">
        <v>1128</v>
      </c>
      <c r="D628" t="s">
        <v>113</v>
      </c>
      <c r="E628" t="s">
        <v>41</v>
      </c>
      <c r="F628" t="s">
        <v>2395</v>
      </c>
      <c r="G628" t="s">
        <v>2377</v>
      </c>
      <c r="H628">
        <v>4000</v>
      </c>
      <c r="I628">
        <v>1</v>
      </c>
      <c r="J628">
        <v>5</v>
      </c>
      <c r="K628">
        <v>4000</v>
      </c>
      <c r="L628">
        <v>200</v>
      </c>
      <c r="M628">
        <v>3800</v>
      </c>
      <c r="N628">
        <v>0</v>
      </c>
      <c r="O628">
        <v>3800</v>
      </c>
      <c r="P628" t="s">
        <v>35</v>
      </c>
      <c r="Q628" t="s">
        <v>2357</v>
      </c>
      <c r="R628" t="s">
        <v>30</v>
      </c>
      <c r="S628">
        <v>2</v>
      </c>
      <c r="T628" t="s">
        <v>24</v>
      </c>
      <c r="U628" t="s">
        <v>2405</v>
      </c>
      <c r="V628">
        <v>2025</v>
      </c>
      <c r="W628">
        <v>5</v>
      </c>
    </row>
    <row r="629" spans="1:23" x14ac:dyDescent="0.25">
      <c r="A629" t="s">
        <v>1588</v>
      </c>
      <c r="B629">
        <v>45779.01703703704</v>
      </c>
      <c r="C629" t="s">
        <v>218</v>
      </c>
      <c r="D629" t="s">
        <v>170</v>
      </c>
      <c r="E629" t="s">
        <v>50</v>
      </c>
      <c r="F629" t="s">
        <v>2400</v>
      </c>
      <c r="G629" t="s">
        <v>2379</v>
      </c>
      <c r="H629">
        <v>14000</v>
      </c>
      <c r="I629">
        <v>5</v>
      </c>
      <c r="J629">
        <v>0</v>
      </c>
      <c r="K629">
        <v>70000</v>
      </c>
      <c r="L629">
        <v>0</v>
      </c>
      <c r="M629">
        <v>70000</v>
      </c>
      <c r="N629">
        <v>46000</v>
      </c>
      <c r="O629">
        <v>116000</v>
      </c>
      <c r="P629" t="s">
        <v>63</v>
      </c>
      <c r="Q629" t="s">
        <v>2357</v>
      </c>
      <c r="R629" t="s">
        <v>36</v>
      </c>
      <c r="S629">
        <v>1</v>
      </c>
      <c r="T629" t="s">
        <v>24</v>
      </c>
      <c r="U629" t="s">
        <v>2405</v>
      </c>
      <c r="V629">
        <v>2025</v>
      </c>
      <c r="W629">
        <v>5</v>
      </c>
    </row>
    <row r="630" spans="1:23" x14ac:dyDescent="0.25">
      <c r="A630" t="s">
        <v>1589</v>
      </c>
      <c r="B630">
        <v>45779.146724537037</v>
      </c>
      <c r="C630" t="s">
        <v>654</v>
      </c>
      <c r="D630" t="s">
        <v>375</v>
      </c>
      <c r="E630" t="s">
        <v>45</v>
      </c>
      <c r="F630" t="s">
        <v>2394</v>
      </c>
      <c r="G630" t="s">
        <v>2378</v>
      </c>
      <c r="H630">
        <v>40000</v>
      </c>
      <c r="I630">
        <v>5</v>
      </c>
      <c r="J630">
        <v>0</v>
      </c>
      <c r="K630">
        <v>200000</v>
      </c>
      <c r="L630">
        <v>0</v>
      </c>
      <c r="M630">
        <v>200000</v>
      </c>
      <c r="N630">
        <v>21000</v>
      </c>
      <c r="O630">
        <v>221000</v>
      </c>
      <c r="P630" t="s">
        <v>22</v>
      </c>
      <c r="Q630" t="s">
        <v>2357</v>
      </c>
      <c r="R630" t="s">
        <v>30</v>
      </c>
      <c r="S630">
        <v>3</v>
      </c>
      <c r="T630" t="s">
        <v>24</v>
      </c>
      <c r="U630" t="s">
        <v>2405</v>
      </c>
      <c r="V630">
        <v>2025</v>
      </c>
      <c r="W630">
        <v>5</v>
      </c>
    </row>
    <row r="631" spans="1:23" x14ac:dyDescent="0.25">
      <c r="A631" t="s">
        <v>1590</v>
      </c>
      <c r="B631">
        <v>45779.363807870373</v>
      </c>
      <c r="C631" t="s">
        <v>582</v>
      </c>
      <c r="D631" t="s">
        <v>435</v>
      </c>
      <c r="E631" t="s">
        <v>123</v>
      </c>
      <c r="F631" t="s">
        <v>2399</v>
      </c>
      <c r="G631" t="s">
        <v>2377</v>
      </c>
      <c r="H631">
        <v>22000</v>
      </c>
      <c r="I631">
        <v>2</v>
      </c>
      <c r="J631">
        <v>5</v>
      </c>
      <c r="K631">
        <v>44000</v>
      </c>
      <c r="L631">
        <v>2200</v>
      </c>
      <c r="M631">
        <v>41800</v>
      </c>
      <c r="N631">
        <v>67000</v>
      </c>
      <c r="O631">
        <v>108800</v>
      </c>
      <c r="P631" t="s">
        <v>22</v>
      </c>
      <c r="Q631" t="s">
        <v>2357</v>
      </c>
      <c r="R631" t="s">
        <v>23</v>
      </c>
      <c r="S631">
        <v>3</v>
      </c>
      <c r="T631" t="s">
        <v>24</v>
      </c>
      <c r="U631" t="s">
        <v>2405</v>
      </c>
      <c r="V631">
        <v>2025</v>
      </c>
      <c r="W631">
        <v>5</v>
      </c>
    </row>
    <row r="632" spans="1:23" x14ac:dyDescent="0.25">
      <c r="A632" t="s">
        <v>1591</v>
      </c>
      <c r="B632">
        <v>45779.48777777778</v>
      </c>
      <c r="C632" t="s">
        <v>269</v>
      </c>
      <c r="D632" t="s">
        <v>173</v>
      </c>
      <c r="E632" t="s">
        <v>62</v>
      </c>
      <c r="F632" t="s">
        <v>2398</v>
      </c>
      <c r="G632" t="s">
        <v>2378</v>
      </c>
      <c r="H632">
        <v>50000</v>
      </c>
      <c r="I632">
        <v>4</v>
      </c>
      <c r="J632">
        <v>0</v>
      </c>
      <c r="K632">
        <v>200000</v>
      </c>
      <c r="L632">
        <v>0</v>
      </c>
      <c r="M632">
        <v>200000</v>
      </c>
      <c r="N632">
        <v>49000</v>
      </c>
      <c r="O632">
        <v>249000</v>
      </c>
      <c r="P632" t="s">
        <v>22</v>
      </c>
      <c r="Q632" t="s">
        <v>2357</v>
      </c>
      <c r="R632" t="s">
        <v>82</v>
      </c>
      <c r="S632">
        <v>4</v>
      </c>
      <c r="T632" t="s">
        <v>37</v>
      </c>
      <c r="U632" t="s">
        <v>2405</v>
      </c>
      <c r="V632">
        <v>2025</v>
      </c>
      <c r="W632">
        <v>5</v>
      </c>
    </row>
    <row r="633" spans="1:23" x14ac:dyDescent="0.25">
      <c r="A633" t="s">
        <v>1592</v>
      </c>
      <c r="B633">
        <v>45779.547106481477</v>
      </c>
      <c r="C633" t="s">
        <v>924</v>
      </c>
      <c r="D633" t="s">
        <v>20</v>
      </c>
      <c r="E633" t="s">
        <v>34</v>
      </c>
      <c r="F633" t="s">
        <v>2397</v>
      </c>
      <c r="G633" t="s">
        <v>2377</v>
      </c>
      <c r="H633">
        <v>16000</v>
      </c>
      <c r="I633">
        <v>1</v>
      </c>
      <c r="J633">
        <v>0</v>
      </c>
      <c r="K633">
        <v>16000</v>
      </c>
      <c r="L633">
        <v>0</v>
      </c>
      <c r="M633">
        <v>16000</v>
      </c>
      <c r="N633">
        <v>15000</v>
      </c>
      <c r="O633">
        <v>31000</v>
      </c>
      <c r="P633" t="s">
        <v>22</v>
      </c>
      <c r="Q633" t="s">
        <v>2357</v>
      </c>
      <c r="R633" t="s">
        <v>46</v>
      </c>
      <c r="S633">
        <v>4</v>
      </c>
      <c r="T633" t="s">
        <v>37</v>
      </c>
      <c r="U633" t="s">
        <v>2405</v>
      </c>
      <c r="V633">
        <v>2025</v>
      </c>
      <c r="W633">
        <v>5</v>
      </c>
    </row>
    <row r="634" spans="1:23" x14ac:dyDescent="0.25">
      <c r="A634" t="s">
        <v>1592</v>
      </c>
      <c r="B634">
        <v>45779.547106481477</v>
      </c>
      <c r="C634" t="s">
        <v>924</v>
      </c>
      <c r="D634" t="s">
        <v>20</v>
      </c>
      <c r="E634" t="s">
        <v>71</v>
      </c>
      <c r="F634" t="s">
        <v>2392</v>
      </c>
      <c r="G634" t="s">
        <v>2379</v>
      </c>
      <c r="H634">
        <v>40000</v>
      </c>
      <c r="I634">
        <v>5</v>
      </c>
      <c r="J634">
        <v>20</v>
      </c>
      <c r="K634">
        <v>200000</v>
      </c>
      <c r="L634">
        <v>40000</v>
      </c>
      <c r="M634">
        <v>160000</v>
      </c>
      <c r="N634">
        <v>0</v>
      </c>
      <c r="O634">
        <v>160000</v>
      </c>
      <c r="P634" t="s">
        <v>22</v>
      </c>
      <c r="Q634" t="s">
        <v>2357</v>
      </c>
      <c r="R634" t="s">
        <v>46</v>
      </c>
      <c r="S634">
        <v>4</v>
      </c>
      <c r="T634" t="s">
        <v>37</v>
      </c>
      <c r="U634" t="s">
        <v>2405</v>
      </c>
      <c r="V634">
        <v>2025</v>
      </c>
      <c r="W634">
        <v>5</v>
      </c>
    </row>
    <row r="635" spans="1:23" x14ac:dyDescent="0.25">
      <c r="A635" t="s">
        <v>1593</v>
      </c>
      <c r="B635">
        <v>45780.730775462973</v>
      </c>
      <c r="C635" t="s">
        <v>1348</v>
      </c>
      <c r="D635" t="s">
        <v>296</v>
      </c>
      <c r="E635" t="s">
        <v>138</v>
      </c>
      <c r="F635" t="s">
        <v>2396</v>
      </c>
      <c r="G635" t="s">
        <v>2378</v>
      </c>
      <c r="H635">
        <v>17000</v>
      </c>
      <c r="I635">
        <v>2</v>
      </c>
      <c r="J635">
        <v>0</v>
      </c>
      <c r="K635">
        <v>34000</v>
      </c>
      <c r="L635">
        <v>0</v>
      </c>
      <c r="M635">
        <v>34000</v>
      </c>
      <c r="N635">
        <v>79000</v>
      </c>
      <c r="O635">
        <v>113000</v>
      </c>
      <c r="P635" t="s">
        <v>22</v>
      </c>
      <c r="Q635" t="s">
        <v>2357</v>
      </c>
      <c r="R635" t="s">
        <v>30</v>
      </c>
      <c r="S635">
        <v>4</v>
      </c>
      <c r="T635" t="s">
        <v>24</v>
      </c>
      <c r="U635" t="s">
        <v>2405</v>
      </c>
      <c r="V635">
        <v>2025</v>
      </c>
      <c r="W635">
        <v>5</v>
      </c>
    </row>
    <row r="636" spans="1:23" x14ac:dyDescent="0.25">
      <c r="A636" t="s">
        <v>1594</v>
      </c>
      <c r="B636">
        <v>45781.263715277782</v>
      </c>
      <c r="C636" t="s">
        <v>1025</v>
      </c>
      <c r="D636" t="s">
        <v>119</v>
      </c>
      <c r="E636" t="s">
        <v>28</v>
      </c>
      <c r="F636" t="s">
        <v>2395</v>
      </c>
      <c r="G636" t="s">
        <v>2378</v>
      </c>
      <c r="H636">
        <v>5000</v>
      </c>
      <c r="I636">
        <v>2</v>
      </c>
      <c r="J636">
        <v>10</v>
      </c>
      <c r="K636">
        <v>10000</v>
      </c>
      <c r="L636">
        <v>1000</v>
      </c>
      <c r="M636">
        <v>9000</v>
      </c>
      <c r="N636">
        <v>0</v>
      </c>
      <c r="O636">
        <v>9000</v>
      </c>
      <c r="P636" t="s">
        <v>63</v>
      </c>
      <c r="Q636" t="s">
        <v>2357</v>
      </c>
      <c r="R636" t="s">
        <v>30</v>
      </c>
      <c r="S636">
        <v>5</v>
      </c>
      <c r="T636" t="s">
        <v>24</v>
      </c>
      <c r="U636" t="s">
        <v>2405</v>
      </c>
      <c r="V636">
        <v>2025</v>
      </c>
      <c r="W636">
        <v>5</v>
      </c>
    </row>
    <row r="637" spans="1:23" x14ac:dyDescent="0.25">
      <c r="A637" t="s">
        <v>1595</v>
      </c>
      <c r="B637">
        <v>45781.320289351846</v>
      </c>
      <c r="C637" t="s">
        <v>729</v>
      </c>
      <c r="D637" t="s">
        <v>74</v>
      </c>
      <c r="E637" t="s">
        <v>136</v>
      </c>
      <c r="F637" t="s">
        <v>2400</v>
      </c>
      <c r="G637" t="s">
        <v>2378</v>
      </c>
      <c r="H637">
        <v>12000</v>
      </c>
      <c r="I637">
        <v>2</v>
      </c>
      <c r="J637">
        <v>20</v>
      </c>
      <c r="K637">
        <v>24000</v>
      </c>
      <c r="L637">
        <v>4800</v>
      </c>
      <c r="M637">
        <v>19200</v>
      </c>
      <c r="N637">
        <v>87000</v>
      </c>
      <c r="O637">
        <v>106200</v>
      </c>
      <c r="P637" t="s">
        <v>63</v>
      </c>
      <c r="Q637" t="s">
        <v>2356</v>
      </c>
      <c r="R637" t="s">
        <v>23</v>
      </c>
      <c r="S637">
        <v>3</v>
      </c>
      <c r="T637" t="s">
        <v>24</v>
      </c>
      <c r="U637" t="s">
        <v>2405</v>
      </c>
      <c r="V637">
        <v>2025</v>
      </c>
      <c r="W637">
        <v>5</v>
      </c>
    </row>
    <row r="638" spans="1:23" x14ac:dyDescent="0.25">
      <c r="A638" t="s">
        <v>1596</v>
      </c>
      <c r="B638">
        <v>45781.498402777783</v>
      </c>
      <c r="C638" t="s">
        <v>176</v>
      </c>
      <c r="D638" t="s">
        <v>177</v>
      </c>
      <c r="E638" t="s">
        <v>21</v>
      </c>
      <c r="F638" t="s">
        <v>2394</v>
      </c>
      <c r="G638" t="s">
        <v>2379</v>
      </c>
      <c r="H638">
        <v>45000</v>
      </c>
      <c r="I638">
        <v>5</v>
      </c>
      <c r="J638">
        <v>5</v>
      </c>
      <c r="K638">
        <v>225000</v>
      </c>
      <c r="L638">
        <v>11250</v>
      </c>
      <c r="M638">
        <v>213750</v>
      </c>
      <c r="N638">
        <v>56000</v>
      </c>
      <c r="O638">
        <v>269750</v>
      </c>
      <c r="P638" t="s">
        <v>63</v>
      </c>
      <c r="Q638" t="s">
        <v>2357</v>
      </c>
      <c r="R638" t="s">
        <v>30</v>
      </c>
      <c r="S638">
        <v>4</v>
      </c>
      <c r="T638" t="s">
        <v>24</v>
      </c>
      <c r="U638" t="s">
        <v>2405</v>
      </c>
      <c r="V638">
        <v>2025</v>
      </c>
      <c r="W638">
        <v>5</v>
      </c>
    </row>
    <row r="639" spans="1:23" x14ac:dyDescent="0.25">
      <c r="A639" t="s">
        <v>1597</v>
      </c>
      <c r="B639">
        <v>45781.657546296286</v>
      </c>
      <c r="C639" t="s">
        <v>763</v>
      </c>
      <c r="D639" t="s">
        <v>74</v>
      </c>
      <c r="E639" t="s">
        <v>104</v>
      </c>
      <c r="F639" t="s">
        <v>2392</v>
      </c>
      <c r="G639" t="s">
        <v>2377</v>
      </c>
      <c r="H639">
        <v>30000</v>
      </c>
      <c r="I639">
        <v>3</v>
      </c>
      <c r="J639">
        <v>20</v>
      </c>
      <c r="K639">
        <v>90000</v>
      </c>
      <c r="L639">
        <v>18000</v>
      </c>
      <c r="M639">
        <v>72000</v>
      </c>
      <c r="N639">
        <v>87000</v>
      </c>
      <c r="O639">
        <v>159000</v>
      </c>
      <c r="P639" t="s">
        <v>35</v>
      </c>
      <c r="Q639" t="s">
        <v>2357</v>
      </c>
      <c r="R639" t="s">
        <v>30</v>
      </c>
      <c r="S639">
        <v>2</v>
      </c>
      <c r="T639" t="s">
        <v>24</v>
      </c>
      <c r="U639" t="s">
        <v>2405</v>
      </c>
      <c r="V639">
        <v>2025</v>
      </c>
      <c r="W639">
        <v>5</v>
      </c>
    </row>
    <row r="640" spans="1:23" x14ac:dyDescent="0.25">
      <c r="A640" t="s">
        <v>1598</v>
      </c>
      <c r="B640">
        <v>45781.945763888893</v>
      </c>
      <c r="C640" t="s">
        <v>269</v>
      </c>
      <c r="D640" t="s">
        <v>173</v>
      </c>
      <c r="E640" t="s">
        <v>250</v>
      </c>
      <c r="F640" t="s">
        <v>2397</v>
      </c>
      <c r="G640" t="s">
        <v>2379</v>
      </c>
      <c r="H640">
        <v>18000</v>
      </c>
      <c r="I640">
        <v>5</v>
      </c>
      <c r="J640">
        <v>20</v>
      </c>
      <c r="K640">
        <v>90000</v>
      </c>
      <c r="L640">
        <v>18000</v>
      </c>
      <c r="M640">
        <v>72000</v>
      </c>
      <c r="N640">
        <v>49000</v>
      </c>
      <c r="O640">
        <v>121000</v>
      </c>
      <c r="P640" t="s">
        <v>35</v>
      </c>
      <c r="Q640" t="s">
        <v>2357</v>
      </c>
      <c r="R640" t="s">
        <v>23</v>
      </c>
      <c r="S640">
        <v>4</v>
      </c>
      <c r="T640" t="s">
        <v>37</v>
      </c>
      <c r="U640" t="s">
        <v>2405</v>
      </c>
      <c r="V640">
        <v>2025</v>
      </c>
      <c r="W640">
        <v>5</v>
      </c>
    </row>
    <row r="641" spans="1:23" x14ac:dyDescent="0.25">
      <c r="A641" t="s">
        <v>1599</v>
      </c>
      <c r="B641">
        <v>45782.263657407413</v>
      </c>
      <c r="C641" t="s">
        <v>900</v>
      </c>
      <c r="D641" t="s">
        <v>27</v>
      </c>
      <c r="E641" t="s">
        <v>28</v>
      </c>
      <c r="F641" t="s">
        <v>2395</v>
      </c>
      <c r="G641" t="s">
        <v>2378</v>
      </c>
      <c r="H641">
        <v>5000</v>
      </c>
      <c r="I641">
        <v>3</v>
      </c>
      <c r="J641">
        <v>15</v>
      </c>
      <c r="K641">
        <v>15000</v>
      </c>
      <c r="L641">
        <v>2250</v>
      </c>
      <c r="M641">
        <v>12750</v>
      </c>
      <c r="N641">
        <v>17000</v>
      </c>
      <c r="O641">
        <v>29750</v>
      </c>
      <c r="P641" t="s">
        <v>35</v>
      </c>
      <c r="Q641" t="s">
        <v>2357</v>
      </c>
      <c r="R641" t="s">
        <v>23</v>
      </c>
      <c r="S641">
        <v>3</v>
      </c>
      <c r="T641" t="s">
        <v>24</v>
      </c>
      <c r="U641" t="s">
        <v>2405</v>
      </c>
      <c r="V641">
        <v>2025</v>
      </c>
      <c r="W641">
        <v>5</v>
      </c>
    </row>
    <row r="642" spans="1:23" x14ac:dyDescent="0.25">
      <c r="A642" t="s">
        <v>1600</v>
      </c>
      <c r="B642">
        <v>45782.472997685189</v>
      </c>
      <c r="C642" t="s">
        <v>570</v>
      </c>
      <c r="D642" t="s">
        <v>80</v>
      </c>
      <c r="E642" t="s">
        <v>88</v>
      </c>
      <c r="F642" t="s">
        <v>2393</v>
      </c>
      <c r="G642" t="s">
        <v>2377</v>
      </c>
      <c r="H642">
        <v>14000</v>
      </c>
      <c r="I642">
        <v>4</v>
      </c>
      <c r="J642">
        <v>5</v>
      </c>
      <c r="K642">
        <v>56000</v>
      </c>
      <c r="L642">
        <v>2800</v>
      </c>
      <c r="M642">
        <v>53200</v>
      </c>
      <c r="N642">
        <v>74000</v>
      </c>
      <c r="O642">
        <v>127200</v>
      </c>
      <c r="P642" t="s">
        <v>22</v>
      </c>
      <c r="Q642" t="s">
        <v>2357</v>
      </c>
      <c r="R642" t="s">
        <v>46</v>
      </c>
      <c r="S642">
        <v>3</v>
      </c>
      <c r="T642" t="s">
        <v>24</v>
      </c>
      <c r="U642" t="s">
        <v>2405</v>
      </c>
      <c r="V642">
        <v>2025</v>
      </c>
      <c r="W642">
        <v>5</v>
      </c>
    </row>
    <row r="643" spans="1:23" x14ac:dyDescent="0.25">
      <c r="A643" t="s">
        <v>1601</v>
      </c>
      <c r="B643">
        <v>45782.481724537043</v>
      </c>
      <c r="C643" t="s">
        <v>140</v>
      </c>
      <c r="D643" t="s">
        <v>92</v>
      </c>
      <c r="E643" t="s">
        <v>54</v>
      </c>
      <c r="F643" t="s">
        <v>2393</v>
      </c>
      <c r="G643" t="s">
        <v>2379</v>
      </c>
      <c r="H643">
        <v>16000</v>
      </c>
      <c r="I643">
        <v>2</v>
      </c>
      <c r="J643">
        <v>5</v>
      </c>
      <c r="K643">
        <v>32000</v>
      </c>
      <c r="L643">
        <v>1600</v>
      </c>
      <c r="M643">
        <v>30400</v>
      </c>
      <c r="N643">
        <v>30000</v>
      </c>
      <c r="O643">
        <v>60400</v>
      </c>
      <c r="P643" t="s">
        <v>35</v>
      </c>
      <c r="Q643" t="s">
        <v>2357</v>
      </c>
      <c r="R643" t="s">
        <v>23</v>
      </c>
      <c r="S643">
        <v>1</v>
      </c>
      <c r="T643" t="s">
        <v>24</v>
      </c>
      <c r="U643" t="s">
        <v>2405</v>
      </c>
      <c r="V643">
        <v>2025</v>
      </c>
      <c r="W643">
        <v>5</v>
      </c>
    </row>
    <row r="644" spans="1:23" x14ac:dyDescent="0.25">
      <c r="A644" t="s">
        <v>1602</v>
      </c>
      <c r="B644">
        <v>45782.513668981483</v>
      </c>
      <c r="C644" t="s">
        <v>429</v>
      </c>
      <c r="D644" t="s">
        <v>177</v>
      </c>
      <c r="E644" t="s">
        <v>104</v>
      </c>
      <c r="F644" t="s">
        <v>2392</v>
      </c>
      <c r="G644" t="s">
        <v>2377</v>
      </c>
      <c r="H644">
        <v>30000</v>
      </c>
      <c r="I644">
        <v>1</v>
      </c>
      <c r="J644">
        <v>15</v>
      </c>
      <c r="K644">
        <v>30000</v>
      </c>
      <c r="L644">
        <v>4500</v>
      </c>
      <c r="M644">
        <v>25500</v>
      </c>
      <c r="N644">
        <v>56000</v>
      </c>
      <c r="O644">
        <v>81500</v>
      </c>
      <c r="P644" t="s">
        <v>29</v>
      </c>
      <c r="Q644" t="s">
        <v>2357</v>
      </c>
      <c r="R644" t="s">
        <v>30</v>
      </c>
      <c r="S644">
        <v>4</v>
      </c>
      <c r="T644" t="s">
        <v>37</v>
      </c>
      <c r="U644" t="s">
        <v>2405</v>
      </c>
      <c r="V644">
        <v>2025</v>
      </c>
      <c r="W644">
        <v>5</v>
      </c>
    </row>
    <row r="645" spans="1:23" x14ac:dyDescent="0.25">
      <c r="A645" t="s">
        <v>1603</v>
      </c>
      <c r="B645">
        <v>45782.594050925924</v>
      </c>
      <c r="C645" t="s">
        <v>681</v>
      </c>
      <c r="D645" t="s">
        <v>262</v>
      </c>
      <c r="E645" t="s">
        <v>110</v>
      </c>
      <c r="F645" t="s">
        <v>2395</v>
      </c>
      <c r="G645" t="s">
        <v>2379</v>
      </c>
      <c r="H645">
        <v>6000</v>
      </c>
      <c r="I645">
        <v>5</v>
      </c>
      <c r="J645">
        <v>20</v>
      </c>
      <c r="K645">
        <v>30000</v>
      </c>
      <c r="L645">
        <v>6000</v>
      </c>
      <c r="M645">
        <v>24000</v>
      </c>
      <c r="N645">
        <v>18000</v>
      </c>
      <c r="O645">
        <v>42000</v>
      </c>
      <c r="P645" t="s">
        <v>29</v>
      </c>
      <c r="Q645" t="s">
        <v>2357</v>
      </c>
      <c r="R645" t="s">
        <v>46</v>
      </c>
      <c r="S645">
        <v>3</v>
      </c>
      <c r="T645" t="s">
        <v>24</v>
      </c>
      <c r="U645" t="s">
        <v>2405</v>
      </c>
      <c r="V645">
        <v>2025</v>
      </c>
      <c r="W645">
        <v>5</v>
      </c>
    </row>
    <row r="646" spans="1:23" x14ac:dyDescent="0.25">
      <c r="A646" t="s">
        <v>1604</v>
      </c>
      <c r="B646">
        <v>45782.730474537027</v>
      </c>
      <c r="C646" t="s">
        <v>1022</v>
      </c>
      <c r="D646" t="s">
        <v>177</v>
      </c>
      <c r="E646" t="s">
        <v>38</v>
      </c>
      <c r="F646" t="s">
        <v>2399</v>
      </c>
      <c r="G646" t="s">
        <v>2379</v>
      </c>
      <c r="H646">
        <v>28000</v>
      </c>
      <c r="I646">
        <v>5</v>
      </c>
      <c r="J646">
        <v>5</v>
      </c>
      <c r="K646">
        <v>140000</v>
      </c>
      <c r="L646">
        <v>7000</v>
      </c>
      <c r="M646">
        <v>133000</v>
      </c>
      <c r="N646">
        <v>56000</v>
      </c>
      <c r="O646">
        <v>189000</v>
      </c>
      <c r="P646" t="s">
        <v>22</v>
      </c>
      <c r="Q646" t="s">
        <v>2357</v>
      </c>
      <c r="R646" t="s">
        <v>36</v>
      </c>
      <c r="S646">
        <v>2</v>
      </c>
      <c r="T646" t="s">
        <v>24</v>
      </c>
      <c r="U646" t="s">
        <v>2405</v>
      </c>
      <c r="V646">
        <v>2025</v>
      </c>
      <c r="W646">
        <v>5</v>
      </c>
    </row>
    <row r="647" spans="1:23" x14ac:dyDescent="0.25">
      <c r="A647" t="s">
        <v>1605</v>
      </c>
      <c r="B647">
        <v>45783.00677083333</v>
      </c>
      <c r="C647" t="s">
        <v>844</v>
      </c>
      <c r="D647" t="s">
        <v>119</v>
      </c>
      <c r="E647" t="s">
        <v>41</v>
      </c>
      <c r="F647" t="s">
        <v>2395</v>
      </c>
      <c r="G647" t="s">
        <v>2377</v>
      </c>
      <c r="H647">
        <v>4000</v>
      </c>
      <c r="I647">
        <v>4</v>
      </c>
      <c r="J647">
        <v>20</v>
      </c>
      <c r="K647">
        <v>16000</v>
      </c>
      <c r="L647">
        <v>3200</v>
      </c>
      <c r="M647">
        <v>12800</v>
      </c>
      <c r="N647">
        <v>0</v>
      </c>
      <c r="O647">
        <v>12800</v>
      </c>
      <c r="P647" t="s">
        <v>63</v>
      </c>
      <c r="Q647" t="s">
        <v>2357</v>
      </c>
      <c r="R647" t="s">
        <v>36</v>
      </c>
      <c r="S647">
        <v>3</v>
      </c>
      <c r="T647" t="s">
        <v>24</v>
      </c>
      <c r="U647" t="s">
        <v>2405</v>
      </c>
      <c r="V647">
        <v>2025</v>
      </c>
      <c r="W647">
        <v>5</v>
      </c>
    </row>
    <row r="648" spans="1:23" x14ac:dyDescent="0.25">
      <c r="A648" t="s">
        <v>1606</v>
      </c>
      <c r="B648">
        <v>45783.035254629627</v>
      </c>
      <c r="C648" t="s">
        <v>91</v>
      </c>
      <c r="D648" t="s">
        <v>92</v>
      </c>
      <c r="E648" t="s">
        <v>104</v>
      </c>
      <c r="F648" t="s">
        <v>2392</v>
      </c>
      <c r="G648" t="s">
        <v>2377</v>
      </c>
      <c r="H648">
        <v>30000</v>
      </c>
      <c r="I648">
        <v>2</v>
      </c>
      <c r="J648">
        <v>0</v>
      </c>
      <c r="K648">
        <v>60000</v>
      </c>
      <c r="L648">
        <v>0</v>
      </c>
      <c r="M648">
        <v>60000</v>
      </c>
      <c r="N648">
        <v>30000</v>
      </c>
      <c r="O648">
        <v>90000</v>
      </c>
      <c r="P648" t="s">
        <v>29</v>
      </c>
      <c r="Q648" t="s">
        <v>2357</v>
      </c>
      <c r="R648" t="s">
        <v>23</v>
      </c>
      <c r="S648">
        <v>2</v>
      </c>
      <c r="T648" t="s">
        <v>24</v>
      </c>
      <c r="U648" t="s">
        <v>2405</v>
      </c>
      <c r="V648">
        <v>2025</v>
      </c>
      <c r="W648">
        <v>5</v>
      </c>
    </row>
    <row r="649" spans="1:23" x14ac:dyDescent="0.25">
      <c r="A649" t="s">
        <v>1606</v>
      </c>
      <c r="B649">
        <v>45783.035254629627</v>
      </c>
      <c r="C649" t="s">
        <v>91</v>
      </c>
      <c r="D649" t="s">
        <v>92</v>
      </c>
      <c r="E649" t="s">
        <v>174</v>
      </c>
      <c r="F649" t="s">
        <v>2400</v>
      </c>
      <c r="G649" t="s">
        <v>2377</v>
      </c>
      <c r="H649">
        <v>10000</v>
      </c>
      <c r="I649">
        <v>3</v>
      </c>
      <c r="J649">
        <v>15</v>
      </c>
      <c r="K649">
        <v>30000</v>
      </c>
      <c r="L649">
        <v>4500</v>
      </c>
      <c r="M649">
        <v>25500</v>
      </c>
      <c r="N649">
        <v>0</v>
      </c>
      <c r="O649">
        <v>25500</v>
      </c>
      <c r="P649" t="s">
        <v>29</v>
      </c>
      <c r="Q649" t="s">
        <v>2357</v>
      </c>
      <c r="R649" t="s">
        <v>23</v>
      </c>
      <c r="S649">
        <v>2</v>
      </c>
      <c r="T649" t="s">
        <v>24</v>
      </c>
      <c r="U649" t="s">
        <v>2405</v>
      </c>
      <c r="V649">
        <v>2025</v>
      </c>
      <c r="W649">
        <v>5</v>
      </c>
    </row>
    <row r="650" spans="1:23" x14ac:dyDescent="0.25">
      <c r="A650" t="s">
        <v>1607</v>
      </c>
      <c r="B650">
        <v>45783.286585648151</v>
      </c>
      <c r="C650" t="s">
        <v>523</v>
      </c>
      <c r="D650" t="s">
        <v>113</v>
      </c>
      <c r="E650" t="s">
        <v>71</v>
      </c>
      <c r="F650" t="s">
        <v>2392</v>
      </c>
      <c r="G650" t="s">
        <v>2379</v>
      </c>
      <c r="H650">
        <v>40000</v>
      </c>
      <c r="I650">
        <v>5</v>
      </c>
      <c r="J650">
        <v>20</v>
      </c>
      <c r="K650">
        <v>200000</v>
      </c>
      <c r="L650">
        <v>40000</v>
      </c>
      <c r="M650">
        <v>160000</v>
      </c>
      <c r="N650">
        <v>18000</v>
      </c>
      <c r="O650">
        <v>178000</v>
      </c>
      <c r="P650" t="s">
        <v>35</v>
      </c>
      <c r="Q650" t="s">
        <v>2357</v>
      </c>
      <c r="R650" t="s">
        <v>46</v>
      </c>
      <c r="S650">
        <v>4</v>
      </c>
      <c r="T650" t="s">
        <v>24</v>
      </c>
      <c r="U650" t="s">
        <v>2405</v>
      </c>
      <c r="V650">
        <v>2025</v>
      </c>
      <c r="W650">
        <v>5</v>
      </c>
    </row>
    <row r="651" spans="1:23" x14ac:dyDescent="0.25">
      <c r="A651" t="s">
        <v>1608</v>
      </c>
      <c r="B651">
        <v>45783.322337962964</v>
      </c>
      <c r="C651" t="s">
        <v>772</v>
      </c>
      <c r="D651" t="s">
        <v>113</v>
      </c>
      <c r="E651" t="s">
        <v>110</v>
      </c>
      <c r="F651" t="s">
        <v>2395</v>
      </c>
      <c r="G651" t="s">
        <v>2379</v>
      </c>
      <c r="H651">
        <v>6000</v>
      </c>
      <c r="I651">
        <v>5</v>
      </c>
      <c r="J651">
        <v>0</v>
      </c>
      <c r="K651">
        <v>30000</v>
      </c>
      <c r="L651">
        <v>0</v>
      </c>
      <c r="M651">
        <v>30000</v>
      </c>
      <c r="N651">
        <v>18000</v>
      </c>
      <c r="O651">
        <v>48000</v>
      </c>
      <c r="P651" t="s">
        <v>35</v>
      </c>
      <c r="Q651" t="s">
        <v>2357</v>
      </c>
      <c r="R651" t="s">
        <v>30</v>
      </c>
      <c r="S651">
        <v>1</v>
      </c>
      <c r="T651" t="s">
        <v>24</v>
      </c>
      <c r="U651" t="s">
        <v>2405</v>
      </c>
      <c r="V651">
        <v>2025</v>
      </c>
      <c r="W651">
        <v>5</v>
      </c>
    </row>
    <row r="652" spans="1:23" x14ac:dyDescent="0.25">
      <c r="A652" t="s">
        <v>1609</v>
      </c>
      <c r="B652">
        <v>45783.414594907408</v>
      </c>
      <c r="C652" t="s">
        <v>148</v>
      </c>
      <c r="D652" t="s">
        <v>74</v>
      </c>
      <c r="E652" t="s">
        <v>67</v>
      </c>
      <c r="F652" t="s">
        <v>2393</v>
      </c>
      <c r="G652" t="s">
        <v>2378</v>
      </c>
      <c r="H652">
        <v>15000</v>
      </c>
      <c r="I652">
        <v>3</v>
      </c>
      <c r="J652">
        <v>5</v>
      </c>
      <c r="K652">
        <v>45000</v>
      </c>
      <c r="L652">
        <v>2250</v>
      </c>
      <c r="M652">
        <v>42750</v>
      </c>
      <c r="N652">
        <v>87000</v>
      </c>
      <c r="O652">
        <v>129750</v>
      </c>
      <c r="P652" t="s">
        <v>35</v>
      </c>
      <c r="Q652" t="s">
        <v>2357</v>
      </c>
      <c r="R652" t="s">
        <v>30</v>
      </c>
      <c r="S652">
        <v>2</v>
      </c>
      <c r="T652" t="s">
        <v>24</v>
      </c>
      <c r="U652" t="s">
        <v>2405</v>
      </c>
      <c r="V652">
        <v>2025</v>
      </c>
      <c r="W652">
        <v>5</v>
      </c>
    </row>
    <row r="653" spans="1:23" x14ac:dyDescent="0.25">
      <c r="A653" t="s">
        <v>1610</v>
      </c>
      <c r="B653">
        <v>45783.724490740737</v>
      </c>
      <c r="C653" t="s">
        <v>155</v>
      </c>
      <c r="D653" t="s">
        <v>92</v>
      </c>
      <c r="E653" t="s">
        <v>85</v>
      </c>
      <c r="F653" t="s">
        <v>2394</v>
      </c>
      <c r="G653" t="s">
        <v>2377</v>
      </c>
      <c r="H653">
        <v>35000</v>
      </c>
      <c r="I653">
        <v>5</v>
      </c>
      <c r="J653">
        <v>10</v>
      </c>
      <c r="K653">
        <v>175000</v>
      </c>
      <c r="L653">
        <v>17500</v>
      </c>
      <c r="M653">
        <v>157500</v>
      </c>
      <c r="N653">
        <v>30000</v>
      </c>
      <c r="O653">
        <v>187500</v>
      </c>
      <c r="P653" t="s">
        <v>29</v>
      </c>
      <c r="Q653" t="s">
        <v>2357</v>
      </c>
      <c r="R653" t="s">
        <v>36</v>
      </c>
      <c r="S653">
        <v>5</v>
      </c>
      <c r="T653" t="s">
        <v>24</v>
      </c>
      <c r="U653" t="s">
        <v>2405</v>
      </c>
      <c r="V653">
        <v>2025</v>
      </c>
      <c r="W653">
        <v>5</v>
      </c>
    </row>
    <row r="654" spans="1:23" x14ac:dyDescent="0.25">
      <c r="A654" t="s">
        <v>1611</v>
      </c>
      <c r="B654">
        <v>45783.753206018519</v>
      </c>
      <c r="C654" t="s">
        <v>52</v>
      </c>
      <c r="D654" t="s">
        <v>53</v>
      </c>
      <c r="E654" t="s">
        <v>67</v>
      </c>
      <c r="F654" t="s">
        <v>2393</v>
      </c>
      <c r="G654" t="s">
        <v>2378</v>
      </c>
      <c r="H654">
        <v>15000</v>
      </c>
      <c r="I654">
        <v>3</v>
      </c>
      <c r="J654">
        <v>0</v>
      </c>
      <c r="K654">
        <v>45000</v>
      </c>
      <c r="L654">
        <v>0</v>
      </c>
      <c r="M654">
        <v>45000</v>
      </c>
      <c r="N654">
        <v>18000</v>
      </c>
      <c r="O654">
        <v>63000</v>
      </c>
      <c r="P654" t="s">
        <v>35</v>
      </c>
      <c r="Q654" t="s">
        <v>2357</v>
      </c>
      <c r="R654" t="s">
        <v>46</v>
      </c>
      <c r="S654">
        <v>1</v>
      </c>
      <c r="T654" t="s">
        <v>24</v>
      </c>
      <c r="U654" t="s">
        <v>2405</v>
      </c>
      <c r="V654">
        <v>2025</v>
      </c>
      <c r="W654">
        <v>5</v>
      </c>
    </row>
    <row r="655" spans="1:23" x14ac:dyDescent="0.25">
      <c r="A655" t="s">
        <v>1612</v>
      </c>
      <c r="B655">
        <v>45783.977777777778</v>
      </c>
      <c r="C655" t="s">
        <v>102</v>
      </c>
      <c r="D655" t="s">
        <v>103</v>
      </c>
      <c r="E655" t="s">
        <v>174</v>
      </c>
      <c r="F655" t="s">
        <v>2400</v>
      </c>
      <c r="G655" t="s">
        <v>2377</v>
      </c>
      <c r="H655">
        <v>10000</v>
      </c>
      <c r="I655">
        <v>2</v>
      </c>
      <c r="J655">
        <v>15</v>
      </c>
      <c r="K655">
        <v>20000</v>
      </c>
      <c r="L655">
        <v>3000</v>
      </c>
      <c r="M655">
        <v>17000</v>
      </c>
      <c r="N655">
        <v>85000</v>
      </c>
      <c r="O655">
        <v>102000</v>
      </c>
      <c r="P655" t="s">
        <v>63</v>
      </c>
      <c r="Q655" t="s">
        <v>2356</v>
      </c>
      <c r="R655" t="s">
        <v>46</v>
      </c>
      <c r="S655">
        <v>3</v>
      </c>
      <c r="T655" t="s">
        <v>24</v>
      </c>
      <c r="U655" t="s">
        <v>2405</v>
      </c>
      <c r="V655">
        <v>2025</v>
      </c>
      <c r="W655">
        <v>5</v>
      </c>
    </row>
    <row r="656" spans="1:23" x14ac:dyDescent="0.25">
      <c r="A656" t="s">
        <v>1613</v>
      </c>
      <c r="B656">
        <v>45784.302152777767</v>
      </c>
      <c r="C656" t="s">
        <v>464</v>
      </c>
      <c r="D656" t="s">
        <v>296</v>
      </c>
      <c r="E656" t="s">
        <v>38</v>
      </c>
      <c r="F656" t="s">
        <v>2399</v>
      </c>
      <c r="G656" t="s">
        <v>2379</v>
      </c>
      <c r="H656">
        <v>28000</v>
      </c>
      <c r="I656">
        <v>5</v>
      </c>
      <c r="J656">
        <v>0</v>
      </c>
      <c r="K656">
        <v>140000</v>
      </c>
      <c r="L656">
        <v>0</v>
      </c>
      <c r="M656">
        <v>140000</v>
      </c>
      <c r="N656">
        <v>79000</v>
      </c>
      <c r="O656">
        <v>219000</v>
      </c>
      <c r="P656" t="s">
        <v>22</v>
      </c>
      <c r="Q656" t="s">
        <v>2357</v>
      </c>
      <c r="R656" t="s">
        <v>46</v>
      </c>
      <c r="S656">
        <v>3</v>
      </c>
      <c r="T656" t="s">
        <v>37</v>
      </c>
      <c r="U656" t="s">
        <v>2405</v>
      </c>
      <c r="V656">
        <v>2025</v>
      </c>
      <c r="W656">
        <v>5</v>
      </c>
    </row>
    <row r="657" spans="1:23" x14ac:dyDescent="0.25">
      <c r="A657" t="s">
        <v>1613</v>
      </c>
      <c r="B657">
        <v>45784.302152777767</v>
      </c>
      <c r="C657" t="s">
        <v>464</v>
      </c>
      <c r="D657" t="s">
        <v>296</v>
      </c>
      <c r="E657" t="s">
        <v>93</v>
      </c>
      <c r="F657" t="s">
        <v>2399</v>
      </c>
      <c r="G657" t="s">
        <v>2378</v>
      </c>
      <c r="H657">
        <v>25000</v>
      </c>
      <c r="I657">
        <v>4</v>
      </c>
      <c r="J657">
        <v>0</v>
      </c>
      <c r="K657">
        <v>100000</v>
      </c>
      <c r="L657">
        <v>0</v>
      </c>
      <c r="M657">
        <v>100000</v>
      </c>
      <c r="N657">
        <v>0</v>
      </c>
      <c r="O657">
        <v>100000</v>
      </c>
      <c r="P657" t="s">
        <v>22</v>
      </c>
      <c r="Q657" t="s">
        <v>2357</v>
      </c>
      <c r="R657" t="s">
        <v>46</v>
      </c>
      <c r="S657">
        <v>3</v>
      </c>
      <c r="T657" t="s">
        <v>37</v>
      </c>
      <c r="U657" t="s">
        <v>2405</v>
      </c>
      <c r="V657">
        <v>2025</v>
      </c>
      <c r="W657">
        <v>5</v>
      </c>
    </row>
    <row r="658" spans="1:23" x14ac:dyDescent="0.25">
      <c r="A658" t="s">
        <v>1614</v>
      </c>
      <c r="B658">
        <v>45784.679629629631</v>
      </c>
      <c r="C658" t="s">
        <v>883</v>
      </c>
      <c r="D658" t="s">
        <v>44</v>
      </c>
      <c r="E658" t="s">
        <v>75</v>
      </c>
      <c r="F658" t="s">
        <v>2398</v>
      </c>
      <c r="G658" t="s">
        <v>2379</v>
      </c>
      <c r="H658">
        <v>55000</v>
      </c>
      <c r="I658">
        <v>3</v>
      </c>
      <c r="J658">
        <v>10</v>
      </c>
      <c r="K658">
        <v>165000</v>
      </c>
      <c r="L658">
        <v>16500</v>
      </c>
      <c r="M658">
        <v>148500</v>
      </c>
      <c r="N658">
        <v>93000</v>
      </c>
      <c r="O658">
        <v>241500</v>
      </c>
      <c r="P658" t="s">
        <v>63</v>
      </c>
      <c r="Q658" t="s">
        <v>2357</v>
      </c>
      <c r="R658" t="s">
        <v>82</v>
      </c>
      <c r="S658">
        <v>2</v>
      </c>
      <c r="T658" t="s">
        <v>37</v>
      </c>
      <c r="U658" t="s">
        <v>2405</v>
      </c>
      <c r="V658">
        <v>2025</v>
      </c>
      <c r="W658">
        <v>5</v>
      </c>
    </row>
    <row r="659" spans="1:23" x14ac:dyDescent="0.25">
      <c r="A659" t="s">
        <v>1615</v>
      </c>
      <c r="B659">
        <v>45784.88071759259</v>
      </c>
      <c r="C659" t="s">
        <v>381</v>
      </c>
      <c r="D659" t="s">
        <v>103</v>
      </c>
      <c r="E659" t="s">
        <v>88</v>
      </c>
      <c r="F659" t="s">
        <v>2393</v>
      </c>
      <c r="G659" t="s">
        <v>2377</v>
      </c>
      <c r="H659">
        <v>14000</v>
      </c>
      <c r="I659">
        <v>3</v>
      </c>
      <c r="J659">
        <v>5</v>
      </c>
      <c r="K659">
        <v>42000</v>
      </c>
      <c r="L659">
        <v>2100</v>
      </c>
      <c r="M659">
        <v>39900</v>
      </c>
      <c r="N659">
        <v>85000</v>
      </c>
      <c r="O659">
        <v>124900</v>
      </c>
      <c r="P659" t="s">
        <v>35</v>
      </c>
      <c r="Q659" t="s">
        <v>2357</v>
      </c>
      <c r="R659" t="s">
        <v>46</v>
      </c>
      <c r="S659">
        <v>3</v>
      </c>
      <c r="T659" t="s">
        <v>24</v>
      </c>
      <c r="U659" t="s">
        <v>2405</v>
      </c>
      <c r="V659">
        <v>2025</v>
      </c>
      <c r="W659">
        <v>5</v>
      </c>
    </row>
    <row r="660" spans="1:23" x14ac:dyDescent="0.25">
      <c r="A660" t="s">
        <v>1616</v>
      </c>
      <c r="B660">
        <v>45785.124386574083</v>
      </c>
      <c r="C660" t="s">
        <v>812</v>
      </c>
      <c r="D660" t="s">
        <v>33</v>
      </c>
      <c r="E660" t="s">
        <v>144</v>
      </c>
      <c r="F660" t="s">
        <v>2396</v>
      </c>
      <c r="G660" t="s">
        <v>2379</v>
      </c>
      <c r="H660">
        <v>18000</v>
      </c>
      <c r="I660">
        <v>1</v>
      </c>
      <c r="J660">
        <v>20</v>
      </c>
      <c r="K660">
        <v>18000</v>
      </c>
      <c r="L660">
        <v>3600</v>
      </c>
      <c r="M660">
        <v>14400</v>
      </c>
      <c r="N660">
        <v>76000</v>
      </c>
      <c r="O660">
        <v>90400</v>
      </c>
      <c r="P660" t="s">
        <v>35</v>
      </c>
      <c r="Q660" t="s">
        <v>2357</v>
      </c>
      <c r="R660" t="s">
        <v>36</v>
      </c>
      <c r="S660">
        <v>4</v>
      </c>
      <c r="T660" t="s">
        <v>24</v>
      </c>
      <c r="U660" t="s">
        <v>2405</v>
      </c>
      <c r="V660">
        <v>2025</v>
      </c>
      <c r="W660">
        <v>5</v>
      </c>
    </row>
    <row r="661" spans="1:23" x14ac:dyDescent="0.25">
      <c r="A661" t="s">
        <v>1617</v>
      </c>
      <c r="B661">
        <v>45785.138206018521</v>
      </c>
      <c r="C661" t="s">
        <v>724</v>
      </c>
      <c r="D661" t="s">
        <v>53</v>
      </c>
      <c r="E661" t="s">
        <v>88</v>
      </c>
      <c r="F661" t="s">
        <v>2393</v>
      </c>
      <c r="G661" t="s">
        <v>2377</v>
      </c>
      <c r="H661">
        <v>14000</v>
      </c>
      <c r="I661">
        <v>5</v>
      </c>
      <c r="J661">
        <v>0</v>
      </c>
      <c r="K661">
        <v>70000</v>
      </c>
      <c r="L661">
        <v>0</v>
      </c>
      <c r="M661">
        <v>70000</v>
      </c>
      <c r="N661">
        <v>18000</v>
      </c>
      <c r="O661">
        <v>88000</v>
      </c>
      <c r="P661" t="s">
        <v>22</v>
      </c>
      <c r="Q661" t="s">
        <v>2356</v>
      </c>
      <c r="R661" t="s">
        <v>30</v>
      </c>
      <c r="S661">
        <v>4</v>
      </c>
      <c r="T661" t="s">
        <v>24</v>
      </c>
      <c r="U661" t="s">
        <v>2405</v>
      </c>
      <c r="V661">
        <v>2025</v>
      </c>
      <c r="W661">
        <v>5</v>
      </c>
    </row>
    <row r="662" spans="1:23" x14ac:dyDescent="0.25">
      <c r="A662" t="s">
        <v>1618</v>
      </c>
      <c r="B662">
        <v>45785.758344907408</v>
      </c>
      <c r="C662" t="s">
        <v>459</v>
      </c>
      <c r="D662" t="s">
        <v>61</v>
      </c>
      <c r="E662" t="s">
        <v>136</v>
      </c>
      <c r="F662" t="s">
        <v>2400</v>
      </c>
      <c r="G662" t="s">
        <v>2378</v>
      </c>
      <c r="H662">
        <v>12000</v>
      </c>
      <c r="I662">
        <v>1</v>
      </c>
      <c r="J662">
        <v>15</v>
      </c>
      <c r="K662">
        <v>12000</v>
      </c>
      <c r="L662">
        <v>1800</v>
      </c>
      <c r="M662">
        <v>10200</v>
      </c>
      <c r="N662">
        <v>26000</v>
      </c>
      <c r="O662">
        <v>36200</v>
      </c>
      <c r="P662" t="s">
        <v>29</v>
      </c>
      <c r="Q662" t="s">
        <v>2357</v>
      </c>
      <c r="R662" t="s">
        <v>36</v>
      </c>
      <c r="S662">
        <v>1</v>
      </c>
      <c r="T662" t="s">
        <v>24</v>
      </c>
      <c r="U662" t="s">
        <v>2405</v>
      </c>
      <c r="V662">
        <v>2025</v>
      </c>
      <c r="W662">
        <v>5</v>
      </c>
    </row>
    <row r="663" spans="1:23" x14ac:dyDescent="0.25">
      <c r="A663" t="s">
        <v>1619</v>
      </c>
      <c r="B663">
        <v>45785.785474537042</v>
      </c>
      <c r="C663" t="s">
        <v>1620</v>
      </c>
      <c r="D663" t="s">
        <v>92</v>
      </c>
      <c r="E663" t="s">
        <v>186</v>
      </c>
      <c r="F663" t="s">
        <v>2398</v>
      </c>
      <c r="G663" t="s">
        <v>2377</v>
      </c>
      <c r="H663">
        <v>45000</v>
      </c>
      <c r="I663">
        <v>4</v>
      </c>
      <c r="J663">
        <v>10</v>
      </c>
      <c r="K663">
        <v>180000</v>
      </c>
      <c r="L663">
        <v>18000</v>
      </c>
      <c r="M663">
        <v>162000</v>
      </c>
      <c r="N663">
        <v>30000</v>
      </c>
      <c r="O663">
        <v>192000</v>
      </c>
      <c r="P663" t="s">
        <v>22</v>
      </c>
      <c r="Q663" t="s">
        <v>2357</v>
      </c>
      <c r="R663" t="s">
        <v>23</v>
      </c>
      <c r="S663">
        <v>1</v>
      </c>
      <c r="T663" t="s">
        <v>24</v>
      </c>
      <c r="U663" t="s">
        <v>2405</v>
      </c>
      <c r="V663">
        <v>2025</v>
      </c>
      <c r="W663">
        <v>5</v>
      </c>
    </row>
    <row r="664" spans="1:23" x14ac:dyDescent="0.25">
      <c r="A664" t="s">
        <v>1621</v>
      </c>
      <c r="B664">
        <v>45785.834872685176</v>
      </c>
      <c r="C664" t="s">
        <v>542</v>
      </c>
      <c r="D664" t="s">
        <v>122</v>
      </c>
      <c r="E664" t="s">
        <v>50</v>
      </c>
      <c r="F664" t="s">
        <v>2400</v>
      </c>
      <c r="G664" t="s">
        <v>2379</v>
      </c>
      <c r="H664">
        <v>14000</v>
      </c>
      <c r="I664">
        <v>2</v>
      </c>
      <c r="J664">
        <v>15</v>
      </c>
      <c r="K664">
        <v>28000</v>
      </c>
      <c r="L664">
        <v>4200</v>
      </c>
      <c r="M664">
        <v>23800</v>
      </c>
      <c r="N664">
        <v>78000</v>
      </c>
      <c r="O664">
        <v>101800</v>
      </c>
      <c r="P664" t="s">
        <v>35</v>
      </c>
      <c r="Q664" t="s">
        <v>2357</v>
      </c>
      <c r="R664" t="s">
        <v>36</v>
      </c>
      <c r="S664">
        <v>4</v>
      </c>
      <c r="T664" t="s">
        <v>24</v>
      </c>
      <c r="U664" t="s">
        <v>2405</v>
      </c>
      <c r="V664">
        <v>2025</v>
      </c>
      <c r="W664">
        <v>5</v>
      </c>
    </row>
    <row r="665" spans="1:23" x14ac:dyDescent="0.25">
      <c r="A665" t="s">
        <v>1621</v>
      </c>
      <c r="B665">
        <v>45785.834872685176</v>
      </c>
      <c r="C665" t="s">
        <v>542</v>
      </c>
      <c r="D665" t="s">
        <v>122</v>
      </c>
      <c r="E665" t="s">
        <v>110</v>
      </c>
      <c r="F665" t="s">
        <v>2395</v>
      </c>
      <c r="G665" t="s">
        <v>2379</v>
      </c>
      <c r="H665">
        <v>6000</v>
      </c>
      <c r="I665">
        <v>3</v>
      </c>
      <c r="J665">
        <v>10</v>
      </c>
      <c r="K665">
        <v>18000</v>
      </c>
      <c r="L665">
        <v>1800</v>
      </c>
      <c r="M665">
        <v>16200</v>
      </c>
      <c r="N665">
        <v>0</v>
      </c>
      <c r="O665">
        <v>16200</v>
      </c>
      <c r="P665" t="s">
        <v>35</v>
      </c>
      <c r="Q665" t="s">
        <v>2357</v>
      </c>
      <c r="R665" t="s">
        <v>36</v>
      </c>
      <c r="S665">
        <v>4</v>
      </c>
      <c r="T665" t="s">
        <v>24</v>
      </c>
      <c r="U665" t="s">
        <v>2405</v>
      </c>
      <c r="V665">
        <v>2025</v>
      </c>
      <c r="W665">
        <v>5</v>
      </c>
    </row>
    <row r="666" spans="1:23" x14ac:dyDescent="0.25">
      <c r="A666" t="s">
        <v>1622</v>
      </c>
      <c r="B666">
        <v>45785.866412037038</v>
      </c>
      <c r="C666" t="s">
        <v>649</v>
      </c>
      <c r="D666" t="s">
        <v>177</v>
      </c>
      <c r="E666" t="s">
        <v>85</v>
      </c>
      <c r="F666" t="s">
        <v>2394</v>
      </c>
      <c r="G666" t="s">
        <v>2377</v>
      </c>
      <c r="H666">
        <v>35000</v>
      </c>
      <c r="I666">
        <v>1</v>
      </c>
      <c r="J666">
        <v>5</v>
      </c>
      <c r="K666">
        <v>35000</v>
      </c>
      <c r="L666">
        <v>1750</v>
      </c>
      <c r="M666">
        <v>33250</v>
      </c>
      <c r="N666">
        <v>56000</v>
      </c>
      <c r="O666">
        <v>89250</v>
      </c>
      <c r="P666" t="s">
        <v>22</v>
      </c>
      <c r="Q666" t="s">
        <v>2357</v>
      </c>
      <c r="R666" t="s">
        <v>30</v>
      </c>
      <c r="S666">
        <v>2</v>
      </c>
      <c r="T666" t="s">
        <v>24</v>
      </c>
      <c r="U666" t="s">
        <v>2405</v>
      </c>
      <c r="V666">
        <v>2025</v>
      </c>
      <c r="W666">
        <v>5</v>
      </c>
    </row>
    <row r="667" spans="1:23" x14ac:dyDescent="0.25">
      <c r="A667" t="s">
        <v>1623</v>
      </c>
      <c r="B667">
        <v>45785.898449074077</v>
      </c>
      <c r="C667" t="s">
        <v>1624</v>
      </c>
      <c r="D667" t="s">
        <v>33</v>
      </c>
      <c r="E667" t="s">
        <v>186</v>
      </c>
      <c r="F667" t="s">
        <v>2398</v>
      </c>
      <c r="G667" t="s">
        <v>2377</v>
      </c>
      <c r="H667">
        <v>45000</v>
      </c>
      <c r="I667">
        <v>3</v>
      </c>
      <c r="J667">
        <v>10</v>
      </c>
      <c r="K667">
        <v>135000</v>
      </c>
      <c r="L667">
        <v>13500</v>
      </c>
      <c r="M667">
        <v>121500</v>
      </c>
      <c r="N667">
        <v>76000</v>
      </c>
      <c r="O667">
        <v>197500</v>
      </c>
      <c r="P667" t="s">
        <v>35</v>
      </c>
      <c r="Q667" t="s">
        <v>2357</v>
      </c>
      <c r="R667" t="s">
        <v>30</v>
      </c>
      <c r="S667">
        <v>2</v>
      </c>
      <c r="T667" t="s">
        <v>24</v>
      </c>
      <c r="U667" t="s">
        <v>2405</v>
      </c>
      <c r="V667">
        <v>2025</v>
      </c>
      <c r="W667">
        <v>5</v>
      </c>
    </row>
    <row r="668" spans="1:23" x14ac:dyDescent="0.25">
      <c r="A668" t="s">
        <v>1625</v>
      </c>
      <c r="B668">
        <v>45786.137766203698</v>
      </c>
      <c r="C668" t="s">
        <v>368</v>
      </c>
      <c r="D668" t="s">
        <v>113</v>
      </c>
      <c r="E668" t="s">
        <v>186</v>
      </c>
      <c r="F668" t="s">
        <v>2398</v>
      </c>
      <c r="G668" t="s">
        <v>2377</v>
      </c>
      <c r="H668">
        <v>45000</v>
      </c>
      <c r="I668">
        <v>3</v>
      </c>
      <c r="J668">
        <v>10</v>
      </c>
      <c r="K668">
        <v>135000</v>
      </c>
      <c r="L668">
        <v>13500</v>
      </c>
      <c r="M668">
        <v>121500</v>
      </c>
      <c r="N668">
        <v>18000</v>
      </c>
      <c r="O668">
        <v>139500</v>
      </c>
      <c r="P668" t="s">
        <v>63</v>
      </c>
      <c r="Q668" t="s">
        <v>2357</v>
      </c>
      <c r="R668" t="s">
        <v>36</v>
      </c>
      <c r="S668">
        <v>1</v>
      </c>
      <c r="T668" t="s">
        <v>37</v>
      </c>
      <c r="U668" t="s">
        <v>2405</v>
      </c>
      <c r="V668">
        <v>2025</v>
      </c>
      <c r="W668">
        <v>5</v>
      </c>
    </row>
    <row r="669" spans="1:23" x14ac:dyDescent="0.25">
      <c r="A669" t="s">
        <v>1626</v>
      </c>
      <c r="B669">
        <v>45786.397569444453</v>
      </c>
      <c r="C669" t="s">
        <v>246</v>
      </c>
      <c r="D669" t="s">
        <v>238</v>
      </c>
      <c r="E669" t="s">
        <v>67</v>
      </c>
      <c r="F669" t="s">
        <v>2393</v>
      </c>
      <c r="G669" t="s">
        <v>2378</v>
      </c>
      <c r="H669">
        <v>15000</v>
      </c>
      <c r="I669">
        <v>2</v>
      </c>
      <c r="J669">
        <v>15</v>
      </c>
      <c r="K669">
        <v>30000</v>
      </c>
      <c r="L669">
        <v>4500</v>
      </c>
      <c r="M669">
        <v>25500</v>
      </c>
      <c r="N669">
        <v>28000</v>
      </c>
      <c r="O669">
        <v>53500</v>
      </c>
      <c r="P669" t="s">
        <v>22</v>
      </c>
      <c r="Q669" t="s">
        <v>2356</v>
      </c>
      <c r="R669" t="s">
        <v>82</v>
      </c>
      <c r="S669">
        <v>5</v>
      </c>
      <c r="T669" t="s">
        <v>24</v>
      </c>
      <c r="U669" t="s">
        <v>2405</v>
      </c>
      <c r="V669">
        <v>2025</v>
      </c>
      <c r="W669">
        <v>5</v>
      </c>
    </row>
    <row r="670" spans="1:23" x14ac:dyDescent="0.25">
      <c r="A670" t="s">
        <v>1627</v>
      </c>
      <c r="B670">
        <v>45786.459502314807</v>
      </c>
      <c r="C670" t="s">
        <v>269</v>
      </c>
      <c r="D670" t="s">
        <v>173</v>
      </c>
      <c r="E670" t="s">
        <v>85</v>
      </c>
      <c r="F670" t="s">
        <v>2394</v>
      </c>
      <c r="G670" t="s">
        <v>2377</v>
      </c>
      <c r="H670">
        <v>35000</v>
      </c>
      <c r="I670">
        <v>2</v>
      </c>
      <c r="J670">
        <v>10</v>
      </c>
      <c r="K670">
        <v>70000</v>
      </c>
      <c r="L670">
        <v>7000</v>
      </c>
      <c r="M670">
        <v>63000</v>
      </c>
      <c r="N670">
        <v>49000</v>
      </c>
      <c r="O670">
        <v>112000</v>
      </c>
      <c r="P670" t="s">
        <v>29</v>
      </c>
      <c r="Q670" t="s">
        <v>2357</v>
      </c>
      <c r="R670" t="s">
        <v>82</v>
      </c>
      <c r="S670">
        <v>2</v>
      </c>
      <c r="T670" t="s">
        <v>37</v>
      </c>
      <c r="U670" t="s">
        <v>2405</v>
      </c>
      <c r="V670">
        <v>2025</v>
      </c>
      <c r="W670">
        <v>5</v>
      </c>
    </row>
    <row r="671" spans="1:23" x14ac:dyDescent="0.25">
      <c r="A671" t="s">
        <v>1628</v>
      </c>
      <c r="B671">
        <v>45786.465185185189</v>
      </c>
      <c r="C671" t="s">
        <v>812</v>
      </c>
      <c r="D671" t="s">
        <v>33</v>
      </c>
      <c r="E671" t="s">
        <v>85</v>
      </c>
      <c r="F671" t="s">
        <v>2394</v>
      </c>
      <c r="G671" t="s">
        <v>2377</v>
      </c>
      <c r="H671">
        <v>35000</v>
      </c>
      <c r="I671">
        <v>5</v>
      </c>
      <c r="J671">
        <v>20</v>
      </c>
      <c r="K671">
        <v>175000</v>
      </c>
      <c r="L671">
        <v>35000</v>
      </c>
      <c r="M671">
        <v>140000</v>
      </c>
      <c r="N671">
        <v>76000</v>
      </c>
      <c r="O671">
        <v>216000</v>
      </c>
      <c r="P671" t="s">
        <v>35</v>
      </c>
      <c r="Q671" t="s">
        <v>2357</v>
      </c>
      <c r="R671" t="s">
        <v>30</v>
      </c>
      <c r="S671">
        <v>4</v>
      </c>
      <c r="T671" t="s">
        <v>24</v>
      </c>
      <c r="U671" t="s">
        <v>2405</v>
      </c>
      <c r="V671">
        <v>2025</v>
      </c>
      <c r="W671">
        <v>5</v>
      </c>
    </row>
    <row r="672" spans="1:23" x14ac:dyDescent="0.25">
      <c r="A672" t="s">
        <v>1629</v>
      </c>
      <c r="B672">
        <v>45786.621874999997</v>
      </c>
      <c r="C672" t="s">
        <v>449</v>
      </c>
      <c r="D672" t="s">
        <v>151</v>
      </c>
      <c r="E672" t="s">
        <v>45</v>
      </c>
      <c r="F672" t="s">
        <v>2394</v>
      </c>
      <c r="G672" t="s">
        <v>2378</v>
      </c>
      <c r="H672">
        <v>40000</v>
      </c>
      <c r="I672">
        <v>4</v>
      </c>
      <c r="J672">
        <v>20</v>
      </c>
      <c r="K672">
        <v>160000</v>
      </c>
      <c r="L672">
        <v>32000</v>
      </c>
      <c r="M672">
        <v>128000</v>
      </c>
      <c r="N672">
        <v>55000</v>
      </c>
      <c r="O672">
        <v>183000</v>
      </c>
      <c r="P672" t="s">
        <v>63</v>
      </c>
      <c r="Q672" t="s">
        <v>2357</v>
      </c>
      <c r="R672" t="s">
        <v>23</v>
      </c>
      <c r="S672">
        <v>4</v>
      </c>
      <c r="T672" t="s">
        <v>24</v>
      </c>
      <c r="U672" t="s">
        <v>2405</v>
      </c>
      <c r="V672">
        <v>2025</v>
      </c>
      <c r="W672">
        <v>5</v>
      </c>
    </row>
    <row r="673" spans="1:23" x14ac:dyDescent="0.25">
      <c r="A673" t="s">
        <v>1630</v>
      </c>
      <c r="B673">
        <v>45786.793541666673</v>
      </c>
      <c r="C673" t="s">
        <v>784</v>
      </c>
      <c r="D673" t="s">
        <v>116</v>
      </c>
      <c r="E673" t="s">
        <v>144</v>
      </c>
      <c r="F673" t="s">
        <v>2396</v>
      </c>
      <c r="G673" t="s">
        <v>2379</v>
      </c>
      <c r="H673">
        <v>18000</v>
      </c>
      <c r="I673">
        <v>1</v>
      </c>
      <c r="J673">
        <v>15</v>
      </c>
      <c r="K673">
        <v>18000</v>
      </c>
      <c r="L673">
        <v>2700</v>
      </c>
      <c r="M673">
        <v>15300</v>
      </c>
      <c r="N673">
        <v>72000</v>
      </c>
      <c r="O673">
        <v>87300</v>
      </c>
      <c r="P673" t="s">
        <v>22</v>
      </c>
      <c r="Q673" t="s">
        <v>2357</v>
      </c>
      <c r="R673" t="s">
        <v>30</v>
      </c>
      <c r="S673">
        <v>4</v>
      </c>
      <c r="T673" t="s">
        <v>24</v>
      </c>
      <c r="U673" t="s">
        <v>2405</v>
      </c>
      <c r="V673">
        <v>2025</v>
      </c>
      <c r="W673">
        <v>5</v>
      </c>
    </row>
    <row r="674" spans="1:23" x14ac:dyDescent="0.25">
      <c r="A674" t="s">
        <v>1631</v>
      </c>
      <c r="B674">
        <v>45786.961157407408</v>
      </c>
      <c r="C674" t="s">
        <v>402</v>
      </c>
      <c r="D674" t="s">
        <v>163</v>
      </c>
      <c r="E674" t="s">
        <v>62</v>
      </c>
      <c r="F674" t="s">
        <v>2398</v>
      </c>
      <c r="G674" t="s">
        <v>2378</v>
      </c>
      <c r="H674">
        <v>50000</v>
      </c>
      <c r="I674">
        <v>2</v>
      </c>
      <c r="J674">
        <v>5</v>
      </c>
      <c r="K674">
        <v>100000</v>
      </c>
      <c r="L674">
        <v>5000</v>
      </c>
      <c r="M674">
        <v>95000</v>
      </c>
      <c r="N674">
        <v>50000</v>
      </c>
      <c r="O674">
        <v>145000</v>
      </c>
      <c r="P674" t="s">
        <v>63</v>
      </c>
      <c r="Q674" t="s">
        <v>2357</v>
      </c>
      <c r="R674" t="s">
        <v>30</v>
      </c>
      <c r="S674">
        <v>5</v>
      </c>
      <c r="T674" t="s">
        <v>24</v>
      </c>
      <c r="U674" t="s">
        <v>2405</v>
      </c>
      <c r="V674">
        <v>2025</v>
      </c>
      <c r="W674">
        <v>5</v>
      </c>
    </row>
    <row r="675" spans="1:23" x14ac:dyDescent="0.25">
      <c r="A675" t="s">
        <v>1632</v>
      </c>
      <c r="B675">
        <v>45787.08699074074</v>
      </c>
      <c r="C675" t="s">
        <v>502</v>
      </c>
      <c r="D675" t="s">
        <v>107</v>
      </c>
      <c r="E675" t="s">
        <v>50</v>
      </c>
      <c r="F675" t="s">
        <v>2400</v>
      </c>
      <c r="G675" t="s">
        <v>2379</v>
      </c>
      <c r="H675">
        <v>14000</v>
      </c>
      <c r="I675">
        <v>1</v>
      </c>
      <c r="J675">
        <v>20</v>
      </c>
      <c r="K675">
        <v>14000</v>
      </c>
      <c r="L675">
        <v>2800</v>
      </c>
      <c r="M675">
        <v>11200</v>
      </c>
      <c r="N675">
        <v>97000</v>
      </c>
      <c r="O675">
        <v>108200</v>
      </c>
      <c r="P675" t="s">
        <v>63</v>
      </c>
      <c r="Q675" t="s">
        <v>2357</v>
      </c>
      <c r="R675" t="s">
        <v>36</v>
      </c>
      <c r="S675">
        <v>4</v>
      </c>
      <c r="T675" t="s">
        <v>24</v>
      </c>
      <c r="U675" t="s">
        <v>2405</v>
      </c>
      <c r="V675">
        <v>2025</v>
      </c>
      <c r="W675">
        <v>5</v>
      </c>
    </row>
    <row r="676" spans="1:23" x14ac:dyDescent="0.25">
      <c r="A676" t="s">
        <v>1632</v>
      </c>
      <c r="B676">
        <v>45787.08699074074</v>
      </c>
      <c r="C676" t="s">
        <v>502</v>
      </c>
      <c r="D676" t="s">
        <v>107</v>
      </c>
      <c r="E676" t="s">
        <v>81</v>
      </c>
      <c r="F676" t="s">
        <v>2397</v>
      </c>
      <c r="G676" t="s">
        <v>2378</v>
      </c>
      <c r="H676">
        <v>17000</v>
      </c>
      <c r="I676">
        <v>4</v>
      </c>
      <c r="J676">
        <v>5</v>
      </c>
      <c r="K676">
        <v>68000</v>
      </c>
      <c r="L676">
        <v>3400</v>
      </c>
      <c r="M676">
        <v>64600</v>
      </c>
      <c r="N676">
        <v>0</v>
      </c>
      <c r="O676">
        <v>64600</v>
      </c>
      <c r="P676" t="s">
        <v>63</v>
      </c>
      <c r="Q676" t="s">
        <v>2357</v>
      </c>
      <c r="R676" t="s">
        <v>36</v>
      </c>
      <c r="S676">
        <v>4</v>
      </c>
      <c r="T676" t="s">
        <v>24</v>
      </c>
      <c r="U676" t="s">
        <v>2405</v>
      </c>
      <c r="V676">
        <v>2025</v>
      </c>
      <c r="W676">
        <v>5</v>
      </c>
    </row>
    <row r="677" spans="1:23" x14ac:dyDescent="0.25">
      <c r="A677" t="s">
        <v>1633</v>
      </c>
      <c r="B677">
        <v>45787.290150462963</v>
      </c>
      <c r="C677" t="s">
        <v>283</v>
      </c>
      <c r="D677" t="s">
        <v>92</v>
      </c>
      <c r="E677" t="s">
        <v>81</v>
      </c>
      <c r="F677" t="s">
        <v>2397</v>
      </c>
      <c r="G677" t="s">
        <v>2378</v>
      </c>
      <c r="H677">
        <v>17000</v>
      </c>
      <c r="I677">
        <v>5</v>
      </c>
      <c r="J677">
        <v>5</v>
      </c>
      <c r="K677">
        <v>85000</v>
      </c>
      <c r="L677">
        <v>4250</v>
      </c>
      <c r="M677">
        <v>80750</v>
      </c>
      <c r="N677">
        <v>30000</v>
      </c>
      <c r="O677">
        <v>110750</v>
      </c>
      <c r="P677" t="s">
        <v>29</v>
      </c>
      <c r="Q677" t="s">
        <v>2356</v>
      </c>
      <c r="R677" t="s">
        <v>36</v>
      </c>
      <c r="S677">
        <v>4</v>
      </c>
      <c r="T677" t="s">
        <v>24</v>
      </c>
      <c r="U677" t="s">
        <v>2405</v>
      </c>
      <c r="V677">
        <v>2025</v>
      </c>
      <c r="W677">
        <v>5</v>
      </c>
    </row>
    <row r="678" spans="1:23" x14ac:dyDescent="0.25">
      <c r="A678" t="s">
        <v>1634</v>
      </c>
      <c r="B678">
        <v>45787.356238425928</v>
      </c>
      <c r="C678" t="s">
        <v>95</v>
      </c>
      <c r="D678" t="s">
        <v>96</v>
      </c>
      <c r="E678" t="s">
        <v>88</v>
      </c>
      <c r="F678" t="s">
        <v>2393</v>
      </c>
      <c r="G678" t="s">
        <v>2377</v>
      </c>
      <c r="H678">
        <v>14000</v>
      </c>
      <c r="I678">
        <v>3</v>
      </c>
      <c r="J678">
        <v>20</v>
      </c>
      <c r="K678">
        <v>42000</v>
      </c>
      <c r="L678">
        <v>8400</v>
      </c>
      <c r="M678">
        <v>33600</v>
      </c>
      <c r="N678">
        <v>49000</v>
      </c>
      <c r="O678">
        <v>82600</v>
      </c>
      <c r="P678" t="s">
        <v>63</v>
      </c>
      <c r="Q678" t="s">
        <v>2356</v>
      </c>
      <c r="R678" t="s">
        <v>36</v>
      </c>
      <c r="S678">
        <v>3</v>
      </c>
      <c r="T678" t="s">
        <v>24</v>
      </c>
      <c r="U678" t="s">
        <v>2405</v>
      </c>
      <c r="V678">
        <v>2025</v>
      </c>
      <c r="W678">
        <v>5</v>
      </c>
    </row>
    <row r="679" spans="1:23" x14ac:dyDescent="0.25">
      <c r="A679" t="s">
        <v>1635</v>
      </c>
      <c r="B679">
        <v>45787.442708333343</v>
      </c>
      <c r="C679" t="s">
        <v>726</v>
      </c>
      <c r="D679" t="s">
        <v>53</v>
      </c>
      <c r="E679" t="s">
        <v>88</v>
      </c>
      <c r="F679" t="s">
        <v>2393</v>
      </c>
      <c r="G679" t="s">
        <v>2377</v>
      </c>
      <c r="H679">
        <v>14000</v>
      </c>
      <c r="I679">
        <v>5</v>
      </c>
      <c r="J679">
        <v>15</v>
      </c>
      <c r="K679">
        <v>70000</v>
      </c>
      <c r="L679">
        <v>10500</v>
      </c>
      <c r="M679">
        <v>59500</v>
      </c>
      <c r="N679">
        <v>18000</v>
      </c>
      <c r="O679">
        <v>77500</v>
      </c>
      <c r="P679" t="s">
        <v>29</v>
      </c>
      <c r="Q679" t="s">
        <v>2356</v>
      </c>
      <c r="R679" t="s">
        <v>30</v>
      </c>
      <c r="S679">
        <v>3</v>
      </c>
      <c r="T679" t="s">
        <v>37</v>
      </c>
      <c r="U679" t="s">
        <v>2405</v>
      </c>
      <c r="V679">
        <v>2025</v>
      </c>
      <c r="W679">
        <v>5</v>
      </c>
    </row>
    <row r="680" spans="1:23" x14ac:dyDescent="0.25">
      <c r="A680" t="s">
        <v>1636</v>
      </c>
      <c r="B680">
        <v>45787.513912037037</v>
      </c>
      <c r="C680" t="s">
        <v>1139</v>
      </c>
      <c r="D680" t="s">
        <v>53</v>
      </c>
      <c r="E680" t="s">
        <v>62</v>
      </c>
      <c r="F680" t="s">
        <v>2398</v>
      </c>
      <c r="G680" t="s">
        <v>2378</v>
      </c>
      <c r="H680">
        <v>50000</v>
      </c>
      <c r="I680">
        <v>1</v>
      </c>
      <c r="J680">
        <v>20</v>
      </c>
      <c r="K680">
        <v>50000</v>
      </c>
      <c r="L680">
        <v>10000</v>
      </c>
      <c r="M680">
        <v>40000</v>
      </c>
      <c r="N680">
        <v>18000</v>
      </c>
      <c r="O680">
        <v>58000</v>
      </c>
      <c r="P680" t="s">
        <v>29</v>
      </c>
      <c r="Q680" t="s">
        <v>2357</v>
      </c>
      <c r="R680" t="s">
        <v>30</v>
      </c>
      <c r="S680">
        <v>3</v>
      </c>
      <c r="T680" t="s">
        <v>37</v>
      </c>
      <c r="U680" t="s">
        <v>2405</v>
      </c>
      <c r="V680">
        <v>2025</v>
      </c>
      <c r="W680">
        <v>5</v>
      </c>
    </row>
    <row r="681" spans="1:23" x14ac:dyDescent="0.25">
      <c r="A681" t="s">
        <v>1637</v>
      </c>
      <c r="B681">
        <v>45787.592395833337</v>
      </c>
      <c r="C681" t="s">
        <v>1396</v>
      </c>
      <c r="D681" t="s">
        <v>435</v>
      </c>
      <c r="E681" t="s">
        <v>41</v>
      </c>
      <c r="F681" t="s">
        <v>2395</v>
      </c>
      <c r="G681" t="s">
        <v>2377</v>
      </c>
      <c r="H681">
        <v>4000</v>
      </c>
      <c r="I681">
        <v>4</v>
      </c>
      <c r="J681">
        <v>5</v>
      </c>
      <c r="K681">
        <v>16000</v>
      </c>
      <c r="L681">
        <v>800</v>
      </c>
      <c r="M681">
        <v>15200</v>
      </c>
      <c r="N681">
        <v>67000</v>
      </c>
      <c r="O681">
        <v>82200</v>
      </c>
      <c r="P681" t="s">
        <v>29</v>
      </c>
      <c r="Q681" t="s">
        <v>2357</v>
      </c>
      <c r="R681" t="s">
        <v>82</v>
      </c>
      <c r="S681">
        <v>3</v>
      </c>
      <c r="T681" t="s">
        <v>24</v>
      </c>
      <c r="U681" t="s">
        <v>2405</v>
      </c>
      <c r="V681">
        <v>2025</v>
      </c>
      <c r="W681">
        <v>5</v>
      </c>
    </row>
    <row r="682" spans="1:23" x14ac:dyDescent="0.25">
      <c r="A682" t="s">
        <v>1638</v>
      </c>
      <c r="B682">
        <v>45787.920972222222</v>
      </c>
      <c r="C682" t="s">
        <v>52</v>
      </c>
      <c r="D682" t="s">
        <v>53</v>
      </c>
      <c r="E682" t="s">
        <v>34</v>
      </c>
      <c r="F682" t="s">
        <v>2397</v>
      </c>
      <c r="G682" t="s">
        <v>2377</v>
      </c>
      <c r="H682">
        <v>16000</v>
      </c>
      <c r="I682">
        <v>4</v>
      </c>
      <c r="J682">
        <v>0</v>
      </c>
      <c r="K682">
        <v>64000</v>
      </c>
      <c r="L682">
        <v>0</v>
      </c>
      <c r="M682">
        <v>64000</v>
      </c>
      <c r="N682">
        <v>18000</v>
      </c>
      <c r="O682">
        <v>82000</v>
      </c>
      <c r="P682" t="s">
        <v>29</v>
      </c>
      <c r="Q682" t="s">
        <v>2357</v>
      </c>
      <c r="R682" t="s">
        <v>23</v>
      </c>
      <c r="S682">
        <v>3</v>
      </c>
      <c r="T682" t="s">
        <v>24</v>
      </c>
      <c r="U682" t="s">
        <v>2405</v>
      </c>
      <c r="V682">
        <v>2025</v>
      </c>
      <c r="W682">
        <v>5</v>
      </c>
    </row>
    <row r="683" spans="1:23" x14ac:dyDescent="0.25">
      <c r="A683" t="s">
        <v>1639</v>
      </c>
      <c r="B683">
        <v>45787.959178240737</v>
      </c>
      <c r="C683" t="s">
        <v>1321</v>
      </c>
      <c r="D683" t="s">
        <v>113</v>
      </c>
      <c r="E683" t="s">
        <v>85</v>
      </c>
      <c r="F683" t="s">
        <v>2394</v>
      </c>
      <c r="G683" t="s">
        <v>2377</v>
      </c>
      <c r="H683">
        <v>35000</v>
      </c>
      <c r="I683">
        <v>2</v>
      </c>
      <c r="J683">
        <v>20</v>
      </c>
      <c r="K683">
        <v>70000</v>
      </c>
      <c r="L683">
        <v>14000</v>
      </c>
      <c r="M683">
        <v>56000</v>
      </c>
      <c r="N683">
        <v>18000</v>
      </c>
      <c r="O683">
        <v>74000</v>
      </c>
      <c r="P683" t="s">
        <v>63</v>
      </c>
      <c r="Q683" t="s">
        <v>2357</v>
      </c>
      <c r="R683" t="s">
        <v>46</v>
      </c>
      <c r="S683">
        <v>1</v>
      </c>
      <c r="T683" t="s">
        <v>24</v>
      </c>
      <c r="U683" t="s">
        <v>2405</v>
      </c>
      <c r="V683">
        <v>2025</v>
      </c>
      <c r="W683">
        <v>5</v>
      </c>
    </row>
    <row r="684" spans="1:23" x14ac:dyDescent="0.25">
      <c r="A684" t="s">
        <v>1640</v>
      </c>
      <c r="B684">
        <v>45788.053587962961</v>
      </c>
      <c r="C684" t="s">
        <v>1321</v>
      </c>
      <c r="D684" t="s">
        <v>113</v>
      </c>
      <c r="E684" t="s">
        <v>67</v>
      </c>
      <c r="F684" t="s">
        <v>2393</v>
      </c>
      <c r="G684" t="s">
        <v>2378</v>
      </c>
      <c r="H684">
        <v>15000</v>
      </c>
      <c r="I684">
        <v>5</v>
      </c>
      <c r="J684">
        <v>20</v>
      </c>
      <c r="K684">
        <v>75000</v>
      </c>
      <c r="L684">
        <v>15000</v>
      </c>
      <c r="M684">
        <v>60000</v>
      </c>
      <c r="N684">
        <v>18000</v>
      </c>
      <c r="O684">
        <v>78000</v>
      </c>
      <c r="P684" t="s">
        <v>22</v>
      </c>
      <c r="Q684" t="s">
        <v>2357</v>
      </c>
      <c r="R684" t="s">
        <v>46</v>
      </c>
      <c r="S684">
        <v>1</v>
      </c>
      <c r="T684" t="s">
        <v>24</v>
      </c>
      <c r="U684" t="s">
        <v>2405</v>
      </c>
      <c r="V684">
        <v>2025</v>
      </c>
      <c r="W684">
        <v>5</v>
      </c>
    </row>
    <row r="685" spans="1:23" x14ac:dyDescent="0.25">
      <c r="A685" t="s">
        <v>1641</v>
      </c>
      <c r="B685">
        <v>45788.124224537038</v>
      </c>
      <c r="C685" t="s">
        <v>1336</v>
      </c>
      <c r="D685" t="s">
        <v>96</v>
      </c>
      <c r="E685" t="s">
        <v>93</v>
      </c>
      <c r="F685" t="s">
        <v>2399</v>
      </c>
      <c r="G685" t="s">
        <v>2378</v>
      </c>
      <c r="H685">
        <v>25000</v>
      </c>
      <c r="I685">
        <v>4</v>
      </c>
      <c r="J685">
        <v>20</v>
      </c>
      <c r="K685">
        <v>100000</v>
      </c>
      <c r="L685">
        <v>20000</v>
      </c>
      <c r="M685">
        <v>80000</v>
      </c>
      <c r="N685">
        <v>49000</v>
      </c>
      <c r="O685">
        <v>129000</v>
      </c>
      <c r="P685" t="s">
        <v>35</v>
      </c>
      <c r="Q685" t="s">
        <v>2357</v>
      </c>
      <c r="R685" t="s">
        <v>36</v>
      </c>
      <c r="S685">
        <v>1</v>
      </c>
      <c r="T685" t="s">
        <v>37</v>
      </c>
      <c r="U685" t="s">
        <v>2405</v>
      </c>
      <c r="V685">
        <v>2025</v>
      </c>
      <c r="W685">
        <v>5</v>
      </c>
    </row>
    <row r="686" spans="1:23" x14ac:dyDescent="0.25">
      <c r="A686" t="s">
        <v>1642</v>
      </c>
      <c r="B686">
        <v>45788.335069444453</v>
      </c>
      <c r="C686" t="s">
        <v>261</v>
      </c>
      <c r="D686" t="s">
        <v>262</v>
      </c>
      <c r="E686" t="s">
        <v>81</v>
      </c>
      <c r="F686" t="s">
        <v>2397</v>
      </c>
      <c r="G686" t="s">
        <v>2378</v>
      </c>
      <c r="H686">
        <v>17000</v>
      </c>
      <c r="I686">
        <v>3</v>
      </c>
      <c r="J686">
        <v>15</v>
      </c>
      <c r="K686">
        <v>51000</v>
      </c>
      <c r="L686">
        <v>7650</v>
      </c>
      <c r="M686">
        <v>43350</v>
      </c>
      <c r="N686">
        <v>18000</v>
      </c>
      <c r="O686">
        <v>61350</v>
      </c>
      <c r="P686" t="s">
        <v>35</v>
      </c>
      <c r="Q686" t="s">
        <v>2356</v>
      </c>
      <c r="R686" t="s">
        <v>23</v>
      </c>
      <c r="S686">
        <v>5</v>
      </c>
      <c r="T686" t="s">
        <v>24</v>
      </c>
      <c r="U686" t="s">
        <v>2405</v>
      </c>
      <c r="V686">
        <v>2025</v>
      </c>
      <c r="W686">
        <v>5</v>
      </c>
    </row>
    <row r="687" spans="1:23" x14ac:dyDescent="0.25">
      <c r="A687" t="s">
        <v>1642</v>
      </c>
      <c r="B687">
        <v>45788.335069444453</v>
      </c>
      <c r="C687" t="s">
        <v>261</v>
      </c>
      <c r="D687" t="s">
        <v>262</v>
      </c>
      <c r="E687" t="s">
        <v>186</v>
      </c>
      <c r="F687" t="s">
        <v>2398</v>
      </c>
      <c r="G687" t="s">
        <v>2377</v>
      </c>
      <c r="H687">
        <v>45000</v>
      </c>
      <c r="I687">
        <v>3</v>
      </c>
      <c r="J687">
        <v>10</v>
      </c>
      <c r="K687">
        <v>135000</v>
      </c>
      <c r="L687">
        <v>13500</v>
      </c>
      <c r="M687">
        <v>121500</v>
      </c>
      <c r="N687">
        <v>0</v>
      </c>
      <c r="O687">
        <v>121500</v>
      </c>
      <c r="P687" t="s">
        <v>35</v>
      </c>
      <c r="Q687" t="s">
        <v>2356</v>
      </c>
      <c r="R687" t="s">
        <v>23</v>
      </c>
      <c r="S687">
        <v>5</v>
      </c>
      <c r="T687" t="s">
        <v>24</v>
      </c>
      <c r="U687" t="s">
        <v>2405</v>
      </c>
      <c r="V687">
        <v>2025</v>
      </c>
      <c r="W687">
        <v>5</v>
      </c>
    </row>
    <row r="688" spans="1:23" x14ac:dyDescent="0.25">
      <c r="A688" t="s">
        <v>1643</v>
      </c>
      <c r="B688">
        <v>45788.349826388891</v>
      </c>
      <c r="C688" t="s">
        <v>326</v>
      </c>
      <c r="D688" t="s">
        <v>262</v>
      </c>
      <c r="E688" t="s">
        <v>62</v>
      </c>
      <c r="F688" t="s">
        <v>2398</v>
      </c>
      <c r="G688" t="s">
        <v>2378</v>
      </c>
      <c r="H688">
        <v>50000</v>
      </c>
      <c r="I688">
        <v>4</v>
      </c>
      <c r="J688">
        <v>10</v>
      </c>
      <c r="K688">
        <v>200000</v>
      </c>
      <c r="L688">
        <v>20000</v>
      </c>
      <c r="M688">
        <v>180000</v>
      </c>
      <c r="N688">
        <v>18000</v>
      </c>
      <c r="O688">
        <v>198000</v>
      </c>
      <c r="P688" t="s">
        <v>22</v>
      </c>
      <c r="Q688" t="s">
        <v>2357</v>
      </c>
      <c r="R688" t="s">
        <v>46</v>
      </c>
      <c r="S688">
        <v>1</v>
      </c>
      <c r="T688" t="s">
        <v>37</v>
      </c>
      <c r="U688" t="s">
        <v>2405</v>
      </c>
      <c r="V688">
        <v>2025</v>
      </c>
      <c r="W688">
        <v>5</v>
      </c>
    </row>
    <row r="689" spans="1:23" x14ac:dyDescent="0.25">
      <c r="A689" t="s">
        <v>1644</v>
      </c>
      <c r="B689">
        <v>45788.352199074077</v>
      </c>
      <c r="C689" t="s">
        <v>235</v>
      </c>
      <c r="D689" t="s">
        <v>189</v>
      </c>
      <c r="E689" t="s">
        <v>81</v>
      </c>
      <c r="F689" t="s">
        <v>2397</v>
      </c>
      <c r="G689" t="s">
        <v>2378</v>
      </c>
      <c r="H689">
        <v>17000</v>
      </c>
      <c r="I689">
        <v>4</v>
      </c>
      <c r="J689">
        <v>15</v>
      </c>
      <c r="K689">
        <v>68000</v>
      </c>
      <c r="L689">
        <v>10200</v>
      </c>
      <c r="M689">
        <v>57800</v>
      </c>
      <c r="N689">
        <v>57000</v>
      </c>
      <c r="O689">
        <v>114800</v>
      </c>
      <c r="P689" t="s">
        <v>22</v>
      </c>
      <c r="Q689" t="s">
        <v>2357</v>
      </c>
      <c r="R689" t="s">
        <v>30</v>
      </c>
      <c r="S689">
        <v>4</v>
      </c>
      <c r="T689" t="s">
        <v>37</v>
      </c>
      <c r="U689" t="s">
        <v>2405</v>
      </c>
      <c r="V689">
        <v>2025</v>
      </c>
      <c r="W689">
        <v>5</v>
      </c>
    </row>
    <row r="690" spans="1:23" x14ac:dyDescent="0.25">
      <c r="A690" t="s">
        <v>1645</v>
      </c>
      <c r="B690">
        <v>45789.496990740743</v>
      </c>
      <c r="C690" t="s">
        <v>1022</v>
      </c>
      <c r="D690" t="s">
        <v>177</v>
      </c>
      <c r="E690" t="s">
        <v>58</v>
      </c>
      <c r="F690" t="s">
        <v>2396</v>
      </c>
      <c r="G690" t="s">
        <v>2377</v>
      </c>
      <c r="H690">
        <v>16000</v>
      </c>
      <c r="I690">
        <v>2</v>
      </c>
      <c r="J690">
        <v>20</v>
      </c>
      <c r="K690">
        <v>32000</v>
      </c>
      <c r="L690">
        <v>6400</v>
      </c>
      <c r="M690">
        <v>25600</v>
      </c>
      <c r="N690">
        <v>56000</v>
      </c>
      <c r="O690">
        <v>81600</v>
      </c>
      <c r="P690" t="s">
        <v>22</v>
      </c>
      <c r="Q690" t="s">
        <v>2357</v>
      </c>
      <c r="R690" t="s">
        <v>36</v>
      </c>
      <c r="S690">
        <v>4</v>
      </c>
      <c r="T690" t="s">
        <v>24</v>
      </c>
      <c r="U690" t="s">
        <v>2405</v>
      </c>
      <c r="V690">
        <v>2025</v>
      </c>
      <c r="W690">
        <v>5</v>
      </c>
    </row>
    <row r="691" spans="1:23" x14ac:dyDescent="0.25">
      <c r="A691" t="s">
        <v>1646</v>
      </c>
      <c r="B691">
        <v>45789.524062500001</v>
      </c>
      <c r="C691" t="s">
        <v>87</v>
      </c>
      <c r="D691" t="s">
        <v>80</v>
      </c>
      <c r="E691" t="s">
        <v>62</v>
      </c>
      <c r="F691" t="s">
        <v>2398</v>
      </c>
      <c r="G691" t="s">
        <v>2378</v>
      </c>
      <c r="H691">
        <v>50000</v>
      </c>
      <c r="I691">
        <v>2</v>
      </c>
      <c r="J691">
        <v>15</v>
      </c>
      <c r="K691">
        <v>100000</v>
      </c>
      <c r="L691">
        <v>15000</v>
      </c>
      <c r="M691">
        <v>85000</v>
      </c>
      <c r="N691">
        <v>74000</v>
      </c>
      <c r="O691">
        <v>159000</v>
      </c>
      <c r="P691" t="s">
        <v>63</v>
      </c>
      <c r="Q691" t="s">
        <v>2356</v>
      </c>
      <c r="R691" t="s">
        <v>23</v>
      </c>
      <c r="S691">
        <v>2</v>
      </c>
      <c r="T691" t="s">
        <v>24</v>
      </c>
      <c r="U691" t="s">
        <v>2405</v>
      </c>
      <c r="V691">
        <v>2025</v>
      </c>
      <c r="W691">
        <v>5</v>
      </c>
    </row>
    <row r="692" spans="1:23" x14ac:dyDescent="0.25">
      <c r="A692" t="s">
        <v>1647</v>
      </c>
      <c r="B692">
        <v>45789.529050925928</v>
      </c>
      <c r="C692" t="s">
        <v>150</v>
      </c>
      <c r="D692" t="s">
        <v>151</v>
      </c>
      <c r="E692" t="s">
        <v>28</v>
      </c>
      <c r="F692" t="s">
        <v>2395</v>
      </c>
      <c r="G692" t="s">
        <v>2378</v>
      </c>
      <c r="H692">
        <v>5000</v>
      </c>
      <c r="I692">
        <v>2</v>
      </c>
      <c r="J692">
        <v>20</v>
      </c>
      <c r="K692">
        <v>10000</v>
      </c>
      <c r="L692">
        <v>2000</v>
      </c>
      <c r="M692">
        <v>8000</v>
      </c>
      <c r="N692">
        <v>55000</v>
      </c>
      <c r="O692">
        <v>63000</v>
      </c>
      <c r="P692" t="s">
        <v>22</v>
      </c>
      <c r="Q692" t="s">
        <v>2356</v>
      </c>
      <c r="R692" t="s">
        <v>82</v>
      </c>
      <c r="S692">
        <v>5</v>
      </c>
      <c r="T692" t="s">
        <v>37</v>
      </c>
      <c r="U692" t="s">
        <v>2405</v>
      </c>
      <c r="V692">
        <v>2025</v>
      </c>
      <c r="W692">
        <v>5</v>
      </c>
    </row>
    <row r="693" spans="1:23" x14ac:dyDescent="0.25">
      <c r="A693" t="s">
        <v>1648</v>
      </c>
      <c r="B693">
        <v>45789.548402777778</v>
      </c>
      <c r="C693" t="s">
        <v>271</v>
      </c>
      <c r="D693" t="s">
        <v>49</v>
      </c>
      <c r="E693" t="s">
        <v>38</v>
      </c>
      <c r="F693" t="s">
        <v>2399</v>
      </c>
      <c r="G693" t="s">
        <v>2379</v>
      </c>
      <c r="H693">
        <v>28000</v>
      </c>
      <c r="I693">
        <v>4</v>
      </c>
      <c r="J693">
        <v>0</v>
      </c>
      <c r="K693">
        <v>112000</v>
      </c>
      <c r="L693">
        <v>0</v>
      </c>
      <c r="M693">
        <v>112000</v>
      </c>
      <c r="N693">
        <v>43000</v>
      </c>
      <c r="O693">
        <v>155000</v>
      </c>
      <c r="P693" t="s">
        <v>29</v>
      </c>
      <c r="Q693" t="s">
        <v>2356</v>
      </c>
      <c r="R693" t="s">
        <v>46</v>
      </c>
      <c r="S693">
        <v>4</v>
      </c>
      <c r="T693" t="s">
        <v>24</v>
      </c>
      <c r="U693" t="s">
        <v>2405</v>
      </c>
      <c r="V693">
        <v>2025</v>
      </c>
      <c r="W693">
        <v>5</v>
      </c>
    </row>
    <row r="694" spans="1:23" x14ac:dyDescent="0.25">
      <c r="A694" t="s">
        <v>1649</v>
      </c>
      <c r="B694">
        <v>45789.681458333333</v>
      </c>
      <c r="C694" t="s">
        <v>410</v>
      </c>
      <c r="D694" t="s">
        <v>151</v>
      </c>
      <c r="E694" t="s">
        <v>54</v>
      </c>
      <c r="F694" t="s">
        <v>2393</v>
      </c>
      <c r="G694" t="s">
        <v>2379</v>
      </c>
      <c r="H694">
        <v>16000</v>
      </c>
      <c r="I694">
        <v>5</v>
      </c>
      <c r="J694">
        <v>5</v>
      </c>
      <c r="K694">
        <v>80000</v>
      </c>
      <c r="L694">
        <v>4000</v>
      </c>
      <c r="M694">
        <v>76000</v>
      </c>
      <c r="N694">
        <v>55000</v>
      </c>
      <c r="O694">
        <v>131000</v>
      </c>
      <c r="P694" t="s">
        <v>29</v>
      </c>
      <c r="Q694" t="s">
        <v>2356</v>
      </c>
      <c r="R694" t="s">
        <v>46</v>
      </c>
      <c r="S694">
        <v>3</v>
      </c>
      <c r="T694" t="s">
        <v>24</v>
      </c>
      <c r="U694" t="s">
        <v>2405</v>
      </c>
      <c r="V694">
        <v>2025</v>
      </c>
      <c r="W694">
        <v>5</v>
      </c>
    </row>
    <row r="695" spans="1:23" x14ac:dyDescent="0.25">
      <c r="A695" t="s">
        <v>1650</v>
      </c>
      <c r="B695">
        <v>45789.765416666669</v>
      </c>
      <c r="C695" t="s">
        <v>273</v>
      </c>
      <c r="D695" t="s">
        <v>195</v>
      </c>
      <c r="E695" t="s">
        <v>190</v>
      </c>
      <c r="F695" t="s">
        <v>2392</v>
      </c>
      <c r="G695" t="s">
        <v>2378</v>
      </c>
      <c r="H695">
        <v>35000</v>
      </c>
      <c r="I695">
        <v>3</v>
      </c>
      <c r="J695">
        <v>15</v>
      </c>
      <c r="K695">
        <v>105000</v>
      </c>
      <c r="L695">
        <v>15750</v>
      </c>
      <c r="M695">
        <v>89250</v>
      </c>
      <c r="N695">
        <v>87000</v>
      </c>
      <c r="O695">
        <v>176250</v>
      </c>
      <c r="P695" t="s">
        <v>63</v>
      </c>
      <c r="Q695" t="s">
        <v>2356</v>
      </c>
      <c r="R695" t="s">
        <v>30</v>
      </c>
      <c r="S695">
        <v>2</v>
      </c>
      <c r="T695" t="s">
        <v>24</v>
      </c>
      <c r="U695" t="s">
        <v>2405</v>
      </c>
      <c r="V695">
        <v>2025</v>
      </c>
      <c r="W695">
        <v>5</v>
      </c>
    </row>
    <row r="696" spans="1:23" x14ac:dyDescent="0.25">
      <c r="A696" t="s">
        <v>1651</v>
      </c>
      <c r="B696">
        <v>45789.803368055553</v>
      </c>
      <c r="C696" t="s">
        <v>243</v>
      </c>
      <c r="D696" t="s">
        <v>244</v>
      </c>
      <c r="E696" t="s">
        <v>58</v>
      </c>
      <c r="F696" t="s">
        <v>2396</v>
      </c>
      <c r="G696" t="s">
        <v>2377</v>
      </c>
      <c r="H696">
        <v>16000</v>
      </c>
      <c r="I696">
        <v>5</v>
      </c>
      <c r="J696">
        <v>20</v>
      </c>
      <c r="K696">
        <v>80000</v>
      </c>
      <c r="L696">
        <v>16000</v>
      </c>
      <c r="M696">
        <v>64000</v>
      </c>
      <c r="N696">
        <v>80000</v>
      </c>
      <c r="O696">
        <v>144000</v>
      </c>
      <c r="P696" t="s">
        <v>63</v>
      </c>
      <c r="Q696" t="s">
        <v>2357</v>
      </c>
      <c r="R696" t="s">
        <v>36</v>
      </c>
      <c r="S696">
        <v>3</v>
      </c>
      <c r="T696" t="s">
        <v>37</v>
      </c>
      <c r="U696" t="s">
        <v>2405</v>
      </c>
      <c r="V696">
        <v>2025</v>
      </c>
      <c r="W696">
        <v>5</v>
      </c>
    </row>
    <row r="697" spans="1:23" x14ac:dyDescent="0.25">
      <c r="A697" t="s">
        <v>1652</v>
      </c>
      <c r="B697">
        <v>45790.20107638889</v>
      </c>
      <c r="C697" t="s">
        <v>321</v>
      </c>
      <c r="D697" t="s">
        <v>80</v>
      </c>
      <c r="E697" t="s">
        <v>21</v>
      </c>
      <c r="F697" t="s">
        <v>2394</v>
      </c>
      <c r="G697" t="s">
        <v>2379</v>
      </c>
      <c r="H697">
        <v>45000</v>
      </c>
      <c r="I697">
        <v>3</v>
      </c>
      <c r="J697">
        <v>0</v>
      </c>
      <c r="K697">
        <v>135000</v>
      </c>
      <c r="L697">
        <v>0</v>
      </c>
      <c r="M697">
        <v>135000</v>
      </c>
      <c r="N697">
        <v>74000</v>
      </c>
      <c r="O697">
        <v>209000</v>
      </c>
      <c r="P697" t="s">
        <v>22</v>
      </c>
      <c r="Q697" t="s">
        <v>2357</v>
      </c>
      <c r="R697" t="s">
        <v>82</v>
      </c>
      <c r="S697">
        <v>4</v>
      </c>
      <c r="T697" t="s">
        <v>24</v>
      </c>
      <c r="U697" t="s">
        <v>2405</v>
      </c>
      <c r="V697">
        <v>2025</v>
      </c>
      <c r="W697">
        <v>5</v>
      </c>
    </row>
    <row r="698" spans="1:23" x14ac:dyDescent="0.25">
      <c r="A698" t="s">
        <v>1653</v>
      </c>
      <c r="B698">
        <v>45790.235763888893</v>
      </c>
      <c r="C698" t="s">
        <v>1654</v>
      </c>
      <c r="D698" t="s">
        <v>74</v>
      </c>
      <c r="E698" t="s">
        <v>21</v>
      </c>
      <c r="F698" t="s">
        <v>2394</v>
      </c>
      <c r="G698" t="s">
        <v>2379</v>
      </c>
      <c r="H698">
        <v>45000</v>
      </c>
      <c r="I698">
        <v>3</v>
      </c>
      <c r="J698">
        <v>10</v>
      </c>
      <c r="K698">
        <v>135000</v>
      </c>
      <c r="L698">
        <v>13500</v>
      </c>
      <c r="M698">
        <v>121500</v>
      </c>
      <c r="N698">
        <v>87000</v>
      </c>
      <c r="O698">
        <v>208500</v>
      </c>
      <c r="P698" t="s">
        <v>35</v>
      </c>
      <c r="Q698" t="s">
        <v>2356</v>
      </c>
      <c r="R698" t="s">
        <v>82</v>
      </c>
      <c r="S698">
        <v>5</v>
      </c>
      <c r="T698" t="s">
        <v>37</v>
      </c>
      <c r="U698" t="s">
        <v>2405</v>
      </c>
      <c r="V698">
        <v>2025</v>
      </c>
      <c r="W698">
        <v>5</v>
      </c>
    </row>
    <row r="699" spans="1:23" x14ac:dyDescent="0.25">
      <c r="A699" t="s">
        <v>1655</v>
      </c>
      <c r="B699">
        <v>45790.341597222221</v>
      </c>
      <c r="C699" t="s">
        <v>429</v>
      </c>
      <c r="D699" t="s">
        <v>177</v>
      </c>
      <c r="E699" t="s">
        <v>174</v>
      </c>
      <c r="F699" t="s">
        <v>2400</v>
      </c>
      <c r="G699" t="s">
        <v>2377</v>
      </c>
      <c r="H699">
        <v>10000</v>
      </c>
      <c r="I699">
        <v>3</v>
      </c>
      <c r="J699">
        <v>0</v>
      </c>
      <c r="K699">
        <v>30000</v>
      </c>
      <c r="L699">
        <v>0</v>
      </c>
      <c r="M699">
        <v>30000</v>
      </c>
      <c r="N699">
        <v>56000</v>
      </c>
      <c r="O699">
        <v>86000</v>
      </c>
      <c r="P699" t="s">
        <v>63</v>
      </c>
      <c r="Q699" t="s">
        <v>2357</v>
      </c>
      <c r="R699" t="s">
        <v>23</v>
      </c>
      <c r="S699">
        <v>5</v>
      </c>
      <c r="T699" t="s">
        <v>37</v>
      </c>
      <c r="U699" t="s">
        <v>2405</v>
      </c>
      <c r="V699">
        <v>2025</v>
      </c>
      <c r="W699">
        <v>5</v>
      </c>
    </row>
    <row r="700" spans="1:23" x14ac:dyDescent="0.25">
      <c r="A700" t="s">
        <v>1656</v>
      </c>
      <c r="B700">
        <v>45790.422546296293</v>
      </c>
      <c r="C700" t="s">
        <v>383</v>
      </c>
      <c r="D700" t="s">
        <v>122</v>
      </c>
      <c r="E700" t="s">
        <v>85</v>
      </c>
      <c r="F700" t="s">
        <v>2394</v>
      </c>
      <c r="G700" t="s">
        <v>2377</v>
      </c>
      <c r="H700">
        <v>35000</v>
      </c>
      <c r="I700">
        <v>4</v>
      </c>
      <c r="J700">
        <v>10</v>
      </c>
      <c r="K700">
        <v>140000</v>
      </c>
      <c r="L700">
        <v>14000</v>
      </c>
      <c r="M700">
        <v>126000</v>
      </c>
      <c r="N700">
        <v>78000</v>
      </c>
      <c r="O700">
        <v>204000</v>
      </c>
      <c r="P700" t="s">
        <v>22</v>
      </c>
      <c r="Q700" t="s">
        <v>2359</v>
      </c>
      <c r="R700" t="s">
        <v>36</v>
      </c>
      <c r="S700">
        <v>5</v>
      </c>
      <c r="T700" t="s">
        <v>24</v>
      </c>
      <c r="U700" t="s">
        <v>2405</v>
      </c>
      <c r="V700">
        <v>2025</v>
      </c>
      <c r="W700">
        <v>5</v>
      </c>
    </row>
    <row r="701" spans="1:23" x14ac:dyDescent="0.25">
      <c r="A701" t="s">
        <v>1657</v>
      </c>
      <c r="B701">
        <v>45790.43476851852</v>
      </c>
      <c r="C701" t="s">
        <v>128</v>
      </c>
      <c r="D701" t="s">
        <v>103</v>
      </c>
      <c r="E701" t="s">
        <v>110</v>
      </c>
      <c r="F701" t="s">
        <v>2395</v>
      </c>
      <c r="G701" t="s">
        <v>2379</v>
      </c>
      <c r="H701">
        <v>6000</v>
      </c>
      <c r="I701">
        <v>4</v>
      </c>
      <c r="J701">
        <v>10</v>
      </c>
      <c r="K701">
        <v>24000</v>
      </c>
      <c r="L701">
        <v>2400</v>
      </c>
      <c r="M701">
        <v>21600</v>
      </c>
      <c r="N701">
        <v>85000</v>
      </c>
      <c r="O701">
        <v>106600</v>
      </c>
      <c r="P701" t="s">
        <v>35</v>
      </c>
      <c r="Q701" t="s">
        <v>2357</v>
      </c>
      <c r="R701" t="s">
        <v>82</v>
      </c>
      <c r="S701">
        <v>2</v>
      </c>
      <c r="T701" t="s">
        <v>37</v>
      </c>
      <c r="U701" t="s">
        <v>2405</v>
      </c>
      <c r="V701">
        <v>2025</v>
      </c>
      <c r="W701">
        <v>5</v>
      </c>
    </row>
    <row r="702" spans="1:23" x14ac:dyDescent="0.25">
      <c r="A702" t="s">
        <v>1658</v>
      </c>
      <c r="B702">
        <v>45790.56994212963</v>
      </c>
      <c r="C702" t="s">
        <v>1025</v>
      </c>
      <c r="D702" t="s">
        <v>119</v>
      </c>
      <c r="E702" t="s">
        <v>138</v>
      </c>
      <c r="F702" t="s">
        <v>2396</v>
      </c>
      <c r="G702" t="s">
        <v>2378</v>
      </c>
      <c r="H702">
        <v>17000</v>
      </c>
      <c r="I702">
        <v>1</v>
      </c>
      <c r="J702">
        <v>10</v>
      </c>
      <c r="K702">
        <v>17000</v>
      </c>
      <c r="L702">
        <v>1700</v>
      </c>
      <c r="M702">
        <v>15300</v>
      </c>
      <c r="N702">
        <v>0</v>
      </c>
      <c r="O702">
        <v>15300</v>
      </c>
      <c r="P702" t="s">
        <v>63</v>
      </c>
      <c r="Q702" t="s">
        <v>2356</v>
      </c>
      <c r="R702" t="s">
        <v>23</v>
      </c>
      <c r="S702">
        <v>2</v>
      </c>
      <c r="T702" t="s">
        <v>24</v>
      </c>
      <c r="U702" t="s">
        <v>2405</v>
      </c>
      <c r="V702">
        <v>2025</v>
      </c>
      <c r="W702">
        <v>5</v>
      </c>
    </row>
    <row r="703" spans="1:23" x14ac:dyDescent="0.25">
      <c r="A703" t="s">
        <v>1658</v>
      </c>
      <c r="B703">
        <v>45790.56994212963</v>
      </c>
      <c r="C703" t="s">
        <v>1025</v>
      </c>
      <c r="D703" t="s">
        <v>119</v>
      </c>
      <c r="E703" t="s">
        <v>144</v>
      </c>
      <c r="F703" t="s">
        <v>2396</v>
      </c>
      <c r="G703" t="s">
        <v>2379</v>
      </c>
      <c r="H703">
        <v>18000</v>
      </c>
      <c r="I703">
        <v>2</v>
      </c>
      <c r="J703">
        <v>5</v>
      </c>
      <c r="K703">
        <v>36000</v>
      </c>
      <c r="L703">
        <v>1800</v>
      </c>
      <c r="M703">
        <v>34200</v>
      </c>
      <c r="N703">
        <v>0</v>
      </c>
      <c r="O703">
        <v>34200</v>
      </c>
      <c r="P703" t="s">
        <v>63</v>
      </c>
      <c r="Q703" t="s">
        <v>2356</v>
      </c>
      <c r="R703" t="s">
        <v>23</v>
      </c>
      <c r="S703">
        <v>2</v>
      </c>
      <c r="T703" t="s">
        <v>24</v>
      </c>
      <c r="U703" t="s">
        <v>2405</v>
      </c>
      <c r="V703">
        <v>2025</v>
      </c>
      <c r="W703">
        <v>5</v>
      </c>
    </row>
    <row r="704" spans="1:23" x14ac:dyDescent="0.25">
      <c r="A704" t="s">
        <v>1659</v>
      </c>
      <c r="B704">
        <v>45790.58525462963</v>
      </c>
      <c r="C704" t="s">
        <v>473</v>
      </c>
      <c r="D704" t="s">
        <v>122</v>
      </c>
      <c r="E704" t="s">
        <v>136</v>
      </c>
      <c r="F704" t="s">
        <v>2400</v>
      </c>
      <c r="G704" t="s">
        <v>2378</v>
      </c>
      <c r="H704">
        <v>12000</v>
      </c>
      <c r="I704">
        <v>5</v>
      </c>
      <c r="J704">
        <v>5</v>
      </c>
      <c r="K704">
        <v>60000</v>
      </c>
      <c r="L704">
        <v>3000</v>
      </c>
      <c r="M704">
        <v>57000</v>
      </c>
      <c r="N704">
        <v>78000</v>
      </c>
      <c r="O704">
        <v>135000</v>
      </c>
      <c r="P704" t="s">
        <v>63</v>
      </c>
      <c r="Q704" t="s">
        <v>2357</v>
      </c>
      <c r="R704" t="s">
        <v>82</v>
      </c>
      <c r="S704">
        <v>1</v>
      </c>
      <c r="T704" t="s">
        <v>24</v>
      </c>
      <c r="U704" t="s">
        <v>2405</v>
      </c>
      <c r="V704">
        <v>2025</v>
      </c>
      <c r="W704">
        <v>5</v>
      </c>
    </row>
    <row r="705" spans="1:23" x14ac:dyDescent="0.25">
      <c r="A705" t="s">
        <v>1660</v>
      </c>
      <c r="B705">
        <v>45790.722812499997</v>
      </c>
      <c r="C705" t="s">
        <v>1293</v>
      </c>
      <c r="D705" t="s">
        <v>44</v>
      </c>
      <c r="E705" t="s">
        <v>58</v>
      </c>
      <c r="F705" t="s">
        <v>2396</v>
      </c>
      <c r="G705" t="s">
        <v>2377</v>
      </c>
      <c r="H705">
        <v>16000</v>
      </c>
      <c r="I705">
        <v>2</v>
      </c>
      <c r="J705">
        <v>20</v>
      </c>
      <c r="K705">
        <v>32000</v>
      </c>
      <c r="L705">
        <v>6400</v>
      </c>
      <c r="M705">
        <v>25600</v>
      </c>
      <c r="N705">
        <v>93000</v>
      </c>
      <c r="O705">
        <v>118600</v>
      </c>
      <c r="P705" t="s">
        <v>29</v>
      </c>
      <c r="Q705" t="s">
        <v>2357</v>
      </c>
      <c r="R705" t="s">
        <v>82</v>
      </c>
      <c r="S705">
        <v>5</v>
      </c>
      <c r="T705" t="s">
        <v>24</v>
      </c>
      <c r="U705" t="s">
        <v>2405</v>
      </c>
      <c r="V705">
        <v>2025</v>
      </c>
      <c r="W705">
        <v>5</v>
      </c>
    </row>
    <row r="706" spans="1:23" x14ac:dyDescent="0.25">
      <c r="A706" t="s">
        <v>1661</v>
      </c>
      <c r="B706">
        <v>45790.800150462957</v>
      </c>
      <c r="C706" t="s">
        <v>307</v>
      </c>
      <c r="D706" t="s">
        <v>70</v>
      </c>
      <c r="E706" t="s">
        <v>123</v>
      </c>
      <c r="F706" t="s">
        <v>2399</v>
      </c>
      <c r="G706" t="s">
        <v>2377</v>
      </c>
      <c r="H706">
        <v>22000</v>
      </c>
      <c r="I706">
        <v>3</v>
      </c>
      <c r="J706">
        <v>0</v>
      </c>
      <c r="K706">
        <v>66000</v>
      </c>
      <c r="L706">
        <v>0</v>
      </c>
      <c r="M706">
        <v>66000</v>
      </c>
      <c r="N706">
        <v>89000</v>
      </c>
      <c r="O706">
        <v>155000</v>
      </c>
      <c r="P706" t="s">
        <v>29</v>
      </c>
      <c r="Q706" t="s">
        <v>2356</v>
      </c>
      <c r="R706" t="s">
        <v>23</v>
      </c>
      <c r="S706">
        <v>4</v>
      </c>
      <c r="T706" t="s">
        <v>24</v>
      </c>
      <c r="U706" t="s">
        <v>2405</v>
      </c>
      <c r="V706">
        <v>2025</v>
      </c>
      <c r="W706">
        <v>5</v>
      </c>
    </row>
    <row r="707" spans="1:23" x14ac:dyDescent="0.25">
      <c r="A707" t="s">
        <v>1662</v>
      </c>
      <c r="B707">
        <v>45791.034675925926</v>
      </c>
      <c r="C707" t="s">
        <v>654</v>
      </c>
      <c r="D707" t="s">
        <v>375</v>
      </c>
      <c r="E707" t="s">
        <v>250</v>
      </c>
      <c r="F707" t="s">
        <v>2397</v>
      </c>
      <c r="G707" t="s">
        <v>2379</v>
      </c>
      <c r="H707">
        <v>18000</v>
      </c>
      <c r="I707">
        <v>3</v>
      </c>
      <c r="J707">
        <v>10</v>
      </c>
      <c r="K707">
        <v>54000</v>
      </c>
      <c r="L707">
        <v>5400</v>
      </c>
      <c r="M707">
        <v>48600</v>
      </c>
      <c r="N707">
        <v>21000</v>
      </c>
      <c r="O707">
        <v>69600</v>
      </c>
      <c r="P707" t="s">
        <v>63</v>
      </c>
      <c r="Q707" t="s">
        <v>2356</v>
      </c>
      <c r="R707" t="s">
        <v>46</v>
      </c>
      <c r="S707">
        <v>5</v>
      </c>
      <c r="T707" t="s">
        <v>24</v>
      </c>
      <c r="U707" t="s">
        <v>2405</v>
      </c>
      <c r="V707">
        <v>2025</v>
      </c>
      <c r="W707">
        <v>5</v>
      </c>
    </row>
    <row r="708" spans="1:23" x14ac:dyDescent="0.25">
      <c r="A708" t="s">
        <v>1663</v>
      </c>
      <c r="B708">
        <v>45791.093263888892</v>
      </c>
      <c r="C708" t="s">
        <v>479</v>
      </c>
      <c r="D708" t="s">
        <v>107</v>
      </c>
      <c r="E708" t="s">
        <v>62</v>
      </c>
      <c r="F708" t="s">
        <v>2398</v>
      </c>
      <c r="G708" t="s">
        <v>2378</v>
      </c>
      <c r="H708">
        <v>50000</v>
      </c>
      <c r="I708">
        <v>3</v>
      </c>
      <c r="J708">
        <v>10</v>
      </c>
      <c r="K708">
        <v>150000</v>
      </c>
      <c r="L708">
        <v>15000</v>
      </c>
      <c r="M708">
        <v>135000</v>
      </c>
      <c r="N708">
        <v>97000</v>
      </c>
      <c r="O708">
        <v>232000</v>
      </c>
      <c r="P708" t="s">
        <v>22</v>
      </c>
      <c r="Q708" t="s">
        <v>2357</v>
      </c>
      <c r="R708" t="s">
        <v>36</v>
      </c>
      <c r="S708">
        <v>2</v>
      </c>
      <c r="T708" t="s">
        <v>37</v>
      </c>
      <c r="U708" t="s">
        <v>2405</v>
      </c>
      <c r="V708">
        <v>2025</v>
      </c>
      <c r="W708">
        <v>5</v>
      </c>
    </row>
    <row r="709" spans="1:23" x14ac:dyDescent="0.25">
      <c r="A709" t="s">
        <v>1664</v>
      </c>
      <c r="B709">
        <v>45791.246180555558</v>
      </c>
      <c r="C709" t="s">
        <v>295</v>
      </c>
      <c r="D709" t="s">
        <v>296</v>
      </c>
      <c r="E709" t="s">
        <v>34</v>
      </c>
      <c r="F709" t="s">
        <v>2397</v>
      </c>
      <c r="G709" t="s">
        <v>2377</v>
      </c>
      <c r="H709">
        <v>16000</v>
      </c>
      <c r="I709">
        <v>1</v>
      </c>
      <c r="J709">
        <v>0</v>
      </c>
      <c r="K709">
        <v>16000</v>
      </c>
      <c r="L709">
        <v>0</v>
      </c>
      <c r="M709">
        <v>16000</v>
      </c>
      <c r="N709">
        <v>79000</v>
      </c>
      <c r="O709">
        <v>95000</v>
      </c>
      <c r="P709" t="s">
        <v>63</v>
      </c>
      <c r="Q709" t="s">
        <v>2357</v>
      </c>
      <c r="R709" t="s">
        <v>36</v>
      </c>
      <c r="S709">
        <v>4</v>
      </c>
      <c r="T709" t="s">
        <v>24</v>
      </c>
      <c r="U709" t="s">
        <v>2405</v>
      </c>
      <c r="V709">
        <v>2025</v>
      </c>
      <c r="W709">
        <v>5</v>
      </c>
    </row>
    <row r="710" spans="1:23" x14ac:dyDescent="0.25">
      <c r="A710" t="s">
        <v>1664</v>
      </c>
      <c r="B710">
        <v>45791.246180555558</v>
      </c>
      <c r="C710" t="s">
        <v>295</v>
      </c>
      <c r="D710" t="s">
        <v>296</v>
      </c>
      <c r="E710" t="s">
        <v>174</v>
      </c>
      <c r="F710" t="s">
        <v>2400</v>
      </c>
      <c r="G710" t="s">
        <v>2377</v>
      </c>
      <c r="H710">
        <v>10000</v>
      </c>
      <c r="I710">
        <v>1</v>
      </c>
      <c r="J710">
        <v>5</v>
      </c>
      <c r="K710">
        <v>10000</v>
      </c>
      <c r="L710">
        <v>500</v>
      </c>
      <c r="M710">
        <v>9500</v>
      </c>
      <c r="N710">
        <v>0</v>
      </c>
      <c r="O710">
        <v>9500</v>
      </c>
      <c r="P710" t="s">
        <v>63</v>
      </c>
      <c r="Q710" t="s">
        <v>2357</v>
      </c>
      <c r="R710" t="s">
        <v>36</v>
      </c>
      <c r="S710">
        <v>4</v>
      </c>
      <c r="T710" t="s">
        <v>24</v>
      </c>
      <c r="U710" t="s">
        <v>2405</v>
      </c>
      <c r="V710">
        <v>2025</v>
      </c>
      <c r="W710">
        <v>5</v>
      </c>
    </row>
    <row r="711" spans="1:23" x14ac:dyDescent="0.25">
      <c r="A711" t="s">
        <v>1665</v>
      </c>
      <c r="B711">
        <v>45791.257627314822</v>
      </c>
      <c r="C711" t="s">
        <v>1666</v>
      </c>
      <c r="D711" t="s">
        <v>296</v>
      </c>
      <c r="E711" t="s">
        <v>54</v>
      </c>
      <c r="F711" t="s">
        <v>2393</v>
      </c>
      <c r="G711" t="s">
        <v>2379</v>
      </c>
      <c r="H711">
        <v>16000</v>
      </c>
      <c r="I711">
        <v>5</v>
      </c>
      <c r="J711">
        <v>20</v>
      </c>
      <c r="K711">
        <v>80000</v>
      </c>
      <c r="L711">
        <v>16000</v>
      </c>
      <c r="M711">
        <v>64000</v>
      </c>
      <c r="N711">
        <v>79000</v>
      </c>
      <c r="O711">
        <v>143000</v>
      </c>
      <c r="P711" t="s">
        <v>63</v>
      </c>
      <c r="Q711" t="s">
        <v>2357</v>
      </c>
      <c r="R711" t="s">
        <v>82</v>
      </c>
      <c r="S711">
        <v>2</v>
      </c>
      <c r="T711" t="s">
        <v>37</v>
      </c>
      <c r="U711" t="s">
        <v>2405</v>
      </c>
      <c r="V711">
        <v>2025</v>
      </c>
      <c r="W711">
        <v>5</v>
      </c>
    </row>
    <row r="712" spans="1:23" x14ac:dyDescent="0.25">
      <c r="A712" t="s">
        <v>1667</v>
      </c>
      <c r="B712">
        <v>45791.301724537043</v>
      </c>
      <c r="C712" t="s">
        <v>1366</v>
      </c>
      <c r="D712" t="s">
        <v>126</v>
      </c>
      <c r="E712" t="s">
        <v>58</v>
      </c>
      <c r="F712" t="s">
        <v>2396</v>
      </c>
      <c r="G712" t="s">
        <v>2377</v>
      </c>
      <c r="H712">
        <v>16000</v>
      </c>
      <c r="I712">
        <v>1</v>
      </c>
      <c r="J712">
        <v>15</v>
      </c>
      <c r="K712">
        <v>16000</v>
      </c>
      <c r="L712">
        <v>2400</v>
      </c>
      <c r="M712">
        <v>13600</v>
      </c>
      <c r="N712">
        <v>84000</v>
      </c>
      <c r="O712">
        <v>97600</v>
      </c>
      <c r="P712" t="s">
        <v>29</v>
      </c>
      <c r="Q712" t="s">
        <v>2357</v>
      </c>
      <c r="R712" t="s">
        <v>30</v>
      </c>
      <c r="S712">
        <v>4</v>
      </c>
      <c r="T712" t="s">
        <v>24</v>
      </c>
      <c r="U712" t="s">
        <v>2405</v>
      </c>
      <c r="V712">
        <v>2025</v>
      </c>
      <c r="W712">
        <v>5</v>
      </c>
    </row>
    <row r="713" spans="1:23" x14ac:dyDescent="0.25">
      <c r="A713" t="s">
        <v>1668</v>
      </c>
      <c r="B713">
        <v>45791.439097222217</v>
      </c>
      <c r="C713" t="s">
        <v>446</v>
      </c>
      <c r="D713" t="s">
        <v>296</v>
      </c>
      <c r="E713" t="s">
        <v>110</v>
      </c>
      <c r="F713" t="s">
        <v>2395</v>
      </c>
      <c r="G713" t="s">
        <v>2379</v>
      </c>
      <c r="H713">
        <v>6000</v>
      </c>
      <c r="I713">
        <v>2</v>
      </c>
      <c r="J713">
        <v>20</v>
      </c>
      <c r="K713">
        <v>12000</v>
      </c>
      <c r="L713">
        <v>2400</v>
      </c>
      <c r="M713">
        <v>9600</v>
      </c>
      <c r="N713">
        <v>79000</v>
      </c>
      <c r="O713">
        <v>88600</v>
      </c>
      <c r="P713" t="s">
        <v>29</v>
      </c>
      <c r="Q713" t="s">
        <v>2357</v>
      </c>
      <c r="R713" t="s">
        <v>30</v>
      </c>
      <c r="S713">
        <v>3</v>
      </c>
      <c r="T713" t="s">
        <v>37</v>
      </c>
      <c r="U713" t="s">
        <v>2405</v>
      </c>
      <c r="V713">
        <v>2025</v>
      </c>
      <c r="W713">
        <v>5</v>
      </c>
    </row>
    <row r="714" spans="1:23" x14ac:dyDescent="0.25">
      <c r="A714" t="s">
        <v>1669</v>
      </c>
      <c r="B714">
        <v>45791.512048611112</v>
      </c>
      <c r="C714" t="s">
        <v>525</v>
      </c>
      <c r="D714" t="s">
        <v>96</v>
      </c>
      <c r="E714" t="s">
        <v>54</v>
      </c>
      <c r="F714" t="s">
        <v>2393</v>
      </c>
      <c r="G714" t="s">
        <v>2379</v>
      </c>
      <c r="H714">
        <v>16000</v>
      </c>
      <c r="I714">
        <v>5</v>
      </c>
      <c r="J714">
        <v>0</v>
      </c>
      <c r="K714">
        <v>80000</v>
      </c>
      <c r="L714">
        <v>0</v>
      </c>
      <c r="M714">
        <v>80000</v>
      </c>
      <c r="N714">
        <v>49000</v>
      </c>
      <c r="O714">
        <v>129000</v>
      </c>
      <c r="P714" t="s">
        <v>22</v>
      </c>
      <c r="Q714" t="s">
        <v>2357</v>
      </c>
      <c r="R714" t="s">
        <v>23</v>
      </c>
      <c r="S714">
        <v>4</v>
      </c>
      <c r="T714" t="s">
        <v>24</v>
      </c>
      <c r="U714" t="s">
        <v>2405</v>
      </c>
      <c r="V714">
        <v>2025</v>
      </c>
      <c r="W714">
        <v>5</v>
      </c>
    </row>
    <row r="715" spans="1:23" x14ac:dyDescent="0.25">
      <c r="A715" t="s">
        <v>1670</v>
      </c>
      <c r="B715">
        <v>45791.52002314815</v>
      </c>
      <c r="C715" t="s">
        <v>387</v>
      </c>
      <c r="D715" t="s">
        <v>49</v>
      </c>
      <c r="E715" t="s">
        <v>136</v>
      </c>
      <c r="F715" t="s">
        <v>2400</v>
      </c>
      <c r="G715" t="s">
        <v>2378</v>
      </c>
      <c r="H715">
        <v>12000</v>
      </c>
      <c r="I715">
        <v>5</v>
      </c>
      <c r="J715">
        <v>5</v>
      </c>
      <c r="K715">
        <v>60000</v>
      </c>
      <c r="L715">
        <v>3000</v>
      </c>
      <c r="M715">
        <v>57000</v>
      </c>
      <c r="N715">
        <v>43000</v>
      </c>
      <c r="O715">
        <v>100000</v>
      </c>
      <c r="P715" t="s">
        <v>35</v>
      </c>
      <c r="Q715" t="s">
        <v>2359</v>
      </c>
      <c r="R715" t="s">
        <v>30</v>
      </c>
      <c r="S715">
        <v>5</v>
      </c>
      <c r="T715" t="s">
        <v>37</v>
      </c>
      <c r="U715" t="s">
        <v>2405</v>
      </c>
      <c r="V715">
        <v>2025</v>
      </c>
      <c r="W715">
        <v>5</v>
      </c>
    </row>
    <row r="716" spans="1:23" x14ac:dyDescent="0.25">
      <c r="A716" t="s">
        <v>1671</v>
      </c>
      <c r="B716">
        <v>45791.562789351847</v>
      </c>
      <c r="C716" t="s">
        <v>1323</v>
      </c>
      <c r="D716" t="s">
        <v>74</v>
      </c>
      <c r="E716" t="s">
        <v>144</v>
      </c>
      <c r="F716" t="s">
        <v>2396</v>
      </c>
      <c r="G716" t="s">
        <v>2379</v>
      </c>
      <c r="H716">
        <v>18000</v>
      </c>
      <c r="I716">
        <v>5</v>
      </c>
      <c r="J716">
        <v>5</v>
      </c>
      <c r="K716">
        <v>90000</v>
      </c>
      <c r="L716">
        <v>4500</v>
      </c>
      <c r="M716">
        <v>85500</v>
      </c>
      <c r="N716">
        <v>87000</v>
      </c>
      <c r="O716">
        <v>172500</v>
      </c>
      <c r="P716" t="s">
        <v>22</v>
      </c>
      <c r="Q716" t="s">
        <v>2357</v>
      </c>
      <c r="R716" t="s">
        <v>82</v>
      </c>
      <c r="S716">
        <v>3</v>
      </c>
      <c r="T716" t="s">
        <v>24</v>
      </c>
      <c r="U716" t="s">
        <v>2405</v>
      </c>
      <c r="V716">
        <v>2025</v>
      </c>
      <c r="W716">
        <v>5</v>
      </c>
    </row>
    <row r="717" spans="1:23" x14ac:dyDescent="0.25">
      <c r="A717" t="s">
        <v>1672</v>
      </c>
      <c r="B717">
        <v>45791.686967592592</v>
      </c>
      <c r="C717" t="s">
        <v>576</v>
      </c>
      <c r="D717" t="s">
        <v>57</v>
      </c>
      <c r="E717" t="s">
        <v>50</v>
      </c>
      <c r="F717" t="s">
        <v>2400</v>
      </c>
      <c r="G717" t="s">
        <v>2379</v>
      </c>
      <c r="H717">
        <v>14000</v>
      </c>
      <c r="I717">
        <v>2</v>
      </c>
      <c r="J717">
        <v>15</v>
      </c>
      <c r="K717">
        <v>28000</v>
      </c>
      <c r="L717">
        <v>4200</v>
      </c>
      <c r="M717">
        <v>23800</v>
      </c>
      <c r="N717">
        <v>80000</v>
      </c>
      <c r="O717">
        <v>103800</v>
      </c>
      <c r="P717" t="s">
        <v>63</v>
      </c>
      <c r="Q717" t="s">
        <v>2357</v>
      </c>
      <c r="R717" t="s">
        <v>23</v>
      </c>
      <c r="S717">
        <v>5</v>
      </c>
      <c r="T717" t="s">
        <v>37</v>
      </c>
      <c r="U717" t="s">
        <v>2405</v>
      </c>
      <c r="V717">
        <v>2025</v>
      </c>
      <c r="W717">
        <v>5</v>
      </c>
    </row>
    <row r="718" spans="1:23" x14ac:dyDescent="0.25">
      <c r="A718" t="s">
        <v>1673</v>
      </c>
      <c r="B718">
        <v>45791.735127314823</v>
      </c>
      <c r="C718" t="s">
        <v>128</v>
      </c>
      <c r="D718" t="s">
        <v>103</v>
      </c>
      <c r="E718" t="s">
        <v>81</v>
      </c>
      <c r="F718" t="s">
        <v>2397</v>
      </c>
      <c r="G718" t="s">
        <v>2378</v>
      </c>
      <c r="H718">
        <v>17000</v>
      </c>
      <c r="I718">
        <v>5</v>
      </c>
      <c r="J718">
        <v>10</v>
      </c>
      <c r="K718">
        <v>85000</v>
      </c>
      <c r="L718">
        <v>8500</v>
      </c>
      <c r="M718">
        <v>76500</v>
      </c>
      <c r="N718">
        <v>85000</v>
      </c>
      <c r="O718">
        <v>161500</v>
      </c>
      <c r="P718" t="s">
        <v>35</v>
      </c>
      <c r="Q718" t="s">
        <v>2357</v>
      </c>
      <c r="R718" t="s">
        <v>82</v>
      </c>
      <c r="S718">
        <v>3</v>
      </c>
      <c r="T718" t="s">
        <v>37</v>
      </c>
      <c r="U718" t="s">
        <v>2405</v>
      </c>
      <c r="V718">
        <v>2025</v>
      </c>
      <c r="W718">
        <v>5</v>
      </c>
    </row>
    <row r="719" spans="1:23" x14ac:dyDescent="0.25">
      <c r="A719" t="s">
        <v>1674</v>
      </c>
      <c r="B719">
        <v>45792.079675925917</v>
      </c>
      <c r="C719" t="s">
        <v>192</v>
      </c>
      <c r="D719" t="s">
        <v>107</v>
      </c>
      <c r="E719" t="s">
        <v>190</v>
      </c>
      <c r="F719" t="s">
        <v>2392</v>
      </c>
      <c r="G719" t="s">
        <v>2378</v>
      </c>
      <c r="H719">
        <v>35000</v>
      </c>
      <c r="I719">
        <v>4</v>
      </c>
      <c r="J719">
        <v>20</v>
      </c>
      <c r="K719">
        <v>140000</v>
      </c>
      <c r="L719">
        <v>28000</v>
      </c>
      <c r="M719">
        <v>112000</v>
      </c>
      <c r="N719">
        <v>97000</v>
      </c>
      <c r="O719">
        <v>209000</v>
      </c>
      <c r="P719" t="s">
        <v>63</v>
      </c>
      <c r="Q719" t="s">
        <v>2357</v>
      </c>
      <c r="R719" t="s">
        <v>23</v>
      </c>
      <c r="S719">
        <v>3</v>
      </c>
      <c r="T719" t="s">
        <v>24</v>
      </c>
      <c r="U719" t="s">
        <v>2405</v>
      </c>
      <c r="V719">
        <v>2025</v>
      </c>
      <c r="W719">
        <v>5</v>
      </c>
    </row>
    <row r="720" spans="1:23" x14ac:dyDescent="0.25">
      <c r="A720" t="s">
        <v>1675</v>
      </c>
      <c r="B720">
        <v>45792.082291666673</v>
      </c>
      <c r="C720" t="s">
        <v>589</v>
      </c>
      <c r="D720" t="s">
        <v>262</v>
      </c>
      <c r="E720" t="s">
        <v>123</v>
      </c>
      <c r="F720" t="s">
        <v>2399</v>
      </c>
      <c r="G720" t="s">
        <v>2377</v>
      </c>
      <c r="H720">
        <v>22000</v>
      </c>
      <c r="I720">
        <v>3</v>
      </c>
      <c r="J720">
        <v>10</v>
      </c>
      <c r="K720">
        <v>66000</v>
      </c>
      <c r="L720">
        <v>6600</v>
      </c>
      <c r="M720">
        <v>59400</v>
      </c>
      <c r="N720">
        <v>18000</v>
      </c>
      <c r="O720">
        <v>77400</v>
      </c>
      <c r="P720" t="s">
        <v>22</v>
      </c>
      <c r="Q720" t="s">
        <v>2357</v>
      </c>
      <c r="R720" t="s">
        <v>36</v>
      </c>
      <c r="S720">
        <v>3</v>
      </c>
      <c r="T720" t="s">
        <v>37</v>
      </c>
      <c r="U720" t="s">
        <v>2405</v>
      </c>
      <c r="V720">
        <v>2025</v>
      </c>
      <c r="W720">
        <v>5</v>
      </c>
    </row>
    <row r="721" spans="1:23" x14ac:dyDescent="0.25">
      <c r="A721" t="s">
        <v>1676</v>
      </c>
      <c r="B721">
        <v>45792.312106481477</v>
      </c>
      <c r="C721" t="s">
        <v>851</v>
      </c>
      <c r="D721" t="s">
        <v>66</v>
      </c>
      <c r="E721" t="s">
        <v>28</v>
      </c>
      <c r="F721" t="s">
        <v>2395</v>
      </c>
      <c r="G721" t="s">
        <v>2378</v>
      </c>
      <c r="H721">
        <v>5000</v>
      </c>
      <c r="I721">
        <v>5</v>
      </c>
      <c r="J721">
        <v>5</v>
      </c>
      <c r="K721">
        <v>25000</v>
      </c>
      <c r="L721">
        <v>1250</v>
      </c>
      <c r="M721">
        <v>23750</v>
      </c>
      <c r="N721">
        <v>59000</v>
      </c>
      <c r="O721">
        <v>82750</v>
      </c>
      <c r="P721" t="s">
        <v>29</v>
      </c>
      <c r="Q721" t="s">
        <v>2357</v>
      </c>
      <c r="R721" t="s">
        <v>82</v>
      </c>
      <c r="S721">
        <v>4</v>
      </c>
      <c r="T721" t="s">
        <v>37</v>
      </c>
      <c r="U721" t="s">
        <v>2405</v>
      </c>
      <c r="V721">
        <v>2025</v>
      </c>
      <c r="W721">
        <v>5</v>
      </c>
    </row>
    <row r="722" spans="1:23" x14ac:dyDescent="0.25">
      <c r="A722" t="s">
        <v>1677</v>
      </c>
      <c r="B722">
        <v>45792.342673611107</v>
      </c>
      <c r="C722" t="s">
        <v>19</v>
      </c>
      <c r="D722" t="s">
        <v>20</v>
      </c>
      <c r="E722" t="s">
        <v>58</v>
      </c>
      <c r="F722" t="s">
        <v>2396</v>
      </c>
      <c r="G722" t="s">
        <v>2377</v>
      </c>
      <c r="H722">
        <v>16000</v>
      </c>
      <c r="I722">
        <v>3</v>
      </c>
      <c r="J722">
        <v>15</v>
      </c>
      <c r="K722">
        <v>48000</v>
      </c>
      <c r="L722">
        <v>7200</v>
      </c>
      <c r="M722">
        <v>40800</v>
      </c>
      <c r="N722">
        <v>15000</v>
      </c>
      <c r="O722">
        <v>55800</v>
      </c>
      <c r="P722" t="s">
        <v>35</v>
      </c>
      <c r="Q722" t="s">
        <v>2357</v>
      </c>
      <c r="R722" t="s">
        <v>82</v>
      </c>
      <c r="S722">
        <v>2</v>
      </c>
      <c r="T722" t="s">
        <v>24</v>
      </c>
      <c r="U722" t="s">
        <v>2405</v>
      </c>
      <c r="V722">
        <v>2025</v>
      </c>
      <c r="W722">
        <v>5</v>
      </c>
    </row>
    <row r="723" spans="1:23" x14ac:dyDescent="0.25">
      <c r="A723" t="s">
        <v>1677</v>
      </c>
      <c r="B723">
        <v>45792.342673611107</v>
      </c>
      <c r="C723" t="s">
        <v>19</v>
      </c>
      <c r="D723" t="s">
        <v>20</v>
      </c>
      <c r="E723" t="s">
        <v>75</v>
      </c>
      <c r="F723" t="s">
        <v>2398</v>
      </c>
      <c r="G723" t="s">
        <v>2379</v>
      </c>
      <c r="H723">
        <v>55000</v>
      </c>
      <c r="I723">
        <v>3</v>
      </c>
      <c r="J723">
        <v>10</v>
      </c>
      <c r="K723">
        <v>165000</v>
      </c>
      <c r="L723">
        <v>16500</v>
      </c>
      <c r="M723">
        <v>148500</v>
      </c>
      <c r="N723">
        <v>0</v>
      </c>
      <c r="O723">
        <v>148500</v>
      </c>
      <c r="P723" t="s">
        <v>35</v>
      </c>
      <c r="Q723" t="s">
        <v>2357</v>
      </c>
      <c r="R723" t="s">
        <v>82</v>
      </c>
      <c r="S723">
        <v>2</v>
      </c>
      <c r="T723" t="s">
        <v>24</v>
      </c>
      <c r="U723" t="s">
        <v>2405</v>
      </c>
      <c r="V723">
        <v>2025</v>
      </c>
      <c r="W723">
        <v>5</v>
      </c>
    </row>
    <row r="724" spans="1:23" x14ac:dyDescent="0.25">
      <c r="A724" t="s">
        <v>1678</v>
      </c>
      <c r="B724">
        <v>45792.569108796299</v>
      </c>
      <c r="C724" t="s">
        <v>804</v>
      </c>
      <c r="D724" t="s">
        <v>49</v>
      </c>
      <c r="E724" t="s">
        <v>85</v>
      </c>
      <c r="F724" t="s">
        <v>2394</v>
      </c>
      <c r="G724" t="s">
        <v>2377</v>
      </c>
      <c r="H724">
        <v>35000</v>
      </c>
      <c r="I724">
        <v>4</v>
      </c>
      <c r="J724">
        <v>0</v>
      </c>
      <c r="K724">
        <v>140000</v>
      </c>
      <c r="L724">
        <v>0</v>
      </c>
      <c r="M724">
        <v>140000</v>
      </c>
      <c r="N724">
        <v>43000</v>
      </c>
      <c r="O724">
        <v>183000</v>
      </c>
      <c r="P724" t="s">
        <v>63</v>
      </c>
      <c r="Q724" t="s">
        <v>2357</v>
      </c>
      <c r="R724" t="s">
        <v>30</v>
      </c>
      <c r="S724">
        <v>3</v>
      </c>
      <c r="T724" t="s">
        <v>24</v>
      </c>
      <c r="U724" t="s">
        <v>2405</v>
      </c>
      <c r="V724">
        <v>2025</v>
      </c>
      <c r="W724">
        <v>5</v>
      </c>
    </row>
    <row r="725" spans="1:23" x14ac:dyDescent="0.25">
      <c r="A725" t="s">
        <v>1679</v>
      </c>
      <c r="B725">
        <v>45792.624212962961</v>
      </c>
      <c r="C725" t="s">
        <v>254</v>
      </c>
      <c r="D725" t="s">
        <v>61</v>
      </c>
      <c r="E725" t="s">
        <v>174</v>
      </c>
      <c r="F725" t="s">
        <v>2400</v>
      </c>
      <c r="G725" t="s">
        <v>2377</v>
      </c>
      <c r="H725">
        <v>10000</v>
      </c>
      <c r="I725">
        <v>1</v>
      </c>
      <c r="J725">
        <v>5</v>
      </c>
      <c r="K725">
        <v>10000</v>
      </c>
      <c r="L725">
        <v>500</v>
      </c>
      <c r="M725">
        <v>9500</v>
      </c>
      <c r="N725">
        <v>26000</v>
      </c>
      <c r="O725">
        <v>35500</v>
      </c>
      <c r="P725" t="s">
        <v>29</v>
      </c>
      <c r="Q725" t="s">
        <v>2357</v>
      </c>
      <c r="R725" t="s">
        <v>82</v>
      </c>
      <c r="S725">
        <v>4</v>
      </c>
      <c r="T725" t="s">
        <v>24</v>
      </c>
      <c r="U725" t="s">
        <v>2405</v>
      </c>
      <c r="V725">
        <v>2025</v>
      </c>
      <c r="W725">
        <v>5</v>
      </c>
    </row>
    <row r="726" spans="1:23" x14ac:dyDescent="0.25">
      <c r="A726" t="s">
        <v>1680</v>
      </c>
      <c r="B726">
        <v>45792.682291666657</v>
      </c>
      <c r="C726" t="s">
        <v>181</v>
      </c>
      <c r="D726" t="s">
        <v>182</v>
      </c>
      <c r="E726" t="s">
        <v>21</v>
      </c>
      <c r="F726" t="s">
        <v>2394</v>
      </c>
      <c r="G726" t="s">
        <v>2379</v>
      </c>
      <c r="H726">
        <v>45000</v>
      </c>
      <c r="I726">
        <v>4</v>
      </c>
      <c r="J726">
        <v>10</v>
      </c>
      <c r="K726">
        <v>180000</v>
      </c>
      <c r="L726">
        <v>18000</v>
      </c>
      <c r="M726">
        <v>162000</v>
      </c>
      <c r="N726">
        <v>48000</v>
      </c>
      <c r="O726">
        <v>210000</v>
      </c>
      <c r="P726" t="s">
        <v>35</v>
      </c>
      <c r="Q726" t="s">
        <v>2357</v>
      </c>
      <c r="R726" t="s">
        <v>46</v>
      </c>
      <c r="S726">
        <v>3</v>
      </c>
      <c r="T726" t="s">
        <v>24</v>
      </c>
      <c r="U726" t="s">
        <v>2405</v>
      </c>
      <c r="V726">
        <v>2025</v>
      </c>
      <c r="W726">
        <v>5</v>
      </c>
    </row>
    <row r="727" spans="1:23" x14ac:dyDescent="0.25">
      <c r="A727" t="s">
        <v>1680</v>
      </c>
      <c r="B727">
        <v>45792.682291666657</v>
      </c>
      <c r="C727" t="s">
        <v>181</v>
      </c>
      <c r="D727" t="s">
        <v>182</v>
      </c>
      <c r="E727" t="s">
        <v>104</v>
      </c>
      <c r="F727" t="s">
        <v>2392</v>
      </c>
      <c r="G727" t="s">
        <v>2377</v>
      </c>
      <c r="H727">
        <v>30000</v>
      </c>
      <c r="I727">
        <v>1</v>
      </c>
      <c r="J727">
        <v>10</v>
      </c>
      <c r="K727">
        <v>30000</v>
      </c>
      <c r="L727">
        <v>3000</v>
      </c>
      <c r="M727">
        <v>27000</v>
      </c>
      <c r="N727">
        <v>0</v>
      </c>
      <c r="O727">
        <v>27000</v>
      </c>
      <c r="P727" t="s">
        <v>35</v>
      </c>
      <c r="Q727" t="s">
        <v>2357</v>
      </c>
      <c r="R727" t="s">
        <v>46</v>
      </c>
      <c r="S727">
        <v>3</v>
      </c>
      <c r="T727" t="s">
        <v>24</v>
      </c>
      <c r="U727" t="s">
        <v>2405</v>
      </c>
      <c r="V727">
        <v>2025</v>
      </c>
      <c r="W727">
        <v>5</v>
      </c>
    </row>
    <row r="728" spans="1:23" x14ac:dyDescent="0.25">
      <c r="A728" t="s">
        <v>1681</v>
      </c>
      <c r="B728">
        <v>45792.786874999998</v>
      </c>
      <c r="C728" t="s">
        <v>434</v>
      </c>
      <c r="D728" t="s">
        <v>435</v>
      </c>
      <c r="E728" t="s">
        <v>34</v>
      </c>
      <c r="F728" t="s">
        <v>2397</v>
      </c>
      <c r="G728" t="s">
        <v>2377</v>
      </c>
      <c r="H728">
        <v>16000</v>
      </c>
      <c r="I728">
        <v>1</v>
      </c>
      <c r="J728">
        <v>10</v>
      </c>
      <c r="K728">
        <v>16000</v>
      </c>
      <c r="L728">
        <v>1600</v>
      </c>
      <c r="M728">
        <v>14400</v>
      </c>
      <c r="N728">
        <v>67000</v>
      </c>
      <c r="O728">
        <v>81400</v>
      </c>
      <c r="P728" t="s">
        <v>29</v>
      </c>
      <c r="Q728" t="s">
        <v>2357</v>
      </c>
      <c r="R728" t="s">
        <v>23</v>
      </c>
      <c r="S728">
        <v>2</v>
      </c>
      <c r="T728" t="s">
        <v>24</v>
      </c>
      <c r="U728" t="s">
        <v>2405</v>
      </c>
      <c r="V728">
        <v>2025</v>
      </c>
      <c r="W728">
        <v>5</v>
      </c>
    </row>
    <row r="729" spans="1:23" x14ac:dyDescent="0.25">
      <c r="A729" t="s">
        <v>1682</v>
      </c>
      <c r="B729">
        <v>45793.144826388889</v>
      </c>
      <c r="C729" t="s">
        <v>412</v>
      </c>
      <c r="D729" t="s">
        <v>70</v>
      </c>
      <c r="E729" t="s">
        <v>34</v>
      </c>
      <c r="F729" t="s">
        <v>2397</v>
      </c>
      <c r="G729" t="s">
        <v>2377</v>
      </c>
      <c r="H729">
        <v>16000</v>
      </c>
      <c r="I729">
        <v>1</v>
      </c>
      <c r="J729">
        <v>0</v>
      </c>
      <c r="K729">
        <v>16000</v>
      </c>
      <c r="L729">
        <v>0</v>
      </c>
      <c r="M729">
        <v>16000</v>
      </c>
      <c r="N729">
        <v>89000</v>
      </c>
      <c r="O729">
        <v>105000</v>
      </c>
      <c r="P729" t="s">
        <v>22</v>
      </c>
      <c r="Q729" t="s">
        <v>2357</v>
      </c>
      <c r="R729" t="s">
        <v>36</v>
      </c>
      <c r="S729">
        <v>5</v>
      </c>
      <c r="T729" t="s">
        <v>24</v>
      </c>
      <c r="U729" t="s">
        <v>2405</v>
      </c>
      <c r="V729">
        <v>2025</v>
      </c>
      <c r="W729">
        <v>5</v>
      </c>
    </row>
    <row r="730" spans="1:23" x14ac:dyDescent="0.25">
      <c r="A730" t="s">
        <v>1683</v>
      </c>
      <c r="B730">
        <v>45793.158506944441</v>
      </c>
      <c r="C730" t="s">
        <v>91</v>
      </c>
      <c r="D730" t="s">
        <v>92</v>
      </c>
      <c r="E730" t="s">
        <v>67</v>
      </c>
      <c r="F730" t="s">
        <v>2393</v>
      </c>
      <c r="G730" t="s">
        <v>2378</v>
      </c>
      <c r="H730">
        <v>15000</v>
      </c>
      <c r="I730">
        <v>3</v>
      </c>
      <c r="J730">
        <v>5</v>
      </c>
      <c r="K730">
        <v>45000</v>
      </c>
      <c r="L730">
        <v>2250</v>
      </c>
      <c r="M730">
        <v>42750</v>
      </c>
      <c r="N730">
        <v>30000</v>
      </c>
      <c r="O730">
        <v>72750</v>
      </c>
      <c r="P730" t="s">
        <v>22</v>
      </c>
      <c r="Q730" t="s">
        <v>2357</v>
      </c>
      <c r="R730" t="s">
        <v>82</v>
      </c>
      <c r="S730">
        <v>2</v>
      </c>
      <c r="T730" t="s">
        <v>24</v>
      </c>
      <c r="U730" t="s">
        <v>2405</v>
      </c>
      <c r="V730">
        <v>2025</v>
      </c>
      <c r="W730">
        <v>5</v>
      </c>
    </row>
    <row r="731" spans="1:23" x14ac:dyDescent="0.25">
      <c r="A731" t="s">
        <v>1684</v>
      </c>
      <c r="B731">
        <v>45793.745891203696</v>
      </c>
      <c r="C731" t="s">
        <v>214</v>
      </c>
      <c r="D731" t="s">
        <v>131</v>
      </c>
      <c r="E731" t="s">
        <v>144</v>
      </c>
      <c r="F731" t="s">
        <v>2396</v>
      </c>
      <c r="G731" t="s">
        <v>2379</v>
      </c>
      <c r="H731">
        <v>18000</v>
      </c>
      <c r="I731">
        <v>4</v>
      </c>
      <c r="J731">
        <v>15</v>
      </c>
      <c r="K731">
        <v>72000</v>
      </c>
      <c r="L731">
        <v>10800</v>
      </c>
      <c r="M731">
        <v>61200</v>
      </c>
      <c r="N731">
        <v>59000</v>
      </c>
      <c r="O731">
        <v>120200</v>
      </c>
      <c r="P731" t="s">
        <v>63</v>
      </c>
      <c r="Q731" t="s">
        <v>2356</v>
      </c>
      <c r="R731" t="s">
        <v>30</v>
      </c>
      <c r="S731">
        <v>4</v>
      </c>
      <c r="T731" t="s">
        <v>24</v>
      </c>
      <c r="U731" t="s">
        <v>2405</v>
      </c>
      <c r="V731">
        <v>2025</v>
      </c>
      <c r="W731">
        <v>5</v>
      </c>
    </row>
    <row r="732" spans="1:23" x14ac:dyDescent="0.25">
      <c r="A732" t="s">
        <v>1685</v>
      </c>
      <c r="B732">
        <v>45793.898761574077</v>
      </c>
      <c r="C732" t="s">
        <v>246</v>
      </c>
      <c r="D732" t="s">
        <v>238</v>
      </c>
      <c r="E732" t="s">
        <v>190</v>
      </c>
      <c r="F732" t="s">
        <v>2392</v>
      </c>
      <c r="G732" t="s">
        <v>2378</v>
      </c>
      <c r="H732">
        <v>35000</v>
      </c>
      <c r="I732">
        <v>1</v>
      </c>
      <c r="J732">
        <v>15</v>
      </c>
      <c r="K732">
        <v>35000</v>
      </c>
      <c r="L732">
        <v>5250</v>
      </c>
      <c r="M732">
        <v>29750</v>
      </c>
      <c r="N732">
        <v>28000</v>
      </c>
      <c r="O732">
        <v>57750</v>
      </c>
      <c r="P732" t="s">
        <v>22</v>
      </c>
      <c r="Q732" t="s">
        <v>2357</v>
      </c>
      <c r="R732" t="s">
        <v>23</v>
      </c>
      <c r="S732">
        <v>4</v>
      </c>
      <c r="T732" t="s">
        <v>24</v>
      </c>
      <c r="U732" t="s">
        <v>2405</v>
      </c>
      <c r="V732">
        <v>2025</v>
      </c>
      <c r="W732">
        <v>5</v>
      </c>
    </row>
    <row r="733" spans="1:23" x14ac:dyDescent="0.25">
      <c r="A733" t="s">
        <v>1686</v>
      </c>
      <c r="B733">
        <v>45793.992638888893</v>
      </c>
      <c r="C733" t="s">
        <v>316</v>
      </c>
      <c r="D733" t="s">
        <v>244</v>
      </c>
      <c r="E733" t="s">
        <v>75</v>
      </c>
      <c r="F733" t="s">
        <v>2398</v>
      </c>
      <c r="G733" t="s">
        <v>2379</v>
      </c>
      <c r="H733">
        <v>55000</v>
      </c>
      <c r="I733">
        <v>4</v>
      </c>
      <c r="J733">
        <v>15</v>
      </c>
      <c r="K733">
        <v>220000</v>
      </c>
      <c r="L733">
        <v>33000</v>
      </c>
      <c r="M733">
        <v>187000</v>
      </c>
      <c r="N733">
        <v>80000</v>
      </c>
      <c r="O733">
        <v>267000</v>
      </c>
      <c r="P733" t="s">
        <v>35</v>
      </c>
      <c r="Q733" t="s">
        <v>2357</v>
      </c>
      <c r="R733" t="s">
        <v>82</v>
      </c>
      <c r="S733">
        <v>2</v>
      </c>
      <c r="T733" t="s">
        <v>24</v>
      </c>
      <c r="U733" t="s">
        <v>2405</v>
      </c>
      <c r="V733">
        <v>2025</v>
      </c>
      <c r="W733">
        <v>5</v>
      </c>
    </row>
    <row r="734" spans="1:23" x14ac:dyDescent="0.25">
      <c r="A734" t="s">
        <v>1687</v>
      </c>
      <c r="B734">
        <v>45794.427870370368</v>
      </c>
      <c r="C734" t="s">
        <v>100</v>
      </c>
      <c r="D734" t="s">
        <v>66</v>
      </c>
      <c r="E734" t="s">
        <v>144</v>
      </c>
      <c r="F734" t="s">
        <v>2396</v>
      </c>
      <c r="G734" t="s">
        <v>2379</v>
      </c>
      <c r="H734">
        <v>18000</v>
      </c>
      <c r="I734">
        <v>1</v>
      </c>
      <c r="J734">
        <v>10</v>
      </c>
      <c r="K734">
        <v>18000</v>
      </c>
      <c r="L734">
        <v>1800</v>
      </c>
      <c r="M734">
        <v>16200</v>
      </c>
      <c r="N734">
        <v>59000</v>
      </c>
      <c r="O734">
        <v>75200</v>
      </c>
      <c r="P734" t="s">
        <v>63</v>
      </c>
      <c r="Q734" t="s">
        <v>2357</v>
      </c>
      <c r="R734" t="s">
        <v>46</v>
      </c>
      <c r="S734">
        <v>2</v>
      </c>
      <c r="T734" t="s">
        <v>24</v>
      </c>
      <c r="U734" t="s">
        <v>2405</v>
      </c>
      <c r="V734">
        <v>2025</v>
      </c>
      <c r="W734">
        <v>5</v>
      </c>
    </row>
    <row r="735" spans="1:23" x14ac:dyDescent="0.25">
      <c r="A735" t="s">
        <v>1688</v>
      </c>
      <c r="B735">
        <v>45794.592037037037</v>
      </c>
      <c r="C735" t="s">
        <v>796</v>
      </c>
      <c r="D735" t="s">
        <v>119</v>
      </c>
      <c r="E735" t="s">
        <v>85</v>
      </c>
      <c r="F735" t="s">
        <v>2394</v>
      </c>
      <c r="G735" t="s">
        <v>2377</v>
      </c>
      <c r="H735">
        <v>35000</v>
      </c>
      <c r="I735">
        <v>4</v>
      </c>
      <c r="J735">
        <v>20</v>
      </c>
      <c r="K735">
        <v>140000</v>
      </c>
      <c r="L735">
        <v>28000</v>
      </c>
      <c r="M735">
        <v>112000</v>
      </c>
      <c r="N735">
        <v>0</v>
      </c>
      <c r="O735">
        <v>112000</v>
      </c>
      <c r="P735" t="s">
        <v>22</v>
      </c>
      <c r="Q735" t="s">
        <v>2356</v>
      </c>
      <c r="R735" t="s">
        <v>30</v>
      </c>
      <c r="S735">
        <v>1</v>
      </c>
      <c r="T735" t="s">
        <v>24</v>
      </c>
      <c r="U735" t="s">
        <v>2405</v>
      </c>
      <c r="V735">
        <v>2025</v>
      </c>
      <c r="W735">
        <v>5</v>
      </c>
    </row>
    <row r="736" spans="1:23" x14ac:dyDescent="0.25">
      <c r="A736" t="s">
        <v>1689</v>
      </c>
      <c r="B736">
        <v>45794.908113425918</v>
      </c>
      <c r="C736" t="s">
        <v>510</v>
      </c>
      <c r="D736" t="s">
        <v>96</v>
      </c>
      <c r="E736" t="s">
        <v>186</v>
      </c>
      <c r="F736" t="s">
        <v>2398</v>
      </c>
      <c r="G736" t="s">
        <v>2377</v>
      </c>
      <c r="H736">
        <v>45000</v>
      </c>
      <c r="I736">
        <v>4</v>
      </c>
      <c r="J736">
        <v>15</v>
      </c>
      <c r="K736">
        <v>180000</v>
      </c>
      <c r="L736">
        <v>27000</v>
      </c>
      <c r="M736">
        <v>153000</v>
      </c>
      <c r="N736">
        <v>49000</v>
      </c>
      <c r="O736">
        <v>202000</v>
      </c>
      <c r="P736" t="s">
        <v>29</v>
      </c>
      <c r="Q736" t="s">
        <v>2359</v>
      </c>
      <c r="R736" t="s">
        <v>30</v>
      </c>
      <c r="S736">
        <v>3</v>
      </c>
      <c r="T736" t="s">
        <v>24</v>
      </c>
      <c r="U736" t="s">
        <v>2405</v>
      </c>
      <c r="V736">
        <v>2025</v>
      </c>
      <c r="W736">
        <v>5</v>
      </c>
    </row>
    <row r="737" spans="1:23" x14ac:dyDescent="0.25">
      <c r="A737" t="s">
        <v>1690</v>
      </c>
      <c r="B737">
        <v>45795.023715277777</v>
      </c>
      <c r="C737" t="s">
        <v>1666</v>
      </c>
      <c r="D737" t="s">
        <v>296</v>
      </c>
      <c r="E737" t="s">
        <v>62</v>
      </c>
      <c r="F737" t="s">
        <v>2398</v>
      </c>
      <c r="G737" t="s">
        <v>2378</v>
      </c>
      <c r="H737">
        <v>50000</v>
      </c>
      <c r="I737">
        <v>1</v>
      </c>
      <c r="J737">
        <v>20</v>
      </c>
      <c r="K737">
        <v>50000</v>
      </c>
      <c r="L737">
        <v>10000</v>
      </c>
      <c r="M737">
        <v>40000</v>
      </c>
      <c r="N737">
        <v>79000</v>
      </c>
      <c r="O737">
        <v>119000</v>
      </c>
      <c r="P737" t="s">
        <v>35</v>
      </c>
      <c r="Q737" t="s">
        <v>2356</v>
      </c>
      <c r="R737" t="s">
        <v>46</v>
      </c>
      <c r="S737">
        <v>4</v>
      </c>
      <c r="T737" t="s">
        <v>37</v>
      </c>
      <c r="U737" t="s">
        <v>2405</v>
      </c>
      <c r="V737">
        <v>2025</v>
      </c>
      <c r="W737">
        <v>5</v>
      </c>
    </row>
    <row r="738" spans="1:23" x14ac:dyDescent="0.25">
      <c r="A738" t="s">
        <v>1691</v>
      </c>
      <c r="B738">
        <v>45795.204236111109</v>
      </c>
      <c r="C738" t="s">
        <v>1083</v>
      </c>
      <c r="D738" t="s">
        <v>170</v>
      </c>
      <c r="E738" t="s">
        <v>34</v>
      </c>
      <c r="F738" t="s">
        <v>2397</v>
      </c>
      <c r="G738" t="s">
        <v>2377</v>
      </c>
      <c r="H738">
        <v>16000</v>
      </c>
      <c r="I738">
        <v>2</v>
      </c>
      <c r="J738">
        <v>15</v>
      </c>
      <c r="K738">
        <v>32000</v>
      </c>
      <c r="L738">
        <v>4800</v>
      </c>
      <c r="M738">
        <v>27200</v>
      </c>
      <c r="N738">
        <v>46000</v>
      </c>
      <c r="O738">
        <v>73200</v>
      </c>
      <c r="P738" t="s">
        <v>63</v>
      </c>
      <c r="Q738" t="s">
        <v>2357</v>
      </c>
      <c r="R738" t="s">
        <v>46</v>
      </c>
      <c r="S738">
        <v>3</v>
      </c>
      <c r="T738" t="s">
        <v>24</v>
      </c>
      <c r="U738" t="s">
        <v>2405</v>
      </c>
      <c r="V738">
        <v>2025</v>
      </c>
      <c r="W738">
        <v>5</v>
      </c>
    </row>
    <row r="739" spans="1:23" x14ac:dyDescent="0.25">
      <c r="A739" t="s">
        <v>1692</v>
      </c>
      <c r="B739">
        <v>45795.617013888892</v>
      </c>
      <c r="C739" t="s">
        <v>102</v>
      </c>
      <c r="D739" t="s">
        <v>103</v>
      </c>
      <c r="E739" t="s">
        <v>81</v>
      </c>
      <c r="F739" t="s">
        <v>2397</v>
      </c>
      <c r="G739" t="s">
        <v>2378</v>
      </c>
      <c r="H739">
        <v>17000</v>
      </c>
      <c r="I739">
        <v>2</v>
      </c>
      <c r="J739">
        <v>5</v>
      </c>
      <c r="K739">
        <v>34000</v>
      </c>
      <c r="L739">
        <v>1700</v>
      </c>
      <c r="M739">
        <v>32300</v>
      </c>
      <c r="N739">
        <v>85000</v>
      </c>
      <c r="O739">
        <v>117300</v>
      </c>
      <c r="P739" t="s">
        <v>29</v>
      </c>
      <c r="Q739" t="s">
        <v>2357</v>
      </c>
      <c r="R739" t="s">
        <v>30</v>
      </c>
      <c r="S739">
        <v>3</v>
      </c>
      <c r="T739" t="s">
        <v>24</v>
      </c>
      <c r="U739" t="s">
        <v>2405</v>
      </c>
      <c r="V739">
        <v>2025</v>
      </c>
      <c r="W739">
        <v>5</v>
      </c>
    </row>
    <row r="740" spans="1:23" x14ac:dyDescent="0.25">
      <c r="A740" t="s">
        <v>1693</v>
      </c>
      <c r="B740">
        <v>45795.916666666657</v>
      </c>
      <c r="C740" t="s">
        <v>776</v>
      </c>
      <c r="D740" t="s">
        <v>103</v>
      </c>
      <c r="E740" t="s">
        <v>250</v>
      </c>
      <c r="F740" t="s">
        <v>2397</v>
      </c>
      <c r="G740" t="s">
        <v>2379</v>
      </c>
      <c r="H740">
        <v>18000</v>
      </c>
      <c r="I740">
        <v>3</v>
      </c>
      <c r="J740">
        <v>5</v>
      </c>
      <c r="K740">
        <v>54000</v>
      </c>
      <c r="L740">
        <v>2700</v>
      </c>
      <c r="M740">
        <v>51300</v>
      </c>
      <c r="N740">
        <v>85000</v>
      </c>
      <c r="O740">
        <v>136300</v>
      </c>
      <c r="P740" t="s">
        <v>29</v>
      </c>
      <c r="Q740" t="s">
        <v>2357</v>
      </c>
      <c r="R740" t="s">
        <v>30</v>
      </c>
      <c r="S740">
        <v>5</v>
      </c>
      <c r="T740" t="s">
        <v>24</v>
      </c>
      <c r="U740" t="s">
        <v>2405</v>
      </c>
      <c r="V740">
        <v>2025</v>
      </c>
      <c r="W740">
        <v>5</v>
      </c>
    </row>
    <row r="741" spans="1:23" x14ac:dyDescent="0.25">
      <c r="A741" t="s">
        <v>1694</v>
      </c>
      <c r="B741">
        <v>45795.935960648138</v>
      </c>
      <c r="C741" t="s">
        <v>644</v>
      </c>
      <c r="D741" t="s">
        <v>244</v>
      </c>
      <c r="E741" t="s">
        <v>81</v>
      </c>
      <c r="F741" t="s">
        <v>2397</v>
      </c>
      <c r="G741" t="s">
        <v>2378</v>
      </c>
      <c r="H741">
        <v>17000</v>
      </c>
      <c r="I741">
        <v>4</v>
      </c>
      <c r="J741">
        <v>15</v>
      </c>
      <c r="K741">
        <v>68000</v>
      </c>
      <c r="L741">
        <v>10200</v>
      </c>
      <c r="M741">
        <v>57800</v>
      </c>
      <c r="N741">
        <v>80000</v>
      </c>
      <c r="O741">
        <v>137800</v>
      </c>
      <c r="P741" t="s">
        <v>29</v>
      </c>
      <c r="Q741" t="s">
        <v>2357</v>
      </c>
      <c r="R741" t="s">
        <v>23</v>
      </c>
      <c r="S741">
        <v>4</v>
      </c>
      <c r="T741" t="s">
        <v>24</v>
      </c>
      <c r="U741" t="s">
        <v>2405</v>
      </c>
      <c r="V741">
        <v>2025</v>
      </c>
      <c r="W741">
        <v>5</v>
      </c>
    </row>
    <row r="742" spans="1:23" x14ac:dyDescent="0.25">
      <c r="A742" t="s">
        <v>1695</v>
      </c>
      <c r="B742">
        <v>45795.995428240742</v>
      </c>
      <c r="C742" t="s">
        <v>1022</v>
      </c>
      <c r="D742" t="s">
        <v>177</v>
      </c>
      <c r="E742" t="s">
        <v>75</v>
      </c>
      <c r="F742" t="s">
        <v>2398</v>
      </c>
      <c r="G742" t="s">
        <v>2379</v>
      </c>
      <c r="H742">
        <v>55000</v>
      </c>
      <c r="I742">
        <v>3</v>
      </c>
      <c r="J742">
        <v>5</v>
      </c>
      <c r="K742">
        <v>165000</v>
      </c>
      <c r="L742">
        <v>8250</v>
      </c>
      <c r="M742">
        <v>156750</v>
      </c>
      <c r="N742">
        <v>56000</v>
      </c>
      <c r="O742">
        <v>212750</v>
      </c>
      <c r="P742" t="s">
        <v>22</v>
      </c>
      <c r="Q742" t="s">
        <v>2357</v>
      </c>
      <c r="R742" t="s">
        <v>46</v>
      </c>
      <c r="S742">
        <v>2</v>
      </c>
      <c r="T742" t="s">
        <v>24</v>
      </c>
      <c r="U742" t="s">
        <v>2405</v>
      </c>
      <c r="V742">
        <v>2025</v>
      </c>
      <c r="W742">
        <v>5</v>
      </c>
    </row>
    <row r="743" spans="1:23" x14ac:dyDescent="0.25">
      <c r="A743" t="s">
        <v>1696</v>
      </c>
      <c r="B743">
        <v>45796.087268518517</v>
      </c>
      <c r="C743" t="s">
        <v>40</v>
      </c>
      <c r="D743" t="s">
        <v>27</v>
      </c>
      <c r="E743" t="s">
        <v>50</v>
      </c>
      <c r="F743" t="s">
        <v>2400</v>
      </c>
      <c r="G743" t="s">
        <v>2379</v>
      </c>
      <c r="H743">
        <v>14000</v>
      </c>
      <c r="I743">
        <v>2</v>
      </c>
      <c r="J743">
        <v>20</v>
      </c>
      <c r="K743">
        <v>28000</v>
      </c>
      <c r="L743">
        <v>5600</v>
      </c>
      <c r="M743">
        <v>22400</v>
      </c>
      <c r="N743">
        <v>17000</v>
      </c>
      <c r="O743">
        <v>39400</v>
      </c>
      <c r="P743" t="s">
        <v>22</v>
      </c>
      <c r="Q743" t="s">
        <v>2357</v>
      </c>
      <c r="R743" t="s">
        <v>82</v>
      </c>
      <c r="S743">
        <v>3</v>
      </c>
      <c r="T743" t="s">
        <v>24</v>
      </c>
      <c r="U743" t="s">
        <v>2405</v>
      </c>
      <c r="V743">
        <v>2025</v>
      </c>
      <c r="W743">
        <v>5</v>
      </c>
    </row>
    <row r="744" spans="1:23" x14ac:dyDescent="0.25">
      <c r="A744" t="s">
        <v>1697</v>
      </c>
      <c r="B744">
        <v>45796.263101851851</v>
      </c>
      <c r="C744" t="s">
        <v>983</v>
      </c>
      <c r="D744" t="s">
        <v>262</v>
      </c>
      <c r="E744" t="s">
        <v>45</v>
      </c>
      <c r="F744" t="s">
        <v>2394</v>
      </c>
      <c r="G744" t="s">
        <v>2378</v>
      </c>
      <c r="H744">
        <v>40000</v>
      </c>
      <c r="I744">
        <v>2</v>
      </c>
      <c r="J744">
        <v>5</v>
      </c>
      <c r="K744">
        <v>80000</v>
      </c>
      <c r="L744">
        <v>4000</v>
      </c>
      <c r="M744">
        <v>76000</v>
      </c>
      <c r="N744">
        <v>18000</v>
      </c>
      <c r="O744">
        <v>94000</v>
      </c>
      <c r="P744" t="s">
        <v>63</v>
      </c>
      <c r="Q744" t="s">
        <v>2356</v>
      </c>
      <c r="R744" t="s">
        <v>82</v>
      </c>
      <c r="S744">
        <v>5</v>
      </c>
      <c r="T744" t="s">
        <v>37</v>
      </c>
      <c r="U744" t="s">
        <v>2405</v>
      </c>
      <c r="V744">
        <v>2025</v>
      </c>
      <c r="W744">
        <v>5</v>
      </c>
    </row>
    <row r="745" spans="1:23" x14ac:dyDescent="0.25">
      <c r="A745" t="s">
        <v>1698</v>
      </c>
      <c r="B745">
        <v>45796.744629629633</v>
      </c>
      <c r="C745" t="s">
        <v>344</v>
      </c>
      <c r="D745" t="s">
        <v>195</v>
      </c>
      <c r="E745" t="s">
        <v>45</v>
      </c>
      <c r="F745" t="s">
        <v>2394</v>
      </c>
      <c r="G745" t="s">
        <v>2378</v>
      </c>
      <c r="H745">
        <v>40000</v>
      </c>
      <c r="I745">
        <v>1</v>
      </c>
      <c r="J745">
        <v>0</v>
      </c>
      <c r="K745">
        <v>40000</v>
      </c>
      <c r="L745">
        <v>0</v>
      </c>
      <c r="M745">
        <v>40000</v>
      </c>
      <c r="N745">
        <v>87000</v>
      </c>
      <c r="O745">
        <v>127000</v>
      </c>
      <c r="P745" t="s">
        <v>22</v>
      </c>
      <c r="Q745" t="s">
        <v>2357</v>
      </c>
      <c r="R745" t="s">
        <v>82</v>
      </c>
      <c r="S745">
        <v>2</v>
      </c>
      <c r="T745" t="s">
        <v>24</v>
      </c>
      <c r="U745" t="s">
        <v>2405</v>
      </c>
      <c r="V745">
        <v>2025</v>
      </c>
      <c r="W745">
        <v>5</v>
      </c>
    </row>
    <row r="746" spans="1:23" x14ac:dyDescent="0.25">
      <c r="A746" t="s">
        <v>1699</v>
      </c>
      <c r="B746">
        <v>45797.032719907409</v>
      </c>
      <c r="C746" t="s">
        <v>148</v>
      </c>
      <c r="D746" t="s">
        <v>74</v>
      </c>
      <c r="E746" t="s">
        <v>41</v>
      </c>
      <c r="F746" t="s">
        <v>2395</v>
      </c>
      <c r="G746" t="s">
        <v>2377</v>
      </c>
      <c r="H746">
        <v>4000</v>
      </c>
      <c r="I746">
        <v>3</v>
      </c>
      <c r="J746">
        <v>10</v>
      </c>
      <c r="K746">
        <v>12000</v>
      </c>
      <c r="L746">
        <v>1200</v>
      </c>
      <c r="M746">
        <v>10800</v>
      </c>
      <c r="N746">
        <v>87000</v>
      </c>
      <c r="O746">
        <v>97800</v>
      </c>
      <c r="P746" t="s">
        <v>29</v>
      </c>
      <c r="Q746" t="s">
        <v>2356</v>
      </c>
      <c r="R746" t="s">
        <v>46</v>
      </c>
      <c r="S746">
        <v>5</v>
      </c>
      <c r="T746" t="s">
        <v>24</v>
      </c>
      <c r="U746" t="s">
        <v>2405</v>
      </c>
      <c r="V746">
        <v>2025</v>
      </c>
      <c r="W746">
        <v>5</v>
      </c>
    </row>
    <row r="747" spans="1:23" x14ac:dyDescent="0.25">
      <c r="A747" t="s">
        <v>1700</v>
      </c>
      <c r="B747">
        <v>45797.425219907411</v>
      </c>
      <c r="C747" t="s">
        <v>499</v>
      </c>
      <c r="D747" t="s">
        <v>131</v>
      </c>
      <c r="E747" t="s">
        <v>174</v>
      </c>
      <c r="F747" t="s">
        <v>2400</v>
      </c>
      <c r="G747" t="s">
        <v>2377</v>
      </c>
      <c r="H747">
        <v>10000</v>
      </c>
      <c r="I747">
        <v>3</v>
      </c>
      <c r="J747">
        <v>0</v>
      </c>
      <c r="K747">
        <v>30000</v>
      </c>
      <c r="L747">
        <v>0</v>
      </c>
      <c r="M747">
        <v>30000</v>
      </c>
      <c r="N747">
        <v>59000</v>
      </c>
      <c r="O747">
        <v>89000</v>
      </c>
      <c r="P747" t="s">
        <v>35</v>
      </c>
      <c r="Q747" t="s">
        <v>2357</v>
      </c>
      <c r="R747" t="s">
        <v>46</v>
      </c>
      <c r="S747">
        <v>3</v>
      </c>
      <c r="T747" t="s">
        <v>24</v>
      </c>
      <c r="U747" t="s">
        <v>2405</v>
      </c>
      <c r="V747">
        <v>2025</v>
      </c>
      <c r="W747">
        <v>5</v>
      </c>
    </row>
    <row r="748" spans="1:23" x14ac:dyDescent="0.25">
      <c r="A748" t="s">
        <v>1701</v>
      </c>
      <c r="B748">
        <v>45797.735833333332</v>
      </c>
      <c r="C748" t="s">
        <v>118</v>
      </c>
      <c r="D748" t="s">
        <v>119</v>
      </c>
      <c r="E748" t="s">
        <v>190</v>
      </c>
      <c r="F748" t="s">
        <v>2392</v>
      </c>
      <c r="G748" t="s">
        <v>2378</v>
      </c>
      <c r="H748">
        <v>35000</v>
      </c>
      <c r="I748">
        <v>2</v>
      </c>
      <c r="J748">
        <v>20</v>
      </c>
      <c r="K748">
        <v>70000</v>
      </c>
      <c r="L748">
        <v>14000</v>
      </c>
      <c r="M748">
        <v>56000</v>
      </c>
      <c r="N748">
        <v>0</v>
      </c>
      <c r="O748">
        <v>56000</v>
      </c>
      <c r="P748" t="s">
        <v>35</v>
      </c>
      <c r="Q748" t="s">
        <v>2356</v>
      </c>
      <c r="R748" t="s">
        <v>30</v>
      </c>
      <c r="S748">
        <v>4</v>
      </c>
      <c r="T748" t="s">
        <v>24</v>
      </c>
      <c r="U748" t="s">
        <v>2405</v>
      </c>
      <c r="V748">
        <v>2025</v>
      </c>
      <c r="W748">
        <v>5</v>
      </c>
    </row>
    <row r="749" spans="1:23" x14ac:dyDescent="0.25">
      <c r="A749" t="s">
        <v>1702</v>
      </c>
      <c r="B749">
        <v>45797.861261574071</v>
      </c>
      <c r="C749" t="s">
        <v>453</v>
      </c>
      <c r="D749" t="s">
        <v>27</v>
      </c>
      <c r="E749" t="s">
        <v>71</v>
      </c>
      <c r="F749" t="s">
        <v>2392</v>
      </c>
      <c r="G749" t="s">
        <v>2379</v>
      </c>
      <c r="H749">
        <v>40000</v>
      </c>
      <c r="I749">
        <v>1</v>
      </c>
      <c r="J749">
        <v>15</v>
      </c>
      <c r="K749">
        <v>40000</v>
      </c>
      <c r="L749">
        <v>6000</v>
      </c>
      <c r="M749">
        <v>34000</v>
      </c>
      <c r="N749">
        <v>17000</v>
      </c>
      <c r="O749">
        <v>51000</v>
      </c>
      <c r="P749" t="s">
        <v>63</v>
      </c>
      <c r="Q749" t="s">
        <v>2357</v>
      </c>
      <c r="R749" t="s">
        <v>30</v>
      </c>
      <c r="S749">
        <v>4</v>
      </c>
      <c r="T749" t="s">
        <v>37</v>
      </c>
      <c r="U749" t="s">
        <v>2405</v>
      </c>
      <c r="V749">
        <v>2025</v>
      </c>
      <c r="W749">
        <v>5</v>
      </c>
    </row>
    <row r="750" spans="1:23" x14ac:dyDescent="0.25">
      <c r="A750" t="s">
        <v>1703</v>
      </c>
      <c r="B750">
        <v>45797.981851851851</v>
      </c>
      <c r="C750" t="s">
        <v>1620</v>
      </c>
      <c r="D750" t="s">
        <v>92</v>
      </c>
      <c r="E750" t="s">
        <v>138</v>
      </c>
      <c r="F750" t="s">
        <v>2396</v>
      </c>
      <c r="G750" t="s">
        <v>2378</v>
      </c>
      <c r="H750">
        <v>17000</v>
      </c>
      <c r="I750">
        <v>3</v>
      </c>
      <c r="J750">
        <v>15</v>
      </c>
      <c r="K750">
        <v>51000</v>
      </c>
      <c r="L750">
        <v>7650</v>
      </c>
      <c r="M750">
        <v>43350</v>
      </c>
      <c r="N750">
        <v>30000</v>
      </c>
      <c r="O750">
        <v>73350</v>
      </c>
      <c r="P750" t="s">
        <v>35</v>
      </c>
      <c r="Q750" t="s">
        <v>2357</v>
      </c>
      <c r="R750" t="s">
        <v>23</v>
      </c>
      <c r="S750">
        <v>1</v>
      </c>
      <c r="T750" t="s">
        <v>24</v>
      </c>
      <c r="U750" t="s">
        <v>2405</v>
      </c>
      <c r="V750">
        <v>2025</v>
      </c>
      <c r="W750">
        <v>5</v>
      </c>
    </row>
    <row r="751" spans="1:23" x14ac:dyDescent="0.25">
      <c r="A751" t="s">
        <v>1704</v>
      </c>
      <c r="B751">
        <v>45798.410138888888</v>
      </c>
      <c r="C751" t="s">
        <v>311</v>
      </c>
      <c r="D751" t="s">
        <v>116</v>
      </c>
      <c r="E751" t="s">
        <v>58</v>
      </c>
      <c r="F751" t="s">
        <v>2396</v>
      </c>
      <c r="G751" t="s">
        <v>2377</v>
      </c>
      <c r="H751">
        <v>16000</v>
      </c>
      <c r="I751">
        <v>3</v>
      </c>
      <c r="J751">
        <v>20</v>
      </c>
      <c r="K751">
        <v>48000</v>
      </c>
      <c r="L751">
        <v>9600</v>
      </c>
      <c r="M751">
        <v>38400</v>
      </c>
      <c r="N751">
        <v>72000</v>
      </c>
      <c r="O751">
        <v>110400</v>
      </c>
      <c r="P751" t="s">
        <v>29</v>
      </c>
      <c r="Q751" t="s">
        <v>2356</v>
      </c>
      <c r="R751" t="s">
        <v>30</v>
      </c>
      <c r="S751">
        <v>1</v>
      </c>
      <c r="T751" t="s">
        <v>24</v>
      </c>
      <c r="U751" t="s">
        <v>2405</v>
      </c>
      <c r="V751">
        <v>2025</v>
      </c>
      <c r="W751">
        <v>5</v>
      </c>
    </row>
    <row r="752" spans="1:23" x14ac:dyDescent="0.25">
      <c r="A752" t="s">
        <v>1705</v>
      </c>
      <c r="B752">
        <v>45798.515902777777</v>
      </c>
      <c r="C752" t="s">
        <v>527</v>
      </c>
      <c r="D752" t="s">
        <v>173</v>
      </c>
      <c r="E752" t="s">
        <v>136</v>
      </c>
      <c r="F752" t="s">
        <v>2400</v>
      </c>
      <c r="G752" t="s">
        <v>2378</v>
      </c>
      <c r="H752">
        <v>12000</v>
      </c>
      <c r="I752">
        <v>4</v>
      </c>
      <c r="J752">
        <v>0</v>
      </c>
      <c r="K752">
        <v>48000</v>
      </c>
      <c r="L752">
        <v>0</v>
      </c>
      <c r="M752">
        <v>48000</v>
      </c>
      <c r="N752">
        <v>49000</v>
      </c>
      <c r="O752">
        <v>97000</v>
      </c>
      <c r="P752" t="s">
        <v>29</v>
      </c>
      <c r="Q752" t="s">
        <v>2357</v>
      </c>
      <c r="R752" t="s">
        <v>30</v>
      </c>
      <c r="S752">
        <v>5</v>
      </c>
      <c r="T752" t="s">
        <v>24</v>
      </c>
      <c r="U752" t="s">
        <v>2405</v>
      </c>
      <c r="V752">
        <v>2025</v>
      </c>
      <c r="W752">
        <v>5</v>
      </c>
    </row>
    <row r="753" spans="1:23" x14ac:dyDescent="0.25">
      <c r="A753" t="s">
        <v>1706</v>
      </c>
      <c r="B753">
        <v>45798.735196759262</v>
      </c>
      <c r="C753" t="s">
        <v>1523</v>
      </c>
      <c r="D753" t="s">
        <v>96</v>
      </c>
      <c r="E753" t="s">
        <v>93</v>
      </c>
      <c r="F753" t="s">
        <v>2399</v>
      </c>
      <c r="G753" t="s">
        <v>2378</v>
      </c>
      <c r="H753">
        <v>25000</v>
      </c>
      <c r="I753">
        <v>1</v>
      </c>
      <c r="J753">
        <v>10</v>
      </c>
      <c r="K753">
        <v>25000</v>
      </c>
      <c r="L753">
        <v>2500</v>
      </c>
      <c r="M753">
        <v>22500</v>
      </c>
      <c r="N753">
        <v>49000</v>
      </c>
      <c r="O753">
        <v>71500</v>
      </c>
      <c r="P753" t="s">
        <v>35</v>
      </c>
      <c r="Q753" t="s">
        <v>2356</v>
      </c>
      <c r="R753" t="s">
        <v>30</v>
      </c>
      <c r="S753">
        <v>1</v>
      </c>
      <c r="T753" t="s">
        <v>24</v>
      </c>
      <c r="U753" t="s">
        <v>2405</v>
      </c>
      <c r="V753">
        <v>2025</v>
      </c>
      <c r="W753">
        <v>5</v>
      </c>
    </row>
    <row r="754" spans="1:23" x14ac:dyDescent="0.25">
      <c r="A754" t="s">
        <v>1707</v>
      </c>
      <c r="B754">
        <v>45799.302233796298</v>
      </c>
      <c r="C754" t="s">
        <v>483</v>
      </c>
      <c r="D754" t="s">
        <v>170</v>
      </c>
      <c r="E754" t="s">
        <v>138</v>
      </c>
      <c r="F754" t="s">
        <v>2396</v>
      </c>
      <c r="G754" t="s">
        <v>2378</v>
      </c>
      <c r="H754">
        <v>17000</v>
      </c>
      <c r="I754">
        <v>4</v>
      </c>
      <c r="J754">
        <v>5</v>
      </c>
      <c r="K754">
        <v>68000</v>
      </c>
      <c r="L754">
        <v>3400</v>
      </c>
      <c r="M754">
        <v>64600</v>
      </c>
      <c r="N754">
        <v>46000</v>
      </c>
      <c r="O754">
        <v>110600</v>
      </c>
      <c r="P754" t="s">
        <v>35</v>
      </c>
      <c r="Q754" t="s">
        <v>2357</v>
      </c>
      <c r="R754" t="s">
        <v>23</v>
      </c>
      <c r="S754">
        <v>2</v>
      </c>
      <c r="T754" t="s">
        <v>24</v>
      </c>
      <c r="U754" t="s">
        <v>2405</v>
      </c>
      <c r="V754">
        <v>2025</v>
      </c>
      <c r="W754">
        <v>5</v>
      </c>
    </row>
    <row r="755" spans="1:23" x14ac:dyDescent="0.25">
      <c r="A755" t="s">
        <v>1708</v>
      </c>
      <c r="B755">
        <v>45799.39261574074</v>
      </c>
      <c r="C755" t="s">
        <v>598</v>
      </c>
      <c r="D755" t="s">
        <v>61</v>
      </c>
      <c r="E755" t="s">
        <v>190</v>
      </c>
      <c r="F755" t="s">
        <v>2392</v>
      </c>
      <c r="G755" t="s">
        <v>2378</v>
      </c>
      <c r="H755">
        <v>35000</v>
      </c>
      <c r="I755">
        <v>4</v>
      </c>
      <c r="J755">
        <v>10</v>
      </c>
      <c r="K755">
        <v>140000</v>
      </c>
      <c r="L755">
        <v>14000</v>
      </c>
      <c r="M755">
        <v>126000</v>
      </c>
      <c r="N755">
        <v>26000</v>
      </c>
      <c r="O755">
        <v>152000</v>
      </c>
      <c r="P755" t="s">
        <v>35</v>
      </c>
      <c r="Q755" t="s">
        <v>2359</v>
      </c>
      <c r="R755" t="s">
        <v>46</v>
      </c>
      <c r="S755">
        <v>4</v>
      </c>
      <c r="T755" t="s">
        <v>24</v>
      </c>
      <c r="U755" t="s">
        <v>2405</v>
      </c>
      <c r="V755">
        <v>2025</v>
      </c>
      <c r="W755">
        <v>5</v>
      </c>
    </row>
    <row r="756" spans="1:23" x14ac:dyDescent="0.25">
      <c r="A756" t="s">
        <v>1709</v>
      </c>
      <c r="B756">
        <v>45799.662685185183</v>
      </c>
      <c r="C756" t="s">
        <v>1087</v>
      </c>
      <c r="D756" t="s">
        <v>143</v>
      </c>
      <c r="E756" t="s">
        <v>50</v>
      </c>
      <c r="F756" t="s">
        <v>2400</v>
      </c>
      <c r="G756" t="s">
        <v>2379</v>
      </c>
      <c r="H756">
        <v>14000</v>
      </c>
      <c r="I756">
        <v>5</v>
      </c>
      <c r="J756">
        <v>5</v>
      </c>
      <c r="K756">
        <v>70000</v>
      </c>
      <c r="L756">
        <v>3500</v>
      </c>
      <c r="M756">
        <v>66500</v>
      </c>
      <c r="N756">
        <v>50000</v>
      </c>
      <c r="O756">
        <v>116500</v>
      </c>
      <c r="P756" t="s">
        <v>29</v>
      </c>
      <c r="Q756" t="s">
        <v>2357</v>
      </c>
      <c r="R756" t="s">
        <v>36</v>
      </c>
      <c r="S756">
        <v>1</v>
      </c>
      <c r="T756" t="s">
        <v>24</v>
      </c>
      <c r="U756" t="s">
        <v>2405</v>
      </c>
      <c r="V756">
        <v>2025</v>
      </c>
      <c r="W756">
        <v>5</v>
      </c>
    </row>
    <row r="757" spans="1:23" x14ac:dyDescent="0.25">
      <c r="A757" t="s">
        <v>1710</v>
      </c>
      <c r="B757">
        <v>45799.76903935185</v>
      </c>
      <c r="C757" t="s">
        <v>1366</v>
      </c>
      <c r="D757" t="s">
        <v>126</v>
      </c>
      <c r="E757" t="s">
        <v>28</v>
      </c>
      <c r="F757" t="s">
        <v>2395</v>
      </c>
      <c r="G757" t="s">
        <v>2378</v>
      </c>
      <c r="H757">
        <v>5000</v>
      </c>
      <c r="I757">
        <v>4</v>
      </c>
      <c r="J757">
        <v>5</v>
      </c>
      <c r="K757">
        <v>20000</v>
      </c>
      <c r="L757">
        <v>1000</v>
      </c>
      <c r="M757">
        <v>19000</v>
      </c>
      <c r="N757">
        <v>84000</v>
      </c>
      <c r="O757">
        <v>103000</v>
      </c>
      <c r="P757" t="s">
        <v>22</v>
      </c>
      <c r="Q757" t="s">
        <v>2357</v>
      </c>
      <c r="R757" t="s">
        <v>36</v>
      </c>
      <c r="S757">
        <v>4</v>
      </c>
      <c r="T757" t="s">
        <v>24</v>
      </c>
      <c r="U757" t="s">
        <v>2405</v>
      </c>
      <c r="V757">
        <v>2025</v>
      </c>
      <c r="W757">
        <v>5</v>
      </c>
    </row>
    <row r="758" spans="1:23" x14ac:dyDescent="0.25">
      <c r="A758" t="s">
        <v>1711</v>
      </c>
      <c r="B758">
        <v>45799.893622685187</v>
      </c>
      <c r="C758" t="s">
        <v>48</v>
      </c>
      <c r="D758" t="s">
        <v>49</v>
      </c>
      <c r="E758" t="s">
        <v>88</v>
      </c>
      <c r="F758" t="s">
        <v>2393</v>
      </c>
      <c r="G758" t="s">
        <v>2377</v>
      </c>
      <c r="H758">
        <v>14000</v>
      </c>
      <c r="I758">
        <v>4</v>
      </c>
      <c r="J758">
        <v>10</v>
      </c>
      <c r="K758">
        <v>56000</v>
      </c>
      <c r="L758">
        <v>5600</v>
      </c>
      <c r="M758">
        <v>50400</v>
      </c>
      <c r="N758">
        <v>43000</v>
      </c>
      <c r="O758">
        <v>93400</v>
      </c>
      <c r="P758" t="s">
        <v>63</v>
      </c>
      <c r="Q758" t="s">
        <v>2357</v>
      </c>
      <c r="R758" t="s">
        <v>46</v>
      </c>
      <c r="S758">
        <v>2</v>
      </c>
      <c r="T758" t="s">
        <v>24</v>
      </c>
      <c r="U758" t="s">
        <v>2405</v>
      </c>
      <c r="V758">
        <v>2025</v>
      </c>
      <c r="W758">
        <v>5</v>
      </c>
    </row>
    <row r="759" spans="1:23" x14ac:dyDescent="0.25">
      <c r="A759" t="s">
        <v>1712</v>
      </c>
      <c r="B759">
        <v>45800.171909722223</v>
      </c>
      <c r="C759" t="s">
        <v>416</v>
      </c>
      <c r="D759" t="s">
        <v>131</v>
      </c>
      <c r="E759" t="s">
        <v>138</v>
      </c>
      <c r="F759" t="s">
        <v>2396</v>
      </c>
      <c r="G759" t="s">
        <v>2378</v>
      </c>
      <c r="H759">
        <v>17000</v>
      </c>
      <c r="I759">
        <v>5</v>
      </c>
      <c r="J759">
        <v>5</v>
      </c>
      <c r="K759">
        <v>85000</v>
      </c>
      <c r="L759">
        <v>4250</v>
      </c>
      <c r="M759">
        <v>80750</v>
      </c>
      <c r="N759">
        <v>59000</v>
      </c>
      <c r="O759">
        <v>139750</v>
      </c>
      <c r="P759" t="s">
        <v>29</v>
      </c>
      <c r="Q759" t="s">
        <v>2357</v>
      </c>
      <c r="R759" t="s">
        <v>46</v>
      </c>
      <c r="S759">
        <v>3</v>
      </c>
      <c r="T759" t="s">
        <v>24</v>
      </c>
      <c r="U759" t="s">
        <v>2405</v>
      </c>
      <c r="V759">
        <v>2025</v>
      </c>
      <c r="W759">
        <v>5</v>
      </c>
    </row>
    <row r="760" spans="1:23" x14ac:dyDescent="0.25">
      <c r="A760" t="s">
        <v>1713</v>
      </c>
      <c r="B760">
        <v>45800.360254629632</v>
      </c>
      <c r="C760" t="s">
        <v>1241</v>
      </c>
      <c r="D760" t="s">
        <v>80</v>
      </c>
      <c r="E760" t="s">
        <v>50</v>
      </c>
      <c r="F760" t="s">
        <v>2400</v>
      </c>
      <c r="G760" t="s">
        <v>2379</v>
      </c>
      <c r="H760">
        <v>14000</v>
      </c>
      <c r="I760">
        <v>1</v>
      </c>
      <c r="J760">
        <v>0</v>
      </c>
      <c r="K760">
        <v>14000</v>
      </c>
      <c r="L760">
        <v>0</v>
      </c>
      <c r="M760">
        <v>14000</v>
      </c>
      <c r="N760">
        <v>74000</v>
      </c>
      <c r="O760">
        <v>88000</v>
      </c>
      <c r="P760" t="s">
        <v>63</v>
      </c>
      <c r="Q760" t="s">
        <v>2357</v>
      </c>
      <c r="R760" t="s">
        <v>36</v>
      </c>
      <c r="S760">
        <v>5</v>
      </c>
      <c r="T760" t="s">
        <v>24</v>
      </c>
      <c r="U760" t="s">
        <v>2405</v>
      </c>
      <c r="V760">
        <v>2025</v>
      </c>
      <c r="W760">
        <v>5</v>
      </c>
    </row>
    <row r="761" spans="1:23" x14ac:dyDescent="0.25">
      <c r="A761" t="s">
        <v>1714</v>
      </c>
      <c r="B761">
        <v>45800.374293981477</v>
      </c>
      <c r="C761" t="s">
        <v>570</v>
      </c>
      <c r="D761" t="s">
        <v>80</v>
      </c>
      <c r="E761" t="s">
        <v>144</v>
      </c>
      <c r="F761" t="s">
        <v>2396</v>
      </c>
      <c r="G761" t="s">
        <v>2379</v>
      </c>
      <c r="H761">
        <v>18000</v>
      </c>
      <c r="I761">
        <v>5</v>
      </c>
      <c r="J761">
        <v>15</v>
      </c>
      <c r="K761">
        <v>90000</v>
      </c>
      <c r="L761">
        <v>13500</v>
      </c>
      <c r="M761">
        <v>76500</v>
      </c>
      <c r="N761">
        <v>74000</v>
      </c>
      <c r="O761">
        <v>150500</v>
      </c>
      <c r="P761" t="s">
        <v>22</v>
      </c>
      <c r="Q761" t="s">
        <v>2357</v>
      </c>
      <c r="R761" t="s">
        <v>23</v>
      </c>
      <c r="S761">
        <v>5</v>
      </c>
      <c r="T761" t="s">
        <v>24</v>
      </c>
      <c r="U761" t="s">
        <v>2405</v>
      </c>
      <c r="V761">
        <v>2025</v>
      </c>
      <c r="W761">
        <v>5</v>
      </c>
    </row>
    <row r="762" spans="1:23" x14ac:dyDescent="0.25">
      <c r="A762" t="s">
        <v>1714</v>
      </c>
      <c r="B762">
        <v>45800.374293981477</v>
      </c>
      <c r="C762" t="s">
        <v>570</v>
      </c>
      <c r="D762" t="s">
        <v>80</v>
      </c>
      <c r="E762" t="s">
        <v>34</v>
      </c>
      <c r="F762" t="s">
        <v>2397</v>
      </c>
      <c r="G762" t="s">
        <v>2377</v>
      </c>
      <c r="H762">
        <v>16000</v>
      </c>
      <c r="I762">
        <v>4</v>
      </c>
      <c r="J762">
        <v>20</v>
      </c>
      <c r="K762">
        <v>64000</v>
      </c>
      <c r="L762">
        <v>12800</v>
      </c>
      <c r="M762">
        <v>51200</v>
      </c>
      <c r="N762">
        <v>0</v>
      </c>
      <c r="O762">
        <v>51200</v>
      </c>
      <c r="P762" t="s">
        <v>22</v>
      </c>
      <c r="Q762" t="s">
        <v>2357</v>
      </c>
      <c r="R762" t="s">
        <v>23</v>
      </c>
      <c r="S762">
        <v>5</v>
      </c>
      <c r="T762" t="s">
        <v>24</v>
      </c>
      <c r="U762" t="s">
        <v>2405</v>
      </c>
      <c r="V762">
        <v>2025</v>
      </c>
      <c r="W762">
        <v>5</v>
      </c>
    </row>
    <row r="763" spans="1:23" x14ac:dyDescent="0.25">
      <c r="A763" t="s">
        <v>1715</v>
      </c>
      <c r="B763">
        <v>45800.840011574073</v>
      </c>
      <c r="C763" t="s">
        <v>1033</v>
      </c>
      <c r="D763" t="s">
        <v>122</v>
      </c>
      <c r="E763" t="s">
        <v>54</v>
      </c>
      <c r="F763" t="s">
        <v>2393</v>
      </c>
      <c r="G763" t="s">
        <v>2379</v>
      </c>
      <c r="H763">
        <v>16000</v>
      </c>
      <c r="I763">
        <v>5</v>
      </c>
      <c r="J763">
        <v>5</v>
      </c>
      <c r="K763">
        <v>80000</v>
      </c>
      <c r="L763">
        <v>4000</v>
      </c>
      <c r="M763">
        <v>76000</v>
      </c>
      <c r="N763">
        <v>78000</v>
      </c>
      <c r="O763">
        <v>154000</v>
      </c>
      <c r="P763" t="s">
        <v>22</v>
      </c>
      <c r="Q763" t="s">
        <v>2357</v>
      </c>
      <c r="R763" t="s">
        <v>82</v>
      </c>
      <c r="S763">
        <v>5</v>
      </c>
      <c r="T763" t="s">
        <v>24</v>
      </c>
      <c r="U763" t="s">
        <v>2405</v>
      </c>
      <c r="V763">
        <v>2025</v>
      </c>
      <c r="W763">
        <v>5</v>
      </c>
    </row>
    <row r="764" spans="1:23" x14ac:dyDescent="0.25">
      <c r="A764" t="s">
        <v>1716</v>
      </c>
      <c r="B764">
        <v>45801.033738425933</v>
      </c>
      <c r="C764" t="s">
        <v>427</v>
      </c>
      <c r="D764" t="s">
        <v>103</v>
      </c>
      <c r="E764" t="s">
        <v>50</v>
      </c>
      <c r="F764" t="s">
        <v>2400</v>
      </c>
      <c r="G764" t="s">
        <v>2379</v>
      </c>
      <c r="H764">
        <v>14000</v>
      </c>
      <c r="I764">
        <v>1</v>
      </c>
      <c r="J764">
        <v>15</v>
      </c>
      <c r="K764">
        <v>14000</v>
      </c>
      <c r="L764">
        <v>2100</v>
      </c>
      <c r="M764">
        <v>11900</v>
      </c>
      <c r="N764">
        <v>85000</v>
      </c>
      <c r="O764">
        <v>96900</v>
      </c>
      <c r="P764" t="s">
        <v>22</v>
      </c>
      <c r="Q764" t="s">
        <v>2356</v>
      </c>
      <c r="R764" t="s">
        <v>82</v>
      </c>
      <c r="S764">
        <v>1</v>
      </c>
      <c r="T764" t="s">
        <v>24</v>
      </c>
      <c r="U764" t="s">
        <v>2405</v>
      </c>
      <c r="V764">
        <v>2025</v>
      </c>
      <c r="W764">
        <v>5</v>
      </c>
    </row>
    <row r="765" spans="1:23" x14ac:dyDescent="0.25">
      <c r="A765" t="s">
        <v>1716</v>
      </c>
      <c r="B765">
        <v>45801.033738425933</v>
      </c>
      <c r="C765" t="s">
        <v>427</v>
      </c>
      <c r="D765" t="s">
        <v>103</v>
      </c>
      <c r="E765" t="s">
        <v>54</v>
      </c>
      <c r="F765" t="s">
        <v>2393</v>
      </c>
      <c r="G765" t="s">
        <v>2379</v>
      </c>
      <c r="H765">
        <v>16000</v>
      </c>
      <c r="I765">
        <v>4</v>
      </c>
      <c r="J765">
        <v>10</v>
      </c>
      <c r="K765">
        <v>64000</v>
      </c>
      <c r="L765">
        <v>6400</v>
      </c>
      <c r="M765">
        <v>57600</v>
      </c>
      <c r="N765">
        <v>0</v>
      </c>
      <c r="O765">
        <v>57600</v>
      </c>
      <c r="P765" t="s">
        <v>22</v>
      </c>
      <c r="Q765" t="s">
        <v>2356</v>
      </c>
      <c r="R765" t="s">
        <v>82</v>
      </c>
      <c r="S765">
        <v>1</v>
      </c>
      <c r="T765" t="s">
        <v>24</v>
      </c>
      <c r="U765" t="s">
        <v>2405</v>
      </c>
      <c r="V765">
        <v>2025</v>
      </c>
      <c r="W765">
        <v>5</v>
      </c>
    </row>
    <row r="766" spans="1:23" x14ac:dyDescent="0.25">
      <c r="A766" t="s">
        <v>1717</v>
      </c>
      <c r="B766">
        <v>45801.037743055553</v>
      </c>
      <c r="C766" t="s">
        <v>203</v>
      </c>
      <c r="D766" t="s">
        <v>20</v>
      </c>
      <c r="E766" t="s">
        <v>50</v>
      </c>
      <c r="F766" t="s">
        <v>2400</v>
      </c>
      <c r="G766" t="s">
        <v>2379</v>
      </c>
      <c r="H766">
        <v>14000</v>
      </c>
      <c r="I766">
        <v>1</v>
      </c>
      <c r="J766">
        <v>10</v>
      </c>
      <c r="K766">
        <v>14000</v>
      </c>
      <c r="L766">
        <v>1400</v>
      </c>
      <c r="M766">
        <v>12600</v>
      </c>
      <c r="N766">
        <v>15000</v>
      </c>
      <c r="O766">
        <v>27600</v>
      </c>
      <c r="P766" t="s">
        <v>29</v>
      </c>
      <c r="Q766" t="s">
        <v>2357</v>
      </c>
      <c r="R766" t="s">
        <v>23</v>
      </c>
      <c r="S766">
        <v>4</v>
      </c>
      <c r="T766" t="s">
        <v>24</v>
      </c>
      <c r="U766" t="s">
        <v>2405</v>
      </c>
      <c r="V766">
        <v>2025</v>
      </c>
      <c r="W766">
        <v>5</v>
      </c>
    </row>
    <row r="767" spans="1:23" x14ac:dyDescent="0.25">
      <c r="A767" t="s">
        <v>1718</v>
      </c>
      <c r="B767">
        <v>45801.344710648147</v>
      </c>
      <c r="C767" t="s">
        <v>333</v>
      </c>
      <c r="D767" t="s">
        <v>107</v>
      </c>
      <c r="E767" t="s">
        <v>28</v>
      </c>
      <c r="F767" t="s">
        <v>2395</v>
      </c>
      <c r="G767" t="s">
        <v>2378</v>
      </c>
      <c r="H767">
        <v>5000</v>
      </c>
      <c r="I767">
        <v>3</v>
      </c>
      <c r="J767">
        <v>10</v>
      </c>
      <c r="K767">
        <v>15000</v>
      </c>
      <c r="L767">
        <v>1500</v>
      </c>
      <c r="M767">
        <v>13500</v>
      </c>
      <c r="N767">
        <v>97000</v>
      </c>
      <c r="O767">
        <v>110500</v>
      </c>
      <c r="P767" t="s">
        <v>35</v>
      </c>
      <c r="Q767" t="s">
        <v>2357</v>
      </c>
      <c r="R767" t="s">
        <v>82</v>
      </c>
      <c r="S767">
        <v>2</v>
      </c>
      <c r="T767" t="s">
        <v>37</v>
      </c>
      <c r="U767" t="s">
        <v>2405</v>
      </c>
      <c r="V767">
        <v>2025</v>
      </c>
      <c r="W767">
        <v>5</v>
      </c>
    </row>
    <row r="768" spans="1:23" x14ac:dyDescent="0.25">
      <c r="A768" t="s">
        <v>1719</v>
      </c>
      <c r="B768">
        <v>45801.76462962963</v>
      </c>
      <c r="C768" t="s">
        <v>207</v>
      </c>
      <c r="D768" t="s">
        <v>96</v>
      </c>
      <c r="E768" t="s">
        <v>138</v>
      </c>
      <c r="F768" t="s">
        <v>2396</v>
      </c>
      <c r="G768" t="s">
        <v>2378</v>
      </c>
      <c r="H768">
        <v>17000</v>
      </c>
      <c r="I768">
        <v>3</v>
      </c>
      <c r="J768">
        <v>0</v>
      </c>
      <c r="K768">
        <v>51000</v>
      </c>
      <c r="L768">
        <v>0</v>
      </c>
      <c r="M768">
        <v>51000</v>
      </c>
      <c r="N768">
        <v>49000</v>
      </c>
      <c r="O768">
        <v>100000</v>
      </c>
      <c r="P768" t="s">
        <v>29</v>
      </c>
      <c r="Q768" t="s">
        <v>2356</v>
      </c>
      <c r="R768" t="s">
        <v>82</v>
      </c>
      <c r="S768">
        <v>5</v>
      </c>
      <c r="T768" t="s">
        <v>24</v>
      </c>
      <c r="U768" t="s">
        <v>2405</v>
      </c>
      <c r="V768">
        <v>2025</v>
      </c>
      <c r="W768">
        <v>5</v>
      </c>
    </row>
    <row r="769" spans="1:23" x14ac:dyDescent="0.25">
      <c r="A769" t="s">
        <v>1720</v>
      </c>
      <c r="B769">
        <v>45801.808657407397</v>
      </c>
      <c r="C769" t="s">
        <v>1436</v>
      </c>
      <c r="D769" t="s">
        <v>119</v>
      </c>
      <c r="E769" t="s">
        <v>54</v>
      </c>
      <c r="F769" t="s">
        <v>2393</v>
      </c>
      <c r="G769" t="s">
        <v>2379</v>
      </c>
      <c r="H769">
        <v>16000</v>
      </c>
      <c r="I769">
        <v>5</v>
      </c>
      <c r="J769">
        <v>0</v>
      </c>
      <c r="K769">
        <v>80000</v>
      </c>
      <c r="L769">
        <v>0</v>
      </c>
      <c r="M769">
        <v>80000</v>
      </c>
      <c r="N769">
        <v>0</v>
      </c>
      <c r="O769">
        <v>80000</v>
      </c>
      <c r="P769" t="s">
        <v>29</v>
      </c>
      <c r="Q769" t="s">
        <v>2357</v>
      </c>
      <c r="R769" t="s">
        <v>36</v>
      </c>
      <c r="S769">
        <v>5</v>
      </c>
      <c r="T769" t="s">
        <v>24</v>
      </c>
      <c r="U769" t="s">
        <v>2405</v>
      </c>
      <c r="V769">
        <v>2025</v>
      </c>
      <c r="W769">
        <v>5</v>
      </c>
    </row>
    <row r="770" spans="1:23" x14ac:dyDescent="0.25">
      <c r="A770" t="s">
        <v>1721</v>
      </c>
      <c r="B770">
        <v>45801.997141203698</v>
      </c>
      <c r="C770" t="s">
        <v>220</v>
      </c>
      <c r="D770" t="s">
        <v>53</v>
      </c>
      <c r="E770" t="s">
        <v>50</v>
      </c>
      <c r="F770" t="s">
        <v>2400</v>
      </c>
      <c r="G770" t="s">
        <v>2379</v>
      </c>
      <c r="H770">
        <v>14000</v>
      </c>
      <c r="I770">
        <v>5</v>
      </c>
      <c r="J770">
        <v>15</v>
      </c>
      <c r="K770">
        <v>70000</v>
      </c>
      <c r="L770">
        <v>10500</v>
      </c>
      <c r="M770">
        <v>59500</v>
      </c>
      <c r="N770">
        <v>18000</v>
      </c>
      <c r="O770">
        <v>77500</v>
      </c>
      <c r="P770" t="s">
        <v>35</v>
      </c>
      <c r="Q770" t="s">
        <v>2357</v>
      </c>
      <c r="R770" t="s">
        <v>23</v>
      </c>
      <c r="S770">
        <v>4</v>
      </c>
      <c r="T770" t="s">
        <v>24</v>
      </c>
      <c r="U770" t="s">
        <v>2405</v>
      </c>
      <c r="V770">
        <v>2025</v>
      </c>
      <c r="W770">
        <v>5</v>
      </c>
    </row>
    <row r="771" spans="1:23" x14ac:dyDescent="0.25">
      <c r="A771" t="s">
        <v>1722</v>
      </c>
      <c r="B771">
        <v>45802.425787037027</v>
      </c>
      <c r="C771" t="s">
        <v>205</v>
      </c>
      <c r="D771" t="s">
        <v>96</v>
      </c>
      <c r="E771" t="s">
        <v>144</v>
      </c>
      <c r="F771" t="s">
        <v>2396</v>
      </c>
      <c r="G771" t="s">
        <v>2379</v>
      </c>
      <c r="H771">
        <v>18000</v>
      </c>
      <c r="I771">
        <v>3</v>
      </c>
      <c r="J771">
        <v>0</v>
      </c>
      <c r="K771">
        <v>54000</v>
      </c>
      <c r="L771">
        <v>0</v>
      </c>
      <c r="M771">
        <v>54000</v>
      </c>
      <c r="N771">
        <v>49000</v>
      </c>
      <c r="O771">
        <v>103000</v>
      </c>
      <c r="P771" t="s">
        <v>63</v>
      </c>
      <c r="Q771" t="s">
        <v>2356</v>
      </c>
      <c r="R771" t="s">
        <v>82</v>
      </c>
      <c r="S771">
        <v>2</v>
      </c>
      <c r="T771" t="s">
        <v>24</v>
      </c>
      <c r="U771" t="s">
        <v>2405</v>
      </c>
      <c r="V771">
        <v>2025</v>
      </c>
      <c r="W771">
        <v>5</v>
      </c>
    </row>
    <row r="772" spans="1:23" x14ac:dyDescent="0.25">
      <c r="A772" t="s">
        <v>1723</v>
      </c>
      <c r="B772">
        <v>45802.638159722221</v>
      </c>
      <c r="C772" t="s">
        <v>748</v>
      </c>
      <c r="D772" t="s">
        <v>160</v>
      </c>
      <c r="E772" t="s">
        <v>21</v>
      </c>
      <c r="F772" t="s">
        <v>2394</v>
      </c>
      <c r="G772" t="s">
        <v>2379</v>
      </c>
      <c r="H772">
        <v>45000</v>
      </c>
      <c r="I772">
        <v>5</v>
      </c>
      <c r="J772">
        <v>15</v>
      </c>
      <c r="K772">
        <v>225000</v>
      </c>
      <c r="L772">
        <v>33750</v>
      </c>
      <c r="M772">
        <v>191250</v>
      </c>
      <c r="N772">
        <v>68000</v>
      </c>
      <c r="O772">
        <v>259250</v>
      </c>
      <c r="P772" t="s">
        <v>29</v>
      </c>
      <c r="Q772" t="s">
        <v>2357</v>
      </c>
      <c r="R772" t="s">
        <v>23</v>
      </c>
      <c r="S772">
        <v>4</v>
      </c>
      <c r="T772" t="s">
        <v>24</v>
      </c>
      <c r="U772" t="s">
        <v>2405</v>
      </c>
      <c r="V772">
        <v>2025</v>
      </c>
      <c r="W772">
        <v>5</v>
      </c>
    </row>
    <row r="773" spans="1:23" x14ac:dyDescent="0.25">
      <c r="A773" t="s">
        <v>1724</v>
      </c>
      <c r="B773">
        <v>45802.656712962962</v>
      </c>
      <c r="C773" t="s">
        <v>118</v>
      </c>
      <c r="D773" t="s">
        <v>119</v>
      </c>
      <c r="E773" t="s">
        <v>110</v>
      </c>
      <c r="F773" t="s">
        <v>2395</v>
      </c>
      <c r="G773" t="s">
        <v>2379</v>
      </c>
      <c r="H773">
        <v>6000</v>
      </c>
      <c r="I773">
        <v>5</v>
      </c>
      <c r="J773">
        <v>10</v>
      </c>
      <c r="K773">
        <v>30000</v>
      </c>
      <c r="L773">
        <v>3000</v>
      </c>
      <c r="M773">
        <v>27000</v>
      </c>
      <c r="N773">
        <v>0</v>
      </c>
      <c r="O773">
        <v>27000</v>
      </c>
      <c r="P773" t="s">
        <v>22</v>
      </c>
      <c r="Q773" t="s">
        <v>2357</v>
      </c>
      <c r="R773" t="s">
        <v>23</v>
      </c>
      <c r="S773">
        <v>3</v>
      </c>
      <c r="T773" t="s">
        <v>24</v>
      </c>
      <c r="U773" t="s">
        <v>2405</v>
      </c>
      <c r="V773">
        <v>2025</v>
      </c>
      <c r="W773">
        <v>5</v>
      </c>
    </row>
    <row r="774" spans="1:23" x14ac:dyDescent="0.25">
      <c r="A774" t="s">
        <v>1725</v>
      </c>
      <c r="B774">
        <v>45802.660081018519</v>
      </c>
      <c r="C774" t="s">
        <v>43</v>
      </c>
      <c r="D774" t="s">
        <v>44</v>
      </c>
      <c r="E774" t="s">
        <v>174</v>
      </c>
      <c r="F774" t="s">
        <v>2400</v>
      </c>
      <c r="G774" t="s">
        <v>2377</v>
      </c>
      <c r="H774">
        <v>10000</v>
      </c>
      <c r="I774">
        <v>1</v>
      </c>
      <c r="J774">
        <v>10</v>
      </c>
      <c r="K774">
        <v>10000</v>
      </c>
      <c r="L774">
        <v>1000</v>
      </c>
      <c r="M774">
        <v>9000</v>
      </c>
      <c r="N774">
        <v>93000</v>
      </c>
      <c r="O774">
        <v>102000</v>
      </c>
      <c r="P774" t="s">
        <v>35</v>
      </c>
      <c r="Q774" t="s">
        <v>2356</v>
      </c>
      <c r="R774" t="s">
        <v>46</v>
      </c>
      <c r="S774">
        <v>5</v>
      </c>
      <c r="T774" t="s">
        <v>24</v>
      </c>
      <c r="U774" t="s">
        <v>2405</v>
      </c>
      <c r="V774">
        <v>2025</v>
      </c>
      <c r="W774">
        <v>5</v>
      </c>
    </row>
    <row r="775" spans="1:23" x14ac:dyDescent="0.25">
      <c r="A775" t="s">
        <v>1726</v>
      </c>
      <c r="B775">
        <v>45802.77516203704</v>
      </c>
      <c r="C775" t="s">
        <v>275</v>
      </c>
      <c r="D775" t="s">
        <v>96</v>
      </c>
      <c r="E775" t="s">
        <v>62</v>
      </c>
      <c r="F775" t="s">
        <v>2398</v>
      </c>
      <c r="G775" t="s">
        <v>2378</v>
      </c>
      <c r="H775">
        <v>50000</v>
      </c>
      <c r="I775">
        <v>1</v>
      </c>
      <c r="J775">
        <v>20</v>
      </c>
      <c r="K775">
        <v>50000</v>
      </c>
      <c r="L775">
        <v>10000</v>
      </c>
      <c r="M775">
        <v>40000</v>
      </c>
      <c r="N775">
        <v>49000</v>
      </c>
      <c r="O775">
        <v>89000</v>
      </c>
      <c r="P775" t="s">
        <v>29</v>
      </c>
      <c r="Q775" t="s">
        <v>2356</v>
      </c>
      <c r="R775" t="s">
        <v>36</v>
      </c>
      <c r="S775">
        <v>4</v>
      </c>
      <c r="T775" t="s">
        <v>24</v>
      </c>
      <c r="U775" t="s">
        <v>2405</v>
      </c>
      <c r="V775">
        <v>2025</v>
      </c>
      <c r="W775">
        <v>5</v>
      </c>
    </row>
    <row r="776" spans="1:23" x14ac:dyDescent="0.25">
      <c r="A776" t="s">
        <v>1727</v>
      </c>
      <c r="B776">
        <v>45802.920034722221</v>
      </c>
      <c r="C776" t="s">
        <v>786</v>
      </c>
      <c r="D776" t="s">
        <v>107</v>
      </c>
      <c r="E776" t="s">
        <v>136</v>
      </c>
      <c r="F776" t="s">
        <v>2400</v>
      </c>
      <c r="G776" t="s">
        <v>2378</v>
      </c>
      <c r="H776">
        <v>12000</v>
      </c>
      <c r="I776">
        <v>3</v>
      </c>
      <c r="J776">
        <v>0</v>
      </c>
      <c r="K776">
        <v>36000</v>
      </c>
      <c r="L776">
        <v>0</v>
      </c>
      <c r="M776">
        <v>36000</v>
      </c>
      <c r="N776">
        <v>97000</v>
      </c>
      <c r="O776">
        <v>133000</v>
      </c>
      <c r="P776" t="s">
        <v>22</v>
      </c>
      <c r="Q776" t="s">
        <v>2357</v>
      </c>
      <c r="R776" t="s">
        <v>46</v>
      </c>
      <c r="S776">
        <v>1</v>
      </c>
      <c r="T776" t="s">
        <v>24</v>
      </c>
      <c r="U776" t="s">
        <v>2405</v>
      </c>
      <c r="V776">
        <v>2025</v>
      </c>
      <c r="W776">
        <v>5</v>
      </c>
    </row>
    <row r="777" spans="1:23" x14ac:dyDescent="0.25">
      <c r="A777" t="s">
        <v>1728</v>
      </c>
      <c r="B777">
        <v>45802.923831018517</v>
      </c>
      <c r="C777" t="s">
        <v>398</v>
      </c>
      <c r="D777" t="s">
        <v>182</v>
      </c>
      <c r="E777" t="s">
        <v>136</v>
      </c>
      <c r="F777" t="s">
        <v>2400</v>
      </c>
      <c r="G777" t="s">
        <v>2378</v>
      </c>
      <c r="H777">
        <v>12000</v>
      </c>
      <c r="I777">
        <v>1</v>
      </c>
      <c r="J777">
        <v>10</v>
      </c>
      <c r="K777">
        <v>12000</v>
      </c>
      <c r="L777">
        <v>1200</v>
      </c>
      <c r="M777">
        <v>10800</v>
      </c>
      <c r="N777">
        <v>48000</v>
      </c>
      <c r="O777">
        <v>58800</v>
      </c>
      <c r="P777" t="s">
        <v>63</v>
      </c>
      <c r="Q777" t="s">
        <v>2357</v>
      </c>
      <c r="R777" t="s">
        <v>82</v>
      </c>
      <c r="S777">
        <v>2</v>
      </c>
      <c r="T777" t="s">
        <v>24</v>
      </c>
      <c r="U777" t="s">
        <v>2405</v>
      </c>
      <c r="V777">
        <v>2025</v>
      </c>
      <c r="W777">
        <v>5</v>
      </c>
    </row>
    <row r="778" spans="1:23" x14ac:dyDescent="0.25">
      <c r="A778" t="s">
        <v>1729</v>
      </c>
      <c r="B778">
        <v>45803.088113425933</v>
      </c>
      <c r="C778" t="s">
        <v>1293</v>
      </c>
      <c r="D778" t="s">
        <v>44</v>
      </c>
      <c r="E778" t="s">
        <v>58</v>
      </c>
      <c r="F778" t="s">
        <v>2396</v>
      </c>
      <c r="G778" t="s">
        <v>2377</v>
      </c>
      <c r="H778">
        <v>16000</v>
      </c>
      <c r="I778">
        <v>2</v>
      </c>
      <c r="J778">
        <v>5</v>
      </c>
      <c r="K778">
        <v>32000</v>
      </c>
      <c r="L778">
        <v>1600</v>
      </c>
      <c r="M778">
        <v>30400</v>
      </c>
      <c r="N778">
        <v>93000</v>
      </c>
      <c r="O778">
        <v>123400</v>
      </c>
      <c r="P778" t="s">
        <v>63</v>
      </c>
      <c r="Q778" t="s">
        <v>2357</v>
      </c>
      <c r="R778" t="s">
        <v>82</v>
      </c>
      <c r="S778">
        <v>1</v>
      </c>
      <c r="T778" t="s">
        <v>24</v>
      </c>
      <c r="U778" t="s">
        <v>2405</v>
      </c>
      <c r="V778">
        <v>2025</v>
      </c>
      <c r="W778">
        <v>5</v>
      </c>
    </row>
    <row r="779" spans="1:23" x14ac:dyDescent="0.25">
      <c r="A779" t="s">
        <v>1730</v>
      </c>
      <c r="B779">
        <v>45803.117256944453</v>
      </c>
      <c r="C779" t="s">
        <v>318</v>
      </c>
      <c r="D779" t="s">
        <v>244</v>
      </c>
      <c r="E779" t="s">
        <v>110</v>
      </c>
      <c r="F779" t="s">
        <v>2395</v>
      </c>
      <c r="G779" t="s">
        <v>2379</v>
      </c>
      <c r="H779">
        <v>6000</v>
      </c>
      <c r="I779">
        <v>4</v>
      </c>
      <c r="J779">
        <v>0</v>
      </c>
      <c r="K779">
        <v>24000</v>
      </c>
      <c r="L779">
        <v>0</v>
      </c>
      <c r="M779">
        <v>24000</v>
      </c>
      <c r="N779">
        <v>80000</v>
      </c>
      <c r="O779">
        <v>104000</v>
      </c>
      <c r="P779" t="s">
        <v>22</v>
      </c>
      <c r="Q779" t="s">
        <v>2359</v>
      </c>
      <c r="R779" t="s">
        <v>36</v>
      </c>
      <c r="S779">
        <v>1</v>
      </c>
      <c r="T779" t="s">
        <v>37</v>
      </c>
      <c r="U779" t="s">
        <v>2405</v>
      </c>
      <c r="V779">
        <v>2025</v>
      </c>
      <c r="W779">
        <v>5</v>
      </c>
    </row>
    <row r="780" spans="1:23" x14ac:dyDescent="0.25">
      <c r="A780" t="s">
        <v>1730</v>
      </c>
      <c r="B780">
        <v>45803.117256944453</v>
      </c>
      <c r="C780" t="s">
        <v>318</v>
      </c>
      <c r="D780" t="s">
        <v>244</v>
      </c>
      <c r="E780" t="s">
        <v>62</v>
      </c>
      <c r="F780" t="s">
        <v>2398</v>
      </c>
      <c r="G780" t="s">
        <v>2378</v>
      </c>
      <c r="H780">
        <v>50000</v>
      </c>
      <c r="I780">
        <v>3</v>
      </c>
      <c r="J780">
        <v>10</v>
      </c>
      <c r="K780">
        <v>150000</v>
      </c>
      <c r="L780">
        <v>15000</v>
      </c>
      <c r="M780">
        <v>135000</v>
      </c>
      <c r="N780">
        <v>0</v>
      </c>
      <c r="O780">
        <v>135000</v>
      </c>
      <c r="P780" t="s">
        <v>22</v>
      </c>
      <c r="Q780" t="s">
        <v>2359</v>
      </c>
      <c r="R780" t="s">
        <v>36</v>
      </c>
      <c r="S780">
        <v>1</v>
      </c>
      <c r="T780" t="s">
        <v>37</v>
      </c>
      <c r="U780" t="s">
        <v>2405</v>
      </c>
      <c r="V780">
        <v>2025</v>
      </c>
      <c r="W780">
        <v>5</v>
      </c>
    </row>
    <row r="781" spans="1:23" x14ac:dyDescent="0.25">
      <c r="A781" t="s">
        <v>1731</v>
      </c>
      <c r="B781">
        <v>45803.139768518522</v>
      </c>
      <c r="C781" t="s">
        <v>287</v>
      </c>
      <c r="D781" t="s">
        <v>262</v>
      </c>
      <c r="E781" t="s">
        <v>58</v>
      </c>
      <c r="F781" t="s">
        <v>2396</v>
      </c>
      <c r="G781" t="s">
        <v>2377</v>
      </c>
      <c r="H781">
        <v>16000</v>
      </c>
      <c r="I781">
        <v>5</v>
      </c>
      <c r="J781">
        <v>15</v>
      </c>
      <c r="K781">
        <v>80000</v>
      </c>
      <c r="L781">
        <v>12000</v>
      </c>
      <c r="M781">
        <v>68000</v>
      </c>
      <c r="N781">
        <v>18000</v>
      </c>
      <c r="O781">
        <v>86000</v>
      </c>
      <c r="P781" t="s">
        <v>63</v>
      </c>
      <c r="Q781" t="s">
        <v>2357</v>
      </c>
      <c r="R781" t="s">
        <v>30</v>
      </c>
      <c r="S781">
        <v>5</v>
      </c>
      <c r="T781" t="s">
        <v>24</v>
      </c>
      <c r="U781" t="s">
        <v>2405</v>
      </c>
      <c r="V781">
        <v>2025</v>
      </c>
      <c r="W781">
        <v>5</v>
      </c>
    </row>
    <row r="782" spans="1:23" x14ac:dyDescent="0.25">
      <c r="A782" t="s">
        <v>1732</v>
      </c>
      <c r="B782">
        <v>45803.195162037038</v>
      </c>
      <c r="C782" t="s">
        <v>197</v>
      </c>
      <c r="D782" t="s">
        <v>119</v>
      </c>
      <c r="E782" t="s">
        <v>50</v>
      </c>
      <c r="F782" t="s">
        <v>2400</v>
      </c>
      <c r="G782" t="s">
        <v>2379</v>
      </c>
      <c r="H782">
        <v>14000</v>
      </c>
      <c r="I782">
        <v>1</v>
      </c>
      <c r="J782">
        <v>10</v>
      </c>
      <c r="K782">
        <v>14000</v>
      </c>
      <c r="L782">
        <v>1400</v>
      </c>
      <c r="M782">
        <v>12600</v>
      </c>
      <c r="N782">
        <v>0</v>
      </c>
      <c r="O782">
        <v>12600</v>
      </c>
      <c r="P782" t="s">
        <v>29</v>
      </c>
      <c r="Q782" t="s">
        <v>2357</v>
      </c>
      <c r="R782" t="s">
        <v>46</v>
      </c>
      <c r="S782">
        <v>4</v>
      </c>
      <c r="T782" t="s">
        <v>37</v>
      </c>
      <c r="U782" t="s">
        <v>2405</v>
      </c>
      <c r="V782">
        <v>2025</v>
      </c>
      <c r="W782">
        <v>5</v>
      </c>
    </row>
    <row r="783" spans="1:23" x14ac:dyDescent="0.25">
      <c r="A783" t="s">
        <v>1733</v>
      </c>
      <c r="B783">
        <v>45803.279699074083</v>
      </c>
      <c r="C783" t="s">
        <v>741</v>
      </c>
      <c r="D783" t="s">
        <v>189</v>
      </c>
      <c r="E783" t="s">
        <v>81</v>
      </c>
      <c r="F783" t="s">
        <v>2397</v>
      </c>
      <c r="G783" t="s">
        <v>2378</v>
      </c>
      <c r="H783">
        <v>17000</v>
      </c>
      <c r="I783">
        <v>2</v>
      </c>
      <c r="J783">
        <v>10</v>
      </c>
      <c r="K783">
        <v>34000</v>
      </c>
      <c r="L783">
        <v>3400</v>
      </c>
      <c r="M783">
        <v>30600</v>
      </c>
      <c r="N783">
        <v>57000</v>
      </c>
      <c r="O783">
        <v>87600</v>
      </c>
      <c r="P783" t="s">
        <v>29</v>
      </c>
      <c r="Q783" t="s">
        <v>2357</v>
      </c>
      <c r="R783" t="s">
        <v>23</v>
      </c>
      <c r="S783">
        <v>3</v>
      </c>
      <c r="T783" t="s">
        <v>24</v>
      </c>
      <c r="U783" t="s">
        <v>2405</v>
      </c>
      <c r="V783">
        <v>2025</v>
      </c>
      <c r="W783">
        <v>5</v>
      </c>
    </row>
    <row r="784" spans="1:23" x14ac:dyDescent="0.25">
      <c r="A784" t="s">
        <v>1734</v>
      </c>
      <c r="B784">
        <v>45803.584502314807</v>
      </c>
      <c r="C784" t="s">
        <v>1173</v>
      </c>
      <c r="D784" t="s">
        <v>170</v>
      </c>
      <c r="E784" t="s">
        <v>45</v>
      </c>
      <c r="F784" t="s">
        <v>2394</v>
      </c>
      <c r="G784" t="s">
        <v>2378</v>
      </c>
      <c r="H784">
        <v>40000</v>
      </c>
      <c r="I784">
        <v>4</v>
      </c>
      <c r="J784">
        <v>20</v>
      </c>
      <c r="K784">
        <v>160000</v>
      </c>
      <c r="L784">
        <v>32000</v>
      </c>
      <c r="M784">
        <v>128000</v>
      </c>
      <c r="N784">
        <v>46000</v>
      </c>
      <c r="O784">
        <v>174000</v>
      </c>
      <c r="P784" t="s">
        <v>22</v>
      </c>
      <c r="Q784" t="s">
        <v>2356</v>
      </c>
      <c r="R784" t="s">
        <v>46</v>
      </c>
      <c r="S784">
        <v>2</v>
      </c>
      <c r="T784" t="s">
        <v>24</v>
      </c>
      <c r="U784" t="s">
        <v>2405</v>
      </c>
      <c r="V784">
        <v>2025</v>
      </c>
      <c r="W784">
        <v>5</v>
      </c>
    </row>
    <row r="785" spans="1:23" x14ac:dyDescent="0.25">
      <c r="A785" t="s">
        <v>1735</v>
      </c>
      <c r="B785">
        <v>45803.98578703704</v>
      </c>
      <c r="C785" t="s">
        <v>184</v>
      </c>
      <c r="D785" t="s">
        <v>103</v>
      </c>
      <c r="E785" t="s">
        <v>34</v>
      </c>
      <c r="F785" t="s">
        <v>2397</v>
      </c>
      <c r="G785" t="s">
        <v>2377</v>
      </c>
      <c r="H785">
        <v>16000</v>
      </c>
      <c r="I785">
        <v>4</v>
      </c>
      <c r="J785">
        <v>5</v>
      </c>
      <c r="K785">
        <v>64000</v>
      </c>
      <c r="L785">
        <v>3200</v>
      </c>
      <c r="M785">
        <v>60800</v>
      </c>
      <c r="N785">
        <v>85000</v>
      </c>
      <c r="O785">
        <v>145800</v>
      </c>
      <c r="P785" t="s">
        <v>29</v>
      </c>
      <c r="Q785" t="s">
        <v>2357</v>
      </c>
      <c r="R785" t="s">
        <v>36</v>
      </c>
      <c r="S785">
        <v>4</v>
      </c>
      <c r="T785" t="s">
        <v>24</v>
      </c>
      <c r="U785" t="s">
        <v>2405</v>
      </c>
      <c r="V785">
        <v>2025</v>
      </c>
      <c r="W785">
        <v>5</v>
      </c>
    </row>
    <row r="786" spans="1:23" x14ac:dyDescent="0.25">
      <c r="A786" t="s">
        <v>1736</v>
      </c>
      <c r="B786">
        <v>45804.007256944453</v>
      </c>
      <c r="C786" t="s">
        <v>431</v>
      </c>
      <c r="D786" t="s">
        <v>33</v>
      </c>
      <c r="E786" t="s">
        <v>34</v>
      </c>
      <c r="F786" t="s">
        <v>2397</v>
      </c>
      <c r="G786" t="s">
        <v>2377</v>
      </c>
      <c r="H786">
        <v>16000</v>
      </c>
      <c r="I786">
        <v>3</v>
      </c>
      <c r="J786">
        <v>15</v>
      </c>
      <c r="K786">
        <v>48000</v>
      </c>
      <c r="L786">
        <v>7200</v>
      </c>
      <c r="M786">
        <v>40800</v>
      </c>
      <c r="N786">
        <v>76000</v>
      </c>
      <c r="O786">
        <v>116800</v>
      </c>
      <c r="P786" t="s">
        <v>35</v>
      </c>
      <c r="Q786" t="s">
        <v>2357</v>
      </c>
      <c r="R786" t="s">
        <v>36</v>
      </c>
      <c r="S786">
        <v>2</v>
      </c>
      <c r="T786" t="s">
        <v>24</v>
      </c>
      <c r="U786" t="s">
        <v>2405</v>
      </c>
      <c r="V786">
        <v>2025</v>
      </c>
      <c r="W786">
        <v>5</v>
      </c>
    </row>
    <row r="787" spans="1:23" x14ac:dyDescent="0.25">
      <c r="A787" t="s">
        <v>1737</v>
      </c>
      <c r="B787">
        <v>45804.123182870368</v>
      </c>
      <c r="C787" t="s">
        <v>780</v>
      </c>
      <c r="D787" t="s">
        <v>113</v>
      </c>
      <c r="E787" t="s">
        <v>45</v>
      </c>
      <c r="F787" t="s">
        <v>2394</v>
      </c>
      <c r="G787" t="s">
        <v>2378</v>
      </c>
      <c r="H787">
        <v>40000</v>
      </c>
      <c r="I787">
        <v>1</v>
      </c>
      <c r="J787">
        <v>5</v>
      </c>
      <c r="K787">
        <v>40000</v>
      </c>
      <c r="L787">
        <v>2000</v>
      </c>
      <c r="M787">
        <v>38000</v>
      </c>
      <c r="N787">
        <v>18000</v>
      </c>
      <c r="O787">
        <v>56000</v>
      </c>
      <c r="P787" t="s">
        <v>22</v>
      </c>
      <c r="Q787" t="s">
        <v>2357</v>
      </c>
      <c r="R787" t="s">
        <v>30</v>
      </c>
      <c r="S787">
        <v>1</v>
      </c>
      <c r="T787" t="s">
        <v>24</v>
      </c>
      <c r="U787" t="s">
        <v>2405</v>
      </c>
      <c r="V787">
        <v>2025</v>
      </c>
      <c r="W787">
        <v>5</v>
      </c>
    </row>
    <row r="788" spans="1:23" x14ac:dyDescent="0.25">
      <c r="A788" t="s">
        <v>1738</v>
      </c>
      <c r="B788">
        <v>45804.200624999998</v>
      </c>
      <c r="C788" t="s">
        <v>176</v>
      </c>
      <c r="D788" t="s">
        <v>177</v>
      </c>
      <c r="E788" t="s">
        <v>136</v>
      </c>
      <c r="F788" t="s">
        <v>2400</v>
      </c>
      <c r="G788" t="s">
        <v>2378</v>
      </c>
      <c r="H788">
        <v>12000</v>
      </c>
      <c r="I788">
        <v>3</v>
      </c>
      <c r="J788">
        <v>0</v>
      </c>
      <c r="K788">
        <v>36000</v>
      </c>
      <c r="L788">
        <v>0</v>
      </c>
      <c r="M788">
        <v>36000</v>
      </c>
      <c r="N788">
        <v>56000</v>
      </c>
      <c r="O788">
        <v>92000</v>
      </c>
      <c r="P788" t="s">
        <v>35</v>
      </c>
      <c r="Q788" t="s">
        <v>2357</v>
      </c>
      <c r="R788" t="s">
        <v>82</v>
      </c>
      <c r="S788">
        <v>5</v>
      </c>
      <c r="T788" t="s">
        <v>24</v>
      </c>
      <c r="U788" t="s">
        <v>2405</v>
      </c>
      <c r="V788">
        <v>2025</v>
      </c>
      <c r="W788">
        <v>5</v>
      </c>
    </row>
    <row r="789" spans="1:23" x14ac:dyDescent="0.25">
      <c r="A789" t="s">
        <v>1739</v>
      </c>
      <c r="B789">
        <v>45804.696400462963</v>
      </c>
      <c r="C789" t="s">
        <v>431</v>
      </c>
      <c r="D789" t="s">
        <v>33</v>
      </c>
      <c r="E789" t="s">
        <v>81</v>
      </c>
      <c r="F789" t="s">
        <v>2397</v>
      </c>
      <c r="G789" t="s">
        <v>2378</v>
      </c>
      <c r="H789">
        <v>17000</v>
      </c>
      <c r="I789">
        <v>5</v>
      </c>
      <c r="J789">
        <v>0</v>
      </c>
      <c r="K789">
        <v>85000</v>
      </c>
      <c r="L789">
        <v>0</v>
      </c>
      <c r="M789">
        <v>85000</v>
      </c>
      <c r="N789">
        <v>76000</v>
      </c>
      <c r="O789">
        <v>161000</v>
      </c>
      <c r="P789" t="s">
        <v>35</v>
      </c>
      <c r="Q789" t="s">
        <v>2357</v>
      </c>
      <c r="R789" t="s">
        <v>23</v>
      </c>
      <c r="S789">
        <v>4</v>
      </c>
      <c r="T789" t="s">
        <v>24</v>
      </c>
      <c r="U789" t="s">
        <v>2405</v>
      </c>
      <c r="V789">
        <v>2025</v>
      </c>
      <c r="W789">
        <v>5</v>
      </c>
    </row>
    <row r="790" spans="1:23" x14ac:dyDescent="0.25">
      <c r="A790" t="s">
        <v>1740</v>
      </c>
      <c r="B790">
        <v>45805.642951388887</v>
      </c>
      <c r="C790" t="s">
        <v>1741</v>
      </c>
      <c r="D790" t="s">
        <v>44</v>
      </c>
      <c r="E790" t="s">
        <v>190</v>
      </c>
      <c r="F790" t="s">
        <v>2392</v>
      </c>
      <c r="G790" t="s">
        <v>2378</v>
      </c>
      <c r="H790">
        <v>35000</v>
      </c>
      <c r="I790">
        <v>2</v>
      </c>
      <c r="J790">
        <v>0</v>
      </c>
      <c r="K790">
        <v>70000</v>
      </c>
      <c r="L790">
        <v>0</v>
      </c>
      <c r="M790">
        <v>70000</v>
      </c>
      <c r="N790">
        <v>93000</v>
      </c>
      <c r="O790">
        <v>163000</v>
      </c>
      <c r="P790" t="s">
        <v>63</v>
      </c>
      <c r="Q790" t="s">
        <v>2356</v>
      </c>
      <c r="R790" t="s">
        <v>36</v>
      </c>
      <c r="S790">
        <v>5</v>
      </c>
      <c r="T790" t="s">
        <v>24</v>
      </c>
      <c r="U790" t="s">
        <v>2405</v>
      </c>
      <c r="V790">
        <v>2025</v>
      </c>
      <c r="W790">
        <v>5</v>
      </c>
    </row>
    <row r="791" spans="1:23" x14ac:dyDescent="0.25">
      <c r="A791" t="s">
        <v>1742</v>
      </c>
      <c r="B791">
        <v>45805.645462962973</v>
      </c>
      <c r="C791" t="s">
        <v>416</v>
      </c>
      <c r="D791" t="s">
        <v>131</v>
      </c>
      <c r="E791" t="s">
        <v>75</v>
      </c>
      <c r="F791" t="s">
        <v>2398</v>
      </c>
      <c r="G791" t="s">
        <v>2379</v>
      </c>
      <c r="H791">
        <v>55000</v>
      </c>
      <c r="I791">
        <v>1</v>
      </c>
      <c r="J791">
        <v>10</v>
      </c>
      <c r="K791">
        <v>55000</v>
      </c>
      <c r="L791">
        <v>5500</v>
      </c>
      <c r="M791">
        <v>49500</v>
      </c>
      <c r="N791">
        <v>59000</v>
      </c>
      <c r="O791">
        <v>108500</v>
      </c>
      <c r="P791" t="s">
        <v>22</v>
      </c>
      <c r="Q791" t="s">
        <v>2356</v>
      </c>
      <c r="R791" t="s">
        <v>30</v>
      </c>
      <c r="S791">
        <v>2</v>
      </c>
      <c r="T791" t="s">
        <v>24</v>
      </c>
      <c r="U791" t="s">
        <v>2405</v>
      </c>
      <c r="V791">
        <v>2025</v>
      </c>
      <c r="W791">
        <v>5</v>
      </c>
    </row>
    <row r="792" spans="1:23" x14ac:dyDescent="0.25">
      <c r="A792" t="s">
        <v>1743</v>
      </c>
      <c r="B792">
        <v>45805.911238425928</v>
      </c>
      <c r="C792" t="s">
        <v>1530</v>
      </c>
      <c r="D792" t="s">
        <v>122</v>
      </c>
      <c r="E792" t="s">
        <v>41</v>
      </c>
      <c r="F792" t="s">
        <v>2395</v>
      </c>
      <c r="G792" t="s">
        <v>2377</v>
      </c>
      <c r="H792">
        <v>4000</v>
      </c>
      <c r="I792">
        <v>5</v>
      </c>
      <c r="J792">
        <v>0</v>
      </c>
      <c r="K792">
        <v>20000</v>
      </c>
      <c r="L792">
        <v>0</v>
      </c>
      <c r="M792">
        <v>20000</v>
      </c>
      <c r="N792">
        <v>78000</v>
      </c>
      <c r="O792">
        <v>98000</v>
      </c>
      <c r="P792" t="s">
        <v>29</v>
      </c>
      <c r="Q792" t="s">
        <v>2356</v>
      </c>
      <c r="R792" t="s">
        <v>23</v>
      </c>
      <c r="S792">
        <v>4</v>
      </c>
      <c r="T792" t="s">
        <v>24</v>
      </c>
      <c r="U792" t="s">
        <v>2405</v>
      </c>
      <c r="V792">
        <v>2025</v>
      </c>
      <c r="W792">
        <v>5</v>
      </c>
    </row>
    <row r="793" spans="1:23" x14ac:dyDescent="0.25">
      <c r="A793" t="s">
        <v>1744</v>
      </c>
      <c r="B793">
        <v>45806.661747685182</v>
      </c>
      <c r="C793" t="s">
        <v>87</v>
      </c>
      <c r="D793" t="s">
        <v>80</v>
      </c>
      <c r="E793" t="s">
        <v>174</v>
      </c>
      <c r="F793" t="s">
        <v>2400</v>
      </c>
      <c r="G793" t="s">
        <v>2377</v>
      </c>
      <c r="H793">
        <v>10000</v>
      </c>
      <c r="I793">
        <v>3</v>
      </c>
      <c r="J793">
        <v>10</v>
      </c>
      <c r="K793">
        <v>30000</v>
      </c>
      <c r="L793">
        <v>3000</v>
      </c>
      <c r="M793">
        <v>27000</v>
      </c>
      <c r="N793">
        <v>74000</v>
      </c>
      <c r="O793">
        <v>101000</v>
      </c>
      <c r="P793" t="s">
        <v>35</v>
      </c>
      <c r="Q793" t="s">
        <v>2357</v>
      </c>
      <c r="R793" t="s">
        <v>46</v>
      </c>
      <c r="S793">
        <v>1</v>
      </c>
      <c r="T793" t="s">
        <v>24</v>
      </c>
      <c r="U793" t="s">
        <v>2405</v>
      </c>
      <c r="V793">
        <v>2025</v>
      </c>
      <c r="W793">
        <v>5</v>
      </c>
    </row>
    <row r="794" spans="1:23" x14ac:dyDescent="0.25">
      <c r="A794" t="s">
        <v>1745</v>
      </c>
      <c r="B794">
        <v>45806.868321759262</v>
      </c>
      <c r="C794" t="s">
        <v>199</v>
      </c>
      <c r="D794" t="s">
        <v>143</v>
      </c>
      <c r="E794" t="s">
        <v>38</v>
      </c>
      <c r="F794" t="s">
        <v>2399</v>
      </c>
      <c r="G794" t="s">
        <v>2379</v>
      </c>
      <c r="H794">
        <v>28000</v>
      </c>
      <c r="I794">
        <v>4</v>
      </c>
      <c r="J794">
        <v>15</v>
      </c>
      <c r="K794">
        <v>112000</v>
      </c>
      <c r="L794">
        <v>16800</v>
      </c>
      <c r="M794">
        <v>95200</v>
      </c>
      <c r="N794">
        <v>50000</v>
      </c>
      <c r="O794">
        <v>145200</v>
      </c>
      <c r="P794" t="s">
        <v>63</v>
      </c>
      <c r="Q794" t="s">
        <v>2357</v>
      </c>
      <c r="R794" t="s">
        <v>23</v>
      </c>
      <c r="S794">
        <v>4</v>
      </c>
      <c r="T794" t="s">
        <v>24</v>
      </c>
      <c r="U794" t="s">
        <v>2405</v>
      </c>
      <c r="V794">
        <v>2025</v>
      </c>
      <c r="W794">
        <v>5</v>
      </c>
    </row>
    <row r="795" spans="1:23" x14ac:dyDescent="0.25">
      <c r="A795" t="s">
        <v>1746</v>
      </c>
      <c r="B795">
        <v>45807.260497685187</v>
      </c>
      <c r="C795" t="s">
        <v>225</v>
      </c>
      <c r="D795" t="s">
        <v>189</v>
      </c>
      <c r="E795" t="s">
        <v>88</v>
      </c>
      <c r="F795" t="s">
        <v>2393</v>
      </c>
      <c r="G795" t="s">
        <v>2377</v>
      </c>
      <c r="H795">
        <v>14000</v>
      </c>
      <c r="I795">
        <v>5</v>
      </c>
      <c r="J795">
        <v>5</v>
      </c>
      <c r="K795">
        <v>70000</v>
      </c>
      <c r="L795">
        <v>3500</v>
      </c>
      <c r="M795">
        <v>66500</v>
      </c>
      <c r="N795">
        <v>57000</v>
      </c>
      <c r="O795">
        <v>123500</v>
      </c>
      <c r="P795" t="s">
        <v>29</v>
      </c>
      <c r="Q795" t="s">
        <v>2357</v>
      </c>
      <c r="R795" t="s">
        <v>46</v>
      </c>
      <c r="S795">
        <v>1</v>
      </c>
      <c r="T795" t="s">
        <v>37</v>
      </c>
      <c r="U795" t="s">
        <v>2405</v>
      </c>
      <c r="V795">
        <v>2025</v>
      </c>
      <c r="W795">
        <v>5</v>
      </c>
    </row>
    <row r="796" spans="1:23" x14ac:dyDescent="0.25">
      <c r="A796" t="s">
        <v>1747</v>
      </c>
      <c r="B796">
        <v>45807.876099537039</v>
      </c>
      <c r="C796" t="s">
        <v>256</v>
      </c>
      <c r="D796" t="s">
        <v>107</v>
      </c>
      <c r="E796" t="s">
        <v>54</v>
      </c>
      <c r="F796" t="s">
        <v>2393</v>
      </c>
      <c r="G796" t="s">
        <v>2379</v>
      </c>
      <c r="H796">
        <v>16000</v>
      </c>
      <c r="I796">
        <v>3</v>
      </c>
      <c r="J796">
        <v>0</v>
      </c>
      <c r="K796">
        <v>48000</v>
      </c>
      <c r="L796">
        <v>0</v>
      </c>
      <c r="M796">
        <v>48000</v>
      </c>
      <c r="N796">
        <v>97000</v>
      </c>
      <c r="O796">
        <v>145000</v>
      </c>
      <c r="P796" t="s">
        <v>63</v>
      </c>
      <c r="Q796" t="s">
        <v>2356</v>
      </c>
      <c r="R796" t="s">
        <v>30</v>
      </c>
      <c r="S796">
        <v>2</v>
      </c>
      <c r="T796" t="s">
        <v>24</v>
      </c>
      <c r="U796" t="s">
        <v>2405</v>
      </c>
      <c r="V796">
        <v>2025</v>
      </c>
      <c r="W796">
        <v>5</v>
      </c>
    </row>
    <row r="797" spans="1:23" x14ac:dyDescent="0.25">
      <c r="A797" t="s">
        <v>1748</v>
      </c>
      <c r="B797">
        <v>45807.93608796296</v>
      </c>
      <c r="C797" t="s">
        <v>218</v>
      </c>
      <c r="D797" t="s">
        <v>170</v>
      </c>
      <c r="E797" t="s">
        <v>58</v>
      </c>
      <c r="F797" t="s">
        <v>2396</v>
      </c>
      <c r="G797" t="s">
        <v>2377</v>
      </c>
      <c r="H797">
        <v>16000</v>
      </c>
      <c r="I797">
        <v>4</v>
      </c>
      <c r="J797">
        <v>10</v>
      </c>
      <c r="K797">
        <v>64000</v>
      </c>
      <c r="L797">
        <v>6400</v>
      </c>
      <c r="M797">
        <v>57600</v>
      </c>
      <c r="N797">
        <v>46000</v>
      </c>
      <c r="O797">
        <v>103600</v>
      </c>
      <c r="P797" t="s">
        <v>35</v>
      </c>
      <c r="Q797" t="s">
        <v>2357</v>
      </c>
      <c r="R797" t="s">
        <v>46</v>
      </c>
      <c r="S797">
        <v>5</v>
      </c>
      <c r="T797" t="s">
        <v>24</v>
      </c>
      <c r="U797" t="s">
        <v>2405</v>
      </c>
      <c r="V797">
        <v>2025</v>
      </c>
      <c r="W797">
        <v>5</v>
      </c>
    </row>
    <row r="798" spans="1:23" x14ac:dyDescent="0.25">
      <c r="A798" t="s">
        <v>1749</v>
      </c>
      <c r="B798">
        <v>45808.147893518522</v>
      </c>
      <c r="C798" t="s">
        <v>355</v>
      </c>
      <c r="D798" t="s">
        <v>116</v>
      </c>
      <c r="E798" t="s">
        <v>144</v>
      </c>
      <c r="F798" t="s">
        <v>2396</v>
      </c>
      <c r="G798" t="s">
        <v>2379</v>
      </c>
      <c r="H798">
        <v>18000</v>
      </c>
      <c r="I798">
        <v>2</v>
      </c>
      <c r="J798">
        <v>10</v>
      </c>
      <c r="K798">
        <v>36000</v>
      </c>
      <c r="L798">
        <v>3600</v>
      </c>
      <c r="M798">
        <v>32400</v>
      </c>
      <c r="N798">
        <v>72000</v>
      </c>
      <c r="O798">
        <v>104400</v>
      </c>
      <c r="P798" t="s">
        <v>29</v>
      </c>
      <c r="Q798" t="s">
        <v>2357</v>
      </c>
      <c r="R798" t="s">
        <v>36</v>
      </c>
      <c r="S798">
        <v>2</v>
      </c>
      <c r="T798" t="s">
        <v>24</v>
      </c>
      <c r="U798" t="s">
        <v>2405</v>
      </c>
      <c r="V798">
        <v>2025</v>
      </c>
      <c r="W798">
        <v>5</v>
      </c>
    </row>
    <row r="799" spans="1:23" x14ac:dyDescent="0.25">
      <c r="A799" t="s">
        <v>1750</v>
      </c>
      <c r="B799">
        <v>45808.278726851851</v>
      </c>
      <c r="C799" t="s">
        <v>102</v>
      </c>
      <c r="D799" t="s">
        <v>103</v>
      </c>
      <c r="E799" t="s">
        <v>144</v>
      </c>
      <c r="F799" t="s">
        <v>2396</v>
      </c>
      <c r="G799" t="s">
        <v>2379</v>
      </c>
      <c r="H799">
        <v>18000</v>
      </c>
      <c r="I799">
        <v>1</v>
      </c>
      <c r="J799">
        <v>10</v>
      </c>
      <c r="K799">
        <v>18000</v>
      </c>
      <c r="L799">
        <v>1800</v>
      </c>
      <c r="M799">
        <v>16200</v>
      </c>
      <c r="N799">
        <v>85000</v>
      </c>
      <c r="O799">
        <v>101200</v>
      </c>
      <c r="P799" t="s">
        <v>22</v>
      </c>
      <c r="Q799" t="s">
        <v>2357</v>
      </c>
      <c r="R799" t="s">
        <v>23</v>
      </c>
      <c r="S799">
        <v>1</v>
      </c>
      <c r="T799" t="s">
        <v>24</v>
      </c>
      <c r="U799" t="s">
        <v>2405</v>
      </c>
      <c r="V799">
        <v>2025</v>
      </c>
      <c r="W799">
        <v>5</v>
      </c>
    </row>
    <row r="800" spans="1:23" x14ac:dyDescent="0.25">
      <c r="A800" t="s">
        <v>1751</v>
      </c>
      <c r="B800">
        <v>45808.335034722222</v>
      </c>
      <c r="C800" t="s">
        <v>549</v>
      </c>
      <c r="D800" t="s">
        <v>107</v>
      </c>
      <c r="E800" t="s">
        <v>38</v>
      </c>
      <c r="F800" t="s">
        <v>2399</v>
      </c>
      <c r="G800" t="s">
        <v>2379</v>
      </c>
      <c r="H800">
        <v>28000</v>
      </c>
      <c r="I800">
        <v>3</v>
      </c>
      <c r="J800">
        <v>10</v>
      </c>
      <c r="K800">
        <v>84000</v>
      </c>
      <c r="L800">
        <v>8400</v>
      </c>
      <c r="M800">
        <v>75600</v>
      </c>
      <c r="N800">
        <v>97000</v>
      </c>
      <c r="O800">
        <v>172600</v>
      </c>
      <c r="P800" t="s">
        <v>63</v>
      </c>
      <c r="Q800" t="s">
        <v>2357</v>
      </c>
      <c r="R800" t="s">
        <v>23</v>
      </c>
      <c r="S800">
        <v>5</v>
      </c>
      <c r="T800" t="s">
        <v>24</v>
      </c>
      <c r="U800" t="s">
        <v>2405</v>
      </c>
      <c r="V800">
        <v>2025</v>
      </c>
      <c r="W800">
        <v>5</v>
      </c>
    </row>
    <row r="801" spans="1:23" x14ac:dyDescent="0.25">
      <c r="A801" t="s">
        <v>1751</v>
      </c>
      <c r="B801">
        <v>45808.335034722222</v>
      </c>
      <c r="C801" t="s">
        <v>549</v>
      </c>
      <c r="D801" t="s">
        <v>107</v>
      </c>
      <c r="E801" t="s">
        <v>41</v>
      </c>
      <c r="F801" t="s">
        <v>2395</v>
      </c>
      <c r="G801" t="s">
        <v>2377</v>
      </c>
      <c r="H801">
        <v>4000</v>
      </c>
      <c r="I801">
        <v>5</v>
      </c>
      <c r="J801">
        <v>0</v>
      </c>
      <c r="K801">
        <v>20000</v>
      </c>
      <c r="L801">
        <v>0</v>
      </c>
      <c r="M801">
        <v>20000</v>
      </c>
      <c r="N801">
        <v>0</v>
      </c>
      <c r="O801">
        <v>20000</v>
      </c>
      <c r="P801" t="s">
        <v>63</v>
      </c>
      <c r="Q801" t="s">
        <v>2357</v>
      </c>
      <c r="R801" t="s">
        <v>23</v>
      </c>
      <c r="S801">
        <v>5</v>
      </c>
      <c r="T801" t="s">
        <v>24</v>
      </c>
      <c r="U801" t="s">
        <v>2405</v>
      </c>
      <c r="V801">
        <v>2025</v>
      </c>
      <c r="W801">
        <v>5</v>
      </c>
    </row>
    <row r="802" spans="1:23" x14ac:dyDescent="0.25">
      <c r="A802" t="s">
        <v>1752</v>
      </c>
      <c r="B802">
        <v>45808.48159722222</v>
      </c>
      <c r="C802" t="s">
        <v>179</v>
      </c>
      <c r="D802" t="s">
        <v>66</v>
      </c>
      <c r="E802" t="s">
        <v>54</v>
      </c>
      <c r="F802" t="s">
        <v>2393</v>
      </c>
      <c r="G802" t="s">
        <v>2379</v>
      </c>
      <c r="H802">
        <v>16000</v>
      </c>
      <c r="I802">
        <v>5</v>
      </c>
      <c r="J802">
        <v>0</v>
      </c>
      <c r="K802">
        <v>80000</v>
      </c>
      <c r="L802">
        <v>0</v>
      </c>
      <c r="M802">
        <v>80000</v>
      </c>
      <c r="N802">
        <v>59000</v>
      </c>
      <c r="O802">
        <v>139000</v>
      </c>
      <c r="P802" t="s">
        <v>63</v>
      </c>
      <c r="Q802" t="s">
        <v>2357</v>
      </c>
      <c r="R802" t="s">
        <v>46</v>
      </c>
      <c r="S802">
        <v>2</v>
      </c>
      <c r="T802" t="s">
        <v>24</v>
      </c>
      <c r="U802" t="s">
        <v>2405</v>
      </c>
      <c r="V802">
        <v>2025</v>
      </c>
      <c r="W802">
        <v>5</v>
      </c>
    </row>
    <row r="803" spans="1:23" x14ac:dyDescent="0.25">
      <c r="A803" t="s">
        <v>1753</v>
      </c>
      <c r="B803">
        <v>45808.593981481477</v>
      </c>
      <c r="C803" t="s">
        <v>314</v>
      </c>
      <c r="D803" t="s">
        <v>113</v>
      </c>
      <c r="E803" t="s">
        <v>75</v>
      </c>
      <c r="F803" t="s">
        <v>2398</v>
      </c>
      <c r="G803" t="s">
        <v>2379</v>
      </c>
      <c r="H803">
        <v>55000</v>
      </c>
      <c r="I803">
        <v>4</v>
      </c>
      <c r="J803">
        <v>0</v>
      </c>
      <c r="K803">
        <v>220000</v>
      </c>
      <c r="L803">
        <v>0</v>
      </c>
      <c r="M803">
        <v>220000</v>
      </c>
      <c r="N803">
        <v>18000</v>
      </c>
      <c r="O803">
        <v>238000</v>
      </c>
      <c r="P803" t="s">
        <v>22</v>
      </c>
      <c r="Q803" t="s">
        <v>2357</v>
      </c>
      <c r="R803" t="s">
        <v>30</v>
      </c>
      <c r="S803">
        <v>1</v>
      </c>
      <c r="T803" t="s">
        <v>24</v>
      </c>
      <c r="U803" t="s">
        <v>2405</v>
      </c>
      <c r="V803">
        <v>2025</v>
      </c>
      <c r="W803">
        <v>5</v>
      </c>
    </row>
    <row r="804" spans="1:23" x14ac:dyDescent="0.25">
      <c r="A804" t="s">
        <v>1754</v>
      </c>
      <c r="B804">
        <v>45809.02171296296</v>
      </c>
      <c r="C804" t="s">
        <v>302</v>
      </c>
      <c r="D804" t="s">
        <v>74</v>
      </c>
      <c r="E804" t="s">
        <v>190</v>
      </c>
      <c r="F804" t="s">
        <v>2392</v>
      </c>
      <c r="G804" t="s">
        <v>2378</v>
      </c>
      <c r="H804">
        <v>35000</v>
      </c>
      <c r="I804">
        <v>2</v>
      </c>
      <c r="J804">
        <v>10</v>
      </c>
      <c r="K804">
        <v>70000</v>
      </c>
      <c r="L804">
        <v>7000</v>
      </c>
      <c r="M804">
        <v>63000</v>
      </c>
      <c r="N804">
        <v>87000</v>
      </c>
      <c r="O804">
        <v>150000</v>
      </c>
      <c r="P804" t="s">
        <v>29</v>
      </c>
      <c r="Q804" t="s">
        <v>2357</v>
      </c>
      <c r="R804" t="s">
        <v>82</v>
      </c>
      <c r="S804">
        <v>2</v>
      </c>
      <c r="T804" t="s">
        <v>24</v>
      </c>
      <c r="U804" t="s">
        <v>2406</v>
      </c>
      <c r="V804">
        <v>2025</v>
      </c>
      <c r="W804">
        <v>6</v>
      </c>
    </row>
    <row r="805" spans="1:23" x14ac:dyDescent="0.25">
      <c r="A805" t="s">
        <v>1755</v>
      </c>
      <c r="B805">
        <v>45809.438032407408</v>
      </c>
      <c r="C805" t="s">
        <v>900</v>
      </c>
      <c r="D805" t="s">
        <v>27</v>
      </c>
      <c r="E805" t="s">
        <v>54</v>
      </c>
      <c r="F805" t="s">
        <v>2393</v>
      </c>
      <c r="G805" t="s">
        <v>2379</v>
      </c>
      <c r="H805">
        <v>16000</v>
      </c>
      <c r="I805">
        <v>1</v>
      </c>
      <c r="J805">
        <v>0</v>
      </c>
      <c r="K805">
        <v>16000</v>
      </c>
      <c r="L805">
        <v>0</v>
      </c>
      <c r="M805">
        <v>16000</v>
      </c>
      <c r="N805">
        <v>17000</v>
      </c>
      <c r="O805">
        <v>33000</v>
      </c>
      <c r="P805" t="s">
        <v>29</v>
      </c>
      <c r="Q805" t="s">
        <v>2357</v>
      </c>
      <c r="R805" t="s">
        <v>46</v>
      </c>
      <c r="S805">
        <v>3</v>
      </c>
      <c r="T805" t="s">
        <v>24</v>
      </c>
      <c r="U805" t="s">
        <v>2406</v>
      </c>
      <c r="V805">
        <v>2025</v>
      </c>
      <c r="W805">
        <v>6</v>
      </c>
    </row>
    <row r="806" spans="1:23" x14ac:dyDescent="0.25">
      <c r="A806" t="s">
        <v>1756</v>
      </c>
      <c r="B806">
        <v>45809.503657407397</v>
      </c>
      <c r="C806" t="s">
        <v>1757</v>
      </c>
      <c r="D806" t="s">
        <v>74</v>
      </c>
      <c r="E806" t="s">
        <v>21</v>
      </c>
      <c r="F806" t="s">
        <v>2394</v>
      </c>
      <c r="G806" t="s">
        <v>2379</v>
      </c>
      <c r="H806">
        <v>45000</v>
      </c>
      <c r="I806">
        <v>3</v>
      </c>
      <c r="J806">
        <v>15</v>
      </c>
      <c r="K806">
        <v>135000</v>
      </c>
      <c r="L806">
        <v>20250</v>
      </c>
      <c r="M806">
        <v>114750</v>
      </c>
      <c r="N806">
        <v>87000</v>
      </c>
      <c r="O806">
        <v>201750</v>
      </c>
      <c r="P806" t="s">
        <v>22</v>
      </c>
      <c r="Q806" t="s">
        <v>2357</v>
      </c>
      <c r="R806" t="s">
        <v>30</v>
      </c>
      <c r="S806">
        <v>3</v>
      </c>
      <c r="T806" t="s">
        <v>37</v>
      </c>
      <c r="U806" t="s">
        <v>2406</v>
      </c>
      <c r="V806">
        <v>2025</v>
      </c>
      <c r="W806">
        <v>6</v>
      </c>
    </row>
    <row r="807" spans="1:23" x14ac:dyDescent="0.25">
      <c r="A807" t="s">
        <v>1758</v>
      </c>
      <c r="B807">
        <v>45809.878032407411</v>
      </c>
      <c r="C807" t="s">
        <v>60</v>
      </c>
      <c r="D807" t="s">
        <v>61</v>
      </c>
      <c r="E807" t="s">
        <v>110</v>
      </c>
      <c r="F807" t="s">
        <v>2395</v>
      </c>
      <c r="G807" t="s">
        <v>2379</v>
      </c>
      <c r="H807">
        <v>6000</v>
      </c>
      <c r="I807">
        <v>1</v>
      </c>
      <c r="J807">
        <v>0</v>
      </c>
      <c r="K807">
        <v>6000</v>
      </c>
      <c r="L807">
        <v>0</v>
      </c>
      <c r="M807">
        <v>6000</v>
      </c>
      <c r="N807">
        <v>26000</v>
      </c>
      <c r="O807">
        <v>32000</v>
      </c>
      <c r="P807" t="s">
        <v>63</v>
      </c>
      <c r="Q807" t="s">
        <v>2356</v>
      </c>
      <c r="R807" t="s">
        <v>82</v>
      </c>
      <c r="S807">
        <v>3</v>
      </c>
      <c r="T807" t="s">
        <v>24</v>
      </c>
      <c r="U807" t="s">
        <v>2406</v>
      </c>
      <c r="V807">
        <v>2025</v>
      </c>
      <c r="W807">
        <v>6</v>
      </c>
    </row>
    <row r="808" spans="1:23" x14ac:dyDescent="0.25">
      <c r="A808" t="s">
        <v>1759</v>
      </c>
      <c r="B808">
        <v>45810.018136574072</v>
      </c>
      <c r="C808" t="s">
        <v>441</v>
      </c>
      <c r="D808" t="s">
        <v>116</v>
      </c>
      <c r="E808" t="s">
        <v>67</v>
      </c>
      <c r="F808" t="s">
        <v>2393</v>
      </c>
      <c r="G808" t="s">
        <v>2378</v>
      </c>
      <c r="H808">
        <v>15000</v>
      </c>
      <c r="I808">
        <v>5</v>
      </c>
      <c r="J808">
        <v>0</v>
      </c>
      <c r="K808">
        <v>75000</v>
      </c>
      <c r="L808">
        <v>0</v>
      </c>
      <c r="M808">
        <v>75000</v>
      </c>
      <c r="N808">
        <v>72000</v>
      </c>
      <c r="O808">
        <v>147000</v>
      </c>
      <c r="P808" t="s">
        <v>35</v>
      </c>
      <c r="Q808" t="s">
        <v>2357</v>
      </c>
      <c r="R808" t="s">
        <v>30</v>
      </c>
      <c r="S808">
        <v>4</v>
      </c>
      <c r="T808" t="s">
        <v>37</v>
      </c>
      <c r="U808" t="s">
        <v>2406</v>
      </c>
      <c r="V808">
        <v>2025</v>
      </c>
      <c r="W808">
        <v>6</v>
      </c>
    </row>
    <row r="809" spans="1:23" x14ac:dyDescent="0.25">
      <c r="A809" t="s">
        <v>1759</v>
      </c>
      <c r="B809">
        <v>45810.018136574072</v>
      </c>
      <c r="C809" t="s">
        <v>441</v>
      </c>
      <c r="D809" t="s">
        <v>116</v>
      </c>
      <c r="E809" t="s">
        <v>104</v>
      </c>
      <c r="F809" t="s">
        <v>2392</v>
      </c>
      <c r="G809" t="s">
        <v>2377</v>
      </c>
      <c r="H809">
        <v>30000</v>
      </c>
      <c r="I809">
        <v>1</v>
      </c>
      <c r="J809">
        <v>10</v>
      </c>
      <c r="K809">
        <v>30000</v>
      </c>
      <c r="L809">
        <v>3000</v>
      </c>
      <c r="M809">
        <v>27000</v>
      </c>
      <c r="N809">
        <v>0</v>
      </c>
      <c r="O809">
        <v>27000</v>
      </c>
      <c r="P809" t="s">
        <v>35</v>
      </c>
      <c r="Q809" t="s">
        <v>2357</v>
      </c>
      <c r="R809" t="s">
        <v>30</v>
      </c>
      <c r="S809">
        <v>4</v>
      </c>
      <c r="T809" t="s">
        <v>37</v>
      </c>
      <c r="U809" t="s">
        <v>2406</v>
      </c>
      <c r="V809">
        <v>2025</v>
      </c>
      <c r="W809">
        <v>6</v>
      </c>
    </row>
    <row r="810" spans="1:23" x14ac:dyDescent="0.25">
      <c r="A810" t="s">
        <v>1760</v>
      </c>
      <c r="B810">
        <v>45810.365717592591</v>
      </c>
      <c r="C810" t="s">
        <v>1228</v>
      </c>
      <c r="D810" t="s">
        <v>33</v>
      </c>
      <c r="E810" t="s">
        <v>138</v>
      </c>
      <c r="F810" t="s">
        <v>2396</v>
      </c>
      <c r="G810" t="s">
        <v>2378</v>
      </c>
      <c r="H810">
        <v>17000</v>
      </c>
      <c r="I810">
        <v>4</v>
      </c>
      <c r="J810">
        <v>10</v>
      </c>
      <c r="K810">
        <v>68000</v>
      </c>
      <c r="L810">
        <v>6800</v>
      </c>
      <c r="M810">
        <v>61200</v>
      </c>
      <c r="N810">
        <v>76000</v>
      </c>
      <c r="O810">
        <v>137200</v>
      </c>
      <c r="P810" t="s">
        <v>29</v>
      </c>
      <c r="Q810" t="s">
        <v>2357</v>
      </c>
      <c r="R810" t="s">
        <v>30</v>
      </c>
      <c r="S810">
        <v>3</v>
      </c>
      <c r="T810" t="s">
        <v>24</v>
      </c>
      <c r="U810" t="s">
        <v>2406</v>
      </c>
      <c r="V810">
        <v>2025</v>
      </c>
      <c r="W810">
        <v>6</v>
      </c>
    </row>
    <row r="811" spans="1:23" x14ac:dyDescent="0.25">
      <c r="A811" t="s">
        <v>1761</v>
      </c>
      <c r="B811">
        <v>45810.574479166673</v>
      </c>
      <c r="C811" t="s">
        <v>1574</v>
      </c>
      <c r="D811" t="s">
        <v>33</v>
      </c>
      <c r="E811" t="s">
        <v>50</v>
      </c>
      <c r="F811" t="s">
        <v>2400</v>
      </c>
      <c r="G811" t="s">
        <v>2379</v>
      </c>
      <c r="H811">
        <v>14000</v>
      </c>
      <c r="I811">
        <v>4</v>
      </c>
      <c r="J811">
        <v>15</v>
      </c>
      <c r="K811">
        <v>56000</v>
      </c>
      <c r="L811">
        <v>8400</v>
      </c>
      <c r="M811">
        <v>47600</v>
      </c>
      <c r="N811">
        <v>76000</v>
      </c>
      <c r="O811">
        <v>123600</v>
      </c>
      <c r="P811" t="s">
        <v>35</v>
      </c>
      <c r="Q811" t="s">
        <v>2357</v>
      </c>
      <c r="R811" t="s">
        <v>23</v>
      </c>
      <c r="S811">
        <v>5</v>
      </c>
      <c r="T811" t="s">
        <v>24</v>
      </c>
      <c r="U811" t="s">
        <v>2406</v>
      </c>
      <c r="V811">
        <v>2025</v>
      </c>
      <c r="W811">
        <v>6</v>
      </c>
    </row>
    <row r="812" spans="1:23" x14ac:dyDescent="0.25">
      <c r="A812" t="s">
        <v>1762</v>
      </c>
      <c r="B812">
        <v>45810.617997685193</v>
      </c>
      <c r="C812" t="s">
        <v>91</v>
      </c>
      <c r="D812" t="s">
        <v>92</v>
      </c>
      <c r="E812" t="s">
        <v>110</v>
      </c>
      <c r="F812" t="s">
        <v>2395</v>
      </c>
      <c r="G812" t="s">
        <v>2379</v>
      </c>
      <c r="H812">
        <v>6000</v>
      </c>
      <c r="I812">
        <v>5</v>
      </c>
      <c r="J812">
        <v>10</v>
      </c>
      <c r="K812">
        <v>30000</v>
      </c>
      <c r="L812">
        <v>3000</v>
      </c>
      <c r="M812">
        <v>27000</v>
      </c>
      <c r="N812">
        <v>30000</v>
      </c>
      <c r="O812">
        <v>57000</v>
      </c>
      <c r="P812" t="s">
        <v>22</v>
      </c>
      <c r="Q812" t="s">
        <v>2359</v>
      </c>
      <c r="R812" t="s">
        <v>36</v>
      </c>
      <c r="S812">
        <v>3</v>
      </c>
      <c r="T812" t="s">
        <v>24</v>
      </c>
      <c r="U812" t="s">
        <v>2406</v>
      </c>
      <c r="V812">
        <v>2025</v>
      </c>
      <c r="W812">
        <v>6</v>
      </c>
    </row>
    <row r="813" spans="1:23" x14ac:dyDescent="0.25">
      <c r="A813" t="s">
        <v>1762</v>
      </c>
      <c r="B813">
        <v>45810.617997685193</v>
      </c>
      <c r="C813" t="s">
        <v>91</v>
      </c>
      <c r="D813" t="s">
        <v>92</v>
      </c>
      <c r="E813" t="s">
        <v>28</v>
      </c>
      <c r="F813" t="s">
        <v>2395</v>
      </c>
      <c r="G813" t="s">
        <v>2378</v>
      </c>
      <c r="H813">
        <v>5000</v>
      </c>
      <c r="I813">
        <v>5</v>
      </c>
      <c r="J813">
        <v>10</v>
      </c>
      <c r="K813">
        <v>25000</v>
      </c>
      <c r="L813">
        <v>2500</v>
      </c>
      <c r="M813">
        <v>22500</v>
      </c>
      <c r="N813">
        <v>0</v>
      </c>
      <c r="O813">
        <v>22500</v>
      </c>
      <c r="P813" t="s">
        <v>22</v>
      </c>
      <c r="Q813" t="s">
        <v>2359</v>
      </c>
      <c r="R813" t="s">
        <v>36</v>
      </c>
      <c r="S813">
        <v>3</v>
      </c>
      <c r="T813" t="s">
        <v>24</v>
      </c>
      <c r="U813" t="s">
        <v>2406</v>
      </c>
      <c r="V813">
        <v>2025</v>
      </c>
      <c r="W813">
        <v>6</v>
      </c>
    </row>
    <row r="814" spans="1:23" x14ac:dyDescent="0.25">
      <c r="A814" t="s">
        <v>1763</v>
      </c>
      <c r="B814">
        <v>45810.663715277777</v>
      </c>
      <c r="C814" t="s">
        <v>1083</v>
      </c>
      <c r="D814" t="s">
        <v>170</v>
      </c>
      <c r="E814" t="s">
        <v>186</v>
      </c>
      <c r="F814" t="s">
        <v>2398</v>
      </c>
      <c r="G814" t="s">
        <v>2377</v>
      </c>
      <c r="H814">
        <v>45000</v>
      </c>
      <c r="I814">
        <v>3</v>
      </c>
      <c r="J814">
        <v>5</v>
      </c>
      <c r="K814">
        <v>135000</v>
      </c>
      <c r="L814">
        <v>6750</v>
      </c>
      <c r="M814">
        <v>128250</v>
      </c>
      <c r="N814">
        <v>46000</v>
      </c>
      <c r="O814">
        <v>174250</v>
      </c>
      <c r="P814" t="s">
        <v>63</v>
      </c>
      <c r="Q814" t="s">
        <v>2356</v>
      </c>
      <c r="R814" t="s">
        <v>46</v>
      </c>
      <c r="S814">
        <v>5</v>
      </c>
      <c r="T814" t="s">
        <v>24</v>
      </c>
      <c r="U814" t="s">
        <v>2406</v>
      </c>
      <c r="V814">
        <v>2025</v>
      </c>
      <c r="W814">
        <v>6</v>
      </c>
    </row>
    <row r="815" spans="1:23" x14ac:dyDescent="0.25">
      <c r="A815" t="s">
        <v>1764</v>
      </c>
      <c r="B815">
        <v>45810.887094907397</v>
      </c>
      <c r="C815" t="s">
        <v>359</v>
      </c>
      <c r="D815" t="s">
        <v>70</v>
      </c>
      <c r="E815" t="s">
        <v>93</v>
      </c>
      <c r="F815" t="s">
        <v>2399</v>
      </c>
      <c r="G815" t="s">
        <v>2378</v>
      </c>
      <c r="H815">
        <v>25000</v>
      </c>
      <c r="I815">
        <v>2</v>
      </c>
      <c r="J815">
        <v>10</v>
      </c>
      <c r="K815">
        <v>50000</v>
      </c>
      <c r="L815">
        <v>5000</v>
      </c>
      <c r="M815">
        <v>45000</v>
      </c>
      <c r="N815">
        <v>89000</v>
      </c>
      <c r="O815">
        <v>134000</v>
      </c>
      <c r="P815" t="s">
        <v>63</v>
      </c>
      <c r="Q815" t="s">
        <v>2356</v>
      </c>
      <c r="R815" t="s">
        <v>23</v>
      </c>
      <c r="S815">
        <v>2</v>
      </c>
      <c r="T815" t="s">
        <v>24</v>
      </c>
      <c r="U815" t="s">
        <v>2406</v>
      </c>
      <c r="V815">
        <v>2025</v>
      </c>
      <c r="W815">
        <v>6</v>
      </c>
    </row>
    <row r="816" spans="1:23" x14ac:dyDescent="0.25">
      <c r="A816" t="s">
        <v>1765</v>
      </c>
      <c r="B816">
        <v>45810.92324074074</v>
      </c>
      <c r="C816" t="s">
        <v>340</v>
      </c>
      <c r="D816" t="s">
        <v>126</v>
      </c>
      <c r="E816" t="s">
        <v>45</v>
      </c>
      <c r="F816" t="s">
        <v>2394</v>
      </c>
      <c r="G816" t="s">
        <v>2378</v>
      </c>
      <c r="H816">
        <v>40000</v>
      </c>
      <c r="I816">
        <v>2</v>
      </c>
      <c r="J816">
        <v>0</v>
      </c>
      <c r="K816">
        <v>80000</v>
      </c>
      <c r="L816">
        <v>0</v>
      </c>
      <c r="M816">
        <v>80000</v>
      </c>
      <c r="N816">
        <v>84000</v>
      </c>
      <c r="O816">
        <v>164000</v>
      </c>
      <c r="P816" t="s">
        <v>29</v>
      </c>
      <c r="Q816" t="s">
        <v>2357</v>
      </c>
      <c r="R816" t="s">
        <v>82</v>
      </c>
      <c r="S816">
        <v>1</v>
      </c>
      <c r="T816" t="s">
        <v>37</v>
      </c>
      <c r="U816" t="s">
        <v>2406</v>
      </c>
      <c r="V816">
        <v>2025</v>
      </c>
      <c r="W816">
        <v>6</v>
      </c>
    </row>
    <row r="817" spans="1:23" x14ac:dyDescent="0.25">
      <c r="A817" t="s">
        <v>1766</v>
      </c>
      <c r="B817">
        <v>45810.987210648149</v>
      </c>
      <c r="C817" t="s">
        <v>504</v>
      </c>
      <c r="D817" t="s">
        <v>195</v>
      </c>
      <c r="E817" t="s">
        <v>174</v>
      </c>
      <c r="F817" t="s">
        <v>2400</v>
      </c>
      <c r="G817" t="s">
        <v>2377</v>
      </c>
      <c r="H817">
        <v>10000</v>
      </c>
      <c r="I817">
        <v>1</v>
      </c>
      <c r="J817">
        <v>0</v>
      </c>
      <c r="K817">
        <v>10000</v>
      </c>
      <c r="L817">
        <v>0</v>
      </c>
      <c r="M817">
        <v>10000</v>
      </c>
      <c r="N817">
        <v>87000</v>
      </c>
      <c r="O817">
        <v>97000</v>
      </c>
      <c r="P817" t="s">
        <v>29</v>
      </c>
      <c r="Q817" t="s">
        <v>2357</v>
      </c>
      <c r="R817" t="s">
        <v>23</v>
      </c>
      <c r="S817">
        <v>5</v>
      </c>
      <c r="T817" t="s">
        <v>24</v>
      </c>
      <c r="U817" t="s">
        <v>2406</v>
      </c>
      <c r="V817">
        <v>2025</v>
      </c>
      <c r="W817">
        <v>6</v>
      </c>
    </row>
    <row r="818" spans="1:23" x14ac:dyDescent="0.25">
      <c r="A818" t="s">
        <v>1767</v>
      </c>
      <c r="B818">
        <v>45811.243773148148</v>
      </c>
      <c r="C818" t="s">
        <v>784</v>
      </c>
      <c r="D818" t="s">
        <v>116</v>
      </c>
      <c r="E818" t="s">
        <v>81</v>
      </c>
      <c r="F818" t="s">
        <v>2397</v>
      </c>
      <c r="G818" t="s">
        <v>2378</v>
      </c>
      <c r="H818">
        <v>17000</v>
      </c>
      <c r="I818">
        <v>5</v>
      </c>
      <c r="J818">
        <v>0</v>
      </c>
      <c r="K818">
        <v>85000</v>
      </c>
      <c r="L818">
        <v>0</v>
      </c>
      <c r="M818">
        <v>85000</v>
      </c>
      <c r="N818">
        <v>72000</v>
      </c>
      <c r="O818">
        <v>157000</v>
      </c>
      <c r="P818" t="s">
        <v>22</v>
      </c>
      <c r="Q818" t="s">
        <v>2357</v>
      </c>
      <c r="R818" t="s">
        <v>30</v>
      </c>
      <c r="S818">
        <v>1</v>
      </c>
      <c r="T818" t="s">
        <v>24</v>
      </c>
      <c r="U818" t="s">
        <v>2406</v>
      </c>
      <c r="V818">
        <v>2025</v>
      </c>
      <c r="W818">
        <v>6</v>
      </c>
    </row>
    <row r="819" spans="1:23" x14ac:dyDescent="0.25">
      <c r="A819" t="s">
        <v>1768</v>
      </c>
      <c r="B819">
        <v>45811.304328703707</v>
      </c>
      <c r="C819" t="s">
        <v>812</v>
      </c>
      <c r="D819" t="s">
        <v>33</v>
      </c>
      <c r="E819" t="s">
        <v>110</v>
      </c>
      <c r="F819" t="s">
        <v>2395</v>
      </c>
      <c r="G819" t="s">
        <v>2379</v>
      </c>
      <c r="H819">
        <v>6000</v>
      </c>
      <c r="I819">
        <v>5</v>
      </c>
      <c r="J819">
        <v>5</v>
      </c>
      <c r="K819">
        <v>30000</v>
      </c>
      <c r="L819">
        <v>1500</v>
      </c>
      <c r="M819">
        <v>28500</v>
      </c>
      <c r="N819">
        <v>76000</v>
      </c>
      <c r="O819">
        <v>104500</v>
      </c>
      <c r="P819" t="s">
        <v>63</v>
      </c>
      <c r="Q819" t="s">
        <v>2357</v>
      </c>
      <c r="R819" t="s">
        <v>36</v>
      </c>
      <c r="S819">
        <v>1</v>
      </c>
      <c r="T819" t="s">
        <v>24</v>
      </c>
      <c r="U819" t="s">
        <v>2406</v>
      </c>
      <c r="V819">
        <v>2025</v>
      </c>
      <c r="W819">
        <v>6</v>
      </c>
    </row>
    <row r="820" spans="1:23" x14ac:dyDescent="0.25">
      <c r="A820" t="s">
        <v>1768</v>
      </c>
      <c r="B820">
        <v>45811.304328703707</v>
      </c>
      <c r="C820" t="s">
        <v>812</v>
      </c>
      <c r="D820" t="s">
        <v>33</v>
      </c>
      <c r="E820" t="s">
        <v>34</v>
      </c>
      <c r="F820" t="s">
        <v>2397</v>
      </c>
      <c r="G820" t="s">
        <v>2377</v>
      </c>
      <c r="H820">
        <v>16000</v>
      </c>
      <c r="I820">
        <v>3</v>
      </c>
      <c r="J820">
        <v>15</v>
      </c>
      <c r="K820">
        <v>48000</v>
      </c>
      <c r="L820">
        <v>7200</v>
      </c>
      <c r="M820">
        <v>40800</v>
      </c>
      <c r="N820">
        <v>0</v>
      </c>
      <c r="O820">
        <v>40800</v>
      </c>
      <c r="P820" t="s">
        <v>63</v>
      </c>
      <c r="Q820" t="s">
        <v>2357</v>
      </c>
      <c r="R820" t="s">
        <v>36</v>
      </c>
      <c r="S820">
        <v>1</v>
      </c>
      <c r="T820" t="s">
        <v>24</v>
      </c>
      <c r="U820" t="s">
        <v>2406</v>
      </c>
      <c r="V820">
        <v>2025</v>
      </c>
      <c r="W820">
        <v>6</v>
      </c>
    </row>
    <row r="821" spans="1:23" x14ac:dyDescent="0.25">
      <c r="A821" t="s">
        <v>1769</v>
      </c>
      <c r="B821">
        <v>45812.047696759262</v>
      </c>
      <c r="C821" t="s">
        <v>455</v>
      </c>
      <c r="D821" t="s">
        <v>33</v>
      </c>
      <c r="E821" t="s">
        <v>104</v>
      </c>
      <c r="F821" t="s">
        <v>2392</v>
      </c>
      <c r="G821" t="s">
        <v>2377</v>
      </c>
      <c r="H821">
        <v>30000</v>
      </c>
      <c r="I821">
        <v>4</v>
      </c>
      <c r="J821">
        <v>10</v>
      </c>
      <c r="K821">
        <v>120000</v>
      </c>
      <c r="L821">
        <v>12000</v>
      </c>
      <c r="M821">
        <v>108000</v>
      </c>
      <c r="N821">
        <v>76000</v>
      </c>
      <c r="O821">
        <v>184000</v>
      </c>
      <c r="P821" t="s">
        <v>63</v>
      </c>
      <c r="Q821" t="s">
        <v>2357</v>
      </c>
      <c r="R821" t="s">
        <v>46</v>
      </c>
      <c r="S821">
        <v>5</v>
      </c>
      <c r="T821" t="s">
        <v>24</v>
      </c>
      <c r="U821" t="s">
        <v>2406</v>
      </c>
      <c r="V821">
        <v>2025</v>
      </c>
      <c r="W821">
        <v>6</v>
      </c>
    </row>
    <row r="822" spans="1:23" x14ac:dyDescent="0.25">
      <c r="A822" t="s">
        <v>1770</v>
      </c>
      <c r="B822">
        <v>45812.250324074077</v>
      </c>
      <c r="C822" t="s">
        <v>412</v>
      </c>
      <c r="D822" t="s">
        <v>70</v>
      </c>
      <c r="E822" t="s">
        <v>54</v>
      </c>
      <c r="F822" t="s">
        <v>2393</v>
      </c>
      <c r="G822" t="s">
        <v>2379</v>
      </c>
      <c r="H822">
        <v>16000</v>
      </c>
      <c r="I822">
        <v>3</v>
      </c>
      <c r="J822">
        <v>10</v>
      </c>
      <c r="K822">
        <v>48000</v>
      </c>
      <c r="L822">
        <v>4800</v>
      </c>
      <c r="M822">
        <v>43200</v>
      </c>
      <c r="N822">
        <v>89000</v>
      </c>
      <c r="O822">
        <v>132200</v>
      </c>
      <c r="P822" t="s">
        <v>63</v>
      </c>
      <c r="Q822" t="s">
        <v>2357</v>
      </c>
      <c r="R822" t="s">
        <v>36</v>
      </c>
      <c r="S822">
        <v>1</v>
      </c>
      <c r="T822" t="s">
        <v>24</v>
      </c>
      <c r="U822" t="s">
        <v>2406</v>
      </c>
      <c r="V822">
        <v>2025</v>
      </c>
      <c r="W822">
        <v>6</v>
      </c>
    </row>
    <row r="823" spans="1:23" x14ac:dyDescent="0.25">
      <c r="A823" t="s">
        <v>1771</v>
      </c>
      <c r="B823">
        <v>45812.405717592592</v>
      </c>
      <c r="C823" t="s">
        <v>333</v>
      </c>
      <c r="D823" t="s">
        <v>107</v>
      </c>
      <c r="E823" t="s">
        <v>75</v>
      </c>
      <c r="F823" t="s">
        <v>2398</v>
      </c>
      <c r="G823" t="s">
        <v>2379</v>
      </c>
      <c r="H823">
        <v>55000</v>
      </c>
      <c r="I823">
        <v>1</v>
      </c>
      <c r="J823">
        <v>20</v>
      </c>
      <c r="K823">
        <v>55000</v>
      </c>
      <c r="L823">
        <v>11000</v>
      </c>
      <c r="M823">
        <v>44000</v>
      </c>
      <c r="N823">
        <v>97000</v>
      </c>
      <c r="O823">
        <v>141000</v>
      </c>
      <c r="P823" t="s">
        <v>35</v>
      </c>
      <c r="Q823" t="s">
        <v>2357</v>
      </c>
      <c r="R823" t="s">
        <v>30</v>
      </c>
      <c r="S823">
        <v>1</v>
      </c>
      <c r="T823" t="s">
        <v>37</v>
      </c>
      <c r="U823" t="s">
        <v>2406</v>
      </c>
      <c r="V823">
        <v>2025</v>
      </c>
      <c r="W823">
        <v>6</v>
      </c>
    </row>
    <row r="824" spans="1:23" x14ac:dyDescent="0.25">
      <c r="A824" t="s">
        <v>1772</v>
      </c>
      <c r="B824">
        <v>45812.512685185182</v>
      </c>
      <c r="C824" t="s">
        <v>699</v>
      </c>
      <c r="D824" t="s">
        <v>238</v>
      </c>
      <c r="E824" t="s">
        <v>58</v>
      </c>
      <c r="F824" t="s">
        <v>2396</v>
      </c>
      <c r="G824" t="s">
        <v>2377</v>
      </c>
      <c r="H824">
        <v>16000</v>
      </c>
      <c r="I824">
        <v>1</v>
      </c>
      <c r="J824">
        <v>10</v>
      </c>
      <c r="K824">
        <v>16000</v>
      </c>
      <c r="L824">
        <v>1600</v>
      </c>
      <c r="M824">
        <v>14400</v>
      </c>
      <c r="N824">
        <v>28000</v>
      </c>
      <c r="O824">
        <v>42400</v>
      </c>
      <c r="P824" t="s">
        <v>35</v>
      </c>
      <c r="Q824" t="s">
        <v>2357</v>
      </c>
      <c r="R824" t="s">
        <v>30</v>
      </c>
      <c r="S824">
        <v>3</v>
      </c>
      <c r="T824" t="s">
        <v>37</v>
      </c>
      <c r="U824" t="s">
        <v>2406</v>
      </c>
      <c r="V824">
        <v>2025</v>
      </c>
      <c r="W824">
        <v>6</v>
      </c>
    </row>
    <row r="825" spans="1:23" x14ac:dyDescent="0.25">
      <c r="A825" t="s">
        <v>1773</v>
      </c>
      <c r="B825">
        <v>45812.691886574074</v>
      </c>
      <c r="C825" t="s">
        <v>84</v>
      </c>
      <c r="D825" t="s">
        <v>57</v>
      </c>
      <c r="E825" t="s">
        <v>54</v>
      </c>
      <c r="F825" t="s">
        <v>2393</v>
      </c>
      <c r="G825" t="s">
        <v>2379</v>
      </c>
      <c r="H825">
        <v>16000</v>
      </c>
      <c r="I825">
        <v>2</v>
      </c>
      <c r="J825">
        <v>0</v>
      </c>
      <c r="K825">
        <v>32000</v>
      </c>
      <c r="L825">
        <v>0</v>
      </c>
      <c r="M825">
        <v>32000</v>
      </c>
      <c r="N825">
        <v>80000</v>
      </c>
      <c r="O825">
        <v>112000</v>
      </c>
      <c r="P825" t="s">
        <v>22</v>
      </c>
      <c r="Q825" t="s">
        <v>2357</v>
      </c>
      <c r="R825" t="s">
        <v>46</v>
      </c>
      <c r="S825">
        <v>4</v>
      </c>
      <c r="T825" t="s">
        <v>37</v>
      </c>
      <c r="U825" t="s">
        <v>2406</v>
      </c>
      <c r="V825">
        <v>2025</v>
      </c>
      <c r="W825">
        <v>6</v>
      </c>
    </row>
    <row r="826" spans="1:23" x14ac:dyDescent="0.25">
      <c r="A826" t="s">
        <v>1774</v>
      </c>
      <c r="B826">
        <v>45813.03224537037</v>
      </c>
      <c r="C826" t="s">
        <v>258</v>
      </c>
      <c r="D826" t="s">
        <v>44</v>
      </c>
      <c r="E826" t="s">
        <v>34</v>
      </c>
      <c r="F826" t="s">
        <v>2397</v>
      </c>
      <c r="G826" t="s">
        <v>2377</v>
      </c>
      <c r="H826">
        <v>16000</v>
      </c>
      <c r="I826">
        <v>1</v>
      </c>
      <c r="J826">
        <v>0</v>
      </c>
      <c r="K826">
        <v>16000</v>
      </c>
      <c r="L826">
        <v>0</v>
      </c>
      <c r="M826">
        <v>16000</v>
      </c>
      <c r="N826">
        <v>93000</v>
      </c>
      <c r="O826">
        <v>109000</v>
      </c>
      <c r="P826" t="s">
        <v>22</v>
      </c>
      <c r="Q826" t="s">
        <v>2359</v>
      </c>
      <c r="R826" t="s">
        <v>82</v>
      </c>
      <c r="S826">
        <v>4</v>
      </c>
      <c r="T826" t="s">
        <v>24</v>
      </c>
      <c r="U826" t="s">
        <v>2406</v>
      </c>
      <c r="V826">
        <v>2025</v>
      </c>
      <c r="W826">
        <v>6</v>
      </c>
    </row>
    <row r="827" spans="1:23" x14ac:dyDescent="0.25">
      <c r="A827" t="s">
        <v>1774</v>
      </c>
      <c r="B827">
        <v>45813.03224537037</v>
      </c>
      <c r="C827" t="s">
        <v>258</v>
      </c>
      <c r="D827" t="s">
        <v>44</v>
      </c>
      <c r="E827" t="s">
        <v>186</v>
      </c>
      <c r="F827" t="s">
        <v>2398</v>
      </c>
      <c r="G827" t="s">
        <v>2377</v>
      </c>
      <c r="H827">
        <v>45000</v>
      </c>
      <c r="I827">
        <v>4</v>
      </c>
      <c r="J827">
        <v>20</v>
      </c>
      <c r="K827">
        <v>180000</v>
      </c>
      <c r="L827">
        <v>36000</v>
      </c>
      <c r="M827">
        <v>144000</v>
      </c>
      <c r="N827">
        <v>0</v>
      </c>
      <c r="O827">
        <v>144000</v>
      </c>
      <c r="P827" t="s">
        <v>22</v>
      </c>
      <c r="Q827" t="s">
        <v>2359</v>
      </c>
      <c r="R827" t="s">
        <v>82</v>
      </c>
      <c r="S827">
        <v>4</v>
      </c>
      <c r="T827" t="s">
        <v>24</v>
      </c>
      <c r="U827" t="s">
        <v>2406</v>
      </c>
      <c r="V827">
        <v>2025</v>
      </c>
      <c r="W827">
        <v>6</v>
      </c>
    </row>
    <row r="828" spans="1:23" x14ac:dyDescent="0.25">
      <c r="A828" t="s">
        <v>1775</v>
      </c>
      <c r="B828">
        <v>45813.291944444441</v>
      </c>
      <c r="C828" t="s">
        <v>449</v>
      </c>
      <c r="D828" t="s">
        <v>151</v>
      </c>
      <c r="E828" t="s">
        <v>58</v>
      </c>
      <c r="F828" t="s">
        <v>2396</v>
      </c>
      <c r="G828" t="s">
        <v>2377</v>
      </c>
      <c r="H828">
        <v>16000</v>
      </c>
      <c r="I828">
        <v>4</v>
      </c>
      <c r="J828">
        <v>5</v>
      </c>
      <c r="K828">
        <v>64000</v>
      </c>
      <c r="L828">
        <v>3200</v>
      </c>
      <c r="M828">
        <v>60800</v>
      </c>
      <c r="N828">
        <v>55000</v>
      </c>
      <c r="O828">
        <v>115800</v>
      </c>
      <c r="P828" t="s">
        <v>63</v>
      </c>
      <c r="Q828" t="s">
        <v>2357</v>
      </c>
      <c r="R828" t="s">
        <v>82</v>
      </c>
      <c r="S828">
        <v>1</v>
      </c>
      <c r="T828" t="s">
        <v>24</v>
      </c>
      <c r="U828" t="s">
        <v>2406</v>
      </c>
      <c r="V828">
        <v>2025</v>
      </c>
      <c r="W828">
        <v>6</v>
      </c>
    </row>
    <row r="829" spans="1:23" x14ac:dyDescent="0.25">
      <c r="A829" t="s">
        <v>1776</v>
      </c>
      <c r="B829">
        <v>45813.315138888887</v>
      </c>
      <c r="C829" t="s">
        <v>697</v>
      </c>
      <c r="D829" t="s">
        <v>143</v>
      </c>
      <c r="E829" t="s">
        <v>190</v>
      </c>
      <c r="F829" t="s">
        <v>2392</v>
      </c>
      <c r="G829" t="s">
        <v>2378</v>
      </c>
      <c r="H829">
        <v>35000</v>
      </c>
      <c r="I829">
        <v>4</v>
      </c>
      <c r="J829">
        <v>10</v>
      </c>
      <c r="K829">
        <v>140000</v>
      </c>
      <c r="L829">
        <v>14000</v>
      </c>
      <c r="M829">
        <v>126000</v>
      </c>
      <c r="N829">
        <v>50000</v>
      </c>
      <c r="O829">
        <v>176000</v>
      </c>
      <c r="P829" t="s">
        <v>29</v>
      </c>
      <c r="Q829" t="s">
        <v>2357</v>
      </c>
      <c r="R829" t="s">
        <v>30</v>
      </c>
      <c r="S829">
        <v>5</v>
      </c>
      <c r="T829" t="s">
        <v>37</v>
      </c>
      <c r="U829" t="s">
        <v>2406</v>
      </c>
      <c r="V829">
        <v>2025</v>
      </c>
      <c r="W829">
        <v>6</v>
      </c>
    </row>
    <row r="830" spans="1:23" x14ac:dyDescent="0.25">
      <c r="A830" t="s">
        <v>1777</v>
      </c>
      <c r="B830">
        <v>45813.554722222223</v>
      </c>
      <c r="C830" t="s">
        <v>976</v>
      </c>
      <c r="D830" t="s">
        <v>182</v>
      </c>
      <c r="E830" t="s">
        <v>144</v>
      </c>
      <c r="F830" t="s">
        <v>2396</v>
      </c>
      <c r="G830" t="s">
        <v>2379</v>
      </c>
      <c r="H830">
        <v>18000</v>
      </c>
      <c r="I830">
        <v>5</v>
      </c>
      <c r="J830">
        <v>0</v>
      </c>
      <c r="K830">
        <v>90000</v>
      </c>
      <c r="L830">
        <v>0</v>
      </c>
      <c r="M830">
        <v>90000</v>
      </c>
      <c r="N830">
        <v>48000</v>
      </c>
      <c r="O830">
        <v>138000</v>
      </c>
      <c r="P830" t="s">
        <v>22</v>
      </c>
      <c r="Q830" t="s">
        <v>2356</v>
      </c>
      <c r="R830" t="s">
        <v>30</v>
      </c>
      <c r="S830">
        <v>4</v>
      </c>
      <c r="T830" t="s">
        <v>24</v>
      </c>
      <c r="U830" t="s">
        <v>2406</v>
      </c>
      <c r="V830">
        <v>2025</v>
      </c>
      <c r="W830">
        <v>6</v>
      </c>
    </row>
    <row r="831" spans="1:23" x14ac:dyDescent="0.25">
      <c r="A831" t="s">
        <v>1778</v>
      </c>
      <c r="B831">
        <v>45814.017523148148</v>
      </c>
      <c r="C831" t="s">
        <v>525</v>
      </c>
      <c r="D831" t="s">
        <v>96</v>
      </c>
      <c r="E831" t="s">
        <v>38</v>
      </c>
      <c r="F831" t="s">
        <v>2399</v>
      </c>
      <c r="G831" t="s">
        <v>2379</v>
      </c>
      <c r="H831">
        <v>28000</v>
      </c>
      <c r="I831">
        <v>1</v>
      </c>
      <c r="J831">
        <v>5</v>
      </c>
      <c r="K831">
        <v>28000</v>
      </c>
      <c r="L831">
        <v>1400</v>
      </c>
      <c r="M831">
        <v>26600</v>
      </c>
      <c r="N831">
        <v>49000</v>
      </c>
      <c r="O831">
        <v>75600</v>
      </c>
      <c r="P831" t="s">
        <v>29</v>
      </c>
      <c r="Q831" t="s">
        <v>2357</v>
      </c>
      <c r="R831" t="s">
        <v>46</v>
      </c>
      <c r="S831">
        <v>1</v>
      </c>
      <c r="T831" t="s">
        <v>24</v>
      </c>
      <c r="U831" t="s">
        <v>2406</v>
      </c>
      <c r="V831">
        <v>2025</v>
      </c>
      <c r="W831">
        <v>6</v>
      </c>
    </row>
    <row r="832" spans="1:23" x14ac:dyDescent="0.25">
      <c r="A832" t="s">
        <v>1779</v>
      </c>
      <c r="B832">
        <v>45814.048356481479</v>
      </c>
      <c r="C832" t="s">
        <v>271</v>
      </c>
      <c r="D832" t="s">
        <v>49</v>
      </c>
      <c r="E832" t="s">
        <v>81</v>
      </c>
      <c r="F832" t="s">
        <v>2397</v>
      </c>
      <c r="G832" t="s">
        <v>2378</v>
      </c>
      <c r="H832">
        <v>17000</v>
      </c>
      <c r="I832">
        <v>4</v>
      </c>
      <c r="J832">
        <v>5</v>
      </c>
      <c r="K832">
        <v>68000</v>
      </c>
      <c r="L832">
        <v>3400</v>
      </c>
      <c r="M832">
        <v>64600</v>
      </c>
      <c r="N832">
        <v>43000</v>
      </c>
      <c r="O832">
        <v>107600</v>
      </c>
      <c r="P832" t="s">
        <v>29</v>
      </c>
      <c r="Q832" t="s">
        <v>2357</v>
      </c>
      <c r="R832" t="s">
        <v>23</v>
      </c>
      <c r="S832">
        <v>3</v>
      </c>
      <c r="T832" t="s">
        <v>24</v>
      </c>
      <c r="U832" t="s">
        <v>2406</v>
      </c>
      <c r="V832">
        <v>2025</v>
      </c>
      <c r="W832">
        <v>6</v>
      </c>
    </row>
    <row r="833" spans="1:23" x14ac:dyDescent="0.25">
      <c r="A833" t="s">
        <v>1780</v>
      </c>
      <c r="B833">
        <v>45814.414872685193</v>
      </c>
      <c r="C833" t="s">
        <v>549</v>
      </c>
      <c r="D833" t="s">
        <v>107</v>
      </c>
      <c r="E833" t="s">
        <v>54</v>
      </c>
      <c r="F833" t="s">
        <v>2393</v>
      </c>
      <c r="G833" t="s">
        <v>2379</v>
      </c>
      <c r="H833">
        <v>16000</v>
      </c>
      <c r="I833">
        <v>4</v>
      </c>
      <c r="J833">
        <v>20</v>
      </c>
      <c r="K833">
        <v>64000</v>
      </c>
      <c r="L833">
        <v>12800</v>
      </c>
      <c r="M833">
        <v>51200</v>
      </c>
      <c r="N833">
        <v>97000</v>
      </c>
      <c r="O833">
        <v>148200</v>
      </c>
      <c r="P833" t="s">
        <v>29</v>
      </c>
      <c r="Q833" t="s">
        <v>2357</v>
      </c>
      <c r="R833" t="s">
        <v>46</v>
      </c>
      <c r="S833">
        <v>4</v>
      </c>
      <c r="T833" t="s">
        <v>24</v>
      </c>
      <c r="U833" t="s">
        <v>2406</v>
      </c>
      <c r="V833">
        <v>2025</v>
      </c>
      <c r="W833">
        <v>6</v>
      </c>
    </row>
    <row r="834" spans="1:23" x14ac:dyDescent="0.25">
      <c r="A834" t="s">
        <v>1781</v>
      </c>
      <c r="B834">
        <v>45814.436238425929</v>
      </c>
      <c r="C834" t="s">
        <v>48</v>
      </c>
      <c r="D834" t="s">
        <v>49</v>
      </c>
      <c r="E834" t="s">
        <v>144</v>
      </c>
      <c r="F834" t="s">
        <v>2396</v>
      </c>
      <c r="G834" t="s">
        <v>2379</v>
      </c>
      <c r="H834">
        <v>18000</v>
      </c>
      <c r="I834">
        <v>4</v>
      </c>
      <c r="J834">
        <v>5</v>
      </c>
      <c r="K834">
        <v>72000</v>
      </c>
      <c r="L834">
        <v>3600</v>
      </c>
      <c r="M834">
        <v>68400</v>
      </c>
      <c r="N834">
        <v>43000</v>
      </c>
      <c r="O834">
        <v>111400</v>
      </c>
      <c r="P834" t="s">
        <v>22</v>
      </c>
      <c r="Q834" t="s">
        <v>2357</v>
      </c>
      <c r="R834" t="s">
        <v>23</v>
      </c>
      <c r="S834">
        <v>2</v>
      </c>
      <c r="T834" t="s">
        <v>24</v>
      </c>
      <c r="U834" t="s">
        <v>2406</v>
      </c>
      <c r="V834">
        <v>2025</v>
      </c>
      <c r="W834">
        <v>6</v>
      </c>
    </row>
    <row r="835" spans="1:23" x14ac:dyDescent="0.25">
      <c r="A835" t="s">
        <v>1782</v>
      </c>
      <c r="B835">
        <v>45814.713622685187</v>
      </c>
      <c r="C835" t="s">
        <v>381</v>
      </c>
      <c r="D835" t="s">
        <v>103</v>
      </c>
      <c r="E835" t="s">
        <v>34</v>
      </c>
      <c r="F835" t="s">
        <v>2397</v>
      </c>
      <c r="G835" t="s">
        <v>2377</v>
      </c>
      <c r="H835">
        <v>16000</v>
      </c>
      <c r="I835">
        <v>5</v>
      </c>
      <c r="J835">
        <v>20</v>
      </c>
      <c r="K835">
        <v>80000</v>
      </c>
      <c r="L835">
        <v>16000</v>
      </c>
      <c r="M835">
        <v>64000</v>
      </c>
      <c r="N835">
        <v>85000</v>
      </c>
      <c r="O835">
        <v>149000</v>
      </c>
      <c r="P835" t="s">
        <v>63</v>
      </c>
      <c r="Q835" t="s">
        <v>2357</v>
      </c>
      <c r="R835" t="s">
        <v>23</v>
      </c>
      <c r="S835">
        <v>2</v>
      </c>
      <c r="T835" t="s">
        <v>24</v>
      </c>
      <c r="U835" t="s">
        <v>2406</v>
      </c>
      <c r="V835">
        <v>2025</v>
      </c>
      <c r="W835">
        <v>6</v>
      </c>
    </row>
    <row r="836" spans="1:23" x14ac:dyDescent="0.25">
      <c r="A836" t="s">
        <v>1783</v>
      </c>
      <c r="B836">
        <v>45815.187141203707</v>
      </c>
      <c r="C836" t="s">
        <v>802</v>
      </c>
      <c r="D836" t="s">
        <v>126</v>
      </c>
      <c r="E836" t="s">
        <v>34</v>
      </c>
      <c r="F836" t="s">
        <v>2397</v>
      </c>
      <c r="G836" t="s">
        <v>2377</v>
      </c>
      <c r="H836">
        <v>16000</v>
      </c>
      <c r="I836">
        <v>1</v>
      </c>
      <c r="J836">
        <v>20</v>
      </c>
      <c r="K836">
        <v>16000</v>
      </c>
      <c r="L836">
        <v>3200</v>
      </c>
      <c r="M836">
        <v>12800</v>
      </c>
      <c r="N836">
        <v>84000</v>
      </c>
      <c r="O836">
        <v>96800</v>
      </c>
      <c r="P836" t="s">
        <v>29</v>
      </c>
      <c r="Q836" t="s">
        <v>2357</v>
      </c>
      <c r="R836" t="s">
        <v>46</v>
      </c>
      <c r="S836">
        <v>1</v>
      </c>
      <c r="T836" t="s">
        <v>24</v>
      </c>
      <c r="U836" t="s">
        <v>2406</v>
      </c>
      <c r="V836">
        <v>2025</v>
      </c>
      <c r="W836">
        <v>6</v>
      </c>
    </row>
    <row r="837" spans="1:23" x14ac:dyDescent="0.25">
      <c r="A837" t="s">
        <v>1784</v>
      </c>
      <c r="B837">
        <v>45815.30265046296</v>
      </c>
      <c r="C837" t="s">
        <v>283</v>
      </c>
      <c r="D837" t="s">
        <v>92</v>
      </c>
      <c r="E837" t="s">
        <v>144</v>
      </c>
      <c r="F837" t="s">
        <v>2396</v>
      </c>
      <c r="G837" t="s">
        <v>2379</v>
      </c>
      <c r="H837">
        <v>18000</v>
      </c>
      <c r="I837">
        <v>3</v>
      </c>
      <c r="J837">
        <v>10</v>
      </c>
      <c r="K837">
        <v>54000</v>
      </c>
      <c r="L837">
        <v>5400</v>
      </c>
      <c r="M837">
        <v>48600</v>
      </c>
      <c r="N837">
        <v>30000</v>
      </c>
      <c r="O837">
        <v>78600</v>
      </c>
      <c r="P837" t="s">
        <v>29</v>
      </c>
      <c r="Q837" t="s">
        <v>2357</v>
      </c>
      <c r="R837" t="s">
        <v>23</v>
      </c>
      <c r="S837">
        <v>1</v>
      </c>
      <c r="T837" t="s">
        <v>24</v>
      </c>
      <c r="U837" t="s">
        <v>2406</v>
      </c>
      <c r="V837">
        <v>2025</v>
      </c>
      <c r="W837">
        <v>6</v>
      </c>
    </row>
    <row r="838" spans="1:23" x14ac:dyDescent="0.25">
      <c r="A838" t="s">
        <v>1785</v>
      </c>
      <c r="B838">
        <v>45815.65730324074</v>
      </c>
      <c r="C838" t="s">
        <v>739</v>
      </c>
      <c r="D838" t="s">
        <v>177</v>
      </c>
      <c r="E838" t="s">
        <v>138</v>
      </c>
      <c r="F838" t="s">
        <v>2396</v>
      </c>
      <c r="G838" t="s">
        <v>2378</v>
      </c>
      <c r="H838">
        <v>17000</v>
      </c>
      <c r="I838">
        <v>4</v>
      </c>
      <c r="J838">
        <v>20</v>
      </c>
      <c r="K838">
        <v>68000</v>
      </c>
      <c r="L838">
        <v>13600</v>
      </c>
      <c r="M838">
        <v>54400</v>
      </c>
      <c r="N838">
        <v>56000</v>
      </c>
      <c r="O838">
        <v>110400</v>
      </c>
      <c r="P838" t="s">
        <v>63</v>
      </c>
      <c r="Q838" t="s">
        <v>2357</v>
      </c>
      <c r="R838" t="s">
        <v>30</v>
      </c>
      <c r="S838">
        <v>3</v>
      </c>
      <c r="T838" t="s">
        <v>24</v>
      </c>
      <c r="U838" t="s">
        <v>2406</v>
      </c>
      <c r="V838">
        <v>2025</v>
      </c>
      <c r="W838">
        <v>6</v>
      </c>
    </row>
    <row r="839" spans="1:23" x14ac:dyDescent="0.25">
      <c r="A839" t="s">
        <v>1786</v>
      </c>
      <c r="B839">
        <v>45815.708148148151</v>
      </c>
      <c r="C839" t="s">
        <v>615</v>
      </c>
      <c r="D839" t="s">
        <v>92</v>
      </c>
      <c r="E839" t="s">
        <v>50</v>
      </c>
      <c r="F839" t="s">
        <v>2400</v>
      </c>
      <c r="G839" t="s">
        <v>2379</v>
      </c>
      <c r="H839">
        <v>14000</v>
      </c>
      <c r="I839">
        <v>3</v>
      </c>
      <c r="J839">
        <v>5</v>
      </c>
      <c r="K839">
        <v>42000</v>
      </c>
      <c r="L839">
        <v>2100</v>
      </c>
      <c r="M839">
        <v>39900</v>
      </c>
      <c r="N839">
        <v>30000</v>
      </c>
      <c r="O839">
        <v>69900</v>
      </c>
      <c r="P839" t="s">
        <v>22</v>
      </c>
      <c r="Q839" t="s">
        <v>2357</v>
      </c>
      <c r="R839" t="s">
        <v>30</v>
      </c>
      <c r="S839">
        <v>5</v>
      </c>
      <c r="T839" t="s">
        <v>24</v>
      </c>
      <c r="U839" t="s">
        <v>2406</v>
      </c>
      <c r="V839">
        <v>2025</v>
      </c>
      <c r="W839">
        <v>6</v>
      </c>
    </row>
    <row r="840" spans="1:23" x14ac:dyDescent="0.25">
      <c r="A840" t="s">
        <v>1787</v>
      </c>
      <c r="B840">
        <v>45815.729583333326</v>
      </c>
      <c r="C840" t="s">
        <v>254</v>
      </c>
      <c r="D840" t="s">
        <v>61</v>
      </c>
      <c r="E840" t="s">
        <v>38</v>
      </c>
      <c r="F840" t="s">
        <v>2399</v>
      </c>
      <c r="G840" t="s">
        <v>2379</v>
      </c>
      <c r="H840">
        <v>28000</v>
      </c>
      <c r="I840">
        <v>1</v>
      </c>
      <c r="J840">
        <v>20</v>
      </c>
      <c r="K840">
        <v>28000</v>
      </c>
      <c r="L840">
        <v>5600</v>
      </c>
      <c r="M840">
        <v>22400</v>
      </c>
      <c r="N840">
        <v>26000</v>
      </c>
      <c r="O840">
        <v>48400</v>
      </c>
      <c r="P840" t="s">
        <v>29</v>
      </c>
      <c r="Q840" t="s">
        <v>2357</v>
      </c>
      <c r="R840" t="s">
        <v>82</v>
      </c>
      <c r="S840">
        <v>4</v>
      </c>
      <c r="T840" t="s">
        <v>24</v>
      </c>
      <c r="U840" t="s">
        <v>2406</v>
      </c>
      <c r="V840">
        <v>2025</v>
      </c>
      <c r="W840">
        <v>6</v>
      </c>
    </row>
    <row r="841" spans="1:23" x14ac:dyDescent="0.25">
      <c r="A841" t="s">
        <v>1788</v>
      </c>
      <c r="B841">
        <v>45816.723530092589</v>
      </c>
      <c r="C841" t="s">
        <v>1120</v>
      </c>
      <c r="D841" t="s">
        <v>173</v>
      </c>
      <c r="E841" t="s">
        <v>45</v>
      </c>
      <c r="F841" t="s">
        <v>2394</v>
      </c>
      <c r="G841" t="s">
        <v>2378</v>
      </c>
      <c r="H841">
        <v>40000</v>
      </c>
      <c r="I841">
        <v>1</v>
      </c>
      <c r="J841">
        <v>15</v>
      </c>
      <c r="K841">
        <v>40000</v>
      </c>
      <c r="L841">
        <v>6000</v>
      </c>
      <c r="M841">
        <v>34000</v>
      </c>
      <c r="N841">
        <v>49000</v>
      </c>
      <c r="O841">
        <v>83000</v>
      </c>
      <c r="P841" t="s">
        <v>63</v>
      </c>
      <c r="Q841" t="s">
        <v>2357</v>
      </c>
      <c r="R841" t="s">
        <v>30</v>
      </c>
      <c r="S841">
        <v>4</v>
      </c>
      <c r="T841" t="s">
        <v>24</v>
      </c>
      <c r="U841" t="s">
        <v>2406</v>
      </c>
      <c r="V841">
        <v>2025</v>
      </c>
      <c r="W841">
        <v>6</v>
      </c>
    </row>
    <row r="842" spans="1:23" x14ac:dyDescent="0.25">
      <c r="A842" t="s">
        <v>1789</v>
      </c>
      <c r="B842">
        <v>45816.769236111111</v>
      </c>
      <c r="C842" t="s">
        <v>959</v>
      </c>
      <c r="D842" t="s">
        <v>182</v>
      </c>
      <c r="E842" t="s">
        <v>62</v>
      </c>
      <c r="F842" t="s">
        <v>2398</v>
      </c>
      <c r="G842" t="s">
        <v>2378</v>
      </c>
      <c r="H842">
        <v>50000</v>
      </c>
      <c r="I842">
        <v>3</v>
      </c>
      <c r="J842">
        <v>0</v>
      </c>
      <c r="K842">
        <v>150000</v>
      </c>
      <c r="L842">
        <v>0</v>
      </c>
      <c r="M842">
        <v>150000</v>
      </c>
      <c r="N842">
        <v>48000</v>
      </c>
      <c r="O842">
        <v>198000</v>
      </c>
      <c r="P842" t="s">
        <v>35</v>
      </c>
      <c r="Q842" t="s">
        <v>2357</v>
      </c>
      <c r="R842" t="s">
        <v>36</v>
      </c>
      <c r="S842">
        <v>1</v>
      </c>
      <c r="T842" t="s">
        <v>24</v>
      </c>
      <c r="U842" t="s">
        <v>2406</v>
      </c>
      <c r="V842">
        <v>2025</v>
      </c>
      <c r="W842">
        <v>6</v>
      </c>
    </row>
    <row r="843" spans="1:23" x14ac:dyDescent="0.25">
      <c r="A843" t="s">
        <v>1790</v>
      </c>
      <c r="B843">
        <v>45816.932210648149</v>
      </c>
      <c r="C843" t="s">
        <v>155</v>
      </c>
      <c r="D843" t="s">
        <v>92</v>
      </c>
      <c r="E843" t="s">
        <v>50</v>
      </c>
      <c r="F843" t="s">
        <v>2400</v>
      </c>
      <c r="G843" t="s">
        <v>2379</v>
      </c>
      <c r="H843">
        <v>14000</v>
      </c>
      <c r="I843">
        <v>1</v>
      </c>
      <c r="J843">
        <v>10</v>
      </c>
      <c r="K843">
        <v>14000</v>
      </c>
      <c r="L843">
        <v>1400</v>
      </c>
      <c r="M843">
        <v>12600</v>
      </c>
      <c r="N843">
        <v>30000</v>
      </c>
      <c r="O843">
        <v>42600</v>
      </c>
      <c r="P843" t="s">
        <v>63</v>
      </c>
      <c r="Q843" t="s">
        <v>2357</v>
      </c>
      <c r="R843" t="s">
        <v>30</v>
      </c>
      <c r="S843">
        <v>3</v>
      </c>
      <c r="T843" t="s">
        <v>24</v>
      </c>
      <c r="U843" t="s">
        <v>2406</v>
      </c>
      <c r="V843">
        <v>2025</v>
      </c>
      <c r="W843">
        <v>6</v>
      </c>
    </row>
    <row r="844" spans="1:23" x14ac:dyDescent="0.25">
      <c r="A844" t="s">
        <v>1791</v>
      </c>
      <c r="B844">
        <v>45816.956643518519</v>
      </c>
      <c r="C844" t="s">
        <v>1792</v>
      </c>
      <c r="D844" t="s">
        <v>49</v>
      </c>
      <c r="E844" t="s">
        <v>75</v>
      </c>
      <c r="F844" t="s">
        <v>2398</v>
      </c>
      <c r="G844" t="s">
        <v>2379</v>
      </c>
      <c r="H844">
        <v>55000</v>
      </c>
      <c r="I844">
        <v>5</v>
      </c>
      <c r="J844">
        <v>5</v>
      </c>
      <c r="K844">
        <v>275000</v>
      </c>
      <c r="L844">
        <v>13750</v>
      </c>
      <c r="M844">
        <v>261250</v>
      </c>
      <c r="N844">
        <v>43000</v>
      </c>
      <c r="O844">
        <v>304250</v>
      </c>
      <c r="P844" t="s">
        <v>22</v>
      </c>
      <c r="Q844" t="s">
        <v>2357</v>
      </c>
      <c r="R844" t="s">
        <v>36</v>
      </c>
      <c r="S844">
        <v>2</v>
      </c>
      <c r="T844" t="s">
        <v>37</v>
      </c>
      <c r="U844" t="s">
        <v>2406</v>
      </c>
      <c r="V844">
        <v>2025</v>
      </c>
      <c r="W844">
        <v>6</v>
      </c>
    </row>
    <row r="845" spans="1:23" x14ac:dyDescent="0.25">
      <c r="A845" t="s">
        <v>1793</v>
      </c>
      <c r="B845">
        <v>45817.117569444446</v>
      </c>
      <c r="C845" t="s">
        <v>1794</v>
      </c>
      <c r="D845" t="s">
        <v>195</v>
      </c>
      <c r="E845" t="s">
        <v>38</v>
      </c>
      <c r="F845" t="s">
        <v>2399</v>
      </c>
      <c r="G845" t="s">
        <v>2379</v>
      </c>
      <c r="H845">
        <v>28000</v>
      </c>
      <c r="I845">
        <v>4</v>
      </c>
      <c r="J845">
        <v>5</v>
      </c>
      <c r="K845">
        <v>112000</v>
      </c>
      <c r="L845">
        <v>5600</v>
      </c>
      <c r="M845">
        <v>106400</v>
      </c>
      <c r="N845">
        <v>87000</v>
      </c>
      <c r="O845">
        <v>193400</v>
      </c>
      <c r="P845" t="s">
        <v>35</v>
      </c>
      <c r="Q845" t="s">
        <v>2357</v>
      </c>
      <c r="R845" t="s">
        <v>23</v>
      </c>
      <c r="S845">
        <v>5</v>
      </c>
      <c r="T845" t="s">
        <v>37</v>
      </c>
      <c r="U845" t="s">
        <v>2406</v>
      </c>
      <c r="V845">
        <v>2025</v>
      </c>
      <c r="W845">
        <v>6</v>
      </c>
    </row>
    <row r="846" spans="1:23" x14ac:dyDescent="0.25">
      <c r="A846" t="s">
        <v>1793</v>
      </c>
      <c r="B846">
        <v>45817.117569444446</v>
      </c>
      <c r="C846" t="s">
        <v>1794</v>
      </c>
      <c r="D846" t="s">
        <v>195</v>
      </c>
      <c r="E846" t="s">
        <v>110</v>
      </c>
      <c r="F846" t="s">
        <v>2395</v>
      </c>
      <c r="G846" t="s">
        <v>2379</v>
      </c>
      <c r="H846">
        <v>6000</v>
      </c>
      <c r="I846">
        <v>5</v>
      </c>
      <c r="J846">
        <v>5</v>
      </c>
      <c r="K846">
        <v>30000</v>
      </c>
      <c r="L846">
        <v>1500</v>
      </c>
      <c r="M846">
        <v>28500</v>
      </c>
      <c r="N846">
        <v>0</v>
      </c>
      <c r="O846">
        <v>28500</v>
      </c>
      <c r="P846" t="s">
        <v>35</v>
      </c>
      <c r="Q846" t="s">
        <v>2357</v>
      </c>
      <c r="R846" t="s">
        <v>23</v>
      </c>
      <c r="S846">
        <v>5</v>
      </c>
      <c r="T846" t="s">
        <v>37</v>
      </c>
      <c r="U846" t="s">
        <v>2406</v>
      </c>
      <c r="V846">
        <v>2025</v>
      </c>
      <c r="W846">
        <v>6</v>
      </c>
    </row>
    <row r="847" spans="1:23" x14ac:dyDescent="0.25">
      <c r="A847" t="s">
        <v>1795</v>
      </c>
      <c r="B847">
        <v>45817.224178240736</v>
      </c>
      <c r="C847" t="s">
        <v>1341</v>
      </c>
      <c r="D847" t="s">
        <v>107</v>
      </c>
      <c r="E847" t="s">
        <v>144</v>
      </c>
      <c r="F847" t="s">
        <v>2396</v>
      </c>
      <c r="G847" t="s">
        <v>2379</v>
      </c>
      <c r="H847">
        <v>18000</v>
      </c>
      <c r="I847">
        <v>3</v>
      </c>
      <c r="J847">
        <v>20</v>
      </c>
      <c r="K847">
        <v>54000</v>
      </c>
      <c r="L847">
        <v>10800</v>
      </c>
      <c r="M847">
        <v>43200</v>
      </c>
      <c r="N847">
        <v>97000</v>
      </c>
      <c r="O847">
        <v>140200</v>
      </c>
      <c r="P847" t="s">
        <v>22</v>
      </c>
      <c r="Q847" t="s">
        <v>2359</v>
      </c>
      <c r="R847" t="s">
        <v>23</v>
      </c>
      <c r="S847">
        <v>2</v>
      </c>
      <c r="T847" t="s">
        <v>37</v>
      </c>
      <c r="U847" t="s">
        <v>2406</v>
      </c>
      <c r="V847">
        <v>2025</v>
      </c>
      <c r="W847">
        <v>6</v>
      </c>
    </row>
    <row r="848" spans="1:23" x14ac:dyDescent="0.25">
      <c r="A848" t="s">
        <v>1796</v>
      </c>
      <c r="B848">
        <v>45817.542569444442</v>
      </c>
      <c r="C848" t="s">
        <v>488</v>
      </c>
      <c r="D848" t="s">
        <v>49</v>
      </c>
      <c r="E848" t="s">
        <v>85</v>
      </c>
      <c r="F848" t="s">
        <v>2394</v>
      </c>
      <c r="G848" t="s">
        <v>2377</v>
      </c>
      <c r="H848">
        <v>35000</v>
      </c>
      <c r="I848">
        <v>4</v>
      </c>
      <c r="J848">
        <v>20</v>
      </c>
      <c r="K848">
        <v>140000</v>
      </c>
      <c r="L848">
        <v>28000</v>
      </c>
      <c r="M848">
        <v>112000</v>
      </c>
      <c r="N848">
        <v>43000</v>
      </c>
      <c r="O848">
        <v>155000</v>
      </c>
      <c r="P848" t="s">
        <v>35</v>
      </c>
      <c r="Q848" t="s">
        <v>2356</v>
      </c>
      <c r="R848" t="s">
        <v>30</v>
      </c>
      <c r="S848">
        <v>4</v>
      </c>
      <c r="T848" t="s">
        <v>24</v>
      </c>
      <c r="U848" t="s">
        <v>2406</v>
      </c>
      <c r="V848">
        <v>2025</v>
      </c>
      <c r="W848">
        <v>6</v>
      </c>
    </row>
    <row r="849" spans="1:23" x14ac:dyDescent="0.25">
      <c r="A849" t="s">
        <v>1797</v>
      </c>
      <c r="B849">
        <v>45817.726168981477</v>
      </c>
      <c r="C849" t="s">
        <v>497</v>
      </c>
      <c r="D849" t="s">
        <v>173</v>
      </c>
      <c r="E849" t="s">
        <v>136</v>
      </c>
      <c r="F849" t="s">
        <v>2400</v>
      </c>
      <c r="G849" t="s">
        <v>2378</v>
      </c>
      <c r="H849">
        <v>12000</v>
      </c>
      <c r="I849">
        <v>1</v>
      </c>
      <c r="J849">
        <v>15</v>
      </c>
      <c r="K849">
        <v>12000</v>
      </c>
      <c r="L849">
        <v>1800</v>
      </c>
      <c r="M849">
        <v>10200</v>
      </c>
      <c r="N849">
        <v>49000</v>
      </c>
      <c r="O849">
        <v>59200</v>
      </c>
      <c r="P849" t="s">
        <v>35</v>
      </c>
      <c r="Q849" t="s">
        <v>2356</v>
      </c>
      <c r="R849" t="s">
        <v>23</v>
      </c>
      <c r="S849">
        <v>1</v>
      </c>
      <c r="T849" t="s">
        <v>37</v>
      </c>
      <c r="U849" t="s">
        <v>2406</v>
      </c>
      <c r="V849">
        <v>2025</v>
      </c>
      <c r="W849">
        <v>6</v>
      </c>
    </row>
    <row r="850" spans="1:23" x14ac:dyDescent="0.25">
      <c r="A850" t="s">
        <v>1798</v>
      </c>
      <c r="B850">
        <v>45817.732604166667</v>
      </c>
      <c r="C850" t="s">
        <v>782</v>
      </c>
      <c r="D850" t="s">
        <v>177</v>
      </c>
      <c r="E850" t="s">
        <v>104</v>
      </c>
      <c r="F850" t="s">
        <v>2392</v>
      </c>
      <c r="G850" t="s">
        <v>2377</v>
      </c>
      <c r="H850">
        <v>30000</v>
      </c>
      <c r="I850">
        <v>5</v>
      </c>
      <c r="J850">
        <v>20</v>
      </c>
      <c r="K850">
        <v>150000</v>
      </c>
      <c r="L850">
        <v>30000</v>
      </c>
      <c r="M850">
        <v>120000</v>
      </c>
      <c r="N850">
        <v>56000</v>
      </c>
      <c r="O850">
        <v>176000</v>
      </c>
      <c r="P850" t="s">
        <v>35</v>
      </c>
      <c r="Q850" t="s">
        <v>2357</v>
      </c>
      <c r="R850" t="s">
        <v>82</v>
      </c>
      <c r="S850">
        <v>2</v>
      </c>
      <c r="T850" t="s">
        <v>24</v>
      </c>
      <c r="U850" t="s">
        <v>2406</v>
      </c>
      <c r="V850">
        <v>2025</v>
      </c>
      <c r="W850">
        <v>6</v>
      </c>
    </row>
    <row r="851" spans="1:23" x14ac:dyDescent="0.25">
      <c r="A851" t="s">
        <v>1799</v>
      </c>
      <c r="B851">
        <v>45817.784768518519</v>
      </c>
      <c r="C851" t="s">
        <v>1396</v>
      </c>
      <c r="D851" t="s">
        <v>435</v>
      </c>
      <c r="E851" t="s">
        <v>67</v>
      </c>
      <c r="F851" t="s">
        <v>2393</v>
      </c>
      <c r="G851" t="s">
        <v>2378</v>
      </c>
      <c r="H851">
        <v>15000</v>
      </c>
      <c r="I851">
        <v>2</v>
      </c>
      <c r="J851">
        <v>15</v>
      </c>
      <c r="K851">
        <v>30000</v>
      </c>
      <c r="L851">
        <v>4500</v>
      </c>
      <c r="M851">
        <v>25500</v>
      </c>
      <c r="N851">
        <v>67000</v>
      </c>
      <c r="O851">
        <v>92500</v>
      </c>
      <c r="P851" t="s">
        <v>22</v>
      </c>
      <c r="Q851" t="s">
        <v>2357</v>
      </c>
      <c r="R851" t="s">
        <v>36</v>
      </c>
      <c r="S851">
        <v>4</v>
      </c>
      <c r="T851" t="s">
        <v>24</v>
      </c>
      <c r="U851" t="s">
        <v>2406</v>
      </c>
      <c r="V851">
        <v>2025</v>
      </c>
      <c r="W851">
        <v>6</v>
      </c>
    </row>
    <row r="852" spans="1:23" x14ac:dyDescent="0.25">
      <c r="A852" t="s">
        <v>1800</v>
      </c>
      <c r="B852">
        <v>45818.309340277781</v>
      </c>
      <c r="C852" t="s">
        <v>576</v>
      </c>
      <c r="D852" t="s">
        <v>57</v>
      </c>
      <c r="E852" t="s">
        <v>50</v>
      </c>
      <c r="F852" t="s">
        <v>2400</v>
      </c>
      <c r="G852" t="s">
        <v>2379</v>
      </c>
      <c r="H852">
        <v>14000</v>
      </c>
      <c r="I852">
        <v>1</v>
      </c>
      <c r="J852">
        <v>15</v>
      </c>
      <c r="K852">
        <v>14000</v>
      </c>
      <c r="L852">
        <v>2100</v>
      </c>
      <c r="M852">
        <v>11900</v>
      </c>
      <c r="N852">
        <v>80000</v>
      </c>
      <c r="O852">
        <v>91900</v>
      </c>
      <c r="P852" t="s">
        <v>29</v>
      </c>
      <c r="Q852" t="s">
        <v>2357</v>
      </c>
      <c r="R852" t="s">
        <v>23</v>
      </c>
      <c r="S852">
        <v>1</v>
      </c>
      <c r="T852" t="s">
        <v>37</v>
      </c>
      <c r="U852" t="s">
        <v>2406</v>
      </c>
      <c r="V852">
        <v>2025</v>
      </c>
      <c r="W852">
        <v>6</v>
      </c>
    </row>
    <row r="853" spans="1:23" x14ac:dyDescent="0.25">
      <c r="A853" t="s">
        <v>1801</v>
      </c>
      <c r="B853">
        <v>45818.31212962963</v>
      </c>
      <c r="C853" t="s">
        <v>796</v>
      </c>
      <c r="D853" t="s">
        <v>119</v>
      </c>
      <c r="E853" t="s">
        <v>123</v>
      </c>
      <c r="F853" t="s">
        <v>2399</v>
      </c>
      <c r="G853" t="s">
        <v>2377</v>
      </c>
      <c r="H853">
        <v>22000</v>
      </c>
      <c r="I853">
        <v>1</v>
      </c>
      <c r="J853">
        <v>15</v>
      </c>
      <c r="K853">
        <v>22000</v>
      </c>
      <c r="L853">
        <v>3300</v>
      </c>
      <c r="M853">
        <v>18700</v>
      </c>
      <c r="N853">
        <v>0</v>
      </c>
      <c r="O853">
        <v>18700</v>
      </c>
      <c r="P853" t="s">
        <v>22</v>
      </c>
      <c r="Q853" t="s">
        <v>2357</v>
      </c>
      <c r="R853" t="s">
        <v>82</v>
      </c>
      <c r="S853">
        <v>3</v>
      </c>
      <c r="T853" t="s">
        <v>24</v>
      </c>
      <c r="U853" t="s">
        <v>2406</v>
      </c>
      <c r="V853">
        <v>2025</v>
      </c>
      <c r="W853">
        <v>6</v>
      </c>
    </row>
    <row r="854" spans="1:23" x14ac:dyDescent="0.25">
      <c r="A854" t="s">
        <v>1802</v>
      </c>
      <c r="B854">
        <v>45818.331041666657</v>
      </c>
      <c r="C854" t="s">
        <v>596</v>
      </c>
      <c r="D854" t="s">
        <v>70</v>
      </c>
      <c r="E854" t="s">
        <v>58</v>
      </c>
      <c r="F854" t="s">
        <v>2396</v>
      </c>
      <c r="G854" t="s">
        <v>2377</v>
      </c>
      <c r="H854">
        <v>16000</v>
      </c>
      <c r="I854">
        <v>1</v>
      </c>
      <c r="J854">
        <v>20</v>
      </c>
      <c r="K854">
        <v>16000</v>
      </c>
      <c r="L854">
        <v>3200</v>
      </c>
      <c r="M854">
        <v>12800</v>
      </c>
      <c r="N854">
        <v>89000</v>
      </c>
      <c r="O854">
        <v>101800</v>
      </c>
      <c r="P854" t="s">
        <v>35</v>
      </c>
      <c r="Q854" t="s">
        <v>2357</v>
      </c>
      <c r="R854" t="s">
        <v>46</v>
      </c>
      <c r="S854">
        <v>5</v>
      </c>
      <c r="T854" t="s">
        <v>24</v>
      </c>
      <c r="U854" t="s">
        <v>2406</v>
      </c>
      <c r="V854">
        <v>2025</v>
      </c>
      <c r="W854">
        <v>6</v>
      </c>
    </row>
    <row r="855" spans="1:23" x14ac:dyDescent="0.25">
      <c r="A855" t="s">
        <v>1803</v>
      </c>
      <c r="B855">
        <v>45818.379444444443</v>
      </c>
      <c r="C855" t="s">
        <v>1792</v>
      </c>
      <c r="D855" t="s">
        <v>49</v>
      </c>
      <c r="E855" t="s">
        <v>62</v>
      </c>
      <c r="F855" t="s">
        <v>2398</v>
      </c>
      <c r="G855" t="s">
        <v>2378</v>
      </c>
      <c r="H855">
        <v>50000</v>
      </c>
      <c r="I855">
        <v>1</v>
      </c>
      <c r="J855">
        <v>0</v>
      </c>
      <c r="K855">
        <v>50000</v>
      </c>
      <c r="L855">
        <v>0</v>
      </c>
      <c r="M855">
        <v>50000</v>
      </c>
      <c r="N855">
        <v>43000</v>
      </c>
      <c r="O855">
        <v>93000</v>
      </c>
      <c r="P855" t="s">
        <v>29</v>
      </c>
      <c r="Q855" t="s">
        <v>2357</v>
      </c>
      <c r="R855" t="s">
        <v>23</v>
      </c>
      <c r="S855">
        <v>3</v>
      </c>
      <c r="T855" t="s">
        <v>37</v>
      </c>
      <c r="U855" t="s">
        <v>2406</v>
      </c>
      <c r="V855">
        <v>2025</v>
      </c>
      <c r="W855">
        <v>6</v>
      </c>
    </row>
    <row r="856" spans="1:23" x14ac:dyDescent="0.25">
      <c r="A856" t="s">
        <v>1804</v>
      </c>
      <c r="B856">
        <v>45818.464212962957</v>
      </c>
      <c r="C856" t="s">
        <v>649</v>
      </c>
      <c r="D856" t="s">
        <v>177</v>
      </c>
      <c r="E856" t="s">
        <v>81</v>
      </c>
      <c r="F856" t="s">
        <v>2397</v>
      </c>
      <c r="G856" t="s">
        <v>2378</v>
      </c>
      <c r="H856">
        <v>17000</v>
      </c>
      <c r="I856">
        <v>2</v>
      </c>
      <c r="J856">
        <v>0</v>
      </c>
      <c r="K856">
        <v>34000</v>
      </c>
      <c r="L856">
        <v>0</v>
      </c>
      <c r="M856">
        <v>34000</v>
      </c>
      <c r="N856">
        <v>56000</v>
      </c>
      <c r="O856">
        <v>90000</v>
      </c>
      <c r="P856" t="s">
        <v>29</v>
      </c>
      <c r="Q856" t="s">
        <v>2357</v>
      </c>
      <c r="R856" t="s">
        <v>36</v>
      </c>
      <c r="S856">
        <v>2</v>
      </c>
      <c r="T856" t="s">
        <v>24</v>
      </c>
      <c r="U856" t="s">
        <v>2406</v>
      </c>
      <c r="V856">
        <v>2025</v>
      </c>
      <c r="W856">
        <v>6</v>
      </c>
    </row>
    <row r="857" spans="1:23" x14ac:dyDescent="0.25">
      <c r="A857" t="s">
        <v>1805</v>
      </c>
      <c r="B857">
        <v>45818.487604166658</v>
      </c>
      <c r="C857" t="s">
        <v>1382</v>
      </c>
      <c r="D857" t="s">
        <v>74</v>
      </c>
      <c r="E857" t="s">
        <v>93</v>
      </c>
      <c r="F857" t="s">
        <v>2399</v>
      </c>
      <c r="G857" t="s">
        <v>2378</v>
      </c>
      <c r="H857">
        <v>25000</v>
      </c>
      <c r="I857">
        <v>4</v>
      </c>
      <c r="J857">
        <v>5</v>
      </c>
      <c r="K857">
        <v>100000</v>
      </c>
      <c r="L857">
        <v>5000</v>
      </c>
      <c r="M857">
        <v>95000</v>
      </c>
      <c r="N857">
        <v>87000</v>
      </c>
      <c r="O857">
        <v>182000</v>
      </c>
      <c r="P857" t="s">
        <v>29</v>
      </c>
      <c r="Q857" t="s">
        <v>2357</v>
      </c>
      <c r="R857" t="s">
        <v>30</v>
      </c>
      <c r="S857">
        <v>3</v>
      </c>
      <c r="T857" t="s">
        <v>24</v>
      </c>
      <c r="U857" t="s">
        <v>2406</v>
      </c>
      <c r="V857">
        <v>2025</v>
      </c>
      <c r="W857">
        <v>6</v>
      </c>
    </row>
    <row r="858" spans="1:23" x14ac:dyDescent="0.25">
      <c r="A858" t="s">
        <v>1806</v>
      </c>
      <c r="B858">
        <v>45818.517754629633</v>
      </c>
      <c r="C858" t="s">
        <v>1317</v>
      </c>
      <c r="D858" t="s">
        <v>113</v>
      </c>
      <c r="E858" t="s">
        <v>85</v>
      </c>
      <c r="F858" t="s">
        <v>2394</v>
      </c>
      <c r="G858" t="s">
        <v>2377</v>
      </c>
      <c r="H858">
        <v>35000</v>
      </c>
      <c r="I858">
        <v>1</v>
      </c>
      <c r="J858">
        <v>10</v>
      </c>
      <c r="K858">
        <v>35000</v>
      </c>
      <c r="L858">
        <v>3500</v>
      </c>
      <c r="M858">
        <v>31500</v>
      </c>
      <c r="N858">
        <v>18000</v>
      </c>
      <c r="O858">
        <v>49500</v>
      </c>
      <c r="P858" t="s">
        <v>29</v>
      </c>
      <c r="Q858" t="s">
        <v>2357</v>
      </c>
      <c r="R858" t="s">
        <v>36</v>
      </c>
      <c r="S858">
        <v>5</v>
      </c>
      <c r="T858" t="s">
        <v>37</v>
      </c>
      <c r="U858" t="s">
        <v>2406</v>
      </c>
      <c r="V858">
        <v>2025</v>
      </c>
      <c r="W858">
        <v>6</v>
      </c>
    </row>
    <row r="859" spans="1:23" x14ac:dyDescent="0.25">
      <c r="A859" t="s">
        <v>1807</v>
      </c>
      <c r="B859">
        <v>45818.542754629627</v>
      </c>
      <c r="C859" t="s">
        <v>1808</v>
      </c>
      <c r="D859" t="s">
        <v>80</v>
      </c>
      <c r="E859" t="s">
        <v>67</v>
      </c>
      <c r="F859" t="s">
        <v>2393</v>
      </c>
      <c r="G859" t="s">
        <v>2378</v>
      </c>
      <c r="H859">
        <v>15000</v>
      </c>
      <c r="I859">
        <v>5</v>
      </c>
      <c r="J859">
        <v>10</v>
      </c>
      <c r="K859">
        <v>75000</v>
      </c>
      <c r="L859">
        <v>7500</v>
      </c>
      <c r="M859">
        <v>67500</v>
      </c>
      <c r="N859">
        <v>74000</v>
      </c>
      <c r="O859">
        <v>141500</v>
      </c>
      <c r="P859" t="s">
        <v>22</v>
      </c>
      <c r="Q859" t="s">
        <v>2357</v>
      </c>
      <c r="R859" t="s">
        <v>23</v>
      </c>
      <c r="S859">
        <v>3</v>
      </c>
      <c r="T859" t="s">
        <v>24</v>
      </c>
      <c r="U859" t="s">
        <v>2406</v>
      </c>
      <c r="V859">
        <v>2025</v>
      </c>
      <c r="W859">
        <v>6</v>
      </c>
    </row>
    <row r="860" spans="1:23" x14ac:dyDescent="0.25">
      <c r="A860" t="s">
        <v>1807</v>
      </c>
      <c r="B860">
        <v>45818.542754629627</v>
      </c>
      <c r="C860" t="s">
        <v>1808</v>
      </c>
      <c r="D860" t="s">
        <v>80</v>
      </c>
      <c r="E860" t="s">
        <v>93</v>
      </c>
      <c r="F860" t="s">
        <v>2399</v>
      </c>
      <c r="G860" t="s">
        <v>2378</v>
      </c>
      <c r="H860">
        <v>25000</v>
      </c>
      <c r="I860">
        <v>4</v>
      </c>
      <c r="J860">
        <v>20</v>
      </c>
      <c r="K860">
        <v>100000</v>
      </c>
      <c r="L860">
        <v>20000</v>
      </c>
      <c r="M860">
        <v>80000</v>
      </c>
      <c r="N860">
        <v>0</v>
      </c>
      <c r="O860">
        <v>80000</v>
      </c>
      <c r="P860" t="s">
        <v>22</v>
      </c>
      <c r="Q860" t="s">
        <v>2357</v>
      </c>
      <c r="R860" t="s">
        <v>23</v>
      </c>
      <c r="S860">
        <v>3</v>
      </c>
      <c r="T860" t="s">
        <v>24</v>
      </c>
      <c r="U860" t="s">
        <v>2406</v>
      </c>
      <c r="V860">
        <v>2025</v>
      </c>
      <c r="W860">
        <v>6</v>
      </c>
    </row>
    <row r="861" spans="1:23" x14ac:dyDescent="0.25">
      <c r="A861" t="s">
        <v>1809</v>
      </c>
      <c r="B861">
        <v>45819.572233796287</v>
      </c>
      <c r="C861" t="s">
        <v>513</v>
      </c>
      <c r="D861" t="s">
        <v>182</v>
      </c>
      <c r="E861" t="s">
        <v>138</v>
      </c>
      <c r="F861" t="s">
        <v>2396</v>
      </c>
      <c r="G861" t="s">
        <v>2378</v>
      </c>
      <c r="H861">
        <v>17000</v>
      </c>
      <c r="I861">
        <v>5</v>
      </c>
      <c r="J861">
        <v>5</v>
      </c>
      <c r="K861">
        <v>85000</v>
      </c>
      <c r="L861">
        <v>4250</v>
      </c>
      <c r="M861">
        <v>80750</v>
      </c>
      <c r="N861">
        <v>48000</v>
      </c>
      <c r="O861">
        <v>128750</v>
      </c>
      <c r="P861" t="s">
        <v>63</v>
      </c>
      <c r="Q861" t="s">
        <v>2356</v>
      </c>
      <c r="R861" t="s">
        <v>46</v>
      </c>
      <c r="S861">
        <v>2</v>
      </c>
      <c r="T861" t="s">
        <v>24</v>
      </c>
      <c r="U861" t="s">
        <v>2406</v>
      </c>
      <c r="V861">
        <v>2025</v>
      </c>
      <c r="W861">
        <v>6</v>
      </c>
    </row>
    <row r="862" spans="1:23" x14ac:dyDescent="0.25">
      <c r="A862" t="s">
        <v>1810</v>
      </c>
      <c r="B862">
        <v>45819.749537037038</v>
      </c>
      <c r="C862" t="s">
        <v>121</v>
      </c>
      <c r="D862" t="s">
        <v>122</v>
      </c>
      <c r="E862" t="s">
        <v>88</v>
      </c>
      <c r="F862" t="s">
        <v>2393</v>
      </c>
      <c r="G862" t="s">
        <v>2377</v>
      </c>
      <c r="H862">
        <v>14000</v>
      </c>
      <c r="I862">
        <v>2</v>
      </c>
      <c r="J862">
        <v>10</v>
      </c>
      <c r="K862">
        <v>28000</v>
      </c>
      <c r="L862">
        <v>2800</v>
      </c>
      <c r="M862">
        <v>25200</v>
      </c>
      <c r="N862">
        <v>78000</v>
      </c>
      <c r="O862">
        <v>103200</v>
      </c>
      <c r="P862" t="s">
        <v>63</v>
      </c>
      <c r="Q862" t="s">
        <v>2357</v>
      </c>
      <c r="R862" t="s">
        <v>46</v>
      </c>
      <c r="S862">
        <v>4</v>
      </c>
      <c r="T862" t="s">
        <v>24</v>
      </c>
      <c r="U862" t="s">
        <v>2406</v>
      </c>
      <c r="V862">
        <v>2025</v>
      </c>
      <c r="W862">
        <v>6</v>
      </c>
    </row>
    <row r="863" spans="1:23" x14ac:dyDescent="0.25">
      <c r="A863" t="s">
        <v>1811</v>
      </c>
      <c r="B863">
        <v>45819.857245370367</v>
      </c>
      <c r="C863" t="s">
        <v>1530</v>
      </c>
      <c r="D863" t="s">
        <v>122</v>
      </c>
      <c r="E863" t="s">
        <v>62</v>
      </c>
      <c r="F863" t="s">
        <v>2398</v>
      </c>
      <c r="G863" t="s">
        <v>2378</v>
      </c>
      <c r="H863">
        <v>50000</v>
      </c>
      <c r="I863">
        <v>3</v>
      </c>
      <c r="J863">
        <v>20</v>
      </c>
      <c r="K863">
        <v>150000</v>
      </c>
      <c r="L863">
        <v>30000</v>
      </c>
      <c r="M863">
        <v>120000</v>
      </c>
      <c r="N863">
        <v>78000</v>
      </c>
      <c r="O863">
        <v>198000</v>
      </c>
      <c r="P863" t="s">
        <v>22</v>
      </c>
      <c r="Q863" t="s">
        <v>2357</v>
      </c>
      <c r="R863" t="s">
        <v>46</v>
      </c>
      <c r="S863">
        <v>4</v>
      </c>
      <c r="T863" t="s">
        <v>24</v>
      </c>
      <c r="U863" t="s">
        <v>2406</v>
      </c>
      <c r="V863">
        <v>2025</v>
      </c>
      <c r="W863">
        <v>6</v>
      </c>
    </row>
    <row r="864" spans="1:23" x14ac:dyDescent="0.25">
      <c r="A864" t="s">
        <v>1812</v>
      </c>
      <c r="B864">
        <v>45820.31050925926</v>
      </c>
      <c r="C864" t="s">
        <v>271</v>
      </c>
      <c r="D864" t="s">
        <v>49</v>
      </c>
      <c r="E864" t="s">
        <v>81</v>
      </c>
      <c r="F864" t="s">
        <v>2397</v>
      </c>
      <c r="G864" t="s">
        <v>2378</v>
      </c>
      <c r="H864">
        <v>17000</v>
      </c>
      <c r="I864">
        <v>1</v>
      </c>
      <c r="J864">
        <v>5</v>
      </c>
      <c r="K864">
        <v>17000</v>
      </c>
      <c r="L864">
        <v>850</v>
      </c>
      <c r="M864">
        <v>16150</v>
      </c>
      <c r="N864">
        <v>43000</v>
      </c>
      <c r="O864">
        <v>59150</v>
      </c>
      <c r="P864" t="s">
        <v>22</v>
      </c>
      <c r="Q864" t="s">
        <v>2357</v>
      </c>
      <c r="R864" t="s">
        <v>36</v>
      </c>
      <c r="S864">
        <v>5</v>
      </c>
      <c r="T864" t="s">
        <v>24</v>
      </c>
      <c r="U864" t="s">
        <v>2406</v>
      </c>
      <c r="V864">
        <v>2025</v>
      </c>
      <c r="W864">
        <v>6</v>
      </c>
    </row>
    <row r="865" spans="1:23" x14ac:dyDescent="0.25">
      <c r="A865" t="s">
        <v>1813</v>
      </c>
      <c r="B865">
        <v>45820.340925925928</v>
      </c>
      <c r="C865" t="s">
        <v>381</v>
      </c>
      <c r="D865" t="s">
        <v>103</v>
      </c>
      <c r="E865" t="s">
        <v>34</v>
      </c>
      <c r="F865" t="s">
        <v>2397</v>
      </c>
      <c r="G865" t="s">
        <v>2377</v>
      </c>
      <c r="H865">
        <v>16000</v>
      </c>
      <c r="I865">
        <v>3</v>
      </c>
      <c r="J865">
        <v>5</v>
      </c>
      <c r="K865">
        <v>48000</v>
      </c>
      <c r="L865">
        <v>2400</v>
      </c>
      <c r="M865">
        <v>45600</v>
      </c>
      <c r="N865">
        <v>85000</v>
      </c>
      <c r="O865">
        <v>130600</v>
      </c>
      <c r="P865" t="s">
        <v>22</v>
      </c>
      <c r="Q865" t="s">
        <v>2359</v>
      </c>
      <c r="R865" t="s">
        <v>36</v>
      </c>
      <c r="S865">
        <v>4</v>
      </c>
      <c r="T865" t="s">
        <v>24</v>
      </c>
      <c r="U865" t="s">
        <v>2406</v>
      </c>
      <c r="V865">
        <v>2025</v>
      </c>
      <c r="W865">
        <v>6</v>
      </c>
    </row>
    <row r="866" spans="1:23" x14ac:dyDescent="0.25">
      <c r="A866" t="s">
        <v>1814</v>
      </c>
      <c r="B866">
        <v>45820.356620370367</v>
      </c>
      <c r="C866" t="s">
        <v>48</v>
      </c>
      <c r="D866" t="s">
        <v>49</v>
      </c>
      <c r="E866" t="s">
        <v>34</v>
      </c>
      <c r="F866" t="s">
        <v>2397</v>
      </c>
      <c r="G866" t="s">
        <v>2377</v>
      </c>
      <c r="H866">
        <v>16000</v>
      </c>
      <c r="I866">
        <v>4</v>
      </c>
      <c r="J866">
        <v>10</v>
      </c>
      <c r="K866">
        <v>64000</v>
      </c>
      <c r="L866">
        <v>6400</v>
      </c>
      <c r="M866">
        <v>57600</v>
      </c>
      <c r="N866">
        <v>43000</v>
      </c>
      <c r="O866">
        <v>100600</v>
      </c>
      <c r="P866" t="s">
        <v>35</v>
      </c>
      <c r="Q866" t="s">
        <v>2357</v>
      </c>
      <c r="R866" t="s">
        <v>36</v>
      </c>
      <c r="S866">
        <v>3</v>
      </c>
      <c r="T866" t="s">
        <v>24</v>
      </c>
      <c r="U866" t="s">
        <v>2406</v>
      </c>
      <c r="V866">
        <v>2025</v>
      </c>
      <c r="W866">
        <v>6</v>
      </c>
    </row>
    <row r="867" spans="1:23" x14ac:dyDescent="0.25">
      <c r="A867" t="s">
        <v>1815</v>
      </c>
      <c r="B867">
        <v>45820.480416666673</v>
      </c>
      <c r="C867" t="s">
        <v>394</v>
      </c>
      <c r="D867" t="s">
        <v>53</v>
      </c>
      <c r="E867" t="s">
        <v>190</v>
      </c>
      <c r="F867" t="s">
        <v>2392</v>
      </c>
      <c r="G867" t="s">
        <v>2378</v>
      </c>
      <c r="H867">
        <v>35000</v>
      </c>
      <c r="I867">
        <v>2</v>
      </c>
      <c r="J867">
        <v>20</v>
      </c>
      <c r="K867">
        <v>70000</v>
      </c>
      <c r="L867">
        <v>14000</v>
      </c>
      <c r="M867">
        <v>56000</v>
      </c>
      <c r="N867">
        <v>18000</v>
      </c>
      <c r="O867">
        <v>74000</v>
      </c>
      <c r="P867" t="s">
        <v>29</v>
      </c>
      <c r="Q867" t="s">
        <v>2357</v>
      </c>
      <c r="R867" t="s">
        <v>23</v>
      </c>
      <c r="S867">
        <v>2</v>
      </c>
      <c r="T867" t="s">
        <v>24</v>
      </c>
      <c r="U867" t="s">
        <v>2406</v>
      </c>
      <c r="V867">
        <v>2025</v>
      </c>
      <c r="W867">
        <v>6</v>
      </c>
    </row>
    <row r="868" spans="1:23" x14ac:dyDescent="0.25">
      <c r="A868" t="s">
        <v>1816</v>
      </c>
      <c r="B868">
        <v>45820.572245370371</v>
      </c>
      <c r="C868" t="s">
        <v>851</v>
      </c>
      <c r="D868" t="s">
        <v>66</v>
      </c>
      <c r="E868" t="s">
        <v>38</v>
      </c>
      <c r="F868" t="s">
        <v>2399</v>
      </c>
      <c r="G868" t="s">
        <v>2379</v>
      </c>
      <c r="H868">
        <v>28000</v>
      </c>
      <c r="I868">
        <v>5</v>
      </c>
      <c r="J868">
        <v>20</v>
      </c>
      <c r="K868">
        <v>140000</v>
      </c>
      <c r="L868">
        <v>28000</v>
      </c>
      <c r="M868">
        <v>112000</v>
      </c>
      <c r="N868">
        <v>59000</v>
      </c>
      <c r="O868">
        <v>171000</v>
      </c>
      <c r="P868" t="s">
        <v>29</v>
      </c>
      <c r="Q868" t="s">
        <v>2357</v>
      </c>
      <c r="R868" t="s">
        <v>30</v>
      </c>
      <c r="S868">
        <v>3</v>
      </c>
      <c r="T868" t="s">
        <v>37</v>
      </c>
      <c r="U868" t="s">
        <v>2406</v>
      </c>
      <c r="V868">
        <v>2025</v>
      </c>
      <c r="W868">
        <v>6</v>
      </c>
    </row>
    <row r="869" spans="1:23" x14ac:dyDescent="0.25">
      <c r="A869" t="s">
        <v>1817</v>
      </c>
      <c r="B869">
        <v>45820.794479166667</v>
      </c>
      <c r="C869" t="s">
        <v>729</v>
      </c>
      <c r="D869" t="s">
        <v>74</v>
      </c>
      <c r="E869" t="s">
        <v>186</v>
      </c>
      <c r="F869" t="s">
        <v>2398</v>
      </c>
      <c r="G869" t="s">
        <v>2377</v>
      </c>
      <c r="H869">
        <v>45000</v>
      </c>
      <c r="I869">
        <v>1</v>
      </c>
      <c r="J869">
        <v>15</v>
      </c>
      <c r="K869">
        <v>45000</v>
      </c>
      <c r="L869">
        <v>6750</v>
      </c>
      <c r="M869">
        <v>38250</v>
      </c>
      <c r="N869">
        <v>87000</v>
      </c>
      <c r="O869">
        <v>125250</v>
      </c>
      <c r="P869" t="s">
        <v>29</v>
      </c>
      <c r="Q869" t="s">
        <v>2357</v>
      </c>
      <c r="R869" t="s">
        <v>23</v>
      </c>
      <c r="S869">
        <v>5</v>
      </c>
      <c r="T869" t="s">
        <v>24</v>
      </c>
      <c r="U869" t="s">
        <v>2406</v>
      </c>
      <c r="V869">
        <v>2025</v>
      </c>
      <c r="W869">
        <v>6</v>
      </c>
    </row>
    <row r="870" spans="1:23" x14ac:dyDescent="0.25">
      <c r="A870" t="s">
        <v>1818</v>
      </c>
      <c r="B870">
        <v>45820.796851851846</v>
      </c>
      <c r="C870" t="s">
        <v>157</v>
      </c>
      <c r="D870" t="s">
        <v>20</v>
      </c>
      <c r="E870" t="s">
        <v>41</v>
      </c>
      <c r="F870" t="s">
        <v>2395</v>
      </c>
      <c r="G870" t="s">
        <v>2377</v>
      </c>
      <c r="H870">
        <v>4000</v>
      </c>
      <c r="I870">
        <v>1</v>
      </c>
      <c r="J870">
        <v>10</v>
      </c>
      <c r="K870">
        <v>4000</v>
      </c>
      <c r="L870">
        <v>400</v>
      </c>
      <c r="M870">
        <v>3600</v>
      </c>
      <c r="N870">
        <v>15000</v>
      </c>
      <c r="O870">
        <v>18600</v>
      </c>
      <c r="P870" t="s">
        <v>22</v>
      </c>
      <c r="Q870" t="s">
        <v>2357</v>
      </c>
      <c r="R870" t="s">
        <v>82</v>
      </c>
      <c r="S870">
        <v>1</v>
      </c>
      <c r="T870" t="s">
        <v>24</v>
      </c>
      <c r="U870" t="s">
        <v>2406</v>
      </c>
      <c r="V870">
        <v>2025</v>
      </c>
      <c r="W870">
        <v>6</v>
      </c>
    </row>
    <row r="871" spans="1:23" x14ac:dyDescent="0.25">
      <c r="A871" t="s">
        <v>1819</v>
      </c>
      <c r="B871">
        <v>45820.921006944453</v>
      </c>
      <c r="C871" t="s">
        <v>1050</v>
      </c>
      <c r="D871" t="s">
        <v>92</v>
      </c>
      <c r="E871" t="s">
        <v>136</v>
      </c>
      <c r="F871" t="s">
        <v>2400</v>
      </c>
      <c r="G871" t="s">
        <v>2378</v>
      </c>
      <c r="H871">
        <v>12000</v>
      </c>
      <c r="I871">
        <v>3</v>
      </c>
      <c r="J871">
        <v>20</v>
      </c>
      <c r="K871">
        <v>36000</v>
      </c>
      <c r="L871">
        <v>7200</v>
      </c>
      <c r="M871">
        <v>28800</v>
      </c>
      <c r="N871">
        <v>30000</v>
      </c>
      <c r="O871">
        <v>58800</v>
      </c>
      <c r="P871" t="s">
        <v>22</v>
      </c>
      <c r="Q871" t="s">
        <v>2357</v>
      </c>
      <c r="R871" t="s">
        <v>36</v>
      </c>
      <c r="S871">
        <v>5</v>
      </c>
      <c r="T871" t="s">
        <v>24</v>
      </c>
      <c r="U871" t="s">
        <v>2406</v>
      </c>
      <c r="V871">
        <v>2025</v>
      </c>
      <c r="W871">
        <v>6</v>
      </c>
    </row>
    <row r="872" spans="1:23" x14ac:dyDescent="0.25">
      <c r="A872" t="s">
        <v>1820</v>
      </c>
      <c r="B872">
        <v>45820.929259259261</v>
      </c>
      <c r="C872" t="s">
        <v>1317</v>
      </c>
      <c r="D872" t="s">
        <v>113</v>
      </c>
      <c r="E872" t="s">
        <v>38</v>
      </c>
      <c r="F872" t="s">
        <v>2399</v>
      </c>
      <c r="G872" t="s">
        <v>2379</v>
      </c>
      <c r="H872">
        <v>28000</v>
      </c>
      <c r="I872">
        <v>4</v>
      </c>
      <c r="J872">
        <v>5</v>
      </c>
      <c r="K872">
        <v>112000</v>
      </c>
      <c r="L872">
        <v>5600</v>
      </c>
      <c r="M872">
        <v>106400</v>
      </c>
      <c r="N872">
        <v>18000</v>
      </c>
      <c r="O872">
        <v>124400</v>
      </c>
      <c r="P872" t="s">
        <v>63</v>
      </c>
      <c r="Q872" t="s">
        <v>2357</v>
      </c>
      <c r="R872" t="s">
        <v>46</v>
      </c>
      <c r="S872">
        <v>2</v>
      </c>
      <c r="T872" t="s">
        <v>37</v>
      </c>
      <c r="U872" t="s">
        <v>2406</v>
      </c>
      <c r="V872">
        <v>2025</v>
      </c>
      <c r="W872">
        <v>6</v>
      </c>
    </row>
    <row r="873" spans="1:23" x14ac:dyDescent="0.25">
      <c r="A873" t="s">
        <v>1821</v>
      </c>
      <c r="B873">
        <v>45821.155428240738</v>
      </c>
      <c r="C873" t="s">
        <v>1130</v>
      </c>
      <c r="D873" t="s">
        <v>122</v>
      </c>
      <c r="E873" t="s">
        <v>38</v>
      </c>
      <c r="F873" t="s">
        <v>2399</v>
      </c>
      <c r="G873" t="s">
        <v>2379</v>
      </c>
      <c r="H873">
        <v>28000</v>
      </c>
      <c r="I873">
        <v>5</v>
      </c>
      <c r="J873">
        <v>5</v>
      </c>
      <c r="K873">
        <v>140000</v>
      </c>
      <c r="L873">
        <v>7000</v>
      </c>
      <c r="M873">
        <v>133000</v>
      </c>
      <c r="N873">
        <v>78000</v>
      </c>
      <c r="O873">
        <v>211000</v>
      </c>
      <c r="P873" t="s">
        <v>29</v>
      </c>
      <c r="Q873" t="s">
        <v>2357</v>
      </c>
      <c r="R873" t="s">
        <v>30</v>
      </c>
      <c r="S873">
        <v>2</v>
      </c>
      <c r="T873" t="s">
        <v>24</v>
      </c>
      <c r="U873" t="s">
        <v>2406</v>
      </c>
      <c r="V873">
        <v>2025</v>
      </c>
      <c r="W873">
        <v>6</v>
      </c>
    </row>
    <row r="874" spans="1:23" x14ac:dyDescent="0.25">
      <c r="A874" t="s">
        <v>1821</v>
      </c>
      <c r="B874">
        <v>45821.155428240738</v>
      </c>
      <c r="C874" t="s">
        <v>1130</v>
      </c>
      <c r="D874" t="s">
        <v>122</v>
      </c>
      <c r="E874" t="s">
        <v>38</v>
      </c>
      <c r="F874" t="s">
        <v>2399</v>
      </c>
      <c r="G874" t="s">
        <v>2379</v>
      </c>
      <c r="H874">
        <v>28000</v>
      </c>
      <c r="I874">
        <v>4</v>
      </c>
      <c r="J874">
        <v>20</v>
      </c>
      <c r="K874">
        <v>112000</v>
      </c>
      <c r="L874">
        <v>22400</v>
      </c>
      <c r="M874">
        <v>89600</v>
      </c>
      <c r="N874">
        <v>0</v>
      </c>
      <c r="O874">
        <v>89600</v>
      </c>
      <c r="P874" t="s">
        <v>29</v>
      </c>
      <c r="Q874" t="s">
        <v>2357</v>
      </c>
      <c r="R874" t="s">
        <v>30</v>
      </c>
      <c r="S874">
        <v>2</v>
      </c>
      <c r="T874" t="s">
        <v>24</v>
      </c>
      <c r="U874" t="s">
        <v>2406</v>
      </c>
      <c r="V874">
        <v>2025</v>
      </c>
      <c r="W874">
        <v>6</v>
      </c>
    </row>
    <row r="875" spans="1:23" x14ac:dyDescent="0.25">
      <c r="A875" t="s">
        <v>1822</v>
      </c>
      <c r="B875">
        <v>45821.395208333342</v>
      </c>
      <c r="C875" t="s">
        <v>1237</v>
      </c>
      <c r="D875" t="s">
        <v>92</v>
      </c>
      <c r="E875" t="s">
        <v>190</v>
      </c>
      <c r="F875" t="s">
        <v>2392</v>
      </c>
      <c r="G875" t="s">
        <v>2378</v>
      </c>
      <c r="H875">
        <v>35000</v>
      </c>
      <c r="I875">
        <v>2</v>
      </c>
      <c r="J875">
        <v>10</v>
      </c>
      <c r="K875">
        <v>70000</v>
      </c>
      <c r="L875">
        <v>7000</v>
      </c>
      <c r="M875">
        <v>63000</v>
      </c>
      <c r="N875">
        <v>30000</v>
      </c>
      <c r="O875">
        <v>93000</v>
      </c>
      <c r="P875" t="s">
        <v>22</v>
      </c>
      <c r="Q875" t="s">
        <v>2356</v>
      </c>
      <c r="R875" t="s">
        <v>82</v>
      </c>
      <c r="S875">
        <v>2</v>
      </c>
      <c r="T875" t="s">
        <v>24</v>
      </c>
      <c r="U875" t="s">
        <v>2406</v>
      </c>
      <c r="V875">
        <v>2025</v>
      </c>
      <c r="W875">
        <v>6</v>
      </c>
    </row>
    <row r="876" spans="1:23" x14ac:dyDescent="0.25">
      <c r="A876" t="s">
        <v>1823</v>
      </c>
      <c r="B876">
        <v>45821.481944444437</v>
      </c>
      <c r="C876" t="s">
        <v>1561</v>
      </c>
      <c r="D876" t="s">
        <v>160</v>
      </c>
      <c r="E876" t="s">
        <v>50</v>
      </c>
      <c r="F876" t="s">
        <v>2400</v>
      </c>
      <c r="G876" t="s">
        <v>2379</v>
      </c>
      <c r="H876">
        <v>14000</v>
      </c>
      <c r="I876">
        <v>4</v>
      </c>
      <c r="J876">
        <v>0</v>
      </c>
      <c r="K876">
        <v>56000</v>
      </c>
      <c r="L876">
        <v>0</v>
      </c>
      <c r="M876">
        <v>56000</v>
      </c>
      <c r="N876">
        <v>68000</v>
      </c>
      <c r="O876">
        <v>124000</v>
      </c>
      <c r="P876" t="s">
        <v>35</v>
      </c>
      <c r="Q876" t="s">
        <v>2357</v>
      </c>
      <c r="R876" t="s">
        <v>82</v>
      </c>
      <c r="S876">
        <v>1</v>
      </c>
      <c r="T876" t="s">
        <v>24</v>
      </c>
      <c r="U876" t="s">
        <v>2406</v>
      </c>
      <c r="V876">
        <v>2025</v>
      </c>
      <c r="W876">
        <v>6</v>
      </c>
    </row>
    <row r="877" spans="1:23" x14ac:dyDescent="0.25">
      <c r="A877" t="s">
        <v>1824</v>
      </c>
      <c r="B877">
        <v>45821.530115740738</v>
      </c>
      <c r="C877" t="s">
        <v>1228</v>
      </c>
      <c r="D877" t="s">
        <v>33</v>
      </c>
      <c r="E877" t="s">
        <v>38</v>
      </c>
      <c r="F877" t="s">
        <v>2399</v>
      </c>
      <c r="G877" t="s">
        <v>2379</v>
      </c>
      <c r="H877">
        <v>28000</v>
      </c>
      <c r="I877">
        <v>2</v>
      </c>
      <c r="J877">
        <v>20</v>
      </c>
      <c r="K877">
        <v>56000</v>
      </c>
      <c r="L877">
        <v>11200</v>
      </c>
      <c r="M877">
        <v>44800</v>
      </c>
      <c r="N877">
        <v>76000</v>
      </c>
      <c r="O877">
        <v>120800</v>
      </c>
      <c r="P877" t="s">
        <v>29</v>
      </c>
      <c r="Q877" t="s">
        <v>2357</v>
      </c>
      <c r="R877" t="s">
        <v>36</v>
      </c>
      <c r="S877">
        <v>2</v>
      </c>
      <c r="T877" t="s">
        <v>24</v>
      </c>
      <c r="U877" t="s">
        <v>2406</v>
      </c>
      <c r="V877">
        <v>2025</v>
      </c>
      <c r="W877">
        <v>6</v>
      </c>
    </row>
    <row r="878" spans="1:23" x14ac:dyDescent="0.25">
      <c r="A878" t="s">
        <v>1824</v>
      </c>
      <c r="B878">
        <v>45821.530115740738</v>
      </c>
      <c r="C878" t="s">
        <v>1228</v>
      </c>
      <c r="D878" t="s">
        <v>33</v>
      </c>
      <c r="E878" t="s">
        <v>174</v>
      </c>
      <c r="F878" t="s">
        <v>2400</v>
      </c>
      <c r="G878" t="s">
        <v>2377</v>
      </c>
      <c r="H878">
        <v>10000</v>
      </c>
      <c r="I878">
        <v>5</v>
      </c>
      <c r="J878">
        <v>10</v>
      </c>
      <c r="K878">
        <v>50000</v>
      </c>
      <c r="L878">
        <v>5000</v>
      </c>
      <c r="M878">
        <v>45000</v>
      </c>
      <c r="N878">
        <v>0</v>
      </c>
      <c r="O878">
        <v>45000</v>
      </c>
      <c r="P878" t="s">
        <v>29</v>
      </c>
      <c r="Q878" t="s">
        <v>2357</v>
      </c>
      <c r="R878" t="s">
        <v>36</v>
      </c>
      <c r="S878">
        <v>2</v>
      </c>
      <c r="T878" t="s">
        <v>24</v>
      </c>
      <c r="U878" t="s">
        <v>2406</v>
      </c>
      <c r="V878">
        <v>2025</v>
      </c>
      <c r="W878">
        <v>6</v>
      </c>
    </row>
    <row r="879" spans="1:23" x14ac:dyDescent="0.25">
      <c r="A879" t="s">
        <v>1825</v>
      </c>
      <c r="B879">
        <v>45821.599606481483</v>
      </c>
      <c r="C879" t="s">
        <v>150</v>
      </c>
      <c r="D879" t="s">
        <v>151</v>
      </c>
      <c r="E879" t="s">
        <v>250</v>
      </c>
      <c r="F879" t="s">
        <v>2397</v>
      </c>
      <c r="G879" t="s">
        <v>2379</v>
      </c>
      <c r="H879">
        <v>18000</v>
      </c>
      <c r="I879">
        <v>5</v>
      </c>
      <c r="J879">
        <v>10</v>
      </c>
      <c r="K879">
        <v>90000</v>
      </c>
      <c r="L879">
        <v>9000</v>
      </c>
      <c r="M879">
        <v>81000</v>
      </c>
      <c r="N879">
        <v>55000</v>
      </c>
      <c r="O879">
        <v>136000</v>
      </c>
      <c r="P879" t="s">
        <v>22</v>
      </c>
      <c r="Q879" t="s">
        <v>2356</v>
      </c>
      <c r="R879" t="s">
        <v>36</v>
      </c>
      <c r="S879">
        <v>5</v>
      </c>
      <c r="T879" t="s">
        <v>37</v>
      </c>
      <c r="U879" t="s">
        <v>2406</v>
      </c>
      <c r="V879">
        <v>2025</v>
      </c>
      <c r="W879">
        <v>6</v>
      </c>
    </row>
    <row r="880" spans="1:23" x14ac:dyDescent="0.25">
      <c r="A880" t="s">
        <v>1826</v>
      </c>
      <c r="B880">
        <v>45821.869247685187</v>
      </c>
      <c r="C880" t="s">
        <v>165</v>
      </c>
      <c r="D880" t="s">
        <v>143</v>
      </c>
      <c r="E880" t="s">
        <v>41</v>
      </c>
      <c r="F880" t="s">
        <v>2395</v>
      </c>
      <c r="G880" t="s">
        <v>2377</v>
      </c>
      <c r="H880">
        <v>4000</v>
      </c>
      <c r="I880">
        <v>2</v>
      </c>
      <c r="J880">
        <v>15</v>
      </c>
      <c r="K880">
        <v>8000</v>
      </c>
      <c r="L880">
        <v>1200</v>
      </c>
      <c r="M880">
        <v>6800</v>
      </c>
      <c r="N880">
        <v>50000</v>
      </c>
      <c r="O880">
        <v>56800</v>
      </c>
      <c r="P880" t="s">
        <v>35</v>
      </c>
      <c r="Q880" t="s">
        <v>2357</v>
      </c>
      <c r="R880" t="s">
        <v>30</v>
      </c>
      <c r="S880">
        <v>4</v>
      </c>
      <c r="T880" t="s">
        <v>24</v>
      </c>
      <c r="U880" t="s">
        <v>2406</v>
      </c>
      <c r="V880">
        <v>2025</v>
      </c>
      <c r="W880">
        <v>6</v>
      </c>
    </row>
    <row r="881" spans="1:23" x14ac:dyDescent="0.25">
      <c r="A881" t="s">
        <v>1827</v>
      </c>
      <c r="B881">
        <v>45821.971087962957</v>
      </c>
      <c r="C881" t="s">
        <v>387</v>
      </c>
      <c r="D881" t="s">
        <v>49</v>
      </c>
      <c r="E881" t="s">
        <v>21</v>
      </c>
      <c r="F881" t="s">
        <v>2394</v>
      </c>
      <c r="G881" t="s">
        <v>2379</v>
      </c>
      <c r="H881">
        <v>45000</v>
      </c>
      <c r="I881">
        <v>5</v>
      </c>
      <c r="J881">
        <v>10</v>
      </c>
      <c r="K881">
        <v>225000</v>
      </c>
      <c r="L881">
        <v>22500</v>
      </c>
      <c r="M881">
        <v>202500</v>
      </c>
      <c r="N881">
        <v>43000</v>
      </c>
      <c r="O881">
        <v>245500</v>
      </c>
      <c r="P881" t="s">
        <v>22</v>
      </c>
      <c r="Q881" t="s">
        <v>2357</v>
      </c>
      <c r="R881" t="s">
        <v>23</v>
      </c>
      <c r="S881">
        <v>2</v>
      </c>
      <c r="T881" t="s">
        <v>37</v>
      </c>
      <c r="U881" t="s">
        <v>2406</v>
      </c>
      <c r="V881">
        <v>2025</v>
      </c>
      <c r="W881">
        <v>6</v>
      </c>
    </row>
    <row r="882" spans="1:23" x14ac:dyDescent="0.25">
      <c r="A882" t="s">
        <v>1828</v>
      </c>
      <c r="B882">
        <v>45822.033310185187</v>
      </c>
      <c r="C882" t="s">
        <v>381</v>
      </c>
      <c r="D882" t="s">
        <v>103</v>
      </c>
      <c r="E882" t="s">
        <v>93</v>
      </c>
      <c r="F882" t="s">
        <v>2399</v>
      </c>
      <c r="G882" t="s">
        <v>2378</v>
      </c>
      <c r="H882">
        <v>25000</v>
      </c>
      <c r="I882">
        <v>1</v>
      </c>
      <c r="J882">
        <v>15</v>
      </c>
      <c r="K882">
        <v>25000</v>
      </c>
      <c r="L882">
        <v>3750</v>
      </c>
      <c r="M882">
        <v>21250</v>
      </c>
      <c r="N882">
        <v>85000</v>
      </c>
      <c r="O882">
        <v>106250</v>
      </c>
      <c r="P882" t="s">
        <v>35</v>
      </c>
      <c r="Q882" t="s">
        <v>2357</v>
      </c>
      <c r="R882" t="s">
        <v>46</v>
      </c>
      <c r="S882">
        <v>1</v>
      </c>
      <c r="T882" t="s">
        <v>24</v>
      </c>
      <c r="U882" t="s">
        <v>2406</v>
      </c>
      <c r="V882">
        <v>2025</v>
      </c>
      <c r="W882">
        <v>6</v>
      </c>
    </row>
    <row r="883" spans="1:23" x14ac:dyDescent="0.25">
      <c r="A883" t="s">
        <v>1829</v>
      </c>
      <c r="B883">
        <v>45822.203634259262</v>
      </c>
      <c r="C883" t="s">
        <v>140</v>
      </c>
      <c r="D883" t="s">
        <v>92</v>
      </c>
      <c r="E883" t="s">
        <v>144</v>
      </c>
      <c r="F883" t="s">
        <v>2396</v>
      </c>
      <c r="G883" t="s">
        <v>2379</v>
      </c>
      <c r="H883">
        <v>18000</v>
      </c>
      <c r="I883">
        <v>4</v>
      </c>
      <c r="J883">
        <v>5</v>
      </c>
      <c r="K883">
        <v>72000</v>
      </c>
      <c r="L883">
        <v>3600</v>
      </c>
      <c r="M883">
        <v>68400</v>
      </c>
      <c r="N883">
        <v>30000</v>
      </c>
      <c r="O883">
        <v>98400</v>
      </c>
      <c r="P883" t="s">
        <v>63</v>
      </c>
      <c r="Q883" t="s">
        <v>2359</v>
      </c>
      <c r="R883" t="s">
        <v>36</v>
      </c>
      <c r="S883">
        <v>4</v>
      </c>
      <c r="T883" t="s">
        <v>24</v>
      </c>
      <c r="U883" t="s">
        <v>2406</v>
      </c>
      <c r="V883">
        <v>2025</v>
      </c>
      <c r="W883">
        <v>6</v>
      </c>
    </row>
    <row r="884" spans="1:23" x14ac:dyDescent="0.25">
      <c r="A884" t="s">
        <v>1830</v>
      </c>
      <c r="B884">
        <v>45822.294039351851</v>
      </c>
      <c r="C884" t="s">
        <v>508</v>
      </c>
      <c r="D884" t="s">
        <v>20</v>
      </c>
      <c r="E884" t="s">
        <v>81</v>
      </c>
      <c r="F884" t="s">
        <v>2397</v>
      </c>
      <c r="G884" t="s">
        <v>2378</v>
      </c>
      <c r="H884">
        <v>17000</v>
      </c>
      <c r="I884">
        <v>2</v>
      </c>
      <c r="J884">
        <v>5</v>
      </c>
      <c r="K884">
        <v>34000</v>
      </c>
      <c r="L884">
        <v>1700</v>
      </c>
      <c r="M884">
        <v>32300</v>
      </c>
      <c r="N884">
        <v>15000</v>
      </c>
      <c r="O884">
        <v>47300</v>
      </c>
      <c r="P884" t="s">
        <v>29</v>
      </c>
      <c r="Q884" t="s">
        <v>2357</v>
      </c>
      <c r="R884" t="s">
        <v>30</v>
      </c>
      <c r="S884">
        <v>4</v>
      </c>
      <c r="T884" t="s">
        <v>37</v>
      </c>
      <c r="U884" t="s">
        <v>2406</v>
      </c>
      <c r="V884">
        <v>2025</v>
      </c>
      <c r="W884">
        <v>6</v>
      </c>
    </row>
    <row r="885" spans="1:23" x14ac:dyDescent="0.25">
      <c r="A885" t="s">
        <v>1830</v>
      </c>
      <c r="B885">
        <v>45822.294039351851</v>
      </c>
      <c r="C885" t="s">
        <v>508</v>
      </c>
      <c r="D885" t="s">
        <v>20</v>
      </c>
      <c r="E885" t="s">
        <v>186</v>
      </c>
      <c r="F885" t="s">
        <v>2398</v>
      </c>
      <c r="G885" t="s">
        <v>2377</v>
      </c>
      <c r="H885">
        <v>45000</v>
      </c>
      <c r="I885">
        <v>3</v>
      </c>
      <c r="J885">
        <v>15</v>
      </c>
      <c r="K885">
        <v>135000</v>
      </c>
      <c r="L885">
        <v>20250</v>
      </c>
      <c r="M885">
        <v>114750</v>
      </c>
      <c r="N885">
        <v>0</v>
      </c>
      <c r="O885">
        <v>114750</v>
      </c>
      <c r="P885" t="s">
        <v>29</v>
      </c>
      <c r="Q885" t="s">
        <v>2357</v>
      </c>
      <c r="R885" t="s">
        <v>30</v>
      </c>
      <c r="S885">
        <v>4</v>
      </c>
      <c r="T885" t="s">
        <v>37</v>
      </c>
      <c r="U885" t="s">
        <v>2406</v>
      </c>
      <c r="V885">
        <v>2025</v>
      </c>
      <c r="W885">
        <v>6</v>
      </c>
    </row>
    <row r="886" spans="1:23" x14ac:dyDescent="0.25">
      <c r="A886" t="s">
        <v>1831</v>
      </c>
      <c r="B886">
        <v>45822.71671296296</v>
      </c>
      <c r="C886" t="s">
        <v>416</v>
      </c>
      <c r="D886" t="s">
        <v>131</v>
      </c>
      <c r="E886" t="s">
        <v>93</v>
      </c>
      <c r="F886" t="s">
        <v>2399</v>
      </c>
      <c r="G886" t="s">
        <v>2378</v>
      </c>
      <c r="H886">
        <v>25000</v>
      </c>
      <c r="I886">
        <v>5</v>
      </c>
      <c r="J886">
        <v>10</v>
      </c>
      <c r="K886">
        <v>125000</v>
      </c>
      <c r="L886">
        <v>12500</v>
      </c>
      <c r="M886">
        <v>112500</v>
      </c>
      <c r="N886">
        <v>59000</v>
      </c>
      <c r="O886">
        <v>171500</v>
      </c>
      <c r="P886" t="s">
        <v>63</v>
      </c>
      <c r="Q886" t="s">
        <v>2356</v>
      </c>
      <c r="R886" t="s">
        <v>36</v>
      </c>
      <c r="S886">
        <v>5</v>
      </c>
      <c r="T886" t="s">
        <v>24</v>
      </c>
      <c r="U886" t="s">
        <v>2406</v>
      </c>
      <c r="V886">
        <v>2025</v>
      </c>
      <c r="W886">
        <v>6</v>
      </c>
    </row>
    <row r="887" spans="1:23" x14ac:dyDescent="0.25">
      <c r="A887" t="s">
        <v>1832</v>
      </c>
      <c r="B887">
        <v>45823.010370370372</v>
      </c>
      <c r="C887" t="s">
        <v>194</v>
      </c>
      <c r="D887" t="s">
        <v>195</v>
      </c>
      <c r="E887" t="s">
        <v>93</v>
      </c>
      <c r="F887" t="s">
        <v>2399</v>
      </c>
      <c r="G887" t="s">
        <v>2378</v>
      </c>
      <c r="H887">
        <v>25000</v>
      </c>
      <c r="I887">
        <v>1</v>
      </c>
      <c r="J887">
        <v>0</v>
      </c>
      <c r="K887">
        <v>25000</v>
      </c>
      <c r="L887">
        <v>0</v>
      </c>
      <c r="M887">
        <v>25000</v>
      </c>
      <c r="N887">
        <v>87000</v>
      </c>
      <c r="O887">
        <v>112000</v>
      </c>
      <c r="P887" t="s">
        <v>22</v>
      </c>
      <c r="Q887" t="s">
        <v>2357</v>
      </c>
      <c r="R887" t="s">
        <v>46</v>
      </c>
      <c r="S887">
        <v>1</v>
      </c>
      <c r="T887" t="s">
        <v>24</v>
      </c>
      <c r="U887" t="s">
        <v>2406</v>
      </c>
      <c r="V887">
        <v>2025</v>
      </c>
      <c r="W887">
        <v>6</v>
      </c>
    </row>
    <row r="888" spans="1:23" x14ac:dyDescent="0.25">
      <c r="A888" t="s">
        <v>1833</v>
      </c>
      <c r="B888">
        <v>45823.082731481481</v>
      </c>
      <c r="C888" t="s">
        <v>398</v>
      </c>
      <c r="D888" t="s">
        <v>182</v>
      </c>
      <c r="E888" t="s">
        <v>190</v>
      </c>
      <c r="F888" t="s">
        <v>2392</v>
      </c>
      <c r="G888" t="s">
        <v>2378</v>
      </c>
      <c r="H888">
        <v>35000</v>
      </c>
      <c r="I888">
        <v>3</v>
      </c>
      <c r="J888">
        <v>10</v>
      </c>
      <c r="K888">
        <v>105000</v>
      </c>
      <c r="L888">
        <v>10500</v>
      </c>
      <c r="M888">
        <v>94500</v>
      </c>
      <c r="N888">
        <v>48000</v>
      </c>
      <c r="O888">
        <v>142500</v>
      </c>
      <c r="P888" t="s">
        <v>22</v>
      </c>
      <c r="Q888" t="s">
        <v>2357</v>
      </c>
      <c r="R888" t="s">
        <v>30</v>
      </c>
      <c r="S888">
        <v>4</v>
      </c>
      <c r="T888" t="s">
        <v>24</v>
      </c>
      <c r="U888" t="s">
        <v>2406</v>
      </c>
      <c r="V888">
        <v>2025</v>
      </c>
      <c r="W888">
        <v>6</v>
      </c>
    </row>
    <row r="889" spans="1:23" x14ac:dyDescent="0.25">
      <c r="A889" t="s">
        <v>1834</v>
      </c>
      <c r="B889">
        <v>45823.111273148148</v>
      </c>
      <c r="C889" t="s">
        <v>446</v>
      </c>
      <c r="D889" t="s">
        <v>296</v>
      </c>
      <c r="E889" t="s">
        <v>144</v>
      </c>
      <c r="F889" t="s">
        <v>2396</v>
      </c>
      <c r="G889" t="s">
        <v>2379</v>
      </c>
      <c r="H889">
        <v>18000</v>
      </c>
      <c r="I889">
        <v>1</v>
      </c>
      <c r="J889">
        <v>0</v>
      </c>
      <c r="K889">
        <v>18000</v>
      </c>
      <c r="L889">
        <v>0</v>
      </c>
      <c r="M889">
        <v>18000</v>
      </c>
      <c r="N889">
        <v>79000</v>
      </c>
      <c r="O889">
        <v>97000</v>
      </c>
      <c r="P889" t="s">
        <v>63</v>
      </c>
      <c r="Q889" t="s">
        <v>2357</v>
      </c>
      <c r="R889" t="s">
        <v>23</v>
      </c>
      <c r="S889">
        <v>3</v>
      </c>
      <c r="T889" t="s">
        <v>37</v>
      </c>
      <c r="U889" t="s">
        <v>2406</v>
      </c>
      <c r="V889">
        <v>2025</v>
      </c>
      <c r="W889">
        <v>6</v>
      </c>
    </row>
    <row r="890" spans="1:23" x14ac:dyDescent="0.25">
      <c r="A890" t="s">
        <v>1835</v>
      </c>
      <c r="B890">
        <v>45823.283379629633</v>
      </c>
      <c r="C890" t="s">
        <v>437</v>
      </c>
      <c r="D890" t="s">
        <v>375</v>
      </c>
      <c r="E890" t="s">
        <v>136</v>
      </c>
      <c r="F890" t="s">
        <v>2400</v>
      </c>
      <c r="G890" t="s">
        <v>2378</v>
      </c>
      <c r="H890">
        <v>12000</v>
      </c>
      <c r="I890">
        <v>3</v>
      </c>
      <c r="J890">
        <v>10</v>
      </c>
      <c r="K890">
        <v>36000</v>
      </c>
      <c r="L890">
        <v>3600</v>
      </c>
      <c r="M890">
        <v>32400</v>
      </c>
      <c r="N890">
        <v>21000</v>
      </c>
      <c r="O890">
        <v>53400</v>
      </c>
      <c r="P890" t="s">
        <v>63</v>
      </c>
      <c r="Q890" t="s">
        <v>2357</v>
      </c>
      <c r="R890" t="s">
        <v>82</v>
      </c>
      <c r="S890">
        <v>5</v>
      </c>
      <c r="T890" t="s">
        <v>24</v>
      </c>
      <c r="U890" t="s">
        <v>2406</v>
      </c>
      <c r="V890">
        <v>2025</v>
      </c>
      <c r="W890">
        <v>6</v>
      </c>
    </row>
    <row r="891" spans="1:23" x14ac:dyDescent="0.25">
      <c r="A891" t="s">
        <v>1836</v>
      </c>
      <c r="B891">
        <v>45823.440046296288</v>
      </c>
      <c r="C891" t="s">
        <v>1311</v>
      </c>
      <c r="D891" t="s">
        <v>49</v>
      </c>
      <c r="E891" t="s">
        <v>136</v>
      </c>
      <c r="F891" t="s">
        <v>2400</v>
      </c>
      <c r="G891" t="s">
        <v>2378</v>
      </c>
      <c r="H891">
        <v>12000</v>
      </c>
      <c r="I891">
        <v>3</v>
      </c>
      <c r="J891">
        <v>10</v>
      </c>
      <c r="K891">
        <v>36000</v>
      </c>
      <c r="L891">
        <v>3600</v>
      </c>
      <c r="M891">
        <v>32400</v>
      </c>
      <c r="N891">
        <v>43000</v>
      </c>
      <c r="O891">
        <v>75400</v>
      </c>
      <c r="P891" t="s">
        <v>35</v>
      </c>
      <c r="Q891" t="s">
        <v>2357</v>
      </c>
      <c r="R891" t="s">
        <v>82</v>
      </c>
      <c r="S891">
        <v>4</v>
      </c>
      <c r="T891" t="s">
        <v>24</v>
      </c>
      <c r="U891" t="s">
        <v>2406</v>
      </c>
      <c r="V891">
        <v>2025</v>
      </c>
      <c r="W891">
        <v>6</v>
      </c>
    </row>
    <row r="892" spans="1:23" x14ac:dyDescent="0.25">
      <c r="A892" t="s">
        <v>1837</v>
      </c>
      <c r="B892">
        <v>45823.496724537043</v>
      </c>
      <c r="C892" t="s">
        <v>851</v>
      </c>
      <c r="D892" t="s">
        <v>66</v>
      </c>
      <c r="E892" t="s">
        <v>75</v>
      </c>
      <c r="F892" t="s">
        <v>2398</v>
      </c>
      <c r="G892" t="s">
        <v>2379</v>
      </c>
      <c r="H892">
        <v>55000</v>
      </c>
      <c r="I892">
        <v>4</v>
      </c>
      <c r="J892">
        <v>5</v>
      </c>
      <c r="K892">
        <v>220000</v>
      </c>
      <c r="L892">
        <v>11000</v>
      </c>
      <c r="M892">
        <v>209000</v>
      </c>
      <c r="N892">
        <v>59000</v>
      </c>
      <c r="O892">
        <v>268000</v>
      </c>
      <c r="P892" t="s">
        <v>63</v>
      </c>
      <c r="Q892" t="s">
        <v>2359</v>
      </c>
      <c r="R892" t="s">
        <v>46</v>
      </c>
      <c r="S892">
        <v>4</v>
      </c>
      <c r="T892" t="s">
        <v>37</v>
      </c>
      <c r="U892" t="s">
        <v>2406</v>
      </c>
      <c r="V892">
        <v>2025</v>
      </c>
      <c r="W892">
        <v>6</v>
      </c>
    </row>
    <row r="893" spans="1:23" x14ac:dyDescent="0.25">
      <c r="A893" t="s">
        <v>1838</v>
      </c>
      <c r="B893">
        <v>45823.572916666657</v>
      </c>
      <c r="C893" t="s">
        <v>488</v>
      </c>
      <c r="D893" t="s">
        <v>49</v>
      </c>
      <c r="E893" t="s">
        <v>58</v>
      </c>
      <c r="F893" t="s">
        <v>2396</v>
      </c>
      <c r="G893" t="s">
        <v>2377</v>
      </c>
      <c r="H893">
        <v>16000</v>
      </c>
      <c r="I893">
        <v>5</v>
      </c>
      <c r="J893">
        <v>15</v>
      </c>
      <c r="K893">
        <v>80000</v>
      </c>
      <c r="L893">
        <v>12000</v>
      </c>
      <c r="M893">
        <v>68000</v>
      </c>
      <c r="N893">
        <v>43000</v>
      </c>
      <c r="O893">
        <v>111000</v>
      </c>
      <c r="P893" t="s">
        <v>35</v>
      </c>
      <c r="Q893" t="s">
        <v>2356</v>
      </c>
      <c r="R893" t="s">
        <v>46</v>
      </c>
      <c r="S893">
        <v>4</v>
      </c>
      <c r="T893" t="s">
        <v>24</v>
      </c>
      <c r="U893" t="s">
        <v>2406</v>
      </c>
      <c r="V893">
        <v>2025</v>
      </c>
      <c r="W893">
        <v>6</v>
      </c>
    </row>
    <row r="894" spans="1:23" x14ac:dyDescent="0.25">
      <c r="A894" t="s">
        <v>1839</v>
      </c>
      <c r="B894">
        <v>45823.580659722233</v>
      </c>
      <c r="C894" t="s">
        <v>644</v>
      </c>
      <c r="D894" t="s">
        <v>244</v>
      </c>
      <c r="E894" t="s">
        <v>38</v>
      </c>
      <c r="F894" t="s">
        <v>2399</v>
      </c>
      <c r="G894" t="s">
        <v>2379</v>
      </c>
      <c r="H894">
        <v>28000</v>
      </c>
      <c r="I894">
        <v>2</v>
      </c>
      <c r="J894">
        <v>15</v>
      </c>
      <c r="K894">
        <v>56000</v>
      </c>
      <c r="L894">
        <v>8400</v>
      </c>
      <c r="M894">
        <v>47600</v>
      </c>
      <c r="N894">
        <v>80000</v>
      </c>
      <c r="O894">
        <v>127600</v>
      </c>
      <c r="P894" t="s">
        <v>63</v>
      </c>
      <c r="Q894" t="s">
        <v>2357</v>
      </c>
      <c r="R894" t="s">
        <v>23</v>
      </c>
      <c r="S894">
        <v>1</v>
      </c>
      <c r="T894" t="s">
        <v>24</v>
      </c>
      <c r="U894" t="s">
        <v>2406</v>
      </c>
      <c r="V894">
        <v>2025</v>
      </c>
      <c r="W894">
        <v>6</v>
      </c>
    </row>
    <row r="895" spans="1:23" x14ac:dyDescent="0.25">
      <c r="A895" t="s">
        <v>1840</v>
      </c>
      <c r="B895">
        <v>45824.059537037043</v>
      </c>
      <c r="C895" t="s">
        <v>121</v>
      </c>
      <c r="D895" t="s">
        <v>122</v>
      </c>
      <c r="E895" t="s">
        <v>28</v>
      </c>
      <c r="F895" t="s">
        <v>2395</v>
      </c>
      <c r="G895" t="s">
        <v>2378</v>
      </c>
      <c r="H895">
        <v>5000</v>
      </c>
      <c r="I895">
        <v>1</v>
      </c>
      <c r="J895">
        <v>20</v>
      </c>
      <c r="K895">
        <v>5000</v>
      </c>
      <c r="L895">
        <v>1000</v>
      </c>
      <c r="M895">
        <v>4000</v>
      </c>
      <c r="N895">
        <v>78000</v>
      </c>
      <c r="O895">
        <v>82000</v>
      </c>
      <c r="P895" t="s">
        <v>29</v>
      </c>
      <c r="Q895" t="s">
        <v>2357</v>
      </c>
      <c r="R895" t="s">
        <v>36</v>
      </c>
      <c r="S895">
        <v>1</v>
      </c>
      <c r="T895" t="s">
        <v>24</v>
      </c>
      <c r="U895" t="s">
        <v>2406</v>
      </c>
      <c r="V895">
        <v>2025</v>
      </c>
      <c r="W895">
        <v>6</v>
      </c>
    </row>
    <row r="896" spans="1:23" x14ac:dyDescent="0.25">
      <c r="A896" t="s">
        <v>1841</v>
      </c>
      <c r="B896">
        <v>45824.182256944441</v>
      </c>
      <c r="C896" t="s">
        <v>220</v>
      </c>
      <c r="D896" t="s">
        <v>53</v>
      </c>
      <c r="E896" t="s">
        <v>88</v>
      </c>
      <c r="F896" t="s">
        <v>2393</v>
      </c>
      <c r="G896" t="s">
        <v>2377</v>
      </c>
      <c r="H896">
        <v>14000</v>
      </c>
      <c r="I896">
        <v>2</v>
      </c>
      <c r="J896">
        <v>5</v>
      </c>
      <c r="K896">
        <v>28000</v>
      </c>
      <c r="L896">
        <v>1400</v>
      </c>
      <c r="M896">
        <v>26600</v>
      </c>
      <c r="N896">
        <v>18000</v>
      </c>
      <c r="O896">
        <v>44600</v>
      </c>
      <c r="P896" t="s">
        <v>22</v>
      </c>
      <c r="Q896" t="s">
        <v>2357</v>
      </c>
      <c r="R896" t="s">
        <v>23</v>
      </c>
      <c r="S896">
        <v>1</v>
      </c>
      <c r="T896" t="s">
        <v>24</v>
      </c>
      <c r="U896" t="s">
        <v>2406</v>
      </c>
      <c r="V896">
        <v>2025</v>
      </c>
      <c r="W896">
        <v>6</v>
      </c>
    </row>
    <row r="897" spans="1:23" x14ac:dyDescent="0.25">
      <c r="A897" t="s">
        <v>1842</v>
      </c>
      <c r="B897">
        <v>45824.325555555559</v>
      </c>
      <c r="C897" t="s">
        <v>416</v>
      </c>
      <c r="D897" t="s">
        <v>131</v>
      </c>
      <c r="E897" t="s">
        <v>138</v>
      </c>
      <c r="F897" t="s">
        <v>2396</v>
      </c>
      <c r="G897" t="s">
        <v>2378</v>
      </c>
      <c r="H897">
        <v>17000</v>
      </c>
      <c r="I897">
        <v>2</v>
      </c>
      <c r="J897">
        <v>20</v>
      </c>
      <c r="K897">
        <v>34000</v>
      </c>
      <c r="L897">
        <v>6800</v>
      </c>
      <c r="M897">
        <v>27200</v>
      </c>
      <c r="N897">
        <v>59000</v>
      </c>
      <c r="O897">
        <v>86200</v>
      </c>
      <c r="P897" t="s">
        <v>63</v>
      </c>
      <c r="Q897" t="s">
        <v>2357</v>
      </c>
      <c r="R897" t="s">
        <v>36</v>
      </c>
      <c r="S897">
        <v>5</v>
      </c>
      <c r="T897" t="s">
        <v>24</v>
      </c>
      <c r="U897" t="s">
        <v>2406</v>
      </c>
      <c r="V897">
        <v>2025</v>
      </c>
      <c r="W897">
        <v>6</v>
      </c>
    </row>
    <row r="898" spans="1:23" x14ac:dyDescent="0.25">
      <c r="A898" t="s">
        <v>1843</v>
      </c>
      <c r="B898">
        <v>45824.400405092587</v>
      </c>
      <c r="C898" t="s">
        <v>412</v>
      </c>
      <c r="D898" t="s">
        <v>70</v>
      </c>
      <c r="E898" t="s">
        <v>75</v>
      </c>
      <c r="F898" t="s">
        <v>2398</v>
      </c>
      <c r="G898" t="s">
        <v>2379</v>
      </c>
      <c r="H898">
        <v>55000</v>
      </c>
      <c r="I898">
        <v>3</v>
      </c>
      <c r="J898">
        <v>5</v>
      </c>
      <c r="K898">
        <v>165000</v>
      </c>
      <c r="L898">
        <v>8250</v>
      </c>
      <c r="M898">
        <v>156750</v>
      </c>
      <c r="N898">
        <v>89000</v>
      </c>
      <c r="O898">
        <v>245750</v>
      </c>
      <c r="P898" t="s">
        <v>35</v>
      </c>
      <c r="Q898" t="s">
        <v>2357</v>
      </c>
      <c r="R898" t="s">
        <v>30</v>
      </c>
      <c r="S898">
        <v>3</v>
      </c>
      <c r="T898" t="s">
        <v>24</v>
      </c>
      <c r="U898" t="s">
        <v>2406</v>
      </c>
      <c r="V898">
        <v>2025</v>
      </c>
      <c r="W898">
        <v>6</v>
      </c>
    </row>
    <row r="899" spans="1:23" x14ac:dyDescent="0.25">
      <c r="A899" t="s">
        <v>1844</v>
      </c>
      <c r="B899">
        <v>45824.791226851848</v>
      </c>
      <c r="C899" t="s">
        <v>1321</v>
      </c>
      <c r="D899" t="s">
        <v>113</v>
      </c>
      <c r="E899" t="s">
        <v>93</v>
      </c>
      <c r="F899" t="s">
        <v>2399</v>
      </c>
      <c r="G899" t="s">
        <v>2378</v>
      </c>
      <c r="H899">
        <v>25000</v>
      </c>
      <c r="I899">
        <v>4</v>
      </c>
      <c r="J899">
        <v>10</v>
      </c>
      <c r="K899">
        <v>100000</v>
      </c>
      <c r="L899">
        <v>10000</v>
      </c>
      <c r="M899">
        <v>90000</v>
      </c>
      <c r="N899">
        <v>18000</v>
      </c>
      <c r="O899">
        <v>108000</v>
      </c>
      <c r="P899" t="s">
        <v>29</v>
      </c>
      <c r="Q899" t="s">
        <v>2357</v>
      </c>
      <c r="R899" t="s">
        <v>46</v>
      </c>
      <c r="S899">
        <v>5</v>
      </c>
      <c r="T899" t="s">
        <v>24</v>
      </c>
      <c r="U899" t="s">
        <v>2406</v>
      </c>
      <c r="V899">
        <v>2025</v>
      </c>
      <c r="W899">
        <v>6</v>
      </c>
    </row>
    <row r="900" spans="1:23" x14ac:dyDescent="0.25">
      <c r="A900" t="s">
        <v>1845</v>
      </c>
      <c r="B900">
        <v>45824.819444444453</v>
      </c>
      <c r="C900" t="s">
        <v>410</v>
      </c>
      <c r="D900" t="s">
        <v>151</v>
      </c>
      <c r="E900" t="s">
        <v>186</v>
      </c>
      <c r="F900" t="s">
        <v>2398</v>
      </c>
      <c r="G900" t="s">
        <v>2377</v>
      </c>
      <c r="H900">
        <v>45000</v>
      </c>
      <c r="I900">
        <v>3</v>
      </c>
      <c r="J900">
        <v>10</v>
      </c>
      <c r="K900">
        <v>135000</v>
      </c>
      <c r="L900">
        <v>13500</v>
      </c>
      <c r="M900">
        <v>121500</v>
      </c>
      <c r="N900">
        <v>55000</v>
      </c>
      <c r="O900">
        <v>176500</v>
      </c>
      <c r="P900" t="s">
        <v>35</v>
      </c>
      <c r="Q900" t="s">
        <v>2357</v>
      </c>
      <c r="R900" t="s">
        <v>36</v>
      </c>
      <c r="S900">
        <v>1</v>
      </c>
      <c r="T900" t="s">
        <v>24</v>
      </c>
      <c r="U900" t="s">
        <v>2406</v>
      </c>
      <c r="V900">
        <v>2025</v>
      </c>
      <c r="W900">
        <v>6</v>
      </c>
    </row>
    <row r="901" spans="1:23" x14ac:dyDescent="0.25">
      <c r="A901" t="s">
        <v>1846</v>
      </c>
      <c r="B901">
        <v>45824.867627314823</v>
      </c>
      <c r="C901" t="s">
        <v>252</v>
      </c>
      <c r="D901" t="s">
        <v>131</v>
      </c>
      <c r="E901" t="s">
        <v>110</v>
      </c>
      <c r="F901" t="s">
        <v>2395</v>
      </c>
      <c r="G901" t="s">
        <v>2379</v>
      </c>
      <c r="H901">
        <v>6000</v>
      </c>
      <c r="I901">
        <v>4</v>
      </c>
      <c r="J901">
        <v>10</v>
      </c>
      <c r="K901">
        <v>24000</v>
      </c>
      <c r="L901">
        <v>2400</v>
      </c>
      <c r="M901">
        <v>21600</v>
      </c>
      <c r="N901">
        <v>59000</v>
      </c>
      <c r="O901">
        <v>80600</v>
      </c>
      <c r="P901" t="s">
        <v>63</v>
      </c>
      <c r="Q901" t="s">
        <v>2356</v>
      </c>
      <c r="R901" t="s">
        <v>36</v>
      </c>
      <c r="S901">
        <v>4</v>
      </c>
      <c r="T901" t="s">
        <v>24</v>
      </c>
      <c r="U901" t="s">
        <v>2406</v>
      </c>
      <c r="V901">
        <v>2025</v>
      </c>
      <c r="W901">
        <v>6</v>
      </c>
    </row>
    <row r="902" spans="1:23" x14ac:dyDescent="0.25">
      <c r="A902" t="s">
        <v>1847</v>
      </c>
      <c r="B902">
        <v>45824.869571759264</v>
      </c>
      <c r="C902" t="s">
        <v>87</v>
      </c>
      <c r="D902" t="s">
        <v>80</v>
      </c>
      <c r="E902" t="s">
        <v>250</v>
      </c>
      <c r="F902" t="s">
        <v>2397</v>
      </c>
      <c r="G902" t="s">
        <v>2379</v>
      </c>
      <c r="H902">
        <v>18000</v>
      </c>
      <c r="I902">
        <v>1</v>
      </c>
      <c r="J902">
        <v>15</v>
      </c>
      <c r="K902">
        <v>18000</v>
      </c>
      <c r="L902">
        <v>2700</v>
      </c>
      <c r="M902">
        <v>15300</v>
      </c>
      <c r="N902">
        <v>74000</v>
      </c>
      <c r="O902">
        <v>89300</v>
      </c>
      <c r="P902" t="s">
        <v>29</v>
      </c>
      <c r="Q902" t="s">
        <v>2356</v>
      </c>
      <c r="R902" t="s">
        <v>46</v>
      </c>
      <c r="S902">
        <v>2</v>
      </c>
      <c r="T902" t="s">
        <v>24</v>
      </c>
      <c r="U902" t="s">
        <v>2406</v>
      </c>
      <c r="V902">
        <v>2025</v>
      </c>
      <c r="W902">
        <v>6</v>
      </c>
    </row>
    <row r="903" spans="1:23" x14ac:dyDescent="0.25">
      <c r="A903" t="s">
        <v>1848</v>
      </c>
      <c r="B903">
        <v>45824.939189814817</v>
      </c>
      <c r="C903" t="s">
        <v>1849</v>
      </c>
      <c r="D903" t="s">
        <v>238</v>
      </c>
      <c r="E903" t="s">
        <v>85</v>
      </c>
      <c r="F903" t="s">
        <v>2394</v>
      </c>
      <c r="G903" t="s">
        <v>2377</v>
      </c>
      <c r="H903">
        <v>35000</v>
      </c>
      <c r="I903">
        <v>5</v>
      </c>
      <c r="J903">
        <v>5</v>
      </c>
      <c r="K903">
        <v>175000</v>
      </c>
      <c r="L903">
        <v>8750</v>
      </c>
      <c r="M903">
        <v>166250</v>
      </c>
      <c r="N903">
        <v>28000</v>
      </c>
      <c r="O903">
        <v>194250</v>
      </c>
      <c r="P903" t="s">
        <v>63</v>
      </c>
      <c r="Q903" t="s">
        <v>2357</v>
      </c>
      <c r="R903" t="s">
        <v>30</v>
      </c>
      <c r="S903">
        <v>5</v>
      </c>
      <c r="T903" t="s">
        <v>24</v>
      </c>
      <c r="U903" t="s">
        <v>2406</v>
      </c>
      <c r="V903">
        <v>2025</v>
      </c>
      <c r="W903">
        <v>6</v>
      </c>
    </row>
    <row r="904" spans="1:23" x14ac:dyDescent="0.25">
      <c r="A904" t="s">
        <v>1850</v>
      </c>
      <c r="B904">
        <v>45825.124027777783</v>
      </c>
      <c r="C904" t="s">
        <v>431</v>
      </c>
      <c r="D904" t="s">
        <v>33</v>
      </c>
      <c r="E904" t="s">
        <v>67</v>
      </c>
      <c r="F904" t="s">
        <v>2393</v>
      </c>
      <c r="G904" t="s">
        <v>2378</v>
      </c>
      <c r="H904">
        <v>15000</v>
      </c>
      <c r="I904">
        <v>4</v>
      </c>
      <c r="J904">
        <v>5</v>
      </c>
      <c r="K904">
        <v>60000</v>
      </c>
      <c r="L904">
        <v>3000</v>
      </c>
      <c r="M904">
        <v>57000</v>
      </c>
      <c r="N904">
        <v>76000</v>
      </c>
      <c r="O904">
        <v>133000</v>
      </c>
      <c r="P904" t="s">
        <v>22</v>
      </c>
      <c r="Q904" t="s">
        <v>2357</v>
      </c>
      <c r="R904" t="s">
        <v>82</v>
      </c>
      <c r="S904">
        <v>5</v>
      </c>
      <c r="T904" t="s">
        <v>24</v>
      </c>
      <c r="U904" t="s">
        <v>2406</v>
      </c>
      <c r="V904">
        <v>2025</v>
      </c>
      <c r="W904">
        <v>6</v>
      </c>
    </row>
    <row r="905" spans="1:23" x14ac:dyDescent="0.25">
      <c r="A905" t="s">
        <v>1850</v>
      </c>
      <c r="B905">
        <v>45825.124027777783</v>
      </c>
      <c r="C905" t="s">
        <v>431</v>
      </c>
      <c r="D905" t="s">
        <v>33</v>
      </c>
      <c r="E905" t="s">
        <v>45</v>
      </c>
      <c r="F905" t="s">
        <v>2394</v>
      </c>
      <c r="G905" t="s">
        <v>2378</v>
      </c>
      <c r="H905">
        <v>40000</v>
      </c>
      <c r="I905">
        <v>5</v>
      </c>
      <c r="J905">
        <v>10</v>
      </c>
      <c r="K905">
        <v>200000</v>
      </c>
      <c r="L905">
        <v>20000</v>
      </c>
      <c r="M905">
        <v>180000</v>
      </c>
      <c r="N905">
        <v>0</v>
      </c>
      <c r="O905">
        <v>180000</v>
      </c>
      <c r="P905" t="s">
        <v>22</v>
      </c>
      <c r="Q905" t="s">
        <v>2357</v>
      </c>
      <c r="R905" t="s">
        <v>82</v>
      </c>
      <c r="S905">
        <v>5</v>
      </c>
      <c r="T905" t="s">
        <v>24</v>
      </c>
      <c r="U905" t="s">
        <v>2406</v>
      </c>
      <c r="V905">
        <v>2025</v>
      </c>
      <c r="W905">
        <v>6</v>
      </c>
    </row>
    <row r="906" spans="1:23" x14ac:dyDescent="0.25">
      <c r="A906" t="s">
        <v>1851</v>
      </c>
      <c r="B906">
        <v>45825.14534722222</v>
      </c>
      <c r="C906" t="s">
        <v>827</v>
      </c>
      <c r="D906" t="s">
        <v>20</v>
      </c>
      <c r="E906" t="s">
        <v>136</v>
      </c>
      <c r="F906" t="s">
        <v>2400</v>
      </c>
      <c r="G906" t="s">
        <v>2378</v>
      </c>
      <c r="H906">
        <v>12000</v>
      </c>
      <c r="I906">
        <v>5</v>
      </c>
      <c r="J906">
        <v>20</v>
      </c>
      <c r="K906">
        <v>60000</v>
      </c>
      <c r="L906">
        <v>12000</v>
      </c>
      <c r="M906">
        <v>48000</v>
      </c>
      <c r="N906">
        <v>15000</v>
      </c>
      <c r="O906">
        <v>63000</v>
      </c>
      <c r="P906" t="s">
        <v>35</v>
      </c>
      <c r="Q906" t="s">
        <v>2357</v>
      </c>
      <c r="R906" t="s">
        <v>36</v>
      </c>
      <c r="S906">
        <v>3</v>
      </c>
      <c r="T906" t="s">
        <v>24</v>
      </c>
      <c r="U906" t="s">
        <v>2406</v>
      </c>
      <c r="V906">
        <v>2025</v>
      </c>
      <c r="W906">
        <v>6</v>
      </c>
    </row>
    <row r="907" spans="1:23" x14ac:dyDescent="0.25">
      <c r="A907" t="s">
        <v>1852</v>
      </c>
      <c r="B907">
        <v>45825.189467592587</v>
      </c>
      <c r="C907" t="s">
        <v>455</v>
      </c>
      <c r="D907" t="s">
        <v>33</v>
      </c>
      <c r="E907" t="s">
        <v>54</v>
      </c>
      <c r="F907" t="s">
        <v>2393</v>
      </c>
      <c r="G907" t="s">
        <v>2379</v>
      </c>
      <c r="H907">
        <v>16000</v>
      </c>
      <c r="I907">
        <v>5</v>
      </c>
      <c r="J907">
        <v>20</v>
      </c>
      <c r="K907">
        <v>80000</v>
      </c>
      <c r="L907">
        <v>16000</v>
      </c>
      <c r="M907">
        <v>64000</v>
      </c>
      <c r="N907">
        <v>76000</v>
      </c>
      <c r="O907">
        <v>140000</v>
      </c>
      <c r="P907" t="s">
        <v>29</v>
      </c>
      <c r="Q907" t="s">
        <v>2357</v>
      </c>
      <c r="R907" t="s">
        <v>23</v>
      </c>
      <c r="S907">
        <v>5</v>
      </c>
      <c r="T907" t="s">
        <v>24</v>
      </c>
      <c r="U907" t="s">
        <v>2406</v>
      </c>
      <c r="V907">
        <v>2025</v>
      </c>
      <c r="W907">
        <v>6</v>
      </c>
    </row>
    <row r="908" spans="1:23" x14ac:dyDescent="0.25">
      <c r="A908" t="s">
        <v>1853</v>
      </c>
      <c r="B908">
        <v>45825.263229166667</v>
      </c>
      <c r="C908" t="s">
        <v>1130</v>
      </c>
      <c r="D908" t="s">
        <v>122</v>
      </c>
      <c r="E908" t="s">
        <v>71</v>
      </c>
      <c r="F908" t="s">
        <v>2392</v>
      </c>
      <c r="G908" t="s">
        <v>2379</v>
      </c>
      <c r="H908">
        <v>40000</v>
      </c>
      <c r="I908">
        <v>5</v>
      </c>
      <c r="J908">
        <v>20</v>
      </c>
      <c r="K908">
        <v>200000</v>
      </c>
      <c r="L908">
        <v>40000</v>
      </c>
      <c r="M908">
        <v>160000</v>
      </c>
      <c r="N908">
        <v>78000</v>
      </c>
      <c r="O908">
        <v>238000</v>
      </c>
      <c r="P908" t="s">
        <v>63</v>
      </c>
      <c r="Q908" t="s">
        <v>2357</v>
      </c>
      <c r="R908" t="s">
        <v>46</v>
      </c>
      <c r="S908">
        <v>3</v>
      </c>
      <c r="T908" t="s">
        <v>24</v>
      </c>
      <c r="U908" t="s">
        <v>2406</v>
      </c>
      <c r="V908">
        <v>2025</v>
      </c>
      <c r="W908">
        <v>6</v>
      </c>
    </row>
    <row r="909" spans="1:23" x14ac:dyDescent="0.25">
      <c r="A909" t="s">
        <v>1854</v>
      </c>
      <c r="B909">
        <v>45825.270729166667</v>
      </c>
      <c r="C909" t="s">
        <v>377</v>
      </c>
      <c r="D909" t="s">
        <v>182</v>
      </c>
      <c r="E909" t="s">
        <v>93</v>
      </c>
      <c r="F909" t="s">
        <v>2399</v>
      </c>
      <c r="G909" t="s">
        <v>2378</v>
      </c>
      <c r="H909">
        <v>25000</v>
      </c>
      <c r="I909">
        <v>5</v>
      </c>
      <c r="J909">
        <v>0</v>
      </c>
      <c r="K909">
        <v>125000</v>
      </c>
      <c r="L909">
        <v>0</v>
      </c>
      <c r="M909">
        <v>125000</v>
      </c>
      <c r="N909">
        <v>48000</v>
      </c>
      <c r="O909">
        <v>173000</v>
      </c>
      <c r="P909" t="s">
        <v>63</v>
      </c>
      <c r="Q909" t="s">
        <v>2357</v>
      </c>
      <c r="R909" t="s">
        <v>23</v>
      </c>
      <c r="S909">
        <v>4</v>
      </c>
      <c r="T909" t="s">
        <v>24</v>
      </c>
      <c r="U909" t="s">
        <v>2406</v>
      </c>
      <c r="V909">
        <v>2025</v>
      </c>
      <c r="W909">
        <v>6</v>
      </c>
    </row>
    <row r="910" spans="1:23" x14ac:dyDescent="0.25">
      <c r="A910" t="s">
        <v>1855</v>
      </c>
      <c r="B910">
        <v>45825.375011574077</v>
      </c>
      <c r="C910" t="s">
        <v>1038</v>
      </c>
      <c r="D910" t="s">
        <v>53</v>
      </c>
      <c r="E910" t="s">
        <v>186</v>
      </c>
      <c r="F910" t="s">
        <v>2398</v>
      </c>
      <c r="G910" t="s">
        <v>2377</v>
      </c>
      <c r="H910">
        <v>45000</v>
      </c>
      <c r="I910">
        <v>2</v>
      </c>
      <c r="J910">
        <v>10</v>
      </c>
      <c r="K910">
        <v>90000</v>
      </c>
      <c r="L910">
        <v>9000</v>
      </c>
      <c r="M910">
        <v>81000</v>
      </c>
      <c r="N910">
        <v>18000</v>
      </c>
      <c r="O910">
        <v>99000</v>
      </c>
      <c r="P910" t="s">
        <v>35</v>
      </c>
      <c r="Q910" t="s">
        <v>2357</v>
      </c>
      <c r="R910" t="s">
        <v>46</v>
      </c>
      <c r="S910">
        <v>3</v>
      </c>
      <c r="T910" t="s">
        <v>24</v>
      </c>
      <c r="U910" t="s">
        <v>2406</v>
      </c>
      <c r="V910">
        <v>2025</v>
      </c>
      <c r="W910">
        <v>6</v>
      </c>
    </row>
    <row r="911" spans="1:23" x14ac:dyDescent="0.25">
      <c r="A911" t="s">
        <v>1856</v>
      </c>
      <c r="B911">
        <v>45825.424328703702</v>
      </c>
      <c r="C911" t="s">
        <v>468</v>
      </c>
      <c r="D911" t="s">
        <v>163</v>
      </c>
      <c r="E911" t="s">
        <v>58</v>
      </c>
      <c r="F911" t="s">
        <v>2396</v>
      </c>
      <c r="G911" t="s">
        <v>2377</v>
      </c>
      <c r="H911">
        <v>16000</v>
      </c>
      <c r="I911">
        <v>5</v>
      </c>
      <c r="J911">
        <v>20</v>
      </c>
      <c r="K911">
        <v>80000</v>
      </c>
      <c r="L911">
        <v>16000</v>
      </c>
      <c r="M911">
        <v>64000</v>
      </c>
      <c r="N911">
        <v>50000</v>
      </c>
      <c r="O911">
        <v>114000</v>
      </c>
      <c r="P911" t="s">
        <v>22</v>
      </c>
      <c r="Q911" t="s">
        <v>2357</v>
      </c>
      <c r="R911" t="s">
        <v>30</v>
      </c>
      <c r="S911">
        <v>4</v>
      </c>
      <c r="T911" t="s">
        <v>24</v>
      </c>
      <c r="U911" t="s">
        <v>2406</v>
      </c>
      <c r="V911">
        <v>2025</v>
      </c>
      <c r="W911">
        <v>6</v>
      </c>
    </row>
    <row r="912" spans="1:23" x14ac:dyDescent="0.25">
      <c r="A912" t="s">
        <v>1857</v>
      </c>
      <c r="B912">
        <v>45825.580231481479</v>
      </c>
      <c r="C912" t="s">
        <v>128</v>
      </c>
      <c r="D912" t="s">
        <v>103</v>
      </c>
      <c r="E912" t="s">
        <v>144</v>
      </c>
      <c r="F912" t="s">
        <v>2396</v>
      </c>
      <c r="G912" t="s">
        <v>2379</v>
      </c>
      <c r="H912">
        <v>18000</v>
      </c>
      <c r="I912">
        <v>5</v>
      </c>
      <c r="J912">
        <v>5</v>
      </c>
      <c r="K912">
        <v>90000</v>
      </c>
      <c r="L912">
        <v>4500</v>
      </c>
      <c r="M912">
        <v>85500</v>
      </c>
      <c r="N912">
        <v>85000</v>
      </c>
      <c r="O912">
        <v>170500</v>
      </c>
      <c r="P912" t="s">
        <v>29</v>
      </c>
      <c r="Q912" t="s">
        <v>2356</v>
      </c>
      <c r="R912" t="s">
        <v>23</v>
      </c>
      <c r="S912">
        <v>5</v>
      </c>
      <c r="T912" t="s">
        <v>37</v>
      </c>
      <c r="U912" t="s">
        <v>2406</v>
      </c>
      <c r="V912">
        <v>2025</v>
      </c>
      <c r="W912">
        <v>6</v>
      </c>
    </row>
    <row r="913" spans="1:23" x14ac:dyDescent="0.25">
      <c r="A913" t="s">
        <v>1858</v>
      </c>
      <c r="B913">
        <v>45825.66238425926</v>
      </c>
      <c r="C913" t="s">
        <v>631</v>
      </c>
      <c r="D913" t="s">
        <v>20</v>
      </c>
      <c r="E913" t="s">
        <v>93</v>
      </c>
      <c r="F913" t="s">
        <v>2399</v>
      </c>
      <c r="G913" t="s">
        <v>2378</v>
      </c>
      <c r="H913">
        <v>25000</v>
      </c>
      <c r="I913">
        <v>4</v>
      </c>
      <c r="J913">
        <v>15</v>
      </c>
      <c r="K913">
        <v>100000</v>
      </c>
      <c r="L913">
        <v>15000</v>
      </c>
      <c r="M913">
        <v>85000</v>
      </c>
      <c r="N913">
        <v>15000</v>
      </c>
      <c r="O913">
        <v>100000</v>
      </c>
      <c r="P913" t="s">
        <v>22</v>
      </c>
      <c r="Q913" t="s">
        <v>2357</v>
      </c>
      <c r="R913" t="s">
        <v>23</v>
      </c>
      <c r="S913">
        <v>2</v>
      </c>
      <c r="T913" t="s">
        <v>37</v>
      </c>
      <c r="U913" t="s">
        <v>2406</v>
      </c>
      <c r="V913">
        <v>2025</v>
      </c>
      <c r="W913">
        <v>6</v>
      </c>
    </row>
    <row r="914" spans="1:23" x14ac:dyDescent="0.25">
      <c r="A914" t="s">
        <v>1859</v>
      </c>
      <c r="B914">
        <v>45826.315011574072</v>
      </c>
      <c r="C914" t="s">
        <v>148</v>
      </c>
      <c r="D914" t="s">
        <v>74</v>
      </c>
      <c r="E914" t="s">
        <v>104</v>
      </c>
      <c r="F914" t="s">
        <v>2392</v>
      </c>
      <c r="G914" t="s">
        <v>2377</v>
      </c>
      <c r="H914">
        <v>30000</v>
      </c>
      <c r="I914">
        <v>5</v>
      </c>
      <c r="J914">
        <v>5</v>
      </c>
      <c r="K914">
        <v>150000</v>
      </c>
      <c r="L914">
        <v>7500</v>
      </c>
      <c r="M914">
        <v>142500</v>
      </c>
      <c r="N914">
        <v>87000</v>
      </c>
      <c r="O914">
        <v>229500</v>
      </c>
      <c r="P914" t="s">
        <v>63</v>
      </c>
      <c r="Q914" t="s">
        <v>2357</v>
      </c>
      <c r="R914" t="s">
        <v>30</v>
      </c>
      <c r="S914">
        <v>4</v>
      </c>
      <c r="T914" t="s">
        <v>24</v>
      </c>
      <c r="U914" t="s">
        <v>2406</v>
      </c>
      <c r="V914">
        <v>2025</v>
      </c>
      <c r="W914">
        <v>6</v>
      </c>
    </row>
    <row r="915" spans="1:23" x14ac:dyDescent="0.25">
      <c r="A915" t="s">
        <v>1860</v>
      </c>
      <c r="B915">
        <v>45826.42459490741</v>
      </c>
      <c r="C915" t="s">
        <v>1311</v>
      </c>
      <c r="D915" t="s">
        <v>49</v>
      </c>
      <c r="E915" t="s">
        <v>41</v>
      </c>
      <c r="F915" t="s">
        <v>2395</v>
      </c>
      <c r="G915" t="s">
        <v>2377</v>
      </c>
      <c r="H915">
        <v>4000</v>
      </c>
      <c r="I915">
        <v>5</v>
      </c>
      <c r="J915">
        <v>5</v>
      </c>
      <c r="K915">
        <v>20000</v>
      </c>
      <c r="L915">
        <v>1000</v>
      </c>
      <c r="M915">
        <v>19000</v>
      </c>
      <c r="N915">
        <v>43000</v>
      </c>
      <c r="O915">
        <v>62000</v>
      </c>
      <c r="P915" t="s">
        <v>29</v>
      </c>
      <c r="Q915" t="s">
        <v>2357</v>
      </c>
      <c r="R915" t="s">
        <v>23</v>
      </c>
      <c r="S915">
        <v>3</v>
      </c>
      <c r="T915" t="s">
        <v>24</v>
      </c>
      <c r="U915" t="s">
        <v>2406</v>
      </c>
      <c r="V915">
        <v>2025</v>
      </c>
      <c r="W915">
        <v>6</v>
      </c>
    </row>
    <row r="916" spans="1:23" x14ac:dyDescent="0.25">
      <c r="A916" t="s">
        <v>1861</v>
      </c>
      <c r="B916">
        <v>45826.569467592592</v>
      </c>
      <c r="C916" t="s">
        <v>429</v>
      </c>
      <c r="D916" t="s">
        <v>177</v>
      </c>
      <c r="E916" t="s">
        <v>34</v>
      </c>
      <c r="F916" t="s">
        <v>2397</v>
      </c>
      <c r="G916" t="s">
        <v>2377</v>
      </c>
      <c r="H916">
        <v>16000</v>
      </c>
      <c r="I916">
        <v>2</v>
      </c>
      <c r="J916">
        <v>0</v>
      </c>
      <c r="K916">
        <v>32000</v>
      </c>
      <c r="L916">
        <v>0</v>
      </c>
      <c r="M916">
        <v>32000</v>
      </c>
      <c r="N916">
        <v>56000</v>
      </c>
      <c r="O916">
        <v>88000</v>
      </c>
      <c r="P916" t="s">
        <v>22</v>
      </c>
      <c r="Q916" t="s">
        <v>2357</v>
      </c>
      <c r="R916" t="s">
        <v>36</v>
      </c>
      <c r="S916">
        <v>3</v>
      </c>
      <c r="T916" t="s">
        <v>37</v>
      </c>
      <c r="U916" t="s">
        <v>2406</v>
      </c>
      <c r="V916">
        <v>2025</v>
      </c>
      <c r="W916">
        <v>6</v>
      </c>
    </row>
    <row r="917" spans="1:23" x14ac:dyDescent="0.25">
      <c r="A917" t="s">
        <v>1862</v>
      </c>
      <c r="B917">
        <v>45826.58625</v>
      </c>
      <c r="C917" t="s">
        <v>65</v>
      </c>
      <c r="D917" t="s">
        <v>66</v>
      </c>
      <c r="E917" t="s">
        <v>93</v>
      </c>
      <c r="F917" t="s">
        <v>2399</v>
      </c>
      <c r="G917" t="s">
        <v>2378</v>
      </c>
      <c r="H917">
        <v>25000</v>
      </c>
      <c r="I917">
        <v>4</v>
      </c>
      <c r="J917">
        <v>0</v>
      </c>
      <c r="K917">
        <v>100000</v>
      </c>
      <c r="L917">
        <v>0</v>
      </c>
      <c r="M917">
        <v>100000</v>
      </c>
      <c r="N917">
        <v>59000</v>
      </c>
      <c r="O917">
        <v>159000</v>
      </c>
      <c r="P917" t="s">
        <v>22</v>
      </c>
      <c r="Q917" t="s">
        <v>2357</v>
      </c>
      <c r="R917" t="s">
        <v>82</v>
      </c>
      <c r="S917">
        <v>4</v>
      </c>
      <c r="T917" t="s">
        <v>37</v>
      </c>
      <c r="U917" t="s">
        <v>2406</v>
      </c>
      <c r="V917">
        <v>2025</v>
      </c>
      <c r="W917">
        <v>6</v>
      </c>
    </row>
    <row r="918" spans="1:23" x14ac:dyDescent="0.25">
      <c r="A918" t="s">
        <v>1863</v>
      </c>
      <c r="B918">
        <v>45826.623067129629</v>
      </c>
      <c r="C918" t="s">
        <v>207</v>
      </c>
      <c r="D918" t="s">
        <v>96</v>
      </c>
      <c r="E918" t="s">
        <v>110</v>
      </c>
      <c r="F918" t="s">
        <v>2395</v>
      </c>
      <c r="G918" t="s">
        <v>2379</v>
      </c>
      <c r="H918">
        <v>6000</v>
      </c>
      <c r="I918">
        <v>5</v>
      </c>
      <c r="J918">
        <v>0</v>
      </c>
      <c r="K918">
        <v>30000</v>
      </c>
      <c r="L918">
        <v>0</v>
      </c>
      <c r="M918">
        <v>30000</v>
      </c>
      <c r="N918">
        <v>49000</v>
      </c>
      <c r="O918">
        <v>79000</v>
      </c>
      <c r="P918" t="s">
        <v>63</v>
      </c>
      <c r="Q918" t="s">
        <v>2357</v>
      </c>
      <c r="R918" t="s">
        <v>36</v>
      </c>
      <c r="S918">
        <v>1</v>
      </c>
      <c r="T918" t="s">
        <v>24</v>
      </c>
      <c r="U918" t="s">
        <v>2406</v>
      </c>
      <c r="V918">
        <v>2025</v>
      </c>
      <c r="W918">
        <v>6</v>
      </c>
    </row>
    <row r="919" spans="1:23" x14ac:dyDescent="0.25">
      <c r="A919" t="s">
        <v>1864</v>
      </c>
      <c r="B919">
        <v>45826.692928240736</v>
      </c>
      <c r="C919" t="s">
        <v>1035</v>
      </c>
      <c r="D919" t="s">
        <v>66</v>
      </c>
      <c r="E919" t="s">
        <v>58</v>
      </c>
      <c r="F919" t="s">
        <v>2396</v>
      </c>
      <c r="G919" t="s">
        <v>2377</v>
      </c>
      <c r="H919">
        <v>16000</v>
      </c>
      <c r="I919">
        <v>5</v>
      </c>
      <c r="J919">
        <v>20</v>
      </c>
      <c r="K919">
        <v>80000</v>
      </c>
      <c r="L919">
        <v>16000</v>
      </c>
      <c r="M919">
        <v>64000</v>
      </c>
      <c r="N919">
        <v>59000</v>
      </c>
      <c r="O919">
        <v>123000</v>
      </c>
      <c r="P919" t="s">
        <v>63</v>
      </c>
      <c r="Q919" t="s">
        <v>2357</v>
      </c>
      <c r="R919" t="s">
        <v>30</v>
      </c>
      <c r="S919">
        <v>3</v>
      </c>
      <c r="T919" t="s">
        <v>24</v>
      </c>
      <c r="U919" t="s">
        <v>2406</v>
      </c>
      <c r="V919">
        <v>2025</v>
      </c>
      <c r="W919">
        <v>6</v>
      </c>
    </row>
    <row r="920" spans="1:23" x14ac:dyDescent="0.25">
      <c r="A920" t="s">
        <v>1865</v>
      </c>
      <c r="B920">
        <v>45826.736527777779</v>
      </c>
      <c r="C920" t="s">
        <v>1063</v>
      </c>
      <c r="D920" t="s">
        <v>96</v>
      </c>
      <c r="E920" t="s">
        <v>54</v>
      </c>
      <c r="F920" t="s">
        <v>2393</v>
      </c>
      <c r="G920" t="s">
        <v>2379</v>
      </c>
      <c r="H920">
        <v>16000</v>
      </c>
      <c r="I920">
        <v>5</v>
      </c>
      <c r="J920">
        <v>20</v>
      </c>
      <c r="K920">
        <v>80000</v>
      </c>
      <c r="L920">
        <v>16000</v>
      </c>
      <c r="M920">
        <v>64000</v>
      </c>
      <c r="N920">
        <v>49000</v>
      </c>
      <c r="O920">
        <v>113000</v>
      </c>
      <c r="P920" t="s">
        <v>63</v>
      </c>
      <c r="Q920" t="s">
        <v>2357</v>
      </c>
      <c r="R920" t="s">
        <v>30</v>
      </c>
      <c r="S920">
        <v>3</v>
      </c>
      <c r="T920" t="s">
        <v>24</v>
      </c>
      <c r="U920" t="s">
        <v>2406</v>
      </c>
      <c r="V920">
        <v>2025</v>
      </c>
      <c r="W920">
        <v>6</v>
      </c>
    </row>
    <row r="921" spans="1:23" x14ac:dyDescent="0.25">
      <c r="A921" t="s">
        <v>1866</v>
      </c>
      <c r="B921">
        <v>45826.87427083333</v>
      </c>
      <c r="C921" t="s">
        <v>377</v>
      </c>
      <c r="D921" t="s">
        <v>182</v>
      </c>
      <c r="E921" t="s">
        <v>54</v>
      </c>
      <c r="F921" t="s">
        <v>2393</v>
      </c>
      <c r="G921" t="s">
        <v>2379</v>
      </c>
      <c r="H921">
        <v>16000</v>
      </c>
      <c r="I921">
        <v>4</v>
      </c>
      <c r="J921">
        <v>0</v>
      </c>
      <c r="K921">
        <v>64000</v>
      </c>
      <c r="L921">
        <v>0</v>
      </c>
      <c r="M921">
        <v>64000</v>
      </c>
      <c r="N921">
        <v>48000</v>
      </c>
      <c r="O921">
        <v>112000</v>
      </c>
      <c r="P921" t="s">
        <v>35</v>
      </c>
      <c r="Q921" t="s">
        <v>2357</v>
      </c>
      <c r="R921" t="s">
        <v>36</v>
      </c>
      <c r="S921">
        <v>4</v>
      </c>
      <c r="T921" t="s">
        <v>24</v>
      </c>
      <c r="U921" t="s">
        <v>2406</v>
      </c>
      <c r="V921">
        <v>2025</v>
      </c>
      <c r="W921">
        <v>6</v>
      </c>
    </row>
    <row r="922" spans="1:23" x14ac:dyDescent="0.25">
      <c r="A922" t="s">
        <v>1867</v>
      </c>
      <c r="B922">
        <v>45827.169039351851</v>
      </c>
      <c r="C922" t="s">
        <v>207</v>
      </c>
      <c r="D922" t="s">
        <v>96</v>
      </c>
      <c r="E922" t="s">
        <v>88</v>
      </c>
      <c r="F922" t="s">
        <v>2393</v>
      </c>
      <c r="G922" t="s">
        <v>2377</v>
      </c>
      <c r="H922">
        <v>14000</v>
      </c>
      <c r="I922">
        <v>5</v>
      </c>
      <c r="J922">
        <v>20</v>
      </c>
      <c r="K922">
        <v>70000</v>
      </c>
      <c r="L922">
        <v>14000</v>
      </c>
      <c r="M922">
        <v>56000</v>
      </c>
      <c r="N922">
        <v>49000</v>
      </c>
      <c r="O922">
        <v>105000</v>
      </c>
      <c r="P922" t="s">
        <v>35</v>
      </c>
      <c r="Q922" t="s">
        <v>2357</v>
      </c>
      <c r="R922" t="s">
        <v>46</v>
      </c>
      <c r="S922">
        <v>2</v>
      </c>
      <c r="T922" t="s">
        <v>24</v>
      </c>
      <c r="U922" t="s">
        <v>2406</v>
      </c>
      <c r="V922">
        <v>2025</v>
      </c>
      <c r="W922">
        <v>6</v>
      </c>
    </row>
    <row r="923" spans="1:23" x14ac:dyDescent="0.25">
      <c r="A923" t="s">
        <v>1867</v>
      </c>
      <c r="B923">
        <v>45827.169039351851</v>
      </c>
      <c r="C923" t="s">
        <v>207</v>
      </c>
      <c r="D923" t="s">
        <v>96</v>
      </c>
      <c r="E923" t="s">
        <v>110</v>
      </c>
      <c r="F923" t="s">
        <v>2395</v>
      </c>
      <c r="G923" t="s">
        <v>2379</v>
      </c>
      <c r="H923">
        <v>6000</v>
      </c>
      <c r="I923">
        <v>4</v>
      </c>
      <c r="J923">
        <v>5</v>
      </c>
      <c r="K923">
        <v>24000</v>
      </c>
      <c r="L923">
        <v>1200</v>
      </c>
      <c r="M923">
        <v>22800</v>
      </c>
      <c r="N923">
        <v>0</v>
      </c>
      <c r="O923">
        <v>22800</v>
      </c>
      <c r="P923" t="s">
        <v>35</v>
      </c>
      <c r="Q923" t="s">
        <v>2357</v>
      </c>
      <c r="R923" t="s">
        <v>46</v>
      </c>
      <c r="S923">
        <v>2</v>
      </c>
      <c r="T923" t="s">
        <v>24</v>
      </c>
      <c r="U923" t="s">
        <v>2406</v>
      </c>
      <c r="V923">
        <v>2025</v>
      </c>
      <c r="W923">
        <v>6</v>
      </c>
    </row>
    <row r="924" spans="1:23" x14ac:dyDescent="0.25">
      <c r="A924" t="s">
        <v>1868</v>
      </c>
      <c r="B924">
        <v>45827.70103009259</v>
      </c>
      <c r="C924" t="s">
        <v>601</v>
      </c>
      <c r="D924" t="s">
        <v>119</v>
      </c>
      <c r="E924" t="s">
        <v>38</v>
      </c>
      <c r="F924" t="s">
        <v>2399</v>
      </c>
      <c r="G924" t="s">
        <v>2379</v>
      </c>
      <c r="H924">
        <v>28000</v>
      </c>
      <c r="I924">
        <v>4</v>
      </c>
      <c r="J924">
        <v>15</v>
      </c>
      <c r="K924">
        <v>112000</v>
      </c>
      <c r="L924">
        <v>16800</v>
      </c>
      <c r="M924">
        <v>95200</v>
      </c>
      <c r="N924">
        <v>0</v>
      </c>
      <c r="O924">
        <v>95200</v>
      </c>
      <c r="P924" t="s">
        <v>29</v>
      </c>
      <c r="Q924" t="s">
        <v>2357</v>
      </c>
      <c r="R924" t="s">
        <v>36</v>
      </c>
      <c r="S924">
        <v>3</v>
      </c>
      <c r="T924" t="s">
        <v>24</v>
      </c>
      <c r="U924" t="s">
        <v>2406</v>
      </c>
      <c r="V924">
        <v>2025</v>
      </c>
      <c r="W924">
        <v>6</v>
      </c>
    </row>
    <row r="925" spans="1:23" x14ac:dyDescent="0.25">
      <c r="A925" t="s">
        <v>1869</v>
      </c>
      <c r="B925">
        <v>45828.014074074083</v>
      </c>
      <c r="C925" t="s">
        <v>192</v>
      </c>
      <c r="D925" t="s">
        <v>107</v>
      </c>
      <c r="E925" t="s">
        <v>34</v>
      </c>
      <c r="F925" t="s">
        <v>2397</v>
      </c>
      <c r="G925" t="s">
        <v>2377</v>
      </c>
      <c r="H925">
        <v>16000</v>
      </c>
      <c r="I925">
        <v>1</v>
      </c>
      <c r="J925">
        <v>15</v>
      </c>
      <c r="K925">
        <v>16000</v>
      </c>
      <c r="L925">
        <v>2400</v>
      </c>
      <c r="M925">
        <v>13600</v>
      </c>
      <c r="N925">
        <v>97000</v>
      </c>
      <c r="O925">
        <v>110600</v>
      </c>
      <c r="P925" t="s">
        <v>63</v>
      </c>
      <c r="Q925" t="s">
        <v>2357</v>
      </c>
      <c r="R925" t="s">
        <v>30</v>
      </c>
      <c r="S925">
        <v>3</v>
      </c>
      <c r="T925" t="s">
        <v>24</v>
      </c>
      <c r="U925" t="s">
        <v>2406</v>
      </c>
      <c r="V925">
        <v>2025</v>
      </c>
      <c r="W925">
        <v>6</v>
      </c>
    </row>
    <row r="926" spans="1:23" x14ac:dyDescent="0.25">
      <c r="A926" t="s">
        <v>1870</v>
      </c>
      <c r="B926">
        <v>45828.168564814812</v>
      </c>
      <c r="C926" t="s">
        <v>261</v>
      </c>
      <c r="D926" t="s">
        <v>262</v>
      </c>
      <c r="E926" t="s">
        <v>123</v>
      </c>
      <c r="F926" t="s">
        <v>2399</v>
      </c>
      <c r="G926" t="s">
        <v>2377</v>
      </c>
      <c r="H926">
        <v>22000</v>
      </c>
      <c r="I926">
        <v>5</v>
      </c>
      <c r="J926">
        <v>0</v>
      </c>
      <c r="K926">
        <v>110000</v>
      </c>
      <c r="L926">
        <v>0</v>
      </c>
      <c r="M926">
        <v>110000</v>
      </c>
      <c r="N926">
        <v>18000</v>
      </c>
      <c r="O926">
        <v>128000</v>
      </c>
      <c r="P926" t="s">
        <v>29</v>
      </c>
      <c r="Q926" t="s">
        <v>2357</v>
      </c>
      <c r="R926" t="s">
        <v>30</v>
      </c>
      <c r="S926">
        <v>4</v>
      </c>
      <c r="T926" t="s">
        <v>24</v>
      </c>
      <c r="U926" t="s">
        <v>2406</v>
      </c>
      <c r="V926">
        <v>2025</v>
      </c>
      <c r="W926">
        <v>6</v>
      </c>
    </row>
    <row r="927" spans="1:23" x14ac:dyDescent="0.25">
      <c r="A927" t="s">
        <v>1871</v>
      </c>
      <c r="B927">
        <v>45828.297627314823</v>
      </c>
      <c r="C927" t="s">
        <v>112</v>
      </c>
      <c r="D927" t="s">
        <v>113</v>
      </c>
      <c r="E927" t="s">
        <v>38</v>
      </c>
      <c r="F927" t="s">
        <v>2399</v>
      </c>
      <c r="G927" t="s">
        <v>2379</v>
      </c>
      <c r="H927">
        <v>28000</v>
      </c>
      <c r="I927">
        <v>3</v>
      </c>
      <c r="J927">
        <v>20</v>
      </c>
      <c r="K927">
        <v>84000</v>
      </c>
      <c r="L927">
        <v>16800</v>
      </c>
      <c r="M927">
        <v>67200</v>
      </c>
      <c r="N927">
        <v>18000</v>
      </c>
      <c r="O927">
        <v>85200</v>
      </c>
      <c r="P927" t="s">
        <v>35</v>
      </c>
      <c r="Q927" t="s">
        <v>2356</v>
      </c>
      <c r="R927" t="s">
        <v>46</v>
      </c>
      <c r="S927">
        <v>3</v>
      </c>
      <c r="T927" t="s">
        <v>24</v>
      </c>
      <c r="U927" t="s">
        <v>2406</v>
      </c>
      <c r="V927">
        <v>2025</v>
      </c>
      <c r="W927">
        <v>6</v>
      </c>
    </row>
    <row r="928" spans="1:23" x14ac:dyDescent="0.25">
      <c r="A928" t="s">
        <v>1872</v>
      </c>
      <c r="B928">
        <v>45828.358946759261</v>
      </c>
      <c r="C928" t="s">
        <v>497</v>
      </c>
      <c r="D928" t="s">
        <v>173</v>
      </c>
      <c r="E928" t="s">
        <v>136</v>
      </c>
      <c r="F928" t="s">
        <v>2400</v>
      </c>
      <c r="G928" t="s">
        <v>2378</v>
      </c>
      <c r="H928">
        <v>12000</v>
      </c>
      <c r="I928">
        <v>4</v>
      </c>
      <c r="J928">
        <v>15</v>
      </c>
      <c r="K928">
        <v>48000</v>
      </c>
      <c r="L928">
        <v>7200</v>
      </c>
      <c r="M928">
        <v>40800</v>
      </c>
      <c r="N928">
        <v>49000</v>
      </c>
      <c r="O928">
        <v>89800</v>
      </c>
      <c r="P928" t="s">
        <v>29</v>
      </c>
      <c r="Q928" t="s">
        <v>2357</v>
      </c>
      <c r="R928" t="s">
        <v>23</v>
      </c>
      <c r="S928">
        <v>4</v>
      </c>
      <c r="T928" t="s">
        <v>37</v>
      </c>
      <c r="U928" t="s">
        <v>2406</v>
      </c>
      <c r="V928">
        <v>2025</v>
      </c>
      <c r="W928">
        <v>6</v>
      </c>
    </row>
    <row r="929" spans="1:23" x14ac:dyDescent="0.25">
      <c r="A929" t="s">
        <v>1873</v>
      </c>
      <c r="B929">
        <v>45828.4608912037</v>
      </c>
      <c r="C929" t="s">
        <v>860</v>
      </c>
      <c r="D929" t="s">
        <v>44</v>
      </c>
      <c r="E929" t="s">
        <v>88</v>
      </c>
      <c r="F929" t="s">
        <v>2393</v>
      </c>
      <c r="G929" t="s">
        <v>2377</v>
      </c>
      <c r="H929">
        <v>14000</v>
      </c>
      <c r="I929">
        <v>1</v>
      </c>
      <c r="J929">
        <v>15</v>
      </c>
      <c r="K929">
        <v>14000</v>
      </c>
      <c r="L929">
        <v>2100</v>
      </c>
      <c r="M929">
        <v>11900</v>
      </c>
      <c r="N929">
        <v>93000</v>
      </c>
      <c r="O929">
        <v>104900</v>
      </c>
      <c r="P929" t="s">
        <v>22</v>
      </c>
      <c r="Q929" t="s">
        <v>2357</v>
      </c>
      <c r="R929" t="s">
        <v>36</v>
      </c>
      <c r="S929">
        <v>5</v>
      </c>
      <c r="T929" t="s">
        <v>37</v>
      </c>
      <c r="U929" t="s">
        <v>2406</v>
      </c>
      <c r="V929">
        <v>2025</v>
      </c>
      <c r="W929">
        <v>6</v>
      </c>
    </row>
    <row r="930" spans="1:23" x14ac:dyDescent="0.25">
      <c r="A930" t="s">
        <v>1874</v>
      </c>
      <c r="B930">
        <v>45828.640914351847</v>
      </c>
      <c r="C930" t="s">
        <v>130</v>
      </c>
      <c r="D930" t="s">
        <v>131</v>
      </c>
      <c r="E930" t="s">
        <v>93</v>
      </c>
      <c r="F930" t="s">
        <v>2399</v>
      </c>
      <c r="G930" t="s">
        <v>2378</v>
      </c>
      <c r="H930">
        <v>25000</v>
      </c>
      <c r="I930">
        <v>2</v>
      </c>
      <c r="J930">
        <v>5</v>
      </c>
      <c r="K930">
        <v>50000</v>
      </c>
      <c r="L930">
        <v>2500</v>
      </c>
      <c r="M930">
        <v>47500</v>
      </c>
      <c r="N930">
        <v>59000</v>
      </c>
      <c r="O930">
        <v>106500</v>
      </c>
      <c r="P930" t="s">
        <v>29</v>
      </c>
      <c r="Q930" t="s">
        <v>2359</v>
      </c>
      <c r="R930" t="s">
        <v>36</v>
      </c>
      <c r="S930">
        <v>2</v>
      </c>
      <c r="T930" t="s">
        <v>24</v>
      </c>
      <c r="U930" t="s">
        <v>2406</v>
      </c>
      <c r="V930">
        <v>2025</v>
      </c>
      <c r="W930">
        <v>6</v>
      </c>
    </row>
    <row r="931" spans="1:23" x14ac:dyDescent="0.25">
      <c r="A931" t="s">
        <v>1875</v>
      </c>
      <c r="B931">
        <v>45828.7734837963</v>
      </c>
      <c r="C931" t="s">
        <v>321</v>
      </c>
      <c r="D931" t="s">
        <v>80</v>
      </c>
      <c r="E931" t="s">
        <v>144</v>
      </c>
      <c r="F931" t="s">
        <v>2396</v>
      </c>
      <c r="G931" t="s">
        <v>2379</v>
      </c>
      <c r="H931">
        <v>18000</v>
      </c>
      <c r="I931">
        <v>2</v>
      </c>
      <c r="J931">
        <v>5</v>
      </c>
      <c r="K931">
        <v>36000</v>
      </c>
      <c r="L931">
        <v>1800</v>
      </c>
      <c r="M931">
        <v>34200</v>
      </c>
      <c r="N931">
        <v>74000</v>
      </c>
      <c r="O931">
        <v>108200</v>
      </c>
      <c r="P931" t="s">
        <v>63</v>
      </c>
      <c r="Q931" t="s">
        <v>2357</v>
      </c>
      <c r="R931" t="s">
        <v>23</v>
      </c>
      <c r="S931">
        <v>3</v>
      </c>
      <c r="T931" t="s">
        <v>24</v>
      </c>
      <c r="U931" t="s">
        <v>2406</v>
      </c>
      <c r="V931">
        <v>2025</v>
      </c>
      <c r="W931">
        <v>6</v>
      </c>
    </row>
    <row r="932" spans="1:23" x14ac:dyDescent="0.25">
      <c r="A932" t="s">
        <v>1876</v>
      </c>
      <c r="B932">
        <v>45829.102546296293</v>
      </c>
      <c r="C932" t="s">
        <v>681</v>
      </c>
      <c r="D932" t="s">
        <v>262</v>
      </c>
      <c r="E932" t="s">
        <v>21</v>
      </c>
      <c r="F932" t="s">
        <v>2394</v>
      </c>
      <c r="G932" t="s">
        <v>2379</v>
      </c>
      <c r="H932">
        <v>45000</v>
      </c>
      <c r="I932">
        <v>4</v>
      </c>
      <c r="J932">
        <v>20</v>
      </c>
      <c r="K932">
        <v>180000</v>
      </c>
      <c r="L932">
        <v>36000</v>
      </c>
      <c r="M932">
        <v>144000</v>
      </c>
      <c r="N932">
        <v>18000</v>
      </c>
      <c r="O932">
        <v>162000</v>
      </c>
      <c r="P932" t="s">
        <v>35</v>
      </c>
      <c r="Q932" t="s">
        <v>2357</v>
      </c>
      <c r="R932" t="s">
        <v>23</v>
      </c>
      <c r="S932">
        <v>1</v>
      </c>
      <c r="T932" t="s">
        <v>24</v>
      </c>
      <c r="U932" t="s">
        <v>2406</v>
      </c>
      <c r="V932">
        <v>2025</v>
      </c>
      <c r="W932">
        <v>6</v>
      </c>
    </row>
    <row r="933" spans="1:23" x14ac:dyDescent="0.25">
      <c r="A933" t="s">
        <v>1877</v>
      </c>
      <c r="B933">
        <v>45829.202673611107</v>
      </c>
      <c r="C933" t="s">
        <v>593</v>
      </c>
      <c r="D933" t="s">
        <v>195</v>
      </c>
      <c r="E933" t="s">
        <v>41</v>
      </c>
      <c r="F933" t="s">
        <v>2395</v>
      </c>
      <c r="G933" t="s">
        <v>2377</v>
      </c>
      <c r="H933">
        <v>4000</v>
      </c>
      <c r="I933">
        <v>3</v>
      </c>
      <c r="J933">
        <v>5</v>
      </c>
      <c r="K933">
        <v>12000</v>
      </c>
      <c r="L933">
        <v>600</v>
      </c>
      <c r="M933">
        <v>11400</v>
      </c>
      <c r="N933">
        <v>87000</v>
      </c>
      <c r="O933">
        <v>98400</v>
      </c>
      <c r="P933" t="s">
        <v>22</v>
      </c>
      <c r="Q933" t="s">
        <v>2357</v>
      </c>
      <c r="R933" t="s">
        <v>30</v>
      </c>
      <c r="S933">
        <v>2</v>
      </c>
      <c r="T933" t="s">
        <v>24</v>
      </c>
      <c r="U933" t="s">
        <v>2406</v>
      </c>
      <c r="V933">
        <v>2025</v>
      </c>
      <c r="W933">
        <v>6</v>
      </c>
    </row>
    <row r="934" spans="1:23" x14ac:dyDescent="0.25">
      <c r="A934" t="s">
        <v>1878</v>
      </c>
      <c r="B934">
        <v>45829.474479166667</v>
      </c>
      <c r="C934" t="s">
        <v>593</v>
      </c>
      <c r="D934" t="s">
        <v>195</v>
      </c>
      <c r="E934" t="s">
        <v>41</v>
      </c>
      <c r="F934" t="s">
        <v>2395</v>
      </c>
      <c r="G934" t="s">
        <v>2377</v>
      </c>
      <c r="H934">
        <v>4000</v>
      </c>
      <c r="I934">
        <v>2</v>
      </c>
      <c r="J934">
        <v>15</v>
      </c>
      <c r="K934">
        <v>8000</v>
      </c>
      <c r="L934">
        <v>1200</v>
      </c>
      <c r="M934">
        <v>6800</v>
      </c>
      <c r="N934">
        <v>87000</v>
      </c>
      <c r="O934">
        <v>93800</v>
      </c>
      <c r="P934" t="s">
        <v>63</v>
      </c>
      <c r="Q934" t="s">
        <v>2357</v>
      </c>
      <c r="R934" t="s">
        <v>23</v>
      </c>
      <c r="S934">
        <v>3</v>
      </c>
      <c r="T934" t="s">
        <v>24</v>
      </c>
      <c r="U934" t="s">
        <v>2406</v>
      </c>
      <c r="V934">
        <v>2025</v>
      </c>
      <c r="W934">
        <v>6</v>
      </c>
    </row>
    <row r="935" spans="1:23" x14ac:dyDescent="0.25">
      <c r="A935" t="s">
        <v>1879</v>
      </c>
      <c r="B935">
        <v>45829.580046296287</v>
      </c>
      <c r="C935" t="s">
        <v>1436</v>
      </c>
      <c r="D935" t="s">
        <v>119</v>
      </c>
      <c r="E935" t="s">
        <v>85</v>
      </c>
      <c r="F935" t="s">
        <v>2394</v>
      </c>
      <c r="G935" t="s">
        <v>2377</v>
      </c>
      <c r="H935">
        <v>35000</v>
      </c>
      <c r="I935">
        <v>1</v>
      </c>
      <c r="J935">
        <v>0</v>
      </c>
      <c r="K935">
        <v>35000</v>
      </c>
      <c r="L935">
        <v>0</v>
      </c>
      <c r="M935">
        <v>35000</v>
      </c>
      <c r="N935">
        <v>0</v>
      </c>
      <c r="O935">
        <v>35000</v>
      </c>
      <c r="P935" t="s">
        <v>29</v>
      </c>
      <c r="Q935" t="s">
        <v>2357</v>
      </c>
      <c r="R935" t="s">
        <v>36</v>
      </c>
      <c r="S935">
        <v>2</v>
      </c>
      <c r="T935" t="s">
        <v>24</v>
      </c>
      <c r="U935" t="s">
        <v>2406</v>
      </c>
      <c r="V935">
        <v>2025</v>
      </c>
      <c r="W935">
        <v>6</v>
      </c>
    </row>
    <row r="936" spans="1:23" x14ac:dyDescent="0.25">
      <c r="A936" t="s">
        <v>1880</v>
      </c>
      <c r="B936">
        <v>45829.607395833344</v>
      </c>
      <c r="C936" t="s">
        <v>473</v>
      </c>
      <c r="D936" t="s">
        <v>122</v>
      </c>
      <c r="E936" t="s">
        <v>71</v>
      </c>
      <c r="F936" t="s">
        <v>2392</v>
      </c>
      <c r="G936" t="s">
        <v>2379</v>
      </c>
      <c r="H936">
        <v>40000</v>
      </c>
      <c r="I936">
        <v>1</v>
      </c>
      <c r="J936">
        <v>0</v>
      </c>
      <c r="K936">
        <v>40000</v>
      </c>
      <c r="L936">
        <v>0</v>
      </c>
      <c r="M936">
        <v>40000</v>
      </c>
      <c r="N936">
        <v>78000</v>
      </c>
      <c r="O936">
        <v>118000</v>
      </c>
      <c r="P936" t="s">
        <v>22</v>
      </c>
      <c r="Q936" t="s">
        <v>2357</v>
      </c>
      <c r="R936" t="s">
        <v>30</v>
      </c>
      <c r="S936">
        <v>1</v>
      </c>
      <c r="T936" t="s">
        <v>24</v>
      </c>
      <c r="U936" t="s">
        <v>2406</v>
      </c>
      <c r="V936">
        <v>2025</v>
      </c>
      <c r="W936">
        <v>6</v>
      </c>
    </row>
    <row r="937" spans="1:23" x14ac:dyDescent="0.25">
      <c r="A937" t="s">
        <v>1881</v>
      </c>
      <c r="B937">
        <v>45829.627430555563</v>
      </c>
      <c r="C937" t="s">
        <v>688</v>
      </c>
      <c r="D937" t="s">
        <v>92</v>
      </c>
      <c r="E937" t="s">
        <v>250</v>
      </c>
      <c r="F937" t="s">
        <v>2397</v>
      </c>
      <c r="G937" t="s">
        <v>2379</v>
      </c>
      <c r="H937">
        <v>18000</v>
      </c>
      <c r="I937">
        <v>2</v>
      </c>
      <c r="J937">
        <v>15</v>
      </c>
      <c r="K937">
        <v>36000</v>
      </c>
      <c r="L937">
        <v>5400</v>
      </c>
      <c r="M937">
        <v>30600</v>
      </c>
      <c r="N937">
        <v>30000</v>
      </c>
      <c r="O937">
        <v>60600</v>
      </c>
      <c r="P937" t="s">
        <v>29</v>
      </c>
      <c r="Q937" t="s">
        <v>2357</v>
      </c>
      <c r="R937" t="s">
        <v>36</v>
      </c>
      <c r="S937">
        <v>1</v>
      </c>
      <c r="T937" t="s">
        <v>24</v>
      </c>
      <c r="U937" t="s">
        <v>2406</v>
      </c>
      <c r="V937">
        <v>2025</v>
      </c>
      <c r="W937">
        <v>6</v>
      </c>
    </row>
    <row r="938" spans="1:23" x14ac:dyDescent="0.25">
      <c r="A938" t="s">
        <v>1882</v>
      </c>
      <c r="B938">
        <v>45829.718715277777</v>
      </c>
      <c r="C938" t="s">
        <v>557</v>
      </c>
      <c r="D938" t="s">
        <v>173</v>
      </c>
      <c r="E938" t="s">
        <v>104</v>
      </c>
      <c r="F938" t="s">
        <v>2392</v>
      </c>
      <c r="G938" t="s">
        <v>2377</v>
      </c>
      <c r="H938">
        <v>30000</v>
      </c>
      <c r="I938">
        <v>5</v>
      </c>
      <c r="J938">
        <v>10</v>
      </c>
      <c r="K938">
        <v>150000</v>
      </c>
      <c r="L938">
        <v>15000</v>
      </c>
      <c r="M938">
        <v>135000</v>
      </c>
      <c r="N938">
        <v>49000</v>
      </c>
      <c r="O938">
        <v>184000</v>
      </c>
      <c r="P938" t="s">
        <v>29</v>
      </c>
      <c r="Q938" t="s">
        <v>2359</v>
      </c>
      <c r="R938" t="s">
        <v>36</v>
      </c>
      <c r="S938">
        <v>5</v>
      </c>
      <c r="T938" t="s">
        <v>24</v>
      </c>
      <c r="U938" t="s">
        <v>2406</v>
      </c>
      <c r="V938">
        <v>2025</v>
      </c>
      <c r="W938">
        <v>6</v>
      </c>
    </row>
    <row r="939" spans="1:23" x14ac:dyDescent="0.25">
      <c r="A939" t="s">
        <v>1883</v>
      </c>
      <c r="B939">
        <v>45829.995729166672</v>
      </c>
      <c r="C939" t="s">
        <v>1530</v>
      </c>
      <c r="D939" t="s">
        <v>122</v>
      </c>
      <c r="E939" t="s">
        <v>174</v>
      </c>
      <c r="F939" t="s">
        <v>2400</v>
      </c>
      <c r="G939" t="s">
        <v>2377</v>
      </c>
      <c r="H939">
        <v>10000</v>
      </c>
      <c r="I939">
        <v>3</v>
      </c>
      <c r="J939">
        <v>5</v>
      </c>
      <c r="K939">
        <v>30000</v>
      </c>
      <c r="L939">
        <v>1500</v>
      </c>
      <c r="M939">
        <v>28500</v>
      </c>
      <c r="N939">
        <v>78000</v>
      </c>
      <c r="O939">
        <v>106500</v>
      </c>
      <c r="P939" t="s">
        <v>22</v>
      </c>
      <c r="Q939" t="s">
        <v>2359</v>
      </c>
      <c r="R939" t="s">
        <v>82</v>
      </c>
      <c r="S939">
        <v>3</v>
      </c>
      <c r="T939" t="s">
        <v>24</v>
      </c>
      <c r="U939" t="s">
        <v>2406</v>
      </c>
      <c r="V939">
        <v>2025</v>
      </c>
      <c r="W939">
        <v>6</v>
      </c>
    </row>
    <row r="940" spans="1:23" x14ac:dyDescent="0.25">
      <c r="A940" t="s">
        <v>1884</v>
      </c>
      <c r="B940">
        <v>45830.073067129633</v>
      </c>
      <c r="C940" t="s">
        <v>167</v>
      </c>
      <c r="D940" t="s">
        <v>44</v>
      </c>
      <c r="E940" t="s">
        <v>81</v>
      </c>
      <c r="F940" t="s">
        <v>2397</v>
      </c>
      <c r="G940" t="s">
        <v>2378</v>
      </c>
      <c r="H940">
        <v>17000</v>
      </c>
      <c r="I940">
        <v>3</v>
      </c>
      <c r="J940">
        <v>20</v>
      </c>
      <c r="K940">
        <v>51000</v>
      </c>
      <c r="L940">
        <v>10200</v>
      </c>
      <c r="M940">
        <v>40800</v>
      </c>
      <c r="N940">
        <v>93000</v>
      </c>
      <c r="O940">
        <v>133800</v>
      </c>
      <c r="P940" t="s">
        <v>22</v>
      </c>
      <c r="Q940" t="s">
        <v>2357</v>
      </c>
      <c r="R940" t="s">
        <v>82</v>
      </c>
      <c r="S940">
        <v>4</v>
      </c>
      <c r="T940" t="s">
        <v>24</v>
      </c>
      <c r="U940" t="s">
        <v>2406</v>
      </c>
      <c r="V940">
        <v>2025</v>
      </c>
      <c r="W940">
        <v>6</v>
      </c>
    </row>
    <row r="941" spans="1:23" x14ac:dyDescent="0.25">
      <c r="A941" t="s">
        <v>1885</v>
      </c>
      <c r="B941">
        <v>45830.227199074077</v>
      </c>
      <c r="C941" t="s">
        <v>786</v>
      </c>
      <c r="D941" t="s">
        <v>107</v>
      </c>
      <c r="E941" t="s">
        <v>21</v>
      </c>
      <c r="F941" t="s">
        <v>2394</v>
      </c>
      <c r="G941" t="s">
        <v>2379</v>
      </c>
      <c r="H941">
        <v>45000</v>
      </c>
      <c r="I941">
        <v>4</v>
      </c>
      <c r="J941">
        <v>5</v>
      </c>
      <c r="K941">
        <v>180000</v>
      </c>
      <c r="L941">
        <v>9000</v>
      </c>
      <c r="M941">
        <v>171000</v>
      </c>
      <c r="N941">
        <v>97000</v>
      </c>
      <c r="O941">
        <v>268000</v>
      </c>
      <c r="P941" t="s">
        <v>22</v>
      </c>
      <c r="Q941" t="s">
        <v>2356</v>
      </c>
      <c r="R941" t="s">
        <v>30</v>
      </c>
      <c r="S941">
        <v>3</v>
      </c>
      <c r="T941" t="s">
        <v>24</v>
      </c>
      <c r="U941" t="s">
        <v>2406</v>
      </c>
      <c r="V941">
        <v>2025</v>
      </c>
      <c r="W941">
        <v>6</v>
      </c>
    </row>
    <row r="942" spans="1:23" x14ac:dyDescent="0.25">
      <c r="A942" t="s">
        <v>1886</v>
      </c>
      <c r="B942">
        <v>45830.288483796299</v>
      </c>
      <c r="C942" t="s">
        <v>1887</v>
      </c>
      <c r="D942" t="s">
        <v>238</v>
      </c>
      <c r="E942" t="s">
        <v>123</v>
      </c>
      <c r="F942" t="s">
        <v>2399</v>
      </c>
      <c r="G942" t="s">
        <v>2377</v>
      </c>
      <c r="H942">
        <v>22000</v>
      </c>
      <c r="I942">
        <v>5</v>
      </c>
      <c r="J942">
        <v>10</v>
      </c>
      <c r="K942">
        <v>110000</v>
      </c>
      <c r="L942">
        <v>11000</v>
      </c>
      <c r="M942">
        <v>99000</v>
      </c>
      <c r="N942">
        <v>28000</v>
      </c>
      <c r="O942">
        <v>127000</v>
      </c>
      <c r="P942" t="s">
        <v>63</v>
      </c>
      <c r="Q942" t="s">
        <v>2357</v>
      </c>
      <c r="R942" t="s">
        <v>36</v>
      </c>
      <c r="S942">
        <v>2</v>
      </c>
      <c r="T942" t="s">
        <v>24</v>
      </c>
      <c r="U942" t="s">
        <v>2406</v>
      </c>
      <c r="V942">
        <v>2025</v>
      </c>
      <c r="W942">
        <v>6</v>
      </c>
    </row>
    <row r="943" spans="1:23" x14ac:dyDescent="0.25">
      <c r="A943" t="s">
        <v>1886</v>
      </c>
      <c r="B943">
        <v>45830.288483796299</v>
      </c>
      <c r="C943" t="s">
        <v>1887</v>
      </c>
      <c r="D943" t="s">
        <v>238</v>
      </c>
      <c r="E943" t="s">
        <v>71</v>
      </c>
      <c r="F943" t="s">
        <v>2392</v>
      </c>
      <c r="G943" t="s">
        <v>2379</v>
      </c>
      <c r="H943">
        <v>40000</v>
      </c>
      <c r="I943">
        <v>2</v>
      </c>
      <c r="J943">
        <v>10</v>
      </c>
      <c r="K943">
        <v>80000</v>
      </c>
      <c r="L943">
        <v>8000</v>
      </c>
      <c r="M943">
        <v>72000</v>
      </c>
      <c r="N943">
        <v>0</v>
      </c>
      <c r="O943">
        <v>72000</v>
      </c>
      <c r="P943" t="s">
        <v>63</v>
      </c>
      <c r="Q943" t="s">
        <v>2357</v>
      </c>
      <c r="R943" t="s">
        <v>36</v>
      </c>
      <c r="S943">
        <v>2</v>
      </c>
      <c r="T943" t="s">
        <v>24</v>
      </c>
      <c r="U943" t="s">
        <v>2406</v>
      </c>
      <c r="V943">
        <v>2025</v>
      </c>
      <c r="W943">
        <v>6</v>
      </c>
    </row>
    <row r="944" spans="1:23" x14ac:dyDescent="0.25">
      <c r="A944" t="s">
        <v>1888</v>
      </c>
      <c r="B944">
        <v>45830.345300925917</v>
      </c>
      <c r="C944" t="s">
        <v>222</v>
      </c>
      <c r="D944" t="s">
        <v>49</v>
      </c>
      <c r="E944" t="s">
        <v>38</v>
      </c>
      <c r="F944" t="s">
        <v>2399</v>
      </c>
      <c r="G944" t="s">
        <v>2379</v>
      </c>
      <c r="H944">
        <v>28000</v>
      </c>
      <c r="I944">
        <v>2</v>
      </c>
      <c r="J944">
        <v>0</v>
      </c>
      <c r="K944">
        <v>56000</v>
      </c>
      <c r="L944">
        <v>0</v>
      </c>
      <c r="M944">
        <v>56000</v>
      </c>
      <c r="N944">
        <v>43000</v>
      </c>
      <c r="O944">
        <v>99000</v>
      </c>
      <c r="P944" t="s">
        <v>63</v>
      </c>
      <c r="Q944" t="s">
        <v>2357</v>
      </c>
      <c r="R944" t="s">
        <v>82</v>
      </c>
      <c r="S944">
        <v>1</v>
      </c>
      <c r="T944" t="s">
        <v>24</v>
      </c>
      <c r="U944" t="s">
        <v>2406</v>
      </c>
      <c r="V944">
        <v>2025</v>
      </c>
      <c r="W944">
        <v>6</v>
      </c>
    </row>
    <row r="945" spans="1:23" x14ac:dyDescent="0.25">
      <c r="A945" t="s">
        <v>1889</v>
      </c>
      <c r="B945">
        <v>45830.581990740742</v>
      </c>
      <c r="C945" t="s">
        <v>708</v>
      </c>
      <c r="D945" t="s">
        <v>116</v>
      </c>
      <c r="E945" t="s">
        <v>50</v>
      </c>
      <c r="F945" t="s">
        <v>2400</v>
      </c>
      <c r="G945" t="s">
        <v>2379</v>
      </c>
      <c r="H945">
        <v>14000</v>
      </c>
      <c r="I945">
        <v>3</v>
      </c>
      <c r="J945">
        <v>20</v>
      </c>
      <c r="K945">
        <v>42000</v>
      </c>
      <c r="L945">
        <v>8400</v>
      </c>
      <c r="M945">
        <v>33600</v>
      </c>
      <c r="N945">
        <v>72000</v>
      </c>
      <c r="O945">
        <v>105600</v>
      </c>
      <c r="P945" t="s">
        <v>29</v>
      </c>
      <c r="Q945" t="s">
        <v>2357</v>
      </c>
      <c r="R945" t="s">
        <v>30</v>
      </c>
      <c r="S945">
        <v>1</v>
      </c>
      <c r="T945" t="s">
        <v>24</v>
      </c>
      <c r="U945" t="s">
        <v>2406</v>
      </c>
      <c r="V945">
        <v>2025</v>
      </c>
      <c r="W945">
        <v>6</v>
      </c>
    </row>
    <row r="946" spans="1:23" x14ac:dyDescent="0.25">
      <c r="A946" t="s">
        <v>1890</v>
      </c>
      <c r="B946">
        <v>45830.671400462961</v>
      </c>
      <c r="C946" t="s">
        <v>361</v>
      </c>
      <c r="D946" t="s">
        <v>70</v>
      </c>
      <c r="E946" t="s">
        <v>250</v>
      </c>
      <c r="F946" t="s">
        <v>2397</v>
      </c>
      <c r="G946" t="s">
        <v>2379</v>
      </c>
      <c r="H946">
        <v>18000</v>
      </c>
      <c r="I946">
        <v>5</v>
      </c>
      <c r="J946">
        <v>0</v>
      </c>
      <c r="K946">
        <v>90000</v>
      </c>
      <c r="L946">
        <v>0</v>
      </c>
      <c r="M946">
        <v>90000</v>
      </c>
      <c r="N946">
        <v>89000</v>
      </c>
      <c r="O946">
        <v>179000</v>
      </c>
      <c r="P946" t="s">
        <v>63</v>
      </c>
      <c r="Q946" t="s">
        <v>2357</v>
      </c>
      <c r="R946" t="s">
        <v>23</v>
      </c>
      <c r="S946">
        <v>1</v>
      </c>
      <c r="T946" t="s">
        <v>37</v>
      </c>
      <c r="U946" t="s">
        <v>2406</v>
      </c>
      <c r="V946">
        <v>2025</v>
      </c>
      <c r="W946">
        <v>6</v>
      </c>
    </row>
    <row r="947" spans="1:23" x14ac:dyDescent="0.25">
      <c r="A947" t="s">
        <v>1891</v>
      </c>
      <c r="B947">
        <v>45830.673506944448</v>
      </c>
      <c r="C947" t="s">
        <v>246</v>
      </c>
      <c r="D947" t="s">
        <v>238</v>
      </c>
      <c r="E947" t="s">
        <v>54</v>
      </c>
      <c r="F947" t="s">
        <v>2393</v>
      </c>
      <c r="G947" t="s">
        <v>2379</v>
      </c>
      <c r="H947">
        <v>16000</v>
      </c>
      <c r="I947">
        <v>2</v>
      </c>
      <c r="J947">
        <v>15</v>
      </c>
      <c r="K947">
        <v>32000</v>
      </c>
      <c r="L947">
        <v>4800</v>
      </c>
      <c r="M947">
        <v>27200</v>
      </c>
      <c r="N947">
        <v>28000</v>
      </c>
      <c r="O947">
        <v>55200</v>
      </c>
      <c r="P947" t="s">
        <v>22</v>
      </c>
      <c r="Q947" t="s">
        <v>2357</v>
      </c>
      <c r="R947" t="s">
        <v>82</v>
      </c>
      <c r="S947">
        <v>2</v>
      </c>
      <c r="T947" t="s">
        <v>24</v>
      </c>
      <c r="U947" t="s">
        <v>2406</v>
      </c>
      <c r="V947">
        <v>2025</v>
      </c>
      <c r="W947">
        <v>6</v>
      </c>
    </row>
    <row r="948" spans="1:23" x14ac:dyDescent="0.25">
      <c r="A948" t="s">
        <v>1892</v>
      </c>
      <c r="B948">
        <v>45830.705601851849</v>
      </c>
      <c r="C948" t="s">
        <v>1133</v>
      </c>
      <c r="D948" t="s">
        <v>80</v>
      </c>
      <c r="E948" t="s">
        <v>21</v>
      </c>
      <c r="F948" t="s">
        <v>2394</v>
      </c>
      <c r="G948" t="s">
        <v>2379</v>
      </c>
      <c r="H948">
        <v>45000</v>
      </c>
      <c r="I948">
        <v>3</v>
      </c>
      <c r="J948">
        <v>15</v>
      </c>
      <c r="K948">
        <v>135000</v>
      </c>
      <c r="L948">
        <v>20250</v>
      </c>
      <c r="M948">
        <v>114750</v>
      </c>
      <c r="N948">
        <v>74000</v>
      </c>
      <c r="O948">
        <v>188750</v>
      </c>
      <c r="P948" t="s">
        <v>22</v>
      </c>
      <c r="Q948" t="s">
        <v>2356</v>
      </c>
      <c r="R948" t="s">
        <v>46</v>
      </c>
      <c r="S948">
        <v>2</v>
      </c>
      <c r="T948" t="s">
        <v>24</v>
      </c>
      <c r="U948" t="s">
        <v>2406</v>
      </c>
      <c r="V948">
        <v>2025</v>
      </c>
      <c r="W948">
        <v>6</v>
      </c>
    </row>
    <row r="949" spans="1:23" x14ac:dyDescent="0.25">
      <c r="A949" t="s">
        <v>1893</v>
      </c>
      <c r="B949">
        <v>45830.708506944437</v>
      </c>
      <c r="C949" t="s">
        <v>1382</v>
      </c>
      <c r="D949" t="s">
        <v>74</v>
      </c>
      <c r="E949" t="s">
        <v>75</v>
      </c>
      <c r="F949" t="s">
        <v>2398</v>
      </c>
      <c r="G949" t="s">
        <v>2379</v>
      </c>
      <c r="H949">
        <v>55000</v>
      </c>
      <c r="I949">
        <v>2</v>
      </c>
      <c r="J949">
        <v>20</v>
      </c>
      <c r="K949">
        <v>110000</v>
      </c>
      <c r="L949">
        <v>22000</v>
      </c>
      <c r="M949">
        <v>88000</v>
      </c>
      <c r="N949">
        <v>87000</v>
      </c>
      <c r="O949">
        <v>175000</v>
      </c>
      <c r="P949" t="s">
        <v>63</v>
      </c>
      <c r="Q949" t="s">
        <v>2357</v>
      </c>
      <c r="R949" t="s">
        <v>46</v>
      </c>
      <c r="S949">
        <v>3</v>
      </c>
      <c r="T949" t="s">
        <v>24</v>
      </c>
      <c r="U949" t="s">
        <v>2406</v>
      </c>
      <c r="V949">
        <v>2025</v>
      </c>
      <c r="W949">
        <v>6</v>
      </c>
    </row>
    <row r="950" spans="1:23" x14ac:dyDescent="0.25">
      <c r="A950" t="s">
        <v>1894</v>
      </c>
      <c r="B950">
        <v>45830.878240740742</v>
      </c>
      <c r="C950" t="s">
        <v>273</v>
      </c>
      <c r="D950" t="s">
        <v>195</v>
      </c>
      <c r="E950" t="s">
        <v>136</v>
      </c>
      <c r="F950" t="s">
        <v>2400</v>
      </c>
      <c r="G950" t="s">
        <v>2378</v>
      </c>
      <c r="H950">
        <v>12000</v>
      </c>
      <c r="I950">
        <v>2</v>
      </c>
      <c r="J950">
        <v>0</v>
      </c>
      <c r="K950">
        <v>24000</v>
      </c>
      <c r="L950">
        <v>0</v>
      </c>
      <c r="M950">
        <v>24000</v>
      </c>
      <c r="N950">
        <v>87000</v>
      </c>
      <c r="O950">
        <v>111000</v>
      </c>
      <c r="P950" t="s">
        <v>22</v>
      </c>
      <c r="Q950" t="s">
        <v>2357</v>
      </c>
      <c r="R950" t="s">
        <v>30</v>
      </c>
      <c r="S950">
        <v>5</v>
      </c>
      <c r="T950" t="s">
        <v>24</v>
      </c>
      <c r="U950" t="s">
        <v>2406</v>
      </c>
      <c r="V950">
        <v>2025</v>
      </c>
      <c r="W950">
        <v>6</v>
      </c>
    </row>
    <row r="951" spans="1:23" x14ac:dyDescent="0.25">
      <c r="A951" t="s">
        <v>1895</v>
      </c>
      <c r="B951">
        <v>45831.159814814811</v>
      </c>
      <c r="C951" t="s">
        <v>353</v>
      </c>
      <c r="D951" t="s">
        <v>66</v>
      </c>
      <c r="E951" t="s">
        <v>62</v>
      </c>
      <c r="F951" t="s">
        <v>2398</v>
      </c>
      <c r="G951" t="s">
        <v>2378</v>
      </c>
      <c r="H951">
        <v>50000</v>
      </c>
      <c r="I951">
        <v>2</v>
      </c>
      <c r="J951">
        <v>15</v>
      </c>
      <c r="K951">
        <v>100000</v>
      </c>
      <c r="L951">
        <v>15000</v>
      </c>
      <c r="M951">
        <v>85000</v>
      </c>
      <c r="N951">
        <v>59000</v>
      </c>
      <c r="O951">
        <v>144000</v>
      </c>
      <c r="P951" t="s">
        <v>35</v>
      </c>
      <c r="Q951" t="s">
        <v>2357</v>
      </c>
      <c r="R951" t="s">
        <v>46</v>
      </c>
      <c r="S951">
        <v>5</v>
      </c>
      <c r="T951" t="s">
        <v>24</v>
      </c>
      <c r="U951" t="s">
        <v>2406</v>
      </c>
      <c r="V951">
        <v>2025</v>
      </c>
      <c r="W951">
        <v>6</v>
      </c>
    </row>
    <row r="952" spans="1:23" x14ac:dyDescent="0.25">
      <c r="A952" t="s">
        <v>1896</v>
      </c>
      <c r="B952">
        <v>45831.452824074076</v>
      </c>
      <c r="C952" t="s">
        <v>688</v>
      </c>
      <c r="D952" t="s">
        <v>92</v>
      </c>
      <c r="E952" t="s">
        <v>138</v>
      </c>
      <c r="F952" t="s">
        <v>2396</v>
      </c>
      <c r="G952" t="s">
        <v>2378</v>
      </c>
      <c r="H952">
        <v>17000</v>
      </c>
      <c r="I952">
        <v>5</v>
      </c>
      <c r="J952">
        <v>0</v>
      </c>
      <c r="K952">
        <v>85000</v>
      </c>
      <c r="L952">
        <v>0</v>
      </c>
      <c r="M952">
        <v>85000</v>
      </c>
      <c r="N952">
        <v>30000</v>
      </c>
      <c r="O952">
        <v>115000</v>
      </c>
      <c r="P952" t="s">
        <v>35</v>
      </c>
      <c r="Q952" t="s">
        <v>2357</v>
      </c>
      <c r="R952" t="s">
        <v>23</v>
      </c>
      <c r="S952">
        <v>4</v>
      </c>
      <c r="T952" t="s">
        <v>24</v>
      </c>
      <c r="U952" t="s">
        <v>2406</v>
      </c>
      <c r="V952">
        <v>2025</v>
      </c>
      <c r="W952">
        <v>6</v>
      </c>
    </row>
    <row r="953" spans="1:23" x14ac:dyDescent="0.25">
      <c r="A953" t="s">
        <v>1897</v>
      </c>
      <c r="B953">
        <v>45831.528344907398</v>
      </c>
      <c r="C953" t="s">
        <v>314</v>
      </c>
      <c r="D953" t="s">
        <v>113</v>
      </c>
      <c r="E953" t="s">
        <v>45</v>
      </c>
      <c r="F953" t="s">
        <v>2394</v>
      </c>
      <c r="G953" t="s">
        <v>2378</v>
      </c>
      <c r="H953">
        <v>40000</v>
      </c>
      <c r="I953">
        <v>1</v>
      </c>
      <c r="J953">
        <v>5</v>
      </c>
      <c r="K953">
        <v>40000</v>
      </c>
      <c r="L953">
        <v>2000</v>
      </c>
      <c r="M953">
        <v>38000</v>
      </c>
      <c r="N953">
        <v>18000</v>
      </c>
      <c r="O953">
        <v>56000</v>
      </c>
      <c r="P953" t="s">
        <v>63</v>
      </c>
      <c r="Q953" t="s">
        <v>2357</v>
      </c>
      <c r="R953" t="s">
        <v>23</v>
      </c>
      <c r="S953">
        <v>2</v>
      </c>
      <c r="T953" t="s">
        <v>24</v>
      </c>
      <c r="U953" t="s">
        <v>2406</v>
      </c>
      <c r="V953">
        <v>2025</v>
      </c>
      <c r="W953">
        <v>6</v>
      </c>
    </row>
    <row r="954" spans="1:23" x14ac:dyDescent="0.25">
      <c r="A954" t="s">
        <v>1898</v>
      </c>
      <c r="B954">
        <v>45831.597777777781</v>
      </c>
      <c r="C954" t="s">
        <v>326</v>
      </c>
      <c r="D954" t="s">
        <v>262</v>
      </c>
      <c r="E954" t="s">
        <v>28</v>
      </c>
      <c r="F954" t="s">
        <v>2395</v>
      </c>
      <c r="G954" t="s">
        <v>2378</v>
      </c>
      <c r="H954">
        <v>5000</v>
      </c>
      <c r="I954">
        <v>1</v>
      </c>
      <c r="J954">
        <v>20</v>
      </c>
      <c r="K954">
        <v>5000</v>
      </c>
      <c r="L954">
        <v>1000</v>
      </c>
      <c r="M954">
        <v>4000</v>
      </c>
      <c r="N954">
        <v>18000</v>
      </c>
      <c r="O954">
        <v>22000</v>
      </c>
      <c r="P954" t="s">
        <v>35</v>
      </c>
      <c r="Q954" t="s">
        <v>2357</v>
      </c>
      <c r="R954" t="s">
        <v>82</v>
      </c>
      <c r="S954">
        <v>4</v>
      </c>
      <c r="T954" t="s">
        <v>37</v>
      </c>
      <c r="U954" t="s">
        <v>2406</v>
      </c>
      <c r="V954">
        <v>2025</v>
      </c>
      <c r="W954">
        <v>6</v>
      </c>
    </row>
    <row r="955" spans="1:23" x14ac:dyDescent="0.25">
      <c r="A955" t="s">
        <v>1899</v>
      </c>
      <c r="B955">
        <v>45831.82885416667</v>
      </c>
      <c r="C955" t="s">
        <v>271</v>
      </c>
      <c r="D955" t="s">
        <v>49</v>
      </c>
      <c r="E955" t="s">
        <v>190</v>
      </c>
      <c r="F955" t="s">
        <v>2392</v>
      </c>
      <c r="G955" t="s">
        <v>2378</v>
      </c>
      <c r="H955">
        <v>35000</v>
      </c>
      <c r="I955">
        <v>1</v>
      </c>
      <c r="J955">
        <v>0</v>
      </c>
      <c r="K955">
        <v>35000</v>
      </c>
      <c r="L955">
        <v>0</v>
      </c>
      <c r="M955">
        <v>35000</v>
      </c>
      <c r="N955">
        <v>43000</v>
      </c>
      <c r="O955">
        <v>78000</v>
      </c>
      <c r="P955" t="s">
        <v>22</v>
      </c>
      <c r="Q955" t="s">
        <v>2357</v>
      </c>
      <c r="R955" t="s">
        <v>23</v>
      </c>
      <c r="S955">
        <v>1</v>
      </c>
      <c r="T955" t="s">
        <v>24</v>
      </c>
      <c r="U955" t="s">
        <v>2406</v>
      </c>
      <c r="V955">
        <v>2025</v>
      </c>
      <c r="W955">
        <v>6</v>
      </c>
    </row>
    <row r="956" spans="1:23" x14ac:dyDescent="0.25">
      <c r="A956" t="s">
        <v>1900</v>
      </c>
      <c r="B956">
        <v>45832.112662037027</v>
      </c>
      <c r="C956" t="s">
        <v>638</v>
      </c>
      <c r="D956" t="s">
        <v>195</v>
      </c>
      <c r="E956" t="s">
        <v>81</v>
      </c>
      <c r="F956" t="s">
        <v>2397</v>
      </c>
      <c r="G956" t="s">
        <v>2378</v>
      </c>
      <c r="H956">
        <v>17000</v>
      </c>
      <c r="I956">
        <v>2</v>
      </c>
      <c r="J956">
        <v>15</v>
      </c>
      <c r="K956">
        <v>34000</v>
      </c>
      <c r="L956">
        <v>5100</v>
      </c>
      <c r="M956">
        <v>28900</v>
      </c>
      <c r="N956">
        <v>87000</v>
      </c>
      <c r="O956">
        <v>115900</v>
      </c>
      <c r="P956" t="s">
        <v>22</v>
      </c>
      <c r="Q956" t="s">
        <v>2357</v>
      </c>
      <c r="R956" t="s">
        <v>30</v>
      </c>
      <c r="S956">
        <v>5</v>
      </c>
      <c r="T956" t="s">
        <v>37</v>
      </c>
      <c r="U956" t="s">
        <v>2406</v>
      </c>
      <c r="V956">
        <v>2025</v>
      </c>
      <c r="W956">
        <v>6</v>
      </c>
    </row>
    <row r="957" spans="1:23" x14ac:dyDescent="0.25">
      <c r="A957" t="s">
        <v>1901</v>
      </c>
      <c r="B957">
        <v>45832.615891203714</v>
      </c>
      <c r="C957" t="s">
        <v>1199</v>
      </c>
      <c r="D957" t="s">
        <v>375</v>
      </c>
      <c r="E957" t="s">
        <v>123</v>
      </c>
      <c r="F957" t="s">
        <v>2399</v>
      </c>
      <c r="G957" t="s">
        <v>2377</v>
      </c>
      <c r="H957">
        <v>22000</v>
      </c>
      <c r="I957">
        <v>2</v>
      </c>
      <c r="J957">
        <v>20</v>
      </c>
      <c r="K957">
        <v>44000</v>
      </c>
      <c r="L957">
        <v>8800</v>
      </c>
      <c r="M957">
        <v>35200</v>
      </c>
      <c r="N957">
        <v>21000</v>
      </c>
      <c r="O957">
        <v>56200</v>
      </c>
      <c r="P957" t="s">
        <v>35</v>
      </c>
      <c r="Q957" t="s">
        <v>2357</v>
      </c>
      <c r="R957" t="s">
        <v>36</v>
      </c>
      <c r="S957">
        <v>1</v>
      </c>
      <c r="T957" t="s">
        <v>24</v>
      </c>
      <c r="U957" t="s">
        <v>2406</v>
      </c>
      <c r="V957">
        <v>2025</v>
      </c>
      <c r="W957">
        <v>6</v>
      </c>
    </row>
    <row r="958" spans="1:23" x14ac:dyDescent="0.25">
      <c r="A958" t="s">
        <v>1902</v>
      </c>
      <c r="B958">
        <v>45832.70207175926</v>
      </c>
      <c r="C958" t="s">
        <v>1047</v>
      </c>
      <c r="D958" t="s">
        <v>160</v>
      </c>
      <c r="E958" t="s">
        <v>38</v>
      </c>
      <c r="F958" t="s">
        <v>2399</v>
      </c>
      <c r="G958" t="s">
        <v>2379</v>
      </c>
      <c r="H958">
        <v>28000</v>
      </c>
      <c r="I958">
        <v>3</v>
      </c>
      <c r="J958">
        <v>5</v>
      </c>
      <c r="K958">
        <v>84000</v>
      </c>
      <c r="L958">
        <v>4200</v>
      </c>
      <c r="M958">
        <v>79800</v>
      </c>
      <c r="N958">
        <v>68000</v>
      </c>
      <c r="O958">
        <v>147800</v>
      </c>
      <c r="P958" t="s">
        <v>22</v>
      </c>
      <c r="Q958" t="s">
        <v>2357</v>
      </c>
      <c r="R958" t="s">
        <v>82</v>
      </c>
      <c r="S958">
        <v>3</v>
      </c>
      <c r="T958" t="s">
        <v>24</v>
      </c>
      <c r="U958" t="s">
        <v>2406</v>
      </c>
      <c r="V958">
        <v>2025</v>
      </c>
      <c r="W958">
        <v>6</v>
      </c>
    </row>
    <row r="959" spans="1:23" x14ac:dyDescent="0.25">
      <c r="A959" t="s">
        <v>1903</v>
      </c>
      <c r="B959">
        <v>45832.955671296288</v>
      </c>
      <c r="C959" t="s">
        <v>337</v>
      </c>
      <c r="D959" t="s">
        <v>131</v>
      </c>
      <c r="E959" t="s">
        <v>144</v>
      </c>
      <c r="F959" t="s">
        <v>2396</v>
      </c>
      <c r="G959" t="s">
        <v>2379</v>
      </c>
      <c r="H959">
        <v>18000</v>
      </c>
      <c r="I959">
        <v>5</v>
      </c>
      <c r="J959">
        <v>0</v>
      </c>
      <c r="K959">
        <v>90000</v>
      </c>
      <c r="L959">
        <v>0</v>
      </c>
      <c r="M959">
        <v>90000</v>
      </c>
      <c r="N959">
        <v>59000</v>
      </c>
      <c r="O959">
        <v>149000</v>
      </c>
      <c r="P959" t="s">
        <v>29</v>
      </c>
      <c r="Q959" t="s">
        <v>2357</v>
      </c>
      <c r="R959" t="s">
        <v>23</v>
      </c>
      <c r="S959">
        <v>5</v>
      </c>
      <c r="T959" t="s">
        <v>24</v>
      </c>
      <c r="U959" t="s">
        <v>2406</v>
      </c>
      <c r="V959">
        <v>2025</v>
      </c>
      <c r="W959">
        <v>6</v>
      </c>
    </row>
    <row r="960" spans="1:23" x14ac:dyDescent="0.25">
      <c r="A960" t="s">
        <v>1904</v>
      </c>
      <c r="B960">
        <v>45833.024351851847</v>
      </c>
      <c r="C960" t="s">
        <v>267</v>
      </c>
      <c r="D960" t="s">
        <v>131</v>
      </c>
      <c r="E960" t="s">
        <v>190</v>
      </c>
      <c r="F960" t="s">
        <v>2392</v>
      </c>
      <c r="G960" t="s">
        <v>2378</v>
      </c>
      <c r="H960">
        <v>35000</v>
      </c>
      <c r="I960">
        <v>4</v>
      </c>
      <c r="J960">
        <v>15</v>
      </c>
      <c r="K960">
        <v>140000</v>
      </c>
      <c r="L960">
        <v>21000</v>
      </c>
      <c r="M960">
        <v>119000</v>
      </c>
      <c r="N960">
        <v>59000</v>
      </c>
      <c r="O960">
        <v>178000</v>
      </c>
      <c r="P960" t="s">
        <v>63</v>
      </c>
      <c r="Q960" t="s">
        <v>2357</v>
      </c>
      <c r="R960" t="s">
        <v>23</v>
      </c>
      <c r="S960">
        <v>4</v>
      </c>
      <c r="T960" t="s">
        <v>24</v>
      </c>
      <c r="U960" t="s">
        <v>2406</v>
      </c>
      <c r="V960">
        <v>2025</v>
      </c>
      <c r="W960">
        <v>6</v>
      </c>
    </row>
    <row r="961" spans="1:23" x14ac:dyDescent="0.25">
      <c r="A961" t="s">
        <v>1905</v>
      </c>
      <c r="B961">
        <v>45833.297638888893</v>
      </c>
      <c r="C961" t="s">
        <v>985</v>
      </c>
      <c r="D961" t="s">
        <v>53</v>
      </c>
      <c r="E961" t="s">
        <v>54</v>
      </c>
      <c r="F961" t="s">
        <v>2393</v>
      </c>
      <c r="G961" t="s">
        <v>2379</v>
      </c>
      <c r="H961">
        <v>16000</v>
      </c>
      <c r="I961">
        <v>2</v>
      </c>
      <c r="J961">
        <v>10</v>
      </c>
      <c r="K961">
        <v>32000</v>
      </c>
      <c r="L961">
        <v>3200</v>
      </c>
      <c r="M961">
        <v>28800</v>
      </c>
      <c r="N961">
        <v>18000</v>
      </c>
      <c r="O961">
        <v>46800</v>
      </c>
      <c r="P961" t="s">
        <v>63</v>
      </c>
      <c r="Q961" t="s">
        <v>2356</v>
      </c>
      <c r="R961" t="s">
        <v>23</v>
      </c>
      <c r="S961">
        <v>5</v>
      </c>
      <c r="T961" t="s">
        <v>24</v>
      </c>
      <c r="U961" t="s">
        <v>2406</v>
      </c>
      <c r="V961">
        <v>2025</v>
      </c>
      <c r="W961">
        <v>6</v>
      </c>
    </row>
    <row r="962" spans="1:23" x14ac:dyDescent="0.25">
      <c r="A962" t="s">
        <v>1906</v>
      </c>
      <c r="B962">
        <v>45833.859907407408</v>
      </c>
      <c r="C962" t="s">
        <v>1654</v>
      </c>
      <c r="D962" t="s">
        <v>74</v>
      </c>
      <c r="E962" t="s">
        <v>28</v>
      </c>
      <c r="F962" t="s">
        <v>2395</v>
      </c>
      <c r="G962" t="s">
        <v>2378</v>
      </c>
      <c r="H962">
        <v>5000</v>
      </c>
      <c r="I962">
        <v>3</v>
      </c>
      <c r="J962">
        <v>0</v>
      </c>
      <c r="K962">
        <v>15000</v>
      </c>
      <c r="L962">
        <v>0</v>
      </c>
      <c r="M962">
        <v>15000</v>
      </c>
      <c r="N962">
        <v>87000</v>
      </c>
      <c r="O962">
        <v>102000</v>
      </c>
      <c r="P962" t="s">
        <v>35</v>
      </c>
      <c r="Q962" t="s">
        <v>2357</v>
      </c>
      <c r="R962" t="s">
        <v>36</v>
      </c>
      <c r="S962">
        <v>2</v>
      </c>
      <c r="T962" t="s">
        <v>37</v>
      </c>
      <c r="U962" t="s">
        <v>2406</v>
      </c>
      <c r="V962">
        <v>2025</v>
      </c>
      <c r="W962">
        <v>6</v>
      </c>
    </row>
    <row r="963" spans="1:23" x14ac:dyDescent="0.25">
      <c r="A963" t="s">
        <v>1907</v>
      </c>
      <c r="B963">
        <v>45834.059502314813</v>
      </c>
      <c r="C963" t="s">
        <v>222</v>
      </c>
      <c r="D963" t="s">
        <v>49</v>
      </c>
      <c r="E963" t="s">
        <v>190</v>
      </c>
      <c r="F963" t="s">
        <v>2392</v>
      </c>
      <c r="G963" t="s">
        <v>2378</v>
      </c>
      <c r="H963">
        <v>35000</v>
      </c>
      <c r="I963">
        <v>3</v>
      </c>
      <c r="J963">
        <v>10</v>
      </c>
      <c r="K963">
        <v>105000</v>
      </c>
      <c r="L963">
        <v>10500</v>
      </c>
      <c r="M963">
        <v>94500</v>
      </c>
      <c r="N963">
        <v>43000</v>
      </c>
      <c r="O963">
        <v>137500</v>
      </c>
      <c r="P963" t="s">
        <v>29</v>
      </c>
      <c r="Q963" t="s">
        <v>2357</v>
      </c>
      <c r="R963" t="s">
        <v>46</v>
      </c>
      <c r="S963">
        <v>3</v>
      </c>
      <c r="T963" t="s">
        <v>24</v>
      </c>
      <c r="U963" t="s">
        <v>2406</v>
      </c>
      <c r="V963">
        <v>2025</v>
      </c>
      <c r="W963">
        <v>6</v>
      </c>
    </row>
    <row r="964" spans="1:23" x14ac:dyDescent="0.25">
      <c r="A964" t="s">
        <v>1908</v>
      </c>
      <c r="B964">
        <v>45834.124675925923</v>
      </c>
      <c r="C964" t="s">
        <v>891</v>
      </c>
      <c r="D964" t="s">
        <v>126</v>
      </c>
      <c r="E964" t="s">
        <v>75</v>
      </c>
      <c r="F964" t="s">
        <v>2398</v>
      </c>
      <c r="G964" t="s">
        <v>2379</v>
      </c>
      <c r="H964">
        <v>55000</v>
      </c>
      <c r="I964">
        <v>1</v>
      </c>
      <c r="J964">
        <v>10</v>
      </c>
      <c r="K964">
        <v>55000</v>
      </c>
      <c r="L964">
        <v>5500</v>
      </c>
      <c r="M964">
        <v>49500</v>
      </c>
      <c r="N964">
        <v>84000</v>
      </c>
      <c r="O964">
        <v>133500</v>
      </c>
      <c r="P964" t="s">
        <v>22</v>
      </c>
      <c r="Q964" t="s">
        <v>2357</v>
      </c>
      <c r="R964" t="s">
        <v>82</v>
      </c>
      <c r="S964">
        <v>3</v>
      </c>
      <c r="T964" t="s">
        <v>37</v>
      </c>
      <c r="U964" t="s">
        <v>2406</v>
      </c>
      <c r="V964">
        <v>2025</v>
      </c>
      <c r="W964">
        <v>6</v>
      </c>
    </row>
    <row r="965" spans="1:23" x14ac:dyDescent="0.25">
      <c r="A965" t="s">
        <v>1909</v>
      </c>
      <c r="B965">
        <v>45834.260358796288</v>
      </c>
      <c r="C965" t="s">
        <v>1040</v>
      </c>
      <c r="D965" t="s">
        <v>61</v>
      </c>
      <c r="E965" t="s">
        <v>138</v>
      </c>
      <c r="F965" t="s">
        <v>2396</v>
      </c>
      <c r="G965" t="s">
        <v>2378</v>
      </c>
      <c r="H965">
        <v>17000</v>
      </c>
      <c r="I965">
        <v>4</v>
      </c>
      <c r="J965">
        <v>15</v>
      </c>
      <c r="K965">
        <v>68000</v>
      </c>
      <c r="L965">
        <v>10200</v>
      </c>
      <c r="M965">
        <v>57800</v>
      </c>
      <c r="N965">
        <v>26000</v>
      </c>
      <c r="O965">
        <v>83800</v>
      </c>
      <c r="P965" t="s">
        <v>63</v>
      </c>
      <c r="Q965" t="s">
        <v>2357</v>
      </c>
      <c r="R965" t="s">
        <v>46</v>
      </c>
      <c r="S965">
        <v>2</v>
      </c>
      <c r="T965" t="s">
        <v>24</v>
      </c>
      <c r="U965" t="s">
        <v>2406</v>
      </c>
      <c r="V965">
        <v>2025</v>
      </c>
      <c r="W965">
        <v>6</v>
      </c>
    </row>
    <row r="966" spans="1:23" x14ac:dyDescent="0.25">
      <c r="A966" t="s">
        <v>1910</v>
      </c>
      <c r="B966">
        <v>45834.40934027778</v>
      </c>
      <c r="C966" t="s">
        <v>118</v>
      </c>
      <c r="D966" t="s">
        <v>119</v>
      </c>
      <c r="E966" t="s">
        <v>75</v>
      </c>
      <c r="F966" t="s">
        <v>2398</v>
      </c>
      <c r="G966" t="s">
        <v>2379</v>
      </c>
      <c r="H966">
        <v>55000</v>
      </c>
      <c r="I966">
        <v>3</v>
      </c>
      <c r="J966">
        <v>5</v>
      </c>
      <c r="K966">
        <v>165000</v>
      </c>
      <c r="L966">
        <v>8250</v>
      </c>
      <c r="M966">
        <v>156750</v>
      </c>
      <c r="N966">
        <v>0</v>
      </c>
      <c r="O966">
        <v>156750</v>
      </c>
      <c r="P966" t="s">
        <v>22</v>
      </c>
      <c r="Q966" t="s">
        <v>2359</v>
      </c>
      <c r="R966" t="s">
        <v>23</v>
      </c>
      <c r="S966">
        <v>1</v>
      </c>
      <c r="T966" t="s">
        <v>24</v>
      </c>
      <c r="U966" t="s">
        <v>2406</v>
      </c>
      <c r="V966">
        <v>2025</v>
      </c>
      <c r="W966">
        <v>6</v>
      </c>
    </row>
    <row r="967" spans="1:23" x14ac:dyDescent="0.25">
      <c r="A967" t="s">
        <v>1911</v>
      </c>
      <c r="B967">
        <v>45834.511157407411</v>
      </c>
      <c r="C967" t="s">
        <v>106</v>
      </c>
      <c r="D967" t="s">
        <v>107</v>
      </c>
      <c r="E967" t="s">
        <v>136</v>
      </c>
      <c r="F967" t="s">
        <v>2400</v>
      </c>
      <c r="G967" t="s">
        <v>2378</v>
      </c>
      <c r="H967">
        <v>12000</v>
      </c>
      <c r="I967">
        <v>1</v>
      </c>
      <c r="J967">
        <v>10</v>
      </c>
      <c r="K967">
        <v>12000</v>
      </c>
      <c r="L967">
        <v>1200</v>
      </c>
      <c r="M967">
        <v>10800</v>
      </c>
      <c r="N967">
        <v>97000</v>
      </c>
      <c r="O967">
        <v>107800</v>
      </c>
      <c r="P967" t="s">
        <v>63</v>
      </c>
      <c r="Q967" t="s">
        <v>2357</v>
      </c>
      <c r="R967" t="s">
        <v>82</v>
      </c>
      <c r="S967">
        <v>2</v>
      </c>
      <c r="T967" t="s">
        <v>24</v>
      </c>
      <c r="U967" t="s">
        <v>2406</v>
      </c>
      <c r="V967">
        <v>2025</v>
      </c>
      <c r="W967">
        <v>6</v>
      </c>
    </row>
    <row r="968" spans="1:23" x14ac:dyDescent="0.25">
      <c r="A968" t="s">
        <v>1912</v>
      </c>
      <c r="B968">
        <v>45834.859282407408</v>
      </c>
      <c r="C968" t="s">
        <v>243</v>
      </c>
      <c r="D968" t="s">
        <v>244</v>
      </c>
      <c r="E968" t="s">
        <v>250</v>
      </c>
      <c r="F968" t="s">
        <v>2397</v>
      </c>
      <c r="G968" t="s">
        <v>2379</v>
      </c>
      <c r="H968">
        <v>18000</v>
      </c>
      <c r="I968">
        <v>5</v>
      </c>
      <c r="J968">
        <v>0</v>
      </c>
      <c r="K968">
        <v>90000</v>
      </c>
      <c r="L968">
        <v>0</v>
      </c>
      <c r="M968">
        <v>90000</v>
      </c>
      <c r="N968">
        <v>80000</v>
      </c>
      <c r="O968">
        <v>170000</v>
      </c>
      <c r="P968" t="s">
        <v>22</v>
      </c>
      <c r="Q968" t="s">
        <v>2356</v>
      </c>
      <c r="R968" t="s">
        <v>82</v>
      </c>
      <c r="S968">
        <v>4</v>
      </c>
      <c r="T968" t="s">
        <v>37</v>
      </c>
      <c r="U968" t="s">
        <v>2406</v>
      </c>
      <c r="V968">
        <v>2025</v>
      </c>
      <c r="W968">
        <v>6</v>
      </c>
    </row>
    <row r="969" spans="1:23" x14ac:dyDescent="0.25">
      <c r="A969" t="s">
        <v>1913</v>
      </c>
      <c r="B969">
        <v>45834.879988425928</v>
      </c>
      <c r="C969" t="s">
        <v>515</v>
      </c>
      <c r="D969" t="s">
        <v>182</v>
      </c>
      <c r="E969" t="s">
        <v>88</v>
      </c>
      <c r="F969" t="s">
        <v>2393</v>
      </c>
      <c r="G969" t="s">
        <v>2377</v>
      </c>
      <c r="H969">
        <v>14000</v>
      </c>
      <c r="I969">
        <v>2</v>
      </c>
      <c r="J969">
        <v>5</v>
      </c>
      <c r="K969">
        <v>28000</v>
      </c>
      <c r="L969">
        <v>1400</v>
      </c>
      <c r="M969">
        <v>26600</v>
      </c>
      <c r="N969">
        <v>48000</v>
      </c>
      <c r="O969">
        <v>74600</v>
      </c>
      <c r="P969" t="s">
        <v>63</v>
      </c>
      <c r="Q969" t="s">
        <v>2357</v>
      </c>
      <c r="R969" t="s">
        <v>46</v>
      </c>
      <c r="S969">
        <v>1</v>
      </c>
      <c r="T969" t="s">
        <v>24</v>
      </c>
      <c r="U969" t="s">
        <v>2406</v>
      </c>
      <c r="V969">
        <v>2025</v>
      </c>
      <c r="W969">
        <v>6</v>
      </c>
    </row>
    <row r="970" spans="1:23" x14ac:dyDescent="0.25">
      <c r="A970" t="s">
        <v>1914</v>
      </c>
      <c r="B970">
        <v>45835.018020833333</v>
      </c>
      <c r="C970" t="s">
        <v>774</v>
      </c>
      <c r="D970" t="s">
        <v>262</v>
      </c>
      <c r="E970" t="s">
        <v>250</v>
      </c>
      <c r="F970" t="s">
        <v>2397</v>
      </c>
      <c r="G970" t="s">
        <v>2379</v>
      </c>
      <c r="H970">
        <v>18000</v>
      </c>
      <c r="I970">
        <v>1</v>
      </c>
      <c r="J970">
        <v>10</v>
      </c>
      <c r="K970">
        <v>18000</v>
      </c>
      <c r="L970">
        <v>1800</v>
      </c>
      <c r="M970">
        <v>16200</v>
      </c>
      <c r="N970">
        <v>18000</v>
      </c>
      <c r="O970">
        <v>34200</v>
      </c>
      <c r="P970" t="s">
        <v>29</v>
      </c>
      <c r="Q970" t="s">
        <v>2357</v>
      </c>
      <c r="R970" t="s">
        <v>36</v>
      </c>
      <c r="S970">
        <v>2</v>
      </c>
      <c r="T970" t="s">
        <v>24</v>
      </c>
      <c r="U970" t="s">
        <v>2406</v>
      </c>
      <c r="V970">
        <v>2025</v>
      </c>
      <c r="W970">
        <v>6</v>
      </c>
    </row>
    <row r="971" spans="1:23" x14ac:dyDescent="0.25">
      <c r="A971" t="s">
        <v>1915</v>
      </c>
      <c r="B971">
        <v>45835.074872685182</v>
      </c>
      <c r="C971" t="s">
        <v>473</v>
      </c>
      <c r="D971" t="s">
        <v>122</v>
      </c>
      <c r="E971" t="s">
        <v>21</v>
      </c>
      <c r="F971" t="s">
        <v>2394</v>
      </c>
      <c r="G971" t="s">
        <v>2379</v>
      </c>
      <c r="H971">
        <v>45000</v>
      </c>
      <c r="I971">
        <v>3</v>
      </c>
      <c r="J971">
        <v>0</v>
      </c>
      <c r="K971">
        <v>135000</v>
      </c>
      <c r="L971">
        <v>0</v>
      </c>
      <c r="M971">
        <v>135000</v>
      </c>
      <c r="N971">
        <v>78000</v>
      </c>
      <c r="O971">
        <v>213000</v>
      </c>
      <c r="P971" t="s">
        <v>29</v>
      </c>
      <c r="Q971" t="s">
        <v>2357</v>
      </c>
      <c r="R971" t="s">
        <v>36</v>
      </c>
      <c r="S971">
        <v>4</v>
      </c>
      <c r="T971" t="s">
        <v>24</v>
      </c>
      <c r="U971" t="s">
        <v>2406</v>
      </c>
      <c r="V971">
        <v>2025</v>
      </c>
      <c r="W971">
        <v>6</v>
      </c>
    </row>
    <row r="972" spans="1:23" x14ac:dyDescent="0.25">
      <c r="A972" t="s">
        <v>1916</v>
      </c>
      <c r="B972">
        <v>45835.552071759259</v>
      </c>
      <c r="C972" t="s">
        <v>112</v>
      </c>
      <c r="D972" t="s">
        <v>113</v>
      </c>
      <c r="E972" t="s">
        <v>50</v>
      </c>
      <c r="F972" t="s">
        <v>2400</v>
      </c>
      <c r="G972" t="s">
        <v>2379</v>
      </c>
      <c r="H972">
        <v>14000</v>
      </c>
      <c r="I972">
        <v>1</v>
      </c>
      <c r="J972">
        <v>10</v>
      </c>
      <c r="K972">
        <v>14000</v>
      </c>
      <c r="L972">
        <v>1400</v>
      </c>
      <c r="M972">
        <v>12600</v>
      </c>
      <c r="N972">
        <v>18000</v>
      </c>
      <c r="O972">
        <v>30600</v>
      </c>
      <c r="P972" t="s">
        <v>63</v>
      </c>
      <c r="Q972" t="s">
        <v>2357</v>
      </c>
      <c r="R972" t="s">
        <v>36</v>
      </c>
      <c r="S972">
        <v>5</v>
      </c>
      <c r="T972" t="s">
        <v>24</v>
      </c>
      <c r="U972" t="s">
        <v>2406</v>
      </c>
      <c r="V972">
        <v>2025</v>
      </c>
      <c r="W972">
        <v>6</v>
      </c>
    </row>
    <row r="973" spans="1:23" x14ac:dyDescent="0.25">
      <c r="A973" t="s">
        <v>1917</v>
      </c>
      <c r="B973">
        <v>45835.804826388892</v>
      </c>
      <c r="C973" t="s">
        <v>184</v>
      </c>
      <c r="D973" t="s">
        <v>103</v>
      </c>
      <c r="E973" t="s">
        <v>41</v>
      </c>
      <c r="F973" t="s">
        <v>2395</v>
      </c>
      <c r="G973" t="s">
        <v>2377</v>
      </c>
      <c r="H973">
        <v>4000</v>
      </c>
      <c r="I973">
        <v>3</v>
      </c>
      <c r="J973">
        <v>0</v>
      </c>
      <c r="K973">
        <v>12000</v>
      </c>
      <c r="L973">
        <v>0</v>
      </c>
      <c r="M973">
        <v>12000</v>
      </c>
      <c r="N973">
        <v>85000</v>
      </c>
      <c r="O973">
        <v>97000</v>
      </c>
      <c r="P973" t="s">
        <v>22</v>
      </c>
      <c r="Q973" t="s">
        <v>2356</v>
      </c>
      <c r="R973" t="s">
        <v>46</v>
      </c>
      <c r="S973">
        <v>2</v>
      </c>
      <c r="T973" t="s">
        <v>24</v>
      </c>
      <c r="U973" t="s">
        <v>2406</v>
      </c>
      <c r="V973">
        <v>2025</v>
      </c>
      <c r="W973">
        <v>6</v>
      </c>
    </row>
    <row r="974" spans="1:23" x14ac:dyDescent="0.25">
      <c r="A974" t="s">
        <v>1918</v>
      </c>
      <c r="B974">
        <v>45835.8749537037</v>
      </c>
      <c r="C974" t="s">
        <v>40</v>
      </c>
      <c r="D974" t="s">
        <v>27</v>
      </c>
      <c r="E974" t="s">
        <v>75</v>
      </c>
      <c r="F974" t="s">
        <v>2398</v>
      </c>
      <c r="G974" t="s">
        <v>2379</v>
      </c>
      <c r="H974">
        <v>55000</v>
      </c>
      <c r="I974">
        <v>2</v>
      </c>
      <c r="J974">
        <v>20</v>
      </c>
      <c r="K974">
        <v>110000</v>
      </c>
      <c r="L974">
        <v>22000</v>
      </c>
      <c r="M974">
        <v>88000</v>
      </c>
      <c r="N974">
        <v>17000</v>
      </c>
      <c r="O974">
        <v>105000</v>
      </c>
      <c r="P974" t="s">
        <v>63</v>
      </c>
      <c r="Q974" t="s">
        <v>2357</v>
      </c>
      <c r="R974" t="s">
        <v>30</v>
      </c>
      <c r="S974">
        <v>1</v>
      </c>
      <c r="T974" t="s">
        <v>24</v>
      </c>
      <c r="U974" t="s">
        <v>2406</v>
      </c>
      <c r="V974">
        <v>2025</v>
      </c>
      <c r="W974">
        <v>6</v>
      </c>
    </row>
    <row r="975" spans="1:23" x14ac:dyDescent="0.25">
      <c r="A975" t="s">
        <v>1919</v>
      </c>
      <c r="B975">
        <v>45836.165405092594</v>
      </c>
      <c r="C975" t="s">
        <v>1317</v>
      </c>
      <c r="D975" t="s">
        <v>113</v>
      </c>
      <c r="E975" t="s">
        <v>54</v>
      </c>
      <c r="F975" t="s">
        <v>2393</v>
      </c>
      <c r="G975" t="s">
        <v>2379</v>
      </c>
      <c r="H975">
        <v>16000</v>
      </c>
      <c r="I975">
        <v>3</v>
      </c>
      <c r="J975">
        <v>5</v>
      </c>
      <c r="K975">
        <v>48000</v>
      </c>
      <c r="L975">
        <v>2400</v>
      </c>
      <c r="M975">
        <v>45600</v>
      </c>
      <c r="N975">
        <v>18000</v>
      </c>
      <c r="O975">
        <v>63600</v>
      </c>
      <c r="P975" t="s">
        <v>35</v>
      </c>
      <c r="Q975" t="s">
        <v>2357</v>
      </c>
      <c r="R975" t="s">
        <v>46</v>
      </c>
      <c r="S975">
        <v>2</v>
      </c>
      <c r="T975" t="s">
        <v>37</v>
      </c>
      <c r="U975" t="s">
        <v>2406</v>
      </c>
      <c r="V975">
        <v>2025</v>
      </c>
      <c r="W975">
        <v>6</v>
      </c>
    </row>
    <row r="976" spans="1:23" x14ac:dyDescent="0.25">
      <c r="A976" t="s">
        <v>1920</v>
      </c>
      <c r="B976">
        <v>45836.346585648149</v>
      </c>
      <c r="C976" t="s">
        <v>146</v>
      </c>
      <c r="D976" t="s">
        <v>92</v>
      </c>
      <c r="E976" t="s">
        <v>85</v>
      </c>
      <c r="F976" t="s">
        <v>2394</v>
      </c>
      <c r="G976" t="s">
        <v>2377</v>
      </c>
      <c r="H976">
        <v>35000</v>
      </c>
      <c r="I976">
        <v>3</v>
      </c>
      <c r="J976">
        <v>5</v>
      </c>
      <c r="K976">
        <v>105000</v>
      </c>
      <c r="L976">
        <v>5250</v>
      </c>
      <c r="M976">
        <v>99750</v>
      </c>
      <c r="N976">
        <v>30000</v>
      </c>
      <c r="O976">
        <v>129750</v>
      </c>
      <c r="P976" t="s">
        <v>35</v>
      </c>
      <c r="Q976" t="s">
        <v>2357</v>
      </c>
      <c r="R976" t="s">
        <v>82</v>
      </c>
      <c r="S976">
        <v>1</v>
      </c>
      <c r="T976" t="s">
        <v>37</v>
      </c>
      <c r="U976" t="s">
        <v>2406</v>
      </c>
      <c r="V976">
        <v>2025</v>
      </c>
      <c r="W976">
        <v>6</v>
      </c>
    </row>
    <row r="977" spans="1:23" x14ac:dyDescent="0.25">
      <c r="A977" t="s">
        <v>1921</v>
      </c>
      <c r="B977">
        <v>45836.484502314823</v>
      </c>
      <c r="C977" t="s">
        <v>603</v>
      </c>
      <c r="D977" t="s">
        <v>53</v>
      </c>
      <c r="E977" t="s">
        <v>88</v>
      </c>
      <c r="F977" t="s">
        <v>2393</v>
      </c>
      <c r="G977" t="s">
        <v>2377</v>
      </c>
      <c r="H977">
        <v>14000</v>
      </c>
      <c r="I977">
        <v>2</v>
      </c>
      <c r="J977">
        <v>15</v>
      </c>
      <c r="K977">
        <v>28000</v>
      </c>
      <c r="L977">
        <v>4200</v>
      </c>
      <c r="M977">
        <v>23800</v>
      </c>
      <c r="N977">
        <v>18000</v>
      </c>
      <c r="O977">
        <v>41800</v>
      </c>
      <c r="P977" t="s">
        <v>35</v>
      </c>
      <c r="Q977" t="s">
        <v>2357</v>
      </c>
      <c r="R977" t="s">
        <v>46</v>
      </c>
      <c r="S977">
        <v>2</v>
      </c>
      <c r="T977" t="s">
        <v>24</v>
      </c>
      <c r="U977" t="s">
        <v>2406</v>
      </c>
      <c r="V977">
        <v>2025</v>
      </c>
      <c r="W977">
        <v>6</v>
      </c>
    </row>
    <row r="978" spans="1:23" x14ac:dyDescent="0.25">
      <c r="A978" t="s">
        <v>1922</v>
      </c>
      <c r="B978">
        <v>45836.536307870367</v>
      </c>
      <c r="C978" t="s">
        <v>32</v>
      </c>
      <c r="D978" t="s">
        <v>33</v>
      </c>
      <c r="E978" t="s">
        <v>38</v>
      </c>
      <c r="F978" t="s">
        <v>2399</v>
      </c>
      <c r="G978" t="s">
        <v>2379</v>
      </c>
      <c r="H978">
        <v>28000</v>
      </c>
      <c r="I978">
        <v>5</v>
      </c>
      <c r="J978">
        <v>15</v>
      </c>
      <c r="K978">
        <v>140000</v>
      </c>
      <c r="L978">
        <v>21000</v>
      </c>
      <c r="M978">
        <v>119000</v>
      </c>
      <c r="N978">
        <v>76000</v>
      </c>
      <c r="O978">
        <v>195000</v>
      </c>
      <c r="P978" t="s">
        <v>35</v>
      </c>
      <c r="Q978" t="s">
        <v>2359</v>
      </c>
      <c r="R978" t="s">
        <v>23</v>
      </c>
      <c r="S978">
        <v>4</v>
      </c>
      <c r="T978" t="s">
        <v>37</v>
      </c>
      <c r="U978" t="s">
        <v>2406</v>
      </c>
      <c r="V978">
        <v>2025</v>
      </c>
      <c r="W978">
        <v>6</v>
      </c>
    </row>
    <row r="979" spans="1:23" x14ac:dyDescent="0.25">
      <c r="A979" t="s">
        <v>1923</v>
      </c>
      <c r="B979">
        <v>45837.039467592593</v>
      </c>
      <c r="C979" t="s">
        <v>69</v>
      </c>
      <c r="D979" t="s">
        <v>70</v>
      </c>
      <c r="E979" t="s">
        <v>38</v>
      </c>
      <c r="F979" t="s">
        <v>2399</v>
      </c>
      <c r="G979" t="s">
        <v>2379</v>
      </c>
      <c r="H979">
        <v>28000</v>
      </c>
      <c r="I979">
        <v>3</v>
      </c>
      <c r="J979">
        <v>10</v>
      </c>
      <c r="K979">
        <v>84000</v>
      </c>
      <c r="L979">
        <v>8400</v>
      </c>
      <c r="M979">
        <v>75600</v>
      </c>
      <c r="N979">
        <v>89000</v>
      </c>
      <c r="O979">
        <v>164600</v>
      </c>
      <c r="P979" t="s">
        <v>63</v>
      </c>
      <c r="Q979" t="s">
        <v>2357</v>
      </c>
      <c r="R979" t="s">
        <v>82</v>
      </c>
      <c r="S979">
        <v>4</v>
      </c>
      <c r="T979" t="s">
        <v>37</v>
      </c>
      <c r="U979" t="s">
        <v>2406</v>
      </c>
      <c r="V979">
        <v>2025</v>
      </c>
      <c r="W979">
        <v>6</v>
      </c>
    </row>
    <row r="980" spans="1:23" x14ac:dyDescent="0.25">
      <c r="A980" t="s">
        <v>1924</v>
      </c>
      <c r="B980">
        <v>45837.163124999999</v>
      </c>
      <c r="C980" t="s">
        <v>237</v>
      </c>
      <c r="D980" t="s">
        <v>238</v>
      </c>
      <c r="E980" t="s">
        <v>93</v>
      </c>
      <c r="F980" t="s">
        <v>2399</v>
      </c>
      <c r="G980" t="s">
        <v>2378</v>
      </c>
      <c r="H980">
        <v>25000</v>
      </c>
      <c r="I980">
        <v>4</v>
      </c>
      <c r="J980">
        <v>15</v>
      </c>
      <c r="K980">
        <v>100000</v>
      </c>
      <c r="L980">
        <v>15000</v>
      </c>
      <c r="M980">
        <v>85000</v>
      </c>
      <c r="N980">
        <v>28000</v>
      </c>
      <c r="O980">
        <v>113000</v>
      </c>
      <c r="P980" t="s">
        <v>35</v>
      </c>
      <c r="Q980" t="s">
        <v>2357</v>
      </c>
      <c r="R980" t="s">
        <v>46</v>
      </c>
      <c r="S980">
        <v>3</v>
      </c>
      <c r="T980" t="s">
        <v>24</v>
      </c>
      <c r="U980" t="s">
        <v>2406</v>
      </c>
      <c r="V980">
        <v>2025</v>
      </c>
      <c r="W980">
        <v>6</v>
      </c>
    </row>
    <row r="981" spans="1:23" x14ac:dyDescent="0.25">
      <c r="A981" t="s">
        <v>1925</v>
      </c>
      <c r="B981">
        <v>45837.244930555556</v>
      </c>
      <c r="C981" t="s">
        <v>314</v>
      </c>
      <c r="D981" t="s">
        <v>113</v>
      </c>
      <c r="E981" t="s">
        <v>88</v>
      </c>
      <c r="F981" t="s">
        <v>2393</v>
      </c>
      <c r="G981" t="s">
        <v>2377</v>
      </c>
      <c r="H981">
        <v>14000</v>
      </c>
      <c r="I981">
        <v>5</v>
      </c>
      <c r="J981">
        <v>0</v>
      </c>
      <c r="K981">
        <v>70000</v>
      </c>
      <c r="L981">
        <v>0</v>
      </c>
      <c r="M981">
        <v>70000</v>
      </c>
      <c r="N981">
        <v>18000</v>
      </c>
      <c r="O981">
        <v>88000</v>
      </c>
      <c r="P981" t="s">
        <v>35</v>
      </c>
      <c r="Q981" t="s">
        <v>2356</v>
      </c>
      <c r="R981" t="s">
        <v>46</v>
      </c>
      <c r="S981">
        <v>3</v>
      </c>
      <c r="T981" t="s">
        <v>24</v>
      </c>
      <c r="U981" t="s">
        <v>2406</v>
      </c>
      <c r="V981">
        <v>2025</v>
      </c>
      <c r="W981">
        <v>6</v>
      </c>
    </row>
    <row r="982" spans="1:23" x14ac:dyDescent="0.25">
      <c r="A982" t="s">
        <v>1925</v>
      </c>
      <c r="B982">
        <v>45837.244930555556</v>
      </c>
      <c r="C982" t="s">
        <v>314</v>
      </c>
      <c r="D982" t="s">
        <v>113</v>
      </c>
      <c r="E982" t="s">
        <v>104</v>
      </c>
      <c r="F982" t="s">
        <v>2392</v>
      </c>
      <c r="G982" t="s">
        <v>2377</v>
      </c>
      <c r="H982">
        <v>30000</v>
      </c>
      <c r="I982">
        <v>3</v>
      </c>
      <c r="J982">
        <v>15</v>
      </c>
      <c r="K982">
        <v>90000</v>
      </c>
      <c r="L982">
        <v>13500</v>
      </c>
      <c r="M982">
        <v>76500</v>
      </c>
      <c r="N982">
        <v>0</v>
      </c>
      <c r="O982">
        <v>76500</v>
      </c>
      <c r="P982" t="s">
        <v>35</v>
      </c>
      <c r="Q982" t="s">
        <v>2356</v>
      </c>
      <c r="R982" t="s">
        <v>46</v>
      </c>
      <c r="S982">
        <v>3</v>
      </c>
      <c r="T982" t="s">
        <v>24</v>
      </c>
      <c r="U982" t="s">
        <v>2406</v>
      </c>
      <c r="V982">
        <v>2025</v>
      </c>
      <c r="W982">
        <v>6</v>
      </c>
    </row>
    <row r="983" spans="1:23" x14ac:dyDescent="0.25">
      <c r="A983" t="s">
        <v>1926</v>
      </c>
      <c r="B983">
        <v>45837.430983796286</v>
      </c>
      <c r="C983" t="s">
        <v>542</v>
      </c>
      <c r="D983" t="s">
        <v>122</v>
      </c>
      <c r="E983" t="s">
        <v>138</v>
      </c>
      <c r="F983" t="s">
        <v>2396</v>
      </c>
      <c r="G983" t="s">
        <v>2378</v>
      </c>
      <c r="H983">
        <v>17000</v>
      </c>
      <c r="I983">
        <v>4</v>
      </c>
      <c r="J983">
        <v>0</v>
      </c>
      <c r="K983">
        <v>68000</v>
      </c>
      <c r="L983">
        <v>0</v>
      </c>
      <c r="M983">
        <v>68000</v>
      </c>
      <c r="N983">
        <v>78000</v>
      </c>
      <c r="O983">
        <v>146000</v>
      </c>
      <c r="P983" t="s">
        <v>22</v>
      </c>
      <c r="Q983" t="s">
        <v>2357</v>
      </c>
      <c r="R983" t="s">
        <v>82</v>
      </c>
      <c r="S983">
        <v>1</v>
      </c>
      <c r="T983" t="s">
        <v>24</v>
      </c>
      <c r="U983" t="s">
        <v>2406</v>
      </c>
      <c r="V983">
        <v>2025</v>
      </c>
      <c r="W983">
        <v>6</v>
      </c>
    </row>
    <row r="984" spans="1:23" x14ac:dyDescent="0.25">
      <c r="A984" t="s">
        <v>1927</v>
      </c>
      <c r="B984">
        <v>45837.844050925924</v>
      </c>
      <c r="C984" t="s">
        <v>350</v>
      </c>
      <c r="D984" t="s">
        <v>195</v>
      </c>
      <c r="E984" t="s">
        <v>41</v>
      </c>
      <c r="F984" t="s">
        <v>2395</v>
      </c>
      <c r="G984" t="s">
        <v>2377</v>
      </c>
      <c r="H984">
        <v>4000</v>
      </c>
      <c r="I984">
        <v>4</v>
      </c>
      <c r="J984">
        <v>15</v>
      </c>
      <c r="K984">
        <v>16000</v>
      </c>
      <c r="L984">
        <v>2400</v>
      </c>
      <c r="M984">
        <v>13600</v>
      </c>
      <c r="N984">
        <v>87000</v>
      </c>
      <c r="O984">
        <v>100600</v>
      </c>
      <c r="P984" t="s">
        <v>29</v>
      </c>
      <c r="Q984" t="s">
        <v>2357</v>
      </c>
      <c r="R984" t="s">
        <v>36</v>
      </c>
      <c r="S984">
        <v>2</v>
      </c>
      <c r="T984" t="s">
        <v>37</v>
      </c>
      <c r="U984" t="s">
        <v>2406</v>
      </c>
      <c r="V984">
        <v>2025</v>
      </c>
      <c r="W984">
        <v>6</v>
      </c>
    </row>
    <row r="985" spans="1:23" x14ac:dyDescent="0.25">
      <c r="A985" t="s">
        <v>1928</v>
      </c>
      <c r="B985">
        <v>45838.117222222223</v>
      </c>
      <c r="C985" t="s">
        <v>100</v>
      </c>
      <c r="D985" t="s">
        <v>66</v>
      </c>
      <c r="E985" t="s">
        <v>45</v>
      </c>
      <c r="F985" t="s">
        <v>2394</v>
      </c>
      <c r="G985" t="s">
        <v>2378</v>
      </c>
      <c r="H985">
        <v>40000</v>
      </c>
      <c r="I985">
        <v>4</v>
      </c>
      <c r="J985">
        <v>20</v>
      </c>
      <c r="K985">
        <v>160000</v>
      </c>
      <c r="L985">
        <v>32000</v>
      </c>
      <c r="M985">
        <v>128000</v>
      </c>
      <c r="N985">
        <v>59000</v>
      </c>
      <c r="O985">
        <v>187000</v>
      </c>
      <c r="P985" t="s">
        <v>35</v>
      </c>
      <c r="Q985" t="s">
        <v>2357</v>
      </c>
      <c r="R985" t="s">
        <v>46</v>
      </c>
      <c r="S985">
        <v>3</v>
      </c>
      <c r="T985" t="s">
        <v>24</v>
      </c>
      <c r="U985" t="s">
        <v>2406</v>
      </c>
      <c r="V985">
        <v>2025</v>
      </c>
      <c r="W985">
        <v>6</v>
      </c>
    </row>
    <row r="986" spans="1:23" x14ac:dyDescent="0.25">
      <c r="A986" t="s">
        <v>1929</v>
      </c>
      <c r="B986">
        <v>45838.143055555563</v>
      </c>
      <c r="C986" t="s">
        <v>693</v>
      </c>
      <c r="D986" t="s">
        <v>119</v>
      </c>
      <c r="E986" t="s">
        <v>250</v>
      </c>
      <c r="F986" t="s">
        <v>2397</v>
      </c>
      <c r="G986" t="s">
        <v>2379</v>
      </c>
      <c r="H986">
        <v>18000</v>
      </c>
      <c r="I986">
        <v>2</v>
      </c>
      <c r="J986">
        <v>10</v>
      </c>
      <c r="K986">
        <v>36000</v>
      </c>
      <c r="L986">
        <v>3600</v>
      </c>
      <c r="M986">
        <v>32400</v>
      </c>
      <c r="N986">
        <v>0</v>
      </c>
      <c r="O986">
        <v>32400</v>
      </c>
      <c r="P986" t="s">
        <v>29</v>
      </c>
      <c r="Q986" t="s">
        <v>2357</v>
      </c>
      <c r="R986" t="s">
        <v>82</v>
      </c>
      <c r="S986">
        <v>2</v>
      </c>
      <c r="T986" t="s">
        <v>24</v>
      </c>
      <c r="U986" t="s">
        <v>2406</v>
      </c>
      <c r="V986">
        <v>2025</v>
      </c>
      <c r="W986">
        <v>6</v>
      </c>
    </row>
    <row r="987" spans="1:23" x14ac:dyDescent="0.25">
      <c r="A987" t="s">
        <v>1929</v>
      </c>
      <c r="B987">
        <v>45838.143055555563</v>
      </c>
      <c r="C987" t="s">
        <v>693</v>
      </c>
      <c r="D987" t="s">
        <v>119</v>
      </c>
      <c r="E987" t="s">
        <v>58</v>
      </c>
      <c r="F987" t="s">
        <v>2396</v>
      </c>
      <c r="G987" t="s">
        <v>2377</v>
      </c>
      <c r="H987">
        <v>16000</v>
      </c>
      <c r="I987">
        <v>1</v>
      </c>
      <c r="J987">
        <v>10</v>
      </c>
      <c r="K987">
        <v>16000</v>
      </c>
      <c r="L987">
        <v>1600</v>
      </c>
      <c r="M987">
        <v>14400</v>
      </c>
      <c r="N987">
        <v>0</v>
      </c>
      <c r="O987">
        <v>14400</v>
      </c>
      <c r="P987" t="s">
        <v>29</v>
      </c>
      <c r="Q987" t="s">
        <v>2357</v>
      </c>
      <c r="R987" t="s">
        <v>82</v>
      </c>
      <c r="S987">
        <v>2</v>
      </c>
      <c r="T987" t="s">
        <v>24</v>
      </c>
      <c r="U987" t="s">
        <v>2406</v>
      </c>
      <c r="V987">
        <v>2025</v>
      </c>
      <c r="W987">
        <v>6</v>
      </c>
    </row>
    <row r="988" spans="1:23" x14ac:dyDescent="0.25">
      <c r="A988" t="s">
        <v>1930</v>
      </c>
      <c r="B988">
        <v>45838.146493055552</v>
      </c>
      <c r="C988" t="s">
        <v>79</v>
      </c>
      <c r="D988" t="s">
        <v>80</v>
      </c>
      <c r="E988" t="s">
        <v>136</v>
      </c>
      <c r="F988" t="s">
        <v>2400</v>
      </c>
      <c r="G988" t="s">
        <v>2378</v>
      </c>
      <c r="H988">
        <v>12000</v>
      </c>
      <c r="I988">
        <v>2</v>
      </c>
      <c r="J988">
        <v>15</v>
      </c>
      <c r="K988">
        <v>24000</v>
      </c>
      <c r="L988">
        <v>3600</v>
      </c>
      <c r="M988">
        <v>20400</v>
      </c>
      <c r="N988">
        <v>74000</v>
      </c>
      <c r="O988">
        <v>94400</v>
      </c>
      <c r="P988" t="s">
        <v>35</v>
      </c>
      <c r="Q988" t="s">
        <v>2356</v>
      </c>
      <c r="R988" t="s">
        <v>82</v>
      </c>
      <c r="S988">
        <v>4</v>
      </c>
      <c r="T988" t="s">
        <v>24</v>
      </c>
      <c r="U988" t="s">
        <v>2406</v>
      </c>
      <c r="V988">
        <v>2025</v>
      </c>
      <c r="W988">
        <v>6</v>
      </c>
    </row>
    <row r="989" spans="1:23" x14ac:dyDescent="0.25">
      <c r="A989" t="s">
        <v>1931</v>
      </c>
      <c r="B989">
        <v>45839.624236111107</v>
      </c>
      <c r="C989" t="s">
        <v>596</v>
      </c>
      <c r="D989" t="s">
        <v>70</v>
      </c>
      <c r="E989" t="s">
        <v>138</v>
      </c>
      <c r="F989" t="s">
        <v>2396</v>
      </c>
      <c r="G989" t="s">
        <v>2378</v>
      </c>
      <c r="H989">
        <v>17000</v>
      </c>
      <c r="I989">
        <v>3</v>
      </c>
      <c r="J989">
        <v>10</v>
      </c>
      <c r="K989">
        <v>51000</v>
      </c>
      <c r="L989">
        <v>5100</v>
      </c>
      <c r="M989">
        <v>45900</v>
      </c>
      <c r="N989">
        <v>89000</v>
      </c>
      <c r="O989">
        <v>134900</v>
      </c>
      <c r="P989" t="s">
        <v>22</v>
      </c>
      <c r="Q989" t="s">
        <v>2359</v>
      </c>
      <c r="R989" t="s">
        <v>46</v>
      </c>
      <c r="S989">
        <v>1</v>
      </c>
      <c r="T989" t="s">
        <v>24</v>
      </c>
      <c r="U989" t="s">
        <v>2407</v>
      </c>
      <c r="V989">
        <v>2025</v>
      </c>
      <c r="W989">
        <v>7</v>
      </c>
    </row>
    <row r="990" spans="1:23" x14ac:dyDescent="0.25">
      <c r="A990" t="s">
        <v>1932</v>
      </c>
      <c r="B990">
        <v>45839.654513888891</v>
      </c>
      <c r="C990" t="s">
        <v>307</v>
      </c>
      <c r="D990" t="s">
        <v>70</v>
      </c>
      <c r="E990" t="s">
        <v>144</v>
      </c>
      <c r="F990" t="s">
        <v>2396</v>
      </c>
      <c r="G990" t="s">
        <v>2379</v>
      </c>
      <c r="H990">
        <v>18000</v>
      </c>
      <c r="I990">
        <v>2</v>
      </c>
      <c r="J990">
        <v>5</v>
      </c>
      <c r="K990">
        <v>36000</v>
      </c>
      <c r="L990">
        <v>1800</v>
      </c>
      <c r="M990">
        <v>34200</v>
      </c>
      <c r="N990">
        <v>89000</v>
      </c>
      <c r="O990">
        <v>123200</v>
      </c>
      <c r="P990" t="s">
        <v>29</v>
      </c>
      <c r="Q990" t="s">
        <v>2357</v>
      </c>
      <c r="R990" t="s">
        <v>36</v>
      </c>
      <c r="S990">
        <v>4</v>
      </c>
      <c r="T990" t="s">
        <v>24</v>
      </c>
      <c r="U990" t="s">
        <v>2407</v>
      </c>
      <c r="V990">
        <v>2025</v>
      </c>
      <c r="W990">
        <v>7</v>
      </c>
    </row>
    <row r="991" spans="1:23" x14ac:dyDescent="0.25">
      <c r="A991" t="s">
        <v>1933</v>
      </c>
      <c r="B991">
        <v>45839.766805555562</v>
      </c>
      <c r="C991" t="s">
        <v>1321</v>
      </c>
      <c r="D991" t="s">
        <v>113</v>
      </c>
      <c r="E991" t="s">
        <v>136</v>
      </c>
      <c r="F991" t="s">
        <v>2400</v>
      </c>
      <c r="G991" t="s">
        <v>2378</v>
      </c>
      <c r="H991">
        <v>12000</v>
      </c>
      <c r="I991">
        <v>3</v>
      </c>
      <c r="J991">
        <v>20</v>
      </c>
      <c r="K991">
        <v>36000</v>
      </c>
      <c r="L991">
        <v>7200</v>
      </c>
      <c r="M991">
        <v>28800</v>
      </c>
      <c r="N991">
        <v>18000</v>
      </c>
      <c r="O991">
        <v>46800</v>
      </c>
      <c r="P991" t="s">
        <v>29</v>
      </c>
      <c r="Q991" t="s">
        <v>2357</v>
      </c>
      <c r="R991" t="s">
        <v>46</v>
      </c>
      <c r="S991">
        <v>5</v>
      </c>
      <c r="T991" t="s">
        <v>24</v>
      </c>
      <c r="U991" t="s">
        <v>2407</v>
      </c>
      <c r="V991">
        <v>2025</v>
      </c>
      <c r="W991">
        <v>7</v>
      </c>
    </row>
    <row r="992" spans="1:23" x14ac:dyDescent="0.25">
      <c r="A992" t="s">
        <v>1934</v>
      </c>
      <c r="B992">
        <v>45839.773773148147</v>
      </c>
      <c r="C992" t="s">
        <v>109</v>
      </c>
      <c r="D992" t="s">
        <v>49</v>
      </c>
      <c r="E992" t="s">
        <v>81</v>
      </c>
      <c r="F992" t="s">
        <v>2397</v>
      </c>
      <c r="G992" t="s">
        <v>2378</v>
      </c>
      <c r="H992">
        <v>17000</v>
      </c>
      <c r="I992">
        <v>1</v>
      </c>
      <c r="J992">
        <v>15</v>
      </c>
      <c r="K992">
        <v>17000</v>
      </c>
      <c r="L992">
        <v>2550</v>
      </c>
      <c r="M992">
        <v>14450</v>
      </c>
      <c r="N992">
        <v>43000</v>
      </c>
      <c r="O992">
        <v>57450</v>
      </c>
      <c r="P992" t="s">
        <v>29</v>
      </c>
      <c r="Q992" t="s">
        <v>2357</v>
      </c>
      <c r="R992" t="s">
        <v>82</v>
      </c>
      <c r="S992">
        <v>4</v>
      </c>
      <c r="T992" t="s">
        <v>24</v>
      </c>
      <c r="U992" t="s">
        <v>2407</v>
      </c>
      <c r="V992">
        <v>2025</v>
      </c>
      <c r="W992">
        <v>7</v>
      </c>
    </row>
    <row r="993" spans="1:23" x14ac:dyDescent="0.25">
      <c r="A993" t="s">
        <v>1934</v>
      </c>
      <c r="B993">
        <v>45839.773773148147</v>
      </c>
      <c r="C993" t="s">
        <v>109</v>
      </c>
      <c r="D993" t="s">
        <v>49</v>
      </c>
      <c r="E993" t="s">
        <v>144</v>
      </c>
      <c r="F993" t="s">
        <v>2396</v>
      </c>
      <c r="G993" t="s">
        <v>2379</v>
      </c>
      <c r="H993">
        <v>18000</v>
      </c>
      <c r="I993">
        <v>3</v>
      </c>
      <c r="J993">
        <v>10</v>
      </c>
      <c r="K993">
        <v>54000</v>
      </c>
      <c r="L993">
        <v>5400</v>
      </c>
      <c r="M993">
        <v>48600</v>
      </c>
      <c r="N993">
        <v>0</v>
      </c>
      <c r="O993">
        <v>48600</v>
      </c>
      <c r="P993" t="s">
        <v>29</v>
      </c>
      <c r="Q993" t="s">
        <v>2357</v>
      </c>
      <c r="R993" t="s">
        <v>82</v>
      </c>
      <c r="S993">
        <v>4</v>
      </c>
      <c r="T993" t="s">
        <v>24</v>
      </c>
      <c r="U993" t="s">
        <v>2407</v>
      </c>
      <c r="V993">
        <v>2025</v>
      </c>
      <c r="W993">
        <v>7</v>
      </c>
    </row>
    <row r="994" spans="1:23" x14ac:dyDescent="0.25">
      <c r="A994" t="s">
        <v>1935</v>
      </c>
      <c r="B994">
        <v>45839.859733796293</v>
      </c>
      <c r="C994" t="s">
        <v>570</v>
      </c>
      <c r="D994" t="s">
        <v>80</v>
      </c>
      <c r="E994" t="s">
        <v>38</v>
      </c>
      <c r="F994" t="s">
        <v>2399</v>
      </c>
      <c r="G994" t="s">
        <v>2379</v>
      </c>
      <c r="H994">
        <v>28000</v>
      </c>
      <c r="I994">
        <v>2</v>
      </c>
      <c r="J994">
        <v>20</v>
      </c>
      <c r="K994">
        <v>56000</v>
      </c>
      <c r="L994">
        <v>11200</v>
      </c>
      <c r="M994">
        <v>44800</v>
      </c>
      <c r="N994">
        <v>74000</v>
      </c>
      <c r="O994">
        <v>118800</v>
      </c>
      <c r="P994" t="s">
        <v>29</v>
      </c>
      <c r="Q994" t="s">
        <v>2356</v>
      </c>
      <c r="R994" t="s">
        <v>23</v>
      </c>
      <c r="S994">
        <v>4</v>
      </c>
      <c r="T994" t="s">
        <v>24</v>
      </c>
      <c r="U994" t="s">
        <v>2407</v>
      </c>
      <c r="V994">
        <v>2025</v>
      </c>
      <c r="W994">
        <v>7</v>
      </c>
    </row>
    <row r="995" spans="1:23" x14ac:dyDescent="0.25">
      <c r="A995" t="s">
        <v>1936</v>
      </c>
      <c r="B995">
        <v>45840.205706018518</v>
      </c>
      <c r="C995" t="s">
        <v>1757</v>
      </c>
      <c r="D995" t="s">
        <v>74</v>
      </c>
      <c r="E995" t="s">
        <v>75</v>
      </c>
      <c r="F995" t="s">
        <v>2398</v>
      </c>
      <c r="G995" t="s">
        <v>2379</v>
      </c>
      <c r="H995">
        <v>55000</v>
      </c>
      <c r="I995">
        <v>2</v>
      </c>
      <c r="J995">
        <v>10</v>
      </c>
      <c r="K995">
        <v>110000</v>
      </c>
      <c r="L995">
        <v>11000</v>
      </c>
      <c r="M995">
        <v>99000</v>
      </c>
      <c r="N995">
        <v>87000</v>
      </c>
      <c r="O995">
        <v>186000</v>
      </c>
      <c r="P995" t="s">
        <v>35</v>
      </c>
      <c r="Q995" t="s">
        <v>2357</v>
      </c>
      <c r="R995" t="s">
        <v>82</v>
      </c>
      <c r="S995">
        <v>2</v>
      </c>
      <c r="T995" t="s">
        <v>37</v>
      </c>
      <c r="U995" t="s">
        <v>2407</v>
      </c>
      <c r="V995">
        <v>2025</v>
      </c>
      <c r="W995">
        <v>7</v>
      </c>
    </row>
    <row r="996" spans="1:23" x14ac:dyDescent="0.25">
      <c r="A996" t="s">
        <v>1937</v>
      </c>
      <c r="B996">
        <v>45840.385729166657</v>
      </c>
      <c r="C996" t="s">
        <v>84</v>
      </c>
      <c r="D996" t="s">
        <v>57</v>
      </c>
      <c r="E996" t="s">
        <v>54</v>
      </c>
      <c r="F996" t="s">
        <v>2393</v>
      </c>
      <c r="G996" t="s">
        <v>2379</v>
      </c>
      <c r="H996">
        <v>16000</v>
      </c>
      <c r="I996">
        <v>5</v>
      </c>
      <c r="J996">
        <v>10</v>
      </c>
      <c r="K996">
        <v>80000</v>
      </c>
      <c r="L996">
        <v>8000</v>
      </c>
      <c r="M996">
        <v>72000</v>
      </c>
      <c r="N996">
        <v>80000</v>
      </c>
      <c r="O996">
        <v>152000</v>
      </c>
      <c r="P996" t="s">
        <v>35</v>
      </c>
      <c r="Q996" t="s">
        <v>2356</v>
      </c>
      <c r="R996" t="s">
        <v>46</v>
      </c>
      <c r="S996">
        <v>5</v>
      </c>
      <c r="T996" t="s">
        <v>37</v>
      </c>
      <c r="U996" t="s">
        <v>2407</v>
      </c>
      <c r="V996">
        <v>2025</v>
      </c>
      <c r="W996">
        <v>7</v>
      </c>
    </row>
    <row r="997" spans="1:23" x14ac:dyDescent="0.25">
      <c r="A997" t="s">
        <v>1938</v>
      </c>
      <c r="B997">
        <v>45840.414513888893</v>
      </c>
      <c r="C997" t="s">
        <v>121</v>
      </c>
      <c r="D997" t="s">
        <v>122</v>
      </c>
      <c r="E997" t="s">
        <v>186</v>
      </c>
      <c r="F997" t="s">
        <v>2398</v>
      </c>
      <c r="G997" t="s">
        <v>2377</v>
      </c>
      <c r="H997">
        <v>45000</v>
      </c>
      <c r="I997">
        <v>3</v>
      </c>
      <c r="J997">
        <v>5</v>
      </c>
      <c r="K997">
        <v>135000</v>
      </c>
      <c r="L997">
        <v>6750</v>
      </c>
      <c r="M997">
        <v>128250</v>
      </c>
      <c r="N997">
        <v>78000</v>
      </c>
      <c r="O997">
        <v>206250</v>
      </c>
      <c r="P997" t="s">
        <v>35</v>
      </c>
      <c r="Q997" t="s">
        <v>2357</v>
      </c>
      <c r="R997" t="s">
        <v>36</v>
      </c>
      <c r="S997">
        <v>1</v>
      </c>
      <c r="T997" t="s">
        <v>24</v>
      </c>
      <c r="U997" t="s">
        <v>2407</v>
      </c>
      <c r="V997">
        <v>2025</v>
      </c>
      <c r="W997">
        <v>7</v>
      </c>
    </row>
    <row r="998" spans="1:23" x14ac:dyDescent="0.25">
      <c r="A998" t="s">
        <v>1939</v>
      </c>
      <c r="B998">
        <v>45840.800034722219</v>
      </c>
      <c r="C998" t="s">
        <v>121</v>
      </c>
      <c r="D998" t="s">
        <v>122</v>
      </c>
      <c r="E998" t="s">
        <v>81</v>
      </c>
      <c r="F998" t="s">
        <v>2397</v>
      </c>
      <c r="G998" t="s">
        <v>2378</v>
      </c>
      <c r="H998">
        <v>17000</v>
      </c>
      <c r="I998">
        <v>3</v>
      </c>
      <c r="J998">
        <v>15</v>
      </c>
      <c r="K998">
        <v>51000</v>
      </c>
      <c r="L998">
        <v>7650</v>
      </c>
      <c r="M998">
        <v>43350</v>
      </c>
      <c r="N998">
        <v>78000</v>
      </c>
      <c r="O998">
        <v>121350</v>
      </c>
      <c r="P998" t="s">
        <v>35</v>
      </c>
      <c r="Q998" t="s">
        <v>2357</v>
      </c>
      <c r="R998" t="s">
        <v>46</v>
      </c>
      <c r="S998">
        <v>2</v>
      </c>
      <c r="T998" t="s">
        <v>24</v>
      </c>
      <c r="U998" t="s">
        <v>2407</v>
      </c>
      <c r="V998">
        <v>2025</v>
      </c>
      <c r="W998">
        <v>7</v>
      </c>
    </row>
    <row r="999" spans="1:23" x14ac:dyDescent="0.25">
      <c r="A999" t="s">
        <v>1940</v>
      </c>
      <c r="B999">
        <v>45840.905833333331</v>
      </c>
      <c r="C999" t="s">
        <v>741</v>
      </c>
      <c r="D999" t="s">
        <v>189</v>
      </c>
      <c r="E999" t="s">
        <v>190</v>
      </c>
      <c r="F999" t="s">
        <v>2392</v>
      </c>
      <c r="G999" t="s">
        <v>2378</v>
      </c>
      <c r="H999">
        <v>35000</v>
      </c>
      <c r="I999">
        <v>3</v>
      </c>
      <c r="J999">
        <v>0</v>
      </c>
      <c r="K999">
        <v>105000</v>
      </c>
      <c r="L999">
        <v>0</v>
      </c>
      <c r="M999">
        <v>105000</v>
      </c>
      <c r="N999">
        <v>57000</v>
      </c>
      <c r="O999">
        <v>162000</v>
      </c>
      <c r="P999" t="s">
        <v>22</v>
      </c>
      <c r="Q999" t="s">
        <v>2357</v>
      </c>
      <c r="R999" t="s">
        <v>82</v>
      </c>
      <c r="S999">
        <v>2</v>
      </c>
      <c r="T999" t="s">
        <v>24</v>
      </c>
      <c r="U999" t="s">
        <v>2407</v>
      </c>
      <c r="V999">
        <v>2025</v>
      </c>
      <c r="W999">
        <v>7</v>
      </c>
    </row>
    <row r="1000" spans="1:23" x14ac:dyDescent="0.25">
      <c r="A1000" t="s">
        <v>1941</v>
      </c>
      <c r="B1000">
        <v>45840.9059375</v>
      </c>
      <c r="C1000" t="s">
        <v>644</v>
      </c>
      <c r="D1000" t="s">
        <v>244</v>
      </c>
      <c r="E1000" t="s">
        <v>110</v>
      </c>
      <c r="F1000" t="s">
        <v>2395</v>
      </c>
      <c r="G1000" t="s">
        <v>2379</v>
      </c>
      <c r="H1000">
        <v>6000</v>
      </c>
      <c r="I1000">
        <v>3</v>
      </c>
      <c r="J1000">
        <v>10</v>
      </c>
      <c r="K1000">
        <v>18000</v>
      </c>
      <c r="L1000">
        <v>1800</v>
      </c>
      <c r="M1000">
        <v>16200</v>
      </c>
      <c r="N1000">
        <v>80000</v>
      </c>
      <c r="O1000">
        <v>96200</v>
      </c>
      <c r="P1000" t="s">
        <v>63</v>
      </c>
      <c r="Q1000" t="s">
        <v>2357</v>
      </c>
      <c r="R1000" t="s">
        <v>30</v>
      </c>
      <c r="S1000">
        <v>5</v>
      </c>
      <c r="T1000" t="s">
        <v>24</v>
      </c>
      <c r="U1000" t="s">
        <v>2407</v>
      </c>
      <c r="V1000">
        <v>2025</v>
      </c>
      <c r="W1000">
        <v>7</v>
      </c>
    </row>
    <row r="1001" spans="1:23" x14ac:dyDescent="0.25">
      <c r="A1001" t="s">
        <v>1942</v>
      </c>
      <c r="B1001">
        <v>45840.914421296293</v>
      </c>
      <c r="C1001" t="s">
        <v>786</v>
      </c>
      <c r="D1001" t="s">
        <v>107</v>
      </c>
      <c r="E1001" t="s">
        <v>85</v>
      </c>
      <c r="F1001" t="s">
        <v>2394</v>
      </c>
      <c r="G1001" t="s">
        <v>2377</v>
      </c>
      <c r="H1001">
        <v>35000</v>
      </c>
      <c r="I1001">
        <v>1</v>
      </c>
      <c r="J1001">
        <v>5</v>
      </c>
      <c r="K1001">
        <v>35000</v>
      </c>
      <c r="L1001">
        <v>1750</v>
      </c>
      <c r="M1001">
        <v>33250</v>
      </c>
      <c r="N1001">
        <v>97000</v>
      </c>
      <c r="O1001">
        <v>130250</v>
      </c>
      <c r="P1001" t="s">
        <v>35</v>
      </c>
      <c r="Q1001" t="s">
        <v>2356</v>
      </c>
      <c r="R1001" t="s">
        <v>36</v>
      </c>
      <c r="S1001">
        <v>4</v>
      </c>
      <c r="T1001" t="s">
        <v>24</v>
      </c>
      <c r="U1001" t="s">
        <v>2407</v>
      </c>
      <c r="V1001">
        <v>2025</v>
      </c>
      <c r="W1001">
        <v>7</v>
      </c>
    </row>
    <row r="1002" spans="1:23" x14ac:dyDescent="0.25">
      <c r="A1002" t="s">
        <v>1943</v>
      </c>
      <c r="B1002">
        <v>45841.040833333333</v>
      </c>
      <c r="C1002" t="s">
        <v>1047</v>
      </c>
      <c r="D1002" t="s">
        <v>160</v>
      </c>
      <c r="E1002" t="s">
        <v>28</v>
      </c>
      <c r="F1002" t="s">
        <v>2395</v>
      </c>
      <c r="G1002" t="s">
        <v>2378</v>
      </c>
      <c r="H1002">
        <v>5000</v>
      </c>
      <c r="I1002">
        <v>4</v>
      </c>
      <c r="J1002">
        <v>20</v>
      </c>
      <c r="K1002">
        <v>20000</v>
      </c>
      <c r="L1002">
        <v>4000</v>
      </c>
      <c r="M1002">
        <v>16000</v>
      </c>
      <c r="N1002">
        <v>68000</v>
      </c>
      <c r="O1002">
        <v>84000</v>
      </c>
      <c r="P1002" t="s">
        <v>29</v>
      </c>
      <c r="Q1002" t="s">
        <v>2357</v>
      </c>
      <c r="R1002" t="s">
        <v>82</v>
      </c>
      <c r="S1002">
        <v>1</v>
      </c>
      <c r="T1002" t="s">
        <v>24</v>
      </c>
      <c r="U1002" t="s">
        <v>2407</v>
      </c>
      <c r="V1002">
        <v>2025</v>
      </c>
      <c r="W1002">
        <v>7</v>
      </c>
    </row>
    <row r="1003" spans="1:23" x14ac:dyDescent="0.25">
      <c r="A1003" t="s">
        <v>1944</v>
      </c>
      <c r="B1003">
        <v>45841.435023148151</v>
      </c>
      <c r="C1003" t="s">
        <v>589</v>
      </c>
      <c r="D1003" t="s">
        <v>262</v>
      </c>
      <c r="E1003" t="s">
        <v>174</v>
      </c>
      <c r="F1003" t="s">
        <v>2400</v>
      </c>
      <c r="G1003" t="s">
        <v>2377</v>
      </c>
      <c r="H1003">
        <v>10000</v>
      </c>
      <c r="I1003">
        <v>4</v>
      </c>
      <c r="J1003">
        <v>5</v>
      </c>
      <c r="K1003">
        <v>40000</v>
      </c>
      <c r="L1003">
        <v>2000</v>
      </c>
      <c r="M1003">
        <v>38000</v>
      </c>
      <c r="N1003">
        <v>18000</v>
      </c>
      <c r="O1003">
        <v>56000</v>
      </c>
      <c r="P1003" t="s">
        <v>35</v>
      </c>
      <c r="Q1003" t="s">
        <v>2357</v>
      </c>
      <c r="R1003" t="s">
        <v>36</v>
      </c>
      <c r="S1003">
        <v>4</v>
      </c>
      <c r="T1003" t="s">
        <v>37</v>
      </c>
      <c r="U1003" t="s">
        <v>2407</v>
      </c>
      <c r="V1003">
        <v>2025</v>
      </c>
      <c r="W1003">
        <v>7</v>
      </c>
    </row>
    <row r="1004" spans="1:23" x14ac:dyDescent="0.25">
      <c r="A1004" t="s">
        <v>1944</v>
      </c>
      <c r="B1004">
        <v>45841.435023148151</v>
      </c>
      <c r="C1004" t="s">
        <v>589</v>
      </c>
      <c r="D1004" t="s">
        <v>262</v>
      </c>
      <c r="E1004" t="s">
        <v>93</v>
      </c>
      <c r="F1004" t="s">
        <v>2399</v>
      </c>
      <c r="G1004" t="s">
        <v>2378</v>
      </c>
      <c r="H1004">
        <v>25000</v>
      </c>
      <c r="I1004">
        <v>5</v>
      </c>
      <c r="J1004">
        <v>0</v>
      </c>
      <c r="K1004">
        <v>125000</v>
      </c>
      <c r="L1004">
        <v>0</v>
      </c>
      <c r="M1004">
        <v>125000</v>
      </c>
      <c r="N1004">
        <v>0</v>
      </c>
      <c r="O1004">
        <v>125000</v>
      </c>
      <c r="P1004" t="s">
        <v>35</v>
      </c>
      <c r="Q1004" t="s">
        <v>2357</v>
      </c>
      <c r="R1004" t="s">
        <v>36</v>
      </c>
      <c r="S1004">
        <v>4</v>
      </c>
      <c r="T1004" t="s">
        <v>37</v>
      </c>
      <c r="U1004" t="s">
        <v>2407</v>
      </c>
      <c r="V1004">
        <v>2025</v>
      </c>
      <c r="W1004">
        <v>7</v>
      </c>
    </row>
    <row r="1005" spans="1:23" x14ac:dyDescent="0.25">
      <c r="A1005" t="s">
        <v>1945</v>
      </c>
      <c r="B1005">
        <v>45841.462708333333</v>
      </c>
      <c r="C1005" t="s">
        <v>644</v>
      </c>
      <c r="D1005" t="s">
        <v>244</v>
      </c>
      <c r="E1005" t="s">
        <v>144</v>
      </c>
      <c r="F1005" t="s">
        <v>2396</v>
      </c>
      <c r="G1005" t="s">
        <v>2379</v>
      </c>
      <c r="H1005">
        <v>18000</v>
      </c>
      <c r="I1005">
        <v>1</v>
      </c>
      <c r="J1005">
        <v>20</v>
      </c>
      <c r="K1005">
        <v>18000</v>
      </c>
      <c r="L1005">
        <v>3600</v>
      </c>
      <c r="M1005">
        <v>14400</v>
      </c>
      <c r="N1005">
        <v>80000</v>
      </c>
      <c r="O1005">
        <v>94400</v>
      </c>
      <c r="P1005" t="s">
        <v>63</v>
      </c>
      <c r="Q1005" t="s">
        <v>2357</v>
      </c>
      <c r="R1005" t="s">
        <v>30</v>
      </c>
      <c r="S1005">
        <v>1</v>
      </c>
      <c r="T1005" t="s">
        <v>24</v>
      </c>
      <c r="U1005" t="s">
        <v>2407</v>
      </c>
      <c r="V1005">
        <v>2025</v>
      </c>
      <c r="W1005">
        <v>7</v>
      </c>
    </row>
    <row r="1006" spans="1:23" x14ac:dyDescent="0.25">
      <c r="A1006" t="s">
        <v>1946</v>
      </c>
      <c r="B1006">
        <v>45841.764409722222</v>
      </c>
      <c r="C1006" t="s">
        <v>377</v>
      </c>
      <c r="D1006" t="s">
        <v>182</v>
      </c>
      <c r="E1006" t="s">
        <v>88</v>
      </c>
      <c r="F1006" t="s">
        <v>2393</v>
      </c>
      <c r="G1006" t="s">
        <v>2377</v>
      </c>
      <c r="H1006">
        <v>14000</v>
      </c>
      <c r="I1006">
        <v>3</v>
      </c>
      <c r="J1006">
        <v>0</v>
      </c>
      <c r="K1006">
        <v>42000</v>
      </c>
      <c r="L1006">
        <v>0</v>
      </c>
      <c r="M1006">
        <v>42000</v>
      </c>
      <c r="N1006">
        <v>48000</v>
      </c>
      <c r="O1006">
        <v>90000</v>
      </c>
      <c r="P1006" t="s">
        <v>22</v>
      </c>
      <c r="Q1006" t="s">
        <v>2357</v>
      </c>
      <c r="R1006" t="s">
        <v>36</v>
      </c>
      <c r="S1006">
        <v>1</v>
      </c>
      <c r="T1006" t="s">
        <v>24</v>
      </c>
      <c r="U1006" t="s">
        <v>2407</v>
      </c>
      <c r="V1006">
        <v>2025</v>
      </c>
      <c r="W1006">
        <v>7</v>
      </c>
    </row>
    <row r="1007" spans="1:23" x14ac:dyDescent="0.25">
      <c r="A1007" t="s">
        <v>1947</v>
      </c>
      <c r="B1007">
        <v>45841.9294212963</v>
      </c>
      <c r="C1007" t="s">
        <v>246</v>
      </c>
      <c r="D1007" t="s">
        <v>238</v>
      </c>
      <c r="E1007" t="s">
        <v>88</v>
      </c>
      <c r="F1007" t="s">
        <v>2393</v>
      </c>
      <c r="G1007" t="s">
        <v>2377</v>
      </c>
      <c r="H1007">
        <v>14000</v>
      </c>
      <c r="I1007">
        <v>4</v>
      </c>
      <c r="J1007">
        <v>5</v>
      </c>
      <c r="K1007">
        <v>56000</v>
      </c>
      <c r="L1007">
        <v>2800</v>
      </c>
      <c r="M1007">
        <v>53200</v>
      </c>
      <c r="N1007">
        <v>28000</v>
      </c>
      <c r="O1007">
        <v>81200</v>
      </c>
      <c r="P1007" t="s">
        <v>22</v>
      </c>
      <c r="Q1007" t="s">
        <v>2357</v>
      </c>
      <c r="R1007" t="s">
        <v>36</v>
      </c>
      <c r="S1007">
        <v>5</v>
      </c>
      <c r="T1007" t="s">
        <v>24</v>
      </c>
      <c r="U1007" t="s">
        <v>2407</v>
      </c>
      <c r="V1007">
        <v>2025</v>
      </c>
      <c r="W1007">
        <v>7</v>
      </c>
    </row>
    <row r="1008" spans="1:23" x14ac:dyDescent="0.25">
      <c r="A1008" t="s">
        <v>1948</v>
      </c>
      <c r="B1008">
        <v>45842.011111111111</v>
      </c>
      <c r="C1008" t="s">
        <v>425</v>
      </c>
      <c r="D1008" t="s">
        <v>44</v>
      </c>
      <c r="E1008" t="s">
        <v>93</v>
      </c>
      <c r="F1008" t="s">
        <v>2399</v>
      </c>
      <c r="G1008" t="s">
        <v>2378</v>
      </c>
      <c r="H1008">
        <v>25000</v>
      </c>
      <c r="I1008">
        <v>4</v>
      </c>
      <c r="J1008">
        <v>0</v>
      </c>
      <c r="K1008">
        <v>100000</v>
      </c>
      <c r="L1008">
        <v>0</v>
      </c>
      <c r="M1008">
        <v>100000</v>
      </c>
      <c r="N1008">
        <v>93000</v>
      </c>
      <c r="O1008">
        <v>193000</v>
      </c>
      <c r="P1008" t="s">
        <v>22</v>
      </c>
      <c r="Q1008" t="s">
        <v>2357</v>
      </c>
      <c r="R1008" t="s">
        <v>30</v>
      </c>
      <c r="S1008">
        <v>2</v>
      </c>
      <c r="T1008" t="s">
        <v>37</v>
      </c>
      <c r="U1008" t="s">
        <v>2407</v>
      </c>
      <c r="V1008">
        <v>2025</v>
      </c>
      <c r="W1008">
        <v>7</v>
      </c>
    </row>
    <row r="1009" spans="1:23" x14ac:dyDescent="0.25">
      <c r="A1009" t="s">
        <v>1949</v>
      </c>
      <c r="B1009">
        <v>45842.195590277777</v>
      </c>
      <c r="C1009" t="s">
        <v>48</v>
      </c>
      <c r="D1009" t="s">
        <v>49</v>
      </c>
      <c r="E1009" t="s">
        <v>67</v>
      </c>
      <c r="F1009" t="s">
        <v>2393</v>
      </c>
      <c r="G1009" t="s">
        <v>2378</v>
      </c>
      <c r="H1009">
        <v>15000</v>
      </c>
      <c r="I1009">
        <v>3</v>
      </c>
      <c r="J1009">
        <v>15</v>
      </c>
      <c r="K1009">
        <v>45000</v>
      </c>
      <c r="L1009">
        <v>6750</v>
      </c>
      <c r="M1009">
        <v>38250</v>
      </c>
      <c r="N1009">
        <v>43000</v>
      </c>
      <c r="O1009">
        <v>81250</v>
      </c>
      <c r="P1009" t="s">
        <v>63</v>
      </c>
      <c r="Q1009" t="s">
        <v>2356</v>
      </c>
      <c r="R1009" t="s">
        <v>30</v>
      </c>
      <c r="S1009">
        <v>1</v>
      </c>
      <c r="T1009" t="s">
        <v>24</v>
      </c>
      <c r="U1009" t="s">
        <v>2407</v>
      </c>
      <c r="V1009">
        <v>2025</v>
      </c>
      <c r="W1009">
        <v>7</v>
      </c>
    </row>
    <row r="1010" spans="1:23" x14ac:dyDescent="0.25">
      <c r="A1010" t="s">
        <v>1950</v>
      </c>
      <c r="B1010">
        <v>45842.215555555558</v>
      </c>
      <c r="C1010" t="s">
        <v>1624</v>
      </c>
      <c r="D1010" t="s">
        <v>33</v>
      </c>
      <c r="E1010" t="s">
        <v>81</v>
      </c>
      <c r="F1010" t="s">
        <v>2397</v>
      </c>
      <c r="G1010" t="s">
        <v>2378</v>
      </c>
      <c r="H1010">
        <v>17000</v>
      </c>
      <c r="I1010">
        <v>5</v>
      </c>
      <c r="J1010">
        <v>20</v>
      </c>
      <c r="K1010">
        <v>85000</v>
      </c>
      <c r="L1010">
        <v>17000</v>
      </c>
      <c r="M1010">
        <v>68000</v>
      </c>
      <c r="N1010">
        <v>76000</v>
      </c>
      <c r="O1010">
        <v>144000</v>
      </c>
      <c r="P1010" t="s">
        <v>35</v>
      </c>
      <c r="Q1010" t="s">
        <v>2356</v>
      </c>
      <c r="R1010" t="s">
        <v>36</v>
      </c>
      <c r="S1010">
        <v>2</v>
      </c>
      <c r="T1010" t="s">
        <v>24</v>
      </c>
      <c r="U1010" t="s">
        <v>2407</v>
      </c>
      <c r="V1010">
        <v>2025</v>
      </c>
      <c r="W1010">
        <v>7</v>
      </c>
    </row>
    <row r="1011" spans="1:23" x14ac:dyDescent="0.25">
      <c r="A1011" t="s">
        <v>1951</v>
      </c>
      <c r="B1011">
        <v>45842.227025462962</v>
      </c>
      <c r="C1011" t="s">
        <v>699</v>
      </c>
      <c r="D1011" t="s">
        <v>238</v>
      </c>
      <c r="E1011" t="s">
        <v>123</v>
      </c>
      <c r="F1011" t="s">
        <v>2399</v>
      </c>
      <c r="G1011" t="s">
        <v>2377</v>
      </c>
      <c r="H1011">
        <v>22000</v>
      </c>
      <c r="I1011">
        <v>3</v>
      </c>
      <c r="J1011">
        <v>15</v>
      </c>
      <c r="K1011">
        <v>66000</v>
      </c>
      <c r="L1011">
        <v>9900</v>
      </c>
      <c r="M1011">
        <v>56100</v>
      </c>
      <c r="N1011">
        <v>28000</v>
      </c>
      <c r="O1011">
        <v>84100</v>
      </c>
      <c r="P1011" t="s">
        <v>22</v>
      </c>
      <c r="Q1011" t="s">
        <v>2357</v>
      </c>
      <c r="R1011" t="s">
        <v>82</v>
      </c>
      <c r="S1011">
        <v>5</v>
      </c>
      <c r="T1011" t="s">
        <v>37</v>
      </c>
      <c r="U1011" t="s">
        <v>2407</v>
      </c>
      <c r="V1011">
        <v>2025</v>
      </c>
      <c r="W1011">
        <v>7</v>
      </c>
    </row>
    <row r="1012" spans="1:23" x14ac:dyDescent="0.25">
      <c r="A1012" t="s">
        <v>1952</v>
      </c>
      <c r="B1012">
        <v>45842.25236111111</v>
      </c>
      <c r="C1012" t="s">
        <v>821</v>
      </c>
      <c r="D1012" t="s">
        <v>131</v>
      </c>
      <c r="E1012" t="s">
        <v>34</v>
      </c>
      <c r="F1012" t="s">
        <v>2397</v>
      </c>
      <c r="G1012" t="s">
        <v>2377</v>
      </c>
      <c r="H1012">
        <v>16000</v>
      </c>
      <c r="I1012">
        <v>3</v>
      </c>
      <c r="J1012">
        <v>0</v>
      </c>
      <c r="K1012">
        <v>48000</v>
      </c>
      <c r="L1012">
        <v>0</v>
      </c>
      <c r="M1012">
        <v>48000</v>
      </c>
      <c r="N1012">
        <v>59000</v>
      </c>
      <c r="O1012">
        <v>107000</v>
      </c>
      <c r="P1012" t="s">
        <v>63</v>
      </c>
      <c r="Q1012" t="s">
        <v>2357</v>
      </c>
      <c r="R1012" t="s">
        <v>23</v>
      </c>
      <c r="S1012">
        <v>4</v>
      </c>
      <c r="T1012" t="s">
        <v>24</v>
      </c>
      <c r="U1012" t="s">
        <v>2407</v>
      </c>
      <c r="V1012">
        <v>2025</v>
      </c>
      <c r="W1012">
        <v>7</v>
      </c>
    </row>
    <row r="1013" spans="1:23" x14ac:dyDescent="0.25">
      <c r="A1013" t="s">
        <v>1953</v>
      </c>
      <c r="B1013">
        <v>45842.444062499999</v>
      </c>
      <c r="C1013" t="s">
        <v>246</v>
      </c>
      <c r="D1013" t="s">
        <v>238</v>
      </c>
      <c r="E1013" t="s">
        <v>50</v>
      </c>
      <c r="F1013" t="s">
        <v>2400</v>
      </c>
      <c r="G1013" t="s">
        <v>2379</v>
      </c>
      <c r="H1013">
        <v>14000</v>
      </c>
      <c r="I1013">
        <v>2</v>
      </c>
      <c r="J1013">
        <v>15</v>
      </c>
      <c r="K1013">
        <v>28000</v>
      </c>
      <c r="L1013">
        <v>4200</v>
      </c>
      <c r="M1013">
        <v>23800</v>
      </c>
      <c r="N1013">
        <v>28000</v>
      </c>
      <c r="O1013">
        <v>51800</v>
      </c>
      <c r="P1013" t="s">
        <v>22</v>
      </c>
      <c r="Q1013" t="s">
        <v>2357</v>
      </c>
      <c r="R1013" t="s">
        <v>30</v>
      </c>
      <c r="S1013">
        <v>5</v>
      </c>
      <c r="T1013" t="s">
        <v>24</v>
      </c>
      <c r="U1013" t="s">
        <v>2407</v>
      </c>
      <c r="V1013">
        <v>2025</v>
      </c>
      <c r="W1013">
        <v>7</v>
      </c>
    </row>
    <row r="1014" spans="1:23" x14ac:dyDescent="0.25">
      <c r="A1014" t="s">
        <v>1954</v>
      </c>
      <c r="B1014">
        <v>45842.444108796299</v>
      </c>
      <c r="C1014" t="s">
        <v>216</v>
      </c>
      <c r="D1014" t="s">
        <v>143</v>
      </c>
      <c r="E1014" t="s">
        <v>88</v>
      </c>
      <c r="F1014" t="s">
        <v>2393</v>
      </c>
      <c r="G1014" t="s">
        <v>2377</v>
      </c>
      <c r="H1014">
        <v>14000</v>
      </c>
      <c r="I1014">
        <v>2</v>
      </c>
      <c r="J1014">
        <v>10</v>
      </c>
      <c r="K1014">
        <v>28000</v>
      </c>
      <c r="L1014">
        <v>2800</v>
      </c>
      <c r="M1014">
        <v>25200</v>
      </c>
      <c r="N1014">
        <v>50000</v>
      </c>
      <c r="O1014">
        <v>75200</v>
      </c>
      <c r="P1014" t="s">
        <v>35</v>
      </c>
      <c r="Q1014" t="s">
        <v>2357</v>
      </c>
      <c r="R1014" t="s">
        <v>82</v>
      </c>
      <c r="S1014">
        <v>5</v>
      </c>
      <c r="T1014" t="s">
        <v>24</v>
      </c>
      <c r="U1014" t="s">
        <v>2407</v>
      </c>
      <c r="V1014">
        <v>2025</v>
      </c>
      <c r="W1014">
        <v>7</v>
      </c>
    </row>
    <row r="1015" spans="1:23" x14ac:dyDescent="0.25">
      <c r="A1015" t="s">
        <v>1955</v>
      </c>
      <c r="B1015">
        <v>45842.601006944453</v>
      </c>
      <c r="C1015" t="s">
        <v>1424</v>
      </c>
      <c r="D1015" t="s">
        <v>296</v>
      </c>
      <c r="E1015" t="s">
        <v>174</v>
      </c>
      <c r="F1015" t="s">
        <v>2400</v>
      </c>
      <c r="G1015" t="s">
        <v>2377</v>
      </c>
      <c r="H1015">
        <v>10000</v>
      </c>
      <c r="I1015">
        <v>3</v>
      </c>
      <c r="J1015">
        <v>0</v>
      </c>
      <c r="K1015">
        <v>30000</v>
      </c>
      <c r="L1015">
        <v>0</v>
      </c>
      <c r="M1015">
        <v>30000</v>
      </c>
      <c r="N1015">
        <v>79000</v>
      </c>
      <c r="O1015">
        <v>109000</v>
      </c>
      <c r="P1015" t="s">
        <v>22</v>
      </c>
      <c r="Q1015" t="s">
        <v>2357</v>
      </c>
      <c r="R1015" t="s">
        <v>30</v>
      </c>
      <c r="S1015">
        <v>1</v>
      </c>
      <c r="T1015" t="s">
        <v>24</v>
      </c>
      <c r="U1015" t="s">
        <v>2407</v>
      </c>
      <c r="V1015">
        <v>2025</v>
      </c>
      <c r="W1015">
        <v>7</v>
      </c>
    </row>
    <row r="1016" spans="1:23" x14ac:dyDescent="0.25">
      <c r="A1016" t="s">
        <v>1956</v>
      </c>
      <c r="B1016">
        <v>45842.943124999998</v>
      </c>
      <c r="C1016" t="s">
        <v>121</v>
      </c>
      <c r="D1016" t="s">
        <v>122</v>
      </c>
      <c r="E1016" t="s">
        <v>75</v>
      </c>
      <c r="F1016" t="s">
        <v>2398</v>
      </c>
      <c r="G1016" t="s">
        <v>2379</v>
      </c>
      <c r="H1016">
        <v>55000</v>
      </c>
      <c r="I1016">
        <v>2</v>
      </c>
      <c r="J1016">
        <v>0</v>
      </c>
      <c r="K1016">
        <v>110000</v>
      </c>
      <c r="L1016">
        <v>0</v>
      </c>
      <c r="M1016">
        <v>110000</v>
      </c>
      <c r="N1016">
        <v>78000</v>
      </c>
      <c r="O1016">
        <v>188000</v>
      </c>
      <c r="P1016" t="s">
        <v>29</v>
      </c>
      <c r="Q1016" t="s">
        <v>2357</v>
      </c>
      <c r="R1016" t="s">
        <v>82</v>
      </c>
      <c r="S1016">
        <v>1</v>
      </c>
      <c r="T1016" t="s">
        <v>24</v>
      </c>
      <c r="U1016" t="s">
        <v>2407</v>
      </c>
      <c r="V1016">
        <v>2025</v>
      </c>
      <c r="W1016">
        <v>7</v>
      </c>
    </row>
    <row r="1017" spans="1:23" x14ac:dyDescent="0.25">
      <c r="A1017" t="s">
        <v>1957</v>
      </c>
      <c r="B1017">
        <v>45843.090069444443</v>
      </c>
      <c r="C1017" t="s">
        <v>359</v>
      </c>
      <c r="D1017" t="s">
        <v>70</v>
      </c>
      <c r="E1017" t="s">
        <v>123</v>
      </c>
      <c r="F1017" t="s">
        <v>2399</v>
      </c>
      <c r="G1017" t="s">
        <v>2377</v>
      </c>
      <c r="H1017">
        <v>22000</v>
      </c>
      <c r="I1017">
        <v>5</v>
      </c>
      <c r="J1017">
        <v>0</v>
      </c>
      <c r="K1017">
        <v>110000</v>
      </c>
      <c r="L1017">
        <v>0</v>
      </c>
      <c r="M1017">
        <v>110000</v>
      </c>
      <c r="N1017">
        <v>89000</v>
      </c>
      <c r="O1017">
        <v>199000</v>
      </c>
      <c r="P1017" t="s">
        <v>35</v>
      </c>
      <c r="Q1017" t="s">
        <v>2356</v>
      </c>
      <c r="R1017" t="s">
        <v>82</v>
      </c>
      <c r="S1017">
        <v>2</v>
      </c>
      <c r="T1017" t="s">
        <v>24</v>
      </c>
      <c r="U1017" t="s">
        <v>2407</v>
      </c>
      <c r="V1017">
        <v>2025</v>
      </c>
      <c r="W1017">
        <v>7</v>
      </c>
    </row>
    <row r="1018" spans="1:23" x14ac:dyDescent="0.25">
      <c r="A1018" t="s">
        <v>1958</v>
      </c>
      <c r="B1018">
        <v>45843.655636574083</v>
      </c>
      <c r="C1018" t="s">
        <v>1654</v>
      </c>
      <c r="D1018" t="s">
        <v>74</v>
      </c>
      <c r="E1018" t="s">
        <v>34</v>
      </c>
      <c r="F1018" t="s">
        <v>2397</v>
      </c>
      <c r="G1018" t="s">
        <v>2377</v>
      </c>
      <c r="H1018">
        <v>16000</v>
      </c>
      <c r="I1018">
        <v>2</v>
      </c>
      <c r="J1018">
        <v>0</v>
      </c>
      <c r="K1018">
        <v>32000</v>
      </c>
      <c r="L1018">
        <v>0</v>
      </c>
      <c r="M1018">
        <v>32000</v>
      </c>
      <c r="N1018">
        <v>87000</v>
      </c>
      <c r="O1018">
        <v>119000</v>
      </c>
      <c r="P1018" t="s">
        <v>35</v>
      </c>
      <c r="Q1018" t="s">
        <v>2356</v>
      </c>
      <c r="R1018" t="s">
        <v>36</v>
      </c>
      <c r="S1018">
        <v>4</v>
      </c>
      <c r="T1018" t="s">
        <v>37</v>
      </c>
      <c r="U1018" t="s">
        <v>2407</v>
      </c>
      <c r="V1018">
        <v>2025</v>
      </c>
      <c r="W1018">
        <v>7</v>
      </c>
    </row>
    <row r="1019" spans="1:23" x14ac:dyDescent="0.25">
      <c r="A1019" t="s">
        <v>1959</v>
      </c>
      <c r="B1019">
        <v>45843.706342592603</v>
      </c>
      <c r="C1019" t="s">
        <v>1278</v>
      </c>
      <c r="D1019" t="s">
        <v>74</v>
      </c>
      <c r="E1019" t="s">
        <v>71</v>
      </c>
      <c r="F1019" t="s">
        <v>2392</v>
      </c>
      <c r="G1019" t="s">
        <v>2379</v>
      </c>
      <c r="H1019">
        <v>40000</v>
      </c>
      <c r="I1019">
        <v>5</v>
      </c>
      <c r="J1019">
        <v>15</v>
      </c>
      <c r="K1019">
        <v>200000</v>
      </c>
      <c r="L1019">
        <v>30000</v>
      </c>
      <c r="M1019">
        <v>170000</v>
      </c>
      <c r="N1019">
        <v>87000</v>
      </c>
      <c r="O1019">
        <v>257000</v>
      </c>
      <c r="P1019" t="s">
        <v>35</v>
      </c>
      <c r="Q1019" t="s">
        <v>2356</v>
      </c>
      <c r="R1019" t="s">
        <v>36</v>
      </c>
      <c r="S1019">
        <v>4</v>
      </c>
      <c r="T1019" t="s">
        <v>24</v>
      </c>
      <c r="U1019" t="s">
        <v>2407</v>
      </c>
      <c r="V1019">
        <v>2025</v>
      </c>
      <c r="W1019">
        <v>7</v>
      </c>
    </row>
    <row r="1020" spans="1:23" x14ac:dyDescent="0.25">
      <c r="A1020" t="s">
        <v>1960</v>
      </c>
      <c r="B1020">
        <v>45844.037314814806</v>
      </c>
      <c r="C1020" t="s">
        <v>1083</v>
      </c>
      <c r="D1020" t="s">
        <v>170</v>
      </c>
      <c r="E1020" t="s">
        <v>110</v>
      </c>
      <c r="F1020" t="s">
        <v>2395</v>
      </c>
      <c r="G1020" t="s">
        <v>2379</v>
      </c>
      <c r="H1020">
        <v>6000</v>
      </c>
      <c r="I1020">
        <v>1</v>
      </c>
      <c r="J1020">
        <v>15</v>
      </c>
      <c r="K1020">
        <v>6000</v>
      </c>
      <c r="L1020">
        <v>900</v>
      </c>
      <c r="M1020">
        <v>5100</v>
      </c>
      <c r="N1020">
        <v>46000</v>
      </c>
      <c r="O1020">
        <v>51100</v>
      </c>
      <c r="P1020" t="s">
        <v>35</v>
      </c>
      <c r="Q1020" t="s">
        <v>2357</v>
      </c>
      <c r="R1020" t="s">
        <v>82</v>
      </c>
      <c r="S1020">
        <v>5</v>
      </c>
      <c r="T1020" t="s">
        <v>24</v>
      </c>
      <c r="U1020" t="s">
        <v>2407</v>
      </c>
      <c r="V1020">
        <v>2025</v>
      </c>
      <c r="W1020">
        <v>7</v>
      </c>
    </row>
    <row r="1021" spans="1:23" x14ac:dyDescent="0.25">
      <c r="A1021" t="s">
        <v>1961</v>
      </c>
      <c r="B1021">
        <v>45844.212384259263</v>
      </c>
      <c r="C1021" t="s">
        <v>289</v>
      </c>
      <c r="D1021" t="s">
        <v>20</v>
      </c>
      <c r="E1021" t="s">
        <v>71</v>
      </c>
      <c r="F1021" t="s">
        <v>2392</v>
      </c>
      <c r="G1021" t="s">
        <v>2379</v>
      </c>
      <c r="H1021">
        <v>40000</v>
      </c>
      <c r="I1021">
        <v>1</v>
      </c>
      <c r="J1021">
        <v>0</v>
      </c>
      <c r="K1021">
        <v>40000</v>
      </c>
      <c r="L1021">
        <v>0</v>
      </c>
      <c r="M1021">
        <v>40000</v>
      </c>
      <c r="N1021">
        <v>15000</v>
      </c>
      <c r="O1021">
        <v>55000</v>
      </c>
      <c r="P1021" t="s">
        <v>63</v>
      </c>
      <c r="Q1021" t="s">
        <v>2357</v>
      </c>
      <c r="R1021" t="s">
        <v>36</v>
      </c>
      <c r="S1021">
        <v>1</v>
      </c>
      <c r="T1021" t="s">
        <v>24</v>
      </c>
      <c r="U1021" t="s">
        <v>2407</v>
      </c>
      <c r="V1021">
        <v>2025</v>
      </c>
      <c r="W1021">
        <v>7</v>
      </c>
    </row>
    <row r="1022" spans="1:23" x14ac:dyDescent="0.25">
      <c r="A1022" t="s">
        <v>1962</v>
      </c>
      <c r="B1022">
        <v>45844.357835648138</v>
      </c>
      <c r="C1022" t="s">
        <v>201</v>
      </c>
      <c r="D1022" t="s">
        <v>107</v>
      </c>
      <c r="E1022" t="s">
        <v>38</v>
      </c>
      <c r="F1022" t="s">
        <v>2399</v>
      </c>
      <c r="G1022" t="s">
        <v>2379</v>
      </c>
      <c r="H1022">
        <v>28000</v>
      </c>
      <c r="I1022">
        <v>5</v>
      </c>
      <c r="J1022">
        <v>15</v>
      </c>
      <c r="K1022">
        <v>140000</v>
      </c>
      <c r="L1022">
        <v>21000</v>
      </c>
      <c r="M1022">
        <v>119000</v>
      </c>
      <c r="N1022">
        <v>97000</v>
      </c>
      <c r="O1022">
        <v>216000</v>
      </c>
      <c r="P1022" t="s">
        <v>29</v>
      </c>
      <c r="Q1022" t="s">
        <v>2357</v>
      </c>
      <c r="R1022" t="s">
        <v>82</v>
      </c>
      <c r="S1022">
        <v>2</v>
      </c>
      <c r="T1022" t="s">
        <v>24</v>
      </c>
      <c r="U1022" t="s">
        <v>2407</v>
      </c>
      <c r="V1022">
        <v>2025</v>
      </c>
      <c r="W1022">
        <v>7</v>
      </c>
    </row>
    <row r="1023" spans="1:23" x14ac:dyDescent="0.25">
      <c r="A1023" t="s">
        <v>1963</v>
      </c>
      <c r="B1023">
        <v>45844.525231481479</v>
      </c>
      <c r="C1023" t="s">
        <v>91</v>
      </c>
      <c r="D1023" t="s">
        <v>92</v>
      </c>
      <c r="E1023" t="s">
        <v>186</v>
      </c>
      <c r="F1023" t="s">
        <v>2398</v>
      </c>
      <c r="G1023" t="s">
        <v>2377</v>
      </c>
      <c r="H1023">
        <v>45000</v>
      </c>
      <c r="I1023">
        <v>1</v>
      </c>
      <c r="J1023">
        <v>15</v>
      </c>
      <c r="K1023">
        <v>45000</v>
      </c>
      <c r="L1023">
        <v>6750</v>
      </c>
      <c r="M1023">
        <v>38250</v>
      </c>
      <c r="N1023">
        <v>30000</v>
      </c>
      <c r="O1023">
        <v>68250</v>
      </c>
      <c r="P1023" t="s">
        <v>22</v>
      </c>
      <c r="Q1023" t="s">
        <v>2357</v>
      </c>
      <c r="R1023" t="s">
        <v>23</v>
      </c>
      <c r="S1023">
        <v>3</v>
      </c>
      <c r="T1023" t="s">
        <v>24</v>
      </c>
      <c r="U1023" t="s">
        <v>2407</v>
      </c>
      <c r="V1023">
        <v>2025</v>
      </c>
      <c r="W1023">
        <v>7</v>
      </c>
    </row>
    <row r="1024" spans="1:23" x14ac:dyDescent="0.25">
      <c r="A1024" t="s">
        <v>1964</v>
      </c>
      <c r="B1024">
        <v>45845.04115740741</v>
      </c>
      <c r="C1024" t="s">
        <v>772</v>
      </c>
      <c r="D1024" t="s">
        <v>113</v>
      </c>
      <c r="E1024" t="s">
        <v>34</v>
      </c>
      <c r="F1024" t="s">
        <v>2397</v>
      </c>
      <c r="G1024" t="s">
        <v>2377</v>
      </c>
      <c r="H1024">
        <v>16000</v>
      </c>
      <c r="I1024">
        <v>3</v>
      </c>
      <c r="J1024">
        <v>20</v>
      </c>
      <c r="K1024">
        <v>48000</v>
      </c>
      <c r="L1024">
        <v>9600</v>
      </c>
      <c r="M1024">
        <v>38400</v>
      </c>
      <c r="N1024">
        <v>18000</v>
      </c>
      <c r="O1024">
        <v>56400</v>
      </c>
      <c r="P1024" t="s">
        <v>35</v>
      </c>
      <c r="Q1024" t="s">
        <v>2357</v>
      </c>
      <c r="R1024" t="s">
        <v>23</v>
      </c>
      <c r="S1024">
        <v>5</v>
      </c>
      <c r="T1024" t="s">
        <v>24</v>
      </c>
      <c r="U1024" t="s">
        <v>2407</v>
      </c>
      <c r="V1024">
        <v>2025</v>
      </c>
      <c r="W1024">
        <v>7</v>
      </c>
    </row>
    <row r="1025" spans="1:23" x14ac:dyDescent="0.25">
      <c r="A1025" t="s">
        <v>1964</v>
      </c>
      <c r="B1025">
        <v>45845.04115740741</v>
      </c>
      <c r="C1025" t="s">
        <v>772</v>
      </c>
      <c r="D1025" t="s">
        <v>113</v>
      </c>
      <c r="E1025" t="s">
        <v>144</v>
      </c>
      <c r="F1025" t="s">
        <v>2396</v>
      </c>
      <c r="G1025" t="s">
        <v>2379</v>
      </c>
      <c r="H1025">
        <v>18000</v>
      </c>
      <c r="I1025">
        <v>5</v>
      </c>
      <c r="J1025">
        <v>10</v>
      </c>
      <c r="K1025">
        <v>90000</v>
      </c>
      <c r="L1025">
        <v>9000</v>
      </c>
      <c r="M1025">
        <v>81000</v>
      </c>
      <c r="N1025">
        <v>0</v>
      </c>
      <c r="O1025">
        <v>81000</v>
      </c>
      <c r="P1025" t="s">
        <v>35</v>
      </c>
      <c r="Q1025" t="s">
        <v>2357</v>
      </c>
      <c r="R1025" t="s">
        <v>23</v>
      </c>
      <c r="S1025">
        <v>5</v>
      </c>
      <c r="T1025" t="s">
        <v>24</v>
      </c>
      <c r="U1025" t="s">
        <v>2407</v>
      </c>
      <c r="V1025">
        <v>2025</v>
      </c>
      <c r="W1025">
        <v>7</v>
      </c>
    </row>
    <row r="1026" spans="1:23" x14ac:dyDescent="0.25">
      <c r="A1026" t="s">
        <v>1965</v>
      </c>
      <c r="B1026">
        <v>45845.244791666657</v>
      </c>
      <c r="C1026" t="s">
        <v>808</v>
      </c>
      <c r="D1026" t="s">
        <v>61</v>
      </c>
      <c r="E1026" t="s">
        <v>45</v>
      </c>
      <c r="F1026" t="s">
        <v>2394</v>
      </c>
      <c r="G1026" t="s">
        <v>2378</v>
      </c>
      <c r="H1026">
        <v>40000</v>
      </c>
      <c r="I1026">
        <v>2</v>
      </c>
      <c r="J1026">
        <v>15</v>
      </c>
      <c r="K1026">
        <v>80000</v>
      </c>
      <c r="L1026">
        <v>12000</v>
      </c>
      <c r="M1026">
        <v>68000</v>
      </c>
      <c r="N1026">
        <v>26000</v>
      </c>
      <c r="O1026">
        <v>94000</v>
      </c>
      <c r="P1026" t="s">
        <v>22</v>
      </c>
      <c r="Q1026" t="s">
        <v>2357</v>
      </c>
      <c r="R1026" t="s">
        <v>82</v>
      </c>
      <c r="S1026">
        <v>4</v>
      </c>
      <c r="T1026" t="s">
        <v>24</v>
      </c>
      <c r="U1026" t="s">
        <v>2407</v>
      </c>
      <c r="V1026">
        <v>2025</v>
      </c>
      <c r="W1026">
        <v>7</v>
      </c>
    </row>
    <row r="1027" spans="1:23" x14ac:dyDescent="0.25">
      <c r="A1027" t="s">
        <v>1966</v>
      </c>
      <c r="B1027">
        <v>45845.371365740742</v>
      </c>
      <c r="C1027" t="s">
        <v>261</v>
      </c>
      <c r="D1027" t="s">
        <v>262</v>
      </c>
      <c r="E1027" t="s">
        <v>190</v>
      </c>
      <c r="F1027" t="s">
        <v>2392</v>
      </c>
      <c r="G1027" t="s">
        <v>2378</v>
      </c>
      <c r="H1027">
        <v>35000</v>
      </c>
      <c r="I1027">
        <v>1</v>
      </c>
      <c r="J1027">
        <v>0</v>
      </c>
      <c r="K1027">
        <v>35000</v>
      </c>
      <c r="L1027">
        <v>0</v>
      </c>
      <c r="M1027">
        <v>35000</v>
      </c>
      <c r="N1027">
        <v>18000</v>
      </c>
      <c r="O1027">
        <v>53000</v>
      </c>
      <c r="P1027" t="s">
        <v>29</v>
      </c>
      <c r="Q1027" t="s">
        <v>2356</v>
      </c>
      <c r="R1027" t="s">
        <v>46</v>
      </c>
      <c r="S1027">
        <v>1</v>
      </c>
      <c r="T1027" t="s">
        <v>24</v>
      </c>
      <c r="U1027" t="s">
        <v>2407</v>
      </c>
      <c r="V1027">
        <v>2025</v>
      </c>
      <c r="W1027">
        <v>7</v>
      </c>
    </row>
    <row r="1028" spans="1:23" x14ac:dyDescent="0.25">
      <c r="A1028" t="s">
        <v>1967</v>
      </c>
      <c r="B1028">
        <v>45845.829988425918</v>
      </c>
      <c r="C1028" t="s">
        <v>924</v>
      </c>
      <c r="D1028" t="s">
        <v>20</v>
      </c>
      <c r="E1028" t="s">
        <v>38</v>
      </c>
      <c r="F1028" t="s">
        <v>2399</v>
      </c>
      <c r="G1028" t="s">
        <v>2379</v>
      </c>
      <c r="H1028">
        <v>28000</v>
      </c>
      <c r="I1028">
        <v>3</v>
      </c>
      <c r="J1028">
        <v>0</v>
      </c>
      <c r="K1028">
        <v>84000</v>
      </c>
      <c r="L1028">
        <v>0</v>
      </c>
      <c r="M1028">
        <v>84000</v>
      </c>
      <c r="N1028">
        <v>15000</v>
      </c>
      <c r="O1028">
        <v>99000</v>
      </c>
      <c r="P1028" t="s">
        <v>35</v>
      </c>
      <c r="Q1028" t="s">
        <v>2357</v>
      </c>
      <c r="R1028" t="s">
        <v>46</v>
      </c>
      <c r="S1028">
        <v>5</v>
      </c>
      <c r="T1028" t="s">
        <v>37</v>
      </c>
      <c r="U1028" t="s">
        <v>2407</v>
      </c>
      <c r="V1028">
        <v>2025</v>
      </c>
      <c r="W1028">
        <v>7</v>
      </c>
    </row>
    <row r="1029" spans="1:23" x14ac:dyDescent="0.25">
      <c r="A1029" t="s">
        <v>1968</v>
      </c>
      <c r="B1029">
        <v>45846.129247685189</v>
      </c>
      <c r="C1029" t="s">
        <v>109</v>
      </c>
      <c r="D1029" t="s">
        <v>49</v>
      </c>
      <c r="E1029" t="s">
        <v>62</v>
      </c>
      <c r="F1029" t="s">
        <v>2398</v>
      </c>
      <c r="G1029" t="s">
        <v>2378</v>
      </c>
      <c r="H1029">
        <v>50000</v>
      </c>
      <c r="I1029">
        <v>4</v>
      </c>
      <c r="J1029">
        <v>15</v>
      </c>
      <c r="K1029">
        <v>200000</v>
      </c>
      <c r="L1029">
        <v>30000</v>
      </c>
      <c r="M1029">
        <v>170000</v>
      </c>
      <c r="N1029">
        <v>43000</v>
      </c>
      <c r="O1029">
        <v>213000</v>
      </c>
      <c r="P1029" t="s">
        <v>22</v>
      </c>
      <c r="Q1029" t="s">
        <v>2356</v>
      </c>
      <c r="R1029" t="s">
        <v>36</v>
      </c>
      <c r="S1029">
        <v>1</v>
      </c>
      <c r="T1029" t="s">
        <v>24</v>
      </c>
      <c r="U1029" t="s">
        <v>2407</v>
      </c>
      <c r="V1029">
        <v>2025</v>
      </c>
      <c r="W1029">
        <v>7</v>
      </c>
    </row>
    <row r="1030" spans="1:23" x14ac:dyDescent="0.25">
      <c r="A1030" t="s">
        <v>1969</v>
      </c>
      <c r="B1030">
        <v>45846.359699074077</v>
      </c>
      <c r="C1030" t="s">
        <v>1970</v>
      </c>
      <c r="D1030" t="s">
        <v>70</v>
      </c>
      <c r="E1030" t="s">
        <v>186</v>
      </c>
      <c r="F1030" t="s">
        <v>2398</v>
      </c>
      <c r="G1030" t="s">
        <v>2377</v>
      </c>
      <c r="H1030">
        <v>45000</v>
      </c>
      <c r="I1030">
        <v>4</v>
      </c>
      <c r="J1030">
        <v>5</v>
      </c>
      <c r="K1030">
        <v>180000</v>
      </c>
      <c r="L1030">
        <v>9000</v>
      </c>
      <c r="M1030">
        <v>171000</v>
      </c>
      <c r="N1030">
        <v>89000</v>
      </c>
      <c r="O1030">
        <v>260000</v>
      </c>
      <c r="P1030" t="s">
        <v>29</v>
      </c>
      <c r="Q1030" t="s">
        <v>2356</v>
      </c>
      <c r="R1030" t="s">
        <v>46</v>
      </c>
      <c r="S1030">
        <v>4</v>
      </c>
      <c r="T1030" t="s">
        <v>24</v>
      </c>
      <c r="U1030" t="s">
        <v>2407</v>
      </c>
      <c r="V1030">
        <v>2025</v>
      </c>
      <c r="W1030">
        <v>7</v>
      </c>
    </row>
    <row r="1031" spans="1:23" x14ac:dyDescent="0.25">
      <c r="A1031" t="s">
        <v>1969</v>
      </c>
      <c r="B1031">
        <v>45846.359699074077</v>
      </c>
      <c r="C1031" t="s">
        <v>1970</v>
      </c>
      <c r="D1031" t="s">
        <v>70</v>
      </c>
      <c r="E1031" t="s">
        <v>62</v>
      </c>
      <c r="F1031" t="s">
        <v>2398</v>
      </c>
      <c r="G1031" t="s">
        <v>2378</v>
      </c>
      <c r="H1031">
        <v>50000</v>
      </c>
      <c r="I1031">
        <v>3</v>
      </c>
      <c r="J1031">
        <v>15</v>
      </c>
      <c r="K1031">
        <v>150000</v>
      </c>
      <c r="L1031">
        <v>22500</v>
      </c>
      <c r="M1031">
        <v>127500</v>
      </c>
      <c r="N1031">
        <v>0</v>
      </c>
      <c r="O1031">
        <v>127500</v>
      </c>
      <c r="P1031" t="s">
        <v>29</v>
      </c>
      <c r="Q1031" t="s">
        <v>2356</v>
      </c>
      <c r="R1031" t="s">
        <v>46</v>
      </c>
      <c r="S1031">
        <v>4</v>
      </c>
      <c r="T1031" t="s">
        <v>24</v>
      </c>
      <c r="U1031" t="s">
        <v>2407</v>
      </c>
      <c r="V1031">
        <v>2025</v>
      </c>
      <c r="W1031">
        <v>7</v>
      </c>
    </row>
    <row r="1032" spans="1:23" x14ac:dyDescent="0.25">
      <c r="A1032" t="s">
        <v>1971</v>
      </c>
      <c r="B1032">
        <v>45846.435439814813</v>
      </c>
      <c r="C1032" t="s">
        <v>410</v>
      </c>
      <c r="D1032" t="s">
        <v>151</v>
      </c>
      <c r="E1032" t="s">
        <v>88</v>
      </c>
      <c r="F1032" t="s">
        <v>2393</v>
      </c>
      <c r="G1032" t="s">
        <v>2377</v>
      </c>
      <c r="H1032">
        <v>14000</v>
      </c>
      <c r="I1032">
        <v>3</v>
      </c>
      <c r="J1032">
        <v>15</v>
      </c>
      <c r="K1032">
        <v>42000</v>
      </c>
      <c r="L1032">
        <v>6300</v>
      </c>
      <c r="M1032">
        <v>35700</v>
      </c>
      <c r="N1032">
        <v>55000</v>
      </c>
      <c r="O1032">
        <v>90700</v>
      </c>
      <c r="P1032" t="s">
        <v>29</v>
      </c>
      <c r="Q1032" t="s">
        <v>2357</v>
      </c>
      <c r="R1032" t="s">
        <v>23</v>
      </c>
      <c r="S1032">
        <v>1</v>
      </c>
      <c r="T1032" t="s">
        <v>24</v>
      </c>
      <c r="U1032" t="s">
        <v>2407</v>
      </c>
      <c r="V1032">
        <v>2025</v>
      </c>
      <c r="W1032">
        <v>7</v>
      </c>
    </row>
    <row r="1033" spans="1:23" x14ac:dyDescent="0.25">
      <c r="A1033" t="s">
        <v>1972</v>
      </c>
      <c r="B1033">
        <v>45846.512372685182</v>
      </c>
      <c r="C1033" t="s">
        <v>249</v>
      </c>
      <c r="D1033" t="s">
        <v>49</v>
      </c>
      <c r="E1033" t="s">
        <v>110</v>
      </c>
      <c r="F1033" t="s">
        <v>2395</v>
      </c>
      <c r="G1033" t="s">
        <v>2379</v>
      </c>
      <c r="H1033">
        <v>6000</v>
      </c>
      <c r="I1033">
        <v>4</v>
      </c>
      <c r="J1033">
        <v>20</v>
      </c>
      <c r="K1033">
        <v>24000</v>
      </c>
      <c r="L1033">
        <v>4800</v>
      </c>
      <c r="M1033">
        <v>19200</v>
      </c>
      <c r="N1033">
        <v>43000</v>
      </c>
      <c r="O1033">
        <v>62200</v>
      </c>
      <c r="P1033" t="s">
        <v>22</v>
      </c>
      <c r="Q1033" t="s">
        <v>2357</v>
      </c>
      <c r="R1033" t="s">
        <v>36</v>
      </c>
      <c r="S1033">
        <v>3</v>
      </c>
      <c r="T1033" t="s">
        <v>24</v>
      </c>
      <c r="U1033" t="s">
        <v>2407</v>
      </c>
      <c r="V1033">
        <v>2025</v>
      </c>
      <c r="W1033">
        <v>7</v>
      </c>
    </row>
    <row r="1034" spans="1:23" x14ac:dyDescent="0.25">
      <c r="A1034" t="s">
        <v>1973</v>
      </c>
      <c r="B1034">
        <v>45846.630798611113</v>
      </c>
      <c r="C1034" t="s">
        <v>605</v>
      </c>
      <c r="D1034" t="s">
        <v>151</v>
      </c>
      <c r="E1034" t="s">
        <v>21</v>
      </c>
      <c r="F1034" t="s">
        <v>2394</v>
      </c>
      <c r="G1034" t="s">
        <v>2379</v>
      </c>
      <c r="H1034">
        <v>45000</v>
      </c>
      <c r="I1034">
        <v>3</v>
      </c>
      <c r="J1034">
        <v>5</v>
      </c>
      <c r="K1034">
        <v>135000</v>
      </c>
      <c r="L1034">
        <v>6750</v>
      </c>
      <c r="M1034">
        <v>128250</v>
      </c>
      <c r="N1034">
        <v>55000</v>
      </c>
      <c r="O1034">
        <v>183250</v>
      </c>
      <c r="P1034" t="s">
        <v>35</v>
      </c>
      <c r="Q1034" t="s">
        <v>2356</v>
      </c>
      <c r="R1034" t="s">
        <v>30</v>
      </c>
      <c r="S1034">
        <v>3</v>
      </c>
      <c r="T1034" t="s">
        <v>24</v>
      </c>
      <c r="U1034" t="s">
        <v>2407</v>
      </c>
      <c r="V1034">
        <v>2025</v>
      </c>
      <c r="W1034">
        <v>7</v>
      </c>
    </row>
    <row r="1035" spans="1:23" x14ac:dyDescent="0.25">
      <c r="A1035" t="s">
        <v>1974</v>
      </c>
      <c r="B1035">
        <v>45847.043194444443</v>
      </c>
      <c r="C1035" t="s">
        <v>218</v>
      </c>
      <c r="D1035" t="s">
        <v>170</v>
      </c>
      <c r="E1035" t="s">
        <v>75</v>
      </c>
      <c r="F1035" t="s">
        <v>2398</v>
      </c>
      <c r="G1035" t="s">
        <v>2379</v>
      </c>
      <c r="H1035">
        <v>55000</v>
      </c>
      <c r="I1035">
        <v>4</v>
      </c>
      <c r="J1035">
        <v>15</v>
      </c>
      <c r="K1035">
        <v>220000</v>
      </c>
      <c r="L1035">
        <v>33000</v>
      </c>
      <c r="M1035">
        <v>187000</v>
      </c>
      <c r="N1035">
        <v>46000</v>
      </c>
      <c r="O1035">
        <v>233000</v>
      </c>
      <c r="P1035" t="s">
        <v>29</v>
      </c>
      <c r="Q1035" t="s">
        <v>2357</v>
      </c>
      <c r="R1035" t="s">
        <v>46</v>
      </c>
      <c r="S1035">
        <v>5</v>
      </c>
      <c r="T1035" t="s">
        <v>24</v>
      </c>
      <c r="U1035" t="s">
        <v>2407</v>
      </c>
      <c r="V1035">
        <v>2025</v>
      </c>
      <c r="W1035">
        <v>7</v>
      </c>
    </row>
    <row r="1036" spans="1:23" x14ac:dyDescent="0.25">
      <c r="A1036" t="s">
        <v>1975</v>
      </c>
      <c r="B1036">
        <v>45847.271192129629</v>
      </c>
      <c r="C1036" t="s">
        <v>169</v>
      </c>
      <c r="D1036" t="s">
        <v>170</v>
      </c>
      <c r="E1036" t="s">
        <v>110</v>
      </c>
      <c r="F1036" t="s">
        <v>2395</v>
      </c>
      <c r="G1036" t="s">
        <v>2379</v>
      </c>
      <c r="H1036">
        <v>6000</v>
      </c>
      <c r="I1036">
        <v>4</v>
      </c>
      <c r="J1036">
        <v>15</v>
      </c>
      <c r="K1036">
        <v>24000</v>
      </c>
      <c r="L1036">
        <v>3600</v>
      </c>
      <c r="M1036">
        <v>20400</v>
      </c>
      <c r="N1036">
        <v>46000</v>
      </c>
      <c r="O1036">
        <v>66400</v>
      </c>
      <c r="P1036" t="s">
        <v>63</v>
      </c>
      <c r="Q1036" t="s">
        <v>2357</v>
      </c>
      <c r="R1036" t="s">
        <v>23</v>
      </c>
      <c r="S1036">
        <v>4</v>
      </c>
      <c r="T1036" t="s">
        <v>24</v>
      </c>
      <c r="U1036" t="s">
        <v>2407</v>
      </c>
      <c r="V1036">
        <v>2025</v>
      </c>
      <c r="W1036">
        <v>7</v>
      </c>
    </row>
    <row r="1037" spans="1:23" x14ac:dyDescent="0.25">
      <c r="A1037" t="s">
        <v>1976</v>
      </c>
      <c r="B1037">
        <v>45847.678333333337</v>
      </c>
      <c r="C1037" t="s">
        <v>515</v>
      </c>
      <c r="D1037" t="s">
        <v>182</v>
      </c>
      <c r="E1037" t="s">
        <v>104</v>
      </c>
      <c r="F1037" t="s">
        <v>2392</v>
      </c>
      <c r="G1037" t="s">
        <v>2377</v>
      </c>
      <c r="H1037">
        <v>30000</v>
      </c>
      <c r="I1037">
        <v>4</v>
      </c>
      <c r="J1037">
        <v>0</v>
      </c>
      <c r="K1037">
        <v>120000</v>
      </c>
      <c r="L1037">
        <v>0</v>
      </c>
      <c r="M1037">
        <v>120000</v>
      </c>
      <c r="N1037">
        <v>48000</v>
      </c>
      <c r="O1037">
        <v>168000</v>
      </c>
      <c r="P1037" t="s">
        <v>35</v>
      </c>
      <c r="Q1037" t="s">
        <v>2357</v>
      </c>
      <c r="R1037" t="s">
        <v>46</v>
      </c>
      <c r="S1037">
        <v>3</v>
      </c>
      <c r="T1037" t="s">
        <v>24</v>
      </c>
      <c r="U1037" t="s">
        <v>2407</v>
      </c>
      <c r="V1037">
        <v>2025</v>
      </c>
      <c r="W1037">
        <v>7</v>
      </c>
    </row>
    <row r="1038" spans="1:23" x14ac:dyDescent="0.25">
      <c r="A1038" t="s">
        <v>1977</v>
      </c>
      <c r="B1038">
        <v>45847.887870370367</v>
      </c>
      <c r="C1038" t="s">
        <v>446</v>
      </c>
      <c r="D1038" t="s">
        <v>296</v>
      </c>
      <c r="E1038" t="s">
        <v>104</v>
      </c>
      <c r="F1038" t="s">
        <v>2392</v>
      </c>
      <c r="G1038" t="s">
        <v>2377</v>
      </c>
      <c r="H1038">
        <v>30000</v>
      </c>
      <c r="I1038">
        <v>2</v>
      </c>
      <c r="J1038">
        <v>15</v>
      </c>
      <c r="K1038">
        <v>60000</v>
      </c>
      <c r="L1038">
        <v>9000</v>
      </c>
      <c r="M1038">
        <v>51000</v>
      </c>
      <c r="N1038">
        <v>79000</v>
      </c>
      <c r="O1038">
        <v>130000</v>
      </c>
      <c r="P1038" t="s">
        <v>63</v>
      </c>
      <c r="Q1038" t="s">
        <v>2356</v>
      </c>
      <c r="R1038" t="s">
        <v>36</v>
      </c>
      <c r="S1038">
        <v>4</v>
      </c>
      <c r="T1038" t="s">
        <v>37</v>
      </c>
      <c r="U1038" t="s">
        <v>2407</v>
      </c>
      <c r="V1038">
        <v>2025</v>
      </c>
      <c r="W1038">
        <v>7</v>
      </c>
    </row>
    <row r="1039" spans="1:23" x14ac:dyDescent="0.25">
      <c r="A1039" t="s">
        <v>1978</v>
      </c>
      <c r="B1039">
        <v>45847.898356481477</v>
      </c>
      <c r="C1039" t="s">
        <v>1979</v>
      </c>
      <c r="D1039" t="s">
        <v>103</v>
      </c>
      <c r="E1039" t="s">
        <v>34</v>
      </c>
      <c r="F1039" t="s">
        <v>2397</v>
      </c>
      <c r="G1039" t="s">
        <v>2377</v>
      </c>
      <c r="H1039">
        <v>16000</v>
      </c>
      <c r="I1039">
        <v>5</v>
      </c>
      <c r="J1039">
        <v>5</v>
      </c>
      <c r="K1039">
        <v>80000</v>
      </c>
      <c r="L1039">
        <v>4000</v>
      </c>
      <c r="M1039">
        <v>76000</v>
      </c>
      <c r="N1039">
        <v>85000</v>
      </c>
      <c r="O1039">
        <v>161000</v>
      </c>
      <c r="P1039" t="s">
        <v>63</v>
      </c>
      <c r="Q1039" t="s">
        <v>2356</v>
      </c>
      <c r="R1039" t="s">
        <v>36</v>
      </c>
      <c r="S1039">
        <v>5</v>
      </c>
      <c r="T1039" t="s">
        <v>24</v>
      </c>
      <c r="U1039" t="s">
        <v>2407</v>
      </c>
      <c r="V1039">
        <v>2025</v>
      </c>
      <c r="W1039">
        <v>7</v>
      </c>
    </row>
    <row r="1040" spans="1:23" x14ac:dyDescent="0.25">
      <c r="A1040" t="s">
        <v>1980</v>
      </c>
      <c r="B1040">
        <v>45847.992627314823</v>
      </c>
      <c r="C1040" t="s">
        <v>1981</v>
      </c>
      <c r="D1040" t="s">
        <v>53</v>
      </c>
      <c r="E1040" t="s">
        <v>174</v>
      </c>
      <c r="F1040" t="s">
        <v>2400</v>
      </c>
      <c r="G1040" t="s">
        <v>2377</v>
      </c>
      <c r="H1040">
        <v>10000</v>
      </c>
      <c r="I1040">
        <v>1</v>
      </c>
      <c r="J1040">
        <v>5</v>
      </c>
      <c r="K1040">
        <v>10000</v>
      </c>
      <c r="L1040">
        <v>500</v>
      </c>
      <c r="M1040">
        <v>9500</v>
      </c>
      <c r="N1040">
        <v>18000</v>
      </c>
      <c r="O1040">
        <v>27500</v>
      </c>
      <c r="P1040" t="s">
        <v>63</v>
      </c>
      <c r="Q1040" t="s">
        <v>2357</v>
      </c>
      <c r="R1040" t="s">
        <v>30</v>
      </c>
      <c r="S1040">
        <v>3</v>
      </c>
      <c r="T1040" t="s">
        <v>24</v>
      </c>
      <c r="U1040" t="s">
        <v>2407</v>
      </c>
      <c r="V1040">
        <v>2025</v>
      </c>
      <c r="W1040">
        <v>7</v>
      </c>
    </row>
    <row r="1041" spans="1:23" x14ac:dyDescent="0.25">
      <c r="A1041" t="s">
        <v>1982</v>
      </c>
      <c r="B1041">
        <v>45848.026932870373</v>
      </c>
      <c r="C1041" t="s">
        <v>626</v>
      </c>
      <c r="D1041" t="s">
        <v>296</v>
      </c>
      <c r="E1041" t="s">
        <v>41</v>
      </c>
      <c r="F1041" t="s">
        <v>2395</v>
      </c>
      <c r="G1041" t="s">
        <v>2377</v>
      </c>
      <c r="H1041">
        <v>4000</v>
      </c>
      <c r="I1041">
        <v>5</v>
      </c>
      <c r="J1041">
        <v>15</v>
      </c>
      <c r="K1041">
        <v>20000</v>
      </c>
      <c r="L1041">
        <v>3000</v>
      </c>
      <c r="M1041">
        <v>17000</v>
      </c>
      <c r="N1041">
        <v>79000</v>
      </c>
      <c r="O1041">
        <v>96000</v>
      </c>
      <c r="P1041" t="s">
        <v>63</v>
      </c>
      <c r="Q1041" t="s">
        <v>2357</v>
      </c>
      <c r="R1041" t="s">
        <v>46</v>
      </c>
      <c r="S1041">
        <v>2</v>
      </c>
      <c r="T1041" t="s">
        <v>24</v>
      </c>
      <c r="U1041" t="s">
        <v>2407</v>
      </c>
      <c r="V1041">
        <v>2025</v>
      </c>
      <c r="W1041">
        <v>7</v>
      </c>
    </row>
    <row r="1042" spans="1:23" x14ac:dyDescent="0.25">
      <c r="A1042" t="s">
        <v>1983</v>
      </c>
      <c r="B1042">
        <v>45848.737233796302</v>
      </c>
      <c r="C1042" t="s">
        <v>48</v>
      </c>
      <c r="D1042" t="s">
        <v>49</v>
      </c>
      <c r="E1042" t="s">
        <v>110</v>
      </c>
      <c r="F1042" t="s">
        <v>2395</v>
      </c>
      <c r="G1042" t="s">
        <v>2379</v>
      </c>
      <c r="H1042">
        <v>6000</v>
      </c>
      <c r="I1042">
        <v>4</v>
      </c>
      <c r="J1042">
        <v>0</v>
      </c>
      <c r="K1042">
        <v>24000</v>
      </c>
      <c r="L1042">
        <v>0</v>
      </c>
      <c r="M1042">
        <v>24000</v>
      </c>
      <c r="N1042">
        <v>43000</v>
      </c>
      <c r="O1042">
        <v>67000</v>
      </c>
      <c r="P1042" t="s">
        <v>35</v>
      </c>
      <c r="Q1042" t="s">
        <v>2357</v>
      </c>
      <c r="R1042" t="s">
        <v>36</v>
      </c>
      <c r="S1042">
        <v>4</v>
      </c>
      <c r="T1042" t="s">
        <v>24</v>
      </c>
      <c r="U1042" t="s">
        <v>2407</v>
      </c>
      <c r="V1042">
        <v>2025</v>
      </c>
      <c r="W1042">
        <v>7</v>
      </c>
    </row>
    <row r="1043" spans="1:23" x14ac:dyDescent="0.25">
      <c r="A1043" t="s">
        <v>1984</v>
      </c>
      <c r="B1043">
        <v>45848.851747685178</v>
      </c>
      <c r="C1043" t="s">
        <v>1985</v>
      </c>
      <c r="D1043" t="s">
        <v>20</v>
      </c>
      <c r="E1043" t="s">
        <v>67</v>
      </c>
      <c r="F1043" t="s">
        <v>2393</v>
      </c>
      <c r="G1043" t="s">
        <v>2378</v>
      </c>
      <c r="H1043">
        <v>15000</v>
      </c>
      <c r="I1043">
        <v>5</v>
      </c>
      <c r="J1043">
        <v>5</v>
      </c>
      <c r="K1043">
        <v>75000</v>
      </c>
      <c r="L1043">
        <v>3750</v>
      </c>
      <c r="M1043">
        <v>71250</v>
      </c>
      <c r="N1043">
        <v>15000</v>
      </c>
      <c r="O1043">
        <v>86250</v>
      </c>
      <c r="P1043" t="s">
        <v>35</v>
      </c>
      <c r="Q1043" t="s">
        <v>2357</v>
      </c>
      <c r="R1043" t="s">
        <v>82</v>
      </c>
      <c r="S1043">
        <v>4</v>
      </c>
      <c r="T1043" t="s">
        <v>24</v>
      </c>
      <c r="U1043" t="s">
        <v>2407</v>
      </c>
      <c r="V1043">
        <v>2025</v>
      </c>
      <c r="W1043">
        <v>7</v>
      </c>
    </row>
    <row r="1044" spans="1:23" x14ac:dyDescent="0.25">
      <c r="A1044" t="s">
        <v>1986</v>
      </c>
      <c r="B1044">
        <v>45848.957627314812</v>
      </c>
      <c r="C1044" t="s">
        <v>307</v>
      </c>
      <c r="D1044" t="s">
        <v>70</v>
      </c>
      <c r="E1044" t="s">
        <v>110</v>
      </c>
      <c r="F1044" t="s">
        <v>2395</v>
      </c>
      <c r="G1044" t="s">
        <v>2379</v>
      </c>
      <c r="H1044">
        <v>6000</v>
      </c>
      <c r="I1044">
        <v>2</v>
      </c>
      <c r="J1044">
        <v>0</v>
      </c>
      <c r="K1044">
        <v>12000</v>
      </c>
      <c r="L1044">
        <v>0</v>
      </c>
      <c r="M1044">
        <v>12000</v>
      </c>
      <c r="N1044">
        <v>89000</v>
      </c>
      <c r="O1044">
        <v>101000</v>
      </c>
      <c r="P1044" t="s">
        <v>22</v>
      </c>
      <c r="Q1044" t="s">
        <v>2357</v>
      </c>
      <c r="R1044" t="s">
        <v>82</v>
      </c>
      <c r="S1044">
        <v>3</v>
      </c>
      <c r="T1044" t="s">
        <v>24</v>
      </c>
      <c r="U1044" t="s">
        <v>2407</v>
      </c>
      <c r="V1044">
        <v>2025</v>
      </c>
      <c r="W1044">
        <v>7</v>
      </c>
    </row>
    <row r="1045" spans="1:23" x14ac:dyDescent="0.25">
      <c r="A1045" t="s">
        <v>1987</v>
      </c>
      <c r="B1045">
        <v>45849.028819444437</v>
      </c>
      <c r="C1045" t="s">
        <v>1091</v>
      </c>
      <c r="D1045" t="s">
        <v>160</v>
      </c>
      <c r="E1045" t="s">
        <v>21</v>
      </c>
      <c r="F1045" t="s">
        <v>2394</v>
      </c>
      <c r="G1045" t="s">
        <v>2379</v>
      </c>
      <c r="H1045">
        <v>45000</v>
      </c>
      <c r="I1045">
        <v>3</v>
      </c>
      <c r="J1045">
        <v>10</v>
      </c>
      <c r="K1045">
        <v>135000</v>
      </c>
      <c r="L1045">
        <v>13500</v>
      </c>
      <c r="M1045">
        <v>121500</v>
      </c>
      <c r="N1045">
        <v>68000</v>
      </c>
      <c r="O1045">
        <v>189500</v>
      </c>
      <c r="P1045" t="s">
        <v>29</v>
      </c>
      <c r="Q1045" t="s">
        <v>2357</v>
      </c>
      <c r="R1045" t="s">
        <v>46</v>
      </c>
      <c r="S1045">
        <v>2</v>
      </c>
      <c r="T1045" t="s">
        <v>37</v>
      </c>
      <c r="U1045" t="s">
        <v>2407</v>
      </c>
      <c r="V1045">
        <v>2025</v>
      </c>
      <c r="W1045">
        <v>7</v>
      </c>
    </row>
    <row r="1046" spans="1:23" x14ac:dyDescent="0.25">
      <c r="A1046" t="s">
        <v>1988</v>
      </c>
      <c r="B1046">
        <v>45849.034849537027</v>
      </c>
      <c r="C1046" t="s">
        <v>1033</v>
      </c>
      <c r="D1046" t="s">
        <v>122</v>
      </c>
      <c r="E1046" t="s">
        <v>104</v>
      </c>
      <c r="F1046" t="s">
        <v>2392</v>
      </c>
      <c r="G1046" t="s">
        <v>2377</v>
      </c>
      <c r="H1046">
        <v>30000</v>
      </c>
      <c r="I1046">
        <v>4</v>
      </c>
      <c r="J1046">
        <v>0</v>
      </c>
      <c r="K1046">
        <v>120000</v>
      </c>
      <c r="L1046">
        <v>0</v>
      </c>
      <c r="M1046">
        <v>120000</v>
      </c>
      <c r="N1046">
        <v>78000</v>
      </c>
      <c r="O1046">
        <v>198000</v>
      </c>
      <c r="P1046" t="s">
        <v>22</v>
      </c>
      <c r="Q1046" t="s">
        <v>2357</v>
      </c>
      <c r="R1046" t="s">
        <v>23</v>
      </c>
      <c r="S1046">
        <v>3</v>
      </c>
      <c r="T1046" t="s">
        <v>24</v>
      </c>
      <c r="U1046" t="s">
        <v>2407</v>
      </c>
      <c r="V1046">
        <v>2025</v>
      </c>
      <c r="W1046">
        <v>7</v>
      </c>
    </row>
    <row r="1047" spans="1:23" x14ac:dyDescent="0.25">
      <c r="A1047" t="s">
        <v>1989</v>
      </c>
      <c r="B1047">
        <v>45849.076111111113</v>
      </c>
      <c r="C1047" t="s">
        <v>582</v>
      </c>
      <c r="D1047" t="s">
        <v>435</v>
      </c>
      <c r="E1047" t="s">
        <v>123</v>
      </c>
      <c r="F1047" t="s">
        <v>2399</v>
      </c>
      <c r="G1047" t="s">
        <v>2377</v>
      </c>
      <c r="H1047">
        <v>22000</v>
      </c>
      <c r="I1047">
        <v>2</v>
      </c>
      <c r="J1047">
        <v>5</v>
      </c>
      <c r="K1047">
        <v>44000</v>
      </c>
      <c r="L1047">
        <v>2200</v>
      </c>
      <c r="M1047">
        <v>41800</v>
      </c>
      <c r="N1047">
        <v>67000</v>
      </c>
      <c r="O1047">
        <v>108800</v>
      </c>
      <c r="P1047" t="s">
        <v>22</v>
      </c>
      <c r="Q1047" t="s">
        <v>2357</v>
      </c>
      <c r="R1047" t="s">
        <v>23</v>
      </c>
      <c r="S1047">
        <v>3</v>
      </c>
      <c r="T1047" t="s">
        <v>24</v>
      </c>
      <c r="U1047" t="s">
        <v>2407</v>
      </c>
      <c r="V1047">
        <v>2025</v>
      </c>
      <c r="W1047">
        <v>7</v>
      </c>
    </row>
    <row r="1048" spans="1:23" x14ac:dyDescent="0.25">
      <c r="A1048" t="s">
        <v>1990</v>
      </c>
      <c r="B1048">
        <v>45849.088379629633</v>
      </c>
      <c r="C1048" t="s">
        <v>1582</v>
      </c>
      <c r="D1048" t="s">
        <v>80</v>
      </c>
      <c r="E1048" t="s">
        <v>110</v>
      </c>
      <c r="F1048" t="s">
        <v>2395</v>
      </c>
      <c r="G1048" t="s">
        <v>2379</v>
      </c>
      <c r="H1048">
        <v>6000</v>
      </c>
      <c r="I1048">
        <v>2</v>
      </c>
      <c r="J1048">
        <v>10</v>
      </c>
      <c r="K1048">
        <v>12000</v>
      </c>
      <c r="L1048">
        <v>1200</v>
      </c>
      <c r="M1048">
        <v>10800</v>
      </c>
      <c r="N1048">
        <v>74000</v>
      </c>
      <c r="O1048">
        <v>84800</v>
      </c>
      <c r="P1048" t="s">
        <v>29</v>
      </c>
      <c r="Q1048" t="s">
        <v>2356</v>
      </c>
      <c r="R1048" t="s">
        <v>23</v>
      </c>
      <c r="S1048">
        <v>4</v>
      </c>
      <c r="T1048" t="s">
        <v>24</v>
      </c>
      <c r="U1048" t="s">
        <v>2407</v>
      </c>
      <c r="V1048">
        <v>2025</v>
      </c>
      <c r="W1048">
        <v>7</v>
      </c>
    </row>
    <row r="1049" spans="1:23" x14ac:dyDescent="0.25">
      <c r="A1049" t="s">
        <v>1991</v>
      </c>
      <c r="B1049">
        <v>45849.123298611114</v>
      </c>
      <c r="C1049" t="s">
        <v>285</v>
      </c>
      <c r="D1049" t="s">
        <v>20</v>
      </c>
      <c r="E1049" t="s">
        <v>75</v>
      </c>
      <c r="F1049" t="s">
        <v>2398</v>
      </c>
      <c r="G1049" t="s">
        <v>2379</v>
      </c>
      <c r="H1049">
        <v>55000</v>
      </c>
      <c r="I1049">
        <v>5</v>
      </c>
      <c r="J1049">
        <v>10</v>
      </c>
      <c r="K1049">
        <v>275000</v>
      </c>
      <c r="L1049">
        <v>27500</v>
      </c>
      <c r="M1049">
        <v>247500</v>
      </c>
      <c r="N1049">
        <v>15000</v>
      </c>
      <c r="O1049">
        <v>262500</v>
      </c>
      <c r="P1049" t="s">
        <v>35</v>
      </c>
      <c r="Q1049" t="s">
        <v>2357</v>
      </c>
      <c r="R1049" t="s">
        <v>36</v>
      </c>
      <c r="S1049">
        <v>2</v>
      </c>
      <c r="T1049" t="s">
        <v>37</v>
      </c>
      <c r="U1049" t="s">
        <v>2407</v>
      </c>
      <c r="V1049">
        <v>2025</v>
      </c>
      <c r="W1049">
        <v>7</v>
      </c>
    </row>
    <row r="1050" spans="1:23" x14ac:dyDescent="0.25">
      <c r="A1050" t="s">
        <v>1992</v>
      </c>
      <c r="B1050">
        <v>45849.229178240741</v>
      </c>
      <c r="C1050" t="s">
        <v>1981</v>
      </c>
      <c r="D1050" t="s">
        <v>53</v>
      </c>
      <c r="E1050" t="s">
        <v>28</v>
      </c>
      <c r="F1050" t="s">
        <v>2395</v>
      </c>
      <c r="G1050" t="s">
        <v>2378</v>
      </c>
      <c r="H1050">
        <v>5000</v>
      </c>
      <c r="I1050">
        <v>4</v>
      </c>
      <c r="J1050">
        <v>0</v>
      </c>
      <c r="K1050">
        <v>20000</v>
      </c>
      <c r="L1050">
        <v>0</v>
      </c>
      <c r="M1050">
        <v>20000</v>
      </c>
      <c r="N1050">
        <v>18000</v>
      </c>
      <c r="O1050">
        <v>38000</v>
      </c>
      <c r="P1050" t="s">
        <v>29</v>
      </c>
      <c r="Q1050" t="s">
        <v>2357</v>
      </c>
      <c r="R1050" t="s">
        <v>30</v>
      </c>
      <c r="S1050">
        <v>1</v>
      </c>
      <c r="T1050" t="s">
        <v>24</v>
      </c>
      <c r="U1050" t="s">
        <v>2407</v>
      </c>
      <c r="V1050">
        <v>2025</v>
      </c>
      <c r="W1050">
        <v>7</v>
      </c>
    </row>
    <row r="1051" spans="1:23" x14ac:dyDescent="0.25">
      <c r="A1051" t="s">
        <v>1993</v>
      </c>
      <c r="B1051">
        <v>45849.283321759263</v>
      </c>
      <c r="C1051" t="s">
        <v>741</v>
      </c>
      <c r="D1051" t="s">
        <v>189</v>
      </c>
      <c r="E1051" t="s">
        <v>34</v>
      </c>
      <c r="F1051" t="s">
        <v>2397</v>
      </c>
      <c r="G1051" t="s">
        <v>2377</v>
      </c>
      <c r="H1051">
        <v>16000</v>
      </c>
      <c r="I1051">
        <v>3</v>
      </c>
      <c r="J1051">
        <v>5</v>
      </c>
      <c r="K1051">
        <v>48000</v>
      </c>
      <c r="L1051">
        <v>2400</v>
      </c>
      <c r="M1051">
        <v>45600</v>
      </c>
      <c r="N1051">
        <v>57000</v>
      </c>
      <c r="O1051">
        <v>102600</v>
      </c>
      <c r="P1051" t="s">
        <v>63</v>
      </c>
      <c r="Q1051" t="s">
        <v>2357</v>
      </c>
      <c r="R1051" t="s">
        <v>36</v>
      </c>
      <c r="S1051">
        <v>4</v>
      </c>
      <c r="T1051" t="s">
        <v>24</v>
      </c>
      <c r="U1051" t="s">
        <v>2407</v>
      </c>
      <c r="V1051">
        <v>2025</v>
      </c>
      <c r="W1051">
        <v>7</v>
      </c>
    </row>
    <row r="1052" spans="1:23" x14ac:dyDescent="0.25">
      <c r="A1052" t="s">
        <v>1994</v>
      </c>
      <c r="B1052">
        <v>45849.604583333326</v>
      </c>
      <c r="C1052" t="s">
        <v>443</v>
      </c>
      <c r="D1052" t="s">
        <v>53</v>
      </c>
      <c r="E1052" t="s">
        <v>54</v>
      </c>
      <c r="F1052" t="s">
        <v>2393</v>
      </c>
      <c r="G1052" t="s">
        <v>2379</v>
      </c>
      <c r="H1052">
        <v>16000</v>
      </c>
      <c r="I1052">
        <v>1</v>
      </c>
      <c r="J1052">
        <v>15</v>
      </c>
      <c r="K1052">
        <v>16000</v>
      </c>
      <c r="L1052">
        <v>2400</v>
      </c>
      <c r="M1052">
        <v>13600</v>
      </c>
      <c r="N1052">
        <v>18000</v>
      </c>
      <c r="O1052">
        <v>31600</v>
      </c>
      <c r="P1052" t="s">
        <v>22</v>
      </c>
      <c r="Q1052" t="s">
        <v>2357</v>
      </c>
      <c r="R1052" t="s">
        <v>36</v>
      </c>
      <c r="S1052">
        <v>2</v>
      </c>
      <c r="T1052" t="s">
        <v>24</v>
      </c>
      <c r="U1052" t="s">
        <v>2407</v>
      </c>
      <c r="V1052">
        <v>2025</v>
      </c>
      <c r="W1052">
        <v>7</v>
      </c>
    </row>
    <row r="1053" spans="1:23" x14ac:dyDescent="0.25">
      <c r="A1053" t="s">
        <v>1995</v>
      </c>
      <c r="B1053">
        <v>45849.61210648148</v>
      </c>
      <c r="C1053" t="s">
        <v>1574</v>
      </c>
      <c r="D1053" t="s">
        <v>33</v>
      </c>
      <c r="E1053" t="s">
        <v>67</v>
      </c>
      <c r="F1053" t="s">
        <v>2393</v>
      </c>
      <c r="G1053" t="s">
        <v>2378</v>
      </c>
      <c r="H1053">
        <v>15000</v>
      </c>
      <c r="I1053">
        <v>1</v>
      </c>
      <c r="J1053">
        <v>10</v>
      </c>
      <c r="K1053">
        <v>15000</v>
      </c>
      <c r="L1053">
        <v>1500</v>
      </c>
      <c r="M1053">
        <v>13500</v>
      </c>
      <c r="N1053">
        <v>76000</v>
      </c>
      <c r="O1053">
        <v>89500</v>
      </c>
      <c r="P1053" t="s">
        <v>63</v>
      </c>
      <c r="Q1053" t="s">
        <v>2356</v>
      </c>
      <c r="R1053" t="s">
        <v>36</v>
      </c>
      <c r="S1053">
        <v>4</v>
      </c>
      <c r="T1053" t="s">
        <v>24</v>
      </c>
      <c r="U1053" t="s">
        <v>2407</v>
      </c>
      <c r="V1053">
        <v>2025</v>
      </c>
      <c r="W1053">
        <v>7</v>
      </c>
    </row>
    <row r="1054" spans="1:23" x14ac:dyDescent="0.25">
      <c r="A1054" t="s">
        <v>1996</v>
      </c>
      <c r="B1054">
        <v>45849.703344907408</v>
      </c>
      <c r="C1054" t="s">
        <v>192</v>
      </c>
      <c r="D1054" t="s">
        <v>107</v>
      </c>
      <c r="E1054" t="s">
        <v>138</v>
      </c>
      <c r="F1054" t="s">
        <v>2396</v>
      </c>
      <c r="G1054" t="s">
        <v>2378</v>
      </c>
      <c r="H1054">
        <v>17000</v>
      </c>
      <c r="I1054">
        <v>4</v>
      </c>
      <c r="J1054">
        <v>20</v>
      </c>
      <c r="K1054">
        <v>68000</v>
      </c>
      <c r="L1054">
        <v>13600</v>
      </c>
      <c r="M1054">
        <v>54400</v>
      </c>
      <c r="N1054">
        <v>97000</v>
      </c>
      <c r="O1054">
        <v>151400</v>
      </c>
      <c r="P1054" t="s">
        <v>29</v>
      </c>
      <c r="Q1054" t="s">
        <v>2357</v>
      </c>
      <c r="R1054" t="s">
        <v>82</v>
      </c>
      <c r="S1054">
        <v>1</v>
      </c>
      <c r="T1054" t="s">
        <v>24</v>
      </c>
      <c r="U1054" t="s">
        <v>2407</v>
      </c>
      <c r="V1054">
        <v>2025</v>
      </c>
      <c r="W1054">
        <v>7</v>
      </c>
    </row>
    <row r="1055" spans="1:23" x14ac:dyDescent="0.25">
      <c r="A1055" t="s">
        <v>1997</v>
      </c>
      <c r="B1055">
        <v>45849.777025462958</v>
      </c>
      <c r="C1055" t="s">
        <v>275</v>
      </c>
      <c r="D1055" t="s">
        <v>96</v>
      </c>
      <c r="E1055" t="s">
        <v>190</v>
      </c>
      <c r="F1055" t="s">
        <v>2392</v>
      </c>
      <c r="G1055" t="s">
        <v>2378</v>
      </c>
      <c r="H1055">
        <v>35000</v>
      </c>
      <c r="I1055">
        <v>2</v>
      </c>
      <c r="J1055">
        <v>10</v>
      </c>
      <c r="K1055">
        <v>70000</v>
      </c>
      <c r="L1055">
        <v>7000</v>
      </c>
      <c r="M1055">
        <v>63000</v>
      </c>
      <c r="N1055">
        <v>49000</v>
      </c>
      <c r="O1055">
        <v>112000</v>
      </c>
      <c r="P1055" t="s">
        <v>35</v>
      </c>
      <c r="Q1055" t="s">
        <v>2357</v>
      </c>
      <c r="R1055" t="s">
        <v>23</v>
      </c>
      <c r="S1055">
        <v>2</v>
      </c>
      <c r="T1055" t="s">
        <v>24</v>
      </c>
      <c r="U1055" t="s">
        <v>2407</v>
      </c>
      <c r="V1055">
        <v>2025</v>
      </c>
      <c r="W1055">
        <v>7</v>
      </c>
    </row>
    <row r="1056" spans="1:23" x14ac:dyDescent="0.25">
      <c r="A1056" t="s">
        <v>1997</v>
      </c>
      <c r="B1056">
        <v>45849.777025462958</v>
      </c>
      <c r="C1056" t="s">
        <v>275</v>
      </c>
      <c r="D1056" t="s">
        <v>96</v>
      </c>
      <c r="E1056" t="s">
        <v>123</v>
      </c>
      <c r="F1056" t="s">
        <v>2399</v>
      </c>
      <c r="G1056" t="s">
        <v>2377</v>
      </c>
      <c r="H1056">
        <v>22000</v>
      </c>
      <c r="I1056">
        <v>1</v>
      </c>
      <c r="J1056">
        <v>15</v>
      </c>
      <c r="K1056">
        <v>22000</v>
      </c>
      <c r="L1056">
        <v>3300</v>
      </c>
      <c r="M1056">
        <v>18700</v>
      </c>
      <c r="N1056">
        <v>0</v>
      </c>
      <c r="O1056">
        <v>18700</v>
      </c>
      <c r="P1056" t="s">
        <v>35</v>
      </c>
      <c r="Q1056" t="s">
        <v>2357</v>
      </c>
      <c r="R1056" t="s">
        <v>23</v>
      </c>
      <c r="S1056">
        <v>2</v>
      </c>
      <c r="T1056" t="s">
        <v>24</v>
      </c>
      <c r="U1056" t="s">
        <v>2407</v>
      </c>
      <c r="V1056">
        <v>2025</v>
      </c>
      <c r="W1056">
        <v>7</v>
      </c>
    </row>
    <row r="1057" spans="1:23" x14ac:dyDescent="0.25">
      <c r="A1057" t="s">
        <v>1998</v>
      </c>
      <c r="B1057">
        <v>45849.963599537034</v>
      </c>
      <c r="C1057" t="s">
        <v>1259</v>
      </c>
      <c r="D1057" t="s">
        <v>107</v>
      </c>
      <c r="E1057" t="s">
        <v>144</v>
      </c>
      <c r="F1057" t="s">
        <v>2396</v>
      </c>
      <c r="G1057" t="s">
        <v>2379</v>
      </c>
      <c r="H1057">
        <v>18000</v>
      </c>
      <c r="I1057">
        <v>4</v>
      </c>
      <c r="J1057">
        <v>5</v>
      </c>
      <c r="K1057">
        <v>72000</v>
      </c>
      <c r="L1057">
        <v>3600</v>
      </c>
      <c r="M1057">
        <v>68400</v>
      </c>
      <c r="N1057">
        <v>97000</v>
      </c>
      <c r="O1057">
        <v>165400</v>
      </c>
      <c r="P1057" t="s">
        <v>29</v>
      </c>
      <c r="Q1057" t="s">
        <v>2356</v>
      </c>
      <c r="R1057" t="s">
        <v>30</v>
      </c>
      <c r="S1057">
        <v>2</v>
      </c>
      <c r="T1057" t="s">
        <v>37</v>
      </c>
      <c r="U1057" t="s">
        <v>2407</v>
      </c>
      <c r="V1057">
        <v>2025</v>
      </c>
      <c r="W1057">
        <v>7</v>
      </c>
    </row>
    <row r="1058" spans="1:23" x14ac:dyDescent="0.25">
      <c r="A1058" t="s">
        <v>1999</v>
      </c>
      <c r="B1058">
        <v>45850.207638888889</v>
      </c>
      <c r="C1058" t="s">
        <v>504</v>
      </c>
      <c r="D1058" t="s">
        <v>195</v>
      </c>
      <c r="E1058" t="s">
        <v>54</v>
      </c>
      <c r="F1058" t="s">
        <v>2393</v>
      </c>
      <c r="G1058" t="s">
        <v>2379</v>
      </c>
      <c r="H1058">
        <v>16000</v>
      </c>
      <c r="I1058">
        <v>3</v>
      </c>
      <c r="J1058">
        <v>5</v>
      </c>
      <c r="K1058">
        <v>48000</v>
      </c>
      <c r="L1058">
        <v>2400</v>
      </c>
      <c r="M1058">
        <v>45600</v>
      </c>
      <c r="N1058">
        <v>87000</v>
      </c>
      <c r="O1058">
        <v>132600</v>
      </c>
      <c r="P1058" t="s">
        <v>22</v>
      </c>
      <c r="Q1058" t="s">
        <v>2357</v>
      </c>
      <c r="R1058" t="s">
        <v>30</v>
      </c>
      <c r="S1058">
        <v>1</v>
      </c>
      <c r="T1058" t="s">
        <v>24</v>
      </c>
      <c r="U1058" t="s">
        <v>2407</v>
      </c>
      <c r="V1058">
        <v>2025</v>
      </c>
      <c r="W1058">
        <v>7</v>
      </c>
    </row>
    <row r="1059" spans="1:23" x14ac:dyDescent="0.25">
      <c r="A1059" t="s">
        <v>2000</v>
      </c>
      <c r="B1059">
        <v>45850.254374999997</v>
      </c>
      <c r="C1059" t="s">
        <v>615</v>
      </c>
      <c r="D1059" t="s">
        <v>92</v>
      </c>
      <c r="E1059" t="s">
        <v>250</v>
      </c>
      <c r="F1059" t="s">
        <v>2397</v>
      </c>
      <c r="G1059" t="s">
        <v>2379</v>
      </c>
      <c r="H1059">
        <v>18000</v>
      </c>
      <c r="I1059">
        <v>4</v>
      </c>
      <c r="J1059">
        <v>15</v>
      </c>
      <c r="K1059">
        <v>72000</v>
      </c>
      <c r="L1059">
        <v>10800</v>
      </c>
      <c r="M1059">
        <v>61200</v>
      </c>
      <c r="N1059">
        <v>30000</v>
      </c>
      <c r="O1059">
        <v>91200</v>
      </c>
      <c r="P1059" t="s">
        <v>35</v>
      </c>
      <c r="Q1059" t="s">
        <v>2357</v>
      </c>
      <c r="R1059" t="s">
        <v>82</v>
      </c>
      <c r="S1059">
        <v>4</v>
      </c>
      <c r="T1059" t="s">
        <v>24</v>
      </c>
      <c r="U1059" t="s">
        <v>2407</v>
      </c>
      <c r="V1059">
        <v>2025</v>
      </c>
      <c r="W1059">
        <v>7</v>
      </c>
    </row>
    <row r="1060" spans="1:23" x14ac:dyDescent="0.25">
      <c r="A1060" t="s">
        <v>2001</v>
      </c>
      <c r="B1060">
        <v>45850.999803240738</v>
      </c>
      <c r="C1060" t="s">
        <v>56</v>
      </c>
      <c r="D1060" t="s">
        <v>57</v>
      </c>
      <c r="E1060" t="s">
        <v>104</v>
      </c>
      <c r="F1060" t="s">
        <v>2392</v>
      </c>
      <c r="G1060" t="s">
        <v>2377</v>
      </c>
      <c r="H1060">
        <v>30000</v>
      </c>
      <c r="I1060">
        <v>2</v>
      </c>
      <c r="J1060">
        <v>15</v>
      </c>
      <c r="K1060">
        <v>60000</v>
      </c>
      <c r="L1060">
        <v>9000</v>
      </c>
      <c r="M1060">
        <v>51000</v>
      </c>
      <c r="N1060">
        <v>80000</v>
      </c>
      <c r="O1060">
        <v>131000</v>
      </c>
      <c r="P1060" t="s">
        <v>63</v>
      </c>
      <c r="Q1060" t="s">
        <v>2357</v>
      </c>
      <c r="R1060" t="s">
        <v>46</v>
      </c>
      <c r="S1060">
        <v>4</v>
      </c>
      <c r="T1060" t="s">
        <v>24</v>
      </c>
      <c r="U1060" t="s">
        <v>2407</v>
      </c>
      <c r="V1060">
        <v>2025</v>
      </c>
      <c r="W1060">
        <v>7</v>
      </c>
    </row>
    <row r="1061" spans="1:23" x14ac:dyDescent="0.25">
      <c r="A1061" t="s">
        <v>2002</v>
      </c>
      <c r="B1061">
        <v>45851.378194444442</v>
      </c>
      <c r="C1061" t="s">
        <v>758</v>
      </c>
      <c r="D1061" t="s">
        <v>238</v>
      </c>
      <c r="E1061" t="s">
        <v>67</v>
      </c>
      <c r="F1061" t="s">
        <v>2393</v>
      </c>
      <c r="G1061" t="s">
        <v>2378</v>
      </c>
      <c r="H1061">
        <v>15000</v>
      </c>
      <c r="I1061">
        <v>4</v>
      </c>
      <c r="J1061">
        <v>5</v>
      </c>
      <c r="K1061">
        <v>60000</v>
      </c>
      <c r="L1061">
        <v>3000</v>
      </c>
      <c r="M1061">
        <v>57000</v>
      </c>
      <c r="N1061">
        <v>28000</v>
      </c>
      <c r="O1061">
        <v>85000</v>
      </c>
      <c r="P1061" t="s">
        <v>35</v>
      </c>
      <c r="Q1061" t="s">
        <v>2357</v>
      </c>
      <c r="R1061" t="s">
        <v>46</v>
      </c>
      <c r="S1061">
        <v>2</v>
      </c>
      <c r="T1061" t="s">
        <v>24</v>
      </c>
      <c r="U1061" t="s">
        <v>2407</v>
      </c>
      <c r="V1061">
        <v>2025</v>
      </c>
      <c r="W1061">
        <v>7</v>
      </c>
    </row>
    <row r="1062" spans="1:23" x14ac:dyDescent="0.25">
      <c r="A1062" t="s">
        <v>2003</v>
      </c>
      <c r="B1062">
        <v>45851.78570601852</v>
      </c>
      <c r="C1062" t="s">
        <v>256</v>
      </c>
      <c r="D1062" t="s">
        <v>107</v>
      </c>
      <c r="E1062" t="s">
        <v>45</v>
      </c>
      <c r="F1062" t="s">
        <v>2394</v>
      </c>
      <c r="G1062" t="s">
        <v>2378</v>
      </c>
      <c r="H1062">
        <v>40000</v>
      </c>
      <c r="I1062">
        <v>5</v>
      </c>
      <c r="J1062">
        <v>5</v>
      </c>
      <c r="K1062">
        <v>200000</v>
      </c>
      <c r="L1062">
        <v>10000</v>
      </c>
      <c r="M1062">
        <v>190000</v>
      </c>
      <c r="N1062">
        <v>97000</v>
      </c>
      <c r="O1062">
        <v>287000</v>
      </c>
      <c r="P1062" t="s">
        <v>63</v>
      </c>
      <c r="Q1062" t="s">
        <v>2357</v>
      </c>
      <c r="R1062" t="s">
        <v>30</v>
      </c>
      <c r="S1062">
        <v>5</v>
      </c>
      <c r="T1062" t="s">
        <v>24</v>
      </c>
      <c r="U1062" t="s">
        <v>2407</v>
      </c>
      <c r="V1062">
        <v>2025</v>
      </c>
      <c r="W1062">
        <v>7</v>
      </c>
    </row>
    <row r="1063" spans="1:23" x14ac:dyDescent="0.25">
      <c r="A1063" t="s">
        <v>2004</v>
      </c>
      <c r="B1063">
        <v>45851.9140625</v>
      </c>
      <c r="C1063" t="s">
        <v>690</v>
      </c>
      <c r="D1063" t="s">
        <v>173</v>
      </c>
      <c r="E1063" t="s">
        <v>41</v>
      </c>
      <c r="F1063" t="s">
        <v>2395</v>
      </c>
      <c r="G1063" t="s">
        <v>2377</v>
      </c>
      <c r="H1063">
        <v>4000</v>
      </c>
      <c r="I1063">
        <v>3</v>
      </c>
      <c r="J1063">
        <v>15</v>
      </c>
      <c r="K1063">
        <v>12000</v>
      </c>
      <c r="L1063">
        <v>1800</v>
      </c>
      <c r="M1063">
        <v>10200</v>
      </c>
      <c r="N1063">
        <v>49000</v>
      </c>
      <c r="O1063">
        <v>59200</v>
      </c>
      <c r="P1063" t="s">
        <v>29</v>
      </c>
      <c r="Q1063" t="s">
        <v>2357</v>
      </c>
      <c r="R1063" t="s">
        <v>36</v>
      </c>
      <c r="S1063">
        <v>1</v>
      </c>
      <c r="T1063" t="s">
        <v>37</v>
      </c>
      <c r="U1063" t="s">
        <v>2407</v>
      </c>
      <c r="V1063">
        <v>2025</v>
      </c>
      <c r="W1063">
        <v>7</v>
      </c>
    </row>
    <row r="1064" spans="1:23" x14ac:dyDescent="0.25">
      <c r="A1064" t="s">
        <v>2005</v>
      </c>
      <c r="B1064">
        <v>45851.981817129628</v>
      </c>
      <c r="C1064" t="s">
        <v>150</v>
      </c>
      <c r="D1064" t="s">
        <v>151</v>
      </c>
      <c r="E1064" t="s">
        <v>45</v>
      </c>
      <c r="F1064" t="s">
        <v>2394</v>
      </c>
      <c r="G1064" t="s">
        <v>2378</v>
      </c>
      <c r="H1064">
        <v>40000</v>
      </c>
      <c r="I1064">
        <v>3</v>
      </c>
      <c r="J1064">
        <v>10</v>
      </c>
      <c r="K1064">
        <v>120000</v>
      </c>
      <c r="L1064">
        <v>12000</v>
      </c>
      <c r="M1064">
        <v>108000</v>
      </c>
      <c r="N1064">
        <v>55000</v>
      </c>
      <c r="O1064">
        <v>163000</v>
      </c>
      <c r="P1064" t="s">
        <v>35</v>
      </c>
      <c r="Q1064" t="s">
        <v>2357</v>
      </c>
      <c r="R1064" t="s">
        <v>23</v>
      </c>
      <c r="S1064">
        <v>2</v>
      </c>
      <c r="T1064" t="s">
        <v>37</v>
      </c>
      <c r="U1064" t="s">
        <v>2407</v>
      </c>
      <c r="V1064">
        <v>2025</v>
      </c>
      <c r="W1064">
        <v>7</v>
      </c>
    </row>
    <row r="1065" spans="1:23" x14ac:dyDescent="0.25">
      <c r="A1065" t="s">
        <v>2006</v>
      </c>
      <c r="B1065">
        <v>45852.000694444447</v>
      </c>
      <c r="C1065" t="s">
        <v>256</v>
      </c>
      <c r="D1065" t="s">
        <v>107</v>
      </c>
      <c r="E1065" t="s">
        <v>144</v>
      </c>
      <c r="F1065" t="s">
        <v>2396</v>
      </c>
      <c r="G1065" t="s">
        <v>2379</v>
      </c>
      <c r="H1065">
        <v>18000</v>
      </c>
      <c r="I1065">
        <v>5</v>
      </c>
      <c r="J1065">
        <v>5</v>
      </c>
      <c r="K1065">
        <v>90000</v>
      </c>
      <c r="L1065">
        <v>4500</v>
      </c>
      <c r="M1065">
        <v>85500</v>
      </c>
      <c r="N1065">
        <v>97000</v>
      </c>
      <c r="O1065">
        <v>182500</v>
      </c>
      <c r="P1065" t="s">
        <v>29</v>
      </c>
      <c r="Q1065" t="s">
        <v>2357</v>
      </c>
      <c r="R1065" t="s">
        <v>46</v>
      </c>
      <c r="S1065">
        <v>2</v>
      </c>
      <c r="T1065" t="s">
        <v>24</v>
      </c>
      <c r="U1065" t="s">
        <v>2407</v>
      </c>
      <c r="V1065">
        <v>2025</v>
      </c>
      <c r="W1065">
        <v>7</v>
      </c>
    </row>
    <row r="1066" spans="1:23" x14ac:dyDescent="0.25">
      <c r="A1066" t="s">
        <v>2007</v>
      </c>
      <c r="B1066">
        <v>45852.398240740738</v>
      </c>
      <c r="C1066" t="s">
        <v>419</v>
      </c>
      <c r="D1066" t="s">
        <v>103</v>
      </c>
      <c r="E1066" t="s">
        <v>21</v>
      </c>
      <c r="F1066" t="s">
        <v>2394</v>
      </c>
      <c r="G1066" t="s">
        <v>2379</v>
      </c>
      <c r="H1066">
        <v>45000</v>
      </c>
      <c r="I1066">
        <v>5</v>
      </c>
      <c r="J1066">
        <v>5</v>
      </c>
      <c r="K1066">
        <v>225000</v>
      </c>
      <c r="L1066">
        <v>11250</v>
      </c>
      <c r="M1066">
        <v>213750</v>
      </c>
      <c r="N1066">
        <v>85000</v>
      </c>
      <c r="O1066">
        <v>298750</v>
      </c>
      <c r="P1066" t="s">
        <v>29</v>
      </c>
      <c r="Q1066" t="s">
        <v>2357</v>
      </c>
      <c r="R1066" t="s">
        <v>36</v>
      </c>
      <c r="S1066">
        <v>3</v>
      </c>
      <c r="T1066" t="s">
        <v>37</v>
      </c>
      <c r="U1066" t="s">
        <v>2407</v>
      </c>
      <c r="V1066">
        <v>2025</v>
      </c>
      <c r="W1066">
        <v>7</v>
      </c>
    </row>
    <row r="1067" spans="1:23" x14ac:dyDescent="0.25">
      <c r="A1067" t="s">
        <v>2008</v>
      </c>
      <c r="B1067">
        <v>45852.491527777784</v>
      </c>
      <c r="C1067" t="s">
        <v>2009</v>
      </c>
      <c r="D1067" t="s">
        <v>49</v>
      </c>
      <c r="E1067" t="s">
        <v>38</v>
      </c>
      <c r="F1067" t="s">
        <v>2399</v>
      </c>
      <c r="G1067" t="s">
        <v>2379</v>
      </c>
      <c r="H1067">
        <v>28000</v>
      </c>
      <c r="I1067">
        <v>2</v>
      </c>
      <c r="J1067">
        <v>15</v>
      </c>
      <c r="K1067">
        <v>56000</v>
      </c>
      <c r="L1067">
        <v>8400</v>
      </c>
      <c r="M1067">
        <v>47600</v>
      </c>
      <c r="N1067">
        <v>43000</v>
      </c>
      <c r="O1067">
        <v>90600</v>
      </c>
      <c r="P1067" t="s">
        <v>29</v>
      </c>
      <c r="Q1067" t="s">
        <v>2357</v>
      </c>
      <c r="R1067" t="s">
        <v>23</v>
      </c>
      <c r="S1067">
        <v>5</v>
      </c>
      <c r="T1067" t="s">
        <v>24</v>
      </c>
      <c r="U1067" t="s">
        <v>2407</v>
      </c>
      <c r="V1067">
        <v>2025</v>
      </c>
      <c r="W1067">
        <v>7</v>
      </c>
    </row>
    <row r="1068" spans="1:23" x14ac:dyDescent="0.25">
      <c r="A1068" t="s">
        <v>2010</v>
      </c>
      <c r="B1068">
        <v>45852.729560185187</v>
      </c>
      <c r="C1068" t="s">
        <v>155</v>
      </c>
      <c r="D1068" t="s">
        <v>92</v>
      </c>
      <c r="E1068" t="s">
        <v>41</v>
      </c>
      <c r="F1068" t="s">
        <v>2395</v>
      </c>
      <c r="G1068" t="s">
        <v>2377</v>
      </c>
      <c r="H1068">
        <v>4000</v>
      </c>
      <c r="I1068">
        <v>3</v>
      </c>
      <c r="J1068">
        <v>5</v>
      </c>
      <c r="K1068">
        <v>12000</v>
      </c>
      <c r="L1068">
        <v>600</v>
      </c>
      <c r="M1068">
        <v>11400</v>
      </c>
      <c r="N1068">
        <v>30000</v>
      </c>
      <c r="O1068">
        <v>41400</v>
      </c>
      <c r="P1068" t="s">
        <v>22</v>
      </c>
      <c r="Q1068" t="s">
        <v>2357</v>
      </c>
      <c r="R1068" t="s">
        <v>46</v>
      </c>
      <c r="S1068">
        <v>5</v>
      </c>
      <c r="T1068" t="s">
        <v>24</v>
      </c>
      <c r="U1068" t="s">
        <v>2407</v>
      </c>
      <c r="V1068">
        <v>2025</v>
      </c>
      <c r="W1068">
        <v>7</v>
      </c>
    </row>
    <row r="1069" spans="1:23" x14ac:dyDescent="0.25">
      <c r="A1069" t="s">
        <v>2011</v>
      </c>
      <c r="B1069">
        <v>45853.031782407408</v>
      </c>
      <c r="C1069" t="s">
        <v>140</v>
      </c>
      <c r="D1069" t="s">
        <v>92</v>
      </c>
      <c r="E1069" t="s">
        <v>62</v>
      </c>
      <c r="F1069" t="s">
        <v>2398</v>
      </c>
      <c r="G1069" t="s">
        <v>2378</v>
      </c>
      <c r="H1069">
        <v>50000</v>
      </c>
      <c r="I1069">
        <v>5</v>
      </c>
      <c r="J1069">
        <v>10</v>
      </c>
      <c r="K1069">
        <v>250000</v>
      </c>
      <c r="L1069">
        <v>25000</v>
      </c>
      <c r="M1069">
        <v>225000</v>
      </c>
      <c r="N1069">
        <v>30000</v>
      </c>
      <c r="O1069">
        <v>255000</v>
      </c>
      <c r="P1069" t="s">
        <v>22</v>
      </c>
      <c r="Q1069" t="s">
        <v>2356</v>
      </c>
      <c r="R1069" t="s">
        <v>30</v>
      </c>
      <c r="S1069">
        <v>5</v>
      </c>
      <c r="T1069" t="s">
        <v>24</v>
      </c>
      <c r="U1069" t="s">
        <v>2407</v>
      </c>
      <c r="V1069">
        <v>2025</v>
      </c>
      <c r="W1069">
        <v>7</v>
      </c>
    </row>
    <row r="1070" spans="1:23" x14ac:dyDescent="0.25">
      <c r="A1070" t="s">
        <v>2012</v>
      </c>
      <c r="B1070">
        <v>45853.048391203702</v>
      </c>
      <c r="C1070" t="s">
        <v>142</v>
      </c>
      <c r="D1070" t="s">
        <v>143</v>
      </c>
      <c r="E1070" t="s">
        <v>41</v>
      </c>
      <c r="F1070" t="s">
        <v>2395</v>
      </c>
      <c r="G1070" t="s">
        <v>2377</v>
      </c>
      <c r="H1070">
        <v>4000</v>
      </c>
      <c r="I1070">
        <v>1</v>
      </c>
      <c r="J1070">
        <v>20</v>
      </c>
      <c r="K1070">
        <v>4000</v>
      </c>
      <c r="L1070">
        <v>800</v>
      </c>
      <c r="M1070">
        <v>3200</v>
      </c>
      <c r="N1070">
        <v>50000</v>
      </c>
      <c r="O1070">
        <v>53200</v>
      </c>
      <c r="P1070" t="s">
        <v>29</v>
      </c>
      <c r="Q1070" t="s">
        <v>2357</v>
      </c>
      <c r="R1070" t="s">
        <v>46</v>
      </c>
      <c r="S1070">
        <v>3</v>
      </c>
      <c r="T1070" t="s">
        <v>24</v>
      </c>
      <c r="U1070" t="s">
        <v>2407</v>
      </c>
      <c r="V1070">
        <v>2025</v>
      </c>
      <c r="W1070">
        <v>7</v>
      </c>
    </row>
    <row r="1071" spans="1:23" x14ac:dyDescent="0.25">
      <c r="A1071" t="s">
        <v>2013</v>
      </c>
      <c r="B1071">
        <v>45853.05872685185</v>
      </c>
      <c r="C1071" t="s">
        <v>150</v>
      </c>
      <c r="D1071" t="s">
        <v>151</v>
      </c>
      <c r="E1071" t="s">
        <v>81</v>
      </c>
      <c r="F1071" t="s">
        <v>2397</v>
      </c>
      <c r="G1071" t="s">
        <v>2378</v>
      </c>
      <c r="H1071">
        <v>17000</v>
      </c>
      <c r="I1071">
        <v>3</v>
      </c>
      <c r="J1071">
        <v>5</v>
      </c>
      <c r="K1071">
        <v>51000</v>
      </c>
      <c r="L1071">
        <v>2550</v>
      </c>
      <c r="M1071">
        <v>48450</v>
      </c>
      <c r="N1071">
        <v>55000</v>
      </c>
      <c r="O1071">
        <v>103450</v>
      </c>
      <c r="P1071" t="s">
        <v>35</v>
      </c>
      <c r="Q1071" t="s">
        <v>2357</v>
      </c>
      <c r="R1071" t="s">
        <v>36</v>
      </c>
      <c r="S1071">
        <v>1</v>
      </c>
      <c r="T1071" t="s">
        <v>37</v>
      </c>
      <c r="U1071" t="s">
        <v>2407</v>
      </c>
      <c r="V1071">
        <v>2025</v>
      </c>
      <c r="W1071">
        <v>7</v>
      </c>
    </row>
    <row r="1072" spans="1:23" x14ac:dyDescent="0.25">
      <c r="A1072" t="s">
        <v>2014</v>
      </c>
      <c r="B1072">
        <v>45853.121249999997</v>
      </c>
      <c r="C1072" t="s">
        <v>656</v>
      </c>
      <c r="D1072" t="s">
        <v>195</v>
      </c>
      <c r="E1072" t="s">
        <v>144</v>
      </c>
      <c r="F1072" t="s">
        <v>2396</v>
      </c>
      <c r="G1072" t="s">
        <v>2379</v>
      </c>
      <c r="H1072">
        <v>18000</v>
      </c>
      <c r="I1072">
        <v>5</v>
      </c>
      <c r="J1072">
        <v>5</v>
      </c>
      <c r="K1072">
        <v>90000</v>
      </c>
      <c r="L1072">
        <v>4500</v>
      </c>
      <c r="M1072">
        <v>85500</v>
      </c>
      <c r="N1072">
        <v>87000</v>
      </c>
      <c r="O1072">
        <v>172500</v>
      </c>
      <c r="P1072" t="s">
        <v>63</v>
      </c>
      <c r="Q1072" t="s">
        <v>2357</v>
      </c>
      <c r="R1072" t="s">
        <v>82</v>
      </c>
      <c r="S1072">
        <v>5</v>
      </c>
      <c r="T1072" t="s">
        <v>37</v>
      </c>
      <c r="U1072" t="s">
        <v>2407</v>
      </c>
      <c r="V1072">
        <v>2025</v>
      </c>
      <c r="W1072">
        <v>7</v>
      </c>
    </row>
    <row r="1073" spans="1:23" x14ac:dyDescent="0.25">
      <c r="A1073" t="s">
        <v>2015</v>
      </c>
      <c r="B1073">
        <v>45853.188425925917</v>
      </c>
      <c r="C1073" t="s">
        <v>918</v>
      </c>
      <c r="D1073" t="s">
        <v>296</v>
      </c>
      <c r="E1073" t="s">
        <v>67</v>
      </c>
      <c r="F1073" t="s">
        <v>2393</v>
      </c>
      <c r="G1073" t="s">
        <v>2378</v>
      </c>
      <c r="H1073">
        <v>15000</v>
      </c>
      <c r="I1073">
        <v>2</v>
      </c>
      <c r="J1073">
        <v>5</v>
      </c>
      <c r="K1073">
        <v>30000</v>
      </c>
      <c r="L1073">
        <v>1500</v>
      </c>
      <c r="M1073">
        <v>28500</v>
      </c>
      <c r="N1073">
        <v>79000</v>
      </c>
      <c r="O1073">
        <v>107500</v>
      </c>
      <c r="P1073" t="s">
        <v>22</v>
      </c>
      <c r="Q1073" t="s">
        <v>2357</v>
      </c>
      <c r="R1073" t="s">
        <v>36</v>
      </c>
      <c r="S1073">
        <v>5</v>
      </c>
      <c r="T1073" t="s">
        <v>24</v>
      </c>
      <c r="U1073" t="s">
        <v>2407</v>
      </c>
      <c r="V1073">
        <v>2025</v>
      </c>
      <c r="W1073">
        <v>7</v>
      </c>
    </row>
    <row r="1074" spans="1:23" x14ac:dyDescent="0.25">
      <c r="A1074" t="s">
        <v>2016</v>
      </c>
      <c r="B1074">
        <v>45853.313946759263</v>
      </c>
      <c r="C1074" t="s">
        <v>557</v>
      </c>
      <c r="D1074" t="s">
        <v>173</v>
      </c>
      <c r="E1074" t="s">
        <v>67</v>
      </c>
      <c r="F1074" t="s">
        <v>2393</v>
      </c>
      <c r="G1074" t="s">
        <v>2378</v>
      </c>
      <c r="H1074">
        <v>15000</v>
      </c>
      <c r="I1074">
        <v>2</v>
      </c>
      <c r="J1074">
        <v>20</v>
      </c>
      <c r="K1074">
        <v>30000</v>
      </c>
      <c r="L1074">
        <v>6000</v>
      </c>
      <c r="M1074">
        <v>24000</v>
      </c>
      <c r="N1074">
        <v>49000</v>
      </c>
      <c r="O1074">
        <v>73000</v>
      </c>
      <c r="P1074" t="s">
        <v>35</v>
      </c>
      <c r="Q1074" t="s">
        <v>2357</v>
      </c>
      <c r="R1074" t="s">
        <v>46</v>
      </c>
      <c r="S1074">
        <v>5</v>
      </c>
      <c r="T1074" t="s">
        <v>24</v>
      </c>
      <c r="U1074" t="s">
        <v>2407</v>
      </c>
      <c r="V1074">
        <v>2025</v>
      </c>
      <c r="W1074">
        <v>7</v>
      </c>
    </row>
    <row r="1075" spans="1:23" x14ac:dyDescent="0.25">
      <c r="A1075" t="s">
        <v>2017</v>
      </c>
      <c r="B1075">
        <v>45853.499895833331</v>
      </c>
      <c r="C1075" t="s">
        <v>142</v>
      </c>
      <c r="D1075" t="s">
        <v>143</v>
      </c>
      <c r="E1075" t="s">
        <v>28</v>
      </c>
      <c r="F1075" t="s">
        <v>2395</v>
      </c>
      <c r="G1075" t="s">
        <v>2378</v>
      </c>
      <c r="H1075">
        <v>5000</v>
      </c>
      <c r="I1075">
        <v>1</v>
      </c>
      <c r="J1075">
        <v>10</v>
      </c>
      <c r="K1075">
        <v>5000</v>
      </c>
      <c r="L1075">
        <v>500</v>
      </c>
      <c r="M1075">
        <v>4500</v>
      </c>
      <c r="N1075">
        <v>50000</v>
      </c>
      <c r="O1075">
        <v>54500</v>
      </c>
      <c r="P1075" t="s">
        <v>35</v>
      </c>
      <c r="Q1075" t="s">
        <v>2356</v>
      </c>
      <c r="R1075" t="s">
        <v>82</v>
      </c>
      <c r="S1075">
        <v>3</v>
      </c>
      <c r="T1075" t="s">
        <v>24</v>
      </c>
      <c r="U1075" t="s">
        <v>2407</v>
      </c>
      <c r="V1075">
        <v>2025</v>
      </c>
      <c r="W1075">
        <v>7</v>
      </c>
    </row>
    <row r="1076" spans="1:23" x14ac:dyDescent="0.25">
      <c r="A1076" t="s">
        <v>2018</v>
      </c>
      <c r="B1076">
        <v>45853.565960648149</v>
      </c>
      <c r="C1076" t="s">
        <v>784</v>
      </c>
      <c r="D1076" t="s">
        <v>116</v>
      </c>
      <c r="E1076" t="s">
        <v>110</v>
      </c>
      <c r="F1076" t="s">
        <v>2395</v>
      </c>
      <c r="G1076" t="s">
        <v>2379</v>
      </c>
      <c r="H1076">
        <v>6000</v>
      </c>
      <c r="I1076">
        <v>2</v>
      </c>
      <c r="J1076">
        <v>0</v>
      </c>
      <c r="K1076">
        <v>12000</v>
      </c>
      <c r="L1076">
        <v>0</v>
      </c>
      <c r="M1076">
        <v>12000</v>
      </c>
      <c r="N1076">
        <v>72000</v>
      </c>
      <c r="O1076">
        <v>84000</v>
      </c>
      <c r="P1076" t="s">
        <v>35</v>
      </c>
      <c r="Q1076" t="s">
        <v>2357</v>
      </c>
      <c r="R1076" t="s">
        <v>46</v>
      </c>
      <c r="S1076">
        <v>3</v>
      </c>
      <c r="T1076" t="s">
        <v>24</v>
      </c>
      <c r="U1076" t="s">
        <v>2407</v>
      </c>
      <c r="V1076">
        <v>2025</v>
      </c>
      <c r="W1076">
        <v>7</v>
      </c>
    </row>
    <row r="1077" spans="1:23" x14ac:dyDescent="0.25">
      <c r="A1077" t="s">
        <v>2019</v>
      </c>
      <c r="B1077">
        <v>45853.582314814812</v>
      </c>
      <c r="C1077" t="s">
        <v>497</v>
      </c>
      <c r="D1077" t="s">
        <v>173</v>
      </c>
      <c r="E1077" t="s">
        <v>174</v>
      </c>
      <c r="F1077" t="s">
        <v>2400</v>
      </c>
      <c r="G1077" t="s">
        <v>2377</v>
      </c>
      <c r="H1077">
        <v>10000</v>
      </c>
      <c r="I1077">
        <v>5</v>
      </c>
      <c r="J1077">
        <v>0</v>
      </c>
      <c r="K1077">
        <v>50000</v>
      </c>
      <c r="L1077">
        <v>0</v>
      </c>
      <c r="M1077">
        <v>50000</v>
      </c>
      <c r="N1077">
        <v>49000</v>
      </c>
      <c r="O1077">
        <v>99000</v>
      </c>
      <c r="P1077" t="s">
        <v>63</v>
      </c>
      <c r="Q1077" t="s">
        <v>2357</v>
      </c>
      <c r="R1077" t="s">
        <v>30</v>
      </c>
      <c r="S1077">
        <v>1</v>
      </c>
      <c r="T1077" t="s">
        <v>37</v>
      </c>
      <c r="U1077" t="s">
        <v>2407</v>
      </c>
      <c r="V1077">
        <v>2025</v>
      </c>
      <c r="W1077">
        <v>7</v>
      </c>
    </row>
    <row r="1078" spans="1:23" x14ac:dyDescent="0.25">
      <c r="A1078" t="s">
        <v>2020</v>
      </c>
      <c r="B1078">
        <v>45853.602650462963</v>
      </c>
      <c r="C1078" t="s">
        <v>1073</v>
      </c>
      <c r="D1078" t="s">
        <v>27</v>
      </c>
      <c r="E1078" t="s">
        <v>81</v>
      </c>
      <c r="F1078" t="s">
        <v>2397</v>
      </c>
      <c r="G1078" t="s">
        <v>2378</v>
      </c>
      <c r="H1078">
        <v>17000</v>
      </c>
      <c r="I1078">
        <v>3</v>
      </c>
      <c r="J1078">
        <v>0</v>
      </c>
      <c r="K1078">
        <v>51000</v>
      </c>
      <c r="L1078">
        <v>0</v>
      </c>
      <c r="M1078">
        <v>51000</v>
      </c>
      <c r="N1078">
        <v>17000</v>
      </c>
      <c r="O1078">
        <v>68000</v>
      </c>
      <c r="P1078" t="s">
        <v>63</v>
      </c>
      <c r="Q1078" t="s">
        <v>2357</v>
      </c>
      <c r="R1078" t="s">
        <v>30</v>
      </c>
      <c r="S1078">
        <v>5</v>
      </c>
      <c r="T1078" t="s">
        <v>24</v>
      </c>
      <c r="U1078" t="s">
        <v>2407</v>
      </c>
      <c r="V1078">
        <v>2025</v>
      </c>
      <c r="W1078">
        <v>7</v>
      </c>
    </row>
    <row r="1079" spans="1:23" x14ac:dyDescent="0.25">
      <c r="A1079" t="s">
        <v>2021</v>
      </c>
      <c r="B1079">
        <v>45853.613599537042</v>
      </c>
      <c r="C1079" t="s">
        <v>593</v>
      </c>
      <c r="D1079" t="s">
        <v>195</v>
      </c>
      <c r="E1079" t="s">
        <v>85</v>
      </c>
      <c r="F1079" t="s">
        <v>2394</v>
      </c>
      <c r="G1079" t="s">
        <v>2377</v>
      </c>
      <c r="H1079">
        <v>35000</v>
      </c>
      <c r="I1079">
        <v>4</v>
      </c>
      <c r="J1079">
        <v>0</v>
      </c>
      <c r="K1079">
        <v>140000</v>
      </c>
      <c r="L1079">
        <v>0</v>
      </c>
      <c r="M1079">
        <v>140000</v>
      </c>
      <c r="N1079">
        <v>87000</v>
      </c>
      <c r="O1079">
        <v>227000</v>
      </c>
      <c r="P1079" t="s">
        <v>35</v>
      </c>
      <c r="Q1079" t="s">
        <v>2359</v>
      </c>
      <c r="R1079" t="s">
        <v>82</v>
      </c>
      <c r="S1079">
        <v>4</v>
      </c>
      <c r="T1079" t="s">
        <v>24</v>
      </c>
      <c r="U1079" t="s">
        <v>2407</v>
      </c>
      <c r="V1079">
        <v>2025</v>
      </c>
      <c r="W1079">
        <v>7</v>
      </c>
    </row>
    <row r="1080" spans="1:23" x14ac:dyDescent="0.25">
      <c r="A1080" t="s">
        <v>2022</v>
      </c>
      <c r="B1080">
        <v>45853.678819444453</v>
      </c>
      <c r="C1080" t="s">
        <v>537</v>
      </c>
      <c r="D1080" t="s">
        <v>57</v>
      </c>
      <c r="E1080" t="s">
        <v>67</v>
      </c>
      <c r="F1080" t="s">
        <v>2393</v>
      </c>
      <c r="G1080" t="s">
        <v>2378</v>
      </c>
      <c r="H1080">
        <v>15000</v>
      </c>
      <c r="I1080">
        <v>5</v>
      </c>
      <c r="J1080">
        <v>10</v>
      </c>
      <c r="K1080">
        <v>75000</v>
      </c>
      <c r="L1080">
        <v>7500</v>
      </c>
      <c r="M1080">
        <v>67500</v>
      </c>
      <c r="N1080">
        <v>80000</v>
      </c>
      <c r="O1080">
        <v>147500</v>
      </c>
      <c r="P1080" t="s">
        <v>22</v>
      </c>
      <c r="Q1080" t="s">
        <v>2357</v>
      </c>
      <c r="R1080" t="s">
        <v>30</v>
      </c>
      <c r="S1080">
        <v>3</v>
      </c>
      <c r="T1080" t="s">
        <v>37</v>
      </c>
      <c r="U1080" t="s">
        <v>2407</v>
      </c>
      <c r="V1080">
        <v>2025</v>
      </c>
      <c r="W1080">
        <v>7</v>
      </c>
    </row>
    <row r="1081" spans="1:23" x14ac:dyDescent="0.25">
      <c r="A1081" t="s">
        <v>2023</v>
      </c>
      <c r="B1081">
        <v>45854.162187499998</v>
      </c>
      <c r="C1081" t="s">
        <v>1270</v>
      </c>
      <c r="D1081" t="s">
        <v>182</v>
      </c>
      <c r="E1081" t="s">
        <v>110</v>
      </c>
      <c r="F1081" t="s">
        <v>2395</v>
      </c>
      <c r="G1081" t="s">
        <v>2379</v>
      </c>
      <c r="H1081">
        <v>6000</v>
      </c>
      <c r="I1081">
        <v>1</v>
      </c>
      <c r="J1081">
        <v>20</v>
      </c>
      <c r="K1081">
        <v>6000</v>
      </c>
      <c r="L1081">
        <v>1200</v>
      </c>
      <c r="M1081">
        <v>4800</v>
      </c>
      <c r="N1081">
        <v>48000</v>
      </c>
      <c r="O1081">
        <v>52800</v>
      </c>
      <c r="P1081" t="s">
        <v>63</v>
      </c>
      <c r="Q1081" t="s">
        <v>2356</v>
      </c>
      <c r="R1081" t="s">
        <v>23</v>
      </c>
      <c r="S1081">
        <v>1</v>
      </c>
      <c r="T1081" t="s">
        <v>24</v>
      </c>
      <c r="U1081" t="s">
        <v>2407</v>
      </c>
      <c r="V1081">
        <v>2025</v>
      </c>
      <c r="W1081">
        <v>7</v>
      </c>
    </row>
    <row r="1082" spans="1:23" x14ac:dyDescent="0.25">
      <c r="A1082" t="s">
        <v>2023</v>
      </c>
      <c r="B1082">
        <v>45854.162187499998</v>
      </c>
      <c r="C1082" t="s">
        <v>1270</v>
      </c>
      <c r="D1082" t="s">
        <v>182</v>
      </c>
      <c r="E1082" t="s">
        <v>45</v>
      </c>
      <c r="F1082" t="s">
        <v>2394</v>
      </c>
      <c r="G1082" t="s">
        <v>2378</v>
      </c>
      <c r="H1082">
        <v>40000</v>
      </c>
      <c r="I1082">
        <v>4</v>
      </c>
      <c r="J1082">
        <v>15</v>
      </c>
      <c r="K1082">
        <v>160000</v>
      </c>
      <c r="L1082">
        <v>24000</v>
      </c>
      <c r="M1082">
        <v>136000</v>
      </c>
      <c r="N1082">
        <v>0</v>
      </c>
      <c r="O1082">
        <v>136000</v>
      </c>
      <c r="P1082" t="s">
        <v>63</v>
      </c>
      <c r="Q1082" t="s">
        <v>2356</v>
      </c>
      <c r="R1082" t="s">
        <v>23</v>
      </c>
      <c r="S1082">
        <v>1</v>
      </c>
      <c r="T1082" t="s">
        <v>24</v>
      </c>
      <c r="U1082" t="s">
        <v>2407</v>
      </c>
      <c r="V1082">
        <v>2025</v>
      </c>
      <c r="W1082">
        <v>7</v>
      </c>
    </row>
    <row r="1083" spans="1:23" x14ac:dyDescent="0.25">
      <c r="A1083" t="s">
        <v>2024</v>
      </c>
      <c r="B1083">
        <v>45854.672384259262</v>
      </c>
      <c r="C1083" t="s">
        <v>626</v>
      </c>
      <c r="D1083" t="s">
        <v>296</v>
      </c>
      <c r="E1083" t="s">
        <v>174</v>
      </c>
      <c r="F1083" t="s">
        <v>2400</v>
      </c>
      <c r="G1083" t="s">
        <v>2377</v>
      </c>
      <c r="H1083">
        <v>10000</v>
      </c>
      <c r="I1083">
        <v>1</v>
      </c>
      <c r="J1083">
        <v>0</v>
      </c>
      <c r="K1083">
        <v>10000</v>
      </c>
      <c r="L1083">
        <v>0</v>
      </c>
      <c r="M1083">
        <v>10000</v>
      </c>
      <c r="N1083">
        <v>79000</v>
      </c>
      <c r="O1083">
        <v>89000</v>
      </c>
      <c r="P1083" t="s">
        <v>22</v>
      </c>
      <c r="Q1083" t="s">
        <v>2357</v>
      </c>
      <c r="R1083" t="s">
        <v>82</v>
      </c>
      <c r="S1083">
        <v>1</v>
      </c>
      <c r="T1083" t="s">
        <v>24</v>
      </c>
      <c r="U1083" t="s">
        <v>2407</v>
      </c>
      <c r="V1083">
        <v>2025</v>
      </c>
      <c r="W1083">
        <v>7</v>
      </c>
    </row>
    <row r="1084" spans="1:23" x14ac:dyDescent="0.25">
      <c r="A1084" t="s">
        <v>2025</v>
      </c>
      <c r="B1084">
        <v>45855.032141203701</v>
      </c>
      <c r="C1084" t="s">
        <v>530</v>
      </c>
      <c r="D1084" t="s">
        <v>151</v>
      </c>
      <c r="E1084" t="s">
        <v>50</v>
      </c>
      <c r="F1084" t="s">
        <v>2400</v>
      </c>
      <c r="G1084" t="s">
        <v>2379</v>
      </c>
      <c r="H1084">
        <v>14000</v>
      </c>
      <c r="I1084">
        <v>1</v>
      </c>
      <c r="J1084">
        <v>15</v>
      </c>
      <c r="K1084">
        <v>14000</v>
      </c>
      <c r="L1084">
        <v>2100</v>
      </c>
      <c r="M1084">
        <v>11900</v>
      </c>
      <c r="N1084">
        <v>55000</v>
      </c>
      <c r="O1084">
        <v>66900</v>
      </c>
      <c r="P1084" t="s">
        <v>29</v>
      </c>
      <c r="Q1084" t="s">
        <v>2357</v>
      </c>
      <c r="R1084" t="s">
        <v>30</v>
      </c>
      <c r="S1084">
        <v>3</v>
      </c>
      <c r="T1084" t="s">
        <v>24</v>
      </c>
      <c r="U1084" t="s">
        <v>2407</v>
      </c>
      <c r="V1084">
        <v>2025</v>
      </c>
      <c r="W1084">
        <v>7</v>
      </c>
    </row>
    <row r="1085" spans="1:23" x14ac:dyDescent="0.25">
      <c r="A1085" t="s">
        <v>2026</v>
      </c>
      <c r="B1085">
        <v>45855.388379629629</v>
      </c>
      <c r="C1085" t="s">
        <v>1250</v>
      </c>
      <c r="D1085" t="s">
        <v>195</v>
      </c>
      <c r="E1085" t="s">
        <v>138</v>
      </c>
      <c r="F1085" t="s">
        <v>2396</v>
      </c>
      <c r="G1085" t="s">
        <v>2378</v>
      </c>
      <c r="H1085">
        <v>17000</v>
      </c>
      <c r="I1085">
        <v>3</v>
      </c>
      <c r="J1085">
        <v>15</v>
      </c>
      <c r="K1085">
        <v>51000</v>
      </c>
      <c r="L1085">
        <v>7650</v>
      </c>
      <c r="M1085">
        <v>43350</v>
      </c>
      <c r="N1085">
        <v>87000</v>
      </c>
      <c r="O1085">
        <v>130350</v>
      </c>
      <c r="P1085" t="s">
        <v>63</v>
      </c>
      <c r="Q1085" t="s">
        <v>2357</v>
      </c>
      <c r="R1085" t="s">
        <v>23</v>
      </c>
      <c r="S1085">
        <v>2</v>
      </c>
      <c r="T1085" t="s">
        <v>24</v>
      </c>
      <c r="U1085" t="s">
        <v>2407</v>
      </c>
      <c r="V1085">
        <v>2025</v>
      </c>
      <c r="W1085">
        <v>7</v>
      </c>
    </row>
    <row r="1086" spans="1:23" x14ac:dyDescent="0.25">
      <c r="A1086" t="s">
        <v>2027</v>
      </c>
      <c r="B1086">
        <v>45855.430914351848</v>
      </c>
      <c r="C1086" t="s">
        <v>2028</v>
      </c>
      <c r="D1086" t="s">
        <v>122</v>
      </c>
      <c r="E1086" t="s">
        <v>144</v>
      </c>
      <c r="F1086" t="s">
        <v>2396</v>
      </c>
      <c r="G1086" t="s">
        <v>2379</v>
      </c>
      <c r="H1086">
        <v>18000</v>
      </c>
      <c r="I1086">
        <v>5</v>
      </c>
      <c r="J1086">
        <v>20</v>
      </c>
      <c r="K1086">
        <v>90000</v>
      </c>
      <c r="L1086">
        <v>18000</v>
      </c>
      <c r="M1086">
        <v>72000</v>
      </c>
      <c r="N1086">
        <v>78000</v>
      </c>
      <c r="O1086">
        <v>150000</v>
      </c>
      <c r="P1086" t="s">
        <v>22</v>
      </c>
      <c r="Q1086" t="s">
        <v>2357</v>
      </c>
      <c r="R1086" t="s">
        <v>46</v>
      </c>
      <c r="S1086">
        <v>4</v>
      </c>
      <c r="T1086" t="s">
        <v>37</v>
      </c>
      <c r="U1086" t="s">
        <v>2407</v>
      </c>
      <c r="V1086">
        <v>2025</v>
      </c>
      <c r="W1086">
        <v>7</v>
      </c>
    </row>
    <row r="1087" spans="1:23" x14ac:dyDescent="0.25">
      <c r="A1087" t="s">
        <v>2029</v>
      </c>
      <c r="B1087">
        <v>45855.469814814824</v>
      </c>
      <c r="C1087" t="s">
        <v>350</v>
      </c>
      <c r="D1087" t="s">
        <v>195</v>
      </c>
      <c r="E1087" t="s">
        <v>62</v>
      </c>
      <c r="F1087" t="s">
        <v>2398</v>
      </c>
      <c r="G1087" t="s">
        <v>2378</v>
      </c>
      <c r="H1087">
        <v>50000</v>
      </c>
      <c r="I1087">
        <v>3</v>
      </c>
      <c r="J1087">
        <v>20</v>
      </c>
      <c r="K1087">
        <v>150000</v>
      </c>
      <c r="L1087">
        <v>30000</v>
      </c>
      <c r="M1087">
        <v>120000</v>
      </c>
      <c r="N1087">
        <v>87000</v>
      </c>
      <c r="O1087">
        <v>207000</v>
      </c>
      <c r="P1087" t="s">
        <v>29</v>
      </c>
      <c r="Q1087" t="s">
        <v>2357</v>
      </c>
      <c r="R1087" t="s">
        <v>23</v>
      </c>
      <c r="S1087">
        <v>4</v>
      </c>
      <c r="T1087" t="s">
        <v>37</v>
      </c>
      <c r="U1087" t="s">
        <v>2407</v>
      </c>
      <c r="V1087">
        <v>2025</v>
      </c>
      <c r="W1087">
        <v>7</v>
      </c>
    </row>
    <row r="1088" spans="1:23" x14ac:dyDescent="0.25">
      <c r="A1088" t="s">
        <v>2030</v>
      </c>
      <c r="B1088">
        <v>45855.577488425923</v>
      </c>
      <c r="C1088" t="s">
        <v>716</v>
      </c>
      <c r="D1088" t="s">
        <v>66</v>
      </c>
      <c r="E1088" t="s">
        <v>110</v>
      </c>
      <c r="F1088" t="s">
        <v>2395</v>
      </c>
      <c r="G1088" t="s">
        <v>2379</v>
      </c>
      <c r="H1088">
        <v>6000</v>
      </c>
      <c r="I1088">
        <v>2</v>
      </c>
      <c r="J1088">
        <v>0</v>
      </c>
      <c r="K1088">
        <v>12000</v>
      </c>
      <c r="L1088">
        <v>0</v>
      </c>
      <c r="M1088">
        <v>12000</v>
      </c>
      <c r="N1088">
        <v>59000</v>
      </c>
      <c r="O1088">
        <v>71000</v>
      </c>
      <c r="P1088" t="s">
        <v>35</v>
      </c>
      <c r="Q1088" t="s">
        <v>2357</v>
      </c>
      <c r="R1088" t="s">
        <v>46</v>
      </c>
      <c r="S1088">
        <v>2</v>
      </c>
      <c r="T1088" t="s">
        <v>24</v>
      </c>
      <c r="U1088" t="s">
        <v>2407</v>
      </c>
      <c r="V1088">
        <v>2025</v>
      </c>
      <c r="W1088">
        <v>7</v>
      </c>
    </row>
    <row r="1089" spans="1:23" x14ac:dyDescent="0.25">
      <c r="A1089" t="s">
        <v>2031</v>
      </c>
      <c r="B1089">
        <v>45855.61546296296</v>
      </c>
      <c r="C1089" t="s">
        <v>1136</v>
      </c>
      <c r="D1089" t="s">
        <v>195</v>
      </c>
      <c r="E1089" t="s">
        <v>93</v>
      </c>
      <c r="F1089" t="s">
        <v>2399</v>
      </c>
      <c r="G1089" t="s">
        <v>2378</v>
      </c>
      <c r="H1089">
        <v>25000</v>
      </c>
      <c r="I1089">
        <v>3</v>
      </c>
      <c r="J1089">
        <v>10</v>
      </c>
      <c r="K1089">
        <v>75000</v>
      </c>
      <c r="L1089">
        <v>7500</v>
      </c>
      <c r="M1089">
        <v>67500</v>
      </c>
      <c r="N1089">
        <v>87000</v>
      </c>
      <c r="O1089">
        <v>154500</v>
      </c>
      <c r="P1089" t="s">
        <v>29</v>
      </c>
      <c r="Q1089" t="s">
        <v>2359</v>
      </c>
      <c r="R1089" t="s">
        <v>36</v>
      </c>
      <c r="S1089">
        <v>2</v>
      </c>
      <c r="T1089" t="s">
        <v>24</v>
      </c>
      <c r="U1089" t="s">
        <v>2407</v>
      </c>
      <c r="V1089">
        <v>2025</v>
      </c>
      <c r="W1089">
        <v>7</v>
      </c>
    </row>
    <row r="1090" spans="1:23" x14ac:dyDescent="0.25">
      <c r="A1090" t="s">
        <v>2032</v>
      </c>
      <c r="B1090">
        <v>45855.630289351851</v>
      </c>
      <c r="C1090" t="s">
        <v>729</v>
      </c>
      <c r="D1090" t="s">
        <v>74</v>
      </c>
      <c r="E1090" t="s">
        <v>54</v>
      </c>
      <c r="F1090" t="s">
        <v>2393</v>
      </c>
      <c r="G1090" t="s">
        <v>2379</v>
      </c>
      <c r="H1090">
        <v>16000</v>
      </c>
      <c r="I1090">
        <v>5</v>
      </c>
      <c r="J1090">
        <v>20</v>
      </c>
      <c r="K1090">
        <v>80000</v>
      </c>
      <c r="L1090">
        <v>16000</v>
      </c>
      <c r="M1090">
        <v>64000</v>
      </c>
      <c r="N1090">
        <v>87000</v>
      </c>
      <c r="O1090">
        <v>151000</v>
      </c>
      <c r="P1090" t="s">
        <v>29</v>
      </c>
      <c r="Q1090" t="s">
        <v>2357</v>
      </c>
      <c r="R1090" t="s">
        <v>23</v>
      </c>
      <c r="S1090">
        <v>3</v>
      </c>
      <c r="T1090" t="s">
        <v>24</v>
      </c>
      <c r="U1090" t="s">
        <v>2407</v>
      </c>
      <c r="V1090">
        <v>2025</v>
      </c>
      <c r="W1090">
        <v>7</v>
      </c>
    </row>
    <row r="1091" spans="1:23" x14ac:dyDescent="0.25">
      <c r="A1091" t="s">
        <v>2033</v>
      </c>
      <c r="B1091">
        <v>45856.031817129631</v>
      </c>
      <c r="C1091" t="s">
        <v>565</v>
      </c>
      <c r="D1091" t="s">
        <v>163</v>
      </c>
      <c r="E1091" t="s">
        <v>110</v>
      </c>
      <c r="F1091" t="s">
        <v>2395</v>
      </c>
      <c r="G1091" t="s">
        <v>2379</v>
      </c>
      <c r="H1091">
        <v>6000</v>
      </c>
      <c r="I1091">
        <v>2</v>
      </c>
      <c r="J1091">
        <v>15</v>
      </c>
      <c r="K1091">
        <v>12000</v>
      </c>
      <c r="L1091">
        <v>1800</v>
      </c>
      <c r="M1091">
        <v>10200</v>
      </c>
      <c r="N1091">
        <v>50000</v>
      </c>
      <c r="O1091">
        <v>60200</v>
      </c>
      <c r="P1091" t="s">
        <v>22</v>
      </c>
      <c r="Q1091" t="s">
        <v>2357</v>
      </c>
      <c r="R1091" t="s">
        <v>82</v>
      </c>
      <c r="S1091">
        <v>2</v>
      </c>
      <c r="T1091" t="s">
        <v>24</v>
      </c>
      <c r="U1091" t="s">
        <v>2407</v>
      </c>
      <c r="V1091">
        <v>2025</v>
      </c>
      <c r="W1091">
        <v>7</v>
      </c>
    </row>
    <row r="1092" spans="1:23" x14ac:dyDescent="0.25">
      <c r="A1092" t="s">
        <v>2033</v>
      </c>
      <c r="B1092">
        <v>45856.031817129631</v>
      </c>
      <c r="C1092" t="s">
        <v>565</v>
      </c>
      <c r="D1092" t="s">
        <v>163</v>
      </c>
      <c r="E1092" t="s">
        <v>62</v>
      </c>
      <c r="F1092" t="s">
        <v>2398</v>
      </c>
      <c r="G1092" t="s">
        <v>2378</v>
      </c>
      <c r="H1092">
        <v>50000</v>
      </c>
      <c r="I1092">
        <v>5</v>
      </c>
      <c r="J1092">
        <v>10</v>
      </c>
      <c r="K1092">
        <v>250000</v>
      </c>
      <c r="L1092">
        <v>25000</v>
      </c>
      <c r="M1092">
        <v>225000</v>
      </c>
      <c r="N1092">
        <v>0</v>
      </c>
      <c r="O1092">
        <v>225000</v>
      </c>
      <c r="P1092" t="s">
        <v>22</v>
      </c>
      <c r="Q1092" t="s">
        <v>2357</v>
      </c>
      <c r="R1092" t="s">
        <v>82</v>
      </c>
      <c r="S1092">
        <v>2</v>
      </c>
      <c r="T1092" t="s">
        <v>24</v>
      </c>
      <c r="U1092" t="s">
        <v>2407</v>
      </c>
      <c r="V1092">
        <v>2025</v>
      </c>
      <c r="W1092">
        <v>7</v>
      </c>
    </row>
    <row r="1093" spans="1:23" x14ac:dyDescent="0.25">
      <c r="A1093" t="s">
        <v>2034</v>
      </c>
      <c r="B1093">
        <v>45856.179965277777</v>
      </c>
      <c r="C1093" t="s">
        <v>374</v>
      </c>
      <c r="D1093" t="s">
        <v>375</v>
      </c>
      <c r="E1093" t="s">
        <v>41</v>
      </c>
      <c r="F1093" t="s">
        <v>2395</v>
      </c>
      <c r="G1093" t="s">
        <v>2377</v>
      </c>
      <c r="H1093">
        <v>4000</v>
      </c>
      <c r="I1093">
        <v>1</v>
      </c>
      <c r="J1093">
        <v>0</v>
      </c>
      <c r="K1093">
        <v>4000</v>
      </c>
      <c r="L1093">
        <v>0</v>
      </c>
      <c r="M1093">
        <v>4000</v>
      </c>
      <c r="N1093">
        <v>21000</v>
      </c>
      <c r="O1093">
        <v>25000</v>
      </c>
      <c r="P1093" t="s">
        <v>63</v>
      </c>
      <c r="Q1093" t="s">
        <v>2357</v>
      </c>
      <c r="R1093" t="s">
        <v>30</v>
      </c>
      <c r="S1093">
        <v>3</v>
      </c>
      <c r="T1093" t="s">
        <v>37</v>
      </c>
      <c r="U1093" t="s">
        <v>2407</v>
      </c>
      <c r="V1093">
        <v>2025</v>
      </c>
      <c r="W1093">
        <v>7</v>
      </c>
    </row>
    <row r="1094" spans="1:23" x14ac:dyDescent="0.25">
      <c r="A1094" t="s">
        <v>2035</v>
      </c>
      <c r="B1094">
        <v>45856.258298611108</v>
      </c>
      <c r="C1094" t="s">
        <v>834</v>
      </c>
      <c r="D1094" t="s">
        <v>177</v>
      </c>
      <c r="E1094" t="s">
        <v>136</v>
      </c>
      <c r="F1094" t="s">
        <v>2400</v>
      </c>
      <c r="G1094" t="s">
        <v>2378</v>
      </c>
      <c r="H1094">
        <v>12000</v>
      </c>
      <c r="I1094">
        <v>1</v>
      </c>
      <c r="J1094">
        <v>15</v>
      </c>
      <c r="K1094">
        <v>12000</v>
      </c>
      <c r="L1094">
        <v>1800</v>
      </c>
      <c r="M1094">
        <v>10200</v>
      </c>
      <c r="N1094">
        <v>56000</v>
      </c>
      <c r="O1094">
        <v>66200</v>
      </c>
      <c r="P1094" t="s">
        <v>63</v>
      </c>
      <c r="Q1094" t="s">
        <v>2357</v>
      </c>
      <c r="R1094" t="s">
        <v>30</v>
      </c>
      <c r="S1094">
        <v>3</v>
      </c>
      <c r="T1094" t="s">
        <v>37</v>
      </c>
      <c r="U1094" t="s">
        <v>2407</v>
      </c>
      <c r="V1094">
        <v>2025</v>
      </c>
      <c r="W1094">
        <v>7</v>
      </c>
    </row>
    <row r="1095" spans="1:23" x14ac:dyDescent="0.25">
      <c r="A1095" t="s">
        <v>2036</v>
      </c>
      <c r="B1095">
        <v>45856.813368055547</v>
      </c>
      <c r="C1095" t="s">
        <v>1981</v>
      </c>
      <c r="D1095" t="s">
        <v>53</v>
      </c>
      <c r="E1095" t="s">
        <v>88</v>
      </c>
      <c r="F1095" t="s">
        <v>2393</v>
      </c>
      <c r="G1095" t="s">
        <v>2377</v>
      </c>
      <c r="H1095">
        <v>14000</v>
      </c>
      <c r="I1095">
        <v>5</v>
      </c>
      <c r="J1095">
        <v>0</v>
      </c>
      <c r="K1095">
        <v>70000</v>
      </c>
      <c r="L1095">
        <v>0</v>
      </c>
      <c r="M1095">
        <v>70000</v>
      </c>
      <c r="N1095">
        <v>18000</v>
      </c>
      <c r="O1095">
        <v>88000</v>
      </c>
      <c r="P1095" t="s">
        <v>29</v>
      </c>
      <c r="Q1095" t="s">
        <v>2357</v>
      </c>
      <c r="R1095" t="s">
        <v>23</v>
      </c>
      <c r="S1095">
        <v>3</v>
      </c>
      <c r="T1095" t="s">
        <v>24</v>
      </c>
      <c r="U1095" t="s">
        <v>2407</v>
      </c>
      <c r="V1095">
        <v>2025</v>
      </c>
      <c r="W1095">
        <v>7</v>
      </c>
    </row>
    <row r="1096" spans="1:23" x14ac:dyDescent="0.25">
      <c r="A1096" t="s">
        <v>2036</v>
      </c>
      <c r="B1096">
        <v>45856.813368055547</v>
      </c>
      <c r="C1096" t="s">
        <v>1981</v>
      </c>
      <c r="D1096" t="s">
        <v>53</v>
      </c>
      <c r="E1096" t="s">
        <v>34</v>
      </c>
      <c r="F1096" t="s">
        <v>2397</v>
      </c>
      <c r="G1096" t="s">
        <v>2377</v>
      </c>
      <c r="H1096">
        <v>16000</v>
      </c>
      <c r="I1096">
        <v>2</v>
      </c>
      <c r="J1096">
        <v>5</v>
      </c>
      <c r="K1096">
        <v>32000</v>
      </c>
      <c r="L1096">
        <v>1600</v>
      </c>
      <c r="M1096">
        <v>30400</v>
      </c>
      <c r="N1096">
        <v>0</v>
      </c>
      <c r="O1096">
        <v>30400</v>
      </c>
      <c r="P1096" t="s">
        <v>29</v>
      </c>
      <c r="Q1096" t="s">
        <v>2357</v>
      </c>
      <c r="R1096" t="s">
        <v>23</v>
      </c>
      <c r="S1096">
        <v>3</v>
      </c>
      <c r="T1096" t="s">
        <v>24</v>
      </c>
      <c r="U1096" t="s">
        <v>2407</v>
      </c>
      <c r="V1096">
        <v>2025</v>
      </c>
      <c r="W1096">
        <v>7</v>
      </c>
    </row>
    <row r="1097" spans="1:23" x14ac:dyDescent="0.25">
      <c r="A1097" t="s">
        <v>2037</v>
      </c>
      <c r="B1097">
        <v>45857.095925925933</v>
      </c>
      <c r="C1097" t="s">
        <v>530</v>
      </c>
      <c r="D1097" t="s">
        <v>151</v>
      </c>
      <c r="E1097" t="s">
        <v>81</v>
      </c>
      <c r="F1097" t="s">
        <v>2397</v>
      </c>
      <c r="G1097" t="s">
        <v>2378</v>
      </c>
      <c r="H1097">
        <v>17000</v>
      </c>
      <c r="I1097">
        <v>3</v>
      </c>
      <c r="J1097">
        <v>20</v>
      </c>
      <c r="K1097">
        <v>51000</v>
      </c>
      <c r="L1097">
        <v>10200</v>
      </c>
      <c r="M1097">
        <v>40800</v>
      </c>
      <c r="N1097">
        <v>55000</v>
      </c>
      <c r="O1097">
        <v>95800</v>
      </c>
      <c r="P1097" t="s">
        <v>22</v>
      </c>
      <c r="Q1097" t="s">
        <v>2357</v>
      </c>
      <c r="R1097" t="s">
        <v>46</v>
      </c>
      <c r="S1097">
        <v>2</v>
      </c>
      <c r="T1097" t="s">
        <v>24</v>
      </c>
      <c r="U1097" t="s">
        <v>2407</v>
      </c>
      <c r="V1097">
        <v>2025</v>
      </c>
      <c r="W1097">
        <v>7</v>
      </c>
    </row>
    <row r="1098" spans="1:23" x14ac:dyDescent="0.25">
      <c r="A1098" t="s">
        <v>2038</v>
      </c>
      <c r="B1098">
        <v>45857.396944444437</v>
      </c>
      <c r="C1098" t="s">
        <v>231</v>
      </c>
      <c r="D1098" t="s">
        <v>66</v>
      </c>
      <c r="E1098" t="s">
        <v>62</v>
      </c>
      <c r="F1098" t="s">
        <v>2398</v>
      </c>
      <c r="G1098" t="s">
        <v>2378</v>
      </c>
      <c r="H1098">
        <v>50000</v>
      </c>
      <c r="I1098">
        <v>5</v>
      </c>
      <c r="J1098">
        <v>20</v>
      </c>
      <c r="K1098">
        <v>250000</v>
      </c>
      <c r="L1098">
        <v>50000</v>
      </c>
      <c r="M1098">
        <v>200000</v>
      </c>
      <c r="N1098">
        <v>59000</v>
      </c>
      <c r="O1098">
        <v>259000</v>
      </c>
      <c r="P1098" t="s">
        <v>35</v>
      </c>
      <c r="Q1098" t="s">
        <v>2357</v>
      </c>
      <c r="R1098" t="s">
        <v>46</v>
      </c>
      <c r="S1098">
        <v>4</v>
      </c>
      <c r="T1098" t="s">
        <v>24</v>
      </c>
      <c r="U1098" t="s">
        <v>2407</v>
      </c>
      <c r="V1098">
        <v>2025</v>
      </c>
      <c r="W1098">
        <v>7</v>
      </c>
    </row>
    <row r="1099" spans="1:23" x14ac:dyDescent="0.25">
      <c r="A1099" t="s">
        <v>2039</v>
      </c>
      <c r="B1099">
        <v>45857.402997685182</v>
      </c>
      <c r="C1099" t="s">
        <v>205</v>
      </c>
      <c r="D1099" t="s">
        <v>96</v>
      </c>
      <c r="E1099" t="s">
        <v>88</v>
      </c>
      <c r="F1099" t="s">
        <v>2393</v>
      </c>
      <c r="G1099" t="s">
        <v>2377</v>
      </c>
      <c r="H1099">
        <v>14000</v>
      </c>
      <c r="I1099">
        <v>5</v>
      </c>
      <c r="J1099">
        <v>15</v>
      </c>
      <c r="K1099">
        <v>70000</v>
      </c>
      <c r="L1099">
        <v>10500</v>
      </c>
      <c r="M1099">
        <v>59500</v>
      </c>
      <c r="N1099">
        <v>49000</v>
      </c>
      <c r="O1099">
        <v>108500</v>
      </c>
      <c r="P1099" t="s">
        <v>35</v>
      </c>
      <c r="Q1099" t="s">
        <v>2356</v>
      </c>
      <c r="R1099" t="s">
        <v>36</v>
      </c>
      <c r="S1099">
        <v>4</v>
      </c>
      <c r="T1099" t="s">
        <v>24</v>
      </c>
      <c r="U1099" t="s">
        <v>2407</v>
      </c>
      <c r="V1099">
        <v>2025</v>
      </c>
      <c r="W1099">
        <v>7</v>
      </c>
    </row>
    <row r="1100" spans="1:23" x14ac:dyDescent="0.25">
      <c r="A1100" t="s">
        <v>2040</v>
      </c>
      <c r="B1100">
        <v>45857.491909722223</v>
      </c>
      <c r="C1100" t="s">
        <v>233</v>
      </c>
      <c r="D1100" t="s">
        <v>113</v>
      </c>
      <c r="E1100" t="s">
        <v>136</v>
      </c>
      <c r="F1100" t="s">
        <v>2400</v>
      </c>
      <c r="G1100" t="s">
        <v>2378</v>
      </c>
      <c r="H1100">
        <v>12000</v>
      </c>
      <c r="I1100">
        <v>4</v>
      </c>
      <c r="J1100">
        <v>5</v>
      </c>
      <c r="K1100">
        <v>48000</v>
      </c>
      <c r="L1100">
        <v>2400</v>
      </c>
      <c r="M1100">
        <v>45600</v>
      </c>
      <c r="N1100">
        <v>18000</v>
      </c>
      <c r="O1100">
        <v>63600</v>
      </c>
      <c r="P1100" t="s">
        <v>22</v>
      </c>
      <c r="Q1100" t="s">
        <v>2357</v>
      </c>
      <c r="R1100" t="s">
        <v>23</v>
      </c>
      <c r="S1100">
        <v>1</v>
      </c>
      <c r="T1100" t="s">
        <v>37</v>
      </c>
      <c r="U1100" t="s">
        <v>2407</v>
      </c>
      <c r="V1100">
        <v>2025</v>
      </c>
      <c r="W1100">
        <v>7</v>
      </c>
    </row>
    <row r="1101" spans="1:23" x14ac:dyDescent="0.25">
      <c r="A1101" t="s">
        <v>2041</v>
      </c>
      <c r="B1101">
        <v>45857.549756944441</v>
      </c>
      <c r="C1101" t="s">
        <v>593</v>
      </c>
      <c r="D1101" t="s">
        <v>195</v>
      </c>
      <c r="E1101" t="s">
        <v>93</v>
      </c>
      <c r="F1101" t="s">
        <v>2399</v>
      </c>
      <c r="G1101" t="s">
        <v>2378</v>
      </c>
      <c r="H1101">
        <v>25000</v>
      </c>
      <c r="I1101">
        <v>3</v>
      </c>
      <c r="J1101">
        <v>5</v>
      </c>
      <c r="K1101">
        <v>75000</v>
      </c>
      <c r="L1101">
        <v>3750</v>
      </c>
      <c r="M1101">
        <v>71250</v>
      </c>
      <c r="N1101">
        <v>87000</v>
      </c>
      <c r="O1101">
        <v>158250</v>
      </c>
      <c r="P1101" t="s">
        <v>22</v>
      </c>
      <c r="Q1101" t="s">
        <v>2357</v>
      </c>
      <c r="R1101" t="s">
        <v>36</v>
      </c>
      <c r="S1101">
        <v>3</v>
      </c>
      <c r="T1101" t="s">
        <v>24</v>
      </c>
      <c r="U1101" t="s">
        <v>2407</v>
      </c>
      <c r="V1101">
        <v>2025</v>
      </c>
      <c r="W1101">
        <v>7</v>
      </c>
    </row>
    <row r="1102" spans="1:23" x14ac:dyDescent="0.25">
      <c r="A1102" t="s">
        <v>2042</v>
      </c>
      <c r="B1102">
        <v>45857.624537037038</v>
      </c>
      <c r="C1102" t="s">
        <v>589</v>
      </c>
      <c r="D1102" t="s">
        <v>262</v>
      </c>
      <c r="E1102" t="s">
        <v>54</v>
      </c>
      <c r="F1102" t="s">
        <v>2393</v>
      </c>
      <c r="G1102" t="s">
        <v>2379</v>
      </c>
      <c r="H1102">
        <v>16000</v>
      </c>
      <c r="I1102">
        <v>2</v>
      </c>
      <c r="J1102">
        <v>5</v>
      </c>
      <c r="K1102">
        <v>32000</v>
      </c>
      <c r="L1102">
        <v>1600</v>
      </c>
      <c r="M1102">
        <v>30400</v>
      </c>
      <c r="N1102">
        <v>18000</v>
      </c>
      <c r="O1102">
        <v>48400</v>
      </c>
      <c r="P1102" t="s">
        <v>29</v>
      </c>
      <c r="Q1102" t="s">
        <v>2357</v>
      </c>
      <c r="R1102" t="s">
        <v>36</v>
      </c>
      <c r="S1102">
        <v>2</v>
      </c>
      <c r="T1102" t="s">
        <v>37</v>
      </c>
      <c r="U1102" t="s">
        <v>2407</v>
      </c>
      <c r="V1102">
        <v>2025</v>
      </c>
      <c r="W1102">
        <v>7</v>
      </c>
    </row>
    <row r="1103" spans="1:23" x14ac:dyDescent="0.25">
      <c r="A1103" t="s">
        <v>2042</v>
      </c>
      <c r="B1103">
        <v>45857.624537037038</v>
      </c>
      <c r="C1103" t="s">
        <v>589</v>
      </c>
      <c r="D1103" t="s">
        <v>262</v>
      </c>
      <c r="E1103" t="s">
        <v>250</v>
      </c>
      <c r="F1103" t="s">
        <v>2397</v>
      </c>
      <c r="G1103" t="s">
        <v>2379</v>
      </c>
      <c r="H1103">
        <v>18000</v>
      </c>
      <c r="I1103">
        <v>4</v>
      </c>
      <c r="J1103">
        <v>10</v>
      </c>
      <c r="K1103">
        <v>72000</v>
      </c>
      <c r="L1103">
        <v>7200</v>
      </c>
      <c r="M1103">
        <v>64800</v>
      </c>
      <c r="N1103">
        <v>0</v>
      </c>
      <c r="O1103">
        <v>64800</v>
      </c>
      <c r="P1103" t="s">
        <v>29</v>
      </c>
      <c r="Q1103" t="s">
        <v>2357</v>
      </c>
      <c r="R1103" t="s">
        <v>36</v>
      </c>
      <c r="S1103">
        <v>2</v>
      </c>
      <c r="T1103" t="s">
        <v>37</v>
      </c>
      <c r="U1103" t="s">
        <v>2407</v>
      </c>
      <c r="V1103">
        <v>2025</v>
      </c>
      <c r="W1103">
        <v>7</v>
      </c>
    </row>
    <row r="1104" spans="1:23" x14ac:dyDescent="0.25">
      <c r="A1104" t="s">
        <v>2043</v>
      </c>
      <c r="B1104">
        <v>45857.767280092587</v>
      </c>
      <c r="C1104" t="s">
        <v>451</v>
      </c>
      <c r="D1104" t="s">
        <v>116</v>
      </c>
      <c r="E1104" t="s">
        <v>58</v>
      </c>
      <c r="F1104" t="s">
        <v>2396</v>
      </c>
      <c r="G1104" t="s">
        <v>2377</v>
      </c>
      <c r="H1104">
        <v>16000</v>
      </c>
      <c r="I1104">
        <v>3</v>
      </c>
      <c r="J1104">
        <v>10</v>
      </c>
      <c r="K1104">
        <v>48000</v>
      </c>
      <c r="L1104">
        <v>4800</v>
      </c>
      <c r="M1104">
        <v>43200</v>
      </c>
      <c r="N1104">
        <v>72000</v>
      </c>
      <c r="O1104">
        <v>115200</v>
      </c>
      <c r="P1104" t="s">
        <v>63</v>
      </c>
      <c r="Q1104" t="s">
        <v>2357</v>
      </c>
      <c r="R1104" t="s">
        <v>46</v>
      </c>
      <c r="S1104">
        <v>4</v>
      </c>
      <c r="T1104" t="s">
        <v>24</v>
      </c>
      <c r="U1104" t="s">
        <v>2407</v>
      </c>
      <c r="V1104">
        <v>2025</v>
      </c>
      <c r="W1104">
        <v>7</v>
      </c>
    </row>
    <row r="1105" spans="1:23" x14ac:dyDescent="0.25">
      <c r="A1105" t="s">
        <v>2044</v>
      </c>
      <c r="B1105">
        <v>45858.306689814817</v>
      </c>
      <c r="C1105" t="s">
        <v>1259</v>
      </c>
      <c r="D1105" t="s">
        <v>107</v>
      </c>
      <c r="E1105" t="s">
        <v>88</v>
      </c>
      <c r="F1105" t="s">
        <v>2393</v>
      </c>
      <c r="G1105" t="s">
        <v>2377</v>
      </c>
      <c r="H1105">
        <v>14000</v>
      </c>
      <c r="I1105">
        <v>2</v>
      </c>
      <c r="J1105">
        <v>5</v>
      </c>
      <c r="K1105">
        <v>28000</v>
      </c>
      <c r="L1105">
        <v>1400</v>
      </c>
      <c r="M1105">
        <v>26600</v>
      </c>
      <c r="N1105">
        <v>97000</v>
      </c>
      <c r="O1105">
        <v>123600</v>
      </c>
      <c r="P1105" t="s">
        <v>22</v>
      </c>
      <c r="Q1105" t="s">
        <v>2357</v>
      </c>
      <c r="R1105" t="s">
        <v>23</v>
      </c>
      <c r="S1105">
        <v>2</v>
      </c>
      <c r="T1105" t="s">
        <v>37</v>
      </c>
      <c r="U1105" t="s">
        <v>2407</v>
      </c>
      <c r="V1105">
        <v>2025</v>
      </c>
      <c r="W1105">
        <v>7</v>
      </c>
    </row>
    <row r="1106" spans="1:23" x14ac:dyDescent="0.25">
      <c r="A1106" t="s">
        <v>2044</v>
      </c>
      <c r="B1106">
        <v>45858.306689814817</v>
      </c>
      <c r="C1106" t="s">
        <v>1259</v>
      </c>
      <c r="D1106" t="s">
        <v>107</v>
      </c>
      <c r="E1106" t="s">
        <v>28</v>
      </c>
      <c r="F1106" t="s">
        <v>2395</v>
      </c>
      <c r="G1106" t="s">
        <v>2378</v>
      </c>
      <c r="H1106">
        <v>5000</v>
      </c>
      <c r="I1106">
        <v>4</v>
      </c>
      <c r="J1106">
        <v>0</v>
      </c>
      <c r="K1106">
        <v>20000</v>
      </c>
      <c r="L1106">
        <v>0</v>
      </c>
      <c r="M1106">
        <v>20000</v>
      </c>
      <c r="N1106">
        <v>0</v>
      </c>
      <c r="O1106">
        <v>20000</v>
      </c>
      <c r="P1106" t="s">
        <v>22</v>
      </c>
      <c r="Q1106" t="s">
        <v>2357</v>
      </c>
      <c r="R1106" t="s">
        <v>23</v>
      </c>
      <c r="S1106">
        <v>2</v>
      </c>
      <c r="T1106" t="s">
        <v>37</v>
      </c>
      <c r="U1106" t="s">
        <v>2407</v>
      </c>
      <c r="V1106">
        <v>2025</v>
      </c>
      <c r="W1106">
        <v>7</v>
      </c>
    </row>
    <row r="1107" spans="1:23" x14ac:dyDescent="0.25">
      <c r="A1107" t="s">
        <v>2045</v>
      </c>
      <c r="B1107">
        <v>45858.482719907413</v>
      </c>
      <c r="C1107" t="s">
        <v>287</v>
      </c>
      <c r="D1107" t="s">
        <v>262</v>
      </c>
      <c r="E1107" t="s">
        <v>138</v>
      </c>
      <c r="F1107" t="s">
        <v>2396</v>
      </c>
      <c r="G1107" t="s">
        <v>2378</v>
      </c>
      <c r="H1107">
        <v>17000</v>
      </c>
      <c r="I1107">
        <v>5</v>
      </c>
      <c r="J1107">
        <v>10</v>
      </c>
      <c r="K1107">
        <v>85000</v>
      </c>
      <c r="L1107">
        <v>8500</v>
      </c>
      <c r="M1107">
        <v>76500</v>
      </c>
      <c r="N1107">
        <v>18000</v>
      </c>
      <c r="O1107">
        <v>94500</v>
      </c>
      <c r="P1107" t="s">
        <v>35</v>
      </c>
      <c r="Q1107" t="s">
        <v>2357</v>
      </c>
      <c r="R1107" t="s">
        <v>36</v>
      </c>
      <c r="S1107">
        <v>2</v>
      </c>
      <c r="T1107" t="s">
        <v>24</v>
      </c>
      <c r="U1107" t="s">
        <v>2407</v>
      </c>
      <c r="V1107">
        <v>2025</v>
      </c>
      <c r="W1107">
        <v>7</v>
      </c>
    </row>
    <row r="1108" spans="1:23" x14ac:dyDescent="0.25">
      <c r="A1108" t="s">
        <v>2046</v>
      </c>
      <c r="B1108">
        <v>45858.538888888892</v>
      </c>
      <c r="C1108" t="s">
        <v>1561</v>
      </c>
      <c r="D1108" t="s">
        <v>160</v>
      </c>
      <c r="E1108" t="s">
        <v>123</v>
      </c>
      <c r="F1108" t="s">
        <v>2399</v>
      </c>
      <c r="G1108" t="s">
        <v>2377</v>
      </c>
      <c r="H1108">
        <v>22000</v>
      </c>
      <c r="I1108">
        <v>4</v>
      </c>
      <c r="J1108">
        <v>0</v>
      </c>
      <c r="K1108">
        <v>88000</v>
      </c>
      <c r="L1108">
        <v>0</v>
      </c>
      <c r="M1108">
        <v>88000</v>
      </c>
      <c r="N1108">
        <v>68000</v>
      </c>
      <c r="O1108">
        <v>156000</v>
      </c>
      <c r="P1108" t="s">
        <v>63</v>
      </c>
      <c r="Q1108" t="s">
        <v>2356</v>
      </c>
      <c r="R1108" t="s">
        <v>23</v>
      </c>
      <c r="S1108">
        <v>5</v>
      </c>
      <c r="T1108" t="s">
        <v>24</v>
      </c>
      <c r="U1108" t="s">
        <v>2407</v>
      </c>
      <c r="V1108">
        <v>2025</v>
      </c>
      <c r="W1108">
        <v>7</v>
      </c>
    </row>
    <row r="1109" spans="1:23" x14ac:dyDescent="0.25">
      <c r="A1109" t="s">
        <v>2047</v>
      </c>
      <c r="B1109">
        <v>45858.574756944443</v>
      </c>
      <c r="C1109" t="s">
        <v>118</v>
      </c>
      <c r="D1109" t="s">
        <v>119</v>
      </c>
      <c r="E1109" t="s">
        <v>75</v>
      </c>
      <c r="F1109" t="s">
        <v>2398</v>
      </c>
      <c r="G1109" t="s">
        <v>2379</v>
      </c>
      <c r="H1109">
        <v>55000</v>
      </c>
      <c r="I1109">
        <v>3</v>
      </c>
      <c r="J1109">
        <v>5</v>
      </c>
      <c r="K1109">
        <v>165000</v>
      </c>
      <c r="L1109">
        <v>8250</v>
      </c>
      <c r="M1109">
        <v>156750</v>
      </c>
      <c r="N1109">
        <v>0</v>
      </c>
      <c r="O1109">
        <v>156750</v>
      </c>
      <c r="P1109" t="s">
        <v>29</v>
      </c>
      <c r="Q1109" t="s">
        <v>2357</v>
      </c>
      <c r="R1109" t="s">
        <v>36</v>
      </c>
      <c r="S1109">
        <v>4</v>
      </c>
      <c r="T1109" t="s">
        <v>24</v>
      </c>
      <c r="U1109" t="s">
        <v>2407</v>
      </c>
      <c r="V1109">
        <v>2025</v>
      </c>
      <c r="W1109">
        <v>7</v>
      </c>
    </row>
    <row r="1110" spans="1:23" x14ac:dyDescent="0.25">
      <c r="A1110" t="s">
        <v>2048</v>
      </c>
      <c r="B1110">
        <v>45858.871342592603</v>
      </c>
      <c r="C1110" t="s">
        <v>1005</v>
      </c>
      <c r="D1110" t="s">
        <v>122</v>
      </c>
      <c r="E1110" t="s">
        <v>71</v>
      </c>
      <c r="F1110" t="s">
        <v>2392</v>
      </c>
      <c r="G1110" t="s">
        <v>2379</v>
      </c>
      <c r="H1110">
        <v>40000</v>
      </c>
      <c r="I1110">
        <v>1</v>
      </c>
      <c r="J1110">
        <v>20</v>
      </c>
      <c r="K1110">
        <v>40000</v>
      </c>
      <c r="L1110">
        <v>8000</v>
      </c>
      <c r="M1110">
        <v>32000</v>
      </c>
      <c r="N1110">
        <v>78000</v>
      </c>
      <c r="O1110">
        <v>110000</v>
      </c>
      <c r="P1110" t="s">
        <v>35</v>
      </c>
      <c r="Q1110" t="s">
        <v>2357</v>
      </c>
      <c r="R1110" t="s">
        <v>82</v>
      </c>
      <c r="S1110">
        <v>1</v>
      </c>
      <c r="T1110" t="s">
        <v>24</v>
      </c>
      <c r="U1110" t="s">
        <v>2407</v>
      </c>
      <c r="V1110">
        <v>2025</v>
      </c>
      <c r="W1110">
        <v>7</v>
      </c>
    </row>
    <row r="1111" spans="1:23" x14ac:dyDescent="0.25">
      <c r="A1111" t="s">
        <v>2049</v>
      </c>
      <c r="B1111">
        <v>45858.920138888891</v>
      </c>
      <c r="C1111" t="s">
        <v>683</v>
      </c>
      <c r="D1111" t="s">
        <v>27</v>
      </c>
      <c r="E1111" t="s">
        <v>104</v>
      </c>
      <c r="F1111" t="s">
        <v>2392</v>
      </c>
      <c r="G1111" t="s">
        <v>2377</v>
      </c>
      <c r="H1111">
        <v>30000</v>
      </c>
      <c r="I1111">
        <v>4</v>
      </c>
      <c r="J1111">
        <v>5</v>
      </c>
      <c r="K1111">
        <v>120000</v>
      </c>
      <c r="L1111">
        <v>6000</v>
      </c>
      <c r="M1111">
        <v>114000</v>
      </c>
      <c r="N1111">
        <v>17000</v>
      </c>
      <c r="O1111">
        <v>131000</v>
      </c>
      <c r="P1111" t="s">
        <v>63</v>
      </c>
      <c r="Q1111" t="s">
        <v>2357</v>
      </c>
      <c r="R1111" t="s">
        <v>82</v>
      </c>
      <c r="S1111">
        <v>2</v>
      </c>
      <c r="T1111" t="s">
        <v>37</v>
      </c>
      <c r="U1111" t="s">
        <v>2407</v>
      </c>
      <c r="V1111">
        <v>2025</v>
      </c>
      <c r="W1111">
        <v>7</v>
      </c>
    </row>
    <row r="1112" spans="1:23" x14ac:dyDescent="0.25">
      <c r="A1112" t="s">
        <v>2050</v>
      </c>
      <c r="B1112">
        <v>45858.955439814818</v>
      </c>
      <c r="C1112" t="s">
        <v>87</v>
      </c>
      <c r="D1112" t="s">
        <v>80</v>
      </c>
      <c r="E1112" t="s">
        <v>110</v>
      </c>
      <c r="F1112" t="s">
        <v>2395</v>
      </c>
      <c r="G1112" t="s">
        <v>2379</v>
      </c>
      <c r="H1112">
        <v>6000</v>
      </c>
      <c r="I1112">
        <v>4</v>
      </c>
      <c r="J1112">
        <v>20</v>
      </c>
      <c r="K1112">
        <v>24000</v>
      </c>
      <c r="L1112">
        <v>4800</v>
      </c>
      <c r="M1112">
        <v>19200</v>
      </c>
      <c r="N1112">
        <v>74000</v>
      </c>
      <c r="O1112">
        <v>93200</v>
      </c>
      <c r="P1112" t="s">
        <v>35</v>
      </c>
      <c r="Q1112" t="s">
        <v>2357</v>
      </c>
      <c r="R1112" t="s">
        <v>82</v>
      </c>
      <c r="S1112">
        <v>4</v>
      </c>
      <c r="T1112" t="s">
        <v>24</v>
      </c>
      <c r="U1112" t="s">
        <v>2407</v>
      </c>
      <c r="V1112">
        <v>2025</v>
      </c>
      <c r="W1112">
        <v>7</v>
      </c>
    </row>
    <row r="1113" spans="1:23" x14ac:dyDescent="0.25">
      <c r="A1113" t="s">
        <v>2051</v>
      </c>
      <c r="B1113">
        <v>45859.043854166674</v>
      </c>
      <c r="C1113" t="s">
        <v>1055</v>
      </c>
      <c r="D1113" t="s">
        <v>57</v>
      </c>
      <c r="E1113" t="s">
        <v>45</v>
      </c>
      <c r="F1113" t="s">
        <v>2394</v>
      </c>
      <c r="G1113" t="s">
        <v>2378</v>
      </c>
      <c r="H1113">
        <v>40000</v>
      </c>
      <c r="I1113">
        <v>4</v>
      </c>
      <c r="J1113">
        <v>20</v>
      </c>
      <c r="K1113">
        <v>160000</v>
      </c>
      <c r="L1113">
        <v>32000</v>
      </c>
      <c r="M1113">
        <v>128000</v>
      </c>
      <c r="N1113">
        <v>80000</v>
      </c>
      <c r="O1113">
        <v>208000</v>
      </c>
      <c r="P1113" t="s">
        <v>22</v>
      </c>
      <c r="Q1113" t="s">
        <v>2357</v>
      </c>
      <c r="R1113" t="s">
        <v>46</v>
      </c>
      <c r="S1113">
        <v>4</v>
      </c>
      <c r="T1113" t="s">
        <v>24</v>
      </c>
      <c r="U1113" t="s">
        <v>2407</v>
      </c>
      <c r="V1113">
        <v>2025</v>
      </c>
      <c r="W1113">
        <v>7</v>
      </c>
    </row>
    <row r="1114" spans="1:23" x14ac:dyDescent="0.25">
      <c r="A1114" t="s">
        <v>2052</v>
      </c>
      <c r="B1114">
        <v>45859.081643518519</v>
      </c>
      <c r="C1114" t="s">
        <v>557</v>
      </c>
      <c r="D1114" t="s">
        <v>173</v>
      </c>
      <c r="E1114" t="s">
        <v>54</v>
      </c>
      <c r="F1114" t="s">
        <v>2393</v>
      </c>
      <c r="G1114" t="s">
        <v>2379</v>
      </c>
      <c r="H1114">
        <v>16000</v>
      </c>
      <c r="I1114">
        <v>4</v>
      </c>
      <c r="J1114">
        <v>10</v>
      </c>
      <c r="K1114">
        <v>64000</v>
      </c>
      <c r="L1114">
        <v>6400</v>
      </c>
      <c r="M1114">
        <v>57600</v>
      </c>
      <c r="N1114">
        <v>49000</v>
      </c>
      <c r="O1114">
        <v>106600</v>
      </c>
      <c r="P1114" t="s">
        <v>22</v>
      </c>
      <c r="Q1114" t="s">
        <v>2357</v>
      </c>
      <c r="R1114" t="s">
        <v>30</v>
      </c>
      <c r="S1114">
        <v>4</v>
      </c>
      <c r="T1114" t="s">
        <v>24</v>
      </c>
      <c r="U1114" t="s">
        <v>2407</v>
      </c>
      <c r="V1114">
        <v>2025</v>
      </c>
      <c r="W1114">
        <v>7</v>
      </c>
    </row>
    <row r="1115" spans="1:23" x14ac:dyDescent="0.25">
      <c r="A1115" t="s">
        <v>2053</v>
      </c>
      <c r="B1115">
        <v>45859.17732638889</v>
      </c>
      <c r="C1115" t="s">
        <v>128</v>
      </c>
      <c r="D1115" t="s">
        <v>103</v>
      </c>
      <c r="E1115" t="s">
        <v>58</v>
      </c>
      <c r="F1115" t="s">
        <v>2396</v>
      </c>
      <c r="G1115" t="s">
        <v>2377</v>
      </c>
      <c r="H1115">
        <v>16000</v>
      </c>
      <c r="I1115">
        <v>5</v>
      </c>
      <c r="J1115">
        <v>20</v>
      </c>
      <c r="K1115">
        <v>80000</v>
      </c>
      <c r="L1115">
        <v>16000</v>
      </c>
      <c r="M1115">
        <v>64000</v>
      </c>
      <c r="N1115">
        <v>85000</v>
      </c>
      <c r="O1115">
        <v>149000</v>
      </c>
      <c r="P1115" t="s">
        <v>29</v>
      </c>
      <c r="Q1115" t="s">
        <v>2357</v>
      </c>
      <c r="R1115" t="s">
        <v>46</v>
      </c>
      <c r="S1115">
        <v>3</v>
      </c>
      <c r="T1115" t="s">
        <v>37</v>
      </c>
      <c r="U1115" t="s">
        <v>2407</v>
      </c>
      <c r="V1115">
        <v>2025</v>
      </c>
      <c r="W1115">
        <v>7</v>
      </c>
    </row>
    <row r="1116" spans="1:23" x14ac:dyDescent="0.25">
      <c r="A1116" t="s">
        <v>2053</v>
      </c>
      <c r="B1116">
        <v>45859.17732638889</v>
      </c>
      <c r="C1116" t="s">
        <v>128</v>
      </c>
      <c r="D1116" t="s">
        <v>103</v>
      </c>
      <c r="E1116" t="s">
        <v>21</v>
      </c>
      <c r="F1116" t="s">
        <v>2394</v>
      </c>
      <c r="G1116" t="s">
        <v>2379</v>
      </c>
      <c r="H1116">
        <v>45000</v>
      </c>
      <c r="I1116">
        <v>1</v>
      </c>
      <c r="J1116">
        <v>20</v>
      </c>
      <c r="K1116">
        <v>45000</v>
      </c>
      <c r="L1116">
        <v>9000</v>
      </c>
      <c r="M1116">
        <v>36000</v>
      </c>
      <c r="N1116">
        <v>0</v>
      </c>
      <c r="O1116">
        <v>36000</v>
      </c>
      <c r="P1116" t="s">
        <v>29</v>
      </c>
      <c r="Q1116" t="s">
        <v>2357</v>
      </c>
      <c r="R1116" t="s">
        <v>46</v>
      </c>
      <c r="S1116">
        <v>3</v>
      </c>
      <c r="T1116" t="s">
        <v>37</v>
      </c>
      <c r="U1116" t="s">
        <v>2407</v>
      </c>
      <c r="V1116">
        <v>2025</v>
      </c>
      <c r="W1116">
        <v>7</v>
      </c>
    </row>
    <row r="1117" spans="1:23" x14ac:dyDescent="0.25">
      <c r="A1117" t="s">
        <v>2054</v>
      </c>
      <c r="B1117">
        <v>45859.227777777778</v>
      </c>
      <c r="C1117" t="s">
        <v>451</v>
      </c>
      <c r="D1117" t="s">
        <v>116</v>
      </c>
      <c r="E1117" t="s">
        <v>144</v>
      </c>
      <c r="F1117" t="s">
        <v>2396</v>
      </c>
      <c r="G1117" t="s">
        <v>2379</v>
      </c>
      <c r="H1117">
        <v>18000</v>
      </c>
      <c r="I1117">
        <v>2</v>
      </c>
      <c r="J1117">
        <v>5</v>
      </c>
      <c r="K1117">
        <v>36000</v>
      </c>
      <c r="L1117">
        <v>1800</v>
      </c>
      <c r="M1117">
        <v>34200</v>
      </c>
      <c r="N1117">
        <v>72000</v>
      </c>
      <c r="O1117">
        <v>106200</v>
      </c>
      <c r="P1117" t="s">
        <v>22</v>
      </c>
      <c r="Q1117" t="s">
        <v>2357</v>
      </c>
      <c r="R1117" t="s">
        <v>36</v>
      </c>
      <c r="S1117">
        <v>1</v>
      </c>
      <c r="T1117" t="s">
        <v>24</v>
      </c>
      <c r="U1117" t="s">
        <v>2407</v>
      </c>
      <c r="V1117">
        <v>2025</v>
      </c>
      <c r="W1117">
        <v>7</v>
      </c>
    </row>
    <row r="1118" spans="1:23" x14ac:dyDescent="0.25">
      <c r="A1118" t="s">
        <v>2055</v>
      </c>
      <c r="B1118">
        <v>45859.833912037036</v>
      </c>
      <c r="C1118" t="s">
        <v>311</v>
      </c>
      <c r="D1118" t="s">
        <v>116</v>
      </c>
      <c r="E1118" t="s">
        <v>136</v>
      </c>
      <c r="F1118" t="s">
        <v>2400</v>
      </c>
      <c r="G1118" t="s">
        <v>2378</v>
      </c>
      <c r="H1118">
        <v>12000</v>
      </c>
      <c r="I1118">
        <v>5</v>
      </c>
      <c r="J1118">
        <v>10</v>
      </c>
      <c r="K1118">
        <v>60000</v>
      </c>
      <c r="L1118">
        <v>6000</v>
      </c>
      <c r="M1118">
        <v>54000</v>
      </c>
      <c r="N1118">
        <v>72000</v>
      </c>
      <c r="O1118">
        <v>126000</v>
      </c>
      <c r="P1118" t="s">
        <v>22</v>
      </c>
      <c r="Q1118" t="s">
        <v>2356</v>
      </c>
      <c r="R1118" t="s">
        <v>46</v>
      </c>
      <c r="S1118">
        <v>4</v>
      </c>
      <c r="T1118" t="s">
        <v>24</v>
      </c>
      <c r="U1118" t="s">
        <v>2407</v>
      </c>
      <c r="V1118">
        <v>2025</v>
      </c>
      <c r="W1118">
        <v>7</v>
      </c>
    </row>
    <row r="1119" spans="1:23" x14ac:dyDescent="0.25">
      <c r="A1119" t="s">
        <v>2056</v>
      </c>
      <c r="B1119">
        <v>45860.616342592592</v>
      </c>
      <c r="C1119" t="s">
        <v>254</v>
      </c>
      <c r="D1119" t="s">
        <v>61</v>
      </c>
      <c r="E1119" t="s">
        <v>62</v>
      </c>
      <c r="F1119" t="s">
        <v>2398</v>
      </c>
      <c r="G1119" t="s">
        <v>2378</v>
      </c>
      <c r="H1119">
        <v>50000</v>
      </c>
      <c r="I1119">
        <v>1</v>
      </c>
      <c r="J1119">
        <v>0</v>
      </c>
      <c r="K1119">
        <v>50000</v>
      </c>
      <c r="L1119">
        <v>0</v>
      </c>
      <c r="M1119">
        <v>50000</v>
      </c>
      <c r="N1119">
        <v>26000</v>
      </c>
      <c r="O1119">
        <v>76000</v>
      </c>
      <c r="P1119" t="s">
        <v>63</v>
      </c>
      <c r="Q1119" t="s">
        <v>2357</v>
      </c>
      <c r="R1119" t="s">
        <v>82</v>
      </c>
      <c r="S1119">
        <v>5</v>
      </c>
      <c r="T1119" t="s">
        <v>24</v>
      </c>
      <c r="U1119" t="s">
        <v>2407</v>
      </c>
      <c r="V1119">
        <v>2025</v>
      </c>
      <c r="W1119">
        <v>7</v>
      </c>
    </row>
    <row r="1120" spans="1:23" x14ac:dyDescent="0.25">
      <c r="A1120" t="s">
        <v>2057</v>
      </c>
      <c r="B1120">
        <v>45860.716678240737</v>
      </c>
      <c r="C1120" t="s">
        <v>466</v>
      </c>
      <c r="D1120" t="s">
        <v>131</v>
      </c>
      <c r="E1120" t="s">
        <v>190</v>
      </c>
      <c r="F1120" t="s">
        <v>2392</v>
      </c>
      <c r="G1120" t="s">
        <v>2378</v>
      </c>
      <c r="H1120">
        <v>35000</v>
      </c>
      <c r="I1120">
        <v>1</v>
      </c>
      <c r="J1120">
        <v>0</v>
      </c>
      <c r="K1120">
        <v>35000</v>
      </c>
      <c r="L1120">
        <v>0</v>
      </c>
      <c r="M1120">
        <v>35000</v>
      </c>
      <c r="N1120">
        <v>59000</v>
      </c>
      <c r="O1120">
        <v>94000</v>
      </c>
      <c r="P1120" t="s">
        <v>63</v>
      </c>
      <c r="Q1120" t="s">
        <v>2357</v>
      </c>
      <c r="R1120" t="s">
        <v>36</v>
      </c>
      <c r="S1120">
        <v>3</v>
      </c>
      <c r="T1120" t="s">
        <v>24</v>
      </c>
      <c r="U1120" t="s">
        <v>2407</v>
      </c>
      <c r="V1120">
        <v>2025</v>
      </c>
      <c r="W1120">
        <v>7</v>
      </c>
    </row>
    <row r="1121" spans="1:23" x14ac:dyDescent="0.25">
      <c r="A1121" t="s">
        <v>2058</v>
      </c>
      <c r="B1121">
        <v>45860.745578703703</v>
      </c>
      <c r="C1121" t="s">
        <v>130</v>
      </c>
      <c r="D1121" t="s">
        <v>131</v>
      </c>
      <c r="E1121" t="s">
        <v>93</v>
      </c>
      <c r="F1121" t="s">
        <v>2399</v>
      </c>
      <c r="G1121" t="s">
        <v>2378</v>
      </c>
      <c r="H1121">
        <v>25000</v>
      </c>
      <c r="I1121">
        <v>4</v>
      </c>
      <c r="J1121">
        <v>0</v>
      </c>
      <c r="K1121">
        <v>100000</v>
      </c>
      <c r="L1121">
        <v>0</v>
      </c>
      <c r="M1121">
        <v>100000</v>
      </c>
      <c r="N1121">
        <v>59000</v>
      </c>
      <c r="O1121">
        <v>159000</v>
      </c>
      <c r="P1121" t="s">
        <v>35</v>
      </c>
      <c r="Q1121" t="s">
        <v>2359</v>
      </c>
      <c r="R1121" t="s">
        <v>23</v>
      </c>
      <c r="S1121">
        <v>1</v>
      </c>
      <c r="T1121" t="s">
        <v>24</v>
      </c>
      <c r="U1121" t="s">
        <v>2407</v>
      </c>
      <c r="V1121">
        <v>2025</v>
      </c>
      <c r="W1121">
        <v>7</v>
      </c>
    </row>
    <row r="1122" spans="1:23" x14ac:dyDescent="0.25">
      <c r="A1122" t="s">
        <v>2059</v>
      </c>
      <c r="B1122">
        <v>45860.891793981478</v>
      </c>
      <c r="C1122" t="s">
        <v>261</v>
      </c>
      <c r="D1122" t="s">
        <v>262</v>
      </c>
      <c r="E1122" t="s">
        <v>71</v>
      </c>
      <c r="F1122" t="s">
        <v>2392</v>
      </c>
      <c r="G1122" t="s">
        <v>2379</v>
      </c>
      <c r="H1122">
        <v>40000</v>
      </c>
      <c r="I1122">
        <v>1</v>
      </c>
      <c r="J1122">
        <v>0</v>
      </c>
      <c r="K1122">
        <v>40000</v>
      </c>
      <c r="L1122">
        <v>0</v>
      </c>
      <c r="M1122">
        <v>40000</v>
      </c>
      <c r="N1122">
        <v>18000</v>
      </c>
      <c r="O1122">
        <v>58000</v>
      </c>
      <c r="P1122" t="s">
        <v>63</v>
      </c>
      <c r="Q1122" t="s">
        <v>2357</v>
      </c>
      <c r="R1122" t="s">
        <v>30</v>
      </c>
      <c r="S1122">
        <v>5</v>
      </c>
      <c r="T1122" t="s">
        <v>24</v>
      </c>
      <c r="U1122" t="s">
        <v>2407</v>
      </c>
      <c r="V1122">
        <v>2025</v>
      </c>
      <c r="W1122">
        <v>7</v>
      </c>
    </row>
    <row r="1123" spans="1:23" x14ac:dyDescent="0.25">
      <c r="A1123" t="s">
        <v>2060</v>
      </c>
      <c r="B1123">
        <v>45860.957337962973</v>
      </c>
      <c r="C1123" t="s">
        <v>631</v>
      </c>
      <c r="D1123" t="s">
        <v>20</v>
      </c>
      <c r="E1123" t="s">
        <v>186</v>
      </c>
      <c r="F1123" t="s">
        <v>2398</v>
      </c>
      <c r="G1123" t="s">
        <v>2377</v>
      </c>
      <c r="H1123">
        <v>45000</v>
      </c>
      <c r="I1123">
        <v>3</v>
      </c>
      <c r="J1123">
        <v>10</v>
      </c>
      <c r="K1123">
        <v>135000</v>
      </c>
      <c r="L1123">
        <v>13500</v>
      </c>
      <c r="M1123">
        <v>121500</v>
      </c>
      <c r="N1123">
        <v>15000</v>
      </c>
      <c r="O1123">
        <v>136500</v>
      </c>
      <c r="P1123" t="s">
        <v>29</v>
      </c>
      <c r="Q1123" t="s">
        <v>2357</v>
      </c>
      <c r="R1123" t="s">
        <v>82</v>
      </c>
      <c r="S1123">
        <v>5</v>
      </c>
      <c r="T1123" t="s">
        <v>37</v>
      </c>
      <c r="U1123" t="s">
        <v>2407</v>
      </c>
      <c r="V1123">
        <v>2025</v>
      </c>
      <c r="W1123">
        <v>7</v>
      </c>
    </row>
    <row r="1124" spans="1:23" x14ac:dyDescent="0.25">
      <c r="A1124" t="s">
        <v>2061</v>
      </c>
      <c r="B1124">
        <v>45861.101261574076</v>
      </c>
      <c r="C1124" t="s">
        <v>1173</v>
      </c>
      <c r="D1124" t="s">
        <v>170</v>
      </c>
      <c r="E1124" t="s">
        <v>110</v>
      </c>
      <c r="F1124" t="s">
        <v>2395</v>
      </c>
      <c r="G1124" t="s">
        <v>2379</v>
      </c>
      <c r="H1124">
        <v>6000</v>
      </c>
      <c r="I1124">
        <v>2</v>
      </c>
      <c r="J1124">
        <v>0</v>
      </c>
      <c r="K1124">
        <v>12000</v>
      </c>
      <c r="L1124">
        <v>0</v>
      </c>
      <c r="M1124">
        <v>12000</v>
      </c>
      <c r="N1124">
        <v>46000</v>
      </c>
      <c r="O1124">
        <v>58000</v>
      </c>
      <c r="P1124" t="s">
        <v>63</v>
      </c>
      <c r="Q1124" t="s">
        <v>2357</v>
      </c>
      <c r="R1124" t="s">
        <v>46</v>
      </c>
      <c r="S1124">
        <v>5</v>
      </c>
      <c r="T1124" t="s">
        <v>24</v>
      </c>
      <c r="U1124" t="s">
        <v>2407</v>
      </c>
      <c r="V1124">
        <v>2025</v>
      </c>
      <c r="W1124">
        <v>7</v>
      </c>
    </row>
    <row r="1125" spans="1:23" x14ac:dyDescent="0.25">
      <c r="A1125" t="s">
        <v>2062</v>
      </c>
      <c r="B1125">
        <v>45861.243611111109</v>
      </c>
      <c r="C1125" t="s">
        <v>603</v>
      </c>
      <c r="D1125" t="s">
        <v>53</v>
      </c>
      <c r="E1125" t="s">
        <v>186</v>
      </c>
      <c r="F1125" t="s">
        <v>2398</v>
      </c>
      <c r="G1125" t="s">
        <v>2377</v>
      </c>
      <c r="H1125">
        <v>45000</v>
      </c>
      <c r="I1125">
        <v>1</v>
      </c>
      <c r="J1125">
        <v>15</v>
      </c>
      <c r="K1125">
        <v>45000</v>
      </c>
      <c r="L1125">
        <v>6750</v>
      </c>
      <c r="M1125">
        <v>38250</v>
      </c>
      <c r="N1125">
        <v>18000</v>
      </c>
      <c r="O1125">
        <v>56250</v>
      </c>
      <c r="P1125" t="s">
        <v>29</v>
      </c>
      <c r="Q1125" t="s">
        <v>2357</v>
      </c>
      <c r="R1125" t="s">
        <v>36</v>
      </c>
      <c r="S1125">
        <v>5</v>
      </c>
      <c r="T1125" t="s">
        <v>24</v>
      </c>
      <c r="U1125" t="s">
        <v>2407</v>
      </c>
      <c r="V1125">
        <v>2025</v>
      </c>
      <c r="W1125">
        <v>7</v>
      </c>
    </row>
    <row r="1126" spans="1:23" x14ac:dyDescent="0.25">
      <c r="A1126" t="s">
        <v>2063</v>
      </c>
      <c r="B1126">
        <v>45861.389467592591</v>
      </c>
      <c r="C1126" t="s">
        <v>275</v>
      </c>
      <c r="D1126" t="s">
        <v>96</v>
      </c>
      <c r="E1126" t="s">
        <v>41</v>
      </c>
      <c r="F1126" t="s">
        <v>2395</v>
      </c>
      <c r="G1126" t="s">
        <v>2377</v>
      </c>
      <c r="H1126">
        <v>4000</v>
      </c>
      <c r="I1126">
        <v>2</v>
      </c>
      <c r="J1126">
        <v>10</v>
      </c>
      <c r="K1126">
        <v>8000</v>
      </c>
      <c r="L1126">
        <v>800</v>
      </c>
      <c r="M1126">
        <v>7200</v>
      </c>
      <c r="N1126">
        <v>49000</v>
      </c>
      <c r="O1126">
        <v>56200</v>
      </c>
      <c r="P1126" t="s">
        <v>35</v>
      </c>
      <c r="Q1126" t="s">
        <v>2357</v>
      </c>
      <c r="R1126" t="s">
        <v>23</v>
      </c>
      <c r="S1126">
        <v>3</v>
      </c>
      <c r="T1126" t="s">
        <v>24</v>
      </c>
      <c r="U1126" t="s">
        <v>2407</v>
      </c>
      <c r="V1126">
        <v>2025</v>
      </c>
      <c r="W1126">
        <v>7</v>
      </c>
    </row>
    <row r="1127" spans="1:23" x14ac:dyDescent="0.25">
      <c r="A1127" t="s">
        <v>2064</v>
      </c>
      <c r="B1127">
        <v>45861.496805555558</v>
      </c>
      <c r="C1127" t="s">
        <v>65</v>
      </c>
      <c r="D1127" t="s">
        <v>66</v>
      </c>
      <c r="E1127" t="s">
        <v>75</v>
      </c>
      <c r="F1127" t="s">
        <v>2398</v>
      </c>
      <c r="G1127" t="s">
        <v>2379</v>
      </c>
      <c r="H1127">
        <v>55000</v>
      </c>
      <c r="I1127">
        <v>5</v>
      </c>
      <c r="J1127">
        <v>15</v>
      </c>
      <c r="K1127">
        <v>275000</v>
      </c>
      <c r="L1127">
        <v>41250</v>
      </c>
      <c r="M1127">
        <v>233750</v>
      </c>
      <c r="N1127">
        <v>59000</v>
      </c>
      <c r="O1127">
        <v>292750</v>
      </c>
      <c r="P1127" t="s">
        <v>63</v>
      </c>
      <c r="Q1127" t="s">
        <v>2357</v>
      </c>
      <c r="R1127" t="s">
        <v>23</v>
      </c>
      <c r="S1127">
        <v>2</v>
      </c>
      <c r="T1127" t="s">
        <v>37</v>
      </c>
      <c r="U1127" t="s">
        <v>2407</v>
      </c>
      <c r="V1127">
        <v>2025</v>
      </c>
      <c r="W1127">
        <v>7</v>
      </c>
    </row>
    <row r="1128" spans="1:23" x14ac:dyDescent="0.25">
      <c r="A1128" t="s">
        <v>2065</v>
      </c>
      <c r="B1128">
        <v>45861.61309027778</v>
      </c>
      <c r="C1128" t="s">
        <v>499</v>
      </c>
      <c r="D1128" t="s">
        <v>131</v>
      </c>
      <c r="E1128" t="s">
        <v>58</v>
      </c>
      <c r="F1128" t="s">
        <v>2396</v>
      </c>
      <c r="G1128" t="s">
        <v>2377</v>
      </c>
      <c r="H1128">
        <v>16000</v>
      </c>
      <c r="I1128">
        <v>4</v>
      </c>
      <c r="J1128">
        <v>15</v>
      </c>
      <c r="K1128">
        <v>64000</v>
      </c>
      <c r="L1128">
        <v>9600</v>
      </c>
      <c r="M1128">
        <v>54400</v>
      </c>
      <c r="N1128">
        <v>59000</v>
      </c>
      <c r="O1128">
        <v>113400</v>
      </c>
      <c r="P1128" t="s">
        <v>22</v>
      </c>
      <c r="Q1128" t="s">
        <v>2357</v>
      </c>
      <c r="R1128" t="s">
        <v>46</v>
      </c>
      <c r="S1128">
        <v>4</v>
      </c>
      <c r="T1128" t="s">
        <v>24</v>
      </c>
      <c r="U1128" t="s">
        <v>2407</v>
      </c>
      <c r="V1128">
        <v>2025</v>
      </c>
      <c r="W1128">
        <v>7</v>
      </c>
    </row>
    <row r="1129" spans="1:23" x14ac:dyDescent="0.25">
      <c r="A1129" t="s">
        <v>2066</v>
      </c>
      <c r="B1129">
        <v>45861.652800925927</v>
      </c>
      <c r="C1129" t="s">
        <v>162</v>
      </c>
      <c r="D1129" t="s">
        <v>163</v>
      </c>
      <c r="E1129" t="s">
        <v>34</v>
      </c>
      <c r="F1129" t="s">
        <v>2397</v>
      </c>
      <c r="G1129" t="s">
        <v>2377</v>
      </c>
      <c r="H1129">
        <v>16000</v>
      </c>
      <c r="I1129">
        <v>1</v>
      </c>
      <c r="J1129">
        <v>0</v>
      </c>
      <c r="K1129">
        <v>16000</v>
      </c>
      <c r="L1129">
        <v>0</v>
      </c>
      <c r="M1129">
        <v>16000</v>
      </c>
      <c r="N1129">
        <v>50000</v>
      </c>
      <c r="O1129">
        <v>66000</v>
      </c>
      <c r="P1129" t="s">
        <v>35</v>
      </c>
      <c r="Q1129" t="s">
        <v>2357</v>
      </c>
      <c r="R1129" t="s">
        <v>30</v>
      </c>
      <c r="S1129">
        <v>2</v>
      </c>
      <c r="T1129" t="s">
        <v>24</v>
      </c>
      <c r="U1129" t="s">
        <v>2407</v>
      </c>
      <c r="V1129">
        <v>2025</v>
      </c>
      <c r="W1129">
        <v>7</v>
      </c>
    </row>
    <row r="1130" spans="1:23" x14ac:dyDescent="0.25">
      <c r="A1130" t="s">
        <v>2067</v>
      </c>
      <c r="B1130">
        <v>45861.653391203698</v>
      </c>
      <c r="C1130" t="s">
        <v>772</v>
      </c>
      <c r="D1130" t="s">
        <v>113</v>
      </c>
      <c r="E1130" t="s">
        <v>62</v>
      </c>
      <c r="F1130" t="s">
        <v>2398</v>
      </c>
      <c r="G1130" t="s">
        <v>2378</v>
      </c>
      <c r="H1130">
        <v>50000</v>
      </c>
      <c r="I1130">
        <v>2</v>
      </c>
      <c r="J1130">
        <v>10</v>
      </c>
      <c r="K1130">
        <v>100000</v>
      </c>
      <c r="L1130">
        <v>10000</v>
      </c>
      <c r="M1130">
        <v>90000</v>
      </c>
      <c r="N1130">
        <v>18000</v>
      </c>
      <c r="O1130">
        <v>108000</v>
      </c>
      <c r="P1130" t="s">
        <v>35</v>
      </c>
      <c r="Q1130" t="s">
        <v>2357</v>
      </c>
      <c r="R1130" t="s">
        <v>36</v>
      </c>
      <c r="S1130">
        <v>2</v>
      </c>
      <c r="T1130" t="s">
        <v>24</v>
      </c>
      <c r="U1130" t="s">
        <v>2407</v>
      </c>
      <c r="V1130">
        <v>2025</v>
      </c>
      <c r="W1130">
        <v>7</v>
      </c>
    </row>
    <row r="1131" spans="1:23" x14ac:dyDescent="0.25">
      <c r="A1131" t="s">
        <v>2068</v>
      </c>
      <c r="B1131">
        <v>45861.747523148151</v>
      </c>
      <c r="C1131" t="s">
        <v>323</v>
      </c>
      <c r="D1131" t="s">
        <v>103</v>
      </c>
      <c r="E1131" t="s">
        <v>104</v>
      </c>
      <c r="F1131" t="s">
        <v>2392</v>
      </c>
      <c r="G1131" t="s">
        <v>2377</v>
      </c>
      <c r="H1131">
        <v>30000</v>
      </c>
      <c r="I1131">
        <v>4</v>
      </c>
      <c r="J1131">
        <v>10</v>
      </c>
      <c r="K1131">
        <v>120000</v>
      </c>
      <c r="L1131">
        <v>12000</v>
      </c>
      <c r="M1131">
        <v>108000</v>
      </c>
      <c r="N1131">
        <v>85000</v>
      </c>
      <c r="O1131">
        <v>193000</v>
      </c>
      <c r="P1131" t="s">
        <v>22</v>
      </c>
      <c r="Q1131" t="s">
        <v>2357</v>
      </c>
      <c r="R1131" t="s">
        <v>82</v>
      </c>
      <c r="S1131">
        <v>3</v>
      </c>
      <c r="T1131" t="s">
        <v>24</v>
      </c>
      <c r="U1131" t="s">
        <v>2407</v>
      </c>
      <c r="V1131">
        <v>2025</v>
      </c>
      <c r="W1131">
        <v>7</v>
      </c>
    </row>
    <row r="1132" spans="1:23" x14ac:dyDescent="0.25">
      <c r="A1132" t="s">
        <v>2069</v>
      </c>
      <c r="B1132">
        <v>45861.886342592603</v>
      </c>
      <c r="C1132" t="s">
        <v>649</v>
      </c>
      <c r="D1132" t="s">
        <v>177</v>
      </c>
      <c r="E1132" t="s">
        <v>190</v>
      </c>
      <c r="F1132" t="s">
        <v>2392</v>
      </c>
      <c r="G1132" t="s">
        <v>2378</v>
      </c>
      <c r="H1132">
        <v>35000</v>
      </c>
      <c r="I1132">
        <v>4</v>
      </c>
      <c r="J1132">
        <v>10</v>
      </c>
      <c r="K1132">
        <v>140000</v>
      </c>
      <c r="L1132">
        <v>14000</v>
      </c>
      <c r="M1132">
        <v>126000</v>
      </c>
      <c r="N1132">
        <v>56000</v>
      </c>
      <c r="O1132">
        <v>182000</v>
      </c>
      <c r="P1132" t="s">
        <v>29</v>
      </c>
      <c r="Q1132" t="s">
        <v>2357</v>
      </c>
      <c r="R1132" t="s">
        <v>46</v>
      </c>
      <c r="S1132">
        <v>4</v>
      </c>
      <c r="T1132" t="s">
        <v>24</v>
      </c>
      <c r="U1132" t="s">
        <v>2407</v>
      </c>
      <c r="V1132">
        <v>2025</v>
      </c>
      <c r="W1132">
        <v>7</v>
      </c>
    </row>
    <row r="1133" spans="1:23" x14ac:dyDescent="0.25">
      <c r="A1133" t="s">
        <v>2070</v>
      </c>
      <c r="B1133">
        <v>45862.091469907413</v>
      </c>
      <c r="C1133" t="s">
        <v>867</v>
      </c>
      <c r="D1133" t="s">
        <v>20</v>
      </c>
      <c r="E1133" t="s">
        <v>144</v>
      </c>
      <c r="F1133" t="s">
        <v>2396</v>
      </c>
      <c r="G1133" t="s">
        <v>2379</v>
      </c>
      <c r="H1133">
        <v>18000</v>
      </c>
      <c r="I1133">
        <v>5</v>
      </c>
      <c r="J1133">
        <v>20</v>
      </c>
      <c r="K1133">
        <v>90000</v>
      </c>
      <c r="L1133">
        <v>18000</v>
      </c>
      <c r="M1133">
        <v>72000</v>
      </c>
      <c r="N1133">
        <v>15000</v>
      </c>
      <c r="O1133">
        <v>87000</v>
      </c>
      <c r="P1133" t="s">
        <v>63</v>
      </c>
      <c r="Q1133" t="s">
        <v>2357</v>
      </c>
      <c r="R1133" t="s">
        <v>46</v>
      </c>
      <c r="S1133">
        <v>2</v>
      </c>
      <c r="T1133" t="s">
        <v>37</v>
      </c>
      <c r="U1133" t="s">
        <v>2407</v>
      </c>
      <c r="V1133">
        <v>2025</v>
      </c>
      <c r="W1133">
        <v>7</v>
      </c>
    </row>
    <row r="1134" spans="1:23" x14ac:dyDescent="0.25">
      <c r="A1134" t="s">
        <v>2070</v>
      </c>
      <c r="B1134">
        <v>45862.091469907413</v>
      </c>
      <c r="C1134" t="s">
        <v>867</v>
      </c>
      <c r="D1134" t="s">
        <v>20</v>
      </c>
      <c r="E1134" t="s">
        <v>85</v>
      </c>
      <c r="F1134" t="s">
        <v>2394</v>
      </c>
      <c r="G1134" t="s">
        <v>2377</v>
      </c>
      <c r="H1134">
        <v>35000</v>
      </c>
      <c r="I1134">
        <v>5</v>
      </c>
      <c r="J1134">
        <v>10</v>
      </c>
      <c r="K1134">
        <v>175000</v>
      </c>
      <c r="L1134">
        <v>17500</v>
      </c>
      <c r="M1134">
        <v>157500</v>
      </c>
      <c r="N1134">
        <v>0</v>
      </c>
      <c r="O1134">
        <v>157500</v>
      </c>
      <c r="P1134" t="s">
        <v>63</v>
      </c>
      <c r="Q1134" t="s">
        <v>2357</v>
      </c>
      <c r="R1134" t="s">
        <v>46</v>
      </c>
      <c r="S1134">
        <v>2</v>
      </c>
      <c r="T1134" t="s">
        <v>37</v>
      </c>
      <c r="U1134" t="s">
        <v>2407</v>
      </c>
      <c r="V1134">
        <v>2025</v>
      </c>
      <c r="W1134">
        <v>7</v>
      </c>
    </row>
    <row r="1135" spans="1:23" x14ac:dyDescent="0.25">
      <c r="A1135" t="s">
        <v>2071</v>
      </c>
      <c r="B1135">
        <v>45862.118402777778</v>
      </c>
      <c r="C1135" t="s">
        <v>2072</v>
      </c>
      <c r="D1135" t="s">
        <v>92</v>
      </c>
      <c r="E1135" t="s">
        <v>45</v>
      </c>
      <c r="F1135" t="s">
        <v>2394</v>
      </c>
      <c r="G1135" t="s">
        <v>2378</v>
      </c>
      <c r="H1135">
        <v>40000</v>
      </c>
      <c r="I1135">
        <v>1</v>
      </c>
      <c r="J1135">
        <v>5</v>
      </c>
      <c r="K1135">
        <v>40000</v>
      </c>
      <c r="L1135">
        <v>2000</v>
      </c>
      <c r="M1135">
        <v>38000</v>
      </c>
      <c r="N1135">
        <v>30000</v>
      </c>
      <c r="O1135">
        <v>68000</v>
      </c>
      <c r="P1135" t="s">
        <v>63</v>
      </c>
      <c r="Q1135" t="s">
        <v>2356</v>
      </c>
      <c r="R1135" t="s">
        <v>36</v>
      </c>
      <c r="S1135">
        <v>1</v>
      </c>
      <c r="T1135" t="s">
        <v>37</v>
      </c>
      <c r="U1135" t="s">
        <v>2407</v>
      </c>
      <c r="V1135">
        <v>2025</v>
      </c>
      <c r="W1135">
        <v>7</v>
      </c>
    </row>
    <row r="1136" spans="1:23" x14ac:dyDescent="0.25">
      <c r="A1136" t="s">
        <v>2073</v>
      </c>
      <c r="B1136">
        <v>45862.320011574076</v>
      </c>
      <c r="C1136" t="s">
        <v>693</v>
      </c>
      <c r="D1136" t="s">
        <v>119</v>
      </c>
      <c r="E1136" t="s">
        <v>81</v>
      </c>
      <c r="F1136" t="s">
        <v>2397</v>
      </c>
      <c r="G1136" t="s">
        <v>2378</v>
      </c>
      <c r="H1136">
        <v>17000</v>
      </c>
      <c r="I1136">
        <v>4</v>
      </c>
      <c r="J1136">
        <v>0</v>
      </c>
      <c r="K1136">
        <v>68000</v>
      </c>
      <c r="L1136">
        <v>0</v>
      </c>
      <c r="M1136">
        <v>68000</v>
      </c>
      <c r="N1136">
        <v>0</v>
      </c>
      <c r="O1136">
        <v>68000</v>
      </c>
      <c r="P1136" t="s">
        <v>22</v>
      </c>
      <c r="Q1136" t="s">
        <v>2356</v>
      </c>
      <c r="R1136" t="s">
        <v>46</v>
      </c>
      <c r="S1136">
        <v>4</v>
      </c>
      <c r="T1136" t="s">
        <v>24</v>
      </c>
      <c r="U1136" t="s">
        <v>2407</v>
      </c>
      <c r="V1136">
        <v>2025</v>
      </c>
      <c r="W1136">
        <v>7</v>
      </c>
    </row>
    <row r="1137" spans="1:23" x14ac:dyDescent="0.25">
      <c r="A1137" t="s">
        <v>2074</v>
      </c>
      <c r="B1137">
        <v>45862.595254629632</v>
      </c>
      <c r="C1137" t="s">
        <v>568</v>
      </c>
      <c r="D1137" t="s">
        <v>435</v>
      </c>
      <c r="E1137" t="s">
        <v>144</v>
      </c>
      <c r="F1137" t="s">
        <v>2396</v>
      </c>
      <c r="G1137" t="s">
        <v>2379</v>
      </c>
      <c r="H1137">
        <v>18000</v>
      </c>
      <c r="I1137">
        <v>2</v>
      </c>
      <c r="J1137">
        <v>0</v>
      </c>
      <c r="K1137">
        <v>36000</v>
      </c>
      <c r="L1137">
        <v>0</v>
      </c>
      <c r="M1137">
        <v>36000</v>
      </c>
      <c r="N1137">
        <v>67000</v>
      </c>
      <c r="O1137">
        <v>103000</v>
      </c>
      <c r="P1137" t="s">
        <v>22</v>
      </c>
      <c r="Q1137" t="s">
        <v>2357</v>
      </c>
      <c r="R1137" t="s">
        <v>36</v>
      </c>
      <c r="S1137">
        <v>5</v>
      </c>
      <c r="T1137" t="s">
        <v>24</v>
      </c>
      <c r="U1137" t="s">
        <v>2407</v>
      </c>
      <c r="V1137">
        <v>2025</v>
      </c>
      <c r="W1137">
        <v>7</v>
      </c>
    </row>
    <row r="1138" spans="1:23" x14ac:dyDescent="0.25">
      <c r="A1138" t="s">
        <v>2075</v>
      </c>
      <c r="B1138">
        <v>45862.785856481481</v>
      </c>
      <c r="C1138" t="s">
        <v>589</v>
      </c>
      <c r="D1138" t="s">
        <v>262</v>
      </c>
      <c r="E1138" t="s">
        <v>38</v>
      </c>
      <c r="F1138" t="s">
        <v>2399</v>
      </c>
      <c r="G1138" t="s">
        <v>2379</v>
      </c>
      <c r="H1138">
        <v>28000</v>
      </c>
      <c r="I1138">
        <v>4</v>
      </c>
      <c r="J1138">
        <v>10</v>
      </c>
      <c r="K1138">
        <v>112000</v>
      </c>
      <c r="L1138">
        <v>11200</v>
      </c>
      <c r="M1138">
        <v>100800</v>
      </c>
      <c r="N1138">
        <v>18000</v>
      </c>
      <c r="O1138">
        <v>118800</v>
      </c>
      <c r="P1138" t="s">
        <v>63</v>
      </c>
      <c r="Q1138" t="s">
        <v>2357</v>
      </c>
      <c r="R1138" t="s">
        <v>23</v>
      </c>
      <c r="S1138">
        <v>2</v>
      </c>
      <c r="T1138" t="s">
        <v>37</v>
      </c>
      <c r="U1138" t="s">
        <v>2407</v>
      </c>
      <c r="V1138">
        <v>2025</v>
      </c>
      <c r="W1138">
        <v>7</v>
      </c>
    </row>
    <row r="1139" spans="1:23" x14ac:dyDescent="0.25">
      <c r="A1139" t="s">
        <v>2076</v>
      </c>
      <c r="B1139">
        <v>45862.850752314807</v>
      </c>
      <c r="C1139" t="s">
        <v>1173</v>
      </c>
      <c r="D1139" t="s">
        <v>170</v>
      </c>
      <c r="E1139" t="s">
        <v>136</v>
      </c>
      <c r="F1139" t="s">
        <v>2400</v>
      </c>
      <c r="G1139" t="s">
        <v>2378</v>
      </c>
      <c r="H1139">
        <v>12000</v>
      </c>
      <c r="I1139">
        <v>5</v>
      </c>
      <c r="J1139">
        <v>10</v>
      </c>
      <c r="K1139">
        <v>60000</v>
      </c>
      <c r="L1139">
        <v>6000</v>
      </c>
      <c r="M1139">
        <v>54000</v>
      </c>
      <c r="N1139">
        <v>46000</v>
      </c>
      <c r="O1139">
        <v>100000</v>
      </c>
      <c r="P1139" t="s">
        <v>22</v>
      </c>
      <c r="Q1139" t="s">
        <v>2357</v>
      </c>
      <c r="R1139" t="s">
        <v>36</v>
      </c>
      <c r="S1139">
        <v>3</v>
      </c>
      <c r="T1139" t="s">
        <v>24</v>
      </c>
      <c r="U1139" t="s">
        <v>2407</v>
      </c>
      <c r="V1139">
        <v>2025</v>
      </c>
      <c r="W1139">
        <v>7</v>
      </c>
    </row>
    <row r="1140" spans="1:23" x14ac:dyDescent="0.25">
      <c r="A1140" t="s">
        <v>2077</v>
      </c>
      <c r="B1140">
        <v>45862.964467592603</v>
      </c>
      <c r="C1140" t="s">
        <v>774</v>
      </c>
      <c r="D1140" t="s">
        <v>262</v>
      </c>
      <c r="E1140" t="s">
        <v>58</v>
      </c>
      <c r="F1140" t="s">
        <v>2396</v>
      </c>
      <c r="G1140" t="s">
        <v>2377</v>
      </c>
      <c r="H1140">
        <v>16000</v>
      </c>
      <c r="I1140">
        <v>4</v>
      </c>
      <c r="J1140">
        <v>15</v>
      </c>
      <c r="K1140">
        <v>64000</v>
      </c>
      <c r="L1140">
        <v>9600</v>
      </c>
      <c r="M1140">
        <v>54400</v>
      </c>
      <c r="N1140">
        <v>18000</v>
      </c>
      <c r="O1140">
        <v>72400</v>
      </c>
      <c r="P1140" t="s">
        <v>63</v>
      </c>
      <c r="Q1140" t="s">
        <v>2357</v>
      </c>
      <c r="R1140" t="s">
        <v>36</v>
      </c>
      <c r="S1140">
        <v>5</v>
      </c>
      <c r="T1140" t="s">
        <v>24</v>
      </c>
      <c r="U1140" t="s">
        <v>2407</v>
      </c>
      <c r="V1140">
        <v>2025</v>
      </c>
      <c r="W1140">
        <v>7</v>
      </c>
    </row>
    <row r="1141" spans="1:23" x14ac:dyDescent="0.25">
      <c r="A1141" t="s">
        <v>2078</v>
      </c>
      <c r="B1141">
        <v>45863.019652777781</v>
      </c>
      <c r="C1141" t="s">
        <v>273</v>
      </c>
      <c r="D1141" t="s">
        <v>195</v>
      </c>
      <c r="E1141" t="s">
        <v>136</v>
      </c>
      <c r="F1141" t="s">
        <v>2400</v>
      </c>
      <c r="G1141" t="s">
        <v>2378</v>
      </c>
      <c r="H1141">
        <v>12000</v>
      </c>
      <c r="I1141">
        <v>2</v>
      </c>
      <c r="J1141">
        <v>10</v>
      </c>
      <c r="K1141">
        <v>24000</v>
      </c>
      <c r="L1141">
        <v>2400</v>
      </c>
      <c r="M1141">
        <v>21600</v>
      </c>
      <c r="N1141">
        <v>87000</v>
      </c>
      <c r="O1141">
        <v>108600</v>
      </c>
      <c r="P1141" t="s">
        <v>35</v>
      </c>
      <c r="Q1141" t="s">
        <v>2359</v>
      </c>
      <c r="R1141" t="s">
        <v>36</v>
      </c>
      <c r="S1141">
        <v>2</v>
      </c>
      <c r="T1141" t="s">
        <v>24</v>
      </c>
      <c r="U1141" t="s">
        <v>2407</v>
      </c>
      <c r="V1141">
        <v>2025</v>
      </c>
      <c r="W1141">
        <v>7</v>
      </c>
    </row>
    <row r="1142" spans="1:23" x14ac:dyDescent="0.25">
      <c r="A1142" t="s">
        <v>2079</v>
      </c>
      <c r="B1142">
        <v>45863.086631944447</v>
      </c>
      <c r="C1142" t="s">
        <v>2080</v>
      </c>
      <c r="D1142" t="s">
        <v>262</v>
      </c>
      <c r="E1142" t="s">
        <v>75</v>
      </c>
      <c r="F1142" t="s">
        <v>2398</v>
      </c>
      <c r="G1142" t="s">
        <v>2379</v>
      </c>
      <c r="H1142">
        <v>55000</v>
      </c>
      <c r="I1142">
        <v>4</v>
      </c>
      <c r="J1142">
        <v>15</v>
      </c>
      <c r="K1142">
        <v>220000</v>
      </c>
      <c r="L1142">
        <v>33000</v>
      </c>
      <c r="M1142">
        <v>187000</v>
      </c>
      <c r="N1142">
        <v>18000</v>
      </c>
      <c r="O1142">
        <v>205000</v>
      </c>
      <c r="P1142" t="s">
        <v>22</v>
      </c>
      <c r="Q1142" t="s">
        <v>2357</v>
      </c>
      <c r="R1142" t="s">
        <v>46</v>
      </c>
      <c r="S1142">
        <v>2</v>
      </c>
      <c r="T1142" t="s">
        <v>24</v>
      </c>
      <c r="U1142" t="s">
        <v>2407</v>
      </c>
      <c r="V1142">
        <v>2025</v>
      </c>
      <c r="W1142">
        <v>7</v>
      </c>
    </row>
    <row r="1143" spans="1:23" x14ac:dyDescent="0.25">
      <c r="A1143" t="s">
        <v>2079</v>
      </c>
      <c r="B1143">
        <v>45863.086631944447</v>
      </c>
      <c r="C1143" t="s">
        <v>2080</v>
      </c>
      <c r="D1143" t="s">
        <v>262</v>
      </c>
      <c r="E1143" t="s">
        <v>85</v>
      </c>
      <c r="F1143" t="s">
        <v>2394</v>
      </c>
      <c r="G1143" t="s">
        <v>2377</v>
      </c>
      <c r="H1143">
        <v>35000</v>
      </c>
      <c r="I1143">
        <v>3</v>
      </c>
      <c r="J1143">
        <v>15</v>
      </c>
      <c r="K1143">
        <v>105000</v>
      </c>
      <c r="L1143">
        <v>15750</v>
      </c>
      <c r="M1143">
        <v>89250</v>
      </c>
      <c r="N1143">
        <v>0</v>
      </c>
      <c r="O1143">
        <v>89250</v>
      </c>
      <c r="P1143" t="s">
        <v>22</v>
      </c>
      <c r="Q1143" t="s">
        <v>2357</v>
      </c>
      <c r="R1143" t="s">
        <v>46</v>
      </c>
      <c r="S1143">
        <v>2</v>
      </c>
      <c r="T1143" t="s">
        <v>24</v>
      </c>
      <c r="U1143" t="s">
        <v>2407</v>
      </c>
      <c r="V1143">
        <v>2025</v>
      </c>
      <c r="W1143">
        <v>7</v>
      </c>
    </row>
    <row r="1144" spans="1:23" x14ac:dyDescent="0.25">
      <c r="A1144" t="s">
        <v>2081</v>
      </c>
      <c r="B1144">
        <v>45863.151562500003</v>
      </c>
      <c r="C1144" t="s">
        <v>396</v>
      </c>
      <c r="D1144" t="s">
        <v>66</v>
      </c>
      <c r="E1144" t="s">
        <v>104</v>
      </c>
      <c r="F1144" t="s">
        <v>2392</v>
      </c>
      <c r="G1144" t="s">
        <v>2377</v>
      </c>
      <c r="H1144">
        <v>30000</v>
      </c>
      <c r="I1144">
        <v>2</v>
      </c>
      <c r="J1144">
        <v>10</v>
      </c>
      <c r="K1144">
        <v>60000</v>
      </c>
      <c r="L1144">
        <v>6000</v>
      </c>
      <c r="M1144">
        <v>54000</v>
      </c>
      <c r="N1144">
        <v>59000</v>
      </c>
      <c r="O1144">
        <v>113000</v>
      </c>
      <c r="P1144" t="s">
        <v>63</v>
      </c>
      <c r="Q1144" t="s">
        <v>2357</v>
      </c>
      <c r="R1144" t="s">
        <v>46</v>
      </c>
      <c r="S1144">
        <v>3</v>
      </c>
      <c r="T1144" t="s">
        <v>37</v>
      </c>
      <c r="U1144" t="s">
        <v>2407</v>
      </c>
      <c r="V1144">
        <v>2025</v>
      </c>
      <c r="W1144">
        <v>7</v>
      </c>
    </row>
    <row r="1145" spans="1:23" x14ac:dyDescent="0.25">
      <c r="A1145" t="s">
        <v>2082</v>
      </c>
      <c r="B1145">
        <v>45863.50476851852</v>
      </c>
      <c r="C1145" t="s">
        <v>827</v>
      </c>
      <c r="D1145" t="s">
        <v>20</v>
      </c>
      <c r="E1145" t="s">
        <v>67</v>
      </c>
      <c r="F1145" t="s">
        <v>2393</v>
      </c>
      <c r="G1145" t="s">
        <v>2378</v>
      </c>
      <c r="H1145">
        <v>15000</v>
      </c>
      <c r="I1145">
        <v>4</v>
      </c>
      <c r="J1145">
        <v>15</v>
      </c>
      <c r="K1145">
        <v>60000</v>
      </c>
      <c r="L1145">
        <v>9000</v>
      </c>
      <c r="M1145">
        <v>51000</v>
      </c>
      <c r="N1145">
        <v>15000</v>
      </c>
      <c r="O1145">
        <v>66000</v>
      </c>
      <c r="P1145" t="s">
        <v>63</v>
      </c>
      <c r="Q1145" t="s">
        <v>2357</v>
      </c>
      <c r="R1145" t="s">
        <v>46</v>
      </c>
      <c r="S1145">
        <v>3</v>
      </c>
      <c r="T1145" t="s">
        <v>24</v>
      </c>
      <c r="U1145" t="s">
        <v>2407</v>
      </c>
      <c r="V1145">
        <v>2025</v>
      </c>
      <c r="W1145">
        <v>7</v>
      </c>
    </row>
    <row r="1146" spans="1:23" x14ac:dyDescent="0.25">
      <c r="A1146" t="s">
        <v>2083</v>
      </c>
      <c r="B1146">
        <v>45863.770949074067</v>
      </c>
      <c r="C1146" t="s">
        <v>269</v>
      </c>
      <c r="D1146" t="s">
        <v>173</v>
      </c>
      <c r="E1146" t="s">
        <v>174</v>
      </c>
      <c r="F1146" t="s">
        <v>2400</v>
      </c>
      <c r="G1146" t="s">
        <v>2377</v>
      </c>
      <c r="H1146">
        <v>10000</v>
      </c>
      <c r="I1146">
        <v>5</v>
      </c>
      <c r="J1146">
        <v>20</v>
      </c>
      <c r="K1146">
        <v>50000</v>
      </c>
      <c r="L1146">
        <v>10000</v>
      </c>
      <c r="M1146">
        <v>40000</v>
      </c>
      <c r="N1146">
        <v>49000</v>
      </c>
      <c r="O1146">
        <v>89000</v>
      </c>
      <c r="P1146" t="s">
        <v>29</v>
      </c>
      <c r="Q1146" t="s">
        <v>2357</v>
      </c>
      <c r="R1146" t="s">
        <v>36</v>
      </c>
      <c r="S1146">
        <v>1</v>
      </c>
      <c r="T1146" t="s">
        <v>37</v>
      </c>
      <c r="U1146" t="s">
        <v>2407</v>
      </c>
      <c r="V1146">
        <v>2025</v>
      </c>
      <c r="W1146">
        <v>7</v>
      </c>
    </row>
    <row r="1147" spans="1:23" x14ac:dyDescent="0.25">
      <c r="A1147" t="s">
        <v>2084</v>
      </c>
      <c r="B1147">
        <v>45863.798275462963</v>
      </c>
      <c r="C1147" t="s">
        <v>1122</v>
      </c>
      <c r="D1147" t="s">
        <v>33</v>
      </c>
      <c r="E1147" t="s">
        <v>21</v>
      </c>
      <c r="F1147" t="s">
        <v>2394</v>
      </c>
      <c r="G1147" t="s">
        <v>2379</v>
      </c>
      <c r="H1147">
        <v>45000</v>
      </c>
      <c r="I1147">
        <v>2</v>
      </c>
      <c r="J1147">
        <v>0</v>
      </c>
      <c r="K1147">
        <v>90000</v>
      </c>
      <c r="L1147">
        <v>0</v>
      </c>
      <c r="M1147">
        <v>90000</v>
      </c>
      <c r="N1147">
        <v>76000</v>
      </c>
      <c r="O1147">
        <v>166000</v>
      </c>
      <c r="P1147" t="s">
        <v>22</v>
      </c>
      <c r="Q1147" t="s">
        <v>2357</v>
      </c>
      <c r="R1147" t="s">
        <v>36</v>
      </c>
      <c r="S1147">
        <v>4</v>
      </c>
      <c r="T1147" t="s">
        <v>24</v>
      </c>
      <c r="U1147" t="s">
        <v>2407</v>
      </c>
      <c r="V1147">
        <v>2025</v>
      </c>
      <c r="W1147">
        <v>7</v>
      </c>
    </row>
    <row r="1148" spans="1:23" x14ac:dyDescent="0.25">
      <c r="A1148" t="s">
        <v>2085</v>
      </c>
      <c r="B1148">
        <v>45864.592835648153</v>
      </c>
      <c r="C1148" t="s">
        <v>515</v>
      </c>
      <c r="D1148" t="s">
        <v>182</v>
      </c>
      <c r="E1148" t="s">
        <v>144</v>
      </c>
      <c r="F1148" t="s">
        <v>2396</v>
      </c>
      <c r="G1148" t="s">
        <v>2379</v>
      </c>
      <c r="H1148">
        <v>18000</v>
      </c>
      <c r="I1148">
        <v>2</v>
      </c>
      <c r="J1148">
        <v>15</v>
      </c>
      <c r="K1148">
        <v>36000</v>
      </c>
      <c r="L1148">
        <v>5400</v>
      </c>
      <c r="M1148">
        <v>30600</v>
      </c>
      <c r="N1148">
        <v>48000</v>
      </c>
      <c r="O1148">
        <v>78600</v>
      </c>
      <c r="P1148" t="s">
        <v>35</v>
      </c>
      <c r="Q1148" t="s">
        <v>2357</v>
      </c>
      <c r="R1148" t="s">
        <v>36</v>
      </c>
      <c r="S1148">
        <v>5</v>
      </c>
      <c r="T1148" t="s">
        <v>24</v>
      </c>
      <c r="U1148" t="s">
        <v>2407</v>
      </c>
      <c r="V1148">
        <v>2025</v>
      </c>
      <c r="W1148">
        <v>7</v>
      </c>
    </row>
    <row r="1149" spans="1:23" x14ac:dyDescent="0.25">
      <c r="A1149" t="s">
        <v>2086</v>
      </c>
      <c r="B1149">
        <v>45864.711539351847</v>
      </c>
      <c r="C1149" t="s">
        <v>451</v>
      </c>
      <c r="D1149" t="s">
        <v>116</v>
      </c>
      <c r="E1149" t="s">
        <v>190</v>
      </c>
      <c r="F1149" t="s">
        <v>2392</v>
      </c>
      <c r="G1149" t="s">
        <v>2378</v>
      </c>
      <c r="H1149">
        <v>35000</v>
      </c>
      <c r="I1149">
        <v>4</v>
      </c>
      <c r="J1149">
        <v>10</v>
      </c>
      <c r="K1149">
        <v>140000</v>
      </c>
      <c r="L1149">
        <v>14000</v>
      </c>
      <c r="M1149">
        <v>126000</v>
      </c>
      <c r="N1149">
        <v>72000</v>
      </c>
      <c r="O1149">
        <v>198000</v>
      </c>
      <c r="P1149" t="s">
        <v>22</v>
      </c>
      <c r="Q1149" t="s">
        <v>2357</v>
      </c>
      <c r="R1149" t="s">
        <v>82</v>
      </c>
      <c r="S1149">
        <v>3</v>
      </c>
      <c r="T1149" t="s">
        <v>24</v>
      </c>
      <c r="U1149" t="s">
        <v>2407</v>
      </c>
      <c r="V1149">
        <v>2025</v>
      </c>
      <c r="W1149">
        <v>7</v>
      </c>
    </row>
    <row r="1150" spans="1:23" x14ac:dyDescent="0.25">
      <c r="A1150" t="s">
        <v>2087</v>
      </c>
      <c r="B1150">
        <v>45865.085636574076</v>
      </c>
      <c r="C1150" t="s">
        <v>794</v>
      </c>
      <c r="D1150" t="s">
        <v>61</v>
      </c>
      <c r="E1150" t="s">
        <v>93</v>
      </c>
      <c r="F1150" t="s">
        <v>2399</v>
      </c>
      <c r="G1150" t="s">
        <v>2378</v>
      </c>
      <c r="H1150">
        <v>25000</v>
      </c>
      <c r="I1150">
        <v>5</v>
      </c>
      <c r="J1150">
        <v>5</v>
      </c>
      <c r="K1150">
        <v>125000</v>
      </c>
      <c r="L1150">
        <v>6250</v>
      </c>
      <c r="M1150">
        <v>118750</v>
      </c>
      <c r="N1150">
        <v>26000</v>
      </c>
      <c r="O1150">
        <v>144750</v>
      </c>
      <c r="P1150" t="s">
        <v>63</v>
      </c>
      <c r="Q1150" t="s">
        <v>2357</v>
      </c>
      <c r="R1150" t="s">
        <v>23</v>
      </c>
      <c r="S1150">
        <v>2</v>
      </c>
      <c r="T1150" t="s">
        <v>37</v>
      </c>
      <c r="U1150" t="s">
        <v>2407</v>
      </c>
      <c r="V1150">
        <v>2025</v>
      </c>
      <c r="W1150">
        <v>7</v>
      </c>
    </row>
    <row r="1151" spans="1:23" x14ac:dyDescent="0.25">
      <c r="A1151" t="s">
        <v>2088</v>
      </c>
      <c r="B1151">
        <v>45865.160798611112</v>
      </c>
      <c r="C1151" t="s">
        <v>142</v>
      </c>
      <c r="D1151" t="s">
        <v>143</v>
      </c>
      <c r="E1151" t="s">
        <v>110</v>
      </c>
      <c r="F1151" t="s">
        <v>2395</v>
      </c>
      <c r="G1151" t="s">
        <v>2379</v>
      </c>
      <c r="H1151">
        <v>6000</v>
      </c>
      <c r="I1151">
        <v>5</v>
      </c>
      <c r="J1151">
        <v>15</v>
      </c>
      <c r="K1151">
        <v>30000</v>
      </c>
      <c r="L1151">
        <v>4500</v>
      </c>
      <c r="M1151">
        <v>25500</v>
      </c>
      <c r="N1151">
        <v>50000</v>
      </c>
      <c r="O1151">
        <v>75500</v>
      </c>
      <c r="P1151" t="s">
        <v>22</v>
      </c>
      <c r="Q1151" t="s">
        <v>2357</v>
      </c>
      <c r="R1151" t="s">
        <v>46</v>
      </c>
      <c r="S1151">
        <v>2</v>
      </c>
      <c r="T1151" t="s">
        <v>24</v>
      </c>
      <c r="U1151" t="s">
        <v>2407</v>
      </c>
      <c r="V1151">
        <v>2025</v>
      </c>
      <c r="W1151">
        <v>7</v>
      </c>
    </row>
    <row r="1152" spans="1:23" x14ac:dyDescent="0.25">
      <c r="A1152" t="s">
        <v>2089</v>
      </c>
      <c r="B1152">
        <v>45865.341331018521</v>
      </c>
      <c r="C1152" t="s">
        <v>751</v>
      </c>
      <c r="D1152" t="s">
        <v>80</v>
      </c>
      <c r="E1152" t="s">
        <v>85</v>
      </c>
      <c r="F1152" t="s">
        <v>2394</v>
      </c>
      <c r="G1152" t="s">
        <v>2377</v>
      </c>
      <c r="H1152">
        <v>35000</v>
      </c>
      <c r="I1152">
        <v>1</v>
      </c>
      <c r="J1152">
        <v>15</v>
      </c>
      <c r="K1152">
        <v>35000</v>
      </c>
      <c r="L1152">
        <v>5250</v>
      </c>
      <c r="M1152">
        <v>29750</v>
      </c>
      <c r="N1152">
        <v>74000</v>
      </c>
      <c r="O1152">
        <v>103750</v>
      </c>
      <c r="P1152" t="s">
        <v>63</v>
      </c>
      <c r="Q1152" t="s">
        <v>2357</v>
      </c>
      <c r="R1152" t="s">
        <v>82</v>
      </c>
      <c r="S1152">
        <v>1</v>
      </c>
      <c r="T1152" t="s">
        <v>24</v>
      </c>
      <c r="U1152" t="s">
        <v>2407</v>
      </c>
      <c r="V1152">
        <v>2025</v>
      </c>
      <c r="W1152">
        <v>7</v>
      </c>
    </row>
    <row r="1153" spans="1:23" x14ac:dyDescent="0.25">
      <c r="A1153" t="s">
        <v>2089</v>
      </c>
      <c r="B1153">
        <v>45865.341331018521</v>
      </c>
      <c r="C1153" t="s">
        <v>751</v>
      </c>
      <c r="D1153" t="s">
        <v>80</v>
      </c>
      <c r="E1153" t="s">
        <v>104</v>
      </c>
      <c r="F1153" t="s">
        <v>2392</v>
      </c>
      <c r="G1153" t="s">
        <v>2377</v>
      </c>
      <c r="H1153">
        <v>30000</v>
      </c>
      <c r="I1153">
        <v>4</v>
      </c>
      <c r="J1153">
        <v>0</v>
      </c>
      <c r="K1153">
        <v>120000</v>
      </c>
      <c r="L1153">
        <v>0</v>
      </c>
      <c r="M1153">
        <v>120000</v>
      </c>
      <c r="N1153">
        <v>0</v>
      </c>
      <c r="O1153">
        <v>120000</v>
      </c>
      <c r="P1153" t="s">
        <v>63</v>
      </c>
      <c r="Q1153" t="s">
        <v>2357</v>
      </c>
      <c r="R1153" t="s">
        <v>82</v>
      </c>
      <c r="S1153">
        <v>1</v>
      </c>
      <c r="T1153" t="s">
        <v>24</v>
      </c>
      <c r="U1153" t="s">
        <v>2407</v>
      </c>
      <c r="V1153">
        <v>2025</v>
      </c>
      <c r="W1153">
        <v>7</v>
      </c>
    </row>
    <row r="1154" spans="1:23" x14ac:dyDescent="0.25">
      <c r="A1154" t="s">
        <v>2090</v>
      </c>
      <c r="B1154">
        <v>45865.577187499999</v>
      </c>
      <c r="C1154" t="s">
        <v>2072</v>
      </c>
      <c r="D1154" t="s">
        <v>92</v>
      </c>
      <c r="E1154" t="s">
        <v>186</v>
      </c>
      <c r="F1154" t="s">
        <v>2398</v>
      </c>
      <c r="G1154" t="s">
        <v>2377</v>
      </c>
      <c r="H1154">
        <v>45000</v>
      </c>
      <c r="I1154">
        <v>5</v>
      </c>
      <c r="J1154">
        <v>5</v>
      </c>
      <c r="K1154">
        <v>225000</v>
      </c>
      <c r="L1154">
        <v>11250</v>
      </c>
      <c r="M1154">
        <v>213750</v>
      </c>
      <c r="N1154">
        <v>30000</v>
      </c>
      <c r="O1154">
        <v>243750</v>
      </c>
      <c r="P1154" t="s">
        <v>35</v>
      </c>
      <c r="Q1154" t="s">
        <v>2357</v>
      </c>
      <c r="R1154" t="s">
        <v>30</v>
      </c>
      <c r="S1154">
        <v>4</v>
      </c>
      <c r="T1154" t="s">
        <v>37</v>
      </c>
      <c r="U1154" t="s">
        <v>2407</v>
      </c>
      <c r="V1154">
        <v>2025</v>
      </c>
      <c r="W1154">
        <v>7</v>
      </c>
    </row>
    <row r="1155" spans="1:23" x14ac:dyDescent="0.25">
      <c r="A1155" t="s">
        <v>2091</v>
      </c>
      <c r="B1155">
        <v>45866.054826388892</v>
      </c>
      <c r="C1155" t="s">
        <v>812</v>
      </c>
      <c r="D1155" t="s">
        <v>33</v>
      </c>
      <c r="E1155" t="s">
        <v>186</v>
      </c>
      <c r="F1155" t="s">
        <v>2398</v>
      </c>
      <c r="G1155" t="s">
        <v>2377</v>
      </c>
      <c r="H1155">
        <v>45000</v>
      </c>
      <c r="I1155">
        <v>1</v>
      </c>
      <c r="J1155">
        <v>10</v>
      </c>
      <c r="K1155">
        <v>45000</v>
      </c>
      <c r="L1155">
        <v>4500</v>
      </c>
      <c r="M1155">
        <v>40500</v>
      </c>
      <c r="N1155">
        <v>76000</v>
      </c>
      <c r="O1155">
        <v>116500</v>
      </c>
      <c r="P1155" t="s">
        <v>35</v>
      </c>
      <c r="Q1155" t="s">
        <v>2356</v>
      </c>
      <c r="R1155" t="s">
        <v>30</v>
      </c>
      <c r="S1155">
        <v>1</v>
      </c>
      <c r="T1155" t="s">
        <v>24</v>
      </c>
      <c r="U1155" t="s">
        <v>2407</v>
      </c>
      <c r="V1155">
        <v>2025</v>
      </c>
      <c r="W1155">
        <v>7</v>
      </c>
    </row>
    <row r="1156" spans="1:23" x14ac:dyDescent="0.25">
      <c r="A1156" t="s">
        <v>2092</v>
      </c>
      <c r="B1156">
        <v>45866.175891203697</v>
      </c>
      <c r="C1156" t="s">
        <v>1424</v>
      </c>
      <c r="D1156" t="s">
        <v>296</v>
      </c>
      <c r="E1156" t="s">
        <v>41</v>
      </c>
      <c r="F1156" t="s">
        <v>2395</v>
      </c>
      <c r="G1156" t="s">
        <v>2377</v>
      </c>
      <c r="H1156">
        <v>4000</v>
      </c>
      <c r="I1156">
        <v>2</v>
      </c>
      <c r="J1156">
        <v>20</v>
      </c>
      <c r="K1156">
        <v>8000</v>
      </c>
      <c r="L1156">
        <v>1600</v>
      </c>
      <c r="M1156">
        <v>6400</v>
      </c>
      <c r="N1156">
        <v>79000</v>
      </c>
      <c r="O1156">
        <v>85400</v>
      </c>
      <c r="P1156" t="s">
        <v>35</v>
      </c>
      <c r="Q1156" t="s">
        <v>2357</v>
      </c>
      <c r="R1156" t="s">
        <v>82</v>
      </c>
      <c r="S1156">
        <v>2</v>
      </c>
      <c r="T1156" t="s">
        <v>24</v>
      </c>
      <c r="U1156" t="s">
        <v>2407</v>
      </c>
      <c r="V1156">
        <v>2025</v>
      </c>
      <c r="W1156">
        <v>7</v>
      </c>
    </row>
    <row r="1157" spans="1:23" x14ac:dyDescent="0.25">
      <c r="A1157" t="s">
        <v>2093</v>
      </c>
      <c r="B1157">
        <v>45866.266261574077</v>
      </c>
      <c r="C1157" t="s">
        <v>211</v>
      </c>
      <c r="D1157" t="s">
        <v>49</v>
      </c>
      <c r="E1157" t="s">
        <v>93</v>
      </c>
      <c r="F1157" t="s">
        <v>2399</v>
      </c>
      <c r="G1157" t="s">
        <v>2378</v>
      </c>
      <c r="H1157">
        <v>25000</v>
      </c>
      <c r="I1157">
        <v>4</v>
      </c>
      <c r="J1157">
        <v>10</v>
      </c>
      <c r="K1157">
        <v>100000</v>
      </c>
      <c r="L1157">
        <v>10000</v>
      </c>
      <c r="M1157">
        <v>90000</v>
      </c>
      <c r="N1157">
        <v>43000</v>
      </c>
      <c r="O1157">
        <v>133000</v>
      </c>
      <c r="P1157" t="s">
        <v>29</v>
      </c>
      <c r="Q1157" t="s">
        <v>2359</v>
      </c>
      <c r="R1157" t="s">
        <v>23</v>
      </c>
      <c r="S1157">
        <v>4</v>
      </c>
      <c r="T1157" t="s">
        <v>24</v>
      </c>
      <c r="U1157" t="s">
        <v>2407</v>
      </c>
      <c r="V1157">
        <v>2025</v>
      </c>
      <c r="W1157">
        <v>7</v>
      </c>
    </row>
    <row r="1158" spans="1:23" x14ac:dyDescent="0.25">
      <c r="A1158" t="s">
        <v>2094</v>
      </c>
      <c r="B1158">
        <v>45866.288958333331</v>
      </c>
      <c r="C1158" t="s">
        <v>990</v>
      </c>
      <c r="D1158" t="s">
        <v>173</v>
      </c>
      <c r="E1158" t="s">
        <v>174</v>
      </c>
      <c r="F1158" t="s">
        <v>2400</v>
      </c>
      <c r="G1158" t="s">
        <v>2377</v>
      </c>
      <c r="H1158">
        <v>10000</v>
      </c>
      <c r="I1158">
        <v>2</v>
      </c>
      <c r="J1158">
        <v>10</v>
      </c>
      <c r="K1158">
        <v>20000</v>
      </c>
      <c r="L1158">
        <v>2000</v>
      </c>
      <c r="M1158">
        <v>18000</v>
      </c>
      <c r="N1158">
        <v>49000</v>
      </c>
      <c r="O1158">
        <v>67000</v>
      </c>
      <c r="P1158" t="s">
        <v>63</v>
      </c>
      <c r="Q1158" t="s">
        <v>2357</v>
      </c>
      <c r="R1158" t="s">
        <v>82</v>
      </c>
      <c r="S1158">
        <v>2</v>
      </c>
      <c r="T1158" t="s">
        <v>24</v>
      </c>
      <c r="U1158" t="s">
        <v>2407</v>
      </c>
      <c r="V1158">
        <v>2025</v>
      </c>
      <c r="W1158">
        <v>7</v>
      </c>
    </row>
    <row r="1159" spans="1:23" x14ac:dyDescent="0.25">
      <c r="A1159" t="s">
        <v>2095</v>
      </c>
      <c r="B1159">
        <v>45866.364155092589</v>
      </c>
      <c r="C1159" t="s">
        <v>326</v>
      </c>
      <c r="D1159" t="s">
        <v>262</v>
      </c>
      <c r="E1159" t="s">
        <v>93</v>
      </c>
      <c r="F1159" t="s">
        <v>2399</v>
      </c>
      <c r="G1159" t="s">
        <v>2378</v>
      </c>
      <c r="H1159">
        <v>25000</v>
      </c>
      <c r="I1159">
        <v>4</v>
      </c>
      <c r="J1159">
        <v>10</v>
      </c>
      <c r="K1159">
        <v>100000</v>
      </c>
      <c r="L1159">
        <v>10000</v>
      </c>
      <c r="M1159">
        <v>90000</v>
      </c>
      <c r="N1159">
        <v>18000</v>
      </c>
      <c r="O1159">
        <v>108000</v>
      </c>
      <c r="P1159" t="s">
        <v>29</v>
      </c>
      <c r="Q1159" t="s">
        <v>2357</v>
      </c>
      <c r="R1159" t="s">
        <v>82</v>
      </c>
      <c r="S1159">
        <v>3</v>
      </c>
      <c r="T1159" t="s">
        <v>37</v>
      </c>
      <c r="U1159" t="s">
        <v>2407</v>
      </c>
      <c r="V1159">
        <v>2025</v>
      </c>
      <c r="W1159">
        <v>7</v>
      </c>
    </row>
    <row r="1160" spans="1:23" x14ac:dyDescent="0.25">
      <c r="A1160" t="s">
        <v>2096</v>
      </c>
      <c r="B1160">
        <v>45866.424317129633</v>
      </c>
      <c r="C1160" t="s">
        <v>2097</v>
      </c>
      <c r="D1160" t="s">
        <v>53</v>
      </c>
      <c r="E1160" t="s">
        <v>81</v>
      </c>
      <c r="F1160" t="s">
        <v>2397</v>
      </c>
      <c r="G1160" t="s">
        <v>2378</v>
      </c>
      <c r="H1160">
        <v>17000</v>
      </c>
      <c r="I1160">
        <v>2</v>
      </c>
      <c r="J1160">
        <v>10</v>
      </c>
      <c r="K1160">
        <v>34000</v>
      </c>
      <c r="L1160">
        <v>3400</v>
      </c>
      <c r="M1160">
        <v>30600</v>
      </c>
      <c r="N1160">
        <v>18000</v>
      </c>
      <c r="O1160">
        <v>48600</v>
      </c>
      <c r="P1160" t="s">
        <v>29</v>
      </c>
      <c r="Q1160" t="s">
        <v>2357</v>
      </c>
      <c r="R1160" t="s">
        <v>30</v>
      </c>
      <c r="S1160">
        <v>4</v>
      </c>
      <c r="T1160" t="s">
        <v>24</v>
      </c>
      <c r="U1160" t="s">
        <v>2407</v>
      </c>
      <c r="V1160">
        <v>2025</v>
      </c>
      <c r="W1160">
        <v>7</v>
      </c>
    </row>
    <row r="1161" spans="1:23" x14ac:dyDescent="0.25">
      <c r="A1161" t="s">
        <v>2098</v>
      </c>
      <c r="B1161">
        <v>45866.681296296287</v>
      </c>
      <c r="C1161" t="s">
        <v>557</v>
      </c>
      <c r="D1161" t="s">
        <v>173</v>
      </c>
      <c r="E1161" t="s">
        <v>62</v>
      </c>
      <c r="F1161" t="s">
        <v>2398</v>
      </c>
      <c r="G1161" t="s">
        <v>2378</v>
      </c>
      <c r="H1161">
        <v>50000</v>
      </c>
      <c r="I1161">
        <v>1</v>
      </c>
      <c r="J1161">
        <v>5</v>
      </c>
      <c r="K1161">
        <v>50000</v>
      </c>
      <c r="L1161">
        <v>2500</v>
      </c>
      <c r="M1161">
        <v>47500</v>
      </c>
      <c r="N1161">
        <v>49000</v>
      </c>
      <c r="O1161">
        <v>96500</v>
      </c>
      <c r="P1161" t="s">
        <v>35</v>
      </c>
      <c r="Q1161" t="s">
        <v>2357</v>
      </c>
      <c r="R1161" t="s">
        <v>36</v>
      </c>
      <c r="S1161">
        <v>4</v>
      </c>
      <c r="T1161" t="s">
        <v>24</v>
      </c>
      <c r="U1161" t="s">
        <v>2407</v>
      </c>
      <c r="V1161">
        <v>2025</v>
      </c>
      <c r="W1161">
        <v>7</v>
      </c>
    </row>
    <row r="1162" spans="1:23" x14ac:dyDescent="0.25">
      <c r="A1162" t="s">
        <v>2099</v>
      </c>
      <c r="B1162">
        <v>45866.900381944448</v>
      </c>
      <c r="C1162" t="s">
        <v>359</v>
      </c>
      <c r="D1162" t="s">
        <v>70</v>
      </c>
      <c r="E1162" t="s">
        <v>67</v>
      </c>
      <c r="F1162" t="s">
        <v>2393</v>
      </c>
      <c r="G1162" t="s">
        <v>2378</v>
      </c>
      <c r="H1162">
        <v>15000</v>
      </c>
      <c r="I1162">
        <v>1</v>
      </c>
      <c r="J1162">
        <v>0</v>
      </c>
      <c r="K1162">
        <v>15000</v>
      </c>
      <c r="L1162">
        <v>0</v>
      </c>
      <c r="M1162">
        <v>15000</v>
      </c>
      <c r="N1162">
        <v>89000</v>
      </c>
      <c r="O1162">
        <v>104000</v>
      </c>
      <c r="P1162" t="s">
        <v>35</v>
      </c>
      <c r="Q1162" t="s">
        <v>2357</v>
      </c>
      <c r="R1162" t="s">
        <v>30</v>
      </c>
      <c r="S1162">
        <v>3</v>
      </c>
      <c r="T1162" t="s">
        <v>24</v>
      </c>
      <c r="U1162" t="s">
        <v>2407</v>
      </c>
      <c r="V1162">
        <v>2025</v>
      </c>
      <c r="W1162">
        <v>7</v>
      </c>
    </row>
    <row r="1163" spans="1:23" x14ac:dyDescent="0.25">
      <c r="A1163" t="s">
        <v>2100</v>
      </c>
      <c r="B1163">
        <v>45866.901134259257</v>
      </c>
      <c r="C1163" t="s">
        <v>52</v>
      </c>
      <c r="D1163" t="s">
        <v>53</v>
      </c>
      <c r="E1163" t="s">
        <v>93</v>
      </c>
      <c r="F1163" t="s">
        <v>2399</v>
      </c>
      <c r="G1163" t="s">
        <v>2378</v>
      </c>
      <c r="H1163">
        <v>25000</v>
      </c>
      <c r="I1163">
        <v>1</v>
      </c>
      <c r="J1163">
        <v>20</v>
      </c>
      <c r="K1163">
        <v>25000</v>
      </c>
      <c r="L1163">
        <v>5000</v>
      </c>
      <c r="M1163">
        <v>20000</v>
      </c>
      <c r="N1163">
        <v>18000</v>
      </c>
      <c r="O1163">
        <v>38000</v>
      </c>
      <c r="P1163" t="s">
        <v>63</v>
      </c>
      <c r="Q1163" t="s">
        <v>2357</v>
      </c>
      <c r="R1163" t="s">
        <v>23</v>
      </c>
      <c r="S1163">
        <v>4</v>
      </c>
      <c r="T1163" t="s">
        <v>24</v>
      </c>
      <c r="U1163" t="s">
        <v>2407</v>
      </c>
      <c r="V1163">
        <v>2025</v>
      </c>
      <c r="W1163">
        <v>7</v>
      </c>
    </row>
    <row r="1164" spans="1:23" x14ac:dyDescent="0.25">
      <c r="A1164" t="s">
        <v>2101</v>
      </c>
      <c r="B1164">
        <v>45867.163912037038</v>
      </c>
      <c r="C1164" t="s">
        <v>157</v>
      </c>
      <c r="D1164" t="s">
        <v>20</v>
      </c>
      <c r="E1164" t="s">
        <v>58</v>
      </c>
      <c r="F1164" t="s">
        <v>2396</v>
      </c>
      <c r="G1164" t="s">
        <v>2377</v>
      </c>
      <c r="H1164">
        <v>16000</v>
      </c>
      <c r="I1164">
        <v>3</v>
      </c>
      <c r="J1164">
        <v>15</v>
      </c>
      <c r="K1164">
        <v>48000</v>
      </c>
      <c r="L1164">
        <v>7200</v>
      </c>
      <c r="M1164">
        <v>40800</v>
      </c>
      <c r="N1164">
        <v>15000</v>
      </c>
      <c r="O1164">
        <v>55800</v>
      </c>
      <c r="P1164" t="s">
        <v>35</v>
      </c>
      <c r="Q1164" t="s">
        <v>2357</v>
      </c>
      <c r="R1164" t="s">
        <v>36</v>
      </c>
      <c r="S1164">
        <v>3</v>
      </c>
      <c r="T1164" t="s">
        <v>24</v>
      </c>
      <c r="U1164" t="s">
        <v>2407</v>
      </c>
      <c r="V1164">
        <v>2025</v>
      </c>
      <c r="W1164">
        <v>7</v>
      </c>
    </row>
    <row r="1165" spans="1:23" x14ac:dyDescent="0.25">
      <c r="A1165" t="s">
        <v>2102</v>
      </c>
      <c r="B1165">
        <v>45867.302395833343</v>
      </c>
      <c r="C1165" t="s">
        <v>140</v>
      </c>
      <c r="D1165" t="s">
        <v>92</v>
      </c>
      <c r="E1165" t="s">
        <v>28</v>
      </c>
      <c r="F1165" t="s">
        <v>2395</v>
      </c>
      <c r="G1165" t="s">
        <v>2378</v>
      </c>
      <c r="H1165">
        <v>5000</v>
      </c>
      <c r="I1165">
        <v>2</v>
      </c>
      <c r="J1165">
        <v>15</v>
      </c>
      <c r="K1165">
        <v>10000</v>
      </c>
      <c r="L1165">
        <v>1500</v>
      </c>
      <c r="M1165">
        <v>8500</v>
      </c>
      <c r="N1165">
        <v>30000</v>
      </c>
      <c r="O1165">
        <v>38500</v>
      </c>
      <c r="P1165" t="s">
        <v>35</v>
      </c>
      <c r="Q1165" t="s">
        <v>2357</v>
      </c>
      <c r="R1165" t="s">
        <v>82</v>
      </c>
      <c r="S1165">
        <v>2</v>
      </c>
      <c r="T1165" t="s">
        <v>24</v>
      </c>
      <c r="U1165" t="s">
        <v>2407</v>
      </c>
      <c r="V1165">
        <v>2025</v>
      </c>
      <c r="W1165">
        <v>7</v>
      </c>
    </row>
    <row r="1166" spans="1:23" x14ac:dyDescent="0.25">
      <c r="A1166" t="s">
        <v>2103</v>
      </c>
      <c r="B1166">
        <v>45867.323414351849</v>
      </c>
      <c r="C1166" t="s">
        <v>1313</v>
      </c>
      <c r="D1166" t="s">
        <v>103</v>
      </c>
      <c r="E1166" t="s">
        <v>110</v>
      </c>
      <c r="F1166" t="s">
        <v>2395</v>
      </c>
      <c r="G1166" t="s">
        <v>2379</v>
      </c>
      <c r="H1166">
        <v>6000</v>
      </c>
      <c r="I1166">
        <v>1</v>
      </c>
      <c r="J1166">
        <v>20</v>
      </c>
      <c r="K1166">
        <v>6000</v>
      </c>
      <c r="L1166">
        <v>1200</v>
      </c>
      <c r="M1166">
        <v>4800</v>
      </c>
      <c r="N1166">
        <v>85000</v>
      </c>
      <c r="O1166">
        <v>89800</v>
      </c>
      <c r="P1166" t="s">
        <v>22</v>
      </c>
      <c r="Q1166" t="s">
        <v>2357</v>
      </c>
      <c r="R1166" t="s">
        <v>30</v>
      </c>
      <c r="S1166">
        <v>1</v>
      </c>
      <c r="T1166" t="s">
        <v>24</v>
      </c>
      <c r="U1166" t="s">
        <v>2407</v>
      </c>
      <c r="V1166">
        <v>2025</v>
      </c>
      <c r="W1166">
        <v>7</v>
      </c>
    </row>
    <row r="1167" spans="1:23" x14ac:dyDescent="0.25">
      <c r="A1167" t="s">
        <v>2104</v>
      </c>
      <c r="B1167">
        <v>45867.372615740736</v>
      </c>
      <c r="C1167" t="s">
        <v>225</v>
      </c>
      <c r="D1167" t="s">
        <v>189</v>
      </c>
      <c r="E1167" t="s">
        <v>81</v>
      </c>
      <c r="F1167" t="s">
        <v>2397</v>
      </c>
      <c r="G1167" t="s">
        <v>2378</v>
      </c>
      <c r="H1167">
        <v>17000</v>
      </c>
      <c r="I1167">
        <v>3</v>
      </c>
      <c r="J1167">
        <v>5</v>
      </c>
      <c r="K1167">
        <v>51000</v>
      </c>
      <c r="L1167">
        <v>2550</v>
      </c>
      <c r="M1167">
        <v>48450</v>
      </c>
      <c r="N1167">
        <v>57000</v>
      </c>
      <c r="O1167">
        <v>105450</v>
      </c>
      <c r="P1167" t="s">
        <v>63</v>
      </c>
      <c r="Q1167" t="s">
        <v>2356</v>
      </c>
      <c r="R1167" t="s">
        <v>30</v>
      </c>
      <c r="S1167">
        <v>4</v>
      </c>
      <c r="T1167" t="s">
        <v>37</v>
      </c>
      <c r="U1167" t="s">
        <v>2407</v>
      </c>
      <c r="V1167">
        <v>2025</v>
      </c>
      <c r="W1167">
        <v>7</v>
      </c>
    </row>
    <row r="1168" spans="1:23" x14ac:dyDescent="0.25">
      <c r="A1168" t="s">
        <v>2105</v>
      </c>
      <c r="B1168">
        <v>45867.550405092603</v>
      </c>
      <c r="C1168" t="s">
        <v>1849</v>
      </c>
      <c r="D1168" t="s">
        <v>238</v>
      </c>
      <c r="E1168" t="s">
        <v>136</v>
      </c>
      <c r="F1168" t="s">
        <v>2400</v>
      </c>
      <c r="G1168" t="s">
        <v>2378</v>
      </c>
      <c r="H1168">
        <v>12000</v>
      </c>
      <c r="I1168">
        <v>2</v>
      </c>
      <c r="J1168">
        <v>0</v>
      </c>
      <c r="K1168">
        <v>24000</v>
      </c>
      <c r="L1168">
        <v>0</v>
      </c>
      <c r="M1168">
        <v>24000</v>
      </c>
      <c r="N1168">
        <v>28000</v>
      </c>
      <c r="O1168">
        <v>52000</v>
      </c>
      <c r="P1168" t="s">
        <v>29</v>
      </c>
      <c r="Q1168" t="s">
        <v>2357</v>
      </c>
      <c r="R1168" t="s">
        <v>30</v>
      </c>
      <c r="S1168">
        <v>1</v>
      </c>
      <c r="T1168" t="s">
        <v>24</v>
      </c>
      <c r="U1168" t="s">
        <v>2407</v>
      </c>
      <c r="V1168">
        <v>2025</v>
      </c>
      <c r="W1168">
        <v>7</v>
      </c>
    </row>
    <row r="1169" spans="1:23" x14ac:dyDescent="0.25">
      <c r="A1169" t="s">
        <v>2106</v>
      </c>
      <c r="B1169">
        <v>45867.628530092603</v>
      </c>
      <c r="C1169" t="s">
        <v>389</v>
      </c>
      <c r="D1169" t="s">
        <v>182</v>
      </c>
      <c r="E1169" t="s">
        <v>136</v>
      </c>
      <c r="F1169" t="s">
        <v>2400</v>
      </c>
      <c r="G1169" t="s">
        <v>2378</v>
      </c>
      <c r="H1169">
        <v>12000</v>
      </c>
      <c r="I1169">
        <v>3</v>
      </c>
      <c r="J1169">
        <v>0</v>
      </c>
      <c r="K1169">
        <v>36000</v>
      </c>
      <c r="L1169">
        <v>0</v>
      </c>
      <c r="M1169">
        <v>36000</v>
      </c>
      <c r="N1169">
        <v>48000</v>
      </c>
      <c r="O1169">
        <v>84000</v>
      </c>
      <c r="P1169" t="s">
        <v>22</v>
      </c>
      <c r="Q1169" t="s">
        <v>2356</v>
      </c>
      <c r="R1169" t="s">
        <v>46</v>
      </c>
      <c r="S1169">
        <v>5</v>
      </c>
      <c r="T1169" t="s">
        <v>24</v>
      </c>
      <c r="U1169" t="s">
        <v>2407</v>
      </c>
      <c r="V1169">
        <v>2025</v>
      </c>
      <c r="W1169">
        <v>7</v>
      </c>
    </row>
    <row r="1170" spans="1:23" x14ac:dyDescent="0.25">
      <c r="A1170" t="s">
        <v>2107</v>
      </c>
      <c r="B1170">
        <v>45867.758287037039</v>
      </c>
      <c r="C1170" t="s">
        <v>192</v>
      </c>
      <c r="D1170" t="s">
        <v>107</v>
      </c>
      <c r="E1170" t="s">
        <v>75</v>
      </c>
      <c r="F1170" t="s">
        <v>2398</v>
      </c>
      <c r="G1170" t="s">
        <v>2379</v>
      </c>
      <c r="H1170">
        <v>55000</v>
      </c>
      <c r="I1170">
        <v>3</v>
      </c>
      <c r="J1170">
        <v>0</v>
      </c>
      <c r="K1170">
        <v>165000</v>
      </c>
      <c r="L1170">
        <v>0</v>
      </c>
      <c r="M1170">
        <v>165000</v>
      </c>
      <c r="N1170">
        <v>97000</v>
      </c>
      <c r="O1170">
        <v>262000</v>
      </c>
      <c r="P1170" t="s">
        <v>35</v>
      </c>
      <c r="Q1170" t="s">
        <v>2357</v>
      </c>
      <c r="R1170" t="s">
        <v>46</v>
      </c>
      <c r="S1170">
        <v>1</v>
      </c>
      <c r="T1170" t="s">
        <v>24</v>
      </c>
      <c r="U1170" t="s">
        <v>2407</v>
      </c>
      <c r="V1170">
        <v>2025</v>
      </c>
      <c r="W1170">
        <v>7</v>
      </c>
    </row>
    <row r="1171" spans="1:23" x14ac:dyDescent="0.25">
      <c r="A1171" t="s">
        <v>2108</v>
      </c>
      <c r="B1171">
        <v>45868.071631944447</v>
      </c>
      <c r="C1171" t="s">
        <v>1098</v>
      </c>
      <c r="D1171" t="s">
        <v>126</v>
      </c>
      <c r="E1171" t="s">
        <v>58</v>
      </c>
      <c r="F1171" t="s">
        <v>2396</v>
      </c>
      <c r="G1171" t="s">
        <v>2377</v>
      </c>
      <c r="H1171">
        <v>16000</v>
      </c>
      <c r="I1171">
        <v>5</v>
      </c>
      <c r="J1171">
        <v>5</v>
      </c>
      <c r="K1171">
        <v>80000</v>
      </c>
      <c r="L1171">
        <v>4000</v>
      </c>
      <c r="M1171">
        <v>76000</v>
      </c>
      <c r="N1171">
        <v>84000</v>
      </c>
      <c r="O1171">
        <v>160000</v>
      </c>
      <c r="P1171" t="s">
        <v>35</v>
      </c>
      <c r="Q1171" t="s">
        <v>2356</v>
      </c>
      <c r="R1171" t="s">
        <v>23</v>
      </c>
      <c r="S1171">
        <v>5</v>
      </c>
      <c r="T1171" t="s">
        <v>37</v>
      </c>
      <c r="U1171" t="s">
        <v>2407</v>
      </c>
      <c r="V1171">
        <v>2025</v>
      </c>
      <c r="W1171">
        <v>7</v>
      </c>
    </row>
    <row r="1172" spans="1:23" x14ac:dyDescent="0.25">
      <c r="A1172" t="s">
        <v>2109</v>
      </c>
      <c r="B1172">
        <v>45868.445451388892</v>
      </c>
      <c r="C1172" t="s">
        <v>473</v>
      </c>
      <c r="D1172" t="s">
        <v>122</v>
      </c>
      <c r="E1172" t="s">
        <v>58</v>
      </c>
      <c r="F1172" t="s">
        <v>2396</v>
      </c>
      <c r="G1172" t="s">
        <v>2377</v>
      </c>
      <c r="H1172">
        <v>16000</v>
      </c>
      <c r="I1172">
        <v>2</v>
      </c>
      <c r="J1172">
        <v>15</v>
      </c>
      <c r="K1172">
        <v>32000</v>
      </c>
      <c r="L1172">
        <v>4800</v>
      </c>
      <c r="M1172">
        <v>27200</v>
      </c>
      <c r="N1172">
        <v>78000</v>
      </c>
      <c r="O1172">
        <v>105200</v>
      </c>
      <c r="P1172" t="s">
        <v>35</v>
      </c>
      <c r="Q1172" t="s">
        <v>2356</v>
      </c>
      <c r="R1172" t="s">
        <v>82</v>
      </c>
      <c r="S1172">
        <v>5</v>
      </c>
      <c r="T1172" t="s">
        <v>24</v>
      </c>
      <c r="U1172" t="s">
        <v>2407</v>
      </c>
      <c r="V1172">
        <v>2025</v>
      </c>
      <c r="W1172">
        <v>7</v>
      </c>
    </row>
    <row r="1173" spans="1:23" x14ac:dyDescent="0.25">
      <c r="A1173" t="s">
        <v>2110</v>
      </c>
      <c r="B1173">
        <v>45868.843668981477</v>
      </c>
      <c r="C1173" t="s">
        <v>812</v>
      </c>
      <c r="D1173" t="s">
        <v>33</v>
      </c>
      <c r="E1173" t="s">
        <v>50</v>
      </c>
      <c r="F1173" t="s">
        <v>2400</v>
      </c>
      <c r="G1173" t="s">
        <v>2379</v>
      </c>
      <c r="H1173">
        <v>14000</v>
      </c>
      <c r="I1173">
        <v>3</v>
      </c>
      <c r="J1173">
        <v>0</v>
      </c>
      <c r="K1173">
        <v>42000</v>
      </c>
      <c r="L1173">
        <v>0</v>
      </c>
      <c r="M1173">
        <v>42000</v>
      </c>
      <c r="N1173">
        <v>76000</v>
      </c>
      <c r="O1173">
        <v>118000</v>
      </c>
      <c r="P1173" t="s">
        <v>63</v>
      </c>
      <c r="Q1173" t="s">
        <v>2356</v>
      </c>
      <c r="R1173" t="s">
        <v>82</v>
      </c>
      <c r="S1173">
        <v>3</v>
      </c>
      <c r="T1173" t="s">
        <v>24</v>
      </c>
      <c r="U1173" t="s">
        <v>2407</v>
      </c>
      <c r="V1173">
        <v>2025</v>
      </c>
      <c r="W1173">
        <v>7</v>
      </c>
    </row>
    <row r="1174" spans="1:23" x14ac:dyDescent="0.25">
      <c r="A1174" t="s">
        <v>2111</v>
      </c>
      <c r="B1174">
        <v>45868.919363425928</v>
      </c>
      <c r="C1174" t="s">
        <v>19</v>
      </c>
      <c r="D1174" t="s">
        <v>20</v>
      </c>
      <c r="E1174" t="s">
        <v>85</v>
      </c>
      <c r="F1174" t="s">
        <v>2394</v>
      </c>
      <c r="G1174" t="s">
        <v>2377</v>
      </c>
      <c r="H1174">
        <v>35000</v>
      </c>
      <c r="I1174">
        <v>3</v>
      </c>
      <c r="J1174">
        <v>5</v>
      </c>
      <c r="K1174">
        <v>105000</v>
      </c>
      <c r="L1174">
        <v>5250</v>
      </c>
      <c r="M1174">
        <v>99750</v>
      </c>
      <c r="N1174">
        <v>15000</v>
      </c>
      <c r="O1174">
        <v>114750</v>
      </c>
      <c r="P1174" t="s">
        <v>29</v>
      </c>
      <c r="Q1174" t="s">
        <v>2357</v>
      </c>
      <c r="R1174" t="s">
        <v>30</v>
      </c>
      <c r="S1174">
        <v>2</v>
      </c>
      <c r="T1174" t="s">
        <v>24</v>
      </c>
      <c r="U1174" t="s">
        <v>2407</v>
      </c>
      <c r="V1174">
        <v>2025</v>
      </c>
      <c r="W1174">
        <v>7</v>
      </c>
    </row>
    <row r="1175" spans="1:23" x14ac:dyDescent="0.25">
      <c r="A1175" t="s">
        <v>2112</v>
      </c>
      <c r="B1175">
        <v>45869.196898148148</v>
      </c>
      <c r="C1175" t="s">
        <v>181</v>
      </c>
      <c r="D1175" t="s">
        <v>182</v>
      </c>
      <c r="E1175" t="s">
        <v>123</v>
      </c>
      <c r="F1175" t="s">
        <v>2399</v>
      </c>
      <c r="G1175" t="s">
        <v>2377</v>
      </c>
      <c r="H1175">
        <v>22000</v>
      </c>
      <c r="I1175">
        <v>3</v>
      </c>
      <c r="J1175">
        <v>5</v>
      </c>
      <c r="K1175">
        <v>66000</v>
      </c>
      <c r="L1175">
        <v>3300</v>
      </c>
      <c r="M1175">
        <v>62700</v>
      </c>
      <c r="N1175">
        <v>48000</v>
      </c>
      <c r="O1175">
        <v>110700</v>
      </c>
      <c r="P1175" t="s">
        <v>22</v>
      </c>
      <c r="Q1175" t="s">
        <v>2357</v>
      </c>
      <c r="R1175" t="s">
        <v>82</v>
      </c>
      <c r="S1175">
        <v>2</v>
      </c>
      <c r="T1175" t="s">
        <v>24</v>
      </c>
      <c r="U1175" t="s">
        <v>2407</v>
      </c>
      <c r="V1175">
        <v>2025</v>
      </c>
      <c r="W1175">
        <v>7</v>
      </c>
    </row>
    <row r="1176" spans="1:23" x14ac:dyDescent="0.25">
      <c r="A1176" t="s">
        <v>2113</v>
      </c>
      <c r="B1176">
        <v>45869.816377314812</v>
      </c>
      <c r="C1176" t="s">
        <v>459</v>
      </c>
      <c r="D1176" t="s">
        <v>61</v>
      </c>
      <c r="E1176" t="s">
        <v>186</v>
      </c>
      <c r="F1176" t="s">
        <v>2398</v>
      </c>
      <c r="G1176" t="s">
        <v>2377</v>
      </c>
      <c r="H1176">
        <v>45000</v>
      </c>
      <c r="I1176">
        <v>4</v>
      </c>
      <c r="J1176">
        <v>15</v>
      </c>
      <c r="K1176">
        <v>180000</v>
      </c>
      <c r="L1176">
        <v>27000</v>
      </c>
      <c r="M1176">
        <v>153000</v>
      </c>
      <c r="N1176">
        <v>26000</v>
      </c>
      <c r="O1176">
        <v>179000</v>
      </c>
      <c r="P1176" t="s">
        <v>63</v>
      </c>
      <c r="Q1176" t="s">
        <v>2357</v>
      </c>
      <c r="R1176" t="s">
        <v>82</v>
      </c>
      <c r="S1176">
        <v>5</v>
      </c>
      <c r="T1176" t="s">
        <v>24</v>
      </c>
      <c r="U1176" t="s">
        <v>2407</v>
      </c>
      <c r="V1176">
        <v>2025</v>
      </c>
      <c r="W1176">
        <v>7</v>
      </c>
    </row>
    <row r="1177" spans="1:23" x14ac:dyDescent="0.25">
      <c r="A1177" t="s">
        <v>2114</v>
      </c>
      <c r="B1177">
        <v>45869.988287037027</v>
      </c>
      <c r="C1177" t="s">
        <v>656</v>
      </c>
      <c r="D1177" t="s">
        <v>195</v>
      </c>
      <c r="E1177" t="s">
        <v>104</v>
      </c>
      <c r="F1177" t="s">
        <v>2392</v>
      </c>
      <c r="G1177" t="s">
        <v>2377</v>
      </c>
      <c r="H1177">
        <v>30000</v>
      </c>
      <c r="I1177">
        <v>2</v>
      </c>
      <c r="J1177">
        <v>10</v>
      </c>
      <c r="K1177">
        <v>60000</v>
      </c>
      <c r="L1177">
        <v>6000</v>
      </c>
      <c r="M1177">
        <v>54000</v>
      </c>
      <c r="N1177">
        <v>87000</v>
      </c>
      <c r="O1177">
        <v>141000</v>
      </c>
      <c r="P1177" t="s">
        <v>63</v>
      </c>
      <c r="Q1177" t="s">
        <v>2357</v>
      </c>
      <c r="R1177" t="s">
        <v>23</v>
      </c>
      <c r="S1177">
        <v>4</v>
      </c>
      <c r="T1177" t="s">
        <v>37</v>
      </c>
      <c r="U1177" t="s">
        <v>2407</v>
      </c>
      <c r="V1177">
        <v>2025</v>
      </c>
      <c r="W1177">
        <v>7</v>
      </c>
    </row>
    <row r="1178" spans="1:23" x14ac:dyDescent="0.25">
      <c r="A1178" t="s">
        <v>2115</v>
      </c>
      <c r="B1178">
        <v>45870.3825</v>
      </c>
      <c r="C1178" t="s">
        <v>1985</v>
      </c>
      <c r="D1178" t="s">
        <v>20</v>
      </c>
      <c r="E1178" t="s">
        <v>250</v>
      </c>
      <c r="F1178" t="s">
        <v>2397</v>
      </c>
      <c r="G1178" t="s">
        <v>2379</v>
      </c>
      <c r="H1178">
        <v>18000</v>
      </c>
      <c r="I1178">
        <v>3</v>
      </c>
      <c r="J1178">
        <v>10</v>
      </c>
      <c r="K1178">
        <v>54000</v>
      </c>
      <c r="L1178">
        <v>5400</v>
      </c>
      <c r="M1178">
        <v>48600</v>
      </c>
      <c r="N1178">
        <v>15000</v>
      </c>
      <c r="O1178">
        <v>63600</v>
      </c>
      <c r="P1178" t="s">
        <v>35</v>
      </c>
      <c r="Q1178" t="s">
        <v>2357</v>
      </c>
      <c r="R1178" t="s">
        <v>82</v>
      </c>
      <c r="S1178">
        <v>2</v>
      </c>
      <c r="T1178" t="s">
        <v>24</v>
      </c>
      <c r="U1178" t="s">
        <v>2408</v>
      </c>
      <c r="V1178">
        <v>2025</v>
      </c>
      <c r="W1178">
        <v>8</v>
      </c>
    </row>
    <row r="1179" spans="1:23" x14ac:dyDescent="0.25">
      <c r="A1179" t="s">
        <v>2116</v>
      </c>
      <c r="B1179">
        <v>45870.79791666667</v>
      </c>
      <c r="C1179" t="s">
        <v>1038</v>
      </c>
      <c r="D1179" t="s">
        <v>53</v>
      </c>
      <c r="E1179" t="s">
        <v>62</v>
      </c>
      <c r="F1179" t="s">
        <v>2398</v>
      </c>
      <c r="G1179" t="s">
        <v>2378</v>
      </c>
      <c r="H1179">
        <v>50000</v>
      </c>
      <c r="I1179">
        <v>3</v>
      </c>
      <c r="J1179">
        <v>20</v>
      </c>
      <c r="K1179">
        <v>150000</v>
      </c>
      <c r="L1179">
        <v>30000</v>
      </c>
      <c r="M1179">
        <v>120000</v>
      </c>
      <c r="N1179">
        <v>18000</v>
      </c>
      <c r="O1179">
        <v>138000</v>
      </c>
      <c r="P1179" t="s">
        <v>22</v>
      </c>
      <c r="Q1179" t="s">
        <v>2358</v>
      </c>
      <c r="R1179" t="s">
        <v>30</v>
      </c>
      <c r="S1179">
        <v>3</v>
      </c>
      <c r="T1179" t="s">
        <v>24</v>
      </c>
      <c r="U1179" t="s">
        <v>2408</v>
      </c>
      <c r="V1179">
        <v>2025</v>
      </c>
      <c r="W1179">
        <v>8</v>
      </c>
    </row>
    <row r="1180" spans="1:23" x14ac:dyDescent="0.25">
      <c r="A1180" t="s">
        <v>2117</v>
      </c>
      <c r="B1180">
        <v>45871.337280092594</v>
      </c>
      <c r="C1180" t="s">
        <v>368</v>
      </c>
      <c r="D1180" t="s">
        <v>113</v>
      </c>
      <c r="E1180" t="s">
        <v>34</v>
      </c>
      <c r="F1180" t="s">
        <v>2397</v>
      </c>
      <c r="G1180" t="s">
        <v>2377</v>
      </c>
      <c r="H1180">
        <v>16000</v>
      </c>
      <c r="I1180">
        <v>4</v>
      </c>
      <c r="J1180">
        <v>5</v>
      </c>
      <c r="K1180">
        <v>64000</v>
      </c>
      <c r="L1180">
        <v>3200</v>
      </c>
      <c r="M1180">
        <v>60800</v>
      </c>
      <c r="N1180">
        <v>18000</v>
      </c>
      <c r="O1180">
        <v>78800</v>
      </c>
      <c r="P1180" t="s">
        <v>22</v>
      </c>
      <c r="Q1180" t="s">
        <v>2358</v>
      </c>
      <c r="R1180" t="s">
        <v>30</v>
      </c>
      <c r="S1180">
        <v>5</v>
      </c>
      <c r="T1180" t="s">
        <v>37</v>
      </c>
      <c r="U1180" t="s">
        <v>2408</v>
      </c>
      <c r="V1180">
        <v>2025</v>
      </c>
      <c r="W1180">
        <v>8</v>
      </c>
    </row>
    <row r="1181" spans="1:23" x14ac:dyDescent="0.25">
      <c r="A1181" t="s">
        <v>2118</v>
      </c>
      <c r="B1181">
        <v>45871.490358796298</v>
      </c>
      <c r="C1181" t="s">
        <v>683</v>
      </c>
      <c r="D1181" t="s">
        <v>27</v>
      </c>
      <c r="E1181" t="s">
        <v>250</v>
      </c>
      <c r="F1181" t="s">
        <v>2397</v>
      </c>
      <c r="G1181" t="s">
        <v>2379</v>
      </c>
      <c r="H1181">
        <v>18000</v>
      </c>
      <c r="I1181">
        <v>3</v>
      </c>
      <c r="J1181">
        <v>0</v>
      </c>
      <c r="K1181">
        <v>54000</v>
      </c>
      <c r="L1181">
        <v>0</v>
      </c>
      <c r="M1181">
        <v>54000</v>
      </c>
      <c r="N1181">
        <v>17000</v>
      </c>
      <c r="O1181">
        <v>71000</v>
      </c>
      <c r="P1181" t="s">
        <v>35</v>
      </c>
      <c r="Q1181" t="s">
        <v>2360</v>
      </c>
      <c r="R1181" t="s">
        <v>36</v>
      </c>
      <c r="S1181">
        <v>4</v>
      </c>
      <c r="T1181" t="s">
        <v>37</v>
      </c>
      <c r="U1181" t="s">
        <v>2408</v>
      </c>
      <c r="V1181">
        <v>2025</v>
      </c>
      <c r="W1181">
        <v>8</v>
      </c>
    </row>
    <row r="1182" spans="1:23" x14ac:dyDescent="0.25">
      <c r="A1182" t="s">
        <v>2119</v>
      </c>
      <c r="B1182">
        <v>45871.750162037039</v>
      </c>
      <c r="C1182" t="s">
        <v>644</v>
      </c>
      <c r="D1182" t="s">
        <v>244</v>
      </c>
      <c r="E1182" t="s">
        <v>104</v>
      </c>
      <c r="F1182" t="s">
        <v>2392</v>
      </c>
      <c r="G1182" t="s">
        <v>2377</v>
      </c>
      <c r="H1182">
        <v>30000</v>
      </c>
      <c r="I1182">
        <v>4</v>
      </c>
      <c r="J1182">
        <v>0</v>
      </c>
      <c r="K1182">
        <v>120000</v>
      </c>
      <c r="L1182">
        <v>0</v>
      </c>
      <c r="M1182">
        <v>120000</v>
      </c>
      <c r="N1182">
        <v>80000</v>
      </c>
      <c r="O1182">
        <v>200000</v>
      </c>
      <c r="P1182" t="s">
        <v>63</v>
      </c>
      <c r="Q1182" t="s">
        <v>2360</v>
      </c>
      <c r="R1182" t="s">
        <v>30</v>
      </c>
      <c r="S1182">
        <v>5</v>
      </c>
      <c r="T1182" t="s">
        <v>24</v>
      </c>
      <c r="U1182" t="s">
        <v>2408</v>
      </c>
      <c r="V1182">
        <v>2025</v>
      </c>
      <c r="W1182">
        <v>8</v>
      </c>
    </row>
    <row r="1183" spans="1:23" x14ac:dyDescent="0.25">
      <c r="A1183" t="s">
        <v>2120</v>
      </c>
      <c r="B1183">
        <v>45872.077731481477</v>
      </c>
      <c r="C1183" t="s">
        <v>176</v>
      </c>
      <c r="D1183" t="s">
        <v>177</v>
      </c>
      <c r="E1183" t="s">
        <v>93</v>
      </c>
      <c r="F1183" t="s">
        <v>2399</v>
      </c>
      <c r="G1183" t="s">
        <v>2378</v>
      </c>
      <c r="H1183">
        <v>25000</v>
      </c>
      <c r="I1183">
        <v>1</v>
      </c>
      <c r="J1183">
        <v>20</v>
      </c>
      <c r="K1183">
        <v>25000</v>
      </c>
      <c r="L1183">
        <v>5000</v>
      </c>
      <c r="M1183">
        <v>20000</v>
      </c>
      <c r="N1183">
        <v>56000</v>
      </c>
      <c r="O1183">
        <v>76000</v>
      </c>
      <c r="P1183" t="s">
        <v>35</v>
      </c>
      <c r="Q1183" t="s">
        <v>2360</v>
      </c>
      <c r="R1183" t="s">
        <v>46</v>
      </c>
      <c r="S1183">
        <v>5</v>
      </c>
      <c r="T1183" t="s">
        <v>24</v>
      </c>
      <c r="U1183" t="s">
        <v>2408</v>
      </c>
      <c r="V1183">
        <v>2025</v>
      </c>
      <c r="W1183">
        <v>8</v>
      </c>
    </row>
    <row r="1184" spans="1:23" x14ac:dyDescent="0.25">
      <c r="A1184" t="s">
        <v>2121</v>
      </c>
      <c r="B1184">
        <v>45872.096770833326</v>
      </c>
      <c r="C1184" t="s">
        <v>311</v>
      </c>
      <c r="D1184" t="s">
        <v>116</v>
      </c>
      <c r="E1184" t="s">
        <v>21</v>
      </c>
      <c r="F1184" t="s">
        <v>2394</v>
      </c>
      <c r="G1184" t="s">
        <v>2379</v>
      </c>
      <c r="H1184">
        <v>45000</v>
      </c>
      <c r="I1184">
        <v>5</v>
      </c>
      <c r="J1184">
        <v>0</v>
      </c>
      <c r="K1184">
        <v>225000</v>
      </c>
      <c r="L1184">
        <v>0</v>
      </c>
      <c r="M1184">
        <v>225000</v>
      </c>
      <c r="N1184">
        <v>72000</v>
      </c>
      <c r="O1184">
        <v>297000</v>
      </c>
      <c r="P1184" t="s">
        <v>29</v>
      </c>
      <c r="Q1184" t="s">
        <v>2356</v>
      </c>
      <c r="R1184" t="s">
        <v>30</v>
      </c>
      <c r="S1184">
        <v>3</v>
      </c>
      <c r="T1184" t="s">
        <v>24</v>
      </c>
      <c r="U1184" t="s">
        <v>2408</v>
      </c>
      <c r="V1184">
        <v>2025</v>
      </c>
      <c r="W1184">
        <v>8</v>
      </c>
    </row>
    <row r="1185" spans="1:23" x14ac:dyDescent="0.25">
      <c r="A1185" t="s">
        <v>2122</v>
      </c>
      <c r="B1185">
        <v>45872.123749999999</v>
      </c>
      <c r="C1185" t="s">
        <v>118</v>
      </c>
      <c r="D1185" t="s">
        <v>119</v>
      </c>
      <c r="E1185" t="s">
        <v>250</v>
      </c>
      <c r="F1185" t="s">
        <v>2397</v>
      </c>
      <c r="G1185" t="s">
        <v>2379</v>
      </c>
      <c r="H1185">
        <v>18000</v>
      </c>
      <c r="I1185">
        <v>4</v>
      </c>
      <c r="J1185">
        <v>5</v>
      </c>
      <c r="K1185">
        <v>72000</v>
      </c>
      <c r="L1185">
        <v>3600</v>
      </c>
      <c r="M1185">
        <v>68400</v>
      </c>
      <c r="N1185">
        <v>0</v>
      </c>
      <c r="O1185">
        <v>68400</v>
      </c>
      <c r="P1185" t="s">
        <v>29</v>
      </c>
      <c r="Q1185" t="s">
        <v>2357</v>
      </c>
      <c r="R1185" t="s">
        <v>46</v>
      </c>
      <c r="S1185">
        <v>3</v>
      </c>
      <c r="T1185" t="s">
        <v>24</v>
      </c>
      <c r="U1185" t="s">
        <v>2408</v>
      </c>
      <c r="V1185">
        <v>2025</v>
      </c>
      <c r="W1185">
        <v>8</v>
      </c>
    </row>
    <row r="1186" spans="1:23" x14ac:dyDescent="0.25">
      <c r="A1186" t="s">
        <v>2123</v>
      </c>
      <c r="B1186">
        <v>45872.378136574072</v>
      </c>
      <c r="C1186" t="s">
        <v>2124</v>
      </c>
      <c r="D1186" t="s">
        <v>151</v>
      </c>
      <c r="E1186" t="s">
        <v>186</v>
      </c>
      <c r="F1186" t="s">
        <v>2398</v>
      </c>
      <c r="G1186" t="s">
        <v>2377</v>
      </c>
      <c r="H1186">
        <v>45000</v>
      </c>
      <c r="I1186">
        <v>1</v>
      </c>
      <c r="J1186">
        <v>5</v>
      </c>
      <c r="K1186">
        <v>45000</v>
      </c>
      <c r="L1186">
        <v>2250</v>
      </c>
      <c r="M1186">
        <v>42750</v>
      </c>
      <c r="N1186">
        <v>55000</v>
      </c>
      <c r="O1186">
        <v>97750</v>
      </c>
      <c r="P1186" t="s">
        <v>35</v>
      </c>
      <c r="Q1186" t="s">
        <v>2357</v>
      </c>
      <c r="R1186" t="s">
        <v>46</v>
      </c>
      <c r="S1186">
        <v>1</v>
      </c>
      <c r="T1186" t="s">
        <v>37</v>
      </c>
      <c r="U1186" t="s">
        <v>2408</v>
      </c>
      <c r="V1186">
        <v>2025</v>
      </c>
      <c r="W1186">
        <v>8</v>
      </c>
    </row>
    <row r="1187" spans="1:23" x14ac:dyDescent="0.25">
      <c r="A1187" t="s">
        <v>2125</v>
      </c>
      <c r="B1187">
        <v>45872.387523148151</v>
      </c>
      <c r="C1187" t="s">
        <v>860</v>
      </c>
      <c r="D1187" t="s">
        <v>44</v>
      </c>
      <c r="E1187" t="s">
        <v>88</v>
      </c>
      <c r="F1187" t="s">
        <v>2393</v>
      </c>
      <c r="G1187" t="s">
        <v>2377</v>
      </c>
      <c r="H1187">
        <v>14000</v>
      </c>
      <c r="I1187">
        <v>1</v>
      </c>
      <c r="J1187">
        <v>5</v>
      </c>
      <c r="K1187">
        <v>14000</v>
      </c>
      <c r="L1187">
        <v>700</v>
      </c>
      <c r="M1187">
        <v>13300</v>
      </c>
      <c r="N1187">
        <v>93000</v>
      </c>
      <c r="O1187">
        <v>106300</v>
      </c>
      <c r="P1187" t="s">
        <v>22</v>
      </c>
      <c r="Q1187" t="s">
        <v>2356</v>
      </c>
      <c r="R1187" t="s">
        <v>36</v>
      </c>
      <c r="S1187">
        <v>2</v>
      </c>
      <c r="T1187" t="s">
        <v>37</v>
      </c>
      <c r="U1187" t="s">
        <v>2408</v>
      </c>
      <c r="V1187">
        <v>2025</v>
      </c>
      <c r="W1187">
        <v>8</v>
      </c>
    </row>
    <row r="1188" spans="1:23" x14ac:dyDescent="0.25">
      <c r="A1188" t="s">
        <v>2126</v>
      </c>
      <c r="B1188">
        <v>45872.414965277778</v>
      </c>
      <c r="C1188" t="s">
        <v>570</v>
      </c>
      <c r="D1188" t="s">
        <v>80</v>
      </c>
      <c r="E1188" t="s">
        <v>62</v>
      </c>
      <c r="F1188" t="s">
        <v>2398</v>
      </c>
      <c r="G1188" t="s">
        <v>2378</v>
      </c>
      <c r="H1188">
        <v>50000</v>
      </c>
      <c r="I1188">
        <v>5</v>
      </c>
      <c r="J1188">
        <v>10</v>
      </c>
      <c r="K1188">
        <v>250000</v>
      </c>
      <c r="L1188">
        <v>25000</v>
      </c>
      <c r="M1188">
        <v>225000</v>
      </c>
      <c r="N1188">
        <v>74000</v>
      </c>
      <c r="O1188">
        <v>299000</v>
      </c>
      <c r="P1188" t="s">
        <v>63</v>
      </c>
      <c r="Q1188" t="s">
        <v>2358</v>
      </c>
      <c r="R1188" t="s">
        <v>30</v>
      </c>
      <c r="S1188">
        <v>5</v>
      </c>
      <c r="T1188" t="s">
        <v>24</v>
      </c>
      <c r="U1188" t="s">
        <v>2408</v>
      </c>
      <c r="V1188">
        <v>2025</v>
      </c>
      <c r="W1188">
        <v>8</v>
      </c>
    </row>
    <row r="1189" spans="1:23" x14ac:dyDescent="0.25">
      <c r="A1189" t="s">
        <v>2126</v>
      </c>
      <c r="B1189">
        <v>45872.414965277778</v>
      </c>
      <c r="C1189" t="s">
        <v>570</v>
      </c>
      <c r="D1189" t="s">
        <v>80</v>
      </c>
      <c r="E1189" t="s">
        <v>41</v>
      </c>
      <c r="F1189" t="s">
        <v>2395</v>
      </c>
      <c r="G1189" t="s">
        <v>2377</v>
      </c>
      <c r="H1189">
        <v>4000</v>
      </c>
      <c r="I1189">
        <v>2</v>
      </c>
      <c r="J1189">
        <v>0</v>
      </c>
      <c r="K1189">
        <v>8000</v>
      </c>
      <c r="L1189">
        <v>0</v>
      </c>
      <c r="M1189">
        <v>8000</v>
      </c>
      <c r="N1189">
        <v>0</v>
      </c>
      <c r="O1189">
        <v>8000</v>
      </c>
      <c r="P1189" t="s">
        <v>63</v>
      </c>
      <c r="Q1189" t="s">
        <v>2358</v>
      </c>
      <c r="R1189" t="s">
        <v>30</v>
      </c>
      <c r="S1189">
        <v>5</v>
      </c>
      <c r="T1189" t="s">
        <v>24</v>
      </c>
      <c r="U1189" t="s">
        <v>2408</v>
      </c>
      <c r="V1189">
        <v>2025</v>
      </c>
      <c r="W1189">
        <v>8</v>
      </c>
    </row>
    <row r="1190" spans="1:23" x14ac:dyDescent="0.25">
      <c r="A1190" t="s">
        <v>2127</v>
      </c>
      <c r="B1190">
        <v>45872.512638888889</v>
      </c>
      <c r="C1190" t="s">
        <v>1263</v>
      </c>
      <c r="D1190" t="s">
        <v>435</v>
      </c>
      <c r="E1190" t="s">
        <v>136</v>
      </c>
      <c r="F1190" t="s">
        <v>2400</v>
      </c>
      <c r="G1190" t="s">
        <v>2378</v>
      </c>
      <c r="H1190">
        <v>12000</v>
      </c>
      <c r="I1190">
        <v>4</v>
      </c>
      <c r="J1190">
        <v>20</v>
      </c>
      <c r="K1190">
        <v>48000</v>
      </c>
      <c r="L1190">
        <v>9600</v>
      </c>
      <c r="M1190">
        <v>38400</v>
      </c>
      <c r="N1190">
        <v>67000</v>
      </c>
      <c r="O1190">
        <v>105400</v>
      </c>
      <c r="P1190" t="s">
        <v>63</v>
      </c>
      <c r="Q1190" t="s">
        <v>2357</v>
      </c>
      <c r="R1190" t="s">
        <v>23</v>
      </c>
      <c r="S1190">
        <v>1</v>
      </c>
      <c r="T1190" t="s">
        <v>24</v>
      </c>
      <c r="U1190" t="s">
        <v>2408</v>
      </c>
      <c r="V1190">
        <v>2025</v>
      </c>
      <c r="W1190">
        <v>8</v>
      </c>
    </row>
    <row r="1191" spans="1:23" x14ac:dyDescent="0.25">
      <c r="A1191" t="s">
        <v>2128</v>
      </c>
      <c r="B1191">
        <v>45872.690312500003</v>
      </c>
      <c r="C1191" t="s">
        <v>179</v>
      </c>
      <c r="D1191" t="s">
        <v>66</v>
      </c>
      <c r="E1191" t="s">
        <v>67</v>
      </c>
      <c r="F1191" t="s">
        <v>2393</v>
      </c>
      <c r="G1191" t="s">
        <v>2378</v>
      </c>
      <c r="H1191">
        <v>15000</v>
      </c>
      <c r="I1191">
        <v>3</v>
      </c>
      <c r="J1191">
        <v>15</v>
      </c>
      <c r="K1191">
        <v>45000</v>
      </c>
      <c r="L1191">
        <v>6750</v>
      </c>
      <c r="M1191">
        <v>38250</v>
      </c>
      <c r="N1191">
        <v>59000</v>
      </c>
      <c r="O1191">
        <v>97250</v>
      </c>
      <c r="P1191" t="s">
        <v>22</v>
      </c>
      <c r="Q1191" t="s">
        <v>2357</v>
      </c>
      <c r="R1191" t="s">
        <v>46</v>
      </c>
      <c r="S1191">
        <v>2</v>
      </c>
      <c r="T1191" t="s">
        <v>24</v>
      </c>
      <c r="U1191" t="s">
        <v>2408</v>
      </c>
      <c r="V1191">
        <v>2025</v>
      </c>
      <c r="W1191">
        <v>8</v>
      </c>
    </row>
    <row r="1192" spans="1:23" x14ac:dyDescent="0.25">
      <c r="A1192" t="s">
        <v>2129</v>
      </c>
      <c r="B1192">
        <v>45872.704386574071</v>
      </c>
      <c r="C1192" t="s">
        <v>133</v>
      </c>
      <c r="D1192" t="s">
        <v>33</v>
      </c>
      <c r="E1192" t="s">
        <v>88</v>
      </c>
      <c r="F1192" t="s">
        <v>2393</v>
      </c>
      <c r="G1192" t="s">
        <v>2377</v>
      </c>
      <c r="H1192">
        <v>14000</v>
      </c>
      <c r="I1192">
        <v>2</v>
      </c>
      <c r="J1192">
        <v>0</v>
      </c>
      <c r="K1192">
        <v>28000</v>
      </c>
      <c r="L1192">
        <v>0</v>
      </c>
      <c r="M1192">
        <v>28000</v>
      </c>
      <c r="N1192">
        <v>76000</v>
      </c>
      <c r="O1192">
        <v>104000</v>
      </c>
      <c r="P1192" t="s">
        <v>22</v>
      </c>
      <c r="Q1192" t="s">
        <v>2360</v>
      </c>
      <c r="R1192" t="s">
        <v>82</v>
      </c>
      <c r="S1192">
        <v>4</v>
      </c>
      <c r="T1192" t="s">
        <v>24</v>
      </c>
      <c r="U1192" t="s">
        <v>2408</v>
      </c>
      <c r="V1192">
        <v>2025</v>
      </c>
      <c r="W1192">
        <v>8</v>
      </c>
    </row>
    <row r="1193" spans="1:23" x14ac:dyDescent="0.25">
      <c r="A1193" t="s">
        <v>2130</v>
      </c>
      <c r="B1193">
        <v>45873.405289351853</v>
      </c>
      <c r="C1193" t="s">
        <v>549</v>
      </c>
      <c r="D1193" t="s">
        <v>107</v>
      </c>
      <c r="E1193" t="s">
        <v>58</v>
      </c>
      <c r="F1193" t="s">
        <v>2396</v>
      </c>
      <c r="G1193" t="s">
        <v>2377</v>
      </c>
      <c r="H1193">
        <v>16000</v>
      </c>
      <c r="I1193">
        <v>1</v>
      </c>
      <c r="J1193">
        <v>5</v>
      </c>
      <c r="K1193">
        <v>16000</v>
      </c>
      <c r="L1193">
        <v>800</v>
      </c>
      <c r="M1193">
        <v>15200</v>
      </c>
      <c r="N1193">
        <v>97000</v>
      </c>
      <c r="O1193">
        <v>112200</v>
      </c>
      <c r="P1193" t="s">
        <v>29</v>
      </c>
      <c r="Q1193" t="s">
        <v>2357</v>
      </c>
      <c r="R1193" t="s">
        <v>30</v>
      </c>
      <c r="S1193">
        <v>2</v>
      </c>
      <c r="T1193" t="s">
        <v>24</v>
      </c>
      <c r="U1193" t="s">
        <v>2408</v>
      </c>
      <c r="V1193">
        <v>2025</v>
      </c>
      <c r="W1193">
        <v>8</v>
      </c>
    </row>
    <row r="1194" spans="1:23" x14ac:dyDescent="0.25">
      <c r="A1194" t="s">
        <v>2131</v>
      </c>
      <c r="B1194">
        <v>45873.464270833327</v>
      </c>
      <c r="C1194" t="s">
        <v>203</v>
      </c>
      <c r="D1194" t="s">
        <v>20</v>
      </c>
      <c r="E1194" t="s">
        <v>250</v>
      </c>
      <c r="F1194" t="s">
        <v>2397</v>
      </c>
      <c r="G1194" t="s">
        <v>2379</v>
      </c>
      <c r="H1194">
        <v>18000</v>
      </c>
      <c r="I1194">
        <v>4</v>
      </c>
      <c r="J1194">
        <v>15</v>
      </c>
      <c r="K1194">
        <v>72000</v>
      </c>
      <c r="L1194">
        <v>10800</v>
      </c>
      <c r="M1194">
        <v>61200</v>
      </c>
      <c r="N1194">
        <v>15000</v>
      </c>
      <c r="O1194">
        <v>76200</v>
      </c>
      <c r="P1194" t="s">
        <v>22</v>
      </c>
      <c r="Q1194" t="s">
        <v>2357</v>
      </c>
      <c r="R1194" t="s">
        <v>82</v>
      </c>
      <c r="S1194">
        <v>1</v>
      </c>
      <c r="T1194" t="s">
        <v>24</v>
      </c>
      <c r="U1194" t="s">
        <v>2408</v>
      </c>
      <c r="V1194">
        <v>2025</v>
      </c>
      <c r="W1194">
        <v>8</v>
      </c>
    </row>
    <row r="1195" spans="1:23" x14ac:dyDescent="0.25">
      <c r="A1195" t="s">
        <v>2132</v>
      </c>
      <c r="B1195">
        <v>45873.633842592593</v>
      </c>
      <c r="C1195" t="s">
        <v>394</v>
      </c>
      <c r="D1195" t="s">
        <v>53</v>
      </c>
      <c r="E1195" t="s">
        <v>190</v>
      </c>
      <c r="F1195" t="s">
        <v>2392</v>
      </c>
      <c r="G1195" t="s">
        <v>2378</v>
      </c>
      <c r="H1195">
        <v>35000</v>
      </c>
      <c r="I1195">
        <v>4</v>
      </c>
      <c r="J1195">
        <v>20</v>
      </c>
      <c r="K1195">
        <v>140000</v>
      </c>
      <c r="L1195">
        <v>28000</v>
      </c>
      <c r="M1195">
        <v>112000</v>
      </c>
      <c r="N1195">
        <v>18000</v>
      </c>
      <c r="O1195">
        <v>130000</v>
      </c>
      <c r="P1195" t="s">
        <v>29</v>
      </c>
      <c r="Q1195" t="s">
        <v>2357</v>
      </c>
      <c r="R1195" t="s">
        <v>36</v>
      </c>
      <c r="S1195">
        <v>5</v>
      </c>
      <c r="T1195" t="s">
        <v>24</v>
      </c>
      <c r="U1195" t="s">
        <v>2408</v>
      </c>
      <c r="V1195">
        <v>2025</v>
      </c>
      <c r="W1195">
        <v>8</v>
      </c>
    </row>
    <row r="1196" spans="1:23" x14ac:dyDescent="0.25">
      <c r="A1196" t="s">
        <v>2133</v>
      </c>
      <c r="B1196">
        <v>45873.718784722223</v>
      </c>
      <c r="C1196" t="s">
        <v>398</v>
      </c>
      <c r="D1196" t="s">
        <v>182</v>
      </c>
      <c r="E1196" t="s">
        <v>186</v>
      </c>
      <c r="F1196" t="s">
        <v>2398</v>
      </c>
      <c r="G1196" t="s">
        <v>2377</v>
      </c>
      <c r="H1196">
        <v>45000</v>
      </c>
      <c r="I1196">
        <v>4</v>
      </c>
      <c r="J1196">
        <v>15</v>
      </c>
      <c r="K1196">
        <v>180000</v>
      </c>
      <c r="L1196">
        <v>27000</v>
      </c>
      <c r="M1196">
        <v>153000</v>
      </c>
      <c r="N1196">
        <v>48000</v>
      </c>
      <c r="O1196">
        <v>201000</v>
      </c>
      <c r="P1196" t="s">
        <v>29</v>
      </c>
      <c r="Q1196" t="s">
        <v>2357</v>
      </c>
      <c r="R1196" t="s">
        <v>82</v>
      </c>
      <c r="S1196">
        <v>5</v>
      </c>
      <c r="T1196" t="s">
        <v>24</v>
      </c>
      <c r="U1196" t="s">
        <v>2408</v>
      </c>
      <c r="V1196">
        <v>2025</v>
      </c>
      <c r="W1196">
        <v>8</v>
      </c>
    </row>
    <row r="1197" spans="1:23" x14ac:dyDescent="0.25">
      <c r="A1197" t="s">
        <v>2134</v>
      </c>
      <c r="B1197">
        <v>45873.952962962961</v>
      </c>
      <c r="C1197" t="s">
        <v>431</v>
      </c>
      <c r="D1197" t="s">
        <v>33</v>
      </c>
      <c r="E1197" t="s">
        <v>85</v>
      </c>
      <c r="F1197" t="s">
        <v>2394</v>
      </c>
      <c r="G1197" t="s">
        <v>2377</v>
      </c>
      <c r="H1197">
        <v>35000</v>
      </c>
      <c r="I1197">
        <v>5</v>
      </c>
      <c r="J1197">
        <v>5</v>
      </c>
      <c r="K1197">
        <v>175000</v>
      </c>
      <c r="L1197">
        <v>8750</v>
      </c>
      <c r="M1197">
        <v>166250</v>
      </c>
      <c r="N1197">
        <v>76000</v>
      </c>
      <c r="O1197">
        <v>242250</v>
      </c>
      <c r="P1197" t="s">
        <v>29</v>
      </c>
      <c r="Q1197" t="s">
        <v>2358</v>
      </c>
      <c r="R1197" t="s">
        <v>36</v>
      </c>
      <c r="S1197">
        <v>5</v>
      </c>
      <c r="T1197" t="s">
        <v>24</v>
      </c>
      <c r="U1197" t="s">
        <v>2408</v>
      </c>
      <c r="V1197">
        <v>2025</v>
      </c>
      <c r="W1197">
        <v>8</v>
      </c>
    </row>
    <row r="1198" spans="1:23" x14ac:dyDescent="0.25">
      <c r="A1198" t="s">
        <v>2135</v>
      </c>
      <c r="B1198">
        <v>45874.015775462962</v>
      </c>
      <c r="C1198" t="s">
        <v>201</v>
      </c>
      <c r="D1198" t="s">
        <v>107</v>
      </c>
      <c r="E1198" t="s">
        <v>28</v>
      </c>
      <c r="F1198" t="s">
        <v>2395</v>
      </c>
      <c r="G1198" t="s">
        <v>2378</v>
      </c>
      <c r="H1198">
        <v>5000</v>
      </c>
      <c r="I1198">
        <v>3</v>
      </c>
      <c r="J1198">
        <v>10</v>
      </c>
      <c r="K1198">
        <v>15000</v>
      </c>
      <c r="L1198">
        <v>1500</v>
      </c>
      <c r="M1198">
        <v>13500</v>
      </c>
      <c r="N1198">
        <v>97000</v>
      </c>
      <c r="O1198">
        <v>110500</v>
      </c>
      <c r="P1198" t="s">
        <v>35</v>
      </c>
      <c r="Q1198" t="s">
        <v>2357</v>
      </c>
      <c r="R1198" t="s">
        <v>82</v>
      </c>
      <c r="S1198">
        <v>5</v>
      </c>
      <c r="T1198" t="s">
        <v>24</v>
      </c>
      <c r="U1198" t="s">
        <v>2408</v>
      </c>
      <c r="V1198">
        <v>2025</v>
      </c>
      <c r="W1198">
        <v>8</v>
      </c>
    </row>
    <row r="1199" spans="1:23" x14ac:dyDescent="0.25">
      <c r="A1199" t="s">
        <v>2135</v>
      </c>
      <c r="B1199">
        <v>45874.015775462962</v>
      </c>
      <c r="C1199" t="s">
        <v>201</v>
      </c>
      <c r="D1199" t="s">
        <v>107</v>
      </c>
      <c r="E1199" t="s">
        <v>136</v>
      </c>
      <c r="F1199" t="s">
        <v>2400</v>
      </c>
      <c r="G1199" t="s">
        <v>2378</v>
      </c>
      <c r="H1199">
        <v>12000</v>
      </c>
      <c r="I1199">
        <v>4</v>
      </c>
      <c r="J1199">
        <v>0</v>
      </c>
      <c r="K1199">
        <v>48000</v>
      </c>
      <c r="L1199">
        <v>0</v>
      </c>
      <c r="M1199">
        <v>48000</v>
      </c>
      <c r="N1199">
        <v>0</v>
      </c>
      <c r="O1199">
        <v>48000</v>
      </c>
      <c r="P1199" t="s">
        <v>35</v>
      </c>
      <c r="Q1199" t="s">
        <v>2357</v>
      </c>
      <c r="R1199" t="s">
        <v>82</v>
      </c>
      <c r="S1199">
        <v>5</v>
      </c>
      <c r="T1199" t="s">
        <v>24</v>
      </c>
      <c r="U1199" t="s">
        <v>2408</v>
      </c>
      <c r="V1199">
        <v>2025</v>
      </c>
      <c r="W1199">
        <v>8</v>
      </c>
    </row>
    <row r="1200" spans="1:23" x14ac:dyDescent="0.25">
      <c r="A1200" t="s">
        <v>2136</v>
      </c>
      <c r="B1200">
        <v>45874.054560185177</v>
      </c>
      <c r="C1200" t="s">
        <v>1259</v>
      </c>
      <c r="D1200" t="s">
        <v>107</v>
      </c>
      <c r="E1200" t="s">
        <v>50</v>
      </c>
      <c r="F1200" t="s">
        <v>2400</v>
      </c>
      <c r="G1200" t="s">
        <v>2379</v>
      </c>
      <c r="H1200">
        <v>14000</v>
      </c>
      <c r="I1200">
        <v>4</v>
      </c>
      <c r="J1200">
        <v>5</v>
      </c>
      <c r="K1200">
        <v>56000</v>
      </c>
      <c r="L1200">
        <v>2800</v>
      </c>
      <c r="M1200">
        <v>53200</v>
      </c>
      <c r="N1200">
        <v>97000</v>
      </c>
      <c r="O1200">
        <v>150200</v>
      </c>
      <c r="P1200" t="s">
        <v>22</v>
      </c>
      <c r="Q1200" t="s">
        <v>2360</v>
      </c>
      <c r="R1200" t="s">
        <v>30</v>
      </c>
      <c r="S1200">
        <v>5</v>
      </c>
      <c r="T1200" t="s">
        <v>37</v>
      </c>
      <c r="U1200" t="s">
        <v>2408</v>
      </c>
      <c r="V1200">
        <v>2025</v>
      </c>
      <c r="W1200">
        <v>8</v>
      </c>
    </row>
    <row r="1201" spans="1:23" x14ac:dyDescent="0.25">
      <c r="A1201" t="s">
        <v>2137</v>
      </c>
      <c r="B1201">
        <v>45874.185694444437</v>
      </c>
      <c r="C1201" t="s">
        <v>269</v>
      </c>
      <c r="D1201" t="s">
        <v>173</v>
      </c>
      <c r="E1201" t="s">
        <v>21</v>
      </c>
      <c r="F1201" t="s">
        <v>2394</v>
      </c>
      <c r="G1201" t="s">
        <v>2379</v>
      </c>
      <c r="H1201">
        <v>45000</v>
      </c>
      <c r="I1201">
        <v>3</v>
      </c>
      <c r="J1201">
        <v>20</v>
      </c>
      <c r="K1201">
        <v>135000</v>
      </c>
      <c r="L1201">
        <v>27000</v>
      </c>
      <c r="M1201">
        <v>108000</v>
      </c>
      <c r="N1201">
        <v>49000</v>
      </c>
      <c r="O1201">
        <v>157000</v>
      </c>
      <c r="P1201" t="s">
        <v>35</v>
      </c>
      <c r="Q1201" t="s">
        <v>2360</v>
      </c>
      <c r="R1201" t="s">
        <v>46</v>
      </c>
      <c r="S1201">
        <v>3</v>
      </c>
      <c r="T1201" t="s">
        <v>37</v>
      </c>
      <c r="U1201" t="s">
        <v>2408</v>
      </c>
      <c r="V1201">
        <v>2025</v>
      </c>
      <c r="W1201">
        <v>8</v>
      </c>
    </row>
    <row r="1202" spans="1:23" x14ac:dyDescent="0.25">
      <c r="A1202" t="s">
        <v>2138</v>
      </c>
      <c r="B1202">
        <v>45874.239999999998</v>
      </c>
      <c r="C1202" t="s">
        <v>812</v>
      </c>
      <c r="D1202" t="s">
        <v>33</v>
      </c>
      <c r="E1202" t="s">
        <v>28</v>
      </c>
      <c r="F1202" t="s">
        <v>2395</v>
      </c>
      <c r="G1202" t="s">
        <v>2378</v>
      </c>
      <c r="H1202">
        <v>5000</v>
      </c>
      <c r="I1202">
        <v>3</v>
      </c>
      <c r="J1202">
        <v>20</v>
      </c>
      <c r="K1202">
        <v>15000</v>
      </c>
      <c r="L1202">
        <v>3000</v>
      </c>
      <c r="M1202">
        <v>12000</v>
      </c>
      <c r="N1202">
        <v>76000</v>
      </c>
      <c r="O1202">
        <v>88000</v>
      </c>
      <c r="P1202" t="s">
        <v>29</v>
      </c>
      <c r="Q1202" t="s">
        <v>2360</v>
      </c>
      <c r="R1202" t="s">
        <v>46</v>
      </c>
      <c r="S1202">
        <v>3</v>
      </c>
      <c r="T1202" t="s">
        <v>24</v>
      </c>
      <c r="U1202" t="s">
        <v>2408</v>
      </c>
      <c r="V1202">
        <v>2025</v>
      </c>
      <c r="W1202">
        <v>8</v>
      </c>
    </row>
    <row r="1203" spans="1:23" x14ac:dyDescent="0.25">
      <c r="A1203" t="s">
        <v>2139</v>
      </c>
      <c r="B1203">
        <v>45874.34065972222</v>
      </c>
      <c r="C1203" t="s">
        <v>853</v>
      </c>
      <c r="D1203" t="s">
        <v>151</v>
      </c>
      <c r="E1203" t="s">
        <v>21</v>
      </c>
      <c r="F1203" t="s">
        <v>2394</v>
      </c>
      <c r="G1203" t="s">
        <v>2379</v>
      </c>
      <c r="H1203">
        <v>45000</v>
      </c>
      <c r="I1203">
        <v>3</v>
      </c>
      <c r="J1203">
        <v>15</v>
      </c>
      <c r="K1203">
        <v>135000</v>
      </c>
      <c r="L1203">
        <v>20250</v>
      </c>
      <c r="M1203">
        <v>114750</v>
      </c>
      <c r="N1203">
        <v>55000</v>
      </c>
      <c r="O1203">
        <v>169750</v>
      </c>
      <c r="P1203" t="s">
        <v>63</v>
      </c>
      <c r="Q1203" t="s">
        <v>2358</v>
      </c>
      <c r="R1203" t="s">
        <v>46</v>
      </c>
      <c r="S1203">
        <v>2</v>
      </c>
      <c r="T1203" t="s">
        <v>24</v>
      </c>
      <c r="U1203" t="s">
        <v>2408</v>
      </c>
      <c r="V1203">
        <v>2025</v>
      </c>
      <c r="W1203">
        <v>8</v>
      </c>
    </row>
    <row r="1204" spans="1:23" x14ac:dyDescent="0.25">
      <c r="A1204" t="s">
        <v>2140</v>
      </c>
      <c r="B1204">
        <v>45874.576701388891</v>
      </c>
      <c r="C1204" t="s">
        <v>1053</v>
      </c>
      <c r="D1204" t="s">
        <v>80</v>
      </c>
      <c r="E1204" t="s">
        <v>62</v>
      </c>
      <c r="F1204" t="s">
        <v>2398</v>
      </c>
      <c r="G1204" t="s">
        <v>2378</v>
      </c>
      <c r="H1204">
        <v>50000</v>
      </c>
      <c r="I1204">
        <v>4</v>
      </c>
      <c r="J1204">
        <v>0</v>
      </c>
      <c r="K1204">
        <v>200000</v>
      </c>
      <c r="L1204">
        <v>0</v>
      </c>
      <c r="M1204">
        <v>200000</v>
      </c>
      <c r="N1204">
        <v>74000</v>
      </c>
      <c r="O1204">
        <v>274000</v>
      </c>
      <c r="P1204" t="s">
        <v>35</v>
      </c>
      <c r="Q1204" t="s">
        <v>2357</v>
      </c>
      <c r="R1204" t="s">
        <v>36</v>
      </c>
      <c r="S1204">
        <v>2</v>
      </c>
      <c r="T1204" t="s">
        <v>24</v>
      </c>
      <c r="U1204" t="s">
        <v>2408</v>
      </c>
      <c r="V1204">
        <v>2025</v>
      </c>
      <c r="W1204">
        <v>8</v>
      </c>
    </row>
    <row r="1205" spans="1:23" x14ac:dyDescent="0.25">
      <c r="A1205" t="s">
        <v>2141</v>
      </c>
      <c r="B1205">
        <v>45874.582118055558</v>
      </c>
      <c r="C1205" t="s">
        <v>133</v>
      </c>
      <c r="D1205" t="s">
        <v>33</v>
      </c>
      <c r="E1205" t="s">
        <v>41</v>
      </c>
      <c r="F1205" t="s">
        <v>2395</v>
      </c>
      <c r="G1205" t="s">
        <v>2377</v>
      </c>
      <c r="H1205">
        <v>4000</v>
      </c>
      <c r="I1205">
        <v>1</v>
      </c>
      <c r="J1205">
        <v>0</v>
      </c>
      <c r="K1205">
        <v>4000</v>
      </c>
      <c r="L1205">
        <v>0</v>
      </c>
      <c r="M1205">
        <v>4000</v>
      </c>
      <c r="N1205">
        <v>76000</v>
      </c>
      <c r="O1205">
        <v>80000</v>
      </c>
      <c r="P1205" t="s">
        <v>63</v>
      </c>
      <c r="Q1205" t="s">
        <v>2360</v>
      </c>
      <c r="R1205" t="s">
        <v>46</v>
      </c>
      <c r="S1205">
        <v>1</v>
      </c>
      <c r="T1205" t="s">
        <v>24</v>
      </c>
      <c r="U1205" t="s">
        <v>2408</v>
      </c>
      <c r="V1205">
        <v>2025</v>
      </c>
      <c r="W1205">
        <v>8</v>
      </c>
    </row>
    <row r="1206" spans="1:23" x14ac:dyDescent="0.25">
      <c r="A1206" t="s">
        <v>2142</v>
      </c>
      <c r="B1206">
        <v>45874.707152777781</v>
      </c>
      <c r="C1206" t="s">
        <v>1321</v>
      </c>
      <c r="D1206" t="s">
        <v>113</v>
      </c>
      <c r="E1206" t="s">
        <v>136</v>
      </c>
      <c r="F1206" t="s">
        <v>2400</v>
      </c>
      <c r="G1206" t="s">
        <v>2378</v>
      </c>
      <c r="H1206">
        <v>12000</v>
      </c>
      <c r="I1206">
        <v>2</v>
      </c>
      <c r="J1206">
        <v>20</v>
      </c>
      <c r="K1206">
        <v>24000</v>
      </c>
      <c r="L1206">
        <v>4800</v>
      </c>
      <c r="M1206">
        <v>19200</v>
      </c>
      <c r="N1206">
        <v>18000</v>
      </c>
      <c r="O1206">
        <v>37200</v>
      </c>
      <c r="P1206" t="s">
        <v>35</v>
      </c>
      <c r="Q1206" t="s">
        <v>2358</v>
      </c>
      <c r="R1206" t="s">
        <v>36</v>
      </c>
      <c r="S1206">
        <v>5</v>
      </c>
      <c r="T1206" t="s">
        <v>24</v>
      </c>
      <c r="U1206" t="s">
        <v>2408</v>
      </c>
      <c r="V1206">
        <v>2025</v>
      </c>
      <c r="W1206">
        <v>8</v>
      </c>
    </row>
    <row r="1207" spans="1:23" x14ac:dyDescent="0.25">
      <c r="A1207" t="s">
        <v>2143</v>
      </c>
      <c r="B1207">
        <v>45875.015324074076</v>
      </c>
      <c r="C1207" t="s">
        <v>437</v>
      </c>
      <c r="D1207" t="s">
        <v>375</v>
      </c>
      <c r="E1207" t="s">
        <v>250</v>
      </c>
      <c r="F1207" t="s">
        <v>2397</v>
      </c>
      <c r="G1207" t="s">
        <v>2379</v>
      </c>
      <c r="H1207">
        <v>18000</v>
      </c>
      <c r="I1207">
        <v>2</v>
      </c>
      <c r="J1207">
        <v>10</v>
      </c>
      <c r="K1207">
        <v>36000</v>
      </c>
      <c r="L1207">
        <v>3600</v>
      </c>
      <c r="M1207">
        <v>32400</v>
      </c>
      <c r="N1207">
        <v>21000</v>
      </c>
      <c r="O1207">
        <v>53400</v>
      </c>
      <c r="P1207" t="s">
        <v>63</v>
      </c>
      <c r="Q1207" t="s">
        <v>2358</v>
      </c>
      <c r="R1207" t="s">
        <v>82</v>
      </c>
      <c r="S1207">
        <v>2</v>
      </c>
      <c r="T1207" t="s">
        <v>24</v>
      </c>
      <c r="U1207" t="s">
        <v>2408</v>
      </c>
      <c r="V1207">
        <v>2025</v>
      </c>
      <c r="W1207">
        <v>8</v>
      </c>
    </row>
    <row r="1208" spans="1:23" x14ac:dyDescent="0.25">
      <c r="A1208" t="s">
        <v>2144</v>
      </c>
      <c r="B1208">
        <v>45875.319328703707</v>
      </c>
      <c r="C1208" t="s">
        <v>1311</v>
      </c>
      <c r="D1208" t="s">
        <v>49</v>
      </c>
      <c r="E1208" t="s">
        <v>81</v>
      </c>
      <c r="F1208" t="s">
        <v>2397</v>
      </c>
      <c r="G1208" t="s">
        <v>2378</v>
      </c>
      <c r="H1208">
        <v>17000</v>
      </c>
      <c r="I1208">
        <v>4</v>
      </c>
      <c r="J1208">
        <v>15</v>
      </c>
      <c r="K1208">
        <v>68000</v>
      </c>
      <c r="L1208">
        <v>10200</v>
      </c>
      <c r="M1208">
        <v>57800</v>
      </c>
      <c r="N1208">
        <v>43000</v>
      </c>
      <c r="O1208">
        <v>100800</v>
      </c>
      <c r="P1208" t="s">
        <v>29</v>
      </c>
      <c r="Q1208" t="s">
        <v>2358</v>
      </c>
      <c r="R1208" t="s">
        <v>23</v>
      </c>
      <c r="S1208">
        <v>5</v>
      </c>
      <c r="T1208" t="s">
        <v>24</v>
      </c>
      <c r="U1208" t="s">
        <v>2408</v>
      </c>
      <c r="V1208">
        <v>2025</v>
      </c>
      <c r="W1208">
        <v>8</v>
      </c>
    </row>
    <row r="1209" spans="1:23" x14ac:dyDescent="0.25">
      <c r="A1209" t="s">
        <v>2145</v>
      </c>
      <c r="B1209">
        <v>45875.344236111108</v>
      </c>
      <c r="C1209" t="s">
        <v>716</v>
      </c>
      <c r="D1209" t="s">
        <v>66</v>
      </c>
      <c r="E1209" t="s">
        <v>85</v>
      </c>
      <c r="F1209" t="s">
        <v>2394</v>
      </c>
      <c r="G1209" t="s">
        <v>2377</v>
      </c>
      <c r="H1209">
        <v>35000</v>
      </c>
      <c r="I1209">
        <v>1</v>
      </c>
      <c r="J1209">
        <v>20</v>
      </c>
      <c r="K1209">
        <v>35000</v>
      </c>
      <c r="L1209">
        <v>7000</v>
      </c>
      <c r="M1209">
        <v>28000</v>
      </c>
      <c r="N1209">
        <v>59000</v>
      </c>
      <c r="O1209">
        <v>87000</v>
      </c>
      <c r="P1209" t="s">
        <v>63</v>
      </c>
      <c r="Q1209" t="s">
        <v>2358</v>
      </c>
      <c r="R1209" t="s">
        <v>82</v>
      </c>
      <c r="S1209">
        <v>4</v>
      </c>
      <c r="T1209" t="s">
        <v>24</v>
      </c>
      <c r="U1209" t="s">
        <v>2408</v>
      </c>
      <c r="V1209">
        <v>2025</v>
      </c>
      <c r="W1209">
        <v>8</v>
      </c>
    </row>
    <row r="1210" spans="1:23" x14ac:dyDescent="0.25">
      <c r="A1210" t="s">
        <v>2146</v>
      </c>
      <c r="B1210">
        <v>45875.380266203712</v>
      </c>
      <c r="C1210" t="s">
        <v>387</v>
      </c>
      <c r="D1210" t="s">
        <v>49</v>
      </c>
      <c r="E1210" t="s">
        <v>138</v>
      </c>
      <c r="F1210" t="s">
        <v>2396</v>
      </c>
      <c r="G1210" t="s">
        <v>2378</v>
      </c>
      <c r="H1210">
        <v>17000</v>
      </c>
      <c r="I1210">
        <v>3</v>
      </c>
      <c r="J1210">
        <v>0</v>
      </c>
      <c r="K1210">
        <v>51000</v>
      </c>
      <c r="L1210">
        <v>0</v>
      </c>
      <c r="M1210">
        <v>51000</v>
      </c>
      <c r="N1210">
        <v>43000</v>
      </c>
      <c r="O1210">
        <v>94000</v>
      </c>
      <c r="P1210" t="s">
        <v>29</v>
      </c>
      <c r="Q1210" t="s">
        <v>2358</v>
      </c>
      <c r="R1210" t="s">
        <v>36</v>
      </c>
      <c r="S1210">
        <v>1</v>
      </c>
      <c r="T1210" t="s">
        <v>37</v>
      </c>
      <c r="U1210" t="s">
        <v>2408</v>
      </c>
      <c r="V1210">
        <v>2025</v>
      </c>
      <c r="W1210">
        <v>8</v>
      </c>
    </row>
    <row r="1211" spans="1:23" x14ac:dyDescent="0.25">
      <c r="A1211" t="s">
        <v>2147</v>
      </c>
      <c r="B1211">
        <v>45875.524074074077</v>
      </c>
      <c r="C1211" t="s">
        <v>754</v>
      </c>
      <c r="D1211" t="s">
        <v>238</v>
      </c>
      <c r="E1211" t="s">
        <v>186</v>
      </c>
      <c r="F1211" t="s">
        <v>2398</v>
      </c>
      <c r="G1211" t="s">
        <v>2377</v>
      </c>
      <c r="H1211">
        <v>45000</v>
      </c>
      <c r="I1211">
        <v>2</v>
      </c>
      <c r="J1211">
        <v>5</v>
      </c>
      <c r="K1211">
        <v>90000</v>
      </c>
      <c r="L1211">
        <v>4500</v>
      </c>
      <c r="M1211">
        <v>85500</v>
      </c>
      <c r="N1211">
        <v>28000</v>
      </c>
      <c r="O1211">
        <v>113500</v>
      </c>
      <c r="P1211" t="s">
        <v>35</v>
      </c>
      <c r="Q1211" t="s">
        <v>2357</v>
      </c>
      <c r="R1211" t="s">
        <v>30</v>
      </c>
      <c r="S1211">
        <v>5</v>
      </c>
      <c r="T1211" t="s">
        <v>37</v>
      </c>
      <c r="U1211" t="s">
        <v>2408</v>
      </c>
      <c r="V1211">
        <v>2025</v>
      </c>
      <c r="W1211">
        <v>8</v>
      </c>
    </row>
    <row r="1212" spans="1:23" x14ac:dyDescent="0.25">
      <c r="A1212" t="s">
        <v>2148</v>
      </c>
      <c r="B1212">
        <v>45875.9299537037</v>
      </c>
      <c r="C1212" t="s">
        <v>197</v>
      </c>
      <c r="D1212" t="s">
        <v>119</v>
      </c>
      <c r="E1212" t="s">
        <v>88</v>
      </c>
      <c r="F1212" t="s">
        <v>2393</v>
      </c>
      <c r="G1212" t="s">
        <v>2377</v>
      </c>
      <c r="H1212">
        <v>14000</v>
      </c>
      <c r="I1212">
        <v>2</v>
      </c>
      <c r="J1212">
        <v>15</v>
      </c>
      <c r="K1212">
        <v>28000</v>
      </c>
      <c r="L1212">
        <v>4200</v>
      </c>
      <c r="M1212">
        <v>23800</v>
      </c>
      <c r="N1212">
        <v>0</v>
      </c>
      <c r="O1212">
        <v>23800</v>
      </c>
      <c r="P1212" t="s">
        <v>63</v>
      </c>
      <c r="Q1212" t="s">
        <v>2357</v>
      </c>
      <c r="R1212" t="s">
        <v>23</v>
      </c>
      <c r="S1212">
        <v>1</v>
      </c>
      <c r="T1212" t="s">
        <v>37</v>
      </c>
      <c r="U1212" t="s">
        <v>2408</v>
      </c>
      <c r="V1212">
        <v>2025</v>
      </c>
      <c r="W1212">
        <v>8</v>
      </c>
    </row>
    <row r="1213" spans="1:23" x14ac:dyDescent="0.25">
      <c r="A1213" t="s">
        <v>2149</v>
      </c>
      <c r="B1213">
        <v>45876.420243055552</v>
      </c>
      <c r="C1213" t="s">
        <v>1523</v>
      </c>
      <c r="D1213" t="s">
        <v>96</v>
      </c>
      <c r="E1213" t="s">
        <v>28</v>
      </c>
      <c r="F1213" t="s">
        <v>2395</v>
      </c>
      <c r="G1213" t="s">
        <v>2378</v>
      </c>
      <c r="H1213">
        <v>5000</v>
      </c>
      <c r="I1213">
        <v>2</v>
      </c>
      <c r="J1213">
        <v>5</v>
      </c>
      <c r="K1213">
        <v>10000</v>
      </c>
      <c r="L1213">
        <v>500</v>
      </c>
      <c r="M1213">
        <v>9500</v>
      </c>
      <c r="N1213">
        <v>49000</v>
      </c>
      <c r="O1213">
        <v>58500</v>
      </c>
      <c r="P1213" t="s">
        <v>22</v>
      </c>
      <c r="Q1213" t="s">
        <v>2357</v>
      </c>
      <c r="R1213" t="s">
        <v>46</v>
      </c>
      <c r="S1213">
        <v>1</v>
      </c>
      <c r="T1213" t="s">
        <v>24</v>
      </c>
      <c r="U1213" t="s">
        <v>2408</v>
      </c>
      <c r="V1213">
        <v>2025</v>
      </c>
      <c r="W1213">
        <v>8</v>
      </c>
    </row>
    <row r="1214" spans="1:23" x14ac:dyDescent="0.25">
      <c r="A1214" t="s">
        <v>2149</v>
      </c>
      <c r="B1214">
        <v>45876.420243055552</v>
      </c>
      <c r="C1214" t="s">
        <v>1523</v>
      </c>
      <c r="D1214" t="s">
        <v>96</v>
      </c>
      <c r="E1214" t="s">
        <v>93</v>
      </c>
      <c r="F1214" t="s">
        <v>2399</v>
      </c>
      <c r="G1214" t="s">
        <v>2378</v>
      </c>
      <c r="H1214">
        <v>25000</v>
      </c>
      <c r="I1214">
        <v>5</v>
      </c>
      <c r="J1214">
        <v>5</v>
      </c>
      <c r="K1214">
        <v>125000</v>
      </c>
      <c r="L1214">
        <v>6250</v>
      </c>
      <c r="M1214">
        <v>118750</v>
      </c>
      <c r="N1214">
        <v>0</v>
      </c>
      <c r="O1214">
        <v>118750</v>
      </c>
      <c r="P1214" t="s">
        <v>22</v>
      </c>
      <c r="Q1214" t="s">
        <v>2357</v>
      </c>
      <c r="R1214" t="s">
        <v>46</v>
      </c>
      <c r="S1214">
        <v>1</v>
      </c>
      <c r="T1214" t="s">
        <v>24</v>
      </c>
      <c r="U1214" t="s">
        <v>2408</v>
      </c>
      <c r="V1214">
        <v>2025</v>
      </c>
      <c r="W1214">
        <v>8</v>
      </c>
    </row>
    <row r="1215" spans="1:23" x14ac:dyDescent="0.25">
      <c r="A1215" t="s">
        <v>2150</v>
      </c>
      <c r="B1215">
        <v>45876.465196759258</v>
      </c>
      <c r="C1215" t="s">
        <v>513</v>
      </c>
      <c r="D1215" t="s">
        <v>182</v>
      </c>
      <c r="E1215" t="s">
        <v>45</v>
      </c>
      <c r="F1215" t="s">
        <v>2394</v>
      </c>
      <c r="G1215" t="s">
        <v>2378</v>
      </c>
      <c r="H1215">
        <v>40000</v>
      </c>
      <c r="I1215">
        <v>1</v>
      </c>
      <c r="J1215">
        <v>5</v>
      </c>
      <c r="K1215">
        <v>40000</v>
      </c>
      <c r="L1215">
        <v>2000</v>
      </c>
      <c r="M1215">
        <v>38000</v>
      </c>
      <c r="N1215">
        <v>48000</v>
      </c>
      <c r="O1215">
        <v>86000</v>
      </c>
      <c r="P1215" t="s">
        <v>35</v>
      </c>
      <c r="Q1215" t="s">
        <v>2357</v>
      </c>
      <c r="R1215" t="s">
        <v>46</v>
      </c>
      <c r="S1215">
        <v>4</v>
      </c>
      <c r="T1215" t="s">
        <v>24</v>
      </c>
      <c r="U1215" t="s">
        <v>2408</v>
      </c>
      <c r="V1215">
        <v>2025</v>
      </c>
      <c r="W1215">
        <v>8</v>
      </c>
    </row>
    <row r="1216" spans="1:23" x14ac:dyDescent="0.25">
      <c r="A1216" t="s">
        <v>2151</v>
      </c>
      <c r="B1216">
        <v>45876.647361111107</v>
      </c>
      <c r="C1216" t="s">
        <v>40</v>
      </c>
      <c r="D1216" t="s">
        <v>27</v>
      </c>
      <c r="E1216" t="s">
        <v>21</v>
      </c>
      <c r="F1216" t="s">
        <v>2394</v>
      </c>
      <c r="G1216" t="s">
        <v>2379</v>
      </c>
      <c r="H1216">
        <v>45000</v>
      </c>
      <c r="I1216">
        <v>2</v>
      </c>
      <c r="J1216">
        <v>0</v>
      </c>
      <c r="K1216">
        <v>90000</v>
      </c>
      <c r="L1216">
        <v>0</v>
      </c>
      <c r="M1216">
        <v>90000</v>
      </c>
      <c r="N1216">
        <v>17000</v>
      </c>
      <c r="O1216">
        <v>107000</v>
      </c>
      <c r="P1216" t="s">
        <v>63</v>
      </c>
      <c r="Q1216" t="s">
        <v>2357</v>
      </c>
      <c r="R1216" t="s">
        <v>82</v>
      </c>
      <c r="S1216">
        <v>3</v>
      </c>
      <c r="T1216" t="s">
        <v>24</v>
      </c>
      <c r="U1216" t="s">
        <v>2408</v>
      </c>
      <c r="V1216">
        <v>2025</v>
      </c>
      <c r="W1216">
        <v>8</v>
      </c>
    </row>
    <row r="1217" spans="1:23" x14ac:dyDescent="0.25">
      <c r="A1217" t="s">
        <v>2152</v>
      </c>
      <c r="B1217">
        <v>45876.78701388889</v>
      </c>
      <c r="C1217" t="s">
        <v>172</v>
      </c>
      <c r="D1217" t="s">
        <v>173</v>
      </c>
      <c r="E1217" t="s">
        <v>174</v>
      </c>
      <c r="F1217" t="s">
        <v>2400</v>
      </c>
      <c r="G1217" t="s">
        <v>2377</v>
      </c>
      <c r="H1217">
        <v>10000</v>
      </c>
      <c r="I1217">
        <v>1</v>
      </c>
      <c r="J1217">
        <v>20</v>
      </c>
      <c r="K1217">
        <v>10000</v>
      </c>
      <c r="L1217">
        <v>2000</v>
      </c>
      <c r="M1217">
        <v>8000</v>
      </c>
      <c r="N1217">
        <v>49000</v>
      </c>
      <c r="O1217">
        <v>57000</v>
      </c>
      <c r="P1217" t="s">
        <v>35</v>
      </c>
      <c r="Q1217" t="s">
        <v>2360</v>
      </c>
      <c r="R1217" t="s">
        <v>36</v>
      </c>
      <c r="S1217">
        <v>1</v>
      </c>
      <c r="T1217" t="s">
        <v>24</v>
      </c>
      <c r="U1217" t="s">
        <v>2408</v>
      </c>
      <c r="V1217">
        <v>2025</v>
      </c>
      <c r="W1217">
        <v>8</v>
      </c>
    </row>
    <row r="1218" spans="1:23" x14ac:dyDescent="0.25">
      <c r="A1218" t="s">
        <v>2153</v>
      </c>
      <c r="B1218">
        <v>45876.900497685187</v>
      </c>
      <c r="C1218" t="s">
        <v>311</v>
      </c>
      <c r="D1218" t="s">
        <v>116</v>
      </c>
      <c r="E1218" t="s">
        <v>71</v>
      </c>
      <c r="F1218" t="s">
        <v>2392</v>
      </c>
      <c r="G1218" t="s">
        <v>2379</v>
      </c>
      <c r="H1218">
        <v>40000</v>
      </c>
      <c r="I1218">
        <v>4</v>
      </c>
      <c r="J1218">
        <v>10</v>
      </c>
      <c r="K1218">
        <v>160000</v>
      </c>
      <c r="L1218">
        <v>16000</v>
      </c>
      <c r="M1218">
        <v>144000</v>
      </c>
      <c r="N1218">
        <v>72000</v>
      </c>
      <c r="O1218">
        <v>216000</v>
      </c>
      <c r="P1218" t="s">
        <v>35</v>
      </c>
      <c r="Q1218" t="s">
        <v>2358</v>
      </c>
      <c r="R1218" t="s">
        <v>82</v>
      </c>
      <c r="S1218">
        <v>5</v>
      </c>
      <c r="T1218" t="s">
        <v>24</v>
      </c>
      <c r="U1218" t="s">
        <v>2408</v>
      </c>
      <c r="V1218">
        <v>2025</v>
      </c>
      <c r="W1218">
        <v>8</v>
      </c>
    </row>
    <row r="1219" spans="1:23" x14ac:dyDescent="0.25">
      <c r="A1219" t="s">
        <v>2154</v>
      </c>
      <c r="B1219">
        <v>45877.313981481479</v>
      </c>
      <c r="C1219" t="s">
        <v>84</v>
      </c>
      <c r="D1219" t="s">
        <v>57</v>
      </c>
      <c r="E1219" t="s">
        <v>190</v>
      </c>
      <c r="F1219" t="s">
        <v>2392</v>
      </c>
      <c r="G1219" t="s">
        <v>2378</v>
      </c>
      <c r="H1219">
        <v>35000</v>
      </c>
      <c r="I1219">
        <v>4</v>
      </c>
      <c r="J1219">
        <v>20</v>
      </c>
      <c r="K1219">
        <v>140000</v>
      </c>
      <c r="L1219">
        <v>28000</v>
      </c>
      <c r="M1219">
        <v>112000</v>
      </c>
      <c r="N1219">
        <v>80000</v>
      </c>
      <c r="O1219">
        <v>192000</v>
      </c>
      <c r="P1219" t="s">
        <v>29</v>
      </c>
      <c r="Q1219" t="s">
        <v>2360</v>
      </c>
      <c r="R1219" t="s">
        <v>30</v>
      </c>
      <c r="S1219">
        <v>5</v>
      </c>
      <c r="T1219" t="s">
        <v>37</v>
      </c>
      <c r="U1219" t="s">
        <v>2408</v>
      </c>
      <c r="V1219">
        <v>2025</v>
      </c>
      <c r="W1219">
        <v>8</v>
      </c>
    </row>
    <row r="1220" spans="1:23" x14ac:dyDescent="0.25">
      <c r="A1220" t="s">
        <v>2155</v>
      </c>
      <c r="B1220">
        <v>45877.703877314823</v>
      </c>
      <c r="C1220" t="s">
        <v>1083</v>
      </c>
      <c r="D1220" t="s">
        <v>170</v>
      </c>
      <c r="E1220" t="s">
        <v>45</v>
      </c>
      <c r="F1220" t="s">
        <v>2394</v>
      </c>
      <c r="G1220" t="s">
        <v>2378</v>
      </c>
      <c r="H1220">
        <v>40000</v>
      </c>
      <c r="I1220">
        <v>4</v>
      </c>
      <c r="J1220">
        <v>20</v>
      </c>
      <c r="K1220">
        <v>160000</v>
      </c>
      <c r="L1220">
        <v>32000</v>
      </c>
      <c r="M1220">
        <v>128000</v>
      </c>
      <c r="N1220">
        <v>46000</v>
      </c>
      <c r="O1220">
        <v>174000</v>
      </c>
      <c r="P1220" t="s">
        <v>35</v>
      </c>
      <c r="Q1220" t="s">
        <v>2360</v>
      </c>
      <c r="R1220" t="s">
        <v>82</v>
      </c>
      <c r="S1220">
        <v>5</v>
      </c>
      <c r="T1220" t="s">
        <v>24</v>
      </c>
      <c r="U1220" t="s">
        <v>2408</v>
      </c>
      <c r="V1220">
        <v>2025</v>
      </c>
      <c r="W1220">
        <v>8</v>
      </c>
    </row>
    <row r="1221" spans="1:23" x14ac:dyDescent="0.25">
      <c r="A1221" t="s">
        <v>2156</v>
      </c>
      <c r="B1221">
        <v>45877.751006944447</v>
      </c>
      <c r="C1221" t="s">
        <v>355</v>
      </c>
      <c r="D1221" t="s">
        <v>116</v>
      </c>
      <c r="E1221" t="s">
        <v>58</v>
      </c>
      <c r="F1221" t="s">
        <v>2396</v>
      </c>
      <c r="G1221" t="s">
        <v>2377</v>
      </c>
      <c r="H1221">
        <v>16000</v>
      </c>
      <c r="I1221">
        <v>1</v>
      </c>
      <c r="J1221">
        <v>20</v>
      </c>
      <c r="K1221">
        <v>16000</v>
      </c>
      <c r="L1221">
        <v>3200</v>
      </c>
      <c r="M1221">
        <v>12800</v>
      </c>
      <c r="N1221">
        <v>72000</v>
      </c>
      <c r="O1221">
        <v>84800</v>
      </c>
      <c r="P1221" t="s">
        <v>22</v>
      </c>
      <c r="Q1221" t="s">
        <v>2360</v>
      </c>
      <c r="R1221" t="s">
        <v>36</v>
      </c>
      <c r="S1221">
        <v>5</v>
      </c>
      <c r="T1221" t="s">
        <v>24</v>
      </c>
      <c r="U1221" t="s">
        <v>2408</v>
      </c>
      <c r="V1221">
        <v>2025</v>
      </c>
      <c r="W1221">
        <v>8</v>
      </c>
    </row>
    <row r="1222" spans="1:23" x14ac:dyDescent="0.25">
      <c r="A1222" t="s">
        <v>2157</v>
      </c>
      <c r="B1222">
        <v>45877.798298611109</v>
      </c>
      <c r="C1222" t="s">
        <v>316</v>
      </c>
      <c r="D1222" t="s">
        <v>244</v>
      </c>
      <c r="E1222" t="s">
        <v>123</v>
      </c>
      <c r="F1222" t="s">
        <v>2399</v>
      </c>
      <c r="G1222" t="s">
        <v>2377</v>
      </c>
      <c r="H1222">
        <v>22000</v>
      </c>
      <c r="I1222">
        <v>5</v>
      </c>
      <c r="J1222">
        <v>0</v>
      </c>
      <c r="K1222">
        <v>110000</v>
      </c>
      <c r="L1222">
        <v>0</v>
      </c>
      <c r="M1222">
        <v>110000</v>
      </c>
      <c r="N1222">
        <v>80000</v>
      </c>
      <c r="O1222">
        <v>190000</v>
      </c>
      <c r="P1222" t="s">
        <v>29</v>
      </c>
      <c r="Q1222" t="s">
        <v>2357</v>
      </c>
      <c r="R1222" t="s">
        <v>82</v>
      </c>
      <c r="S1222">
        <v>1</v>
      </c>
      <c r="T1222" t="s">
        <v>24</v>
      </c>
      <c r="U1222" t="s">
        <v>2408</v>
      </c>
      <c r="V1222">
        <v>2025</v>
      </c>
      <c r="W1222">
        <v>8</v>
      </c>
    </row>
    <row r="1223" spans="1:23" x14ac:dyDescent="0.25">
      <c r="A1223" t="s">
        <v>2158</v>
      </c>
      <c r="B1223">
        <v>45877.870844907397</v>
      </c>
      <c r="C1223" t="s">
        <v>990</v>
      </c>
      <c r="D1223" t="s">
        <v>173</v>
      </c>
      <c r="E1223" t="s">
        <v>62</v>
      </c>
      <c r="F1223" t="s">
        <v>2398</v>
      </c>
      <c r="G1223" t="s">
        <v>2378</v>
      </c>
      <c r="H1223">
        <v>50000</v>
      </c>
      <c r="I1223">
        <v>1</v>
      </c>
      <c r="J1223">
        <v>10</v>
      </c>
      <c r="K1223">
        <v>50000</v>
      </c>
      <c r="L1223">
        <v>5000</v>
      </c>
      <c r="M1223">
        <v>45000</v>
      </c>
      <c r="N1223">
        <v>49000</v>
      </c>
      <c r="O1223">
        <v>94000</v>
      </c>
      <c r="P1223" t="s">
        <v>63</v>
      </c>
      <c r="Q1223" t="s">
        <v>2360</v>
      </c>
      <c r="R1223" t="s">
        <v>30</v>
      </c>
      <c r="S1223">
        <v>5</v>
      </c>
      <c r="T1223" t="s">
        <v>24</v>
      </c>
      <c r="U1223" t="s">
        <v>2408</v>
      </c>
      <c r="V1223">
        <v>2025</v>
      </c>
      <c r="W1223">
        <v>8</v>
      </c>
    </row>
    <row r="1224" spans="1:23" x14ac:dyDescent="0.25">
      <c r="A1224" t="s">
        <v>2159</v>
      </c>
      <c r="B1224">
        <v>45877.960509259261</v>
      </c>
      <c r="C1224" t="s">
        <v>570</v>
      </c>
      <c r="D1224" t="s">
        <v>80</v>
      </c>
      <c r="E1224" t="s">
        <v>250</v>
      </c>
      <c r="F1224" t="s">
        <v>2397</v>
      </c>
      <c r="G1224" t="s">
        <v>2379</v>
      </c>
      <c r="H1224">
        <v>18000</v>
      </c>
      <c r="I1224">
        <v>3</v>
      </c>
      <c r="J1224">
        <v>20</v>
      </c>
      <c r="K1224">
        <v>54000</v>
      </c>
      <c r="L1224">
        <v>10800</v>
      </c>
      <c r="M1224">
        <v>43200</v>
      </c>
      <c r="N1224">
        <v>74000</v>
      </c>
      <c r="O1224">
        <v>117200</v>
      </c>
      <c r="P1224" t="s">
        <v>35</v>
      </c>
      <c r="Q1224" t="s">
        <v>2360</v>
      </c>
      <c r="R1224" t="s">
        <v>82</v>
      </c>
      <c r="S1224">
        <v>1</v>
      </c>
      <c r="T1224" t="s">
        <v>24</v>
      </c>
      <c r="U1224" t="s">
        <v>2408</v>
      </c>
      <c r="V1224">
        <v>2025</v>
      </c>
      <c r="W1224">
        <v>8</v>
      </c>
    </row>
    <row r="1225" spans="1:23" x14ac:dyDescent="0.25">
      <c r="A1225" t="s">
        <v>2160</v>
      </c>
      <c r="B1225">
        <v>45878.346064814818</v>
      </c>
      <c r="C1225" t="s">
        <v>1530</v>
      </c>
      <c r="D1225" t="s">
        <v>122</v>
      </c>
      <c r="E1225" t="s">
        <v>75</v>
      </c>
      <c r="F1225" t="s">
        <v>2398</v>
      </c>
      <c r="G1225" t="s">
        <v>2379</v>
      </c>
      <c r="H1225">
        <v>55000</v>
      </c>
      <c r="I1225">
        <v>4</v>
      </c>
      <c r="J1225">
        <v>5</v>
      </c>
      <c r="K1225">
        <v>220000</v>
      </c>
      <c r="L1225">
        <v>11000</v>
      </c>
      <c r="M1225">
        <v>209000</v>
      </c>
      <c r="N1225">
        <v>78000</v>
      </c>
      <c r="O1225">
        <v>287000</v>
      </c>
      <c r="P1225" t="s">
        <v>29</v>
      </c>
      <c r="Q1225" t="s">
        <v>2357</v>
      </c>
      <c r="R1225" t="s">
        <v>23</v>
      </c>
      <c r="S1225">
        <v>4</v>
      </c>
      <c r="T1225" t="s">
        <v>24</v>
      </c>
      <c r="U1225" t="s">
        <v>2408</v>
      </c>
      <c r="V1225">
        <v>2025</v>
      </c>
      <c r="W1225">
        <v>8</v>
      </c>
    </row>
    <row r="1226" spans="1:23" x14ac:dyDescent="0.25">
      <c r="A1226" t="s">
        <v>2161</v>
      </c>
      <c r="B1226">
        <v>45878.467604166668</v>
      </c>
      <c r="C1226" t="s">
        <v>353</v>
      </c>
      <c r="D1226" t="s">
        <v>66</v>
      </c>
      <c r="E1226" t="s">
        <v>190</v>
      </c>
      <c r="F1226" t="s">
        <v>2392</v>
      </c>
      <c r="G1226" t="s">
        <v>2378</v>
      </c>
      <c r="H1226">
        <v>35000</v>
      </c>
      <c r="I1226">
        <v>2</v>
      </c>
      <c r="J1226">
        <v>10</v>
      </c>
      <c r="K1226">
        <v>70000</v>
      </c>
      <c r="L1226">
        <v>7000</v>
      </c>
      <c r="M1226">
        <v>63000</v>
      </c>
      <c r="N1226">
        <v>59000</v>
      </c>
      <c r="O1226">
        <v>122000</v>
      </c>
      <c r="P1226" t="s">
        <v>22</v>
      </c>
      <c r="Q1226" t="s">
        <v>2360</v>
      </c>
      <c r="R1226" t="s">
        <v>46</v>
      </c>
      <c r="S1226">
        <v>5</v>
      </c>
      <c r="T1226" t="s">
        <v>24</v>
      </c>
      <c r="U1226" t="s">
        <v>2408</v>
      </c>
      <c r="V1226">
        <v>2025</v>
      </c>
      <c r="W1226">
        <v>8</v>
      </c>
    </row>
    <row r="1227" spans="1:23" x14ac:dyDescent="0.25">
      <c r="A1227" t="s">
        <v>2161</v>
      </c>
      <c r="B1227">
        <v>45878.467604166668</v>
      </c>
      <c r="C1227" t="s">
        <v>353</v>
      </c>
      <c r="D1227" t="s">
        <v>66</v>
      </c>
      <c r="E1227" t="s">
        <v>58</v>
      </c>
      <c r="F1227" t="s">
        <v>2396</v>
      </c>
      <c r="G1227" t="s">
        <v>2377</v>
      </c>
      <c r="H1227">
        <v>16000</v>
      </c>
      <c r="I1227">
        <v>3</v>
      </c>
      <c r="J1227">
        <v>10</v>
      </c>
      <c r="K1227">
        <v>48000</v>
      </c>
      <c r="L1227">
        <v>4800</v>
      </c>
      <c r="M1227">
        <v>43200</v>
      </c>
      <c r="N1227">
        <v>0</v>
      </c>
      <c r="O1227">
        <v>43200</v>
      </c>
      <c r="P1227" t="s">
        <v>22</v>
      </c>
      <c r="Q1227" t="s">
        <v>2360</v>
      </c>
      <c r="R1227" t="s">
        <v>46</v>
      </c>
      <c r="S1227">
        <v>5</v>
      </c>
      <c r="T1227" t="s">
        <v>24</v>
      </c>
      <c r="U1227" t="s">
        <v>2408</v>
      </c>
      <c r="V1227">
        <v>2025</v>
      </c>
      <c r="W1227">
        <v>8</v>
      </c>
    </row>
    <row r="1228" spans="1:23" x14ac:dyDescent="0.25">
      <c r="A1228" t="s">
        <v>2162</v>
      </c>
      <c r="B1228">
        <v>45878.521331018521</v>
      </c>
      <c r="C1228" t="s">
        <v>695</v>
      </c>
      <c r="D1228" t="s">
        <v>119</v>
      </c>
      <c r="E1228" t="s">
        <v>67</v>
      </c>
      <c r="F1228" t="s">
        <v>2393</v>
      </c>
      <c r="G1228" t="s">
        <v>2378</v>
      </c>
      <c r="H1228">
        <v>15000</v>
      </c>
      <c r="I1228">
        <v>3</v>
      </c>
      <c r="J1228">
        <v>10</v>
      </c>
      <c r="K1228">
        <v>45000</v>
      </c>
      <c r="L1228">
        <v>4500</v>
      </c>
      <c r="M1228">
        <v>40500</v>
      </c>
      <c r="N1228">
        <v>0</v>
      </c>
      <c r="O1228">
        <v>40500</v>
      </c>
      <c r="P1228" t="s">
        <v>29</v>
      </c>
      <c r="Q1228" t="s">
        <v>2357</v>
      </c>
      <c r="R1228" t="s">
        <v>36</v>
      </c>
      <c r="S1228">
        <v>4</v>
      </c>
      <c r="T1228" t="s">
        <v>24</v>
      </c>
      <c r="U1228" t="s">
        <v>2408</v>
      </c>
      <c r="V1228">
        <v>2025</v>
      </c>
      <c r="W1228">
        <v>8</v>
      </c>
    </row>
    <row r="1229" spans="1:23" x14ac:dyDescent="0.25">
      <c r="A1229" t="s">
        <v>2163</v>
      </c>
      <c r="B1229">
        <v>45879.030081018522</v>
      </c>
      <c r="C1229" t="s">
        <v>246</v>
      </c>
      <c r="D1229" t="s">
        <v>238</v>
      </c>
      <c r="E1229" t="s">
        <v>58</v>
      </c>
      <c r="F1229" t="s">
        <v>2396</v>
      </c>
      <c r="G1229" t="s">
        <v>2377</v>
      </c>
      <c r="H1229">
        <v>16000</v>
      </c>
      <c r="I1229">
        <v>3</v>
      </c>
      <c r="J1229">
        <v>20</v>
      </c>
      <c r="K1229">
        <v>48000</v>
      </c>
      <c r="L1229">
        <v>9600</v>
      </c>
      <c r="M1229">
        <v>38400</v>
      </c>
      <c r="N1229">
        <v>28000</v>
      </c>
      <c r="O1229">
        <v>66400</v>
      </c>
      <c r="P1229" t="s">
        <v>63</v>
      </c>
      <c r="Q1229" t="s">
        <v>2357</v>
      </c>
      <c r="R1229" t="s">
        <v>46</v>
      </c>
      <c r="S1229">
        <v>4</v>
      </c>
      <c r="T1229" t="s">
        <v>24</v>
      </c>
      <c r="U1229" t="s">
        <v>2408</v>
      </c>
      <c r="V1229">
        <v>2025</v>
      </c>
      <c r="W1229">
        <v>8</v>
      </c>
    </row>
    <row r="1230" spans="1:23" x14ac:dyDescent="0.25">
      <c r="A1230" t="s">
        <v>2164</v>
      </c>
      <c r="B1230">
        <v>45879.776076388887</v>
      </c>
      <c r="C1230" t="s">
        <v>758</v>
      </c>
      <c r="D1230" t="s">
        <v>238</v>
      </c>
      <c r="E1230" t="s">
        <v>88</v>
      </c>
      <c r="F1230" t="s">
        <v>2393</v>
      </c>
      <c r="G1230" t="s">
        <v>2377</v>
      </c>
      <c r="H1230">
        <v>14000</v>
      </c>
      <c r="I1230">
        <v>5</v>
      </c>
      <c r="J1230">
        <v>5</v>
      </c>
      <c r="K1230">
        <v>70000</v>
      </c>
      <c r="L1230">
        <v>3500</v>
      </c>
      <c r="M1230">
        <v>66500</v>
      </c>
      <c r="N1230">
        <v>28000</v>
      </c>
      <c r="O1230">
        <v>94500</v>
      </c>
      <c r="P1230" t="s">
        <v>29</v>
      </c>
      <c r="Q1230" t="s">
        <v>2358</v>
      </c>
      <c r="R1230" t="s">
        <v>82</v>
      </c>
      <c r="S1230">
        <v>2</v>
      </c>
      <c r="T1230" t="s">
        <v>24</v>
      </c>
      <c r="U1230" t="s">
        <v>2408</v>
      </c>
      <c r="V1230">
        <v>2025</v>
      </c>
      <c r="W1230">
        <v>8</v>
      </c>
    </row>
    <row r="1231" spans="1:23" x14ac:dyDescent="0.25">
      <c r="A1231" t="s">
        <v>2165</v>
      </c>
      <c r="B1231">
        <v>45880.23296296296</v>
      </c>
      <c r="C1231" t="s">
        <v>784</v>
      </c>
      <c r="D1231" t="s">
        <v>116</v>
      </c>
      <c r="E1231" t="s">
        <v>34</v>
      </c>
      <c r="F1231" t="s">
        <v>2397</v>
      </c>
      <c r="G1231" t="s">
        <v>2377</v>
      </c>
      <c r="H1231">
        <v>16000</v>
      </c>
      <c r="I1231">
        <v>1</v>
      </c>
      <c r="J1231">
        <v>15</v>
      </c>
      <c r="K1231">
        <v>16000</v>
      </c>
      <c r="L1231">
        <v>2400</v>
      </c>
      <c r="M1231">
        <v>13600</v>
      </c>
      <c r="N1231">
        <v>72000</v>
      </c>
      <c r="O1231">
        <v>85600</v>
      </c>
      <c r="P1231" t="s">
        <v>35</v>
      </c>
      <c r="Q1231" t="s">
        <v>2360</v>
      </c>
      <c r="R1231" t="s">
        <v>23</v>
      </c>
      <c r="S1231">
        <v>4</v>
      </c>
      <c r="T1231" t="s">
        <v>24</v>
      </c>
      <c r="U1231" t="s">
        <v>2408</v>
      </c>
      <c r="V1231">
        <v>2025</v>
      </c>
      <c r="W1231">
        <v>8</v>
      </c>
    </row>
    <row r="1232" spans="1:23" x14ac:dyDescent="0.25">
      <c r="A1232" t="s">
        <v>2166</v>
      </c>
      <c r="B1232">
        <v>45880.303738425922</v>
      </c>
      <c r="C1232" t="s">
        <v>40</v>
      </c>
      <c r="D1232" t="s">
        <v>27</v>
      </c>
      <c r="E1232" t="s">
        <v>85</v>
      </c>
      <c r="F1232" t="s">
        <v>2394</v>
      </c>
      <c r="G1232" t="s">
        <v>2377</v>
      </c>
      <c r="H1232">
        <v>35000</v>
      </c>
      <c r="I1232">
        <v>4</v>
      </c>
      <c r="J1232">
        <v>20</v>
      </c>
      <c r="K1232">
        <v>140000</v>
      </c>
      <c r="L1232">
        <v>28000</v>
      </c>
      <c r="M1232">
        <v>112000</v>
      </c>
      <c r="N1232">
        <v>17000</v>
      </c>
      <c r="O1232">
        <v>129000</v>
      </c>
      <c r="P1232" t="s">
        <v>29</v>
      </c>
      <c r="Q1232" t="s">
        <v>2360</v>
      </c>
      <c r="R1232" t="s">
        <v>30</v>
      </c>
      <c r="S1232">
        <v>5</v>
      </c>
      <c r="T1232" t="s">
        <v>24</v>
      </c>
      <c r="U1232" t="s">
        <v>2408</v>
      </c>
      <c r="V1232">
        <v>2025</v>
      </c>
      <c r="W1232">
        <v>8</v>
      </c>
    </row>
    <row r="1233" spans="1:23" x14ac:dyDescent="0.25">
      <c r="A1233" t="s">
        <v>2167</v>
      </c>
      <c r="B1233">
        <v>45881.002187500002</v>
      </c>
      <c r="C1233" t="s">
        <v>784</v>
      </c>
      <c r="D1233" t="s">
        <v>116</v>
      </c>
      <c r="E1233" t="s">
        <v>88</v>
      </c>
      <c r="F1233" t="s">
        <v>2393</v>
      </c>
      <c r="G1233" t="s">
        <v>2377</v>
      </c>
      <c r="H1233">
        <v>14000</v>
      </c>
      <c r="I1233">
        <v>3</v>
      </c>
      <c r="J1233">
        <v>10</v>
      </c>
      <c r="K1233">
        <v>42000</v>
      </c>
      <c r="L1233">
        <v>4200</v>
      </c>
      <c r="M1233">
        <v>37800</v>
      </c>
      <c r="N1233">
        <v>72000</v>
      </c>
      <c r="O1233">
        <v>109800</v>
      </c>
      <c r="P1233" t="s">
        <v>22</v>
      </c>
      <c r="Q1233" t="s">
        <v>2357</v>
      </c>
      <c r="R1233" t="s">
        <v>36</v>
      </c>
      <c r="S1233">
        <v>4</v>
      </c>
      <c r="T1233" t="s">
        <v>24</v>
      </c>
      <c r="U1233" t="s">
        <v>2408</v>
      </c>
      <c r="V1233">
        <v>2025</v>
      </c>
      <c r="W1233">
        <v>8</v>
      </c>
    </row>
    <row r="1234" spans="1:23" x14ac:dyDescent="0.25">
      <c r="A1234" t="s">
        <v>2168</v>
      </c>
      <c r="B1234">
        <v>45881.182939814818</v>
      </c>
      <c r="C1234" t="s">
        <v>739</v>
      </c>
      <c r="D1234" t="s">
        <v>177</v>
      </c>
      <c r="E1234" t="s">
        <v>144</v>
      </c>
      <c r="F1234" t="s">
        <v>2396</v>
      </c>
      <c r="G1234" t="s">
        <v>2379</v>
      </c>
      <c r="H1234">
        <v>18000</v>
      </c>
      <c r="I1234">
        <v>5</v>
      </c>
      <c r="J1234">
        <v>15</v>
      </c>
      <c r="K1234">
        <v>90000</v>
      </c>
      <c r="L1234">
        <v>13500</v>
      </c>
      <c r="M1234">
        <v>76500</v>
      </c>
      <c r="N1234">
        <v>56000</v>
      </c>
      <c r="O1234">
        <v>132500</v>
      </c>
      <c r="P1234" t="s">
        <v>29</v>
      </c>
      <c r="Q1234" t="s">
        <v>2357</v>
      </c>
      <c r="R1234" t="s">
        <v>23</v>
      </c>
      <c r="S1234">
        <v>3</v>
      </c>
      <c r="T1234" t="s">
        <v>24</v>
      </c>
      <c r="U1234" t="s">
        <v>2408</v>
      </c>
      <c r="V1234">
        <v>2025</v>
      </c>
      <c r="W1234">
        <v>8</v>
      </c>
    </row>
    <row r="1235" spans="1:23" x14ac:dyDescent="0.25">
      <c r="A1235" t="s">
        <v>2169</v>
      </c>
      <c r="B1235">
        <v>45881.384444444448</v>
      </c>
      <c r="C1235" t="s">
        <v>121</v>
      </c>
      <c r="D1235" t="s">
        <v>122</v>
      </c>
      <c r="E1235" t="s">
        <v>123</v>
      </c>
      <c r="F1235" t="s">
        <v>2399</v>
      </c>
      <c r="G1235" t="s">
        <v>2377</v>
      </c>
      <c r="H1235">
        <v>22000</v>
      </c>
      <c r="I1235">
        <v>1</v>
      </c>
      <c r="J1235">
        <v>15</v>
      </c>
      <c r="K1235">
        <v>22000</v>
      </c>
      <c r="L1235">
        <v>3300</v>
      </c>
      <c r="M1235">
        <v>18700</v>
      </c>
      <c r="N1235">
        <v>78000</v>
      </c>
      <c r="O1235">
        <v>96700</v>
      </c>
      <c r="P1235" t="s">
        <v>35</v>
      </c>
      <c r="Q1235" t="s">
        <v>2358</v>
      </c>
      <c r="R1235" t="s">
        <v>36</v>
      </c>
      <c r="S1235">
        <v>2</v>
      </c>
      <c r="T1235" t="s">
        <v>24</v>
      </c>
      <c r="U1235" t="s">
        <v>2408</v>
      </c>
      <c r="V1235">
        <v>2025</v>
      </c>
      <c r="W1235">
        <v>8</v>
      </c>
    </row>
    <row r="1236" spans="1:23" x14ac:dyDescent="0.25">
      <c r="A1236" t="s">
        <v>2170</v>
      </c>
      <c r="B1236">
        <v>45882.316493055558</v>
      </c>
      <c r="C1236" t="s">
        <v>157</v>
      </c>
      <c r="D1236" t="s">
        <v>20</v>
      </c>
      <c r="E1236" t="s">
        <v>93</v>
      </c>
      <c r="F1236" t="s">
        <v>2399</v>
      </c>
      <c r="G1236" t="s">
        <v>2378</v>
      </c>
      <c r="H1236">
        <v>25000</v>
      </c>
      <c r="I1236">
        <v>4</v>
      </c>
      <c r="J1236">
        <v>20</v>
      </c>
      <c r="K1236">
        <v>100000</v>
      </c>
      <c r="L1236">
        <v>20000</v>
      </c>
      <c r="M1236">
        <v>80000</v>
      </c>
      <c r="N1236">
        <v>15000</v>
      </c>
      <c r="O1236">
        <v>95000</v>
      </c>
      <c r="P1236" t="s">
        <v>22</v>
      </c>
      <c r="Q1236" t="s">
        <v>2357</v>
      </c>
      <c r="R1236" t="s">
        <v>36</v>
      </c>
      <c r="S1236">
        <v>4</v>
      </c>
      <c r="T1236" t="s">
        <v>24</v>
      </c>
      <c r="U1236" t="s">
        <v>2408</v>
      </c>
      <c r="V1236">
        <v>2025</v>
      </c>
      <c r="W1236">
        <v>8</v>
      </c>
    </row>
    <row r="1237" spans="1:23" x14ac:dyDescent="0.25">
      <c r="A1237" t="s">
        <v>2171</v>
      </c>
      <c r="B1237">
        <v>45883.342638888891</v>
      </c>
      <c r="C1237" t="s">
        <v>557</v>
      </c>
      <c r="D1237" t="s">
        <v>173</v>
      </c>
      <c r="E1237" t="s">
        <v>136</v>
      </c>
      <c r="F1237" t="s">
        <v>2400</v>
      </c>
      <c r="G1237" t="s">
        <v>2378</v>
      </c>
      <c r="H1237">
        <v>12000</v>
      </c>
      <c r="I1237">
        <v>1</v>
      </c>
      <c r="J1237">
        <v>15</v>
      </c>
      <c r="K1237">
        <v>12000</v>
      </c>
      <c r="L1237">
        <v>1800</v>
      </c>
      <c r="M1237">
        <v>10200</v>
      </c>
      <c r="N1237">
        <v>49000</v>
      </c>
      <c r="O1237">
        <v>59200</v>
      </c>
      <c r="P1237" t="s">
        <v>29</v>
      </c>
      <c r="Q1237" t="s">
        <v>2360</v>
      </c>
      <c r="R1237" t="s">
        <v>36</v>
      </c>
      <c r="S1237">
        <v>2</v>
      </c>
      <c r="T1237" t="s">
        <v>24</v>
      </c>
      <c r="U1237" t="s">
        <v>2408</v>
      </c>
      <c r="V1237">
        <v>2025</v>
      </c>
      <c r="W1237">
        <v>8</v>
      </c>
    </row>
    <row r="1238" spans="1:23" x14ac:dyDescent="0.25">
      <c r="A1238" t="s">
        <v>2172</v>
      </c>
      <c r="B1238">
        <v>45883.39135416667</v>
      </c>
      <c r="C1238" t="s">
        <v>429</v>
      </c>
      <c r="D1238" t="s">
        <v>177</v>
      </c>
      <c r="E1238" t="s">
        <v>104</v>
      </c>
      <c r="F1238" t="s">
        <v>2392</v>
      </c>
      <c r="G1238" t="s">
        <v>2377</v>
      </c>
      <c r="H1238">
        <v>30000</v>
      </c>
      <c r="I1238">
        <v>5</v>
      </c>
      <c r="J1238">
        <v>5</v>
      </c>
      <c r="K1238">
        <v>150000</v>
      </c>
      <c r="L1238">
        <v>7500</v>
      </c>
      <c r="M1238">
        <v>142500</v>
      </c>
      <c r="N1238">
        <v>56000</v>
      </c>
      <c r="O1238">
        <v>198500</v>
      </c>
      <c r="P1238" t="s">
        <v>35</v>
      </c>
      <c r="Q1238" t="s">
        <v>2360</v>
      </c>
      <c r="R1238" t="s">
        <v>30</v>
      </c>
      <c r="S1238">
        <v>5</v>
      </c>
      <c r="T1238" t="s">
        <v>37</v>
      </c>
      <c r="U1238" t="s">
        <v>2408</v>
      </c>
      <c r="V1238">
        <v>2025</v>
      </c>
      <c r="W1238">
        <v>8</v>
      </c>
    </row>
    <row r="1239" spans="1:23" x14ac:dyDescent="0.25">
      <c r="A1239" t="s">
        <v>2173</v>
      </c>
      <c r="B1239">
        <v>45883.829699074071</v>
      </c>
      <c r="C1239" t="s">
        <v>603</v>
      </c>
      <c r="D1239" t="s">
        <v>53</v>
      </c>
      <c r="E1239" t="s">
        <v>85</v>
      </c>
      <c r="F1239" t="s">
        <v>2394</v>
      </c>
      <c r="G1239" t="s">
        <v>2377</v>
      </c>
      <c r="H1239">
        <v>35000</v>
      </c>
      <c r="I1239">
        <v>3</v>
      </c>
      <c r="J1239">
        <v>20</v>
      </c>
      <c r="K1239">
        <v>105000</v>
      </c>
      <c r="L1239">
        <v>21000</v>
      </c>
      <c r="M1239">
        <v>84000</v>
      </c>
      <c r="N1239">
        <v>18000</v>
      </c>
      <c r="O1239">
        <v>102000</v>
      </c>
      <c r="P1239" t="s">
        <v>22</v>
      </c>
      <c r="Q1239" t="s">
        <v>2358</v>
      </c>
      <c r="R1239" t="s">
        <v>46</v>
      </c>
      <c r="S1239">
        <v>4</v>
      </c>
      <c r="T1239" t="s">
        <v>24</v>
      </c>
      <c r="U1239" t="s">
        <v>2408</v>
      </c>
      <c r="V1239">
        <v>2025</v>
      </c>
      <c r="W1239">
        <v>8</v>
      </c>
    </row>
    <row r="1240" spans="1:23" x14ac:dyDescent="0.25">
      <c r="A1240" t="s">
        <v>2174</v>
      </c>
      <c r="B1240">
        <v>45883.929212962961</v>
      </c>
      <c r="C1240" t="s">
        <v>557</v>
      </c>
      <c r="D1240" t="s">
        <v>173</v>
      </c>
      <c r="E1240" t="s">
        <v>88</v>
      </c>
      <c r="F1240" t="s">
        <v>2393</v>
      </c>
      <c r="G1240" t="s">
        <v>2377</v>
      </c>
      <c r="H1240">
        <v>14000</v>
      </c>
      <c r="I1240">
        <v>5</v>
      </c>
      <c r="J1240">
        <v>15</v>
      </c>
      <c r="K1240">
        <v>70000</v>
      </c>
      <c r="L1240">
        <v>10500</v>
      </c>
      <c r="M1240">
        <v>59500</v>
      </c>
      <c r="N1240">
        <v>49000</v>
      </c>
      <c r="O1240">
        <v>108500</v>
      </c>
      <c r="P1240" t="s">
        <v>35</v>
      </c>
      <c r="Q1240" t="s">
        <v>2358</v>
      </c>
      <c r="R1240" t="s">
        <v>30</v>
      </c>
      <c r="S1240">
        <v>2</v>
      </c>
      <c r="T1240" t="s">
        <v>24</v>
      </c>
      <c r="U1240" t="s">
        <v>2408</v>
      </c>
      <c r="V1240">
        <v>2025</v>
      </c>
      <c r="W1240">
        <v>8</v>
      </c>
    </row>
    <row r="1241" spans="1:23" x14ac:dyDescent="0.25">
      <c r="A1241" t="s">
        <v>2175</v>
      </c>
      <c r="B1241">
        <v>45884.454189814824</v>
      </c>
      <c r="C1241" t="s">
        <v>661</v>
      </c>
      <c r="D1241" t="s">
        <v>49</v>
      </c>
      <c r="E1241" t="s">
        <v>28</v>
      </c>
      <c r="F1241" t="s">
        <v>2395</v>
      </c>
      <c r="G1241" t="s">
        <v>2378</v>
      </c>
      <c r="H1241">
        <v>5000</v>
      </c>
      <c r="I1241">
        <v>1</v>
      </c>
      <c r="J1241">
        <v>15</v>
      </c>
      <c r="K1241">
        <v>5000</v>
      </c>
      <c r="L1241">
        <v>750</v>
      </c>
      <c r="M1241">
        <v>4250</v>
      </c>
      <c r="N1241">
        <v>43000</v>
      </c>
      <c r="O1241">
        <v>47250</v>
      </c>
      <c r="P1241" t="s">
        <v>35</v>
      </c>
      <c r="Q1241" t="s">
        <v>2357</v>
      </c>
      <c r="R1241" t="s">
        <v>82</v>
      </c>
      <c r="S1241">
        <v>4</v>
      </c>
      <c r="T1241" t="s">
        <v>24</v>
      </c>
      <c r="U1241" t="s">
        <v>2408</v>
      </c>
      <c r="V1241">
        <v>2025</v>
      </c>
      <c r="W1241">
        <v>8</v>
      </c>
    </row>
    <row r="1242" spans="1:23" x14ac:dyDescent="0.25">
      <c r="A1242" t="s">
        <v>2176</v>
      </c>
      <c r="B1242">
        <v>45884.779317129629</v>
      </c>
      <c r="C1242" t="s">
        <v>954</v>
      </c>
      <c r="D1242" t="s">
        <v>44</v>
      </c>
      <c r="E1242" t="s">
        <v>88</v>
      </c>
      <c r="F1242" t="s">
        <v>2393</v>
      </c>
      <c r="G1242" t="s">
        <v>2377</v>
      </c>
      <c r="H1242">
        <v>14000</v>
      </c>
      <c r="I1242">
        <v>4</v>
      </c>
      <c r="J1242">
        <v>0</v>
      </c>
      <c r="K1242">
        <v>56000</v>
      </c>
      <c r="L1242">
        <v>0</v>
      </c>
      <c r="M1242">
        <v>56000</v>
      </c>
      <c r="N1242">
        <v>93000</v>
      </c>
      <c r="O1242">
        <v>149000</v>
      </c>
      <c r="P1242" t="s">
        <v>29</v>
      </c>
      <c r="Q1242" t="s">
        <v>2357</v>
      </c>
      <c r="R1242" t="s">
        <v>36</v>
      </c>
      <c r="S1242">
        <v>1</v>
      </c>
      <c r="T1242" t="s">
        <v>24</v>
      </c>
      <c r="U1242" t="s">
        <v>2408</v>
      </c>
      <c r="V1242">
        <v>2025</v>
      </c>
      <c r="W1242">
        <v>8</v>
      </c>
    </row>
    <row r="1243" spans="1:23" x14ac:dyDescent="0.25">
      <c r="A1243" t="s">
        <v>2177</v>
      </c>
      <c r="B1243">
        <v>45884.830428240741</v>
      </c>
      <c r="C1243" t="s">
        <v>609</v>
      </c>
      <c r="D1243" t="s">
        <v>80</v>
      </c>
      <c r="E1243" t="s">
        <v>250</v>
      </c>
      <c r="F1243" t="s">
        <v>2397</v>
      </c>
      <c r="G1243" t="s">
        <v>2379</v>
      </c>
      <c r="H1243">
        <v>18000</v>
      </c>
      <c r="I1243">
        <v>1</v>
      </c>
      <c r="J1243">
        <v>0</v>
      </c>
      <c r="K1243">
        <v>18000</v>
      </c>
      <c r="L1243">
        <v>0</v>
      </c>
      <c r="M1243">
        <v>18000</v>
      </c>
      <c r="N1243">
        <v>74000</v>
      </c>
      <c r="O1243">
        <v>92000</v>
      </c>
      <c r="P1243" t="s">
        <v>29</v>
      </c>
      <c r="Q1243" t="s">
        <v>2359</v>
      </c>
      <c r="R1243" t="s">
        <v>46</v>
      </c>
      <c r="S1243">
        <v>5</v>
      </c>
      <c r="T1243" t="s">
        <v>24</v>
      </c>
      <c r="U1243" t="s">
        <v>2408</v>
      </c>
      <c r="V1243">
        <v>2025</v>
      </c>
      <c r="W1243">
        <v>8</v>
      </c>
    </row>
    <row r="1244" spans="1:23" x14ac:dyDescent="0.25">
      <c r="A1244" t="s">
        <v>2178</v>
      </c>
      <c r="B1244">
        <v>45884.947256944448</v>
      </c>
      <c r="C1244" t="s">
        <v>1741</v>
      </c>
      <c r="D1244" t="s">
        <v>44</v>
      </c>
      <c r="E1244" t="s">
        <v>81</v>
      </c>
      <c r="F1244" t="s">
        <v>2397</v>
      </c>
      <c r="G1244" t="s">
        <v>2378</v>
      </c>
      <c r="H1244">
        <v>17000</v>
      </c>
      <c r="I1244">
        <v>2</v>
      </c>
      <c r="J1244">
        <v>0</v>
      </c>
      <c r="K1244">
        <v>34000</v>
      </c>
      <c r="L1244">
        <v>0</v>
      </c>
      <c r="M1244">
        <v>34000</v>
      </c>
      <c r="N1244">
        <v>93000</v>
      </c>
      <c r="O1244">
        <v>127000</v>
      </c>
      <c r="P1244" t="s">
        <v>63</v>
      </c>
      <c r="Q1244" t="s">
        <v>2358</v>
      </c>
      <c r="R1244" t="s">
        <v>82</v>
      </c>
      <c r="S1244">
        <v>2</v>
      </c>
      <c r="T1244" t="s">
        <v>24</v>
      </c>
      <c r="U1244" t="s">
        <v>2408</v>
      </c>
      <c r="V1244">
        <v>2025</v>
      </c>
      <c r="W1244">
        <v>8</v>
      </c>
    </row>
    <row r="1245" spans="1:23" x14ac:dyDescent="0.25">
      <c r="A1245" t="s">
        <v>2179</v>
      </c>
      <c r="B1245">
        <v>45885.059756944444</v>
      </c>
      <c r="C1245" t="s">
        <v>1130</v>
      </c>
      <c r="D1245" t="s">
        <v>122</v>
      </c>
      <c r="E1245" t="s">
        <v>123</v>
      </c>
      <c r="F1245" t="s">
        <v>2399</v>
      </c>
      <c r="G1245" t="s">
        <v>2377</v>
      </c>
      <c r="H1245">
        <v>22000</v>
      </c>
      <c r="I1245">
        <v>5</v>
      </c>
      <c r="J1245">
        <v>0</v>
      </c>
      <c r="K1245">
        <v>110000</v>
      </c>
      <c r="L1245">
        <v>0</v>
      </c>
      <c r="M1245">
        <v>110000</v>
      </c>
      <c r="N1245">
        <v>78000</v>
      </c>
      <c r="O1245">
        <v>188000</v>
      </c>
      <c r="P1245" t="s">
        <v>22</v>
      </c>
      <c r="Q1245" t="s">
        <v>2358</v>
      </c>
      <c r="R1245" t="s">
        <v>23</v>
      </c>
      <c r="S1245">
        <v>2</v>
      </c>
      <c r="T1245" t="s">
        <v>24</v>
      </c>
      <c r="U1245" t="s">
        <v>2408</v>
      </c>
      <c r="V1245">
        <v>2025</v>
      </c>
      <c r="W1245">
        <v>8</v>
      </c>
    </row>
    <row r="1246" spans="1:23" x14ac:dyDescent="0.25">
      <c r="A1246" t="s">
        <v>2180</v>
      </c>
      <c r="B1246">
        <v>45885.09584490741</v>
      </c>
      <c r="C1246" t="s">
        <v>1270</v>
      </c>
      <c r="D1246" t="s">
        <v>182</v>
      </c>
      <c r="E1246" t="s">
        <v>85</v>
      </c>
      <c r="F1246" t="s">
        <v>2394</v>
      </c>
      <c r="G1246" t="s">
        <v>2377</v>
      </c>
      <c r="H1246">
        <v>35000</v>
      </c>
      <c r="I1246">
        <v>3</v>
      </c>
      <c r="J1246">
        <v>15</v>
      </c>
      <c r="K1246">
        <v>105000</v>
      </c>
      <c r="L1246">
        <v>15750</v>
      </c>
      <c r="M1246">
        <v>89250</v>
      </c>
      <c r="N1246">
        <v>48000</v>
      </c>
      <c r="O1246">
        <v>137250</v>
      </c>
      <c r="P1246" t="s">
        <v>63</v>
      </c>
      <c r="Q1246" t="s">
        <v>2360</v>
      </c>
      <c r="R1246" t="s">
        <v>82</v>
      </c>
      <c r="S1246">
        <v>5</v>
      </c>
      <c r="T1246" t="s">
        <v>24</v>
      </c>
      <c r="U1246" t="s">
        <v>2408</v>
      </c>
      <c r="V1246">
        <v>2025</v>
      </c>
      <c r="W1246">
        <v>8</v>
      </c>
    </row>
    <row r="1247" spans="1:23" x14ac:dyDescent="0.25">
      <c r="A1247" t="s">
        <v>2181</v>
      </c>
      <c r="B1247">
        <v>45885.577060185176</v>
      </c>
      <c r="C1247" t="s">
        <v>486</v>
      </c>
      <c r="D1247" t="s">
        <v>182</v>
      </c>
      <c r="E1247" t="s">
        <v>45</v>
      </c>
      <c r="F1247" t="s">
        <v>2394</v>
      </c>
      <c r="G1247" t="s">
        <v>2378</v>
      </c>
      <c r="H1247">
        <v>40000</v>
      </c>
      <c r="I1247">
        <v>2</v>
      </c>
      <c r="J1247">
        <v>15</v>
      </c>
      <c r="K1247">
        <v>80000</v>
      </c>
      <c r="L1247">
        <v>12000</v>
      </c>
      <c r="M1247">
        <v>68000</v>
      </c>
      <c r="N1247">
        <v>48000</v>
      </c>
      <c r="O1247">
        <v>116000</v>
      </c>
      <c r="P1247" t="s">
        <v>63</v>
      </c>
      <c r="Q1247" t="s">
        <v>2360</v>
      </c>
      <c r="R1247" t="s">
        <v>46</v>
      </c>
      <c r="S1247">
        <v>3</v>
      </c>
      <c r="T1247" t="s">
        <v>24</v>
      </c>
      <c r="U1247" t="s">
        <v>2408</v>
      </c>
      <c r="V1247">
        <v>2025</v>
      </c>
      <c r="W1247">
        <v>8</v>
      </c>
    </row>
    <row r="1248" spans="1:23" x14ac:dyDescent="0.25">
      <c r="A1248" t="s">
        <v>2182</v>
      </c>
      <c r="B1248">
        <v>45885.601134259261</v>
      </c>
      <c r="C1248" t="s">
        <v>499</v>
      </c>
      <c r="D1248" t="s">
        <v>131</v>
      </c>
      <c r="E1248" t="s">
        <v>190</v>
      </c>
      <c r="F1248" t="s">
        <v>2392</v>
      </c>
      <c r="G1248" t="s">
        <v>2378</v>
      </c>
      <c r="H1248">
        <v>35000</v>
      </c>
      <c r="I1248">
        <v>4</v>
      </c>
      <c r="J1248">
        <v>0</v>
      </c>
      <c r="K1248">
        <v>140000</v>
      </c>
      <c r="L1248">
        <v>0</v>
      </c>
      <c r="M1248">
        <v>140000</v>
      </c>
      <c r="N1248">
        <v>59000</v>
      </c>
      <c r="O1248">
        <v>199000</v>
      </c>
      <c r="P1248" t="s">
        <v>35</v>
      </c>
      <c r="Q1248" t="s">
        <v>2357</v>
      </c>
      <c r="R1248" t="s">
        <v>30</v>
      </c>
      <c r="S1248">
        <v>1</v>
      </c>
      <c r="T1248" t="s">
        <v>24</v>
      </c>
      <c r="U1248" t="s">
        <v>2408</v>
      </c>
      <c r="V1248">
        <v>2025</v>
      </c>
      <c r="W1248">
        <v>8</v>
      </c>
    </row>
    <row r="1249" spans="1:23" x14ac:dyDescent="0.25">
      <c r="A1249" t="s">
        <v>2183</v>
      </c>
      <c r="B1249">
        <v>45885.71199074074</v>
      </c>
      <c r="C1249" t="s">
        <v>1087</v>
      </c>
      <c r="D1249" t="s">
        <v>143</v>
      </c>
      <c r="E1249" t="s">
        <v>28</v>
      </c>
      <c r="F1249" t="s">
        <v>2395</v>
      </c>
      <c r="G1249" t="s">
        <v>2378</v>
      </c>
      <c r="H1249">
        <v>5000</v>
      </c>
      <c r="I1249">
        <v>2</v>
      </c>
      <c r="J1249">
        <v>15</v>
      </c>
      <c r="K1249">
        <v>10000</v>
      </c>
      <c r="L1249">
        <v>1500</v>
      </c>
      <c r="M1249">
        <v>8500</v>
      </c>
      <c r="N1249">
        <v>50000</v>
      </c>
      <c r="O1249">
        <v>58500</v>
      </c>
      <c r="P1249" t="s">
        <v>35</v>
      </c>
      <c r="Q1249" t="s">
        <v>2357</v>
      </c>
      <c r="R1249" t="s">
        <v>30</v>
      </c>
      <c r="S1249">
        <v>5</v>
      </c>
      <c r="T1249" t="s">
        <v>24</v>
      </c>
      <c r="U1249" t="s">
        <v>2408</v>
      </c>
      <c r="V1249">
        <v>2025</v>
      </c>
      <c r="W1249">
        <v>8</v>
      </c>
    </row>
    <row r="1250" spans="1:23" x14ac:dyDescent="0.25">
      <c r="A1250" t="s">
        <v>2184</v>
      </c>
      <c r="B1250">
        <v>45885.823240740741</v>
      </c>
      <c r="C1250" t="s">
        <v>233</v>
      </c>
      <c r="D1250" t="s">
        <v>113</v>
      </c>
      <c r="E1250" t="s">
        <v>21</v>
      </c>
      <c r="F1250" t="s">
        <v>2394</v>
      </c>
      <c r="G1250" t="s">
        <v>2379</v>
      </c>
      <c r="H1250">
        <v>45000</v>
      </c>
      <c r="I1250">
        <v>3</v>
      </c>
      <c r="J1250">
        <v>0</v>
      </c>
      <c r="K1250">
        <v>135000</v>
      </c>
      <c r="L1250">
        <v>0</v>
      </c>
      <c r="M1250">
        <v>135000</v>
      </c>
      <c r="N1250">
        <v>18000</v>
      </c>
      <c r="O1250">
        <v>153000</v>
      </c>
      <c r="P1250" t="s">
        <v>63</v>
      </c>
      <c r="Q1250" t="s">
        <v>2360</v>
      </c>
      <c r="R1250" t="s">
        <v>30</v>
      </c>
      <c r="S1250">
        <v>3</v>
      </c>
      <c r="T1250" t="s">
        <v>37</v>
      </c>
      <c r="U1250" t="s">
        <v>2408</v>
      </c>
      <c r="V1250">
        <v>2025</v>
      </c>
      <c r="W1250">
        <v>8</v>
      </c>
    </row>
    <row r="1251" spans="1:23" x14ac:dyDescent="0.25">
      <c r="A1251" t="s">
        <v>2185</v>
      </c>
      <c r="B1251">
        <v>45885.877523148149</v>
      </c>
      <c r="C1251" t="s">
        <v>2080</v>
      </c>
      <c r="D1251" t="s">
        <v>262</v>
      </c>
      <c r="E1251" t="s">
        <v>110</v>
      </c>
      <c r="F1251" t="s">
        <v>2395</v>
      </c>
      <c r="G1251" t="s">
        <v>2379</v>
      </c>
      <c r="H1251">
        <v>6000</v>
      </c>
      <c r="I1251">
        <v>4</v>
      </c>
      <c r="J1251">
        <v>20</v>
      </c>
      <c r="K1251">
        <v>24000</v>
      </c>
      <c r="L1251">
        <v>4800</v>
      </c>
      <c r="M1251">
        <v>19200</v>
      </c>
      <c r="N1251">
        <v>18000</v>
      </c>
      <c r="O1251">
        <v>37200</v>
      </c>
      <c r="P1251" t="s">
        <v>22</v>
      </c>
      <c r="Q1251" t="s">
        <v>2359</v>
      </c>
      <c r="R1251" t="s">
        <v>46</v>
      </c>
      <c r="S1251">
        <v>1</v>
      </c>
      <c r="T1251" t="s">
        <v>24</v>
      </c>
      <c r="U1251" t="s">
        <v>2408</v>
      </c>
      <c r="V1251">
        <v>2025</v>
      </c>
      <c r="W1251">
        <v>8</v>
      </c>
    </row>
    <row r="1252" spans="1:23" x14ac:dyDescent="0.25">
      <c r="A1252" t="s">
        <v>2186</v>
      </c>
      <c r="B1252">
        <v>45886.045578703714</v>
      </c>
      <c r="C1252" t="s">
        <v>443</v>
      </c>
      <c r="D1252" t="s">
        <v>53</v>
      </c>
      <c r="E1252" t="s">
        <v>71</v>
      </c>
      <c r="F1252" t="s">
        <v>2392</v>
      </c>
      <c r="G1252" t="s">
        <v>2379</v>
      </c>
      <c r="H1252">
        <v>40000</v>
      </c>
      <c r="I1252">
        <v>2</v>
      </c>
      <c r="J1252">
        <v>15</v>
      </c>
      <c r="K1252">
        <v>80000</v>
      </c>
      <c r="L1252">
        <v>12000</v>
      </c>
      <c r="M1252">
        <v>68000</v>
      </c>
      <c r="N1252">
        <v>18000</v>
      </c>
      <c r="O1252">
        <v>86000</v>
      </c>
      <c r="P1252" t="s">
        <v>29</v>
      </c>
      <c r="Q1252" t="s">
        <v>2358</v>
      </c>
      <c r="R1252" t="s">
        <v>30</v>
      </c>
      <c r="S1252">
        <v>1</v>
      </c>
      <c r="T1252" t="s">
        <v>24</v>
      </c>
      <c r="U1252" t="s">
        <v>2408</v>
      </c>
      <c r="V1252">
        <v>2025</v>
      </c>
      <c r="W1252">
        <v>8</v>
      </c>
    </row>
    <row r="1253" spans="1:23" x14ac:dyDescent="0.25">
      <c r="A1253" t="s">
        <v>2187</v>
      </c>
      <c r="B1253">
        <v>45886.046724537038</v>
      </c>
      <c r="C1253" t="s">
        <v>464</v>
      </c>
      <c r="D1253" t="s">
        <v>296</v>
      </c>
      <c r="E1253" t="s">
        <v>38</v>
      </c>
      <c r="F1253" t="s">
        <v>2399</v>
      </c>
      <c r="G1253" t="s">
        <v>2379</v>
      </c>
      <c r="H1253">
        <v>28000</v>
      </c>
      <c r="I1253">
        <v>3</v>
      </c>
      <c r="J1253">
        <v>0</v>
      </c>
      <c r="K1253">
        <v>84000</v>
      </c>
      <c r="L1253">
        <v>0</v>
      </c>
      <c r="M1253">
        <v>84000</v>
      </c>
      <c r="N1253">
        <v>79000</v>
      </c>
      <c r="O1253">
        <v>163000</v>
      </c>
      <c r="P1253" t="s">
        <v>29</v>
      </c>
      <c r="Q1253" t="s">
        <v>2356</v>
      </c>
      <c r="R1253" t="s">
        <v>46</v>
      </c>
      <c r="S1253">
        <v>4</v>
      </c>
      <c r="T1253" t="s">
        <v>37</v>
      </c>
      <c r="U1253" t="s">
        <v>2408</v>
      </c>
      <c r="V1253">
        <v>2025</v>
      </c>
      <c r="W1253">
        <v>8</v>
      </c>
    </row>
    <row r="1254" spans="1:23" x14ac:dyDescent="0.25">
      <c r="A1254" t="s">
        <v>2188</v>
      </c>
      <c r="B1254">
        <v>45886.194131944438</v>
      </c>
      <c r="C1254" t="s">
        <v>283</v>
      </c>
      <c r="D1254" t="s">
        <v>92</v>
      </c>
      <c r="E1254" t="s">
        <v>174</v>
      </c>
      <c r="F1254" t="s">
        <v>2400</v>
      </c>
      <c r="G1254" t="s">
        <v>2377</v>
      </c>
      <c r="H1254">
        <v>10000</v>
      </c>
      <c r="I1254">
        <v>2</v>
      </c>
      <c r="J1254">
        <v>5</v>
      </c>
      <c r="K1254">
        <v>20000</v>
      </c>
      <c r="L1254">
        <v>1000</v>
      </c>
      <c r="M1254">
        <v>19000</v>
      </c>
      <c r="N1254">
        <v>30000</v>
      </c>
      <c r="O1254">
        <v>49000</v>
      </c>
      <c r="P1254" t="s">
        <v>63</v>
      </c>
      <c r="Q1254" t="s">
        <v>2359</v>
      </c>
      <c r="R1254" t="s">
        <v>36</v>
      </c>
      <c r="S1254">
        <v>5</v>
      </c>
      <c r="T1254" t="s">
        <v>24</v>
      </c>
      <c r="U1254" t="s">
        <v>2408</v>
      </c>
      <c r="V1254">
        <v>2025</v>
      </c>
      <c r="W1254">
        <v>8</v>
      </c>
    </row>
    <row r="1255" spans="1:23" x14ac:dyDescent="0.25">
      <c r="A1255" t="s">
        <v>2188</v>
      </c>
      <c r="B1255">
        <v>45886.194131944438</v>
      </c>
      <c r="C1255" t="s">
        <v>283</v>
      </c>
      <c r="D1255" t="s">
        <v>92</v>
      </c>
      <c r="E1255" t="s">
        <v>38</v>
      </c>
      <c r="F1255" t="s">
        <v>2399</v>
      </c>
      <c r="G1255" t="s">
        <v>2379</v>
      </c>
      <c r="H1255">
        <v>28000</v>
      </c>
      <c r="I1255">
        <v>2</v>
      </c>
      <c r="J1255">
        <v>0</v>
      </c>
      <c r="K1255">
        <v>56000</v>
      </c>
      <c r="L1255">
        <v>0</v>
      </c>
      <c r="M1255">
        <v>56000</v>
      </c>
      <c r="N1255">
        <v>0</v>
      </c>
      <c r="O1255">
        <v>56000</v>
      </c>
      <c r="P1255" t="s">
        <v>63</v>
      </c>
      <c r="Q1255" t="s">
        <v>2359</v>
      </c>
      <c r="R1255" t="s">
        <v>36</v>
      </c>
      <c r="S1255">
        <v>5</v>
      </c>
      <c r="T1255" t="s">
        <v>24</v>
      </c>
      <c r="U1255" t="s">
        <v>2408</v>
      </c>
      <c r="V1255">
        <v>2025</v>
      </c>
      <c r="W1255">
        <v>8</v>
      </c>
    </row>
    <row r="1256" spans="1:23" x14ac:dyDescent="0.25">
      <c r="A1256" t="s">
        <v>2189</v>
      </c>
      <c r="B1256">
        <v>45886.232314814813</v>
      </c>
      <c r="C1256" t="s">
        <v>774</v>
      </c>
      <c r="D1256" t="s">
        <v>262</v>
      </c>
      <c r="E1256" t="s">
        <v>50</v>
      </c>
      <c r="F1256" t="s">
        <v>2400</v>
      </c>
      <c r="G1256" t="s">
        <v>2379</v>
      </c>
      <c r="H1256">
        <v>14000</v>
      </c>
      <c r="I1256">
        <v>3</v>
      </c>
      <c r="J1256">
        <v>0</v>
      </c>
      <c r="K1256">
        <v>42000</v>
      </c>
      <c r="L1256">
        <v>0</v>
      </c>
      <c r="M1256">
        <v>42000</v>
      </c>
      <c r="N1256">
        <v>18000</v>
      </c>
      <c r="O1256">
        <v>60000</v>
      </c>
      <c r="P1256" t="s">
        <v>22</v>
      </c>
      <c r="Q1256" t="s">
        <v>2357</v>
      </c>
      <c r="R1256" t="s">
        <v>36</v>
      </c>
      <c r="S1256">
        <v>5</v>
      </c>
      <c r="T1256" t="s">
        <v>24</v>
      </c>
      <c r="U1256" t="s">
        <v>2408</v>
      </c>
      <c r="V1256">
        <v>2025</v>
      </c>
      <c r="W1256">
        <v>8</v>
      </c>
    </row>
    <row r="1257" spans="1:23" x14ac:dyDescent="0.25">
      <c r="A1257" t="s">
        <v>2190</v>
      </c>
      <c r="B1257">
        <v>45886.373888888891</v>
      </c>
      <c r="C1257" t="s">
        <v>1098</v>
      </c>
      <c r="D1257" t="s">
        <v>126</v>
      </c>
      <c r="E1257" t="s">
        <v>174</v>
      </c>
      <c r="F1257" t="s">
        <v>2400</v>
      </c>
      <c r="G1257" t="s">
        <v>2377</v>
      </c>
      <c r="H1257">
        <v>10000</v>
      </c>
      <c r="I1257">
        <v>4</v>
      </c>
      <c r="J1257">
        <v>20</v>
      </c>
      <c r="K1257">
        <v>40000</v>
      </c>
      <c r="L1257">
        <v>8000</v>
      </c>
      <c r="M1257">
        <v>32000</v>
      </c>
      <c r="N1257">
        <v>84000</v>
      </c>
      <c r="O1257">
        <v>116000</v>
      </c>
      <c r="P1257" t="s">
        <v>35</v>
      </c>
      <c r="Q1257" t="s">
        <v>2357</v>
      </c>
      <c r="R1257" t="s">
        <v>30</v>
      </c>
      <c r="S1257">
        <v>1</v>
      </c>
      <c r="T1257" t="s">
        <v>37</v>
      </c>
      <c r="U1257" t="s">
        <v>2408</v>
      </c>
      <c r="V1257">
        <v>2025</v>
      </c>
      <c r="W1257">
        <v>8</v>
      </c>
    </row>
    <row r="1258" spans="1:23" x14ac:dyDescent="0.25">
      <c r="A1258" t="s">
        <v>2191</v>
      </c>
      <c r="B1258">
        <v>45886.488275462973</v>
      </c>
      <c r="C1258" t="s">
        <v>1066</v>
      </c>
      <c r="D1258" t="s">
        <v>113</v>
      </c>
      <c r="E1258" t="s">
        <v>110</v>
      </c>
      <c r="F1258" t="s">
        <v>2395</v>
      </c>
      <c r="G1258" t="s">
        <v>2379</v>
      </c>
      <c r="H1258">
        <v>6000</v>
      </c>
      <c r="I1258">
        <v>3</v>
      </c>
      <c r="J1258">
        <v>15</v>
      </c>
      <c r="K1258">
        <v>18000</v>
      </c>
      <c r="L1258">
        <v>2700</v>
      </c>
      <c r="M1258">
        <v>15300</v>
      </c>
      <c r="N1258">
        <v>18000</v>
      </c>
      <c r="O1258">
        <v>33300</v>
      </c>
      <c r="P1258" t="s">
        <v>22</v>
      </c>
      <c r="Q1258" t="s">
        <v>2358</v>
      </c>
      <c r="R1258" t="s">
        <v>82</v>
      </c>
      <c r="S1258">
        <v>4</v>
      </c>
      <c r="T1258" t="s">
        <v>24</v>
      </c>
      <c r="U1258" t="s">
        <v>2408</v>
      </c>
      <c r="V1258">
        <v>2025</v>
      </c>
      <c r="W1258">
        <v>8</v>
      </c>
    </row>
    <row r="1259" spans="1:23" x14ac:dyDescent="0.25">
      <c r="A1259" t="s">
        <v>2192</v>
      </c>
      <c r="B1259">
        <v>45886.649131944447</v>
      </c>
      <c r="C1259" t="s">
        <v>441</v>
      </c>
      <c r="D1259" t="s">
        <v>116</v>
      </c>
      <c r="E1259" t="s">
        <v>110</v>
      </c>
      <c r="F1259" t="s">
        <v>2395</v>
      </c>
      <c r="G1259" t="s">
        <v>2379</v>
      </c>
      <c r="H1259">
        <v>6000</v>
      </c>
      <c r="I1259">
        <v>5</v>
      </c>
      <c r="J1259">
        <v>0</v>
      </c>
      <c r="K1259">
        <v>30000</v>
      </c>
      <c r="L1259">
        <v>0</v>
      </c>
      <c r="M1259">
        <v>30000</v>
      </c>
      <c r="N1259">
        <v>72000</v>
      </c>
      <c r="O1259">
        <v>102000</v>
      </c>
      <c r="P1259" t="s">
        <v>22</v>
      </c>
      <c r="Q1259" t="s">
        <v>2360</v>
      </c>
      <c r="R1259" t="s">
        <v>82</v>
      </c>
      <c r="S1259">
        <v>2</v>
      </c>
      <c r="T1259" t="s">
        <v>37</v>
      </c>
      <c r="U1259" t="s">
        <v>2408</v>
      </c>
      <c r="V1259">
        <v>2025</v>
      </c>
      <c r="W1259">
        <v>8</v>
      </c>
    </row>
    <row r="1260" spans="1:23" x14ac:dyDescent="0.25">
      <c r="A1260" t="s">
        <v>2193</v>
      </c>
      <c r="B1260">
        <v>45886.809108796297</v>
      </c>
      <c r="C1260" t="s">
        <v>218</v>
      </c>
      <c r="D1260" t="s">
        <v>170</v>
      </c>
      <c r="E1260" t="s">
        <v>62</v>
      </c>
      <c r="F1260" t="s">
        <v>2398</v>
      </c>
      <c r="G1260" t="s">
        <v>2378</v>
      </c>
      <c r="H1260">
        <v>50000</v>
      </c>
      <c r="I1260">
        <v>3</v>
      </c>
      <c r="J1260">
        <v>15</v>
      </c>
      <c r="K1260">
        <v>150000</v>
      </c>
      <c r="L1260">
        <v>22500</v>
      </c>
      <c r="M1260">
        <v>127500</v>
      </c>
      <c r="N1260">
        <v>46000</v>
      </c>
      <c r="O1260">
        <v>173500</v>
      </c>
      <c r="P1260" t="s">
        <v>22</v>
      </c>
      <c r="Q1260" t="s">
        <v>2357</v>
      </c>
      <c r="R1260" t="s">
        <v>30</v>
      </c>
      <c r="S1260">
        <v>2</v>
      </c>
      <c r="T1260" t="s">
        <v>24</v>
      </c>
      <c r="U1260" t="s">
        <v>2408</v>
      </c>
      <c r="V1260">
        <v>2025</v>
      </c>
      <c r="W1260">
        <v>8</v>
      </c>
    </row>
    <row r="1261" spans="1:23" x14ac:dyDescent="0.25">
      <c r="A1261" t="s">
        <v>2194</v>
      </c>
      <c r="B1261">
        <v>45886.835694444453</v>
      </c>
      <c r="C1261" t="s">
        <v>2195</v>
      </c>
      <c r="D1261" t="s">
        <v>238</v>
      </c>
      <c r="E1261" t="s">
        <v>41</v>
      </c>
      <c r="F1261" t="s">
        <v>2395</v>
      </c>
      <c r="G1261" t="s">
        <v>2377</v>
      </c>
      <c r="H1261">
        <v>4000</v>
      </c>
      <c r="I1261">
        <v>5</v>
      </c>
      <c r="J1261">
        <v>5</v>
      </c>
      <c r="K1261">
        <v>20000</v>
      </c>
      <c r="L1261">
        <v>1000</v>
      </c>
      <c r="M1261">
        <v>19000</v>
      </c>
      <c r="N1261">
        <v>28000</v>
      </c>
      <c r="O1261">
        <v>47000</v>
      </c>
      <c r="P1261" t="s">
        <v>29</v>
      </c>
      <c r="Q1261" t="s">
        <v>2360</v>
      </c>
      <c r="R1261" t="s">
        <v>23</v>
      </c>
      <c r="S1261">
        <v>1</v>
      </c>
      <c r="T1261" t="s">
        <v>24</v>
      </c>
      <c r="U1261" t="s">
        <v>2408</v>
      </c>
      <c r="V1261">
        <v>2025</v>
      </c>
      <c r="W1261">
        <v>8</v>
      </c>
    </row>
    <row r="1262" spans="1:23" x14ac:dyDescent="0.25">
      <c r="A1262" t="s">
        <v>2196</v>
      </c>
      <c r="B1262">
        <v>45887.202337962961</v>
      </c>
      <c r="C1262" t="s">
        <v>194</v>
      </c>
      <c r="D1262" t="s">
        <v>195</v>
      </c>
      <c r="E1262" t="s">
        <v>34</v>
      </c>
      <c r="F1262" t="s">
        <v>2397</v>
      </c>
      <c r="G1262" t="s">
        <v>2377</v>
      </c>
      <c r="H1262">
        <v>16000</v>
      </c>
      <c r="I1262">
        <v>4</v>
      </c>
      <c r="J1262">
        <v>5</v>
      </c>
      <c r="K1262">
        <v>64000</v>
      </c>
      <c r="L1262">
        <v>3200</v>
      </c>
      <c r="M1262">
        <v>60800</v>
      </c>
      <c r="N1262">
        <v>87000</v>
      </c>
      <c r="O1262">
        <v>147800</v>
      </c>
      <c r="P1262" t="s">
        <v>29</v>
      </c>
      <c r="Q1262" t="s">
        <v>2360</v>
      </c>
      <c r="R1262" t="s">
        <v>23</v>
      </c>
      <c r="S1262">
        <v>4</v>
      </c>
      <c r="T1262" t="s">
        <v>24</v>
      </c>
      <c r="U1262" t="s">
        <v>2408</v>
      </c>
      <c r="V1262">
        <v>2025</v>
      </c>
      <c r="W1262">
        <v>8</v>
      </c>
    </row>
    <row r="1263" spans="1:23" x14ac:dyDescent="0.25">
      <c r="A1263" t="s">
        <v>2197</v>
      </c>
      <c r="B1263">
        <v>45887.460578703707</v>
      </c>
      <c r="C1263" t="s">
        <v>331</v>
      </c>
      <c r="D1263" t="s">
        <v>20</v>
      </c>
      <c r="E1263" t="s">
        <v>186</v>
      </c>
      <c r="F1263" t="s">
        <v>2398</v>
      </c>
      <c r="G1263" t="s">
        <v>2377</v>
      </c>
      <c r="H1263">
        <v>45000</v>
      </c>
      <c r="I1263">
        <v>2</v>
      </c>
      <c r="J1263">
        <v>10</v>
      </c>
      <c r="K1263">
        <v>90000</v>
      </c>
      <c r="L1263">
        <v>9000</v>
      </c>
      <c r="M1263">
        <v>81000</v>
      </c>
      <c r="N1263">
        <v>15000</v>
      </c>
      <c r="O1263">
        <v>96000</v>
      </c>
      <c r="P1263" t="s">
        <v>35</v>
      </c>
      <c r="Q1263" t="s">
        <v>2357</v>
      </c>
      <c r="R1263" t="s">
        <v>36</v>
      </c>
      <c r="S1263">
        <v>5</v>
      </c>
      <c r="T1263" t="s">
        <v>37</v>
      </c>
      <c r="U1263" t="s">
        <v>2408</v>
      </c>
      <c r="V1263">
        <v>2025</v>
      </c>
      <c r="W1263">
        <v>8</v>
      </c>
    </row>
    <row r="1264" spans="1:23" x14ac:dyDescent="0.25">
      <c r="A1264" t="s">
        <v>2198</v>
      </c>
      <c r="B1264">
        <v>45887.619583333333</v>
      </c>
      <c r="C1264" t="s">
        <v>451</v>
      </c>
      <c r="D1264" t="s">
        <v>116</v>
      </c>
      <c r="E1264" t="s">
        <v>75</v>
      </c>
      <c r="F1264" t="s">
        <v>2398</v>
      </c>
      <c r="G1264" t="s">
        <v>2379</v>
      </c>
      <c r="H1264">
        <v>55000</v>
      </c>
      <c r="I1264">
        <v>5</v>
      </c>
      <c r="J1264">
        <v>10</v>
      </c>
      <c r="K1264">
        <v>275000</v>
      </c>
      <c r="L1264">
        <v>27500</v>
      </c>
      <c r="M1264">
        <v>247500</v>
      </c>
      <c r="N1264">
        <v>72000</v>
      </c>
      <c r="O1264">
        <v>319500</v>
      </c>
      <c r="P1264" t="s">
        <v>29</v>
      </c>
      <c r="Q1264" t="s">
        <v>2357</v>
      </c>
      <c r="R1264" t="s">
        <v>46</v>
      </c>
      <c r="S1264">
        <v>4</v>
      </c>
      <c r="T1264" t="s">
        <v>24</v>
      </c>
      <c r="U1264" t="s">
        <v>2408</v>
      </c>
      <c r="V1264">
        <v>2025</v>
      </c>
      <c r="W1264">
        <v>8</v>
      </c>
    </row>
    <row r="1265" spans="1:23" x14ac:dyDescent="0.25">
      <c r="A1265" t="s">
        <v>2199</v>
      </c>
      <c r="B1265">
        <v>45887.642928240741</v>
      </c>
      <c r="C1265" t="s">
        <v>468</v>
      </c>
      <c r="D1265" t="s">
        <v>163</v>
      </c>
      <c r="E1265" t="s">
        <v>93</v>
      </c>
      <c r="F1265" t="s">
        <v>2399</v>
      </c>
      <c r="G1265" t="s">
        <v>2378</v>
      </c>
      <c r="H1265">
        <v>25000</v>
      </c>
      <c r="I1265">
        <v>4</v>
      </c>
      <c r="J1265">
        <v>20</v>
      </c>
      <c r="K1265">
        <v>100000</v>
      </c>
      <c r="L1265">
        <v>20000</v>
      </c>
      <c r="M1265">
        <v>80000</v>
      </c>
      <c r="N1265">
        <v>50000</v>
      </c>
      <c r="O1265">
        <v>130000</v>
      </c>
      <c r="P1265" t="s">
        <v>63</v>
      </c>
      <c r="Q1265" t="s">
        <v>2358</v>
      </c>
      <c r="R1265" t="s">
        <v>30</v>
      </c>
      <c r="S1265">
        <v>5</v>
      </c>
      <c r="T1265" t="s">
        <v>24</v>
      </c>
      <c r="U1265" t="s">
        <v>2408</v>
      </c>
      <c r="V1265">
        <v>2025</v>
      </c>
      <c r="W1265">
        <v>8</v>
      </c>
    </row>
    <row r="1266" spans="1:23" x14ac:dyDescent="0.25">
      <c r="A1266" t="s">
        <v>2200</v>
      </c>
      <c r="B1266">
        <v>45887.850115740737</v>
      </c>
      <c r="C1266" t="s">
        <v>985</v>
      </c>
      <c r="D1266" t="s">
        <v>53</v>
      </c>
      <c r="E1266" t="s">
        <v>50</v>
      </c>
      <c r="F1266" t="s">
        <v>2400</v>
      </c>
      <c r="G1266" t="s">
        <v>2379</v>
      </c>
      <c r="H1266">
        <v>14000</v>
      </c>
      <c r="I1266">
        <v>2</v>
      </c>
      <c r="J1266">
        <v>10</v>
      </c>
      <c r="K1266">
        <v>28000</v>
      </c>
      <c r="L1266">
        <v>2800</v>
      </c>
      <c r="M1266">
        <v>25200</v>
      </c>
      <c r="N1266">
        <v>18000</v>
      </c>
      <c r="O1266">
        <v>43200</v>
      </c>
      <c r="P1266" t="s">
        <v>29</v>
      </c>
      <c r="Q1266" t="s">
        <v>2358</v>
      </c>
      <c r="R1266" t="s">
        <v>46</v>
      </c>
      <c r="S1266">
        <v>2</v>
      </c>
      <c r="T1266" t="s">
        <v>24</v>
      </c>
      <c r="U1266" t="s">
        <v>2408</v>
      </c>
      <c r="V1266">
        <v>2025</v>
      </c>
      <c r="W1266">
        <v>8</v>
      </c>
    </row>
    <row r="1267" spans="1:23" x14ac:dyDescent="0.25">
      <c r="A1267" t="s">
        <v>2201</v>
      </c>
      <c r="B1267">
        <v>45888.047418981478</v>
      </c>
      <c r="C1267" t="s">
        <v>1757</v>
      </c>
      <c r="D1267" t="s">
        <v>74</v>
      </c>
      <c r="E1267" t="s">
        <v>190</v>
      </c>
      <c r="F1267" t="s">
        <v>2392</v>
      </c>
      <c r="G1267" t="s">
        <v>2378</v>
      </c>
      <c r="H1267">
        <v>35000</v>
      </c>
      <c r="I1267">
        <v>5</v>
      </c>
      <c r="J1267">
        <v>0</v>
      </c>
      <c r="K1267">
        <v>175000</v>
      </c>
      <c r="L1267">
        <v>0</v>
      </c>
      <c r="M1267">
        <v>175000</v>
      </c>
      <c r="N1267">
        <v>87000</v>
      </c>
      <c r="O1267">
        <v>262000</v>
      </c>
      <c r="P1267" t="s">
        <v>63</v>
      </c>
      <c r="Q1267" t="s">
        <v>2358</v>
      </c>
      <c r="R1267" t="s">
        <v>23</v>
      </c>
      <c r="S1267">
        <v>4</v>
      </c>
      <c r="T1267" t="s">
        <v>37</v>
      </c>
      <c r="U1267" t="s">
        <v>2408</v>
      </c>
      <c r="V1267">
        <v>2025</v>
      </c>
      <c r="W1267">
        <v>8</v>
      </c>
    </row>
    <row r="1268" spans="1:23" x14ac:dyDescent="0.25">
      <c r="A1268" t="s">
        <v>2202</v>
      </c>
      <c r="B1268">
        <v>45888.12636574074</v>
      </c>
      <c r="C1268" t="s">
        <v>856</v>
      </c>
      <c r="D1268" t="s">
        <v>244</v>
      </c>
      <c r="E1268" t="s">
        <v>136</v>
      </c>
      <c r="F1268" t="s">
        <v>2400</v>
      </c>
      <c r="G1268" t="s">
        <v>2378</v>
      </c>
      <c r="H1268">
        <v>12000</v>
      </c>
      <c r="I1268">
        <v>1</v>
      </c>
      <c r="J1268">
        <v>10</v>
      </c>
      <c r="K1268">
        <v>12000</v>
      </c>
      <c r="L1268">
        <v>1200</v>
      </c>
      <c r="M1268">
        <v>10800</v>
      </c>
      <c r="N1268">
        <v>80000</v>
      </c>
      <c r="O1268">
        <v>90800</v>
      </c>
      <c r="P1268" t="s">
        <v>35</v>
      </c>
      <c r="Q1268" t="s">
        <v>2357</v>
      </c>
      <c r="R1268" t="s">
        <v>82</v>
      </c>
      <c r="S1268">
        <v>4</v>
      </c>
      <c r="T1268" t="s">
        <v>24</v>
      </c>
      <c r="U1268" t="s">
        <v>2408</v>
      </c>
      <c r="V1268">
        <v>2025</v>
      </c>
      <c r="W1268">
        <v>8</v>
      </c>
    </row>
    <row r="1269" spans="1:23" x14ac:dyDescent="0.25">
      <c r="A1269" t="s">
        <v>2202</v>
      </c>
      <c r="B1269">
        <v>45888.12636574074</v>
      </c>
      <c r="C1269" t="s">
        <v>856</v>
      </c>
      <c r="D1269" t="s">
        <v>244</v>
      </c>
      <c r="E1269" t="s">
        <v>110</v>
      </c>
      <c r="F1269" t="s">
        <v>2395</v>
      </c>
      <c r="G1269" t="s">
        <v>2379</v>
      </c>
      <c r="H1269">
        <v>6000</v>
      </c>
      <c r="I1269">
        <v>4</v>
      </c>
      <c r="J1269">
        <v>5</v>
      </c>
      <c r="K1269">
        <v>24000</v>
      </c>
      <c r="L1269">
        <v>1200</v>
      </c>
      <c r="M1269">
        <v>22800</v>
      </c>
      <c r="N1269">
        <v>0</v>
      </c>
      <c r="O1269">
        <v>22800</v>
      </c>
      <c r="P1269" t="s">
        <v>35</v>
      </c>
      <c r="Q1269" t="s">
        <v>2357</v>
      </c>
      <c r="R1269" t="s">
        <v>82</v>
      </c>
      <c r="S1269">
        <v>4</v>
      </c>
      <c r="T1269" t="s">
        <v>24</v>
      </c>
      <c r="U1269" t="s">
        <v>2408</v>
      </c>
      <c r="V1269">
        <v>2025</v>
      </c>
      <c r="W1269">
        <v>8</v>
      </c>
    </row>
    <row r="1270" spans="1:23" x14ac:dyDescent="0.25">
      <c r="A1270" t="s">
        <v>2203</v>
      </c>
      <c r="B1270">
        <v>45888.334062499998</v>
      </c>
      <c r="C1270" t="s">
        <v>311</v>
      </c>
      <c r="D1270" t="s">
        <v>116</v>
      </c>
      <c r="E1270" t="s">
        <v>136</v>
      </c>
      <c r="F1270" t="s">
        <v>2400</v>
      </c>
      <c r="G1270" t="s">
        <v>2378</v>
      </c>
      <c r="H1270">
        <v>12000</v>
      </c>
      <c r="I1270">
        <v>2</v>
      </c>
      <c r="J1270">
        <v>20</v>
      </c>
      <c r="K1270">
        <v>24000</v>
      </c>
      <c r="L1270">
        <v>4800</v>
      </c>
      <c r="M1270">
        <v>19200</v>
      </c>
      <c r="N1270">
        <v>72000</v>
      </c>
      <c r="O1270">
        <v>91200</v>
      </c>
      <c r="P1270" t="s">
        <v>63</v>
      </c>
      <c r="Q1270" t="s">
        <v>2357</v>
      </c>
      <c r="R1270" t="s">
        <v>30</v>
      </c>
      <c r="S1270">
        <v>1</v>
      </c>
      <c r="T1270" t="s">
        <v>24</v>
      </c>
      <c r="U1270" t="s">
        <v>2408</v>
      </c>
      <c r="V1270">
        <v>2025</v>
      </c>
      <c r="W1270">
        <v>8</v>
      </c>
    </row>
    <row r="1271" spans="1:23" x14ac:dyDescent="0.25">
      <c r="A1271" t="s">
        <v>2204</v>
      </c>
      <c r="B1271">
        <v>45888.621793981481</v>
      </c>
      <c r="C1271" t="s">
        <v>26</v>
      </c>
      <c r="D1271" t="s">
        <v>27</v>
      </c>
      <c r="E1271" t="s">
        <v>93</v>
      </c>
      <c r="F1271" t="s">
        <v>2399</v>
      </c>
      <c r="G1271" t="s">
        <v>2378</v>
      </c>
      <c r="H1271">
        <v>25000</v>
      </c>
      <c r="I1271">
        <v>4</v>
      </c>
      <c r="J1271">
        <v>5</v>
      </c>
      <c r="K1271">
        <v>100000</v>
      </c>
      <c r="L1271">
        <v>5000</v>
      </c>
      <c r="M1271">
        <v>95000</v>
      </c>
      <c r="N1271">
        <v>17000</v>
      </c>
      <c r="O1271">
        <v>112000</v>
      </c>
      <c r="P1271" t="s">
        <v>63</v>
      </c>
      <c r="Q1271" t="s">
        <v>2357</v>
      </c>
      <c r="R1271" t="s">
        <v>23</v>
      </c>
      <c r="S1271">
        <v>5</v>
      </c>
      <c r="T1271" t="s">
        <v>24</v>
      </c>
      <c r="U1271" t="s">
        <v>2408</v>
      </c>
      <c r="V1271">
        <v>2025</v>
      </c>
      <c r="W1271">
        <v>8</v>
      </c>
    </row>
    <row r="1272" spans="1:23" x14ac:dyDescent="0.25">
      <c r="A1272" t="s">
        <v>2205</v>
      </c>
      <c r="B1272">
        <v>45888.760451388887</v>
      </c>
      <c r="C1272" t="s">
        <v>1887</v>
      </c>
      <c r="D1272" t="s">
        <v>238</v>
      </c>
      <c r="E1272" t="s">
        <v>250</v>
      </c>
      <c r="F1272" t="s">
        <v>2397</v>
      </c>
      <c r="G1272" t="s">
        <v>2379</v>
      </c>
      <c r="H1272">
        <v>18000</v>
      </c>
      <c r="I1272">
        <v>2</v>
      </c>
      <c r="J1272">
        <v>10</v>
      </c>
      <c r="K1272">
        <v>36000</v>
      </c>
      <c r="L1272">
        <v>3600</v>
      </c>
      <c r="M1272">
        <v>32400</v>
      </c>
      <c r="N1272">
        <v>28000</v>
      </c>
      <c r="O1272">
        <v>60400</v>
      </c>
      <c r="P1272" t="s">
        <v>22</v>
      </c>
      <c r="Q1272" t="s">
        <v>2357</v>
      </c>
      <c r="R1272" t="s">
        <v>30</v>
      </c>
      <c r="S1272">
        <v>1</v>
      </c>
      <c r="T1272" t="s">
        <v>24</v>
      </c>
      <c r="U1272" t="s">
        <v>2408</v>
      </c>
      <c r="V1272">
        <v>2025</v>
      </c>
      <c r="W1272">
        <v>8</v>
      </c>
    </row>
    <row r="1273" spans="1:23" x14ac:dyDescent="0.25">
      <c r="A1273" t="s">
        <v>2206</v>
      </c>
      <c r="B1273">
        <v>45888.770277777781</v>
      </c>
      <c r="C1273" t="s">
        <v>155</v>
      </c>
      <c r="D1273" t="s">
        <v>92</v>
      </c>
      <c r="E1273" t="s">
        <v>50</v>
      </c>
      <c r="F1273" t="s">
        <v>2400</v>
      </c>
      <c r="G1273" t="s">
        <v>2379</v>
      </c>
      <c r="H1273">
        <v>14000</v>
      </c>
      <c r="I1273">
        <v>1</v>
      </c>
      <c r="J1273">
        <v>10</v>
      </c>
      <c r="K1273">
        <v>14000</v>
      </c>
      <c r="L1273">
        <v>1400</v>
      </c>
      <c r="M1273">
        <v>12600</v>
      </c>
      <c r="N1273">
        <v>30000</v>
      </c>
      <c r="O1273">
        <v>42600</v>
      </c>
      <c r="P1273" t="s">
        <v>63</v>
      </c>
      <c r="Q1273" t="s">
        <v>2358</v>
      </c>
      <c r="R1273" t="s">
        <v>36</v>
      </c>
      <c r="S1273">
        <v>5</v>
      </c>
      <c r="T1273" t="s">
        <v>24</v>
      </c>
      <c r="U1273" t="s">
        <v>2408</v>
      </c>
      <c r="V1273">
        <v>2025</v>
      </c>
      <c r="W1273">
        <v>8</v>
      </c>
    </row>
    <row r="1274" spans="1:23" x14ac:dyDescent="0.25">
      <c r="A1274" t="s">
        <v>2207</v>
      </c>
      <c r="B1274">
        <v>45889.011504629627</v>
      </c>
      <c r="C1274" t="s">
        <v>218</v>
      </c>
      <c r="D1274" t="s">
        <v>170</v>
      </c>
      <c r="E1274" t="s">
        <v>41</v>
      </c>
      <c r="F1274" t="s">
        <v>2395</v>
      </c>
      <c r="G1274" t="s">
        <v>2377</v>
      </c>
      <c r="H1274">
        <v>4000</v>
      </c>
      <c r="I1274">
        <v>4</v>
      </c>
      <c r="J1274">
        <v>10</v>
      </c>
      <c r="K1274">
        <v>16000</v>
      </c>
      <c r="L1274">
        <v>1600</v>
      </c>
      <c r="M1274">
        <v>14400</v>
      </c>
      <c r="N1274">
        <v>46000</v>
      </c>
      <c r="O1274">
        <v>60400</v>
      </c>
      <c r="P1274" t="s">
        <v>22</v>
      </c>
      <c r="Q1274" t="s">
        <v>2357</v>
      </c>
      <c r="R1274" t="s">
        <v>46</v>
      </c>
      <c r="S1274">
        <v>5</v>
      </c>
      <c r="T1274" t="s">
        <v>24</v>
      </c>
      <c r="U1274" t="s">
        <v>2408</v>
      </c>
      <c r="V1274">
        <v>2025</v>
      </c>
      <c r="W1274">
        <v>8</v>
      </c>
    </row>
    <row r="1275" spans="1:23" x14ac:dyDescent="0.25">
      <c r="A1275" t="s">
        <v>2208</v>
      </c>
      <c r="B1275">
        <v>45889.588425925933</v>
      </c>
      <c r="C1275" t="s">
        <v>79</v>
      </c>
      <c r="D1275" t="s">
        <v>80</v>
      </c>
      <c r="E1275" t="s">
        <v>104</v>
      </c>
      <c r="F1275" t="s">
        <v>2392</v>
      </c>
      <c r="G1275" t="s">
        <v>2377</v>
      </c>
      <c r="H1275">
        <v>30000</v>
      </c>
      <c r="I1275">
        <v>1</v>
      </c>
      <c r="J1275">
        <v>10</v>
      </c>
      <c r="K1275">
        <v>30000</v>
      </c>
      <c r="L1275">
        <v>3000</v>
      </c>
      <c r="M1275">
        <v>27000</v>
      </c>
      <c r="N1275">
        <v>74000</v>
      </c>
      <c r="O1275">
        <v>101000</v>
      </c>
      <c r="P1275" t="s">
        <v>22</v>
      </c>
      <c r="Q1275" t="s">
        <v>2358</v>
      </c>
      <c r="R1275" t="s">
        <v>46</v>
      </c>
      <c r="S1275">
        <v>1</v>
      </c>
      <c r="T1275" t="s">
        <v>24</v>
      </c>
      <c r="U1275" t="s">
        <v>2408</v>
      </c>
      <c r="V1275">
        <v>2025</v>
      </c>
      <c r="W1275">
        <v>8</v>
      </c>
    </row>
    <row r="1276" spans="1:23" x14ac:dyDescent="0.25">
      <c r="A1276" t="s">
        <v>2209</v>
      </c>
      <c r="B1276">
        <v>45889.622465277767</v>
      </c>
      <c r="C1276" t="s">
        <v>2210</v>
      </c>
      <c r="D1276" t="s">
        <v>126</v>
      </c>
      <c r="E1276" t="s">
        <v>21</v>
      </c>
      <c r="F1276" t="s">
        <v>2394</v>
      </c>
      <c r="G1276" t="s">
        <v>2379</v>
      </c>
      <c r="H1276">
        <v>45000</v>
      </c>
      <c r="I1276">
        <v>4</v>
      </c>
      <c r="J1276">
        <v>15</v>
      </c>
      <c r="K1276">
        <v>180000</v>
      </c>
      <c r="L1276">
        <v>27000</v>
      </c>
      <c r="M1276">
        <v>153000</v>
      </c>
      <c r="N1276">
        <v>84000</v>
      </c>
      <c r="O1276">
        <v>237000</v>
      </c>
      <c r="P1276" t="s">
        <v>22</v>
      </c>
      <c r="Q1276" t="s">
        <v>2357</v>
      </c>
      <c r="R1276" t="s">
        <v>46</v>
      </c>
      <c r="S1276">
        <v>1</v>
      </c>
      <c r="T1276" t="s">
        <v>24</v>
      </c>
      <c r="U1276" t="s">
        <v>2408</v>
      </c>
      <c r="V1276">
        <v>2025</v>
      </c>
      <c r="W1276">
        <v>8</v>
      </c>
    </row>
    <row r="1277" spans="1:23" x14ac:dyDescent="0.25">
      <c r="A1277" t="s">
        <v>2211</v>
      </c>
      <c r="B1277">
        <v>45889.630648148152</v>
      </c>
      <c r="C1277" t="s">
        <v>100</v>
      </c>
      <c r="D1277" t="s">
        <v>66</v>
      </c>
      <c r="E1277" t="s">
        <v>174</v>
      </c>
      <c r="F1277" t="s">
        <v>2400</v>
      </c>
      <c r="G1277" t="s">
        <v>2377</v>
      </c>
      <c r="H1277">
        <v>10000</v>
      </c>
      <c r="I1277">
        <v>3</v>
      </c>
      <c r="J1277">
        <v>0</v>
      </c>
      <c r="K1277">
        <v>30000</v>
      </c>
      <c r="L1277">
        <v>0</v>
      </c>
      <c r="M1277">
        <v>30000</v>
      </c>
      <c r="N1277">
        <v>59000</v>
      </c>
      <c r="O1277">
        <v>89000</v>
      </c>
      <c r="P1277" t="s">
        <v>35</v>
      </c>
      <c r="Q1277" t="s">
        <v>2360</v>
      </c>
      <c r="R1277" t="s">
        <v>23</v>
      </c>
      <c r="S1277">
        <v>1</v>
      </c>
      <c r="T1277" t="s">
        <v>24</v>
      </c>
      <c r="U1277" t="s">
        <v>2408</v>
      </c>
      <c r="V1277">
        <v>2025</v>
      </c>
      <c r="W1277">
        <v>8</v>
      </c>
    </row>
    <row r="1278" spans="1:23" x14ac:dyDescent="0.25">
      <c r="A1278" t="s">
        <v>2212</v>
      </c>
      <c r="B1278">
        <v>45889.908275462964</v>
      </c>
      <c r="C1278" t="s">
        <v>323</v>
      </c>
      <c r="D1278" t="s">
        <v>103</v>
      </c>
      <c r="E1278" t="s">
        <v>62</v>
      </c>
      <c r="F1278" t="s">
        <v>2398</v>
      </c>
      <c r="G1278" t="s">
        <v>2378</v>
      </c>
      <c r="H1278">
        <v>50000</v>
      </c>
      <c r="I1278">
        <v>2</v>
      </c>
      <c r="J1278">
        <v>10</v>
      </c>
      <c r="K1278">
        <v>100000</v>
      </c>
      <c r="L1278">
        <v>10000</v>
      </c>
      <c r="M1278">
        <v>90000</v>
      </c>
      <c r="N1278">
        <v>85000</v>
      </c>
      <c r="O1278">
        <v>175000</v>
      </c>
      <c r="P1278" t="s">
        <v>22</v>
      </c>
      <c r="Q1278" t="s">
        <v>2358</v>
      </c>
      <c r="R1278" t="s">
        <v>23</v>
      </c>
      <c r="S1278">
        <v>2</v>
      </c>
      <c r="T1278" t="s">
        <v>24</v>
      </c>
      <c r="U1278" t="s">
        <v>2408</v>
      </c>
      <c r="V1278">
        <v>2025</v>
      </c>
      <c r="W1278">
        <v>8</v>
      </c>
    </row>
    <row r="1279" spans="1:23" x14ac:dyDescent="0.25">
      <c r="A1279" t="s">
        <v>2213</v>
      </c>
      <c r="B1279">
        <v>45889.971701388888</v>
      </c>
      <c r="C1279" t="s">
        <v>1293</v>
      </c>
      <c r="D1279" t="s">
        <v>44</v>
      </c>
      <c r="E1279" t="s">
        <v>58</v>
      </c>
      <c r="F1279" t="s">
        <v>2396</v>
      </c>
      <c r="G1279" t="s">
        <v>2377</v>
      </c>
      <c r="H1279">
        <v>16000</v>
      </c>
      <c r="I1279">
        <v>2</v>
      </c>
      <c r="J1279">
        <v>0</v>
      </c>
      <c r="K1279">
        <v>32000</v>
      </c>
      <c r="L1279">
        <v>0</v>
      </c>
      <c r="M1279">
        <v>32000</v>
      </c>
      <c r="N1279">
        <v>93000</v>
      </c>
      <c r="O1279">
        <v>125000</v>
      </c>
      <c r="P1279" t="s">
        <v>29</v>
      </c>
      <c r="Q1279" t="s">
        <v>2357</v>
      </c>
      <c r="R1279" t="s">
        <v>36</v>
      </c>
      <c r="S1279">
        <v>5</v>
      </c>
      <c r="T1279" t="s">
        <v>24</v>
      </c>
      <c r="U1279" t="s">
        <v>2408</v>
      </c>
      <c r="V1279">
        <v>2025</v>
      </c>
      <c r="W1279">
        <v>8</v>
      </c>
    </row>
    <row r="1280" spans="1:23" x14ac:dyDescent="0.25">
      <c r="A1280" t="s">
        <v>2214</v>
      </c>
      <c r="B1280">
        <v>45890.084027777782</v>
      </c>
      <c r="C1280" t="s">
        <v>483</v>
      </c>
      <c r="D1280" t="s">
        <v>170</v>
      </c>
      <c r="E1280" t="s">
        <v>38</v>
      </c>
      <c r="F1280" t="s">
        <v>2399</v>
      </c>
      <c r="G1280" t="s">
        <v>2379</v>
      </c>
      <c r="H1280">
        <v>28000</v>
      </c>
      <c r="I1280">
        <v>5</v>
      </c>
      <c r="J1280">
        <v>20</v>
      </c>
      <c r="K1280">
        <v>140000</v>
      </c>
      <c r="L1280">
        <v>28000</v>
      </c>
      <c r="M1280">
        <v>112000</v>
      </c>
      <c r="N1280">
        <v>46000</v>
      </c>
      <c r="O1280">
        <v>158000</v>
      </c>
      <c r="P1280" t="s">
        <v>35</v>
      </c>
      <c r="Q1280" t="s">
        <v>2357</v>
      </c>
      <c r="R1280" t="s">
        <v>30</v>
      </c>
      <c r="S1280">
        <v>5</v>
      </c>
      <c r="T1280" t="s">
        <v>24</v>
      </c>
      <c r="U1280" t="s">
        <v>2408</v>
      </c>
      <c r="V1280">
        <v>2025</v>
      </c>
      <c r="W1280">
        <v>8</v>
      </c>
    </row>
    <row r="1281" spans="1:23" x14ac:dyDescent="0.25">
      <c r="A1281" t="s">
        <v>2215</v>
      </c>
      <c r="B1281">
        <v>45890.516875000001</v>
      </c>
      <c r="C1281" t="s">
        <v>729</v>
      </c>
      <c r="D1281" t="s">
        <v>74</v>
      </c>
      <c r="E1281" t="s">
        <v>41</v>
      </c>
      <c r="F1281" t="s">
        <v>2395</v>
      </c>
      <c r="G1281" t="s">
        <v>2377</v>
      </c>
      <c r="H1281">
        <v>4000</v>
      </c>
      <c r="I1281">
        <v>5</v>
      </c>
      <c r="J1281">
        <v>20</v>
      </c>
      <c r="K1281">
        <v>20000</v>
      </c>
      <c r="L1281">
        <v>4000</v>
      </c>
      <c r="M1281">
        <v>16000</v>
      </c>
      <c r="N1281">
        <v>87000</v>
      </c>
      <c r="O1281">
        <v>103000</v>
      </c>
      <c r="P1281" t="s">
        <v>29</v>
      </c>
      <c r="Q1281" t="s">
        <v>2357</v>
      </c>
      <c r="R1281" t="s">
        <v>82</v>
      </c>
      <c r="S1281">
        <v>1</v>
      </c>
      <c r="T1281" t="s">
        <v>24</v>
      </c>
      <c r="U1281" t="s">
        <v>2408</v>
      </c>
      <c r="V1281">
        <v>2025</v>
      </c>
      <c r="W1281">
        <v>8</v>
      </c>
    </row>
    <row r="1282" spans="1:23" x14ac:dyDescent="0.25">
      <c r="A1282" t="s">
        <v>2215</v>
      </c>
      <c r="B1282">
        <v>45890.516875000001</v>
      </c>
      <c r="C1282" t="s">
        <v>729</v>
      </c>
      <c r="D1282" t="s">
        <v>74</v>
      </c>
      <c r="E1282" t="s">
        <v>144</v>
      </c>
      <c r="F1282" t="s">
        <v>2396</v>
      </c>
      <c r="G1282" t="s">
        <v>2379</v>
      </c>
      <c r="H1282">
        <v>18000</v>
      </c>
      <c r="I1282">
        <v>1</v>
      </c>
      <c r="J1282">
        <v>15</v>
      </c>
      <c r="K1282">
        <v>18000</v>
      </c>
      <c r="L1282">
        <v>2700</v>
      </c>
      <c r="M1282">
        <v>15300</v>
      </c>
      <c r="N1282">
        <v>0</v>
      </c>
      <c r="O1282">
        <v>15300</v>
      </c>
      <c r="P1282" t="s">
        <v>29</v>
      </c>
      <c r="Q1282" t="s">
        <v>2357</v>
      </c>
      <c r="R1282" t="s">
        <v>82</v>
      </c>
      <c r="S1282">
        <v>1</v>
      </c>
      <c r="T1282" t="s">
        <v>24</v>
      </c>
      <c r="U1282" t="s">
        <v>2408</v>
      </c>
      <c r="V1282">
        <v>2025</v>
      </c>
      <c r="W1282">
        <v>8</v>
      </c>
    </row>
    <row r="1283" spans="1:23" x14ac:dyDescent="0.25">
      <c r="A1283" t="s">
        <v>2216</v>
      </c>
      <c r="B1283">
        <v>45890.546898148154</v>
      </c>
      <c r="C1283" t="s">
        <v>184</v>
      </c>
      <c r="D1283" t="s">
        <v>103</v>
      </c>
      <c r="E1283" t="s">
        <v>136</v>
      </c>
      <c r="F1283" t="s">
        <v>2400</v>
      </c>
      <c r="G1283" t="s">
        <v>2378</v>
      </c>
      <c r="H1283">
        <v>12000</v>
      </c>
      <c r="I1283">
        <v>5</v>
      </c>
      <c r="J1283">
        <v>10</v>
      </c>
      <c r="K1283">
        <v>60000</v>
      </c>
      <c r="L1283">
        <v>6000</v>
      </c>
      <c r="M1283">
        <v>54000</v>
      </c>
      <c r="N1283">
        <v>85000</v>
      </c>
      <c r="O1283">
        <v>139000</v>
      </c>
      <c r="P1283" t="s">
        <v>63</v>
      </c>
      <c r="Q1283" t="s">
        <v>2357</v>
      </c>
      <c r="R1283" t="s">
        <v>23</v>
      </c>
      <c r="S1283">
        <v>3</v>
      </c>
      <c r="T1283" t="s">
        <v>24</v>
      </c>
      <c r="U1283" t="s">
        <v>2408</v>
      </c>
      <c r="V1283">
        <v>2025</v>
      </c>
      <c r="W1283">
        <v>8</v>
      </c>
    </row>
    <row r="1284" spans="1:23" x14ac:dyDescent="0.25">
      <c r="A1284" t="s">
        <v>2217</v>
      </c>
      <c r="B1284">
        <v>45890.834965277783</v>
      </c>
      <c r="C1284" t="s">
        <v>1979</v>
      </c>
      <c r="D1284" t="s">
        <v>103</v>
      </c>
      <c r="E1284" t="s">
        <v>45</v>
      </c>
      <c r="F1284" t="s">
        <v>2394</v>
      </c>
      <c r="G1284" t="s">
        <v>2378</v>
      </c>
      <c r="H1284">
        <v>40000</v>
      </c>
      <c r="I1284">
        <v>2</v>
      </c>
      <c r="J1284">
        <v>5</v>
      </c>
      <c r="K1284">
        <v>80000</v>
      </c>
      <c r="L1284">
        <v>4000</v>
      </c>
      <c r="M1284">
        <v>76000</v>
      </c>
      <c r="N1284">
        <v>85000</v>
      </c>
      <c r="O1284">
        <v>161000</v>
      </c>
      <c r="P1284" t="s">
        <v>29</v>
      </c>
      <c r="Q1284" t="s">
        <v>2360</v>
      </c>
      <c r="R1284" t="s">
        <v>46</v>
      </c>
      <c r="S1284">
        <v>5</v>
      </c>
      <c r="T1284" t="s">
        <v>24</v>
      </c>
      <c r="U1284" t="s">
        <v>2408</v>
      </c>
      <c r="V1284">
        <v>2025</v>
      </c>
      <c r="W1284">
        <v>8</v>
      </c>
    </row>
    <row r="1285" spans="1:23" x14ac:dyDescent="0.25">
      <c r="A1285" t="s">
        <v>2218</v>
      </c>
      <c r="B1285">
        <v>45891.047812500001</v>
      </c>
      <c r="C1285" t="s">
        <v>918</v>
      </c>
      <c r="D1285" t="s">
        <v>296</v>
      </c>
      <c r="E1285" t="s">
        <v>28</v>
      </c>
      <c r="F1285" t="s">
        <v>2395</v>
      </c>
      <c r="G1285" t="s">
        <v>2378</v>
      </c>
      <c r="H1285">
        <v>5000</v>
      </c>
      <c r="I1285">
        <v>3</v>
      </c>
      <c r="J1285">
        <v>15</v>
      </c>
      <c r="K1285">
        <v>15000</v>
      </c>
      <c r="L1285">
        <v>2250</v>
      </c>
      <c r="M1285">
        <v>12750</v>
      </c>
      <c r="N1285">
        <v>79000</v>
      </c>
      <c r="O1285">
        <v>91750</v>
      </c>
      <c r="P1285" t="s">
        <v>22</v>
      </c>
      <c r="Q1285" t="s">
        <v>2357</v>
      </c>
      <c r="R1285" t="s">
        <v>30</v>
      </c>
      <c r="S1285">
        <v>4</v>
      </c>
      <c r="T1285" t="s">
        <v>24</v>
      </c>
      <c r="U1285" t="s">
        <v>2408</v>
      </c>
      <c r="V1285">
        <v>2025</v>
      </c>
      <c r="W1285">
        <v>8</v>
      </c>
    </row>
    <row r="1286" spans="1:23" x14ac:dyDescent="0.25">
      <c r="A1286" t="s">
        <v>2219</v>
      </c>
      <c r="B1286">
        <v>45891.173958333333</v>
      </c>
      <c r="C1286" t="s">
        <v>128</v>
      </c>
      <c r="D1286" t="s">
        <v>103</v>
      </c>
      <c r="E1286" t="s">
        <v>41</v>
      </c>
      <c r="F1286" t="s">
        <v>2395</v>
      </c>
      <c r="G1286" t="s">
        <v>2377</v>
      </c>
      <c r="H1286">
        <v>4000</v>
      </c>
      <c r="I1286">
        <v>4</v>
      </c>
      <c r="J1286">
        <v>0</v>
      </c>
      <c r="K1286">
        <v>16000</v>
      </c>
      <c r="L1286">
        <v>0</v>
      </c>
      <c r="M1286">
        <v>16000</v>
      </c>
      <c r="N1286">
        <v>85000</v>
      </c>
      <c r="O1286">
        <v>101000</v>
      </c>
      <c r="P1286" t="s">
        <v>29</v>
      </c>
      <c r="Q1286" t="s">
        <v>2357</v>
      </c>
      <c r="R1286" t="s">
        <v>23</v>
      </c>
      <c r="S1286">
        <v>4</v>
      </c>
      <c r="T1286" t="s">
        <v>37</v>
      </c>
      <c r="U1286" t="s">
        <v>2408</v>
      </c>
      <c r="V1286">
        <v>2025</v>
      </c>
      <c r="W1286">
        <v>8</v>
      </c>
    </row>
    <row r="1287" spans="1:23" x14ac:dyDescent="0.25">
      <c r="A1287" t="s">
        <v>2219</v>
      </c>
      <c r="B1287">
        <v>45891.173958333333</v>
      </c>
      <c r="C1287" t="s">
        <v>128</v>
      </c>
      <c r="D1287" t="s">
        <v>103</v>
      </c>
      <c r="E1287" t="s">
        <v>190</v>
      </c>
      <c r="F1287" t="s">
        <v>2392</v>
      </c>
      <c r="G1287" t="s">
        <v>2378</v>
      </c>
      <c r="H1287">
        <v>35000</v>
      </c>
      <c r="I1287">
        <v>3</v>
      </c>
      <c r="J1287">
        <v>20</v>
      </c>
      <c r="K1287">
        <v>105000</v>
      </c>
      <c r="L1287">
        <v>21000</v>
      </c>
      <c r="M1287">
        <v>84000</v>
      </c>
      <c r="N1287">
        <v>0</v>
      </c>
      <c r="O1287">
        <v>84000</v>
      </c>
      <c r="P1287" t="s">
        <v>29</v>
      </c>
      <c r="Q1287" t="s">
        <v>2357</v>
      </c>
      <c r="R1287" t="s">
        <v>23</v>
      </c>
      <c r="S1287">
        <v>4</v>
      </c>
      <c r="T1287" t="s">
        <v>37</v>
      </c>
      <c r="U1287" t="s">
        <v>2408</v>
      </c>
      <c r="V1287">
        <v>2025</v>
      </c>
      <c r="W1287">
        <v>8</v>
      </c>
    </row>
    <row r="1288" spans="1:23" x14ac:dyDescent="0.25">
      <c r="A1288" t="s">
        <v>2220</v>
      </c>
      <c r="B1288">
        <v>45891.207881944443</v>
      </c>
      <c r="C1288" t="s">
        <v>537</v>
      </c>
      <c r="D1288" t="s">
        <v>57</v>
      </c>
      <c r="E1288" t="s">
        <v>41</v>
      </c>
      <c r="F1288" t="s">
        <v>2395</v>
      </c>
      <c r="G1288" t="s">
        <v>2377</v>
      </c>
      <c r="H1288">
        <v>4000</v>
      </c>
      <c r="I1288">
        <v>4</v>
      </c>
      <c r="J1288">
        <v>0</v>
      </c>
      <c r="K1288">
        <v>16000</v>
      </c>
      <c r="L1288">
        <v>0</v>
      </c>
      <c r="M1288">
        <v>16000</v>
      </c>
      <c r="N1288">
        <v>80000</v>
      </c>
      <c r="O1288">
        <v>96000</v>
      </c>
      <c r="P1288" t="s">
        <v>35</v>
      </c>
      <c r="Q1288" t="s">
        <v>2359</v>
      </c>
      <c r="R1288" t="s">
        <v>30</v>
      </c>
      <c r="S1288">
        <v>2</v>
      </c>
      <c r="T1288" t="s">
        <v>37</v>
      </c>
      <c r="U1288" t="s">
        <v>2408</v>
      </c>
      <c r="V1288">
        <v>2025</v>
      </c>
      <c r="W1288">
        <v>8</v>
      </c>
    </row>
    <row r="1289" spans="1:23" x14ac:dyDescent="0.25">
      <c r="A1289" t="s">
        <v>2221</v>
      </c>
      <c r="B1289">
        <v>45891.30976851852</v>
      </c>
      <c r="C1289" t="s">
        <v>464</v>
      </c>
      <c r="D1289" t="s">
        <v>296</v>
      </c>
      <c r="E1289" t="s">
        <v>250</v>
      </c>
      <c r="F1289" t="s">
        <v>2397</v>
      </c>
      <c r="G1289" t="s">
        <v>2379</v>
      </c>
      <c r="H1289">
        <v>18000</v>
      </c>
      <c r="I1289">
        <v>2</v>
      </c>
      <c r="J1289">
        <v>15</v>
      </c>
      <c r="K1289">
        <v>36000</v>
      </c>
      <c r="L1289">
        <v>5400</v>
      </c>
      <c r="M1289">
        <v>30600</v>
      </c>
      <c r="N1289">
        <v>79000</v>
      </c>
      <c r="O1289">
        <v>109600</v>
      </c>
      <c r="P1289" t="s">
        <v>63</v>
      </c>
      <c r="Q1289" t="s">
        <v>2357</v>
      </c>
      <c r="R1289" t="s">
        <v>46</v>
      </c>
      <c r="S1289">
        <v>3</v>
      </c>
      <c r="T1289" t="s">
        <v>37</v>
      </c>
      <c r="U1289" t="s">
        <v>2408</v>
      </c>
      <c r="V1289">
        <v>2025</v>
      </c>
      <c r="W1289">
        <v>8</v>
      </c>
    </row>
    <row r="1290" spans="1:23" x14ac:dyDescent="0.25">
      <c r="A1290" t="s">
        <v>2222</v>
      </c>
      <c r="B1290">
        <v>45891.37023148148</v>
      </c>
      <c r="C1290" t="s">
        <v>365</v>
      </c>
      <c r="D1290" t="s">
        <v>61</v>
      </c>
      <c r="E1290" t="s">
        <v>174</v>
      </c>
      <c r="F1290" t="s">
        <v>2400</v>
      </c>
      <c r="G1290" t="s">
        <v>2377</v>
      </c>
      <c r="H1290">
        <v>10000</v>
      </c>
      <c r="I1290">
        <v>1</v>
      </c>
      <c r="J1290">
        <v>20</v>
      </c>
      <c r="K1290">
        <v>10000</v>
      </c>
      <c r="L1290">
        <v>2000</v>
      </c>
      <c r="M1290">
        <v>8000</v>
      </c>
      <c r="N1290">
        <v>26000</v>
      </c>
      <c r="O1290">
        <v>34000</v>
      </c>
      <c r="P1290" t="s">
        <v>22</v>
      </c>
      <c r="Q1290" t="s">
        <v>2360</v>
      </c>
      <c r="R1290" t="s">
        <v>36</v>
      </c>
      <c r="S1290">
        <v>2</v>
      </c>
      <c r="T1290" t="s">
        <v>24</v>
      </c>
      <c r="U1290" t="s">
        <v>2408</v>
      </c>
      <c r="V1290">
        <v>2025</v>
      </c>
      <c r="W1290">
        <v>8</v>
      </c>
    </row>
    <row r="1291" spans="1:23" x14ac:dyDescent="0.25">
      <c r="A1291" t="s">
        <v>2223</v>
      </c>
      <c r="B1291">
        <v>45891.398877314823</v>
      </c>
      <c r="C1291" t="s">
        <v>254</v>
      </c>
      <c r="D1291" t="s">
        <v>61</v>
      </c>
      <c r="E1291" t="s">
        <v>138</v>
      </c>
      <c r="F1291" t="s">
        <v>2396</v>
      </c>
      <c r="G1291" t="s">
        <v>2378</v>
      </c>
      <c r="H1291">
        <v>17000</v>
      </c>
      <c r="I1291">
        <v>4</v>
      </c>
      <c r="J1291">
        <v>0</v>
      </c>
      <c r="K1291">
        <v>68000</v>
      </c>
      <c r="L1291">
        <v>0</v>
      </c>
      <c r="M1291">
        <v>68000</v>
      </c>
      <c r="N1291">
        <v>26000</v>
      </c>
      <c r="O1291">
        <v>94000</v>
      </c>
      <c r="P1291" t="s">
        <v>29</v>
      </c>
      <c r="Q1291" t="s">
        <v>2357</v>
      </c>
      <c r="R1291" t="s">
        <v>30</v>
      </c>
      <c r="S1291">
        <v>2</v>
      </c>
      <c r="T1291" t="s">
        <v>24</v>
      </c>
      <c r="U1291" t="s">
        <v>2408</v>
      </c>
      <c r="V1291">
        <v>2025</v>
      </c>
      <c r="W1291">
        <v>8</v>
      </c>
    </row>
    <row r="1292" spans="1:23" x14ac:dyDescent="0.25">
      <c r="A1292" t="s">
        <v>2224</v>
      </c>
      <c r="B1292">
        <v>45891.445173611108</v>
      </c>
      <c r="C1292" t="s">
        <v>1624</v>
      </c>
      <c r="D1292" t="s">
        <v>33</v>
      </c>
      <c r="E1292" t="s">
        <v>88</v>
      </c>
      <c r="F1292" t="s">
        <v>2393</v>
      </c>
      <c r="G1292" t="s">
        <v>2377</v>
      </c>
      <c r="H1292">
        <v>14000</v>
      </c>
      <c r="I1292">
        <v>4</v>
      </c>
      <c r="J1292">
        <v>0</v>
      </c>
      <c r="K1292">
        <v>56000</v>
      </c>
      <c r="L1292">
        <v>0</v>
      </c>
      <c r="M1292">
        <v>56000</v>
      </c>
      <c r="N1292">
        <v>76000</v>
      </c>
      <c r="O1292">
        <v>132000</v>
      </c>
      <c r="P1292" t="s">
        <v>63</v>
      </c>
      <c r="Q1292" t="s">
        <v>2357</v>
      </c>
      <c r="R1292" t="s">
        <v>82</v>
      </c>
      <c r="S1292">
        <v>2</v>
      </c>
      <c r="T1292" t="s">
        <v>24</v>
      </c>
      <c r="U1292" t="s">
        <v>2408</v>
      </c>
      <c r="V1292">
        <v>2025</v>
      </c>
      <c r="W1292">
        <v>8</v>
      </c>
    </row>
    <row r="1293" spans="1:23" x14ac:dyDescent="0.25">
      <c r="A1293" t="s">
        <v>2225</v>
      </c>
      <c r="B1293">
        <v>45891.520486111112</v>
      </c>
      <c r="C1293" t="s">
        <v>73</v>
      </c>
      <c r="D1293" t="s">
        <v>74</v>
      </c>
      <c r="E1293" t="s">
        <v>186</v>
      </c>
      <c r="F1293" t="s">
        <v>2398</v>
      </c>
      <c r="G1293" t="s">
        <v>2377</v>
      </c>
      <c r="H1293">
        <v>45000</v>
      </c>
      <c r="I1293">
        <v>3</v>
      </c>
      <c r="J1293">
        <v>10</v>
      </c>
      <c r="K1293">
        <v>135000</v>
      </c>
      <c r="L1293">
        <v>13500</v>
      </c>
      <c r="M1293">
        <v>121500</v>
      </c>
      <c r="N1293">
        <v>87000</v>
      </c>
      <c r="O1293">
        <v>208500</v>
      </c>
      <c r="P1293" t="s">
        <v>63</v>
      </c>
      <c r="Q1293" t="s">
        <v>2360</v>
      </c>
      <c r="R1293" t="s">
        <v>30</v>
      </c>
      <c r="S1293">
        <v>5</v>
      </c>
      <c r="T1293" t="s">
        <v>24</v>
      </c>
      <c r="U1293" t="s">
        <v>2408</v>
      </c>
      <c r="V1293">
        <v>2025</v>
      </c>
      <c r="W1293">
        <v>8</v>
      </c>
    </row>
    <row r="1294" spans="1:23" x14ac:dyDescent="0.25">
      <c r="A1294" t="s">
        <v>2226</v>
      </c>
      <c r="B1294">
        <v>45891.725289351853</v>
      </c>
      <c r="C1294" t="s">
        <v>333</v>
      </c>
      <c r="D1294" t="s">
        <v>107</v>
      </c>
      <c r="E1294" t="s">
        <v>21</v>
      </c>
      <c r="F1294" t="s">
        <v>2394</v>
      </c>
      <c r="G1294" t="s">
        <v>2379</v>
      </c>
      <c r="H1294">
        <v>45000</v>
      </c>
      <c r="I1294">
        <v>3</v>
      </c>
      <c r="J1294">
        <v>5</v>
      </c>
      <c r="K1294">
        <v>135000</v>
      </c>
      <c r="L1294">
        <v>6750</v>
      </c>
      <c r="M1294">
        <v>128250</v>
      </c>
      <c r="N1294">
        <v>97000</v>
      </c>
      <c r="O1294">
        <v>225250</v>
      </c>
      <c r="P1294" t="s">
        <v>29</v>
      </c>
      <c r="Q1294" t="s">
        <v>2358</v>
      </c>
      <c r="R1294" t="s">
        <v>30</v>
      </c>
      <c r="S1294">
        <v>4</v>
      </c>
      <c r="T1294" t="s">
        <v>37</v>
      </c>
      <c r="U1294" t="s">
        <v>2408</v>
      </c>
      <c r="V1294">
        <v>2025</v>
      </c>
      <c r="W1294">
        <v>8</v>
      </c>
    </row>
    <row r="1295" spans="1:23" x14ac:dyDescent="0.25">
      <c r="A1295" t="s">
        <v>2227</v>
      </c>
      <c r="B1295">
        <v>45891.908796296288</v>
      </c>
      <c r="C1295" t="s">
        <v>1530</v>
      </c>
      <c r="D1295" t="s">
        <v>122</v>
      </c>
      <c r="E1295" t="s">
        <v>85</v>
      </c>
      <c r="F1295" t="s">
        <v>2394</v>
      </c>
      <c r="G1295" t="s">
        <v>2377</v>
      </c>
      <c r="H1295">
        <v>35000</v>
      </c>
      <c r="I1295">
        <v>3</v>
      </c>
      <c r="J1295">
        <v>10</v>
      </c>
      <c r="K1295">
        <v>105000</v>
      </c>
      <c r="L1295">
        <v>10500</v>
      </c>
      <c r="M1295">
        <v>94500</v>
      </c>
      <c r="N1295">
        <v>78000</v>
      </c>
      <c r="O1295">
        <v>172500</v>
      </c>
      <c r="P1295" t="s">
        <v>22</v>
      </c>
      <c r="Q1295" t="s">
        <v>2357</v>
      </c>
      <c r="R1295" t="s">
        <v>36</v>
      </c>
      <c r="S1295">
        <v>3</v>
      </c>
      <c r="T1295" t="s">
        <v>24</v>
      </c>
      <c r="U1295" t="s">
        <v>2408</v>
      </c>
      <c r="V1295">
        <v>2025</v>
      </c>
      <c r="W1295">
        <v>8</v>
      </c>
    </row>
    <row r="1296" spans="1:23" x14ac:dyDescent="0.25">
      <c r="A1296" t="s">
        <v>2228</v>
      </c>
      <c r="B1296">
        <v>45891.950671296298</v>
      </c>
      <c r="C1296" t="s">
        <v>273</v>
      </c>
      <c r="D1296" t="s">
        <v>195</v>
      </c>
      <c r="E1296" t="s">
        <v>38</v>
      </c>
      <c r="F1296" t="s">
        <v>2399</v>
      </c>
      <c r="G1296" t="s">
        <v>2379</v>
      </c>
      <c r="H1296">
        <v>28000</v>
      </c>
      <c r="I1296">
        <v>2</v>
      </c>
      <c r="J1296">
        <v>15</v>
      </c>
      <c r="K1296">
        <v>56000</v>
      </c>
      <c r="L1296">
        <v>8400</v>
      </c>
      <c r="M1296">
        <v>47600</v>
      </c>
      <c r="N1296">
        <v>87000</v>
      </c>
      <c r="O1296">
        <v>134600</v>
      </c>
      <c r="P1296" t="s">
        <v>35</v>
      </c>
      <c r="Q1296" t="s">
        <v>2357</v>
      </c>
      <c r="R1296" t="s">
        <v>30</v>
      </c>
      <c r="S1296">
        <v>5</v>
      </c>
      <c r="T1296" t="s">
        <v>24</v>
      </c>
      <c r="U1296" t="s">
        <v>2408</v>
      </c>
      <c r="V1296">
        <v>2025</v>
      </c>
      <c r="W1296">
        <v>8</v>
      </c>
    </row>
    <row r="1297" spans="1:23" x14ac:dyDescent="0.25">
      <c r="A1297" t="s">
        <v>2229</v>
      </c>
      <c r="B1297">
        <v>45891.95076388889</v>
      </c>
      <c r="C1297" t="s">
        <v>453</v>
      </c>
      <c r="D1297" t="s">
        <v>27</v>
      </c>
      <c r="E1297" t="s">
        <v>174</v>
      </c>
      <c r="F1297" t="s">
        <v>2400</v>
      </c>
      <c r="G1297" t="s">
        <v>2377</v>
      </c>
      <c r="H1297">
        <v>10000</v>
      </c>
      <c r="I1297">
        <v>1</v>
      </c>
      <c r="J1297">
        <v>10</v>
      </c>
      <c r="K1297">
        <v>10000</v>
      </c>
      <c r="L1297">
        <v>1000</v>
      </c>
      <c r="M1297">
        <v>9000</v>
      </c>
      <c r="N1297">
        <v>17000</v>
      </c>
      <c r="O1297">
        <v>26000</v>
      </c>
      <c r="P1297" t="s">
        <v>35</v>
      </c>
      <c r="Q1297" t="s">
        <v>2358</v>
      </c>
      <c r="R1297" t="s">
        <v>36</v>
      </c>
      <c r="S1297">
        <v>1</v>
      </c>
      <c r="T1297" t="s">
        <v>37</v>
      </c>
      <c r="U1297" t="s">
        <v>2408</v>
      </c>
      <c r="V1297">
        <v>2025</v>
      </c>
      <c r="W1297">
        <v>8</v>
      </c>
    </row>
    <row r="1298" spans="1:23" x14ac:dyDescent="0.25">
      <c r="A1298" t="s">
        <v>2230</v>
      </c>
      <c r="B1298">
        <v>45892.011446759258</v>
      </c>
      <c r="C1298" t="s">
        <v>784</v>
      </c>
      <c r="D1298" t="s">
        <v>116</v>
      </c>
      <c r="E1298" t="s">
        <v>104</v>
      </c>
      <c r="F1298" t="s">
        <v>2392</v>
      </c>
      <c r="G1298" t="s">
        <v>2377</v>
      </c>
      <c r="H1298">
        <v>30000</v>
      </c>
      <c r="I1298">
        <v>2</v>
      </c>
      <c r="J1298">
        <v>5</v>
      </c>
      <c r="K1298">
        <v>60000</v>
      </c>
      <c r="L1298">
        <v>3000</v>
      </c>
      <c r="M1298">
        <v>57000</v>
      </c>
      <c r="N1298">
        <v>72000</v>
      </c>
      <c r="O1298">
        <v>129000</v>
      </c>
      <c r="P1298" t="s">
        <v>29</v>
      </c>
      <c r="Q1298" t="s">
        <v>2358</v>
      </c>
      <c r="R1298" t="s">
        <v>46</v>
      </c>
      <c r="S1298">
        <v>2</v>
      </c>
      <c r="T1298" t="s">
        <v>24</v>
      </c>
      <c r="U1298" t="s">
        <v>2408</v>
      </c>
      <c r="V1298">
        <v>2025</v>
      </c>
      <c r="W1298">
        <v>8</v>
      </c>
    </row>
    <row r="1299" spans="1:23" x14ac:dyDescent="0.25">
      <c r="A1299" t="s">
        <v>2231</v>
      </c>
      <c r="B1299">
        <v>45892.069085648152</v>
      </c>
      <c r="C1299" t="s">
        <v>635</v>
      </c>
      <c r="D1299" t="s">
        <v>103</v>
      </c>
      <c r="E1299" t="s">
        <v>62</v>
      </c>
      <c r="F1299" t="s">
        <v>2398</v>
      </c>
      <c r="G1299" t="s">
        <v>2378</v>
      </c>
      <c r="H1299">
        <v>50000</v>
      </c>
      <c r="I1299">
        <v>3</v>
      </c>
      <c r="J1299">
        <v>15</v>
      </c>
      <c r="K1299">
        <v>150000</v>
      </c>
      <c r="L1299">
        <v>22500</v>
      </c>
      <c r="M1299">
        <v>127500</v>
      </c>
      <c r="N1299">
        <v>85000</v>
      </c>
      <c r="O1299">
        <v>212500</v>
      </c>
      <c r="P1299" t="s">
        <v>29</v>
      </c>
      <c r="Q1299" t="s">
        <v>2360</v>
      </c>
      <c r="R1299" t="s">
        <v>30</v>
      </c>
      <c r="S1299">
        <v>3</v>
      </c>
      <c r="T1299" t="s">
        <v>24</v>
      </c>
      <c r="U1299" t="s">
        <v>2408</v>
      </c>
      <c r="V1299">
        <v>2025</v>
      </c>
      <c r="W1299">
        <v>8</v>
      </c>
    </row>
    <row r="1300" spans="1:23" x14ac:dyDescent="0.25">
      <c r="A1300" t="s">
        <v>2232</v>
      </c>
      <c r="B1300">
        <v>45892.498379629629</v>
      </c>
      <c r="C1300" t="s">
        <v>1122</v>
      </c>
      <c r="D1300" t="s">
        <v>33</v>
      </c>
      <c r="E1300" t="s">
        <v>186</v>
      </c>
      <c r="F1300" t="s">
        <v>2398</v>
      </c>
      <c r="G1300" t="s">
        <v>2377</v>
      </c>
      <c r="H1300">
        <v>45000</v>
      </c>
      <c r="I1300">
        <v>3</v>
      </c>
      <c r="J1300">
        <v>20</v>
      </c>
      <c r="K1300">
        <v>135000</v>
      </c>
      <c r="L1300">
        <v>27000</v>
      </c>
      <c r="M1300">
        <v>108000</v>
      </c>
      <c r="N1300">
        <v>76000</v>
      </c>
      <c r="O1300">
        <v>184000</v>
      </c>
      <c r="P1300" t="s">
        <v>35</v>
      </c>
      <c r="Q1300" t="s">
        <v>2359</v>
      </c>
      <c r="R1300" t="s">
        <v>23</v>
      </c>
      <c r="S1300">
        <v>5</v>
      </c>
      <c r="T1300" t="s">
        <v>24</v>
      </c>
      <c r="U1300" t="s">
        <v>2408</v>
      </c>
      <c r="V1300">
        <v>2025</v>
      </c>
      <c r="W1300">
        <v>8</v>
      </c>
    </row>
    <row r="1301" spans="1:23" x14ac:dyDescent="0.25">
      <c r="A1301" t="s">
        <v>2233</v>
      </c>
      <c r="B1301">
        <v>45892.708252314813</v>
      </c>
      <c r="C1301" t="s">
        <v>877</v>
      </c>
      <c r="D1301" t="s">
        <v>107</v>
      </c>
      <c r="E1301" t="s">
        <v>50</v>
      </c>
      <c r="F1301" t="s">
        <v>2400</v>
      </c>
      <c r="G1301" t="s">
        <v>2379</v>
      </c>
      <c r="H1301">
        <v>14000</v>
      </c>
      <c r="I1301">
        <v>3</v>
      </c>
      <c r="J1301">
        <v>20</v>
      </c>
      <c r="K1301">
        <v>42000</v>
      </c>
      <c r="L1301">
        <v>8400</v>
      </c>
      <c r="M1301">
        <v>33600</v>
      </c>
      <c r="N1301">
        <v>97000</v>
      </c>
      <c r="O1301">
        <v>130600</v>
      </c>
      <c r="P1301" t="s">
        <v>63</v>
      </c>
      <c r="Q1301" t="s">
        <v>2357</v>
      </c>
      <c r="R1301" t="s">
        <v>30</v>
      </c>
      <c r="S1301">
        <v>3</v>
      </c>
      <c r="T1301" t="s">
        <v>24</v>
      </c>
      <c r="U1301" t="s">
        <v>2408</v>
      </c>
      <c r="V1301">
        <v>2025</v>
      </c>
      <c r="W1301">
        <v>8</v>
      </c>
    </row>
    <row r="1302" spans="1:23" x14ac:dyDescent="0.25">
      <c r="A1302" t="s">
        <v>2234</v>
      </c>
      <c r="B1302">
        <v>45892.826863425929</v>
      </c>
      <c r="C1302" t="s">
        <v>722</v>
      </c>
      <c r="D1302" t="s">
        <v>57</v>
      </c>
      <c r="E1302" t="s">
        <v>123</v>
      </c>
      <c r="F1302" t="s">
        <v>2399</v>
      </c>
      <c r="G1302" t="s">
        <v>2377</v>
      </c>
      <c r="H1302">
        <v>22000</v>
      </c>
      <c r="I1302">
        <v>5</v>
      </c>
      <c r="J1302">
        <v>5</v>
      </c>
      <c r="K1302">
        <v>110000</v>
      </c>
      <c r="L1302">
        <v>5500</v>
      </c>
      <c r="M1302">
        <v>104500</v>
      </c>
      <c r="N1302">
        <v>80000</v>
      </c>
      <c r="O1302">
        <v>184500</v>
      </c>
      <c r="P1302" t="s">
        <v>35</v>
      </c>
      <c r="Q1302" t="s">
        <v>2358</v>
      </c>
      <c r="R1302" t="s">
        <v>30</v>
      </c>
      <c r="S1302">
        <v>5</v>
      </c>
      <c r="T1302" t="s">
        <v>24</v>
      </c>
      <c r="U1302" t="s">
        <v>2408</v>
      </c>
      <c r="V1302">
        <v>2025</v>
      </c>
      <c r="W1302">
        <v>8</v>
      </c>
    </row>
    <row r="1303" spans="1:23" x14ac:dyDescent="0.25">
      <c r="A1303" t="s">
        <v>2235</v>
      </c>
      <c r="B1303">
        <v>45893.044571759259</v>
      </c>
      <c r="C1303" t="s">
        <v>19</v>
      </c>
      <c r="D1303" t="s">
        <v>20</v>
      </c>
      <c r="E1303" t="s">
        <v>104</v>
      </c>
      <c r="F1303" t="s">
        <v>2392</v>
      </c>
      <c r="G1303" t="s">
        <v>2377</v>
      </c>
      <c r="H1303">
        <v>30000</v>
      </c>
      <c r="I1303">
        <v>4</v>
      </c>
      <c r="J1303">
        <v>0</v>
      </c>
      <c r="K1303">
        <v>120000</v>
      </c>
      <c r="L1303">
        <v>0</v>
      </c>
      <c r="M1303">
        <v>120000</v>
      </c>
      <c r="N1303">
        <v>15000</v>
      </c>
      <c r="O1303">
        <v>135000</v>
      </c>
      <c r="P1303" t="s">
        <v>35</v>
      </c>
      <c r="Q1303" t="s">
        <v>2360</v>
      </c>
      <c r="R1303" t="s">
        <v>82</v>
      </c>
      <c r="S1303">
        <v>2</v>
      </c>
      <c r="T1303" t="s">
        <v>24</v>
      </c>
      <c r="U1303" t="s">
        <v>2408</v>
      </c>
      <c r="V1303">
        <v>2025</v>
      </c>
      <c r="W1303">
        <v>8</v>
      </c>
    </row>
    <row r="1304" spans="1:23" x14ac:dyDescent="0.25">
      <c r="A1304" t="s">
        <v>2236</v>
      </c>
      <c r="B1304">
        <v>45893.140682870369</v>
      </c>
      <c r="C1304" t="s">
        <v>335</v>
      </c>
      <c r="D1304" t="s">
        <v>80</v>
      </c>
      <c r="E1304" t="s">
        <v>62</v>
      </c>
      <c r="F1304" t="s">
        <v>2398</v>
      </c>
      <c r="G1304" t="s">
        <v>2378</v>
      </c>
      <c r="H1304">
        <v>50000</v>
      </c>
      <c r="I1304">
        <v>1</v>
      </c>
      <c r="J1304">
        <v>15</v>
      </c>
      <c r="K1304">
        <v>50000</v>
      </c>
      <c r="L1304">
        <v>7500</v>
      </c>
      <c r="M1304">
        <v>42500</v>
      </c>
      <c r="N1304">
        <v>74000</v>
      </c>
      <c r="O1304">
        <v>116500</v>
      </c>
      <c r="P1304" t="s">
        <v>29</v>
      </c>
      <c r="Q1304" t="s">
        <v>2357</v>
      </c>
      <c r="R1304" t="s">
        <v>82</v>
      </c>
      <c r="S1304">
        <v>1</v>
      </c>
      <c r="T1304" t="s">
        <v>37</v>
      </c>
      <c r="U1304" t="s">
        <v>2408</v>
      </c>
      <c r="V1304">
        <v>2025</v>
      </c>
      <c r="W1304">
        <v>8</v>
      </c>
    </row>
    <row r="1305" spans="1:23" x14ac:dyDescent="0.25">
      <c r="A1305" t="s">
        <v>2237</v>
      </c>
      <c r="B1305">
        <v>45893.148043981477</v>
      </c>
      <c r="C1305" t="s">
        <v>243</v>
      </c>
      <c r="D1305" t="s">
        <v>244</v>
      </c>
      <c r="E1305" t="s">
        <v>67</v>
      </c>
      <c r="F1305" t="s">
        <v>2393</v>
      </c>
      <c r="G1305" t="s">
        <v>2378</v>
      </c>
      <c r="H1305">
        <v>15000</v>
      </c>
      <c r="I1305">
        <v>1</v>
      </c>
      <c r="J1305">
        <v>20</v>
      </c>
      <c r="K1305">
        <v>15000</v>
      </c>
      <c r="L1305">
        <v>3000</v>
      </c>
      <c r="M1305">
        <v>12000</v>
      </c>
      <c r="N1305">
        <v>80000</v>
      </c>
      <c r="O1305">
        <v>92000</v>
      </c>
      <c r="P1305" t="s">
        <v>22</v>
      </c>
      <c r="Q1305" t="s">
        <v>2360</v>
      </c>
      <c r="R1305" t="s">
        <v>30</v>
      </c>
      <c r="S1305">
        <v>1</v>
      </c>
      <c r="T1305" t="s">
        <v>37</v>
      </c>
      <c r="U1305" t="s">
        <v>2408</v>
      </c>
      <c r="V1305">
        <v>2025</v>
      </c>
      <c r="W1305">
        <v>8</v>
      </c>
    </row>
    <row r="1306" spans="1:23" x14ac:dyDescent="0.25">
      <c r="A1306" t="s">
        <v>2238</v>
      </c>
      <c r="B1306">
        <v>45893.550451388888</v>
      </c>
      <c r="C1306" t="s">
        <v>681</v>
      </c>
      <c r="D1306" t="s">
        <v>262</v>
      </c>
      <c r="E1306" t="s">
        <v>88</v>
      </c>
      <c r="F1306" t="s">
        <v>2393</v>
      </c>
      <c r="G1306" t="s">
        <v>2377</v>
      </c>
      <c r="H1306">
        <v>14000</v>
      </c>
      <c r="I1306">
        <v>3</v>
      </c>
      <c r="J1306">
        <v>15</v>
      </c>
      <c r="K1306">
        <v>42000</v>
      </c>
      <c r="L1306">
        <v>6300</v>
      </c>
      <c r="M1306">
        <v>35700</v>
      </c>
      <c r="N1306">
        <v>18000</v>
      </c>
      <c r="O1306">
        <v>53700</v>
      </c>
      <c r="P1306" t="s">
        <v>63</v>
      </c>
      <c r="Q1306" t="s">
        <v>2360</v>
      </c>
      <c r="R1306" t="s">
        <v>23</v>
      </c>
      <c r="S1306">
        <v>1</v>
      </c>
      <c r="T1306" t="s">
        <v>24</v>
      </c>
      <c r="U1306" t="s">
        <v>2408</v>
      </c>
      <c r="V1306">
        <v>2025</v>
      </c>
      <c r="W1306">
        <v>8</v>
      </c>
    </row>
    <row r="1307" spans="1:23" x14ac:dyDescent="0.25">
      <c r="A1307" t="s">
        <v>2239</v>
      </c>
      <c r="B1307">
        <v>45893.728634259263</v>
      </c>
      <c r="C1307" t="s">
        <v>246</v>
      </c>
      <c r="D1307" t="s">
        <v>238</v>
      </c>
      <c r="E1307" t="s">
        <v>123</v>
      </c>
      <c r="F1307" t="s">
        <v>2399</v>
      </c>
      <c r="G1307" t="s">
        <v>2377</v>
      </c>
      <c r="H1307">
        <v>22000</v>
      </c>
      <c r="I1307">
        <v>5</v>
      </c>
      <c r="J1307">
        <v>15</v>
      </c>
      <c r="K1307">
        <v>110000</v>
      </c>
      <c r="L1307">
        <v>16500</v>
      </c>
      <c r="M1307">
        <v>93500</v>
      </c>
      <c r="N1307">
        <v>28000</v>
      </c>
      <c r="O1307">
        <v>121500</v>
      </c>
      <c r="P1307" t="s">
        <v>29</v>
      </c>
      <c r="Q1307" t="s">
        <v>2357</v>
      </c>
      <c r="R1307" t="s">
        <v>36</v>
      </c>
      <c r="S1307">
        <v>2</v>
      </c>
      <c r="T1307" t="s">
        <v>24</v>
      </c>
      <c r="U1307" t="s">
        <v>2408</v>
      </c>
      <c r="V1307">
        <v>2025</v>
      </c>
      <c r="W1307">
        <v>8</v>
      </c>
    </row>
    <row r="1308" spans="1:23" x14ac:dyDescent="0.25">
      <c r="A1308" t="s">
        <v>2240</v>
      </c>
      <c r="B1308">
        <v>45893.997604166667</v>
      </c>
      <c r="C1308" t="s">
        <v>1179</v>
      </c>
      <c r="D1308" t="s">
        <v>170</v>
      </c>
      <c r="E1308" t="s">
        <v>34</v>
      </c>
      <c r="F1308" t="s">
        <v>2397</v>
      </c>
      <c r="G1308" t="s">
        <v>2377</v>
      </c>
      <c r="H1308">
        <v>16000</v>
      </c>
      <c r="I1308">
        <v>3</v>
      </c>
      <c r="J1308">
        <v>20</v>
      </c>
      <c r="K1308">
        <v>48000</v>
      </c>
      <c r="L1308">
        <v>9600</v>
      </c>
      <c r="M1308">
        <v>38400</v>
      </c>
      <c r="N1308">
        <v>46000</v>
      </c>
      <c r="O1308">
        <v>84400</v>
      </c>
      <c r="P1308" t="s">
        <v>35</v>
      </c>
      <c r="Q1308" t="s">
        <v>2360</v>
      </c>
      <c r="R1308" t="s">
        <v>82</v>
      </c>
      <c r="S1308">
        <v>2</v>
      </c>
      <c r="T1308" t="s">
        <v>24</v>
      </c>
      <c r="U1308" t="s">
        <v>2408</v>
      </c>
      <c r="V1308">
        <v>2025</v>
      </c>
      <c r="W1308">
        <v>8</v>
      </c>
    </row>
    <row r="1309" spans="1:23" x14ac:dyDescent="0.25">
      <c r="A1309" t="s">
        <v>2241</v>
      </c>
      <c r="B1309">
        <v>45894.023888888893</v>
      </c>
      <c r="C1309" t="s">
        <v>389</v>
      </c>
      <c r="D1309" t="s">
        <v>182</v>
      </c>
      <c r="E1309" t="s">
        <v>41</v>
      </c>
      <c r="F1309" t="s">
        <v>2395</v>
      </c>
      <c r="G1309" t="s">
        <v>2377</v>
      </c>
      <c r="H1309">
        <v>4000</v>
      </c>
      <c r="I1309">
        <v>4</v>
      </c>
      <c r="J1309">
        <v>0</v>
      </c>
      <c r="K1309">
        <v>16000</v>
      </c>
      <c r="L1309">
        <v>0</v>
      </c>
      <c r="M1309">
        <v>16000</v>
      </c>
      <c r="N1309">
        <v>48000</v>
      </c>
      <c r="O1309">
        <v>64000</v>
      </c>
      <c r="P1309" t="s">
        <v>35</v>
      </c>
      <c r="Q1309" t="s">
        <v>2360</v>
      </c>
      <c r="R1309" t="s">
        <v>82</v>
      </c>
      <c r="S1309">
        <v>1</v>
      </c>
      <c r="T1309" t="s">
        <v>24</v>
      </c>
      <c r="U1309" t="s">
        <v>2408</v>
      </c>
      <c r="V1309">
        <v>2025</v>
      </c>
      <c r="W1309">
        <v>8</v>
      </c>
    </row>
    <row r="1310" spans="1:23" x14ac:dyDescent="0.25">
      <c r="A1310" t="s">
        <v>2242</v>
      </c>
      <c r="B1310">
        <v>45894.120173611111</v>
      </c>
      <c r="C1310" t="s">
        <v>155</v>
      </c>
      <c r="D1310" t="s">
        <v>92</v>
      </c>
      <c r="E1310" t="s">
        <v>41</v>
      </c>
      <c r="F1310" t="s">
        <v>2395</v>
      </c>
      <c r="G1310" t="s">
        <v>2377</v>
      </c>
      <c r="H1310">
        <v>4000</v>
      </c>
      <c r="I1310">
        <v>2</v>
      </c>
      <c r="J1310">
        <v>0</v>
      </c>
      <c r="K1310">
        <v>8000</v>
      </c>
      <c r="L1310">
        <v>0</v>
      </c>
      <c r="M1310">
        <v>8000</v>
      </c>
      <c r="N1310">
        <v>30000</v>
      </c>
      <c r="O1310">
        <v>38000</v>
      </c>
      <c r="P1310" t="s">
        <v>35</v>
      </c>
      <c r="Q1310" t="s">
        <v>2356</v>
      </c>
      <c r="R1310" t="s">
        <v>30</v>
      </c>
      <c r="S1310">
        <v>2</v>
      </c>
      <c r="T1310" t="s">
        <v>24</v>
      </c>
      <c r="U1310" t="s">
        <v>2408</v>
      </c>
      <c r="V1310">
        <v>2025</v>
      </c>
      <c r="W1310">
        <v>8</v>
      </c>
    </row>
    <row r="1311" spans="1:23" x14ac:dyDescent="0.25">
      <c r="A1311" t="s">
        <v>2243</v>
      </c>
      <c r="B1311">
        <v>45894.355023148149</v>
      </c>
      <c r="C1311" t="s">
        <v>1808</v>
      </c>
      <c r="D1311" t="s">
        <v>80</v>
      </c>
      <c r="E1311" t="s">
        <v>62</v>
      </c>
      <c r="F1311" t="s">
        <v>2398</v>
      </c>
      <c r="G1311" t="s">
        <v>2378</v>
      </c>
      <c r="H1311">
        <v>50000</v>
      </c>
      <c r="I1311">
        <v>5</v>
      </c>
      <c r="J1311">
        <v>15</v>
      </c>
      <c r="K1311">
        <v>250000</v>
      </c>
      <c r="L1311">
        <v>37500</v>
      </c>
      <c r="M1311">
        <v>212500</v>
      </c>
      <c r="N1311">
        <v>74000</v>
      </c>
      <c r="O1311">
        <v>286500</v>
      </c>
      <c r="P1311" t="s">
        <v>35</v>
      </c>
      <c r="Q1311" t="s">
        <v>2358</v>
      </c>
      <c r="R1311" t="s">
        <v>36</v>
      </c>
      <c r="S1311">
        <v>3</v>
      </c>
      <c r="T1311" t="s">
        <v>24</v>
      </c>
      <c r="U1311" t="s">
        <v>2408</v>
      </c>
      <c r="V1311">
        <v>2025</v>
      </c>
      <c r="W1311">
        <v>8</v>
      </c>
    </row>
    <row r="1312" spans="1:23" x14ac:dyDescent="0.25">
      <c r="A1312" t="s">
        <v>2244</v>
      </c>
      <c r="B1312">
        <v>45894.400046296287</v>
      </c>
      <c r="C1312" t="s">
        <v>302</v>
      </c>
      <c r="D1312" t="s">
        <v>74</v>
      </c>
      <c r="E1312" t="s">
        <v>45</v>
      </c>
      <c r="F1312" t="s">
        <v>2394</v>
      </c>
      <c r="G1312" t="s">
        <v>2378</v>
      </c>
      <c r="H1312">
        <v>40000</v>
      </c>
      <c r="I1312">
        <v>4</v>
      </c>
      <c r="J1312">
        <v>5</v>
      </c>
      <c r="K1312">
        <v>160000</v>
      </c>
      <c r="L1312">
        <v>8000</v>
      </c>
      <c r="M1312">
        <v>152000</v>
      </c>
      <c r="N1312">
        <v>87000</v>
      </c>
      <c r="O1312">
        <v>239000</v>
      </c>
      <c r="P1312" t="s">
        <v>63</v>
      </c>
      <c r="Q1312" t="s">
        <v>2358</v>
      </c>
      <c r="R1312" t="s">
        <v>23</v>
      </c>
      <c r="S1312">
        <v>2</v>
      </c>
      <c r="T1312" t="s">
        <v>24</v>
      </c>
      <c r="U1312" t="s">
        <v>2408</v>
      </c>
      <c r="V1312">
        <v>2025</v>
      </c>
      <c r="W1312">
        <v>8</v>
      </c>
    </row>
    <row r="1313" spans="1:23" x14ac:dyDescent="0.25">
      <c r="A1313" t="s">
        <v>2245</v>
      </c>
      <c r="B1313">
        <v>45894.878587962958</v>
      </c>
      <c r="C1313" t="s">
        <v>404</v>
      </c>
      <c r="D1313" t="s">
        <v>177</v>
      </c>
      <c r="E1313" t="s">
        <v>28</v>
      </c>
      <c r="F1313" t="s">
        <v>2395</v>
      </c>
      <c r="G1313" t="s">
        <v>2378</v>
      </c>
      <c r="H1313">
        <v>5000</v>
      </c>
      <c r="I1313">
        <v>1</v>
      </c>
      <c r="J1313">
        <v>5</v>
      </c>
      <c r="K1313">
        <v>5000</v>
      </c>
      <c r="L1313">
        <v>250</v>
      </c>
      <c r="M1313">
        <v>4750</v>
      </c>
      <c r="N1313">
        <v>56000</v>
      </c>
      <c r="O1313">
        <v>60750</v>
      </c>
      <c r="P1313" t="s">
        <v>35</v>
      </c>
      <c r="Q1313" t="s">
        <v>2356</v>
      </c>
      <c r="R1313" t="s">
        <v>36</v>
      </c>
      <c r="S1313">
        <v>4</v>
      </c>
      <c r="T1313" t="s">
        <v>37</v>
      </c>
      <c r="U1313" t="s">
        <v>2408</v>
      </c>
      <c r="V1313">
        <v>2025</v>
      </c>
      <c r="W1313">
        <v>8</v>
      </c>
    </row>
    <row r="1314" spans="1:23" x14ac:dyDescent="0.25">
      <c r="A1314" t="s">
        <v>2245</v>
      </c>
      <c r="B1314">
        <v>45894.878587962958</v>
      </c>
      <c r="C1314" t="s">
        <v>404</v>
      </c>
      <c r="D1314" t="s">
        <v>177</v>
      </c>
      <c r="E1314" t="s">
        <v>104</v>
      </c>
      <c r="F1314" t="s">
        <v>2392</v>
      </c>
      <c r="G1314" t="s">
        <v>2377</v>
      </c>
      <c r="H1314">
        <v>30000</v>
      </c>
      <c r="I1314">
        <v>5</v>
      </c>
      <c r="J1314">
        <v>15</v>
      </c>
      <c r="K1314">
        <v>150000</v>
      </c>
      <c r="L1314">
        <v>22500</v>
      </c>
      <c r="M1314">
        <v>127500</v>
      </c>
      <c r="N1314">
        <v>0</v>
      </c>
      <c r="O1314">
        <v>127500</v>
      </c>
      <c r="P1314" t="s">
        <v>35</v>
      </c>
      <c r="Q1314" t="s">
        <v>2356</v>
      </c>
      <c r="R1314" t="s">
        <v>36</v>
      </c>
      <c r="S1314">
        <v>4</v>
      </c>
      <c r="T1314" t="s">
        <v>37</v>
      </c>
      <c r="U1314" t="s">
        <v>2408</v>
      </c>
      <c r="V1314">
        <v>2025</v>
      </c>
      <c r="W1314">
        <v>8</v>
      </c>
    </row>
    <row r="1315" spans="1:23" x14ac:dyDescent="0.25">
      <c r="A1315" t="s">
        <v>2246</v>
      </c>
      <c r="B1315">
        <v>45895.244155092587</v>
      </c>
      <c r="C1315" t="s">
        <v>381</v>
      </c>
      <c r="D1315" t="s">
        <v>103</v>
      </c>
      <c r="E1315" t="s">
        <v>50</v>
      </c>
      <c r="F1315" t="s">
        <v>2400</v>
      </c>
      <c r="G1315" t="s">
        <v>2379</v>
      </c>
      <c r="H1315">
        <v>14000</v>
      </c>
      <c r="I1315">
        <v>3</v>
      </c>
      <c r="J1315">
        <v>0</v>
      </c>
      <c r="K1315">
        <v>42000</v>
      </c>
      <c r="L1315">
        <v>0</v>
      </c>
      <c r="M1315">
        <v>42000</v>
      </c>
      <c r="N1315">
        <v>85000</v>
      </c>
      <c r="O1315">
        <v>127000</v>
      </c>
      <c r="P1315" t="s">
        <v>35</v>
      </c>
      <c r="Q1315" t="s">
        <v>2357</v>
      </c>
      <c r="R1315" t="s">
        <v>82</v>
      </c>
      <c r="S1315">
        <v>3</v>
      </c>
      <c r="T1315" t="s">
        <v>24</v>
      </c>
      <c r="U1315" t="s">
        <v>2408</v>
      </c>
      <c r="V1315">
        <v>2025</v>
      </c>
      <c r="W1315">
        <v>8</v>
      </c>
    </row>
    <row r="1316" spans="1:23" x14ac:dyDescent="0.25">
      <c r="A1316" t="s">
        <v>2247</v>
      </c>
      <c r="B1316">
        <v>45895.384351851862</v>
      </c>
      <c r="C1316" t="s">
        <v>2210</v>
      </c>
      <c r="D1316" t="s">
        <v>126</v>
      </c>
      <c r="E1316" t="s">
        <v>75</v>
      </c>
      <c r="F1316" t="s">
        <v>2398</v>
      </c>
      <c r="G1316" t="s">
        <v>2379</v>
      </c>
      <c r="H1316">
        <v>55000</v>
      </c>
      <c r="I1316">
        <v>5</v>
      </c>
      <c r="J1316">
        <v>15</v>
      </c>
      <c r="K1316">
        <v>275000</v>
      </c>
      <c r="L1316">
        <v>41250</v>
      </c>
      <c r="M1316">
        <v>233750</v>
      </c>
      <c r="N1316">
        <v>84000</v>
      </c>
      <c r="O1316">
        <v>317750</v>
      </c>
      <c r="P1316" t="s">
        <v>63</v>
      </c>
      <c r="Q1316" t="s">
        <v>2357</v>
      </c>
      <c r="R1316" t="s">
        <v>30</v>
      </c>
      <c r="S1316">
        <v>5</v>
      </c>
      <c r="T1316" t="s">
        <v>24</v>
      </c>
      <c r="U1316" t="s">
        <v>2408</v>
      </c>
      <c r="V1316">
        <v>2025</v>
      </c>
      <c r="W1316">
        <v>8</v>
      </c>
    </row>
    <row r="1317" spans="1:23" x14ac:dyDescent="0.25">
      <c r="A1317" t="s">
        <v>2248</v>
      </c>
      <c r="B1317">
        <v>45895.449733796297</v>
      </c>
      <c r="C1317" t="s">
        <v>115</v>
      </c>
      <c r="D1317" t="s">
        <v>116</v>
      </c>
      <c r="E1317" t="s">
        <v>250</v>
      </c>
      <c r="F1317" t="s">
        <v>2397</v>
      </c>
      <c r="G1317" t="s">
        <v>2379</v>
      </c>
      <c r="H1317">
        <v>18000</v>
      </c>
      <c r="I1317">
        <v>1</v>
      </c>
      <c r="J1317">
        <v>5</v>
      </c>
      <c r="K1317">
        <v>18000</v>
      </c>
      <c r="L1317">
        <v>900</v>
      </c>
      <c r="M1317">
        <v>17100</v>
      </c>
      <c r="N1317">
        <v>72000</v>
      </c>
      <c r="O1317">
        <v>89100</v>
      </c>
      <c r="P1317" t="s">
        <v>63</v>
      </c>
      <c r="Q1317" t="s">
        <v>2360</v>
      </c>
      <c r="R1317" t="s">
        <v>30</v>
      </c>
      <c r="S1317">
        <v>2</v>
      </c>
      <c r="T1317" t="s">
        <v>24</v>
      </c>
      <c r="U1317" t="s">
        <v>2408</v>
      </c>
      <c r="V1317">
        <v>2025</v>
      </c>
      <c r="W1317">
        <v>8</v>
      </c>
    </row>
    <row r="1318" spans="1:23" x14ac:dyDescent="0.25">
      <c r="A1318" t="s">
        <v>2249</v>
      </c>
      <c r="B1318">
        <v>45895.510891203703</v>
      </c>
      <c r="C1318" t="s">
        <v>834</v>
      </c>
      <c r="D1318" t="s">
        <v>177</v>
      </c>
      <c r="E1318" t="s">
        <v>250</v>
      </c>
      <c r="F1318" t="s">
        <v>2397</v>
      </c>
      <c r="G1318" t="s">
        <v>2379</v>
      </c>
      <c r="H1318">
        <v>18000</v>
      </c>
      <c r="I1318">
        <v>1</v>
      </c>
      <c r="J1318">
        <v>20</v>
      </c>
      <c r="K1318">
        <v>18000</v>
      </c>
      <c r="L1318">
        <v>3600</v>
      </c>
      <c r="M1318">
        <v>14400</v>
      </c>
      <c r="N1318">
        <v>56000</v>
      </c>
      <c r="O1318">
        <v>70400</v>
      </c>
      <c r="P1318" t="s">
        <v>35</v>
      </c>
      <c r="Q1318" t="s">
        <v>2358</v>
      </c>
      <c r="R1318" t="s">
        <v>36</v>
      </c>
      <c r="S1318">
        <v>4</v>
      </c>
      <c r="T1318" t="s">
        <v>37</v>
      </c>
      <c r="U1318" t="s">
        <v>2408</v>
      </c>
      <c r="V1318">
        <v>2025</v>
      </c>
      <c r="W1318">
        <v>8</v>
      </c>
    </row>
    <row r="1319" spans="1:23" x14ac:dyDescent="0.25">
      <c r="A1319" t="s">
        <v>2250</v>
      </c>
      <c r="B1319">
        <v>45896.552581018521</v>
      </c>
      <c r="C1319" t="s">
        <v>582</v>
      </c>
      <c r="D1319" t="s">
        <v>435</v>
      </c>
      <c r="E1319" t="s">
        <v>110</v>
      </c>
      <c r="F1319" t="s">
        <v>2395</v>
      </c>
      <c r="G1319" t="s">
        <v>2379</v>
      </c>
      <c r="H1319">
        <v>6000</v>
      </c>
      <c r="I1319">
        <v>4</v>
      </c>
      <c r="J1319">
        <v>20</v>
      </c>
      <c r="K1319">
        <v>24000</v>
      </c>
      <c r="L1319">
        <v>4800</v>
      </c>
      <c r="M1319">
        <v>19200</v>
      </c>
      <c r="N1319">
        <v>67000</v>
      </c>
      <c r="O1319">
        <v>86200</v>
      </c>
      <c r="P1319" t="s">
        <v>63</v>
      </c>
      <c r="Q1319" t="s">
        <v>2358</v>
      </c>
      <c r="R1319" t="s">
        <v>46</v>
      </c>
      <c r="S1319">
        <v>1</v>
      </c>
      <c r="T1319" t="s">
        <v>24</v>
      </c>
      <c r="U1319" t="s">
        <v>2408</v>
      </c>
      <c r="V1319">
        <v>2025</v>
      </c>
      <c r="W1319">
        <v>8</v>
      </c>
    </row>
    <row r="1320" spans="1:23" x14ac:dyDescent="0.25">
      <c r="A1320" t="s">
        <v>2251</v>
      </c>
      <c r="B1320">
        <v>45896.674687500003</v>
      </c>
      <c r="C1320" t="s">
        <v>570</v>
      </c>
      <c r="D1320" t="s">
        <v>80</v>
      </c>
      <c r="E1320" t="s">
        <v>45</v>
      </c>
      <c r="F1320" t="s">
        <v>2394</v>
      </c>
      <c r="G1320" t="s">
        <v>2378</v>
      </c>
      <c r="H1320">
        <v>40000</v>
      </c>
      <c r="I1320">
        <v>5</v>
      </c>
      <c r="J1320">
        <v>15</v>
      </c>
      <c r="K1320">
        <v>200000</v>
      </c>
      <c r="L1320">
        <v>30000</v>
      </c>
      <c r="M1320">
        <v>170000</v>
      </c>
      <c r="N1320">
        <v>74000</v>
      </c>
      <c r="O1320">
        <v>244000</v>
      </c>
      <c r="P1320" t="s">
        <v>29</v>
      </c>
      <c r="Q1320" t="s">
        <v>2360</v>
      </c>
      <c r="R1320" t="s">
        <v>36</v>
      </c>
      <c r="S1320">
        <v>1</v>
      </c>
      <c r="T1320" t="s">
        <v>24</v>
      </c>
      <c r="U1320" t="s">
        <v>2408</v>
      </c>
      <c r="V1320">
        <v>2025</v>
      </c>
      <c r="W1320">
        <v>8</v>
      </c>
    </row>
    <row r="1321" spans="1:23" x14ac:dyDescent="0.25">
      <c r="A1321" t="s">
        <v>2252</v>
      </c>
      <c r="B1321">
        <v>45897.089432870373</v>
      </c>
      <c r="C1321" t="s">
        <v>549</v>
      </c>
      <c r="D1321" t="s">
        <v>107</v>
      </c>
      <c r="E1321" t="s">
        <v>174</v>
      </c>
      <c r="F1321" t="s">
        <v>2400</v>
      </c>
      <c r="G1321" t="s">
        <v>2377</v>
      </c>
      <c r="H1321">
        <v>10000</v>
      </c>
      <c r="I1321">
        <v>3</v>
      </c>
      <c r="J1321">
        <v>5</v>
      </c>
      <c r="K1321">
        <v>30000</v>
      </c>
      <c r="L1321">
        <v>1500</v>
      </c>
      <c r="M1321">
        <v>28500</v>
      </c>
      <c r="N1321">
        <v>97000</v>
      </c>
      <c r="O1321">
        <v>125500</v>
      </c>
      <c r="P1321" t="s">
        <v>29</v>
      </c>
      <c r="Q1321" t="s">
        <v>2357</v>
      </c>
      <c r="R1321" t="s">
        <v>30</v>
      </c>
      <c r="S1321">
        <v>4</v>
      </c>
      <c r="T1321" t="s">
        <v>24</v>
      </c>
      <c r="U1321" t="s">
        <v>2408</v>
      </c>
      <c r="V1321">
        <v>2025</v>
      </c>
      <c r="W1321">
        <v>8</v>
      </c>
    </row>
    <row r="1322" spans="1:23" x14ac:dyDescent="0.25">
      <c r="A1322" t="s">
        <v>2253</v>
      </c>
      <c r="B1322">
        <v>45897.186666666668</v>
      </c>
      <c r="C1322" t="s">
        <v>184</v>
      </c>
      <c r="D1322" t="s">
        <v>103</v>
      </c>
      <c r="E1322" t="s">
        <v>41</v>
      </c>
      <c r="F1322" t="s">
        <v>2395</v>
      </c>
      <c r="G1322" t="s">
        <v>2377</v>
      </c>
      <c r="H1322">
        <v>4000</v>
      </c>
      <c r="I1322">
        <v>1</v>
      </c>
      <c r="J1322">
        <v>10</v>
      </c>
      <c r="K1322">
        <v>4000</v>
      </c>
      <c r="L1322">
        <v>400</v>
      </c>
      <c r="M1322">
        <v>3600</v>
      </c>
      <c r="N1322">
        <v>85000</v>
      </c>
      <c r="O1322">
        <v>88600</v>
      </c>
      <c r="P1322" t="s">
        <v>29</v>
      </c>
      <c r="Q1322" t="s">
        <v>2360</v>
      </c>
      <c r="R1322" t="s">
        <v>82</v>
      </c>
      <c r="S1322">
        <v>1</v>
      </c>
      <c r="T1322" t="s">
        <v>24</v>
      </c>
      <c r="U1322" t="s">
        <v>2408</v>
      </c>
      <c r="V1322">
        <v>2025</v>
      </c>
      <c r="W1322">
        <v>8</v>
      </c>
    </row>
    <row r="1323" spans="1:23" x14ac:dyDescent="0.25">
      <c r="A1323" t="s">
        <v>2254</v>
      </c>
      <c r="B1323">
        <v>45897.537870370368</v>
      </c>
      <c r="C1323" t="s">
        <v>321</v>
      </c>
      <c r="D1323" t="s">
        <v>80</v>
      </c>
      <c r="E1323" t="s">
        <v>21</v>
      </c>
      <c r="F1323" t="s">
        <v>2394</v>
      </c>
      <c r="G1323" t="s">
        <v>2379</v>
      </c>
      <c r="H1323">
        <v>45000</v>
      </c>
      <c r="I1323">
        <v>2</v>
      </c>
      <c r="J1323">
        <v>5</v>
      </c>
      <c r="K1323">
        <v>90000</v>
      </c>
      <c r="L1323">
        <v>4500</v>
      </c>
      <c r="M1323">
        <v>85500</v>
      </c>
      <c r="N1323">
        <v>74000</v>
      </c>
      <c r="O1323">
        <v>159500</v>
      </c>
      <c r="P1323" t="s">
        <v>63</v>
      </c>
      <c r="Q1323" t="s">
        <v>2360</v>
      </c>
      <c r="R1323" t="s">
        <v>23</v>
      </c>
      <c r="S1323">
        <v>3</v>
      </c>
      <c r="T1323" t="s">
        <v>24</v>
      </c>
      <c r="U1323" t="s">
        <v>2408</v>
      </c>
      <c r="V1323">
        <v>2025</v>
      </c>
      <c r="W1323">
        <v>8</v>
      </c>
    </row>
    <row r="1324" spans="1:23" x14ac:dyDescent="0.25">
      <c r="A1324" t="s">
        <v>2255</v>
      </c>
      <c r="B1324">
        <v>45897.733437499999</v>
      </c>
      <c r="C1324" t="s">
        <v>1396</v>
      </c>
      <c r="D1324" t="s">
        <v>435</v>
      </c>
      <c r="E1324" t="s">
        <v>186</v>
      </c>
      <c r="F1324" t="s">
        <v>2398</v>
      </c>
      <c r="G1324" t="s">
        <v>2377</v>
      </c>
      <c r="H1324">
        <v>45000</v>
      </c>
      <c r="I1324">
        <v>2</v>
      </c>
      <c r="J1324">
        <v>15</v>
      </c>
      <c r="K1324">
        <v>90000</v>
      </c>
      <c r="L1324">
        <v>13500</v>
      </c>
      <c r="M1324">
        <v>76500</v>
      </c>
      <c r="N1324">
        <v>67000</v>
      </c>
      <c r="O1324">
        <v>143500</v>
      </c>
      <c r="P1324" t="s">
        <v>63</v>
      </c>
      <c r="Q1324" t="s">
        <v>2357</v>
      </c>
      <c r="R1324" t="s">
        <v>23</v>
      </c>
      <c r="S1324">
        <v>3</v>
      </c>
      <c r="T1324" t="s">
        <v>24</v>
      </c>
      <c r="U1324" t="s">
        <v>2408</v>
      </c>
      <c r="V1324">
        <v>2025</v>
      </c>
      <c r="W1324">
        <v>8</v>
      </c>
    </row>
    <row r="1325" spans="1:23" x14ac:dyDescent="0.25">
      <c r="A1325" t="s">
        <v>2256</v>
      </c>
      <c r="B1325">
        <v>45898.084236111114</v>
      </c>
      <c r="C1325" t="s">
        <v>153</v>
      </c>
      <c r="D1325" t="s">
        <v>103</v>
      </c>
      <c r="E1325" t="s">
        <v>62</v>
      </c>
      <c r="F1325" t="s">
        <v>2398</v>
      </c>
      <c r="G1325" t="s">
        <v>2378</v>
      </c>
      <c r="H1325">
        <v>50000</v>
      </c>
      <c r="I1325">
        <v>4</v>
      </c>
      <c r="J1325">
        <v>5</v>
      </c>
      <c r="K1325">
        <v>200000</v>
      </c>
      <c r="L1325">
        <v>10000</v>
      </c>
      <c r="M1325">
        <v>190000</v>
      </c>
      <c r="N1325">
        <v>85000</v>
      </c>
      <c r="O1325">
        <v>275000</v>
      </c>
      <c r="P1325" t="s">
        <v>35</v>
      </c>
      <c r="Q1325" t="s">
        <v>2360</v>
      </c>
      <c r="R1325" t="s">
        <v>30</v>
      </c>
      <c r="S1325">
        <v>4</v>
      </c>
      <c r="T1325" t="s">
        <v>37</v>
      </c>
      <c r="U1325" t="s">
        <v>2408</v>
      </c>
      <c r="V1325">
        <v>2025</v>
      </c>
      <c r="W1325">
        <v>8</v>
      </c>
    </row>
    <row r="1326" spans="1:23" x14ac:dyDescent="0.25">
      <c r="A1326" t="s">
        <v>2257</v>
      </c>
      <c r="B1326">
        <v>45898.097557870373</v>
      </c>
      <c r="C1326" t="s">
        <v>510</v>
      </c>
      <c r="D1326" t="s">
        <v>96</v>
      </c>
      <c r="E1326" t="s">
        <v>110</v>
      </c>
      <c r="F1326" t="s">
        <v>2395</v>
      </c>
      <c r="G1326" t="s">
        <v>2379</v>
      </c>
      <c r="H1326">
        <v>6000</v>
      </c>
      <c r="I1326">
        <v>5</v>
      </c>
      <c r="J1326">
        <v>10</v>
      </c>
      <c r="K1326">
        <v>30000</v>
      </c>
      <c r="L1326">
        <v>3000</v>
      </c>
      <c r="M1326">
        <v>27000</v>
      </c>
      <c r="N1326">
        <v>49000</v>
      </c>
      <c r="O1326">
        <v>76000</v>
      </c>
      <c r="P1326" t="s">
        <v>29</v>
      </c>
      <c r="Q1326" t="s">
        <v>2357</v>
      </c>
      <c r="R1326" t="s">
        <v>82</v>
      </c>
      <c r="S1326">
        <v>5</v>
      </c>
      <c r="T1326" t="s">
        <v>24</v>
      </c>
      <c r="U1326" t="s">
        <v>2408</v>
      </c>
      <c r="V1326">
        <v>2025</v>
      </c>
      <c r="W1326">
        <v>8</v>
      </c>
    </row>
    <row r="1327" spans="1:23" x14ac:dyDescent="0.25">
      <c r="A1327" t="s">
        <v>2258</v>
      </c>
      <c r="B1327">
        <v>45898.221493055556</v>
      </c>
      <c r="C1327" t="s">
        <v>1323</v>
      </c>
      <c r="D1327" t="s">
        <v>74</v>
      </c>
      <c r="E1327" t="s">
        <v>34</v>
      </c>
      <c r="F1327" t="s">
        <v>2397</v>
      </c>
      <c r="G1327" t="s">
        <v>2377</v>
      </c>
      <c r="H1327">
        <v>16000</v>
      </c>
      <c r="I1327">
        <v>4</v>
      </c>
      <c r="J1327">
        <v>20</v>
      </c>
      <c r="K1327">
        <v>64000</v>
      </c>
      <c r="L1327">
        <v>12800</v>
      </c>
      <c r="M1327">
        <v>51200</v>
      </c>
      <c r="N1327">
        <v>87000</v>
      </c>
      <c r="O1327">
        <v>138200</v>
      </c>
      <c r="P1327" t="s">
        <v>29</v>
      </c>
      <c r="Q1327" t="s">
        <v>2358</v>
      </c>
      <c r="R1327" t="s">
        <v>82</v>
      </c>
      <c r="S1327">
        <v>2</v>
      </c>
      <c r="T1327" t="s">
        <v>24</v>
      </c>
      <c r="U1327" t="s">
        <v>2408</v>
      </c>
      <c r="V1327">
        <v>2025</v>
      </c>
      <c r="W1327">
        <v>8</v>
      </c>
    </row>
    <row r="1328" spans="1:23" x14ac:dyDescent="0.25">
      <c r="A1328" t="s">
        <v>2259</v>
      </c>
      <c r="B1328">
        <v>45898.250937500001</v>
      </c>
      <c r="C1328" t="s">
        <v>95</v>
      </c>
      <c r="D1328" t="s">
        <v>96</v>
      </c>
      <c r="E1328" t="s">
        <v>34</v>
      </c>
      <c r="F1328" t="s">
        <v>2397</v>
      </c>
      <c r="G1328" t="s">
        <v>2377</v>
      </c>
      <c r="H1328">
        <v>16000</v>
      </c>
      <c r="I1328">
        <v>3</v>
      </c>
      <c r="J1328">
        <v>20</v>
      </c>
      <c r="K1328">
        <v>48000</v>
      </c>
      <c r="L1328">
        <v>9600</v>
      </c>
      <c r="M1328">
        <v>38400</v>
      </c>
      <c r="N1328">
        <v>49000</v>
      </c>
      <c r="O1328">
        <v>87400</v>
      </c>
      <c r="P1328" t="s">
        <v>29</v>
      </c>
      <c r="Q1328" t="s">
        <v>2360</v>
      </c>
      <c r="R1328" t="s">
        <v>46</v>
      </c>
      <c r="S1328">
        <v>2</v>
      </c>
      <c r="T1328" t="s">
        <v>24</v>
      </c>
      <c r="U1328" t="s">
        <v>2408</v>
      </c>
      <c r="V1328">
        <v>2025</v>
      </c>
      <c r="W1328">
        <v>8</v>
      </c>
    </row>
    <row r="1329" spans="1:23" x14ac:dyDescent="0.25">
      <c r="A1329" t="s">
        <v>2260</v>
      </c>
      <c r="B1329">
        <v>45898.28365740741</v>
      </c>
      <c r="C1329" t="s">
        <v>394</v>
      </c>
      <c r="D1329" t="s">
        <v>53</v>
      </c>
      <c r="E1329" t="s">
        <v>136</v>
      </c>
      <c r="F1329" t="s">
        <v>2400</v>
      </c>
      <c r="G1329" t="s">
        <v>2378</v>
      </c>
      <c r="H1329">
        <v>12000</v>
      </c>
      <c r="I1329">
        <v>1</v>
      </c>
      <c r="J1329">
        <v>0</v>
      </c>
      <c r="K1329">
        <v>12000</v>
      </c>
      <c r="L1329">
        <v>0</v>
      </c>
      <c r="M1329">
        <v>12000</v>
      </c>
      <c r="N1329">
        <v>18000</v>
      </c>
      <c r="O1329">
        <v>30000</v>
      </c>
      <c r="P1329" t="s">
        <v>35</v>
      </c>
      <c r="Q1329" t="s">
        <v>2357</v>
      </c>
      <c r="R1329" t="s">
        <v>82</v>
      </c>
      <c r="S1329">
        <v>3</v>
      </c>
      <c r="T1329" t="s">
        <v>24</v>
      </c>
      <c r="U1329" t="s">
        <v>2408</v>
      </c>
      <c r="V1329">
        <v>2025</v>
      </c>
      <c r="W1329">
        <v>8</v>
      </c>
    </row>
    <row r="1330" spans="1:23" x14ac:dyDescent="0.25">
      <c r="A1330" t="s">
        <v>2261</v>
      </c>
      <c r="B1330">
        <v>45898.346018518518</v>
      </c>
      <c r="C1330" t="s">
        <v>985</v>
      </c>
      <c r="D1330" t="s">
        <v>53</v>
      </c>
      <c r="E1330" t="s">
        <v>81</v>
      </c>
      <c r="F1330" t="s">
        <v>2397</v>
      </c>
      <c r="G1330" t="s">
        <v>2378</v>
      </c>
      <c r="H1330">
        <v>17000</v>
      </c>
      <c r="I1330">
        <v>1</v>
      </c>
      <c r="J1330">
        <v>5</v>
      </c>
      <c r="K1330">
        <v>17000</v>
      </c>
      <c r="L1330">
        <v>850</v>
      </c>
      <c r="M1330">
        <v>16150</v>
      </c>
      <c r="N1330">
        <v>18000</v>
      </c>
      <c r="O1330">
        <v>34150</v>
      </c>
      <c r="P1330" t="s">
        <v>29</v>
      </c>
      <c r="Q1330" t="s">
        <v>2359</v>
      </c>
      <c r="R1330" t="s">
        <v>23</v>
      </c>
      <c r="S1330">
        <v>1</v>
      </c>
      <c r="T1330" t="s">
        <v>24</v>
      </c>
      <c r="U1330" t="s">
        <v>2408</v>
      </c>
      <c r="V1330">
        <v>2025</v>
      </c>
      <c r="W1330">
        <v>8</v>
      </c>
    </row>
    <row r="1331" spans="1:23" x14ac:dyDescent="0.25">
      <c r="A1331" t="s">
        <v>2262</v>
      </c>
      <c r="B1331">
        <v>45898.353402777779</v>
      </c>
      <c r="C1331" t="s">
        <v>425</v>
      </c>
      <c r="D1331" t="s">
        <v>44</v>
      </c>
      <c r="E1331" t="s">
        <v>104</v>
      </c>
      <c r="F1331" t="s">
        <v>2392</v>
      </c>
      <c r="G1331" t="s">
        <v>2377</v>
      </c>
      <c r="H1331">
        <v>30000</v>
      </c>
      <c r="I1331">
        <v>3</v>
      </c>
      <c r="J1331">
        <v>0</v>
      </c>
      <c r="K1331">
        <v>90000</v>
      </c>
      <c r="L1331">
        <v>0</v>
      </c>
      <c r="M1331">
        <v>90000</v>
      </c>
      <c r="N1331">
        <v>93000</v>
      </c>
      <c r="O1331">
        <v>183000</v>
      </c>
      <c r="P1331" t="s">
        <v>29</v>
      </c>
      <c r="Q1331" t="s">
        <v>2357</v>
      </c>
      <c r="R1331" t="s">
        <v>82</v>
      </c>
      <c r="S1331">
        <v>1</v>
      </c>
      <c r="T1331" t="s">
        <v>37</v>
      </c>
      <c r="U1331" t="s">
        <v>2408</v>
      </c>
      <c r="V1331">
        <v>2025</v>
      </c>
      <c r="W1331">
        <v>8</v>
      </c>
    </row>
    <row r="1332" spans="1:23" x14ac:dyDescent="0.25">
      <c r="A1332" t="s">
        <v>2263</v>
      </c>
      <c r="B1332">
        <v>45898.353715277779</v>
      </c>
      <c r="C1332" t="s">
        <v>192</v>
      </c>
      <c r="D1332" t="s">
        <v>107</v>
      </c>
      <c r="E1332" t="s">
        <v>190</v>
      </c>
      <c r="F1332" t="s">
        <v>2392</v>
      </c>
      <c r="G1332" t="s">
        <v>2378</v>
      </c>
      <c r="H1332">
        <v>35000</v>
      </c>
      <c r="I1332">
        <v>5</v>
      </c>
      <c r="J1332">
        <v>20</v>
      </c>
      <c r="K1332">
        <v>175000</v>
      </c>
      <c r="L1332">
        <v>35000</v>
      </c>
      <c r="M1332">
        <v>140000</v>
      </c>
      <c r="N1332">
        <v>97000</v>
      </c>
      <c r="O1332">
        <v>237000</v>
      </c>
      <c r="P1332" t="s">
        <v>29</v>
      </c>
      <c r="Q1332" t="s">
        <v>2357</v>
      </c>
      <c r="R1332" t="s">
        <v>36</v>
      </c>
      <c r="S1332">
        <v>1</v>
      </c>
      <c r="T1332" t="s">
        <v>24</v>
      </c>
      <c r="U1332" t="s">
        <v>2408</v>
      </c>
      <c r="V1332">
        <v>2025</v>
      </c>
      <c r="W1332">
        <v>8</v>
      </c>
    </row>
    <row r="1333" spans="1:23" x14ac:dyDescent="0.25">
      <c r="A1333" t="s">
        <v>2263</v>
      </c>
      <c r="B1333">
        <v>45898.353715277779</v>
      </c>
      <c r="C1333" t="s">
        <v>192</v>
      </c>
      <c r="D1333" t="s">
        <v>107</v>
      </c>
      <c r="E1333" t="s">
        <v>58</v>
      </c>
      <c r="F1333" t="s">
        <v>2396</v>
      </c>
      <c r="G1333" t="s">
        <v>2377</v>
      </c>
      <c r="H1333">
        <v>16000</v>
      </c>
      <c r="I1333">
        <v>5</v>
      </c>
      <c r="J1333">
        <v>5</v>
      </c>
      <c r="K1333">
        <v>80000</v>
      </c>
      <c r="L1333">
        <v>4000</v>
      </c>
      <c r="M1333">
        <v>76000</v>
      </c>
      <c r="N1333">
        <v>0</v>
      </c>
      <c r="O1333">
        <v>76000</v>
      </c>
      <c r="P1333" t="s">
        <v>29</v>
      </c>
      <c r="Q1333" t="s">
        <v>2357</v>
      </c>
      <c r="R1333" t="s">
        <v>36</v>
      </c>
      <c r="S1333">
        <v>1</v>
      </c>
      <c r="T1333" t="s">
        <v>24</v>
      </c>
      <c r="U1333" t="s">
        <v>2408</v>
      </c>
      <c r="V1333">
        <v>2025</v>
      </c>
      <c r="W1333">
        <v>8</v>
      </c>
    </row>
    <row r="1334" spans="1:23" x14ac:dyDescent="0.25">
      <c r="A1334" t="s">
        <v>2264</v>
      </c>
      <c r="B1334">
        <v>45898.584236111114</v>
      </c>
      <c r="C1334" t="s">
        <v>222</v>
      </c>
      <c r="D1334" t="s">
        <v>49</v>
      </c>
      <c r="E1334" t="s">
        <v>45</v>
      </c>
      <c r="F1334" t="s">
        <v>2394</v>
      </c>
      <c r="G1334" t="s">
        <v>2378</v>
      </c>
      <c r="H1334">
        <v>40000</v>
      </c>
      <c r="I1334">
        <v>5</v>
      </c>
      <c r="J1334">
        <v>0</v>
      </c>
      <c r="K1334">
        <v>200000</v>
      </c>
      <c r="L1334">
        <v>0</v>
      </c>
      <c r="M1334">
        <v>200000</v>
      </c>
      <c r="N1334">
        <v>43000</v>
      </c>
      <c r="O1334">
        <v>243000</v>
      </c>
      <c r="P1334" t="s">
        <v>22</v>
      </c>
      <c r="Q1334" t="s">
        <v>2360</v>
      </c>
      <c r="R1334" t="s">
        <v>46</v>
      </c>
      <c r="S1334">
        <v>2</v>
      </c>
      <c r="T1334" t="s">
        <v>24</v>
      </c>
      <c r="U1334" t="s">
        <v>2408</v>
      </c>
      <c r="V1334">
        <v>2025</v>
      </c>
      <c r="W1334">
        <v>8</v>
      </c>
    </row>
    <row r="1335" spans="1:23" x14ac:dyDescent="0.25">
      <c r="A1335" t="s">
        <v>2265</v>
      </c>
      <c r="B1335">
        <v>45898.705682870372</v>
      </c>
      <c r="C1335" t="s">
        <v>1035</v>
      </c>
      <c r="D1335" t="s">
        <v>66</v>
      </c>
      <c r="E1335" t="s">
        <v>136</v>
      </c>
      <c r="F1335" t="s">
        <v>2400</v>
      </c>
      <c r="G1335" t="s">
        <v>2378</v>
      </c>
      <c r="H1335">
        <v>12000</v>
      </c>
      <c r="I1335">
        <v>5</v>
      </c>
      <c r="J1335">
        <v>15</v>
      </c>
      <c r="K1335">
        <v>60000</v>
      </c>
      <c r="L1335">
        <v>9000</v>
      </c>
      <c r="M1335">
        <v>51000</v>
      </c>
      <c r="N1335">
        <v>59000</v>
      </c>
      <c r="O1335">
        <v>110000</v>
      </c>
      <c r="P1335" t="s">
        <v>22</v>
      </c>
      <c r="Q1335" t="s">
        <v>2360</v>
      </c>
      <c r="R1335" t="s">
        <v>46</v>
      </c>
      <c r="S1335">
        <v>2</v>
      </c>
      <c r="T1335" t="s">
        <v>24</v>
      </c>
      <c r="U1335" t="s">
        <v>2408</v>
      </c>
      <c r="V1335">
        <v>2025</v>
      </c>
      <c r="W1335">
        <v>8</v>
      </c>
    </row>
    <row r="1336" spans="1:23" x14ac:dyDescent="0.25">
      <c r="A1336" t="s">
        <v>2266</v>
      </c>
      <c r="B1336">
        <v>45898.97152777778</v>
      </c>
      <c r="C1336" t="s">
        <v>52</v>
      </c>
      <c r="D1336" t="s">
        <v>53</v>
      </c>
      <c r="E1336" t="s">
        <v>136</v>
      </c>
      <c r="F1336" t="s">
        <v>2400</v>
      </c>
      <c r="G1336" t="s">
        <v>2378</v>
      </c>
      <c r="H1336">
        <v>12000</v>
      </c>
      <c r="I1336">
        <v>4</v>
      </c>
      <c r="J1336">
        <v>0</v>
      </c>
      <c r="K1336">
        <v>48000</v>
      </c>
      <c r="L1336">
        <v>0</v>
      </c>
      <c r="M1336">
        <v>48000</v>
      </c>
      <c r="N1336">
        <v>18000</v>
      </c>
      <c r="O1336">
        <v>66000</v>
      </c>
      <c r="P1336" t="s">
        <v>22</v>
      </c>
      <c r="Q1336" t="s">
        <v>2357</v>
      </c>
      <c r="R1336" t="s">
        <v>30</v>
      </c>
      <c r="S1336">
        <v>5</v>
      </c>
      <c r="T1336" t="s">
        <v>24</v>
      </c>
      <c r="U1336" t="s">
        <v>2408</v>
      </c>
      <c r="V1336">
        <v>2025</v>
      </c>
      <c r="W1336">
        <v>8</v>
      </c>
    </row>
    <row r="1337" spans="1:23" x14ac:dyDescent="0.25">
      <c r="A1337" t="s">
        <v>2267</v>
      </c>
      <c r="B1337">
        <v>45899.024247685193</v>
      </c>
      <c r="C1337" t="s">
        <v>615</v>
      </c>
      <c r="D1337" t="s">
        <v>92</v>
      </c>
      <c r="E1337" t="s">
        <v>250</v>
      </c>
      <c r="F1337" t="s">
        <v>2397</v>
      </c>
      <c r="G1337" t="s">
        <v>2379</v>
      </c>
      <c r="H1337">
        <v>18000</v>
      </c>
      <c r="I1337">
        <v>5</v>
      </c>
      <c r="J1337">
        <v>15</v>
      </c>
      <c r="K1337">
        <v>90000</v>
      </c>
      <c r="L1337">
        <v>13500</v>
      </c>
      <c r="M1337">
        <v>76500</v>
      </c>
      <c r="N1337">
        <v>30000</v>
      </c>
      <c r="O1337">
        <v>106500</v>
      </c>
      <c r="P1337" t="s">
        <v>63</v>
      </c>
      <c r="Q1337" t="s">
        <v>2357</v>
      </c>
      <c r="R1337" t="s">
        <v>82</v>
      </c>
      <c r="S1337">
        <v>3</v>
      </c>
      <c r="T1337" t="s">
        <v>24</v>
      </c>
      <c r="U1337" t="s">
        <v>2408</v>
      </c>
      <c r="V1337">
        <v>2025</v>
      </c>
      <c r="W1337">
        <v>8</v>
      </c>
    </row>
    <row r="1338" spans="1:23" x14ac:dyDescent="0.25">
      <c r="A1338" t="s">
        <v>2268</v>
      </c>
      <c r="B1338">
        <v>45899.208912037036</v>
      </c>
      <c r="C1338" t="s">
        <v>285</v>
      </c>
      <c r="D1338" t="s">
        <v>20</v>
      </c>
      <c r="E1338" t="s">
        <v>88</v>
      </c>
      <c r="F1338" t="s">
        <v>2393</v>
      </c>
      <c r="G1338" t="s">
        <v>2377</v>
      </c>
      <c r="H1338">
        <v>14000</v>
      </c>
      <c r="I1338">
        <v>3</v>
      </c>
      <c r="J1338">
        <v>20</v>
      </c>
      <c r="K1338">
        <v>42000</v>
      </c>
      <c r="L1338">
        <v>8400</v>
      </c>
      <c r="M1338">
        <v>33600</v>
      </c>
      <c r="N1338">
        <v>15000</v>
      </c>
      <c r="O1338">
        <v>48600</v>
      </c>
      <c r="P1338" t="s">
        <v>35</v>
      </c>
      <c r="Q1338" t="s">
        <v>2357</v>
      </c>
      <c r="R1338" t="s">
        <v>30</v>
      </c>
      <c r="S1338">
        <v>1</v>
      </c>
      <c r="T1338" t="s">
        <v>37</v>
      </c>
      <c r="U1338" t="s">
        <v>2408</v>
      </c>
      <c r="V1338">
        <v>2025</v>
      </c>
      <c r="W1338">
        <v>8</v>
      </c>
    </row>
    <row r="1339" spans="1:23" x14ac:dyDescent="0.25">
      <c r="A1339" t="s">
        <v>2269</v>
      </c>
      <c r="B1339">
        <v>45899.281759259262</v>
      </c>
      <c r="C1339" t="s">
        <v>1341</v>
      </c>
      <c r="D1339" t="s">
        <v>107</v>
      </c>
      <c r="E1339" t="s">
        <v>45</v>
      </c>
      <c r="F1339" t="s">
        <v>2394</v>
      </c>
      <c r="G1339" t="s">
        <v>2378</v>
      </c>
      <c r="H1339">
        <v>40000</v>
      </c>
      <c r="I1339">
        <v>4</v>
      </c>
      <c r="J1339">
        <v>15</v>
      </c>
      <c r="K1339">
        <v>160000</v>
      </c>
      <c r="L1339">
        <v>24000</v>
      </c>
      <c r="M1339">
        <v>136000</v>
      </c>
      <c r="N1339">
        <v>97000</v>
      </c>
      <c r="O1339">
        <v>233000</v>
      </c>
      <c r="P1339" t="s">
        <v>22</v>
      </c>
      <c r="Q1339" t="s">
        <v>2358</v>
      </c>
      <c r="R1339" t="s">
        <v>30</v>
      </c>
      <c r="S1339">
        <v>1</v>
      </c>
      <c r="T1339" t="s">
        <v>37</v>
      </c>
      <c r="U1339" t="s">
        <v>2408</v>
      </c>
      <c r="V1339">
        <v>2025</v>
      </c>
      <c r="W1339">
        <v>8</v>
      </c>
    </row>
    <row r="1340" spans="1:23" x14ac:dyDescent="0.25">
      <c r="A1340" t="s">
        <v>2270</v>
      </c>
      <c r="B1340">
        <v>45899.436759259261</v>
      </c>
      <c r="C1340" t="s">
        <v>368</v>
      </c>
      <c r="D1340" t="s">
        <v>113</v>
      </c>
      <c r="E1340" t="s">
        <v>81</v>
      </c>
      <c r="F1340" t="s">
        <v>2397</v>
      </c>
      <c r="G1340" t="s">
        <v>2378</v>
      </c>
      <c r="H1340">
        <v>17000</v>
      </c>
      <c r="I1340">
        <v>3</v>
      </c>
      <c r="J1340">
        <v>0</v>
      </c>
      <c r="K1340">
        <v>51000</v>
      </c>
      <c r="L1340">
        <v>0</v>
      </c>
      <c r="M1340">
        <v>51000</v>
      </c>
      <c r="N1340">
        <v>18000</v>
      </c>
      <c r="O1340">
        <v>69000</v>
      </c>
      <c r="P1340" t="s">
        <v>29</v>
      </c>
      <c r="Q1340" t="s">
        <v>2360</v>
      </c>
      <c r="R1340" t="s">
        <v>23</v>
      </c>
      <c r="S1340">
        <v>1</v>
      </c>
      <c r="T1340" t="s">
        <v>37</v>
      </c>
      <c r="U1340" t="s">
        <v>2408</v>
      </c>
      <c r="V1340">
        <v>2025</v>
      </c>
      <c r="W1340">
        <v>8</v>
      </c>
    </row>
    <row r="1341" spans="1:23" x14ac:dyDescent="0.25">
      <c r="A1341" t="s">
        <v>2271</v>
      </c>
      <c r="B1341">
        <v>45900.304907407408</v>
      </c>
      <c r="C1341" t="s">
        <v>115</v>
      </c>
      <c r="D1341" t="s">
        <v>116</v>
      </c>
      <c r="E1341" t="s">
        <v>110</v>
      </c>
      <c r="F1341" t="s">
        <v>2395</v>
      </c>
      <c r="G1341" t="s">
        <v>2379</v>
      </c>
      <c r="H1341">
        <v>6000</v>
      </c>
      <c r="I1341">
        <v>1</v>
      </c>
      <c r="J1341">
        <v>15</v>
      </c>
      <c r="K1341">
        <v>6000</v>
      </c>
      <c r="L1341">
        <v>900</v>
      </c>
      <c r="M1341">
        <v>5100</v>
      </c>
      <c r="N1341">
        <v>72000</v>
      </c>
      <c r="O1341">
        <v>77100</v>
      </c>
      <c r="P1341" t="s">
        <v>63</v>
      </c>
      <c r="Q1341" t="s">
        <v>2360</v>
      </c>
      <c r="R1341" t="s">
        <v>82</v>
      </c>
      <c r="S1341">
        <v>4</v>
      </c>
      <c r="T1341" t="s">
        <v>24</v>
      </c>
      <c r="U1341" t="s">
        <v>2408</v>
      </c>
      <c r="V1341">
        <v>2025</v>
      </c>
      <c r="W1341">
        <v>8</v>
      </c>
    </row>
    <row r="1342" spans="1:23" x14ac:dyDescent="0.25">
      <c r="A1342" t="s">
        <v>2272</v>
      </c>
      <c r="B1342">
        <v>45900.417118055557</v>
      </c>
      <c r="C1342" t="s">
        <v>726</v>
      </c>
      <c r="D1342" t="s">
        <v>53</v>
      </c>
      <c r="E1342" t="s">
        <v>41</v>
      </c>
      <c r="F1342" t="s">
        <v>2395</v>
      </c>
      <c r="G1342" t="s">
        <v>2377</v>
      </c>
      <c r="H1342">
        <v>4000</v>
      </c>
      <c r="I1342">
        <v>1</v>
      </c>
      <c r="J1342">
        <v>5</v>
      </c>
      <c r="K1342">
        <v>4000</v>
      </c>
      <c r="L1342">
        <v>200</v>
      </c>
      <c r="M1342">
        <v>3800</v>
      </c>
      <c r="N1342">
        <v>18000</v>
      </c>
      <c r="O1342">
        <v>21800</v>
      </c>
      <c r="P1342" t="s">
        <v>63</v>
      </c>
      <c r="Q1342" t="s">
        <v>2360</v>
      </c>
      <c r="R1342" t="s">
        <v>23</v>
      </c>
      <c r="S1342">
        <v>4</v>
      </c>
      <c r="T1342" t="s">
        <v>37</v>
      </c>
      <c r="U1342" t="s">
        <v>2408</v>
      </c>
      <c r="V1342">
        <v>2025</v>
      </c>
      <c r="W1342">
        <v>8</v>
      </c>
    </row>
    <row r="1343" spans="1:23" x14ac:dyDescent="0.25">
      <c r="A1343" t="s">
        <v>18</v>
      </c>
      <c r="B1343">
        <v>45551.015844907408</v>
      </c>
      <c r="C1343" t="s">
        <v>19</v>
      </c>
      <c r="D1343" t="s">
        <v>20</v>
      </c>
      <c r="E1343" t="s">
        <v>21</v>
      </c>
      <c r="F1343" t="s">
        <v>2394</v>
      </c>
      <c r="G1343" t="s">
        <v>2379</v>
      </c>
      <c r="H1343">
        <v>45000</v>
      </c>
      <c r="I1343">
        <v>4</v>
      </c>
      <c r="J1343">
        <v>0</v>
      </c>
      <c r="K1343">
        <v>180000</v>
      </c>
      <c r="L1343">
        <v>0</v>
      </c>
      <c r="M1343">
        <v>180000</v>
      </c>
      <c r="N1343">
        <v>15000</v>
      </c>
      <c r="O1343">
        <v>195000</v>
      </c>
      <c r="P1343" t="s">
        <v>22</v>
      </c>
      <c r="Q1343" t="s">
        <v>2357</v>
      </c>
      <c r="R1343" t="s">
        <v>23</v>
      </c>
      <c r="S1343">
        <v>3</v>
      </c>
      <c r="T1343" t="s">
        <v>24</v>
      </c>
      <c r="U1343" t="s">
        <v>2409</v>
      </c>
      <c r="V1343">
        <v>2024</v>
      </c>
      <c r="W1343">
        <v>9</v>
      </c>
    </row>
    <row r="1344" spans="1:23" x14ac:dyDescent="0.25">
      <c r="A1344" t="s">
        <v>25</v>
      </c>
      <c r="B1344">
        <v>45551.028368055559</v>
      </c>
      <c r="C1344" t="s">
        <v>26</v>
      </c>
      <c r="D1344" t="s">
        <v>27</v>
      </c>
      <c r="E1344" t="s">
        <v>28</v>
      </c>
      <c r="F1344" t="s">
        <v>2395</v>
      </c>
      <c r="G1344" t="s">
        <v>2378</v>
      </c>
      <c r="H1344">
        <v>5000</v>
      </c>
      <c r="I1344">
        <v>4</v>
      </c>
      <c r="J1344">
        <v>20</v>
      </c>
      <c r="K1344">
        <v>20000</v>
      </c>
      <c r="L1344">
        <v>4000</v>
      </c>
      <c r="M1344">
        <v>16000</v>
      </c>
      <c r="N1344">
        <v>17000</v>
      </c>
      <c r="O1344">
        <v>33000</v>
      </c>
      <c r="P1344" t="s">
        <v>29</v>
      </c>
      <c r="Q1344" t="s">
        <v>2357</v>
      </c>
      <c r="R1344" t="s">
        <v>30</v>
      </c>
      <c r="S1344">
        <v>5</v>
      </c>
      <c r="T1344" t="s">
        <v>24</v>
      </c>
      <c r="U1344" t="s">
        <v>2409</v>
      </c>
      <c r="V1344">
        <v>2024</v>
      </c>
      <c r="W1344">
        <v>9</v>
      </c>
    </row>
    <row r="1345" spans="1:23" x14ac:dyDescent="0.25">
      <c r="A1345" t="s">
        <v>31</v>
      </c>
      <c r="B1345">
        <v>45551.531631944446</v>
      </c>
      <c r="C1345" t="s">
        <v>32</v>
      </c>
      <c r="D1345" t="s">
        <v>33</v>
      </c>
      <c r="E1345" t="s">
        <v>34</v>
      </c>
      <c r="F1345" t="s">
        <v>2397</v>
      </c>
      <c r="G1345" t="s">
        <v>2377</v>
      </c>
      <c r="H1345">
        <v>16000</v>
      </c>
      <c r="I1345">
        <v>5</v>
      </c>
      <c r="J1345">
        <v>5</v>
      </c>
      <c r="K1345">
        <v>80000</v>
      </c>
      <c r="L1345">
        <v>4000</v>
      </c>
      <c r="M1345">
        <v>76000</v>
      </c>
      <c r="N1345">
        <v>76000</v>
      </c>
      <c r="O1345">
        <v>152000</v>
      </c>
      <c r="P1345" t="s">
        <v>35</v>
      </c>
      <c r="Q1345" t="s">
        <v>2357</v>
      </c>
      <c r="R1345" t="s">
        <v>36</v>
      </c>
      <c r="S1345">
        <v>1</v>
      </c>
      <c r="T1345" t="s">
        <v>37</v>
      </c>
      <c r="U1345" t="s">
        <v>2409</v>
      </c>
      <c r="V1345">
        <v>2024</v>
      </c>
      <c r="W1345">
        <v>9</v>
      </c>
    </row>
    <row r="1346" spans="1:23" x14ac:dyDescent="0.25">
      <c r="A1346" t="s">
        <v>31</v>
      </c>
      <c r="B1346">
        <v>45551.531631944446</v>
      </c>
      <c r="C1346" t="s">
        <v>32</v>
      </c>
      <c r="D1346" t="s">
        <v>33</v>
      </c>
      <c r="E1346" t="s">
        <v>38</v>
      </c>
      <c r="F1346" t="s">
        <v>2399</v>
      </c>
      <c r="G1346" t="s">
        <v>2379</v>
      </c>
      <c r="H1346">
        <v>28000</v>
      </c>
      <c r="I1346">
        <v>1</v>
      </c>
      <c r="J1346">
        <v>10</v>
      </c>
      <c r="K1346">
        <v>28000</v>
      </c>
      <c r="L1346">
        <v>2800</v>
      </c>
      <c r="M1346">
        <v>25200</v>
      </c>
      <c r="N1346">
        <v>0</v>
      </c>
      <c r="O1346">
        <v>25200</v>
      </c>
      <c r="P1346" t="s">
        <v>35</v>
      </c>
      <c r="Q1346" t="s">
        <v>2357</v>
      </c>
      <c r="R1346" t="s">
        <v>36</v>
      </c>
      <c r="S1346">
        <v>1</v>
      </c>
      <c r="T1346" t="s">
        <v>37</v>
      </c>
      <c r="U1346" t="s">
        <v>2409</v>
      </c>
      <c r="V1346">
        <v>2024</v>
      </c>
      <c r="W1346">
        <v>9</v>
      </c>
    </row>
    <row r="1347" spans="1:23" x14ac:dyDescent="0.25">
      <c r="A1347" t="s">
        <v>39</v>
      </c>
      <c r="B1347">
        <v>45551.573483796303</v>
      </c>
      <c r="C1347" t="s">
        <v>40</v>
      </c>
      <c r="D1347" t="s">
        <v>27</v>
      </c>
      <c r="E1347" t="s">
        <v>41</v>
      </c>
      <c r="F1347" t="s">
        <v>2395</v>
      </c>
      <c r="G1347" t="s">
        <v>2377</v>
      </c>
      <c r="H1347">
        <v>4000</v>
      </c>
      <c r="I1347">
        <v>3</v>
      </c>
      <c r="J1347">
        <v>0</v>
      </c>
      <c r="K1347">
        <v>12000</v>
      </c>
      <c r="L1347">
        <v>0</v>
      </c>
      <c r="M1347">
        <v>12000</v>
      </c>
      <c r="N1347">
        <v>17000</v>
      </c>
      <c r="O1347">
        <v>29000</v>
      </c>
      <c r="P1347" t="s">
        <v>29</v>
      </c>
      <c r="Q1347" t="s">
        <v>2357</v>
      </c>
      <c r="R1347" t="s">
        <v>30</v>
      </c>
      <c r="S1347">
        <v>2</v>
      </c>
      <c r="T1347" t="s">
        <v>24</v>
      </c>
      <c r="U1347" t="s">
        <v>2409</v>
      </c>
      <c r="V1347">
        <v>2024</v>
      </c>
      <c r="W1347">
        <v>9</v>
      </c>
    </row>
    <row r="1348" spans="1:23" x14ac:dyDescent="0.25">
      <c r="A1348" t="s">
        <v>42</v>
      </c>
      <c r="B1348">
        <v>45551.633425925917</v>
      </c>
      <c r="C1348" t="s">
        <v>43</v>
      </c>
      <c r="D1348" t="s">
        <v>44</v>
      </c>
      <c r="E1348" t="s">
        <v>45</v>
      </c>
      <c r="F1348" t="s">
        <v>2394</v>
      </c>
      <c r="G1348" t="s">
        <v>2378</v>
      </c>
      <c r="H1348">
        <v>40000</v>
      </c>
      <c r="I1348">
        <v>1</v>
      </c>
      <c r="J1348">
        <v>0</v>
      </c>
      <c r="K1348">
        <v>40000</v>
      </c>
      <c r="L1348">
        <v>0</v>
      </c>
      <c r="M1348">
        <v>40000</v>
      </c>
      <c r="N1348">
        <v>93000</v>
      </c>
      <c r="O1348">
        <v>133000</v>
      </c>
      <c r="P1348" t="s">
        <v>35</v>
      </c>
      <c r="Q1348" t="s">
        <v>2357</v>
      </c>
      <c r="R1348" t="s">
        <v>46</v>
      </c>
      <c r="S1348">
        <v>2</v>
      </c>
      <c r="T1348" t="s">
        <v>24</v>
      </c>
      <c r="U1348" t="s">
        <v>2409</v>
      </c>
      <c r="V1348">
        <v>2024</v>
      </c>
      <c r="W1348">
        <v>9</v>
      </c>
    </row>
    <row r="1349" spans="1:23" x14ac:dyDescent="0.25">
      <c r="A1349" t="s">
        <v>47</v>
      </c>
      <c r="B1349">
        <v>45552.008842592593</v>
      </c>
      <c r="C1349" t="s">
        <v>48</v>
      </c>
      <c r="D1349" t="s">
        <v>49</v>
      </c>
      <c r="E1349" t="s">
        <v>50</v>
      </c>
      <c r="F1349" t="s">
        <v>2400</v>
      </c>
      <c r="G1349" t="s">
        <v>2379</v>
      </c>
      <c r="H1349">
        <v>14000</v>
      </c>
      <c r="I1349">
        <v>4</v>
      </c>
      <c r="J1349">
        <v>0</v>
      </c>
      <c r="K1349">
        <v>56000</v>
      </c>
      <c r="L1349">
        <v>0</v>
      </c>
      <c r="M1349">
        <v>56000</v>
      </c>
      <c r="N1349">
        <v>43000</v>
      </c>
      <c r="O1349">
        <v>99000</v>
      </c>
      <c r="P1349" t="s">
        <v>22</v>
      </c>
      <c r="Q1349" t="s">
        <v>2357</v>
      </c>
      <c r="R1349" t="s">
        <v>30</v>
      </c>
      <c r="S1349">
        <v>4</v>
      </c>
      <c r="T1349" t="s">
        <v>24</v>
      </c>
      <c r="U1349" t="s">
        <v>2409</v>
      </c>
      <c r="V1349">
        <v>2024</v>
      </c>
      <c r="W1349">
        <v>9</v>
      </c>
    </row>
    <row r="1350" spans="1:23" x14ac:dyDescent="0.25">
      <c r="A1350" t="s">
        <v>51</v>
      </c>
      <c r="B1350">
        <v>45552.077418981477</v>
      </c>
      <c r="C1350" t="s">
        <v>52</v>
      </c>
      <c r="D1350" t="s">
        <v>53</v>
      </c>
      <c r="E1350" t="s">
        <v>54</v>
      </c>
      <c r="F1350" t="s">
        <v>2393</v>
      </c>
      <c r="G1350" t="s">
        <v>2379</v>
      </c>
      <c r="H1350">
        <v>16000</v>
      </c>
      <c r="I1350">
        <v>2</v>
      </c>
      <c r="J1350">
        <v>0</v>
      </c>
      <c r="K1350">
        <v>32000</v>
      </c>
      <c r="L1350">
        <v>0</v>
      </c>
      <c r="M1350">
        <v>32000</v>
      </c>
      <c r="N1350">
        <v>18000</v>
      </c>
      <c r="O1350">
        <v>50000</v>
      </c>
      <c r="P1350" t="s">
        <v>29</v>
      </c>
      <c r="Q1350" t="s">
        <v>2357</v>
      </c>
      <c r="R1350" t="s">
        <v>30</v>
      </c>
      <c r="S1350">
        <v>5</v>
      </c>
      <c r="T1350" t="s">
        <v>24</v>
      </c>
      <c r="U1350" t="s">
        <v>2409</v>
      </c>
      <c r="V1350">
        <v>2024</v>
      </c>
      <c r="W1350">
        <v>9</v>
      </c>
    </row>
    <row r="1351" spans="1:23" x14ac:dyDescent="0.25">
      <c r="A1351" t="s">
        <v>55</v>
      </c>
      <c r="B1351">
        <v>45552.108449074083</v>
      </c>
      <c r="C1351" t="s">
        <v>56</v>
      </c>
      <c r="D1351" t="s">
        <v>57</v>
      </c>
      <c r="E1351" t="s">
        <v>58</v>
      </c>
      <c r="F1351" t="s">
        <v>2396</v>
      </c>
      <c r="G1351" t="s">
        <v>2377</v>
      </c>
      <c r="H1351">
        <v>16000</v>
      </c>
      <c r="I1351">
        <v>1</v>
      </c>
      <c r="J1351">
        <v>0</v>
      </c>
      <c r="K1351">
        <v>16000</v>
      </c>
      <c r="L1351">
        <v>0</v>
      </c>
      <c r="M1351">
        <v>16000</v>
      </c>
      <c r="N1351">
        <v>80000</v>
      </c>
      <c r="O1351">
        <v>96000</v>
      </c>
      <c r="P1351" t="s">
        <v>35</v>
      </c>
      <c r="Q1351" t="s">
        <v>2357</v>
      </c>
      <c r="R1351" t="s">
        <v>36</v>
      </c>
      <c r="S1351">
        <v>5</v>
      </c>
      <c r="T1351" t="s">
        <v>24</v>
      </c>
      <c r="U1351" t="s">
        <v>2409</v>
      </c>
      <c r="V1351">
        <v>2024</v>
      </c>
      <c r="W1351">
        <v>9</v>
      </c>
    </row>
    <row r="1352" spans="1:23" x14ac:dyDescent="0.25">
      <c r="A1352" t="s">
        <v>59</v>
      </c>
      <c r="B1352">
        <v>45552.464247685188</v>
      </c>
      <c r="C1352" t="s">
        <v>60</v>
      </c>
      <c r="D1352" t="s">
        <v>61</v>
      </c>
      <c r="E1352" t="s">
        <v>62</v>
      </c>
      <c r="F1352" t="s">
        <v>2398</v>
      </c>
      <c r="G1352" t="s">
        <v>2378</v>
      </c>
      <c r="H1352">
        <v>50000</v>
      </c>
      <c r="I1352">
        <v>2</v>
      </c>
      <c r="J1352">
        <v>10</v>
      </c>
      <c r="K1352">
        <v>100000</v>
      </c>
      <c r="L1352">
        <v>10000</v>
      </c>
      <c r="M1352">
        <v>90000</v>
      </c>
      <c r="N1352">
        <v>26000</v>
      </c>
      <c r="O1352">
        <v>116000</v>
      </c>
      <c r="P1352" t="s">
        <v>63</v>
      </c>
      <c r="Q1352" t="s">
        <v>2357</v>
      </c>
      <c r="R1352" t="s">
        <v>36</v>
      </c>
      <c r="S1352">
        <v>2</v>
      </c>
      <c r="T1352" t="s">
        <v>24</v>
      </c>
      <c r="U1352" t="s">
        <v>2409</v>
      </c>
      <c r="V1352">
        <v>2024</v>
      </c>
      <c r="W1352">
        <v>9</v>
      </c>
    </row>
    <row r="1353" spans="1:23" x14ac:dyDescent="0.25">
      <c r="A1353" t="s">
        <v>64</v>
      </c>
      <c r="B1353">
        <v>45552.563796296286</v>
      </c>
      <c r="C1353" t="s">
        <v>65</v>
      </c>
      <c r="D1353" t="s">
        <v>66</v>
      </c>
      <c r="E1353" t="s">
        <v>67</v>
      </c>
      <c r="F1353" t="s">
        <v>2393</v>
      </c>
      <c r="G1353" t="s">
        <v>2378</v>
      </c>
      <c r="H1353">
        <v>15000</v>
      </c>
      <c r="I1353">
        <v>1</v>
      </c>
      <c r="J1353">
        <v>20</v>
      </c>
      <c r="K1353">
        <v>15000</v>
      </c>
      <c r="L1353">
        <v>3000</v>
      </c>
      <c r="M1353">
        <v>12000</v>
      </c>
      <c r="N1353">
        <v>59000</v>
      </c>
      <c r="O1353">
        <v>71000</v>
      </c>
      <c r="P1353" t="s">
        <v>63</v>
      </c>
      <c r="Q1353" t="s">
        <v>2357</v>
      </c>
      <c r="R1353" t="s">
        <v>36</v>
      </c>
      <c r="S1353">
        <v>1</v>
      </c>
      <c r="T1353" t="s">
        <v>37</v>
      </c>
      <c r="U1353" t="s">
        <v>2409</v>
      </c>
      <c r="V1353">
        <v>2024</v>
      </c>
      <c r="W1353">
        <v>9</v>
      </c>
    </row>
    <row r="1354" spans="1:23" x14ac:dyDescent="0.25">
      <c r="A1354" t="s">
        <v>68</v>
      </c>
      <c r="B1354">
        <v>45552.791898148149</v>
      </c>
      <c r="C1354" t="s">
        <v>69</v>
      </c>
      <c r="D1354" t="s">
        <v>70</v>
      </c>
      <c r="E1354" t="s">
        <v>71</v>
      </c>
      <c r="F1354" t="s">
        <v>2392</v>
      </c>
      <c r="G1354" t="s">
        <v>2379</v>
      </c>
      <c r="H1354">
        <v>40000</v>
      </c>
      <c r="I1354">
        <v>4</v>
      </c>
      <c r="J1354">
        <v>5</v>
      </c>
      <c r="K1354">
        <v>160000</v>
      </c>
      <c r="L1354">
        <v>8000</v>
      </c>
      <c r="M1354">
        <v>152000</v>
      </c>
      <c r="N1354">
        <v>89000</v>
      </c>
      <c r="O1354">
        <v>241000</v>
      </c>
      <c r="P1354" t="s">
        <v>35</v>
      </c>
      <c r="Q1354" t="s">
        <v>2357</v>
      </c>
      <c r="R1354" t="s">
        <v>46</v>
      </c>
      <c r="S1354">
        <v>1</v>
      </c>
      <c r="T1354" t="s">
        <v>37</v>
      </c>
      <c r="U1354" t="s">
        <v>2409</v>
      </c>
      <c r="V1354">
        <v>2024</v>
      </c>
      <c r="W1354">
        <v>9</v>
      </c>
    </row>
    <row r="1355" spans="1:23" x14ac:dyDescent="0.25">
      <c r="A1355" t="s">
        <v>72</v>
      </c>
      <c r="B1355">
        <v>45552.937326388892</v>
      </c>
      <c r="C1355" t="s">
        <v>73</v>
      </c>
      <c r="D1355" t="s">
        <v>74</v>
      </c>
      <c r="E1355" t="s">
        <v>75</v>
      </c>
      <c r="F1355" t="s">
        <v>2398</v>
      </c>
      <c r="G1355" t="s">
        <v>2379</v>
      </c>
      <c r="H1355">
        <v>55000</v>
      </c>
      <c r="I1355">
        <v>3</v>
      </c>
      <c r="J1355">
        <v>15</v>
      </c>
      <c r="K1355">
        <v>165000</v>
      </c>
      <c r="L1355">
        <v>24750</v>
      </c>
      <c r="M1355">
        <v>140250</v>
      </c>
      <c r="N1355">
        <v>87000</v>
      </c>
      <c r="O1355">
        <v>227250</v>
      </c>
      <c r="P1355" t="s">
        <v>35</v>
      </c>
      <c r="Q1355" t="s">
        <v>2356</v>
      </c>
      <c r="R1355" t="s">
        <v>30</v>
      </c>
      <c r="S1355">
        <v>4</v>
      </c>
      <c r="T1355" t="s">
        <v>24</v>
      </c>
      <c r="U1355" t="s">
        <v>2409</v>
      </c>
      <c r="V1355">
        <v>2024</v>
      </c>
      <c r="W1355">
        <v>9</v>
      </c>
    </row>
    <row r="1356" spans="1:23" x14ac:dyDescent="0.25">
      <c r="A1356" t="s">
        <v>76</v>
      </c>
      <c r="B1356">
        <v>45552.939884259264</v>
      </c>
      <c r="C1356" t="s">
        <v>77</v>
      </c>
      <c r="D1356" t="s">
        <v>61</v>
      </c>
      <c r="E1356" t="s">
        <v>54</v>
      </c>
      <c r="F1356" t="s">
        <v>2393</v>
      </c>
      <c r="G1356" t="s">
        <v>2379</v>
      </c>
      <c r="H1356">
        <v>16000</v>
      </c>
      <c r="I1356">
        <v>3</v>
      </c>
      <c r="J1356">
        <v>0</v>
      </c>
      <c r="K1356">
        <v>48000</v>
      </c>
      <c r="L1356">
        <v>0</v>
      </c>
      <c r="M1356">
        <v>48000</v>
      </c>
      <c r="N1356">
        <v>26000</v>
      </c>
      <c r="O1356">
        <v>74000</v>
      </c>
      <c r="P1356" t="s">
        <v>35</v>
      </c>
      <c r="Q1356" t="s">
        <v>2357</v>
      </c>
      <c r="R1356" t="s">
        <v>46</v>
      </c>
      <c r="S1356">
        <v>4</v>
      </c>
      <c r="T1356" t="s">
        <v>24</v>
      </c>
      <c r="U1356" t="s">
        <v>2409</v>
      </c>
      <c r="V1356">
        <v>2024</v>
      </c>
      <c r="W1356">
        <v>9</v>
      </c>
    </row>
    <row r="1357" spans="1:23" x14ac:dyDescent="0.25">
      <c r="A1357" t="s">
        <v>78</v>
      </c>
      <c r="B1357">
        <v>45552.946944444448</v>
      </c>
      <c r="C1357" t="s">
        <v>79</v>
      </c>
      <c r="D1357" t="s">
        <v>80</v>
      </c>
      <c r="E1357" t="s">
        <v>81</v>
      </c>
      <c r="F1357" t="s">
        <v>2397</v>
      </c>
      <c r="G1357" t="s">
        <v>2378</v>
      </c>
      <c r="H1357">
        <v>17000</v>
      </c>
      <c r="I1357">
        <v>5</v>
      </c>
      <c r="J1357">
        <v>20</v>
      </c>
      <c r="K1357">
        <v>85000</v>
      </c>
      <c r="L1357">
        <v>17000</v>
      </c>
      <c r="M1357">
        <v>68000</v>
      </c>
      <c r="N1357">
        <v>74000</v>
      </c>
      <c r="O1357">
        <v>142000</v>
      </c>
      <c r="P1357" t="s">
        <v>29</v>
      </c>
      <c r="Q1357" t="s">
        <v>2357</v>
      </c>
      <c r="R1357" t="s">
        <v>82</v>
      </c>
      <c r="S1357">
        <v>2</v>
      </c>
      <c r="T1357" t="s">
        <v>24</v>
      </c>
      <c r="U1357" t="s">
        <v>2409</v>
      </c>
      <c r="V1357">
        <v>2024</v>
      </c>
      <c r="W1357">
        <v>9</v>
      </c>
    </row>
    <row r="1358" spans="1:23" x14ac:dyDescent="0.25">
      <c r="A1358" t="s">
        <v>83</v>
      </c>
      <c r="B1358">
        <v>45553.174039351848</v>
      </c>
      <c r="C1358" t="s">
        <v>84</v>
      </c>
      <c r="D1358" t="s">
        <v>57</v>
      </c>
      <c r="E1358" t="s">
        <v>85</v>
      </c>
      <c r="F1358" t="s">
        <v>2394</v>
      </c>
      <c r="G1358" t="s">
        <v>2377</v>
      </c>
      <c r="H1358">
        <v>35000</v>
      </c>
      <c r="I1358">
        <v>4</v>
      </c>
      <c r="J1358">
        <v>20</v>
      </c>
      <c r="K1358">
        <v>140000</v>
      </c>
      <c r="L1358">
        <v>28000</v>
      </c>
      <c r="M1358">
        <v>112000</v>
      </c>
      <c r="N1358">
        <v>80000</v>
      </c>
      <c r="O1358">
        <v>192000</v>
      </c>
      <c r="P1358" t="s">
        <v>22</v>
      </c>
      <c r="Q1358" t="s">
        <v>2357</v>
      </c>
      <c r="R1358" t="s">
        <v>30</v>
      </c>
      <c r="S1358">
        <v>2</v>
      </c>
      <c r="T1358" t="s">
        <v>37</v>
      </c>
      <c r="U1358" t="s">
        <v>2409</v>
      </c>
      <c r="V1358">
        <v>2024</v>
      </c>
      <c r="W1358">
        <v>9</v>
      </c>
    </row>
    <row r="1359" spans="1:23" x14ac:dyDescent="0.25">
      <c r="A1359" t="s">
        <v>86</v>
      </c>
      <c r="B1359">
        <v>45553.610069444447</v>
      </c>
      <c r="C1359" t="s">
        <v>87</v>
      </c>
      <c r="D1359" t="s">
        <v>80</v>
      </c>
      <c r="E1359" t="s">
        <v>88</v>
      </c>
      <c r="F1359" t="s">
        <v>2393</v>
      </c>
      <c r="G1359" t="s">
        <v>2377</v>
      </c>
      <c r="H1359">
        <v>14000</v>
      </c>
      <c r="I1359">
        <v>3</v>
      </c>
      <c r="J1359">
        <v>0</v>
      </c>
      <c r="K1359">
        <v>42000</v>
      </c>
      <c r="L1359">
        <v>0</v>
      </c>
      <c r="M1359">
        <v>42000</v>
      </c>
      <c r="N1359">
        <v>74000</v>
      </c>
      <c r="O1359">
        <v>116000</v>
      </c>
      <c r="P1359" t="s">
        <v>35</v>
      </c>
      <c r="Q1359" t="s">
        <v>2357</v>
      </c>
      <c r="R1359" t="s">
        <v>82</v>
      </c>
      <c r="S1359">
        <v>4</v>
      </c>
      <c r="T1359" t="s">
        <v>24</v>
      </c>
      <c r="U1359" t="s">
        <v>2409</v>
      </c>
      <c r="V1359">
        <v>2024</v>
      </c>
      <c r="W1359">
        <v>9</v>
      </c>
    </row>
    <row r="1360" spans="1:23" x14ac:dyDescent="0.25">
      <c r="A1360" t="s">
        <v>89</v>
      </c>
      <c r="B1360">
        <v>45553.80846064815</v>
      </c>
      <c r="C1360" t="s">
        <v>77</v>
      </c>
      <c r="D1360" t="s">
        <v>61</v>
      </c>
      <c r="E1360" t="s">
        <v>41</v>
      </c>
      <c r="F1360" t="s">
        <v>2395</v>
      </c>
      <c r="G1360" t="s">
        <v>2377</v>
      </c>
      <c r="H1360">
        <v>4000</v>
      </c>
      <c r="I1360">
        <v>4</v>
      </c>
      <c r="J1360">
        <v>20</v>
      </c>
      <c r="K1360">
        <v>16000</v>
      </c>
      <c r="L1360">
        <v>3200</v>
      </c>
      <c r="M1360">
        <v>12800</v>
      </c>
      <c r="N1360">
        <v>26000</v>
      </c>
      <c r="O1360">
        <v>38800</v>
      </c>
      <c r="P1360" t="s">
        <v>29</v>
      </c>
      <c r="Q1360" t="s">
        <v>2357</v>
      </c>
      <c r="R1360" t="s">
        <v>36</v>
      </c>
      <c r="S1360">
        <v>4</v>
      </c>
      <c r="T1360" t="s">
        <v>24</v>
      </c>
      <c r="U1360" t="s">
        <v>2409</v>
      </c>
      <c r="V1360">
        <v>2024</v>
      </c>
      <c r="W1360">
        <v>9</v>
      </c>
    </row>
    <row r="1361" spans="1:23" x14ac:dyDescent="0.25">
      <c r="A1361" t="s">
        <v>90</v>
      </c>
      <c r="B1361">
        <v>45553.897916666669</v>
      </c>
      <c r="C1361" t="s">
        <v>91</v>
      </c>
      <c r="D1361" t="s">
        <v>92</v>
      </c>
      <c r="E1361" t="s">
        <v>93</v>
      </c>
      <c r="F1361" t="s">
        <v>2399</v>
      </c>
      <c r="G1361" t="s">
        <v>2378</v>
      </c>
      <c r="H1361">
        <v>25000</v>
      </c>
      <c r="I1361">
        <v>5</v>
      </c>
      <c r="J1361">
        <v>10</v>
      </c>
      <c r="K1361">
        <v>125000</v>
      </c>
      <c r="L1361">
        <v>12500</v>
      </c>
      <c r="M1361">
        <v>112500</v>
      </c>
      <c r="N1361">
        <v>30000</v>
      </c>
      <c r="O1361">
        <v>142500</v>
      </c>
      <c r="P1361" t="s">
        <v>63</v>
      </c>
      <c r="Q1361" t="s">
        <v>2357</v>
      </c>
      <c r="R1361" t="s">
        <v>82</v>
      </c>
      <c r="S1361">
        <v>2</v>
      </c>
      <c r="T1361" t="s">
        <v>24</v>
      </c>
      <c r="U1361" t="s">
        <v>2409</v>
      </c>
      <c r="V1361">
        <v>2024</v>
      </c>
      <c r="W1361">
        <v>9</v>
      </c>
    </row>
    <row r="1362" spans="1:23" x14ac:dyDescent="0.25">
      <c r="A1362" t="s">
        <v>94</v>
      </c>
      <c r="B1362">
        <v>45554.347511574073</v>
      </c>
      <c r="C1362" t="s">
        <v>95</v>
      </c>
      <c r="D1362" t="s">
        <v>96</v>
      </c>
      <c r="E1362" t="s">
        <v>58</v>
      </c>
      <c r="F1362" t="s">
        <v>2396</v>
      </c>
      <c r="G1362" t="s">
        <v>2377</v>
      </c>
      <c r="H1362">
        <v>16000</v>
      </c>
      <c r="I1362">
        <v>2</v>
      </c>
      <c r="J1362">
        <v>20</v>
      </c>
      <c r="K1362">
        <v>32000</v>
      </c>
      <c r="L1362">
        <v>6400</v>
      </c>
      <c r="M1362">
        <v>25600</v>
      </c>
      <c r="N1362">
        <v>49000</v>
      </c>
      <c r="O1362">
        <v>74600</v>
      </c>
      <c r="P1362" t="s">
        <v>22</v>
      </c>
      <c r="Q1362" t="s">
        <v>2357</v>
      </c>
      <c r="R1362" t="s">
        <v>30</v>
      </c>
      <c r="S1362">
        <v>1</v>
      </c>
      <c r="T1362" t="s">
        <v>24</v>
      </c>
      <c r="U1362" t="s">
        <v>2409</v>
      </c>
      <c r="V1362">
        <v>2024</v>
      </c>
      <c r="W1362">
        <v>9</v>
      </c>
    </row>
    <row r="1363" spans="1:23" x14ac:dyDescent="0.25">
      <c r="A1363" t="s">
        <v>97</v>
      </c>
      <c r="B1363">
        <v>45554.548981481479</v>
      </c>
      <c r="C1363" t="s">
        <v>98</v>
      </c>
      <c r="D1363" t="s">
        <v>92</v>
      </c>
      <c r="E1363" t="s">
        <v>45</v>
      </c>
      <c r="F1363" t="s">
        <v>2394</v>
      </c>
      <c r="G1363" t="s">
        <v>2378</v>
      </c>
      <c r="H1363">
        <v>40000</v>
      </c>
      <c r="I1363">
        <v>4</v>
      </c>
      <c r="J1363">
        <v>10</v>
      </c>
      <c r="K1363">
        <v>160000</v>
      </c>
      <c r="L1363">
        <v>16000</v>
      </c>
      <c r="M1363">
        <v>144000</v>
      </c>
      <c r="N1363">
        <v>30000</v>
      </c>
      <c r="O1363">
        <v>174000</v>
      </c>
      <c r="P1363" t="s">
        <v>29</v>
      </c>
      <c r="Q1363" t="s">
        <v>2357</v>
      </c>
      <c r="R1363" t="s">
        <v>30</v>
      </c>
      <c r="S1363">
        <v>5</v>
      </c>
      <c r="T1363" t="s">
        <v>24</v>
      </c>
      <c r="U1363" t="s">
        <v>2409</v>
      </c>
      <c r="V1363">
        <v>2024</v>
      </c>
      <c r="W1363">
        <v>9</v>
      </c>
    </row>
    <row r="1364" spans="1:23" x14ac:dyDescent="0.25">
      <c r="A1364" t="s">
        <v>99</v>
      </c>
      <c r="B1364">
        <v>45554.584305555552</v>
      </c>
      <c r="C1364" t="s">
        <v>100</v>
      </c>
      <c r="D1364" t="s">
        <v>66</v>
      </c>
      <c r="E1364" t="s">
        <v>71</v>
      </c>
      <c r="F1364" t="s">
        <v>2392</v>
      </c>
      <c r="G1364" t="s">
        <v>2379</v>
      </c>
      <c r="H1364">
        <v>40000</v>
      </c>
      <c r="I1364">
        <v>3</v>
      </c>
      <c r="J1364">
        <v>15</v>
      </c>
      <c r="K1364">
        <v>120000</v>
      </c>
      <c r="L1364">
        <v>18000</v>
      </c>
      <c r="M1364">
        <v>102000</v>
      </c>
      <c r="N1364">
        <v>59000</v>
      </c>
      <c r="O1364">
        <v>161000</v>
      </c>
      <c r="P1364" t="s">
        <v>29</v>
      </c>
      <c r="Q1364" t="s">
        <v>2356</v>
      </c>
      <c r="R1364" t="s">
        <v>46</v>
      </c>
      <c r="S1364">
        <v>3</v>
      </c>
      <c r="T1364" t="s">
        <v>24</v>
      </c>
      <c r="U1364" t="s">
        <v>2409</v>
      </c>
      <c r="V1364">
        <v>2024</v>
      </c>
      <c r="W1364">
        <v>9</v>
      </c>
    </row>
    <row r="1365" spans="1:23" x14ac:dyDescent="0.25">
      <c r="A1365" t="s">
        <v>101</v>
      </c>
      <c r="B1365">
        <v>45554.589224537027</v>
      </c>
      <c r="C1365" t="s">
        <v>102</v>
      </c>
      <c r="D1365" t="s">
        <v>103</v>
      </c>
      <c r="E1365" t="s">
        <v>104</v>
      </c>
      <c r="F1365" t="s">
        <v>2392</v>
      </c>
      <c r="G1365" t="s">
        <v>2377</v>
      </c>
      <c r="H1365">
        <v>30000</v>
      </c>
      <c r="I1365">
        <v>1</v>
      </c>
      <c r="J1365">
        <v>10</v>
      </c>
      <c r="K1365">
        <v>30000</v>
      </c>
      <c r="L1365">
        <v>3000</v>
      </c>
      <c r="M1365">
        <v>27000</v>
      </c>
      <c r="N1365">
        <v>85000</v>
      </c>
      <c r="O1365">
        <v>112000</v>
      </c>
      <c r="P1365" t="s">
        <v>22</v>
      </c>
      <c r="Q1365" t="s">
        <v>2357</v>
      </c>
      <c r="R1365" t="s">
        <v>23</v>
      </c>
      <c r="S1365">
        <v>5</v>
      </c>
      <c r="T1365" t="s">
        <v>24</v>
      </c>
      <c r="U1365" t="s">
        <v>2409</v>
      </c>
      <c r="V1365">
        <v>2024</v>
      </c>
      <c r="W1365">
        <v>9</v>
      </c>
    </row>
    <row r="1366" spans="1:23" x14ac:dyDescent="0.25">
      <c r="A1366" t="s">
        <v>105</v>
      </c>
      <c r="B1366">
        <v>45554.928298611107</v>
      </c>
      <c r="C1366" t="s">
        <v>106</v>
      </c>
      <c r="D1366" t="s">
        <v>107</v>
      </c>
      <c r="E1366" t="s">
        <v>58</v>
      </c>
      <c r="F1366" t="s">
        <v>2396</v>
      </c>
      <c r="G1366" t="s">
        <v>2377</v>
      </c>
      <c r="H1366">
        <v>16000</v>
      </c>
      <c r="I1366">
        <v>4</v>
      </c>
      <c r="J1366">
        <v>5</v>
      </c>
      <c r="K1366">
        <v>64000</v>
      </c>
      <c r="L1366">
        <v>3200</v>
      </c>
      <c r="M1366">
        <v>60800</v>
      </c>
      <c r="N1366">
        <v>97000</v>
      </c>
      <c r="O1366">
        <v>157800</v>
      </c>
      <c r="P1366" t="s">
        <v>63</v>
      </c>
      <c r="Q1366" t="s">
        <v>2357</v>
      </c>
      <c r="R1366" t="s">
        <v>36</v>
      </c>
      <c r="S1366">
        <v>1</v>
      </c>
      <c r="T1366" t="s">
        <v>24</v>
      </c>
      <c r="U1366" t="s">
        <v>2409</v>
      </c>
      <c r="V1366">
        <v>2024</v>
      </c>
      <c r="W1366">
        <v>9</v>
      </c>
    </row>
    <row r="1367" spans="1:23" x14ac:dyDescent="0.25">
      <c r="A1367" t="s">
        <v>108</v>
      </c>
      <c r="B1367">
        <v>45555.373101851852</v>
      </c>
      <c r="C1367" t="s">
        <v>109</v>
      </c>
      <c r="D1367" t="s">
        <v>49</v>
      </c>
      <c r="E1367" t="s">
        <v>110</v>
      </c>
      <c r="F1367" t="s">
        <v>2395</v>
      </c>
      <c r="G1367" t="s">
        <v>2379</v>
      </c>
      <c r="H1367">
        <v>6000</v>
      </c>
      <c r="I1367">
        <v>4</v>
      </c>
      <c r="J1367">
        <v>5</v>
      </c>
      <c r="K1367">
        <v>24000</v>
      </c>
      <c r="L1367">
        <v>1200</v>
      </c>
      <c r="M1367">
        <v>22800</v>
      </c>
      <c r="N1367">
        <v>43000</v>
      </c>
      <c r="O1367">
        <v>65800</v>
      </c>
      <c r="P1367" t="s">
        <v>22</v>
      </c>
      <c r="Q1367" t="s">
        <v>2357</v>
      </c>
      <c r="R1367" t="s">
        <v>82</v>
      </c>
      <c r="S1367">
        <v>4</v>
      </c>
      <c r="T1367" t="s">
        <v>24</v>
      </c>
      <c r="U1367" t="s">
        <v>2409</v>
      </c>
      <c r="V1367">
        <v>2024</v>
      </c>
      <c r="W1367">
        <v>9</v>
      </c>
    </row>
    <row r="1368" spans="1:23" x14ac:dyDescent="0.25">
      <c r="A1368" t="s">
        <v>111</v>
      </c>
      <c r="B1368">
        <v>45555.482685185183</v>
      </c>
      <c r="C1368" t="s">
        <v>112</v>
      </c>
      <c r="D1368" t="s">
        <v>113</v>
      </c>
      <c r="E1368" t="s">
        <v>21</v>
      </c>
      <c r="F1368" t="s">
        <v>2394</v>
      </c>
      <c r="G1368" t="s">
        <v>2379</v>
      </c>
      <c r="H1368">
        <v>45000</v>
      </c>
      <c r="I1368">
        <v>3</v>
      </c>
      <c r="J1368">
        <v>0</v>
      </c>
      <c r="K1368">
        <v>135000</v>
      </c>
      <c r="L1368">
        <v>0</v>
      </c>
      <c r="M1368">
        <v>135000</v>
      </c>
      <c r="N1368">
        <v>18000</v>
      </c>
      <c r="O1368">
        <v>153000</v>
      </c>
      <c r="P1368" t="s">
        <v>29</v>
      </c>
      <c r="Q1368" t="s">
        <v>2357</v>
      </c>
      <c r="R1368" t="s">
        <v>46</v>
      </c>
      <c r="S1368">
        <v>1</v>
      </c>
      <c r="T1368" t="s">
        <v>24</v>
      </c>
      <c r="U1368" t="s">
        <v>2409</v>
      </c>
      <c r="V1368">
        <v>2024</v>
      </c>
      <c r="W1368">
        <v>9</v>
      </c>
    </row>
    <row r="1369" spans="1:23" x14ac:dyDescent="0.25">
      <c r="A1369" t="s">
        <v>114</v>
      </c>
      <c r="B1369">
        <v>45555.563715277778</v>
      </c>
      <c r="C1369" t="s">
        <v>115</v>
      </c>
      <c r="D1369" t="s">
        <v>116</v>
      </c>
      <c r="E1369" t="s">
        <v>50</v>
      </c>
      <c r="F1369" t="s">
        <v>2400</v>
      </c>
      <c r="G1369" t="s">
        <v>2379</v>
      </c>
      <c r="H1369">
        <v>14000</v>
      </c>
      <c r="I1369">
        <v>3</v>
      </c>
      <c r="J1369">
        <v>15</v>
      </c>
      <c r="K1369">
        <v>42000</v>
      </c>
      <c r="L1369">
        <v>6300</v>
      </c>
      <c r="M1369">
        <v>35700</v>
      </c>
      <c r="N1369">
        <v>72000</v>
      </c>
      <c r="O1369">
        <v>107700</v>
      </c>
      <c r="P1369" t="s">
        <v>63</v>
      </c>
      <c r="Q1369" t="s">
        <v>2357</v>
      </c>
      <c r="R1369" t="s">
        <v>23</v>
      </c>
      <c r="S1369">
        <v>4</v>
      </c>
      <c r="T1369" t="s">
        <v>24</v>
      </c>
      <c r="U1369" t="s">
        <v>2409</v>
      </c>
      <c r="V1369">
        <v>2024</v>
      </c>
      <c r="W1369">
        <v>9</v>
      </c>
    </row>
    <row r="1370" spans="1:23" x14ac:dyDescent="0.25">
      <c r="A1370" t="s">
        <v>117</v>
      </c>
      <c r="B1370">
        <v>45555.596180555563</v>
      </c>
      <c r="C1370" t="s">
        <v>118</v>
      </c>
      <c r="D1370" t="s">
        <v>119</v>
      </c>
      <c r="E1370" t="s">
        <v>75</v>
      </c>
      <c r="F1370" t="s">
        <v>2398</v>
      </c>
      <c r="G1370" t="s">
        <v>2379</v>
      </c>
      <c r="H1370">
        <v>55000</v>
      </c>
      <c r="I1370">
        <v>2</v>
      </c>
      <c r="J1370">
        <v>0</v>
      </c>
      <c r="K1370">
        <v>110000</v>
      </c>
      <c r="L1370">
        <v>0</v>
      </c>
      <c r="M1370">
        <v>110000</v>
      </c>
      <c r="N1370">
        <v>0</v>
      </c>
      <c r="O1370">
        <v>110000</v>
      </c>
      <c r="P1370" t="s">
        <v>22</v>
      </c>
      <c r="Q1370" t="s">
        <v>2357</v>
      </c>
      <c r="R1370" t="s">
        <v>46</v>
      </c>
      <c r="S1370">
        <v>2</v>
      </c>
      <c r="T1370" t="s">
        <v>24</v>
      </c>
      <c r="U1370" t="s">
        <v>2409</v>
      </c>
      <c r="V1370">
        <v>2024</v>
      </c>
      <c r="W1370">
        <v>9</v>
      </c>
    </row>
    <row r="1371" spans="1:23" x14ac:dyDescent="0.25">
      <c r="A1371" t="s">
        <v>120</v>
      </c>
      <c r="B1371">
        <v>45555.805532407408</v>
      </c>
      <c r="C1371" t="s">
        <v>121</v>
      </c>
      <c r="D1371" t="s">
        <v>122</v>
      </c>
      <c r="E1371" t="s">
        <v>123</v>
      </c>
      <c r="F1371" t="s">
        <v>2399</v>
      </c>
      <c r="G1371" t="s">
        <v>2377</v>
      </c>
      <c r="H1371">
        <v>22000</v>
      </c>
      <c r="I1371">
        <v>4</v>
      </c>
      <c r="J1371">
        <v>10</v>
      </c>
      <c r="K1371">
        <v>88000</v>
      </c>
      <c r="L1371">
        <v>8800</v>
      </c>
      <c r="M1371">
        <v>79200</v>
      </c>
      <c r="N1371">
        <v>78000</v>
      </c>
      <c r="O1371">
        <v>157200</v>
      </c>
      <c r="P1371" t="s">
        <v>29</v>
      </c>
      <c r="Q1371" t="s">
        <v>2359</v>
      </c>
      <c r="R1371" t="s">
        <v>23</v>
      </c>
      <c r="S1371">
        <v>3</v>
      </c>
      <c r="T1371" t="s">
        <v>24</v>
      </c>
      <c r="U1371" t="s">
        <v>2409</v>
      </c>
      <c r="V1371">
        <v>2024</v>
      </c>
      <c r="W1371">
        <v>9</v>
      </c>
    </row>
    <row r="1372" spans="1:23" x14ac:dyDescent="0.25">
      <c r="A1372" t="s">
        <v>124</v>
      </c>
      <c r="B1372">
        <v>45555.886944444443</v>
      </c>
      <c r="C1372" t="s">
        <v>125</v>
      </c>
      <c r="D1372" t="s">
        <v>126</v>
      </c>
      <c r="E1372" t="s">
        <v>50</v>
      </c>
      <c r="F1372" t="s">
        <v>2400</v>
      </c>
      <c r="G1372" t="s">
        <v>2379</v>
      </c>
      <c r="H1372">
        <v>14000</v>
      </c>
      <c r="I1372">
        <v>1</v>
      </c>
      <c r="J1372">
        <v>0</v>
      </c>
      <c r="K1372">
        <v>14000</v>
      </c>
      <c r="L1372">
        <v>0</v>
      </c>
      <c r="M1372">
        <v>14000</v>
      </c>
      <c r="N1372">
        <v>84000</v>
      </c>
      <c r="O1372">
        <v>98000</v>
      </c>
      <c r="P1372" t="s">
        <v>29</v>
      </c>
      <c r="Q1372" t="s">
        <v>2357</v>
      </c>
      <c r="R1372" t="s">
        <v>46</v>
      </c>
      <c r="S1372">
        <v>1</v>
      </c>
      <c r="T1372" t="s">
        <v>24</v>
      </c>
      <c r="U1372" t="s">
        <v>2409</v>
      </c>
      <c r="V1372">
        <v>2024</v>
      </c>
      <c r="W1372">
        <v>9</v>
      </c>
    </row>
    <row r="1373" spans="1:23" x14ac:dyDescent="0.25">
      <c r="A1373" t="s">
        <v>127</v>
      </c>
      <c r="B1373">
        <v>45555.912546296298</v>
      </c>
      <c r="C1373" t="s">
        <v>128</v>
      </c>
      <c r="D1373" t="s">
        <v>103</v>
      </c>
      <c r="E1373" t="s">
        <v>21</v>
      </c>
      <c r="F1373" t="s">
        <v>2394</v>
      </c>
      <c r="G1373" t="s">
        <v>2379</v>
      </c>
      <c r="H1373">
        <v>45000</v>
      </c>
      <c r="I1373">
        <v>5</v>
      </c>
      <c r="J1373">
        <v>10</v>
      </c>
      <c r="K1373">
        <v>225000</v>
      </c>
      <c r="L1373">
        <v>22500</v>
      </c>
      <c r="M1373">
        <v>202500</v>
      </c>
      <c r="N1373">
        <v>85000</v>
      </c>
      <c r="O1373">
        <v>287500</v>
      </c>
      <c r="P1373" t="s">
        <v>35</v>
      </c>
      <c r="Q1373" t="s">
        <v>2357</v>
      </c>
      <c r="R1373" t="s">
        <v>23</v>
      </c>
      <c r="S1373">
        <v>4</v>
      </c>
      <c r="T1373" t="s">
        <v>37</v>
      </c>
      <c r="U1373" t="s">
        <v>2409</v>
      </c>
      <c r="V1373">
        <v>2024</v>
      </c>
      <c r="W1373">
        <v>9</v>
      </c>
    </row>
    <row r="1374" spans="1:23" x14ac:dyDescent="0.25">
      <c r="A1374" t="s">
        <v>129</v>
      </c>
      <c r="B1374">
        <v>45555.930231481478</v>
      </c>
      <c r="C1374" t="s">
        <v>130</v>
      </c>
      <c r="D1374" t="s">
        <v>131</v>
      </c>
      <c r="E1374" t="s">
        <v>41</v>
      </c>
      <c r="F1374" t="s">
        <v>2395</v>
      </c>
      <c r="G1374" t="s">
        <v>2377</v>
      </c>
      <c r="H1374">
        <v>4000</v>
      </c>
      <c r="I1374">
        <v>3</v>
      </c>
      <c r="J1374">
        <v>10</v>
      </c>
      <c r="K1374">
        <v>12000</v>
      </c>
      <c r="L1374">
        <v>1200</v>
      </c>
      <c r="M1374">
        <v>10800</v>
      </c>
      <c r="N1374">
        <v>59000</v>
      </c>
      <c r="O1374">
        <v>69800</v>
      </c>
      <c r="P1374" t="s">
        <v>29</v>
      </c>
      <c r="Q1374" t="s">
        <v>2357</v>
      </c>
      <c r="R1374" t="s">
        <v>23</v>
      </c>
      <c r="S1374">
        <v>2</v>
      </c>
      <c r="T1374" t="s">
        <v>24</v>
      </c>
      <c r="U1374" t="s">
        <v>2409</v>
      </c>
      <c r="V1374">
        <v>2024</v>
      </c>
      <c r="W1374">
        <v>9</v>
      </c>
    </row>
    <row r="1375" spans="1:23" x14ac:dyDescent="0.25">
      <c r="A1375" t="s">
        <v>132</v>
      </c>
      <c r="B1375">
        <v>45556.104629629634</v>
      </c>
      <c r="C1375" t="s">
        <v>133</v>
      </c>
      <c r="D1375" t="s">
        <v>33</v>
      </c>
      <c r="E1375" t="s">
        <v>104</v>
      </c>
      <c r="F1375" t="s">
        <v>2392</v>
      </c>
      <c r="G1375" t="s">
        <v>2377</v>
      </c>
      <c r="H1375">
        <v>30000</v>
      </c>
      <c r="I1375">
        <v>2</v>
      </c>
      <c r="J1375">
        <v>10</v>
      </c>
      <c r="K1375">
        <v>60000</v>
      </c>
      <c r="L1375">
        <v>6000</v>
      </c>
      <c r="M1375">
        <v>54000</v>
      </c>
      <c r="N1375">
        <v>76000</v>
      </c>
      <c r="O1375">
        <v>130000</v>
      </c>
      <c r="P1375" t="s">
        <v>22</v>
      </c>
      <c r="Q1375" t="s">
        <v>2357</v>
      </c>
      <c r="R1375" t="s">
        <v>36</v>
      </c>
      <c r="S1375">
        <v>5</v>
      </c>
      <c r="T1375" t="s">
        <v>24</v>
      </c>
      <c r="U1375" t="s">
        <v>2409</v>
      </c>
      <c r="V1375">
        <v>2024</v>
      </c>
      <c r="W1375">
        <v>9</v>
      </c>
    </row>
    <row r="1376" spans="1:23" x14ac:dyDescent="0.25">
      <c r="A1376" t="s">
        <v>132</v>
      </c>
      <c r="B1376">
        <v>45556.104629629634</v>
      </c>
      <c r="C1376" t="s">
        <v>133</v>
      </c>
      <c r="D1376" t="s">
        <v>33</v>
      </c>
      <c r="E1376" t="s">
        <v>104</v>
      </c>
      <c r="F1376" t="s">
        <v>2392</v>
      </c>
      <c r="G1376" t="s">
        <v>2377</v>
      </c>
      <c r="H1376">
        <v>30000</v>
      </c>
      <c r="I1376">
        <v>5</v>
      </c>
      <c r="J1376">
        <v>10</v>
      </c>
      <c r="K1376">
        <v>150000</v>
      </c>
      <c r="L1376">
        <v>15000</v>
      </c>
      <c r="M1376">
        <v>135000</v>
      </c>
      <c r="N1376">
        <v>0</v>
      </c>
      <c r="O1376">
        <v>135000</v>
      </c>
      <c r="P1376" t="s">
        <v>22</v>
      </c>
      <c r="Q1376" t="s">
        <v>2357</v>
      </c>
      <c r="R1376" t="s">
        <v>36</v>
      </c>
      <c r="S1376">
        <v>5</v>
      </c>
      <c r="T1376" t="s">
        <v>24</v>
      </c>
      <c r="U1376" t="s">
        <v>2409</v>
      </c>
      <c r="V1376">
        <v>2024</v>
      </c>
      <c r="W1376">
        <v>9</v>
      </c>
    </row>
    <row r="1377" spans="1:23" x14ac:dyDescent="0.25">
      <c r="A1377" t="s">
        <v>134</v>
      </c>
      <c r="B1377">
        <v>45556.107581018521</v>
      </c>
      <c r="C1377" t="s">
        <v>135</v>
      </c>
      <c r="D1377" t="s">
        <v>27</v>
      </c>
      <c r="E1377" t="s">
        <v>136</v>
      </c>
      <c r="F1377" t="s">
        <v>2400</v>
      </c>
      <c r="G1377" t="s">
        <v>2378</v>
      </c>
      <c r="H1377">
        <v>12000</v>
      </c>
      <c r="I1377">
        <v>5</v>
      </c>
      <c r="J1377">
        <v>15</v>
      </c>
      <c r="K1377">
        <v>60000</v>
      </c>
      <c r="L1377">
        <v>9000</v>
      </c>
      <c r="M1377">
        <v>51000</v>
      </c>
      <c r="N1377">
        <v>17000</v>
      </c>
      <c r="O1377">
        <v>68000</v>
      </c>
      <c r="P1377" t="s">
        <v>22</v>
      </c>
      <c r="Q1377" t="s">
        <v>2357</v>
      </c>
      <c r="R1377" t="s">
        <v>30</v>
      </c>
      <c r="S1377">
        <v>1</v>
      </c>
      <c r="T1377" t="s">
        <v>24</v>
      </c>
      <c r="U1377" t="s">
        <v>2409</v>
      </c>
      <c r="V1377">
        <v>2024</v>
      </c>
      <c r="W1377">
        <v>9</v>
      </c>
    </row>
    <row r="1378" spans="1:23" x14ac:dyDescent="0.25">
      <c r="A1378" t="s">
        <v>137</v>
      </c>
      <c r="B1378">
        <v>45556.2421875</v>
      </c>
      <c r="C1378" t="s">
        <v>133</v>
      </c>
      <c r="D1378" t="s">
        <v>33</v>
      </c>
      <c r="E1378" t="s">
        <v>93</v>
      </c>
      <c r="F1378" t="s">
        <v>2399</v>
      </c>
      <c r="G1378" t="s">
        <v>2378</v>
      </c>
      <c r="H1378">
        <v>25000</v>
      </c>
      <c r="I1378">
        <v>5</v>
      </c>
      <c r="J1378">
        <v>20</v>
      </c>
      <c r="K1378">
        <v>125000</v>
      </c>
      <c r="L1378">
        <v>25000</v>
      </c>
      <c r="M1378">
        <v>100000</v>
      </c>
      <c r="N1378">
        <v>76000</v>
      </c>
      <c r="O1378">
        <v>176000</v>
      </c>
      <c r="P1378" t="s">
        <v>35</v>
      </c>
      <c r="Q1378" t="s">
        <v>2356</v>
      </c>
      <c r="R1378" t="s">
        <v>46</v>
      </c>
      <c r="S1378">
        <v>4</v>
      </c>
      <c r="T1378" t="s">
        <v>24</v>
      </c>
      <c r="U1378" t="s">
        <v>2409</v>
      </c>
      <c r="V1378">
        <v>2024</v>
      </c>
      <c r="W1378">
        <v>9</v>
      </c>
    </row>
    <row r="1379" spans="1:23" x14ac:dyDescent="0.25">
      <c r="A1379" t="s">
        <v>137</v>
      </c>
      <c r="B1379">
        <v>45556.2421875</v>
      </c>
      <c r="C1379" t="s">
        <v>133</v>
      </c>
      <c r="D1379" t="s">
        <v>33</v>
      </c>
      <c r="E1379" t="s">
        <v>138</v>
      </c>
      <c r="F1379" t="s">
        <v>2396</v>
      </c>
      <c r="G1379" t="s">
        <v>2378</v>
      </c>
      <c r="H1379">
        <v>17000</v>
      </c>
      <c r="I1379">
        <v>2</v>
      </c>
      <c r="J1379">
        <v>5</v>
      </c>
      <c r="K1379">
        <v>34000</v>
      </c>
      <c r="L1379">
        <v>1700</v>
      </c>
      <c r="M1379">
        <v>32300</v>
      </c>
      <c r="N1379">
        <v>0</v>
      </c>
      <c r="O1379">
        <v>32300</v>
      </c>
      <c r="P1379" t="s">
        <v>35</v>
      </c>
      <c r="Q1379" t="s">
        <v>2356</v>
      </c>
      <c r="R1379" t="s">
        <v>46</v>
      </c>
      <c r="S1379">
        <v>4</v>
      </c>
      <c r="T1379" t="s">
        <v>24</v>
      </c>
      <c r="U1379" t="s">
        <v>2409</v>
      </c>
      <c r="V1379">
        <v>2024</v>
      </c>
      <c r="W1379">
        <v>9</v>
      </c>
    </row>
    <row r="1380" spans="1:23" x14ac:dyDescent="0.25">
      <c r="A1380" t="s">
        <v>139</v>
      </c>
      <c r="B1380">
        <v>45556.450289351851</v>
      </c>
      <c r="C1380" t="s">
        <v>140</v>
      </c>
      <c r="D1380" t="s">
        <v>92</v>
      </c>
      <c r="E1380" t="s">
        <v>110</v>
      </c>
      <c r="F1380" t="s">
        <v>2395</v>
      </c>
      <c r="G1380" t="s">
        <v>2379</v>
      </c>
      <c r="H1380">
        <v>6000</v>
      </c>
      <c r="I1380">
        <v>5</v>
      </c>
      <c r="J1380">
        <v>15</v>
      </c>
      <c r="K1380">
        <v>30000</v>
      </c>
      <c r="L1380">
        <v>4500</v>
      </c>
      <c r="M1380">
        <v>25500</v>
      </c>
      <c r="N1380">
        <v>30000</v>
      </c>
      <c r="O1380">
        <v>55500</v>
      </c>
      <c r="P1380" t="s">
        <v>63</v>
      </c>
      <c r="Q1380" t="s">
        <v>2356</v>
      </c>
      <c r="R1380" t="s">
        <v>23</v>
      </c>
      <c r="S1380">
        <v>2</v>
      </c>
      <c r="T1380" t="s">
        <v>24</v>
      </c>
      <c r="U1380" t="s">
        <v>2409</v>
      </c>
      <c r="V1380">
        <v>2024</v>
      </c>
      <c r="W1380">
        <v>9</v>
      </c>
    </row>
    <row r="1381" spans="1:23" x14ac:dyDescent="0.25">
      <c r="A1381" t="s">
        <v>141</v>
      </c>
      <c r="B1381">
        <v>45556.505023148151</v>
      </c>
      <c r="C1381" t="s">
        <v>142</v>
      </c>
      <c r="D1381" t="s">
        <v>143</v>
      </c>
      <c r="E1381" t="s">
        <v>144</v>
      </c>
      <c r="F1381" t="s">
        <v>2396</v>
      </c>
      <c r="G1381" t="s">
        <v>2379</v>
      </c>
      <c r="H1381">
        <v>18000</v>
      </c>
      <c r="I1381">
        <v>1</v>
      </c>
      <c r="J1381">
        <v>5</v>
      </c>
      <c r="K1381">
        <v>18000</v>
      </c>
      <c r="L1381">
        <v>900</v>
      </c>
      <c r="M1381">
        <v>17100</v>
      </c>
      <c r="N1381">
        <v>50000</v>
      </c>
      <c r="O1381">
        <v>67100</v>
      </c>
      <c r="P1381" t="s">
        <v>22</v>
      </c>
      <c r="Q1381" t="s">
        <v>2356</v>
      </c>
      <c r="R1381" t="s">
        <v>30</v>
      </c>
      <c r="S1381">
        <v>4</v>
      </c>
      <c r="T1381" t="s">
        <v>24</v>
      </c>
      <c r="U1381" t="s">
        <v>2409</v>
      </c>
      <c r="V1381">
        <v>2024</v>
      </c>
      <c r="W1381">
        <v>9</v>
      </c>
    </row>
    <row r="1382" spans="1:23" x14ac:dyDescent="0.25">
      <c r="A1382" t="s">
        <v>145</v>
      </c>
      <c r="B1382">
        <v>45556.59302083333</v>
      </c>
      <c r="C1382" t="s">
        <v>146</v>
      </c>
      <c r="D1382" t="s">
        <v>92</v>
      </c>
      <c r="E1382" t="s">
        <v>75</v>
      </c>
      <c r="F1382" t="s">
        <v>2398</v>
      </c>
      <c r="G1382" t="s">
        <v>2379</v>
      </c>
      <c r="H1382">
        <v>55000</v>
      </c>
      <c r="I1382">
        <v>4</v>
      </c>
      <c r="J1382">
        <v>5</v>
      </c>
      <c r="K1382">
        <v>220000</v>
      </c>
      <c r="L1382">
        <v>11000</v>
      </c>
      <c r="M1382">
        <v>209000</v>
      </c>
      <c r="N1382">
        <v>30000</v>
      </c>
      <c r="O1382">
        <v>239000</v>
      </c>
      <c r="P1382" t="s">
        <v>35</v>
      </c>
      <c r="Q1382" t="s">
        <v>2357</v>
      </c>
      <c r="R1382" t="s">
        <v>30</v>
      </c>
      <c r="S1382">
        <v>5</v>
      </c>
      <c r="T1382" t="s">
        <v>37</v>
      </c>
      <c r="U1382" t="s">
        <v>2409</v>
      </c>
      <c r="V1382">
        <v>2024</v>
      </c>
      <c r="W1382">
        <v>9</v>
      </c>
    </row>
    <row r="1383" spans="1:23" x14ac:dyDescent="0.25">
      <c r="A1383" t="s">
        <v>147</v>
      </c>
      <c r="B1383">
        <v>45556.667488425926</v>
      </c>
      <c r="C1383" t="s">
        <v>148</v>
      </c>
      <c r="D1383" t="s">
        <v>74</v>
      </c>
      <c r="E1383" t="s">
        <v>62</v>
      </c>
      <c r="F1383" t="s">
        <v>2398</v>
      </c>
      <c r="G1383" t="s">
        <v>2378</v>
      </c>
      <c r="H1383">
        <v>50000</v>
      </c>
      <c r="I1383">
        <v>5</v>
      </c>
      <c r="J1383">
        <v>15</v>
      </c>
      <c r="K1383">
        <v>250000</v>
      </c>
      <c r="L1383">
        <v>37500</v>
      </c>
      <c r="M1383">
        <v>212500</v>
      </c>
      <c r="N1383">
        <v>87000</v>
      </c>
      <c r="O1383">
        <v>299500</v>
      </c>
      <c r="P1383" t="s">
        <v>63</v>
      </c>
      <c r="Q1383" t="s">
        <v>2356</v>
      </c>
      <c r="R1383" t="s">
        <v>82</v>
      </c>
      <c r="S1383">
        <v>2</v>
      </c>
      <c r="T1383" t="s">
        <v>24</v>
      </c>
      <c r="U1383" t="s">
        <v>2409</v>
      </c>
      <c r="V1383">
        <v>2024</v>
      </c>
      <c r="W1383">
        <v>9</v>
      </c>
    </row>
    <row r="1384" spans="1:23" x14ac:dyDescent="0.25">
      <c r="A1384" t="s">
        <v>149</v>
      </c>
      <c r="B1384">
        <v>45557.366747685177</v>
      </c>
      <c r="C1384" t="s">
        <v>150</v>
      </c>
      <c r="D1384" t="s">
        <v>151</v>
      </c>
      <c r="E1384" t="s">
        <v>93</v>
      </c>
      <c r="F1384" t="s">
        <v>2399</v>
      </c>
      <c r="G1384" t="s">
        <v>2378</v>
      </c>
      <c r="H1384">
        <v>25000</v>
      </c>
      <c r="I1384">
        <v>5</v>
      </c>
      <c r="J1384">
        <v>0</v>
      </c>
      <c r="K1384">
        <v>125000</v>
      </c>
      <c r="L1384">
        <v>0</v>
      </c>
      <c r="M1384">
        <v>125000</v>
      </c>
      <c r="N1384">
        <v>55000</v>
      </c>
      <c r="O1384">
        <v>180000</v>
      </c>
      <c r="P1384" t="s">
        <v>29</v>
      </c>
      <c r="Q1384" t="s">
        <v>2356</v>
      </c>
      <c r="R1384" t="s">
        <v>36</v>
      </c>
      <c r="S1384">
        <v>3</v>
      </c>
      <c r="T1384" t="s">
        <v>37</v>
      </c>
      <c r="U1384" t="s">
        <v>2409</v>
      </c>
      <c r="V1384">
        <v>2024</v>
      </c>
      <c r="W1384">
        <v>9</v>
      </c>
    </row>
    <row r="1385" spans="1:23" x14ac:dyDescent="0.25">
      <c r="A1385" t="s">
        <v>152</v>
      </c>
      <c r="B1385">
        <v>45557.435624999998</v>
      </c>
      <c r="C1385" t="s">
        <v>153</v>
      </c>
      <c r="D1385" t="s">
        <v>103</v>
      </c>
      <c r="E1385" t="s">
        <v>62</v>
      </c>
      <c r="F1385" t="s">
        <v>2398</v>
      </c>
      <c r="G1385" t="s">
        <v>2378</v>
      </c>
      <c r="H1385">
        <v>50000</v>
      </c>
      <c r="I1385">
        <v>1</v>
      </c>
      <c r="J1385">
        <v>10</v>
      </c>
      <c r="K1385">
        <v>50000</v>
      </c>
      <c r="L1385">
        <v>5000</v>
      </c>
      <c r="M1385">
        <v>45000</v>
      </c>
      <c r="N1385">
        <v>85000</v>
      </c>
      <c r="O1385">
        <v>130000</v>
      </c>
      <c r="P1385" t="s">
        <v>29</v>
      </c>
      <c r="Q1385" t="s">
        <v>2357</v>
      </c>
      <c r="R1385" t="s">
        <v>36</v>
      </c>
      <c r="S1385">
        <v>2</v>
      </c>
      <c r="T1385" t="s">
        <v>37</v>
      </c>
      <c r="U1385" t="s">
        <v>2409</v>
      </c>
      <c r="V1385">
        <v>2024</v>
      </c>
      <c r="W1385">
        <v>9</v>
      </c>
    </row>
    <row r="1386" spans="1:23" x14ac:dyDescent="0.25">
      <c r="A1386" t="s">
        <v>154</v>
      </c>
      <c r="B1386">
        <v>45557.904618055552</v>
      </c>
      <c r="C1386" t="s">
        <v>155</v>
      </c>
      <c r="D1386" t="s">
        <v>92</v>
      </c>
      <c r="E1386" t="s">
        <v>54</v>
      </c>
      <c r="F1386" t="s">
        <v>2393</v>
      </c>
      <c r="G1386" t="s">
        <v>2379</v>
      </c>
      <c r="H1386">
        <v>16000</v>
      </c>
      <c r="I1386">
        <v>5</v>
      </c>
      <c r="J1386">
        <v>10</v>
      </c>
      <c r="K1386">
        <v>80000</v>
      </c>
      <c r="L1386">
        <v>8000</v>
      </c>
      <c r="M1386">
        <v>72000</v>
      </c>
      <c r="N1386">
        <v>30000</v>
      </c>
      <c r="O1386">
        <v>102000</v>
      </c>
      <c r="P1386" t="s">
        <v>22</v>
      </c>
      <c r="Q1386" t="s">
        <v>2357</v>
      </c>
      <c r="R1386" t="s">
        <v>82</v>
      </c>
      <c r="S1386">
        <v>3</v>
      </c>
      <c r="T1386" t="s">
        <v>24</v>
      </c>
      <c r="U1386" t="s">
        <v>2409</v>
      </c>
      <c r="V1386">
        <v>2024</v>
      </c>
      <c r="W1386">
        <v>9</v>
      </c>
    </row>
    <row r="1387" spans="1:23" x14ac:dyDescent="0.25">
      <c r="A1387" t="s">
        <v>156</v>
      </c>
      <c r="B1387">
        <v>45557.948622685188</v>
      </c>
      <c r="C1387" t="s">
        <v>157</v>
      </c>
      <c r="D1387" t="s">
        <v>20</v>
      </c>
      <c r="E1387" t="s">
        <v>54</v>
      </c>
      <c r="F1387" t="s">
        <v>2393</v>
      </c>
      <c r="G1387" t="s">
        <v>2379</v>
      </c>
      <c r="H1387">
        <v>16000</v>
      </c>
      <c r="I1387">
        <v>3</v>
      </c>
      <c r="J1387">
        <v>0</v>
      </c>
      <c r="K1387">
        <v>48000</v>
      </c>
      <c r="L1387">
        <v>0</v>
      </c>
      <c r="M1387">
        <v>48000</v>
      </c>
      <c r="N1387">
        <v>15000</v>
      </c>
      <c r="O1387">
        <v>63000</v>
      </c>
      <c r="P1387" t="s">
        <v>35</v>
      </c>
      <c r="Q1387" t="s">
        <v>2357</v>
      </c>
      <c r="R1387" t="s">
        <v>36</v>
      </c>
      <c r="S1387">
        <v>4</v>
      </c>
      <c r="T1387" t="s">
        <v>24</v>
      </c>
      <c r="U1387" t="s">
        <v>2409</v>
      </c>
      <c r="V1387">
        <v>2024</v>
      </c>
      <c r="W1387">
        <v>9</v>
      </c>
    </row>
    <row r="1388" spans="1:23" x14ac:dyDescent="0.25">
      <c r="A1388" t="s">
        <v>158</v>
      </c>
      <c r="B1388">
        <v>45558.191782407397</v>
      </c>
      <c r="C1388" t="s">
        <v>159</v>
      </c>
      <c r="D1388" t="s">
        <v>160</v>
      </c>
      <c r="E1388" t="s">
        <v>41</v>
      </c>
      <c r="F1388" t="s">
        <v>2395</v>
      </c>
      <c r="G1388" t="s">
        <v>2377</v>
      </c>
      <c r="H1388">
        <v>4000</v>
      </c>
      <c r="I1388">
        <v>1</v>
      </c>
      <c r="J1388">
        <v>5</v>
      </c>
      <c r="K1388">
        <v>4000</v>
      </c>
      <c r="L1388">
        <v>200</v>
      </c>
      <c r="M1388">
        <v>3800</v>
      </c>
      <c r="N1388">
        <v>68000</v>
      </c>
      <c r="O1388">
        <v>71800</v>
      </c>
      <c r="P1388" t="s">
        <v>63</v>
      </c>
      <c r="Q1388" t="s">
        <v>2357</v>
      </c>
      <c r="R1388" t="s">
        <v>82</v>
      </c>
      <c r="S1388">
        <v>1</v>
      </c>
      <c r="T1388" t="s">
        <v>24</v>
      </c>
      <c r="U1388" t="s">
        <v>2409</v>
      </c>
      <c r="V1388">
        <v>2024</v>
      </c>
      <c r="W1388">
        <v>9</v>
      </c>
    </row>
    <row r="1389" spans="1:23" x14ac:dyDescent="0.25">
      <c r="A1389" t="s">
        <v>161</v>
      </c>
      <c r="B1389">
        <v>45558.467662037037</v>
      </c>
      <c r="C1389" t="s">
        <v>162</v>
      </c>
      <c r="D1389" t="s">
        <v>163</v>
      </c>
      <c r="E1389" t="s">
        <v>54</v>
      </c>
      <c r="F1389" t="s">
        <v>2393</v>
      </c>
      <c r="G1389" t="s">
        <v>2379</v>
      </c>
      <c r="H1389">
        <v>16000</v>
      </c>
      <c r="I1389">
        <v>3</v>
      </c>
      <c r="J1389">
        <v>5</v>
      </c>
      <c r="K1389">
        <v>48000</v>
      </c>
      <c r="L1389">
        <v>2400</v>
      </c>
      <c r="M1389">
        <v>45600</v>
      </c>
      <c r="N1389">
        <v>50000</v>
      </c>
      <c r="O1389">
        <v>95600</v>
      </c>
      <c r="P1389" t="s">
        <v>63</v>
      </c>
      <c r="Q1389" t="s">
        <v>2357</v>
      </c>
      <c r="R1389" t="s">
        <v>23</v>
      </c>
      <c r="S1389">
        <v>4</v>
      </c>
      <c r="T1389" t="s">
        <v>24</v>
      </c>
      <c r="U1389" t="s">
        <v>2409</v>
      </c>
      <c r="V1389">
        <v>2024</v>
      </c>
      <c r="W1389">
        <v>9</v>
      </c>
    </row>
    <row r="1390" spans="1:23" x14ac:dyDescent="0.25">
      <c r="A1390" t="s">
        <v>164</v>
      </c>
      <c r="B1390">
        <v>45558.671018518522</v>
      </c>
      <c r="C1390" t="s">
        <v>165</v>
      </c>
      <c r="D1390" t="s">
        <v>143</v>
      </c>
      <c r="E1390" t="s">
        <v>45</v>
      </c>
      <c r="F1390" t="s">
        <v>2394</v>
      </c>
      <c r="G1390" t="s">
        <v>2378</v>
      </c>
      <c r="H1390">
        <v>40000</v>
      </c>
      <c r="I1390">
        <v>3</v>
      </c>
      <c r="J1390">
        <v>0</v>
      </c>
      <c r="K1390">
        <v>120000</v>
      </c>
      <c r="L1390">
        <v>0</v>
      </c>
      <c r="M1390">
        <v>120000</v>
      </c>
      <c r="N1390">
        <v>50000</v>
      </c>
      <c r="O1390">
        <v>170000</v>
      </c>
      <c r="P1390" t="s">
        <v>22</v>
      </c>
      <c r="Q1390" t="s">
        <v>2357</v>
      </c>
      <c r="R1390" t="s">
        <v>46</v>
      </c>
      <c r="S1390">
        <v>5</v>
      </c>
      <c r="T1390" t="s">
        <v>24</v>
      </c>
      <c r="U1390" t="s">
        <v>2409</v>
      </c>
      <c r="V1390">
        <v>2024</v>
      </c>
      <c r="W1390">
        <v>9</v>
      </c>
    </row>
    <row r="1391" spans="1:23" x14ac:dyDescent="0.25">
      <c r="A1391" t="s">
        <v>166</v>
      </c>
      <c r="B1391">
        <v>45558.775856481479</v>
      </c>
      <c r="C1391" t="s">
        <v>167</v>
      </c>
      <c r="D1391" t="s">
        <v>44</v>
      </c>
      <c r="E1391" t="s">
        <v>34</v>
      </c>
      <c r="F1391" t="s">
        <v>2397</v>
      </c>
      <c r="G1391" t="s">
        <v>2377</v>
      </c>
      <c r="H1391">
        <v>16000</v>
      </c>
      <c r="I1391">
        <v>5</v>
      </c>
      <c r="J1391">
        <v>5</v>
      </c>
      <c r="K1391">
        <v>80000</v>
      </c>
      <c r="L1391">
        <v>4000</v>
      </c>
      <c r="M1391">
        <v>76000</v>
      </c>
      <c r="N1391">
        <v>93000</v>
      </c>
      <c r="O1391">
        <v>169000</v>
      </c>
      <c r="P1391" t="s">
        <v>63</v>
      </c>
      <c r="Q1391" t="s">
        <v>2359</v>
      </c>
      <c r="R1391" t="s">
        <v>82</v>
      </c>
      <c r="S1391">
        <v>4</v>
      </c>
      <c r="T1391" t="s">
        <v>24</v>
      </c>
      <c r="U1391" t="s">
        <v>2409</v>
      </c>
      <c r="V1391">
        <v>2024</v>
      </c>
      <c r="W1391">
        <v>9</v>
      </c>
    </row>
    <row r="1392" spans="1:23" x14ac:dyDescent="0.25">
      <c r="A1392" t="s">
        <v>168</v>
      </c>
      <c r="B1392">
        <v>45559.000520833331</v>
      </c>
      <c r="C1392" t="s">
        <v>169</v>
      </c>
      <c r="D1392" t="s">
        <v>170</v>
      </c>
      <c r="E1392" t="s">
        <v>71</v>
      </c>
      <c r="F1392" t="s">
        <v>2392</v>
      </c>
      <c r="G1392" t="s">
        <v>2379</v>
      </c>
      <c r="H1392">
        <v>40000</v>
      </c>
      <c r="I1392">
        <v>4</v>
      </c>
      <c r="J1392">
        <v>10</v>
      </c>
      <c r="K1392">
        <v>160000</v>
      </c>
      <c r="L1392">
        <v>16000</v>
      </c>
      <c r="M1392">
        <v>144000</v>
      </c>
      <c r="N1392">
        <v>46000</v>
      </c>
      <c r="O1392">
        <v>190000</v>
      </c>
      <c r="P1392" t="s">
        <v>63</v>
      </c>
      <c r="Q1392" t="s">
        <v>2357</v>
      </c>
      <c r="R1392" t="s">
        <v>82</v>
      </c>
      <c r="S1392">
        <v>4</v>
      </c>
      <c r="T1392" t="s">
        <v>24</v>
      </c>
      <c r="U1392" t="s">
        <v>2409</v>
      </c>
      <c r="V1392">
        <v>2024</v>
      </c>
      <c r="W1392">
        <v>9</v>
      </c>
    </row>
    <row r="1393" spans="1:23" x14ac:dyDescent="0.25">
      <c r="A1393" t="s">
        <v>171</v>
      </c>
      <c r="B1393">
        <v>45559.017048611109</v>
      </c>
      <c r="C1393" t="s">
        <v>172</v>
      </c>
      <c r="D1393" t="s">
        <v>173</v>
      </c>
      <c r="E1393" t="s">
        <v>41</v>
      </c>
      <c r="F1393" t="s">
        <v>2395</v>
      </c>
      <c r="G1393" t="s">
        <v>2377</v>
      </c>
      <c r="H1393">
        <v>4000</v>
      </c>
      <c r="I1393">
        <v>3</v>
      </c>
      <c r="J1393">
        <v>10</v>
      </c>
      <c r="K1393">
        <v>12000</v>
      </c>
      <c r="L1393">
        <v>1200</v>
      </c>
      <c r="M1393">
        <v>10800</v>
      </c>
      <c r="N1393">
        <v>49000</v>
      </c>
      <c r="O1393">
        <v>59800</v>
      </c>
      <c r="P1393" t="s">
        <v>22</v>
      </c>
      <c r="Q1393" t="s">
        <v>2357</v>
      </c>
      <c r="R1393" t="s">
        <v>82</v>
      </c>
      <c r="S1393">
        <v>1</v>
      </c>
      <c r="T1393" t="s">
        <v>24</v>
      </c>
      <c r="U1393" t="s">
        <v>2409</v>
      </c>
      <c r="V1393">
        <v>2024</v>
      </c>
      <c r="W1393">
        <v>9</v>
      </c>
    </row>
    <row r="1394" spans="1:23" x14ac:dyDescent="0.25">
      <c r="A1394" t="s">
        <v>171</v>
      </c>
      <c r="B1394">
        <v>45559.017048611109</v>
      </c>
      <c r="C1394" t="s">
        <v>172</v>
      </c>
      <c r="D1394" t="s">
        <v>173</v>
      </c>
      <c r="E1394" t="s">
        <v>174</v>
      </c>
      <c r="F1394" t="s">
        <v>2400</v>
      </c>
      <c r="G1394" t="s">
        <v>2377</v>
      </c>
      <c r="H1394">
        <v>10000</v>
      </c>
      <c r="I1394">
        <v>4</v>
      </c>
      <c r="J1394">
        <v>5</v>
      </c>
      <c r="K1394">
        <v>40000</v>
      </c>
      <c r="L1394">
        <v>2000</v>
      </c>
      <c r="M1394">
        <v>38000</v>
      </c>
      <c r="N1394">
        <v>0</v>
      </c>
      <c r="O1394">
        <v>38000</v>
      </c>
      <c r="P1394" t="s">
        <v>22</v>
      </c>
      <c r="Q1394" t="s">
        <v>2357</v>
      </c>
      <c r="R1394" t="s">
        <v>82</v>
      </c>
      <c r="S1394">
        <v>1</v>
      </c>
      <c r="T1394" t="s">
        <v>24</v>
      </c>
      <c r="U1394" t="s">
        <v>2409</v>
      </c>
      <c r="V1394">
        <v>2024</v>
      </c>
      <c r="W1394">
        <v>9</v>
      </c>
    </row>
    <row r="1395" spans="1:23" x14ac:dyDescent="0.25">
      <c r="A1395" t="s">
        <v>175</v>
      </c>
      <c r="B1395">
        <v>45559.020509259259</v>
      </c>
      <c r="C1395" t="s">
        <v>176</v>
      </c>
      <c r="D1395" t="s">
        <v>177</v>
      </c>
      <c r="E1395" t="s">
        <v>58</v>
      </c>
      <c r="F1395" t="s">
        <v>2396</v>
      </c>
      <c r="G1395" t="s">
        <v>2377</v>
      </c>
      <c r="H1395">
        <v>16000</v>
      </c>
      <c r="I1395">
        <v>5</v>
      </c>
      <c r="J1395">
        <v>15</v>
      </c>
      <c r="K1395">
        <v>80000</v>
      </c>
      <c r="L1395">
        <v>12000</v>
      </c>
      <c r="M1395">
        <v>68000</v>
      </c>
      <c r="N1395">
        <v>56000</v>
      </c>
      <c r="O1395">
        <v>124000</v>
      </c>
      <c r="P1395" t="s">
        <v>22</v>
      </c>
      <c r="Q1395" t="s">
        <v>2357</v>
      </c>
      <c r="R1395" t="s">
        <v>82</v>
      </c>
      <c r="S1395">
        <v>2</v>
      </c>
      <c r="T1395" t="s">
        <v>24</v>
      </c>
      <c r="U1395" t="s">
        <v>2409</v>
      </c>
      <c r="V1395">
        <v>2024</v>
      </c>
      <c r="W1395">
        <v>9</v>
      </c>
    </row>
    <row r="1396" spans="1:23" x14ac:dyDescent="0.25">
      <c r="A1396" t="s">
        <v>178</v>
      </c>
      <c r="B1396">
        <v>45559.04047453704</v>
      </c>
      <c r="C1396" t="s">
        <v>179</v>
      </c>
      <c r="D1396" t="s">
        <v>66</v>
      </c>
      <c r="E1396" t="s">
        <v>75</v>
      </c>
      <c r="F1396" t="s">
        <v>2398</v>
      </c>
      <c r="G1396" t="s">
        <v>2379</v>
      </c>
      <c r="H1396">
        <v>55000</v>
      </c>
      <c r="I1396">
        <v>5</v>
      </c>
      <c r="J1396">
        <v>10</v>
      </c>
      <c r="K1396">
        <v>275000</v>
      </c>
      <c r="L1396">
        <v>27500</v>
      </c>
      <c r="M1396">
        <v>247500</v>
      </c>
      <c r="N1396">
        <v>59000</v>
      </c>
      <c r="O1396">
        <v>306500</v>
      </c>
      <c r="P1396" t="s">
        <v>35</v>
      </c>
      <c r="Q1396" t="s">
        <v>2357</v>
      </c>
      <c r="R1396" t="s">
        <v>82</v>
      </c>
      <c r="S1396">
        <v>4</v>
      </c>
      <c r="T1396" t="s">
        <v>24</v>
      </c>
      <c r="U1396" t="s">
        <v>2409</v>
      </c>
      <c r="V1396">
        <v>2024</v>
      </c>
      <c r="W1396">
        <v>9</v>
      </c>
    </row>
    <row r="1397" spans="1:23" x14ac:dyDescent="0.25">
      <c r="A1397" t="s">
        <v>180</v>
      </c>
      <c r="B1397">
        <v>45559.32298611111</v>
      </c>
      <c r="C1397" t="s">
        <v>181</v>
      </c>
      <c r="D1397" t="s">
        <v>182</v>
      </c>
      <c r="E1397" t="s">
        <v>71</v>
      </c>
      <c r="F1397" t="s">
        <v>2392</v>
      </c>
      <c r="G1397" t="s">
        <v>2379</v>
      </c>
      <c r="H1397">
        <v>40000</v>
      </c>
      <c r="I1397">
        <v>1</v>
      </c>
      <c r="J1397">
        <v>10</v>
      </c>
      <c r="K1397">
        <v>40000</v>
      </c>
      <c r="L1397">
        <v>4000</v>
      </c>
      <c r="M1397">
        <v>36000</v>
      </c>
      <c r="N1397">
        <v>48000</v>
      </c>
      <c r="O1397">
        <v>84000</v>
      </c>
      <c r="P1397" t="s">
        <v>29</v>
      </c>
      <c r="Q1397" t="s">
        <v>2357</v>
      </c>
      <c r="R1397" t="s">
        <v>82</v>
      </c>
      <c r="S1397">
        <v>2</v>
      </c>
      <c r="T1397" t="s">
        <v>24</v>
      </c>
      <c r="U1397" t="s">
        <v>2409</v>
      </c>
      <c r="V1397">
        <v>2024</v>
      </c>
      <c r="W1397">
        <v>9</v>
      </c>
    </row>
    <row r="1398" spans="1:23" x14ac:dyDescent="0.25">
      <c r="A1398" t="s">
        <v>183</v>
      </c>
      <c r="B1398">
        <v>45559.340555555558</v>
      </c>
      <c r="C1398" t="s">
        <v>184</v>
      </c>
      <c r="D1398" t="s">
        <v>103</v>
      </c>
      <c r="E1398" t="s">
        <v>75</v>
      </c>
      <c r="F1398" t="s">
        <v>2398</v>
      </c>
      <c r="G1398" t="s">
        <v>2379</v>
      </c>
      <c r="H1398">
        <v>55000</v>
      </c>
      <c r="I1398">
        <v>1</v>
      </c>
      <c r="J1398">
        <v>15</v>
      </c>
      <c r="K1398">
        <v>55000</v>
      </c>
      <c r="L1398">
        <v>8250</v>
      </c>
      <c r="M1398">
        <v>46750</v>
      </c>
      <c r="N1398">
        <v>85000</v>
      </c>
      <c r="O1398">
        <v>131750</v>
      </c>
      <c r="P1398" t="s">
        <v>22</v>
      </c>
      <c r="Q1398" t="s">
        <v>2357</v>
      </c>
      <c r="R1398" t="s">
        <v>46</v>
      </c>
      <c r="S1398">
        <v>2</v>
      </c>
      <c r="T1398" t="s">
        <v>24</v>
      </c>
      <c r="U1398" t="s">
        <v>2409</v>
      </c>
      <c r="V1398">
        <v>2024</v>
      </c>
      <c r="W1398">
        <v>9</v>
      </c>
    </row>
    <row r="1399" spans="1:23" x14ac:dyDescent="0.25">
      <c r="A1399" t="s">
        <v>185</v>
      </c>
      <c r="B1399">
        <v>45559.478229166663</v>
      </c>
      <c r="C1399" t="s">
        <v>95</v>
      </c>
      <c r="D1399" t="s">
        <v>96</v>
      </c>
      <c r="E1399" t="s">
        <v>186</v>
      </c>
      <c r="F1399" t="s">
        <v>2398</v>
      </c>
      <c r="G1399" t="s">
        <v>2377</v>
      </c>
      <c r="H1399">
        <v>45000</v>
      </c>
      <c r="I1399">
        <v>1</v>
      </c>
      <c r="J1399">
        <v>15</v>
      </c>
      <c r="K1399">
        <v>45000</v>
      </c>
      <c r="L1399">
        <v>6750</v>
      </c>
      <c r="M1399">
        <v>38250</v>
      </c>
      <c r="N1399">
        <v>49000</v>
      </c>
      <c r="O1399">
        <v>87250</v>
      </c>
      <c r="P1399" t="s">
        <v>63</v>
      </c>
      <c r="Q1399" t="s">
        <v>2356</v>
      </c>
      <c r="R1399" t="s">
        <v>82</v>
      </c>
      <c r="S1399">
        <v>5</v>
      </c>
      <c r="T1399" t="s">
        <v>24</v>
      </c>
      <c r="U1399" t="s">
        <v>2409</v>
      </c>
      <c r="V1399">
        <v>2024</v>
      </c>
      <c r="W1399">
        <v>9</v>
      </c>
    </row>
    <row r="1400" spans="1:23" x14ac:dyDescent="0.25">
      <c r="A1400" t="s">
        <v>187</v>
      </c>
      <c r="B1400">
        <v>45559.683819444443</v>
      </c>
      <c r="C1400" t="s">
        <v>188</v>
      </c>
      <c r="D1400" t="s">
        <v>189</v>
      </c>
      <c r="E1400" t="s">
        <v>190</v>
      </c>
      <c r="F1400" t="s">
        <v>2392</v>
      </c>
      <c r="G1400" t="s">
        <v>2378</v>
      </c>
      <c r="H1400">
        <v>35000</v>
      </c>
      <c r="I1400">
        <v>5</v>
      </c>
      <c r="J1400">
        <v>5</v>
      </c>
      <c r="K1400">
        <v>175000</v>
      </c>
      <c r="L1400">
        <v>8750</v>
      </c>
      <c r="M1400">
        <v>166250</v>
      </c>
      <c r="N1400">
        <v>57000</v>
      </c>
      <c r="O1400">
        <v>223250</v>
      </c>
      <c r="P1400" t="s">
        <v>29</v>
      </c>
      <c r="Q1400" t="s">
        <v>2356</v>
      </c>
      <c r="R1400" t="s">
        <v>23</v>
      </c>
      <c r="S1400">
        <v>2</v>
      </c>
      <c r="T1400" t="s">
        <v>24</v>
      </c>
      <c r="U1400" t="s">
        <v>2409</v>
      </c>
      <c r="V1400">
        <v>2024</v>
      </c>
      <c r="W1400">
        <v>9</v>
      </c>
    </row>
    <row r="1401" spans="1:23" x14ac:dyDescent="0.25">
      <c r="A1401" t="s">
        <v>191</v>
      </c>
      <c r="B1401">
        <v>45559.714965277781</v>
      </c>
      <c r="C1401" t="s">
        <v>192</v>
      </c>
      <c r="D1401" t="s">
        <v>107</v>
      </c>
      <c r="E1401" t="s">
        <v>28</v>
      </c>
      <c r="F1401" t="s">
        <v>2395</v>
      </c>
      <c r="G1401" t="s">
        <v>2378</v>
      </c>
      <c r="H1401">
        <v>5000</v>
      </c>
      <c r="I1401">
        <v>2</v>
      </c>
      <c r="J1401">
        <v>20</v>
      </c>
      <c r="K1401">
        <v>10000</v>
      </c>
      <c r="L1401">
        <v>2000</v>
      </c>
      <c r="M1401">
        <v>8000</v>
      </c>
      <c r="N1401">
        <v>97000</v>
      </c>
      <c r="O1401">
        <v>105000</v>
      </c>
      <c r="P1401" t="s">
        <v>63</v>
      </c>
      <c r="Q1401" t="s">
        <v>2357</v>
      </c>
      <c r="R1401" t="s">
        <v>46</v>
      </c>
      <c r="S1401">
        <v>2</v>
      </c>
      <c r="T1401" t="s">
        <v>24</v>
      </c>
      <c r="U1401" t="s">
        <v>2409</v>
      </c>
      <c r="V1401">
        <v>2024</v>
      </c>
      <c r="W1401">
        <v>9</v>
      </c>
    </row>
    <row r="1402" spans="1:23" x14ac:dyDescent="0.25">
      <c r="A1402" t="s">
        <v>193</v>
      </c>
      <c r="B1402">
        <v>45559.922812500001</v>
      </c>
      <c r="C1402" t="s">
        <v>194</v>
      </c>
      <c r="D1402" t="s">
        <v>195</v>
      </c>
      <c r="E1402" t="s">
        <v>58</v>
      </c>
      <c r="F1402" t="s">
        <v>2396</v>
      </c>
      <c r="G1402" t="s">
        <v>2377</v>
      </c>
      <c r="H1402">
        <v>16000</v>
      </c>
      <c r="I1402">
        <v>4</v>
      </c>
      <c r="J1402">
        <v>20</v>
      </c>
      <c r="K1402">
        <v>64000</v>
      </c>
      <c r="L1402">
        <v>12800</v>
      </c>
      <c r="M1402">
        <v>51200</v>
      </c>
      <c r="N1402">
        <v>87000</v>
      </c>
      <c r="O1402">
        <v>138200</v>
      </c>
      <c r="P1402" t="s">
        <v>22</v>
      </c>
      <c r="Q1402" t="s">
        <v>2356</v>
      </c>
      <c r="R1402" t="s">
        <v>23</v>
      </c>
      <c r="S1402">
        <v>1</v>
      </c>
      <c r="T1402" t="s">
        <v>24</v>
      </c>
      <c r="U1402" t="s">
        <v>2409</v>
      </c>
      <c r="V1402">
        <v>2024</v>
      </c>
      <c r="W1402">
        <v>9</v>
      </c>
    </row>
    <row r="1403" spans="1:23" x14ac:dyDescent="0.25">
      <c r="A1403" t="s">
        <v>196</v>
      </c>
      <c r="B1403">
        <v>45559.960763888892</v>
      </c>
      <c r="C1403" t="s">
        <v>197</v>
      </c>
      <c r="D1403" t="s">
        <v>119</v>
      </c>
      <c r="E1403" t="s">
        <v>104</v>
      </c>
      <c r="F1403" t="s">
        <v>2392</v>
      </c>
      <c r="G1403" t="s">
        <v>2377</v>
      </c>
      <c r="H1403">
        <v>30000</v>
      </c>
      <c r="I1403">
        <v>1</v>
      </c>
      <c r="J1403">
        <v>5</v>
      </c>
      <c r="K1403">
        <v>30000</v>
      </c>
      <c r="L1403">
        <v>1500</v>
      </c>
      <c r="M1403">
        <v>28500</v>
      </c>
      <c r="N1403">
        <v>0</v>
      </c>
      <c r="O1403">
        <v>28500</v>
      </c>
      <c r="P1403" t="s">
        <v>63</v>
      </c>
      <c r="Q1403" t="s">
        <v>2359</v>
      </c>
      <c r="R1403" t="s">
        <v>46</v>
      </c>
      <c r="S1403">
        <v>3</v>
      </c>
      <c r="T1403" t="s">
        <v>37</v>
      </c>
      <c r="U1403" t="s">
        <v>2409</v>
      </c>
      <c r="V1403">
        <v>2024</v>
      </c>
      <c r="W1403">
        <v>9</v>
      </c>
    </row>
    <row r="1404" spans="1:23" x14ac:dyDescent="0.25">
      <c r="A1404" t="s">
        <v>198</v>
      </c>
      <c r="B1404">
        <v>45560.015497685177</v>
      </c>
      <c r="C1404" t="s">
        <v>199</v>
      </c>
      <c r="D1404" t="s">
        <v>143</v>
      </c>
      <c r="E1404" t="s">
        <v>71</v>
      </c>
      <c r="F1404" t="s">
        <v>2392</v>
      </c>
      <c r="G1404" t="s">
        <v>2379</v>
      </c>
      <c r="H1404">
        <v>40000</v>
      </c>
      <c r="I1404">
        <v>2</v>
      </c>
      <c r="J1404">
        <v>20</v>
      </c>
      <c r="K1404">
        <v>80000</v>
      </c>
      <c r="L1404">
        <v>16000</v>
      </c>
      <c r="M1404">
        <v>64000</v>
      </c>
      <c r="N1404">
        <v>50000</v>
      </c>
      <c r="O1404">
        <v>114000</v>
      </c>
      <c r="P1404" t="s">
        <v>29</v>
      </c>
      <c r="Q1404" t="s">
        <v>2357</v>
      </c>
      <c r="R1404" t="s">
        <v>82</v>
      </c>
      <c r="S1404">
        <v>3</v>
      </c>
      <c r="T1404" t="s">
        <v>24</v>
      </c>
      <c r="U1404" t="s">
        <v>2409</v>
      </c>
      <c r="V1404">
        <v>2024</v>
      </c>
      <c r="W1404">
        <v>9</v>
      </c>
    </row>
    <row r="1405" spans="1:23" x14ac:dyDescent="0.25">
      <c r="A1405" t="s">
        <v>200</v>
      </c>
      <c r="B1405">
        <v>45560.139421296299</v>
      </c>
      <c r="C1405" t="s">
        <v>201</v>
      </c>
      <c r="D1405" t="s">
        <v>107</v>
      </c>
      <c r="E1405" t="s">
        <v>45</v>
      </c>
      <c r="F1405" t="s">
        <v>2394</v>
      </c>
      <c r="G1405" t="s">
        <v>2378</v>
      </c>
      <c r="H1405">
        <v>40000</v>
      </c>
      <c r="I1405">
        <v>1</v>
      </c>
      <c r="J1405">
        <v>15</v>
      </c>
      <c r="K1405">
        <v>40000</v>
      </c>
      <c r="L1405">
        <v>6000</v>
      </c>
      <c r="M1405">
        <v>34000</v>
      </c>
      <c r="N1405">
        <v>97000</v>
      </c>
      <c r="O1405">
        <v>131000</v>
      </c>
      <c r="P1405" t="s">
        <v>29</v>
      </c>
      <c r="Q1405" t="s">
        <v>2357</v>
      </c>
      <c r="R1405" t="s">
        <v>82</v>
      </c>
      <c r="S1405">
        <v>3</v>
      </c>
      <c r="T1405" t="s">
        <v>24</v>
      </c>
      <c r="U1405" t="s">
        <v>2409</v>
      </c>
      <c r="V1405">
        <v>2024</v>
      </c>
      <c r="W1405">
        <v>9</v>
      </c>
    </row>
    <row r="1406" spans="1:23" x14ac:dyDescent="0.25">
      <c r="A1406" t="s">
        <v>202</v>
      </c>
      <c r="B1406">
        <v>45560.274340277778</v>
      </c>
      <c r="C1406" t="s">
        <v>203</v>
      </c>
      <c r="D1406" t="s">
        <v>20</v>
      </c>
      <c r="E1406" t="s">
        <v>38</v>
      </c>
      <c r="F1406" t="s">
        <v>2399</v>
      </c>
      <c r="G1406" t="s">
        <v>2379</v>
      </c>
      <c r="H1406">
        <v>28000</v>
      </c>
      <c r="I1406">
        <v>3</v>
      </c>
      <c r="J1406">
        <v>15</v>
      </c>
      <c r="K1406">
        <v>84000</v>
      </c>
      <c r="L1406">
        <v>12600</v>
      </c>
      <c r="M1406">
        <v>71400</v>
      </c>
      <c r="N1406">
        <v>15000</v>
      </c>
      <c r="O1406">
        <v>86400</v>
      </c>
      <c r="P1406" t="s">
        <v>29</v>
      </c>
      <c r="Q1406" t="s">
        <v>2357</v>
      </c>
      <c r="R1406" t="s">
        <v>23</v>
      </c>
      <c r="S1406">
        <v>3</v>
      </c>
      <c r="T1406" t="s">
        <v>24</v>
      </c>
      <c r="U1406" t="s">
        <v>2409</v>
      </c>
      <c r="V1406">
        <v>2024</v>
      </c>
      <c r="W1406">
        <v>9</v>
      </c>
    </row>
    <row r="1407" spans="1:23" x14ac:dyDescent="0.25">
      <c r="A1407" t="s">
        <v>204</v>
      </c>
      <c r="B1407">
        <v>45560.374374999999</v>
      </c>
      <c r="C1407" t="s">
        <v>205</v>
      </c>
      <c r="D1407" t="s">
        <v>96</v>
      </c>
      <c r="E1407" t="s">
        <v>62</v>
      </c>
      <c r="F1407" t="s">
        <v>2398</v>
      </c>
      <c r="G1407" t="s">
        <v>2378</v>
      </c>
      <c r="H1407">
        <v>50000</v>
      </c>
      <c r="I1407">
        <v>5</v>
      </c>
      <c r="J1407">
        <v>10</v>
      </c>
      <c r="K1407">
        <v>250000</v>
      </c>
      <c r="L1407">
        <v>25000</v>
      </c>
      <c r="M1407">
        <v>225000</v>
      </c>
      <c r="N1407">
        <v>49000</v>
      </c>
      <c r="O1407">
        <v>274000</v>
      </c>
      <c r="P1407" t="s">
        <v>63</v>
      </c>
      <c r="Q1407" t="s">
        <v>2357</v>
      </c>
      <c r="R1407" t="s">
        <v>82</v>
      </c>
      <c r="S1407">
        <v>4</v>
      </c>
      <c r="T1407" t="s">
        <v>24</v>
      </c>
      <c r="U1407" t="s">
        <v>2409</v>
      </c>
      <c r="V1407">
        <v>2024</v>
      </c>
      <c r="W1407">
        <v>9</v>
      </c>
    </row>
    <row r="1408" spans="1:23" x14ac:dyDescent="0.25">
      <c r="A1408" t="s">
        <v>206</v>
      </c>
      <c r="B1408">
        <v>45560.518657407411</v>
      </c>
      <c r="C1408" t="s">
        <v>207</v>
      </c>
      <c r="D1408" t="s">
        <v>96</v>
      </c>
      <c r="E1408" t="s">
        <v>34</v>
      </c>
      <c r="F1408" t="s">
        <v>2397</v>
      </c>
      <c r="G1408" t="s">
        <v>2377</v>
      </c>
      <c r="H1408">
        <v>16000</v>
      </c>
      <c r="I1408">
        <v>3</v>
      </c>
      <c r="J1408">
        <v>10</v>
      </c>
      <c r="K1408">
        <v>48000</v>
      </c>
      <c r="L1408">
        <v>4800</v>
      </c>
      <c r="M1408">
        <v>43200</v>
      </c>
      <c r="N1408">
        <v>49000</v>
      </c>
      <c r="O1408">
        <v>92200</v>
      </c>
      <c r="P1408" t="s">
        <v>29</v>
      </c>
      <c r="Q1408" t="s">
        <v>2357</v>
      </c>
      <c r="R1408" t="s">
        <v>30</v>
      </c>
      <c r="S1408">
        <v>2</v>
      </c>
      <c r="T1408" t="s">
        <v>24</v>
      </c>
      <c r="U1408" t="s">
        <v>2409</v>
      </c>
      <c r="V1408">
        <v>2024</v>
      </c>
      <c r="W1408">
        <v>9</v>
      </c>
    </row>
    <row r="1409" spans="1:23" x14ac:dyDescent="0.25">
      <c r="A1409" t="s">
        <v>208</v>
      </c>
      <c r="B1409">
        <v>45560.683599537027</v>
      </c>
      <c r="C1409" t="s">
        <v>209</v>
      </c>
      <c r="D1409" t="s">
        <v>143</v>
      </c>
      <c r="E1409" t="s">
        <v>28</v>
      </c>
      <c r="F1409" t="s">
        <v>2395</v>
      </c>
      <c r="G1409" t="s">
        <v>2378</v>
      </c>
      <c r="H1409">
        <v>5000</v>
      </c>
      <c r="I1409">
        <v>3</v>
      </c>
      <c r="J1409">
        <v>15</v>
      </c>
      <c r="K1409">
        <v>15000</v>
      </c>
      <c r="L1409">
        <v>2250</v>
      </c>
      <c r="M1409">
        <v>12750</v>
      </c>
      <c r="N1409">
        <v>50000</v>
      </c>
      <c r="O1409">
        <v>62750</v>
      </c>
      <c r="P1409" t="s">
        <v>29</v>
      </c>
      <c r="Q1409" t="s">
        <v>2357</v>
      </c>
      <c r="R1409" t="s">
        <v>30</v>
      </c>
      <c r="S1409">
        <v>4</v>
      </c>
      <c r="T1409" t="s">
        <v>37</v>
      </c>
      <c r="U1409" t="s">
        <v>2409</v>
      </c>
      <c r="V1409">
        <v>2024</v>
      </c>
      <c r="W1409">
        <v>9</v>
      </c>
    </row>
    <row r="1410" spans="1:23" x14ac:dyDescent="0.25">
      <c r="A1410" t="s">
        <v>210</v>
      </c>
      <c r="B1410">
        <v>45560.827361111107</v>
      </c>
      <c r="C1410" t="s">
        <v>211</v>
      </c>
      <c r="D1410" t="s">
        <v>49</v>
      </c>
      <c r="E1410" t="s">
        <v>67</v>
      </c>
      <c r="F1410" t="s">
        <v>2393</v>
      </c>
      <c r="G1410" t="s">
        <v>2378</v>
      </c>
      <c r="H1410">
        <v>15000</v>
      </c>
      <c r="I1410">
        <v>1</v>
      </c>
      <c r="J1410">
        <v>20</v>
      </c>
      <c r="K1410">
        <v>15000</v>
      </c>
      <c r="L1410">
        <v>3000</v>
      </c>
      <c r="M1410">
        <v>12000</v>
      </c>
      <c r="N1410">
        <v>43000</v>
      </c>
      <c r="O1410">
        <v>55000</v>
      </c>
      <c r="P1410" t="s">
        <v>29</v>
      </c>
      <c r="Q1410" t="s">
        <v>2357</v>
      </c>
      <c r="R1410" t="s">
        <v>82</v>
      </c>
      <c r="S1410">
        <v>3</v>
      </c>
      <c r="T1410" t="s">
        <v>24</v>
      </c>
      <c r="U1410" t="s">
        <v>2409</v>
      </c>
      <c r="V1410">
        <v>2024</v>
      </c>
      <c r="W1410">
        <v>9</v>
      </c>
    </row>
    <row r="1411" spans="1:23" x14ac:dyDescent="0.25">
      <c r="A1411" t="s">
        <v>212</v>
      </c>
      <c r="B1411">
        <v>45561.91914351852</v>
      </c>
      <c r="C1411" t="s">
        <v>102</v>
      </c>
      <c r="D1411" t="s">
        <v>103</v>
      </c>
      <c r="E1411" t="s">
        <v>71</v>
      </c>
      <c r="F1411" t="s">
        <v>2392</v>
      </c>
      <c r="G1411" t="s">
        <v>2379</v>
      </c>
      <c r="H1411">
        <v>40000</v>
      </c>
      <c r="I1411">
        <v>4</v>
      </c>
      <c r="J1411">
        <v>10</v>
      </c>
      <c r="K1411">
        <v>160000</v>
      </c>
      <c r="L1411">
        <v>16000</v>
      </c>
      <c r="M1411">
        <v>144000</v>
      </c>
      <c r="N1411">
        <v>85000</v>
      </c>
      <c r="O1411">
        <v>229000</v>
      </c>
      <c r="P1411" t="s">
        <v>22</v>
      </c>
      <c r="Q1411" t="s">
        <v>2357</v>
      </c>
      <c r="R1411" t="s">
        <v>30</v>
      </c>
      <c r="S1411">
        <v>3</v>
      </c>
      <c r="T1411" t="s">
        <v>24</v>
      </c>
      <c r="U1411" t="s">
        <v>2409</v>
      </c>
      <c r="V1411">
        <v>2024</v>
      </c>
      <c r="W1411">
        <v>9</v>
      </c>
    </row>
    <row r="1412" spans="1:23" x14ac:dyDescent="0.25">
      <c r="A1412" t="s">
        <v>213</v>
      </c>
      <c r="B1412">
        <v>45562.322916666657</v>
      </c>
      <c r="C1412" t="s">
        <v>214</v>
      </c>
      <c r="D1412" t="s">
        <v>131</v>
      </c>
      <c r="E1412" t="s">
        <v>50</v>
      </c>
      <c r="F1412" t="s">
        <v>2400</v>
      </c>
      <c r="G1412" t="s">
        <v>2379</v>
      </c>
      <c r="H1412">
        <v>14000</v>
      </c>
      <c r="I1412">
        <v>4</v>
      </c>
      <c r="J1412">
        <v>20</v>
      </c>
      <c r="K1412">
        <v>56000</v>
      </c>
      <c r="L1412">
        <v>11200</v>
      </c>
      <c r="M1412">
        <v>44800</v>
      </c>
      <c r="N1412">
        <v>59000</v>
      </c>
      <c r="O1412">
        <v>103800</v>
      </c>
      <c r="P1412" t="s">
        <v>35</v>
      </c>
      <c r="Q1412" t="s">
        <v>2357</v>
      </c>
      <c r="R1412" t="s">
        <v>23</v>
      </c>
      <c r="S1412">
        <v>4</v>
      </c>
      <c r="T1412" t="s">
        <v>24</v>
      </c>
      <c r="U1412" t="s">
        <v>2409</v>
      </c>
      <c r="V1412">
        <v>2024</v>
      </c>
      <c r="W1412">
        <v>9</v>
      </c>
    </row>
    <row r="1413" spans="1:23" x14ac:dyDescent="0.25">
      <c r="A1413" t="s">
        <v>215</v>
      </c>
      <c r="B1413">
        <v>45562.441701388889</v>
      </c>
      <c r="C1413" t="s">
        <v>216</v>
      </c>
      <c r="D1413" t="s">
        <v>143</v>
      </c>
      <c r="E1413" t="s">
        <v>34</v>
      </c>
      <c r="F1413" t="s">
        <v>2397</v>
      </c>
      <c r="G1413" t="s">
        <v>2377</v>
      </c>
      <c r="H1413">
        <v>16000</v>
      </c>
      <c r="I1413">
        <v>2</v>
      </c>
      <c r="J1413">
        <v>20</v>
      </c>
      <c r="K1413">
        <v>32000</v>
      </c>
      <c r="L1413">
        <v>6400</v>
      </c>
      <c r="M1413">
        <v>25600</v>
      </c>
      <c r="N1413">
        <v>50000</v>
      </c>
      <c r="O1413">
        <v>75600</v>
      </c>
      <c r="P1413" t="s">
        <v>29</v>
      </c>
      <c r="Q1413" t="s">
        <v>2357</v>
      </c>
      <c r="R1413" t="s">
        <v>30</v>
      </c>
      <c r="S1413">
        <v>4</v>
      </c>
      <c r="T1413" t="s">
        <v>24</v>
      </c>
      <c r="U1413" t="s">
        <v>2409</v>
      </c>
      <c r="V1413">
        <v>2024</v>
      </c>
      <c r="W1413">
        <v>9</v>
      </c>
    </row>
    <row r="1414" spans="1:23" x14ac:dyDescent="0.25">
      <c r="A1414" t="s">
        <v>217</v>
      </c>
      <c r="B1414">
        <v>45562.555601851847</v>
      </c>
      <c r="C1414" t="s">
        <v>218</v>
      </c>
      <c r="D1414" t="s">
        <v>170</v>
      </c>
      <c r="E1414" t="s">
        <v>186</v>
      </c>
      <c r="F1414" t="s">
        <v>2398</v>
      </c>
      <c r="G1414" t="s">
        <v>2377</v>
      </c>
      <c r="H1414">
        <v>45000</v>
      </c>
      <c r="I1414">
        <v>1</v>
      </c>
      <c r="J1414">
        <v>15</v>
      </c>
      <c r="K1414">
        <v>45000</v>
      </c>
      <c r="L1414">
        <v>6750</v>
      </c>
      <c r="M1414">
        <v>38250</v>
      </c>
      <c r="N1414">
        <v>46000</v>
      </c>
      <c r="O1414">
        <v>84250</v>
      </c>
      <c r="P1414" t="s">
        <v>63</v>
      </c>
      <c r="Q1414" t="s">
        <v>2357</v>
      </c>
      <c r="R1414" t="s">
        <v>23</v>
      </c>
      <c r="S1414">
        <v>4</v>
      </c>
      <c r="T1414" t="s">
        <v>24</v>
      </c>
      <c r="U1414" t="s">
        <v>2409</v>
      </c>
      <c r="V1414">
        <v>2024</v>
      </c>
      <c r="W1414">
        <v>9</v>
      </c>
    </row>
    <row r="1415" spans="1:23" x14ac:dyDescent="0.25">
      <c r="A1415" t="s">
        <v>219</v>
      </c>
      <c r="B1415">
        <v>45562.663055555553</v>
      </c>
      <c r="C1415" t="s">
        <v>220</v>
      </c>
      <c r="D1415" t="s">
        <v>53</v>
      </c>
      <c r="E1415" t="s">
        <v>85</v>
      </c>
      <c r="F1415" t="s">
        <v>2394</v>
      </c>
      <c r="G1415" t="s">
        <v>2377</v>
      </c>
      <c r="H1415">
        <v>35000</v>
      </c>
      <c r="I1415">
        <v>5</v>
      </c>
      <c r="J1415">
        <v>10</v>
      </c>
      <c r="K1415">
        <v>175000</v>
      </c>
      <c r="L1415">
        <v>17500</v>
      </c>
      <c r="M1415">
        <v>157500</v>
      </c>
      <c r="N1415">
        <v>18000</v>
      </c>
      <c r="O1415">
        <v>175500</v>
      </c>
      <c r="P1415" t="s">
        <v>35</v>
      </c>
      <c r="Q1415" t="s">
        <v>2357</v>
      </c>
      <c r="R1415" t="s">
        <v>30</v>
      </c>
      <c r="S1415">
        <v>2</v>
      </c>
      <c r="T1415" t="s">
        <v>24</v>
      </c>
      <c r="U1415" t="s">
        <v>2409</v>
      </c>
      <c r="V1415">
        <v>2024</v>
      </c>
      <c r="W1415">
        <v>9</v>
      </c>
    </row>
    <row r="1416" spans="1:23" x14ac:dyDescent="0.25">
      <c r="A1416" t="s">
        <v>221</v>
      </c>
      <c r="B1416">
        <v>45562.669733796298</v>
      </c>
      <c r="C1416" t="s">
        <v>222</v>
      </c>
      <c r="D1416" t="s">
        <v>49</v>
      </c>
      <c r="E1416" t="s">
        <v>190</v>
      </c>
      <c r="F1416" t="s">
        <v>2392</v>
      </c>
      <c r="G1416" t="s">
        <v>2378</v>
      </c>
      <c r="H1416">
        <v>35000</v>
      </c>
      <c r="I1416">
        <v>5</v>
      </c>
      <c r="J1416">
        <v>10</v>
      </c>
      <c r="K1416">
        <v>175000</v>
      </c>
      <c r="L1416">
        <v>17500</v>
      </c>
      <c r="M1416">
        <v>157500</v>
      </c>
      <c r="N1416">
        <v>43000</v>
      </c>
      <c r="O1416">
        <v>200500</v>
      </c>
      <c r="P1416" t="s">
        <v>35</v>
      </c>
      <c r="Q1416" t="s">
        <v>2357</v>
      </c>
      <c r="R1416" t="s">
        <v>46</v>
      </c>
      <c r="S1416">
        <v>2</v>
      </c>
      <c r="T1416" t="s">
        <v>24</v>
      </c>
      <c r="U1416" t="s">
        <v>2409</v>
      </c>
      <c r="V1416">
        <v>2024</v>
      </c>
      <c r="W1416">
        <v>9</v>
      </c>
    </row>
    <row r="1417" spans="1:23" x14ac:dyDescent="0.25">
      <c r="A1417" t="s">
        <v>223</v>
      </c>
      <c r="B1417">
        <v>45563.093090277784</v>
      </c>
      <c r="C1417" t="s">
        <v>79</v>
      </c>
      <c r="D1417" t="s">
        <v>80</v>
      </c>
      <c r="E1417" t="s">
        <v>88</v>
      </c>
      <c r="F1417" t="s">
        <v>2393</v>
      </c>
      <c r="G1417" t="s">
        <v>2377</v>
      </c>
      <c r="H1417">
        <v>14000</v>
      </c>
      <c r="I1417">
        <v>4</v>
      </c>
      <c r="J1417">
        <v>20</v>
      </c>
      <c r="K1417">
        <v>56000</v>
      </c>
      <c r="L1417">
        <v>11200</v>
      </c>
      <c r="M1417">
        <v>44800</v>
      </c>
      <c r="N1417">
        <v>74000</v>
      </c>
      <c r="O1417">
        <v>118800</v>
      </c>
      <c r="P1417" t="s">
        <v>22</v>
      </c>
      <c r="Q1417" t="s">
        <v>2357</v>
      </c>
      <c r="R1417" t="s">
        <v>30</v>
      </c>
      <c r="S1417">
        <v>1</v>
      </c>
      <c r="T1417" t="s">
        <v>24</v>
      </c>
      <c r="U1417" t="s">
        <v>2409</v>
      </c>
      <c r="V1417">
        <v>2024</v>
      </c>
      <c r="W1417">
        <v>9</v>
      </c>
    </row>
    <row r="1418" spans="1:23" x14ac:dyDescent="0.25">
      <c r="A1418" t="s">
        <v>223</v>
      </c>
      <c r="B1418">
        <v>45563.093090277784</v>
      </c>
      <c r="C1418" t="s">
        <v>79</v>
      </c>
      <c r="D1418" t="s">
        <v>80</v>
      </c>
      <c r="E1418" t="s">
        <v>58</v>
      </c>
      <c r="F1418" t="s">
        <v>2396</v>
      </c>
      <c r="G1418" t="s">
        <v>2377</v>
      </c>
      <c r="H1418">
        <v>16000</v>
      </c>
      <c r="I1418">
        <v>4</v>
      </c>
      <c r="J1418">
        <v>15</v>
      </c>
      <c r="K1418">
        <v>64000</v>
      </c>
      <c r="L1418">
        <v>9600</v>
      </c>
      <c r="M1418">
        <v>54400</v>
      </c>
      <c r="N1418">
        <v>0</v>
      </c>
      <c r="O1418">
        <v>54400</v>
      </c>
      <c r="P1418" t="s">
        <v>22</v>
      </c>
      <c r="Q1418" t="s">
        <v>2357</v>
      </c>
      <c r="R1418" t="s">
        <v>30</v>
      </c>
      <c r="S1418">
        <v>1</v>
      </c>
      <c r="T1418" t="s">
        <v>24</v>
      </c>
      <c r="U1418" t="s">
        <v>2409</v>
      </c>
      <c r="V1418">
        <v>2024</v>
      </c>
      <c r="W1418">
        <v>9</v>
      </c>
    </row>
    <row r="1419" spans="1:23" x14ac:dyDescent="0.25">
      <c r="A1419" t="s">
        <v>224</v>
      </c>
      <c r="B1419">
        <v>45563.223182870373</v>
      </c>
      <c r="C1419" t="s">
        <v>225</v>
      </c>
      <c r="D1419" t="s">
        <v>189</v>
      </c>
      <c r="E1419" t="s">
        <v>88</v>
      </c>
      <c r="F1419" t="s">
        <v>2393</v>
      </c>
      <c r="G1419" t="s">
        <v>2377</v>
      </c>
      <c r="H1419">
        <v>14000</v>
      </c>
      <c r="I1419">
        <v>4</v>
      </c>
      <c r="J1419">
        <v>10</v>
      </c>
      <c r="K1419">
        <v>56000</v>
      </c>
      <c r="L1419">
        <v>5600</v>
      </c>
      <c r="M1419">
        <v>50400</v>
      </c>
      <c r="N1419">
        <v>57000</v>
      </c>
      <c r="O1419">
        <v>107400</v>
      </c>
      <c r="P1419" t="s">
        <v>22</v>
      </c>
      <c r="Q1419" t="s">
        <v>2357</v>
      </c>
      <c r="R1419" t="s">
        <v>46</v>
      </c>
      <c r="S1419">
        <v>4</v>
      </c>
      <c r="T1419" t="s">
        <v>37</v>
      </c>
      <c r="U1419" t="s">
        <v>2409</v>
      </c>
      <c r="V1419">
        <v>2024</v>
      </c>
      <c r="W1419">
        <v>9</v>
      </c>
    </row>
    <row r="1420" spans="1:23" x14ac:dyDescent="0.25">
      <c r="A1420" t="s">
        <v>226</v>
      </c>
      <c r="B1420">
        <v>45563.252222222232</v>
      </c>
      <c r="C1420" t="s">
        <v>227</v>
      </c>
      <c r="D1420" t="s">
        <v>70</v>
      </c>
      <c r="E1420" t="s">
        <v>41</v>
      </c>
      <c r="F1420" t="s">
        <v>2395</v>
      </c>
      <c r="G1420" t="s">
        <v>2377</v>
      </c>
      <c r="H1420">
        <v>4000</v>
      </c>
      <c r="I1420">
        <v>3</v>
      </c>
      <c r="J1420">
        <v>10</v>
      </c>
      <c r="K1420">
        <v>12000</v>
      </c>
      <c r="L1420">
        <v>1200</v>
      </c>
      <c r="M1420">
        <v>10800</v>
      </c>
      <c r="N1420">
        <v>89000</v>
      </c>
      <c r="O1420">
        <v>99800</v>
      </c>
      <c r="P1420" t="s">
        <v>35</v>
      </c>
      <c r="Q1420" t="s">
        <v>2356</v>
      </c>
      <c r="R1420" t="s">
        <v>30</v>
      </c>
      <c r="S1420">
        <v>4</v>
      </c>
      <c r="T1420" t="s">
        <v>24</v>
      </c>
      <c r="U1420" t="s">
        <v>2409</v>
      </c>
      <c r="V1420">
        <v>2024</v>
      </c>
      <c r="W1420">
        <v>9</v>
      </c>
    </row>
    <row r="1421" spans="1:23" x14ac:dyDescent="0.25">
      <c r="A1421" t="s">
        <v>228</v>
      </c>
      <c r="B1421">
        <v>45563.307650462957</v>
      </c>
      <c r="C1421" t="s">
        <v>229</v>
      </c>
      <c r="D1421" t="s">
        <v>195</v>
      </c>
      <c r="E1421" t="s">
        <v>174</v>
      </c>
      <c r="F1421" t="s">
        <v>2400</v>
      </c>
      <c r="G1421" t="s">
        <v>2377</v>
      </c>
      <c r="H1421">
        <v>10000</v>
      </c>
      <c r="I1421">
        <v>3</v>
      </c>
      <c r="J1421">
        <v>5</v>
      </c>
      <c r="K1421">
        <v>30000</v>
      </c>
      <c r="L1421">
        <v>1500</v>
      </c>
      <c r="M1421">
        <v>28500</v>
      </c>
      <c r="N1421">
        <v>87000</v>
      </c>
      <c r="O1421">
        <v>115500</v>
      </c>
      <c r="P1421" t="s">
        <v>35</v>
      </c>
      <c r="Q1421" t="s">
        <v>2359</v>
      </c>
      <c r="R1421" t="s">
        <v>30</v>
      </c>
      <c r="S1421">
        <v>2</v>
      </c>
      <c r="T1421" t="s">
        <v>24</v>
      </c>
      <c r="U1421" t="s">
        <v>2409</v>
      </c>
      <c r="V1421">
        <v>2024</v>
      </c>
      <c r="W1421">
        <v>9</v>
      </c>
    </row>
    <row r="1422" spans="1:23" x14ac:dyDescent="0.25">
      <c r="A1422" t="s">
        <v>230</v>
      </c>
      <c r="B1422">
        <v>45563.360196759262</v>
      </c>
      <c r="C1422" t="s">
        <v>231</v>
      </c>
      <c r="D1422" t="s">
        <v>66</v>
      </c>
      <c r="E1422" t="s">
        <v>138</v>
      </c>
      <c r="F1422" t="s">
        <v>2396</v>
      </c>
      <c r="G1422" t="s">
        <v>2378</v>
      </c>
      <c r="H1422">
        <v>17000</v>
      </c>
      <c r="I1422">
        <v>4</v>
      </c>
      <c r="J1422">
        <v>5</v>
      </c>
      <c r="K1422">
        <v>68000</v>
      </c>
      <c r="L1422">
        <v>3400</v>
      </c>
      <c r="M1422">
        <v>64600</v>
      </c>
      <c r="N1422">
        <v>59000</v>
      </c>
      <c r="O1422">
        <v>123600</v>
      </c>
      <c r="P1422" t="s">
        <v>29</v>
      </c>
      <c r="Q1422" t="s">
        <v>2357</v>
      </c>
      <c r="R1422" t="s">
        <v>36</v>
      </c>
      <c r="S1422">
        <v>1</v>
      </c>
      <c r="T1422" t="s">
        <v>24</v>
      </c>
      <c r="U1422" t="s">
        <v>2409</v>
      </c>
      <c r="V1422">
        <v>2024</v>
      </c>
      <c r="W1422">
        <v>9</v>
      </c>
    </row>
    <row r="1423" spans="1:23" x14ac:dyDescent="0.25">
      <c r="A1423" t="s">
        <v>232</v>
      </c>
      <c r="B1423">
        <v>45563.714907407397</v>
      </c>
      <c r="C1423" t="s">
        <v>233</v>
      </c>
      <c r="D1423" t="s">
        <v>113</v>
      </c>
      <c r="E1423" t="s">
        <v>41</v>
      </c>
      <c r="F1423" t="s">
        <v>2395</v>
      </c>
      <c r="G1423" t="s">
        <v>2377</v>
      </c>
      <c r="H1423">
        <v>4000</v>
      </c>
      <c r="I1423">
        <v>4</v>
      </c>
      <c r="J1423">
        <v>15</v>
      </c>
      <c r="K1423">
        <v>16000</v>
      </c>
      <c r="L1423">
        <v>2400</v>
      </c>
      <c r="M1423">
        <v>13600</v>
      </c>
      <c r="N1423">
        <v>18000</v>
      </c>
      <c r="O1423">
        <v>31600</v>
      </c>
      <c r="P1423" t="s">
        <v>29</v>
      </c>
      <c r="Q1423" t="s">
        <v>2357</v>
      </c>
      <c r="R1423" t="s">
        <v>36</v>
      </c>
      <c r="S1423">
        <v>1</v>
      </c>
      <c r="T1423" t="s">
        <v>37</v>
      </c>
      <c r="U1423" t="s">
        <v>2409</v>
      </c>
      <c r="V1423">
        <v>2024</v>
      </c>
      <c r="W1423">
        <v>9</v>
      </c>
    </row>
    <row r="1424" spans="1:23" x14ac:dyDescent="0.25">
      <c r="A1424" t="s">
        <v>234</v>
      </c>
      <c r="B1424">
        <v>45564.279097222221</v>
      </c>
      <c r="C1424" t="s">
        <v>235</v>
      </c>
      <c r="D1424" t="s">
        <v>189</v>
      </c>
      <c r="E1424" t="s">
        <v>75</v>
      </c>
      <c r="F1424" t="s">
        <v>2398</v>
      </c>
      <c r="G1424" t="s">
        <v>2379</v>
      </c>
      <c r="H1424">
        <v>55000</v>
      </c>
      <c r="I1424">
        <v>4</v>
      </c>
      <c r="J1424">
        <v>0</v>
      </c>
      <c r="K1424">
        <v>220000</v>
      </c>
      <c r="L1424">
        <v>0</v>
      </c>
      <c r="M1424">
        <v>220000</v>
      </c>
      <c r="N1424">
        <v>57000</v>
      </c>
      <c r="O1424">
        <v>277000</v>
      </c>
      <c r="P1424" t="s">
        <v>35</v>
      </c>
      <c r="Q1424" t="s">
        <v>2357</v>
      </c>
      <c r="R1424" t="s">
        <v>36</v>
      </c>
      <c r="S1424">
        <v>4</v>
      </c>
      <c r="T1424" t="s">
        <v>37</v>
      </c>
      <c r="U1424" t="s">
        <v>2409</v>
      </c>
      <c r="V1424">
        <v>2024</v>
      </c>
      <c r="W1424">
        <v>9</v>
      </c>
    </row>
    <row r="1425" spans="1:23" x14ac:dyDescent="0.25">
      <c r="A1425" t="s">
        <v>236</v>
      </c>
      <c r="B1425">
        <v>45564.352638888893</v>
      </c>
      <c r="C1425" t="s">
        <v>237</v>
      </c>
      <c r="D1425" t="s">
        <v>238</v>
      </c>
      <c r="E1425" t="s">
        <v>93</v>
      </c>
      <c r="F1425" t="s">
        <v>2399</v>
      </c>
      <c r="G1425" t="s">
        <v>2378</v>
      </c>
      <c r="H1425">
        <v>25000</v>
      </c>
      <c r="I1425">
        <v>2</v>
      </c>
      <c r="J1425">
        <v>15</v>
      </c>
      <c r="K1425">
        <v>50000</v>
      </c>
      <c r="L1425">
        <v>7500</v>
      </c>
      <c r="M1425">
        <v>42500</v>
      </c>
      <c r="N1425">
        <v>28000</v>
      </c>
      <c r="O1425">
        <v>70500</v>
      </c>
      <c r="P1425" t="s">
        <v>29</v>
      </c>
      <c r="Q1425" t="s">
        <v>2357</v>
      </c>
      <c r="R1425" t="s">
        <v>82</v>
      </c>
      <c r="S1425">
        <v>3</v>
      </c>
      <c r="T1425" t="s">
        <v>24</v>
      </c>
      <c r="U1425" t="s">
        <v>2409</v>
      </c>
      <c r="V1425">
        <v>2024</v>
      </c>
      <c r="W1425">
        <v>9</v>
      </c>
    </row>
    <row r="1426" spans="1:23" x14ac:dyDescent="0.25">
      <c r="A1426" t="s">
        <v>239</v>
      </c>
      <c r="B1426">
        <v>45564.403865740736</v>
      </c>
      <c r="C1426" t="s">
        <v>240</v>
      </c>
      <c r="D1426" t="s">
        <v>189</v>
      </c>
      <c r="E1426" t="s">
        <v>110</v>
      </c>
      <c r="F1426" t="s">
        <v>2395</v>
      </c>
      <c r="G1426" t="s">
        <v>2379</v>
      </c>
      <c r="H1426">
        <v>6000</v>
      </c>
      <c r="I1426">
        <v>5</v>
      </c>
      <c r="J1426">
        <v>20</v>
      </c>
      <c r="K1426">
        <v>30000</v>
      </c>
      <c r="L1426">
        <v>6000</v>
      </c>
      <c r="M1426">
        <v>24000</v>
      </c>
      <c r="N1426">
        <v>57000</v>
      </c>
      <c r="O1426">
        <v>81000</v>
      </c>
      <c r="P1426" t="s">
        <v>35</v>
      </c>
      <c r="Q1426" t="s">
        <v>2357</v>
      </c>
      <c r="R1426" t="s">
        <v>23</v>
      </c>
      <c r="S1426">
        <v>5</v>
      </c>
      <c r="T1426" t="s">
        <v>37</v>
      </c>
      <c r="U1426" t="s">
        <v>2409</v>
      </c>
      <c r="V1426">
        <v>2024</v>
      </c>
      <c r="W1426">
        <v>9</v>
      </c>
    </row>
    <row r="1427" spans="1:23" x14ac:dyDescent="0.25">
      <c r="A1427" t="s">
        <v>241</v>
      </c>
      <c r="B1427">
        <v>45564.440324074072</v>
      </c>
      <c r="C1427" t="s">
        <v>146</v>
      </c>
      <c r="D1427" t="s">
        <v>92</v>
      </c>
      <c r="E1427" t="s">
        <v>21</v>
      </c>
      <c r="F1427" t="s">
        <v>2394</v>
      </c>
      <c r="G1427" t="s">
        <v>2379</v>
      </c>
      <c r="H1427">
        <v>45000</v>
      </c>
      <c r="I1427">
        <v>2</v>
      </c>
      <c r="J1427">
        <v>15</v>
      </c>
      <c r="K1427">
        <v>90000</v>
      </c>
      <c r="L1427">
        <v>13500</v>
      </c>
      <c r="M1427">
        <v>76500</v>
      </c>
      <c r="N1427">
        <v>30000</v>
      </c>
      <c r="O1427">
        <v>106500</v>
      </c>
      <c r="P1427" t="s">
        <v>22</v>
      </c>
      <c r="Q1427" t="s">
        <v>2359</v>
      </c>
      <c r="R1427" t="s">
        <v>36</v>
      </c>
      <c r="S1427">
        <v>5</v>
      </c>
      <c r="T1427" t="s">
        <v>37</v>
      </c>
      <c r="U1427" t="s">
        <v>2409</v>
      </c>
      <c r="V1427">
        <v>2024</v>
      </c>
      <c r="W1427">
        <v>9</v>
      </c>
    </row>
    <row r="1428" spans="1:23" x14ac:dyDescent="0.25">
      <c r="A1428" t="s">
        <v>242</v>
      </c>
      <c r="B1428">
        <v>45564.51357638889</v>
      </c>
      <c r="C1428" t="s">
        <v>243</v>
      </c>
      <c r="D1428" t="s">
        <v>244</v>
      </c>
      <c r="E1428" t="s">
        <v>190</v>
      </c>
      <c r="F1428" t="s">
        <v>2392</v>
      </c>
      <c r="G1428" t="s">
        <v>2378</v>
      </c>
      <c r="H1428">
        <v>35000</v>
      </c>
      <c r="I1428">
        <v>1</v>
      </c>
      <c r="J1428">
        <v>15</v>
      </c>
      <c r="K1428">
        <v>35000</v>
      </c>
      <c r="L1428">
        <v>5250</v>
      </c>
      <c r="M1428">
        <v>29750</v>
      </c>
      <c r="N1428">
        <v>80000</v>
      </c>
      <c r="O1428">
        <v>109750</v>
      </c>
      <c r="P1428" t="s">
        <v>63</v>
      </c>
      <c r="Q1428" t="s">
        <v>2357</v>
      </c>
      <c r="R1428" t="s">
        <v>36</v>
      </c>
      <c r="S1428">
        <v>5</v>
      </c>
      <c r="T1428" t="s">
        <v>37</v>
      </c>
      <c r="U1428" t="s">
        <v>2409</v>
      </c>
      <c r="V1428">
        <v>2024</v>
      </c>
      <c r="W1428">
        <v>9</v>
      </c>
    </row>
    <row r="1429" spans="1:23" x14ac:dyDescent="0.25">
      <c r="A1429" t="s">
        <v>245</v>
      </c>
      <c r="B1429">
        <v>45564.906493055547</v>
      </c>
      <c r="C1429" t="s">
        <v>246</v>
      </c>
      <c r="D1429" t="s">
        <v>238</v>
      </c>
      <c r="E1429" t="s">
        <v>88</v>
      </c>
      <c r="F1429" t="s">
        <v>2393</v>
      </c>
      <c r="G1429" t="s">
        <v>2377</v>
      </c>
      <c r="H1429">
        <v>14000</v>
      </c>
      <c r="I1429">
        <v>5</v>
      </c>
      <c r="J1429">
        <v>5</v>
      </c>
      <c r="K1429">
        <v>70000</v>
      </c>
      <c r="L1429">
        <v>3500</v>
      </c>
      <c r="M1429">
        <v>66500</v>
      </c>
      <c r="N1429">
        <v>28000</v>
      </c>
      <c r="O1429">
        <v>94500</v>
      </c>
      <c r="P1429" t="s">
        <v>63</v>
      </c>
      <c r="Q1429" t="s">
        <v>2357</v>
      </c>
      <c r="R1429" t="s">
        <v>46</v>
      </c>
      <c r="S1429">
        <v>3</v>
      </c>
      <c r="T1429" t="s">
        <v>24</v>
      </c>
      <c r="U1429" t="s">
        <v>2409</v>
      </c>
      <c r="V1429">
        <v>2024</v>
      </c>
      <c r="W1429">
        <v>9</v>
      </c>
    </row>
    <row r="1430" spans="1:23" x14ac:dyDescent="0.25">
      <c r="A1430" t="s">
        <v>247</v>
      </c>
      <c r="B1430">
        <v>45565.106886574067</v>
      </c>
      <c r="C1430" t="s">
        <v>240</v>
      </c>
      <c r="D1430" t="s">
        <v>189</v>
      </c>
      <c r="E1430" t="s">
        <v>88</v>
      </c>
      <c r="F1430" t="s">
        <v>2393</v>
      </c>
      <c r="G1430" t="s">
        <v>2377</v>
      </c>
      <c r="H1430">
        <v>14000</v>
      </c>
      <c r="I1430">
        <v>5</v>
      </c>
      <c r="J1430">
        <v>20</v>
      </c>
      <c r="K1430">
        <v>70000</v>
      </c>
      <c r="L1430">
        <v>14000</v>
      </c>
      <c r="M1430">
        <v>56000</v>
      </c>
      <c r="N1430">
        <v>57000</v>
      </c>
      <c r="O1430">
        <v>113000</v>
      </c>
      <c r="P1430" t="s">
        <v>35</v>
      </c>
      <c r="Q1430" t="s">
        <v>2357</v>
      </c>
      <c r="R1430" t="s">
        <v>30</v>
      </c>
      <c r="S1430">
        <v>1</v>
      </c>
      <c r="T1430" t="s">
        <v>37</v>
      </c>
      <c r="U1430" t="s">
        <v>2409</v>
      </c>
      <c r="V1430">
        <v>2024</v>
      </c>
      <c r="W1430">
        <v>9</v>
      </c>
    </row>
    <row r="1431" spans="1:23" x14ac:dyDescent="0.25">
      <c r="A1431" t="s">
        <v>248</v>
      </c>
      <c r="B1431">
        <v>45565.178935185177</v>
      </c>
      <c r="C1431" t="s">
        <v>249</v>
      </c>
      <c r="D1431" t="s">
        <v>49</v>
      </c>
      <c r="E1431" t="s">
        <v>250</v>
      </c>
      <c r="F1431" t="s">
        <v>2397</v>
      </c>
      <c r="G1431" t="s">
        <v>2379</v>
      </c>
      <c r="H1431">
        <v>18000</v>
      </c>
      <c r="I1431">
        <v>1</v>
      </c>
      <c r="J1431">
        <v>5</v>
      </c>
      <c r="K1431">
        <v>18000</v>
      </c>
      <c r="L1431">
        <v>900</v>
      </c>
      <c r="M1431">
        <v>17100</v>
      </c>
      <c r="N1431">
        <v>43000</v>
      </c>
      <c r="O1431">
        <v>60100</v>
      </c>
      <c r="P1431" t="s">
        <v>63</v>
      </c>
      <c r="Q1431" t="s">
        <v>2357</v>
      </c>
      <c r="R1431" t="s">
        <v>30</v>
      </c>
      <c r="S1431">
        <v>4</v>
      </c>
      <c r="T1431" t="s">
        <v>24</v>
      </c>
      <c r="U1431" t="s">
        <v>2409</v>
      </c>
      <c r="V1431">
        <v>2024</v>
      </c>
      <c r="W1431">
        <v>9</v>
      </c>
    </row>
    <row r="1432" spans="1:23" x14ac:dyDescent="0.25">
      <c r="A1432" t="s">
        <v>251</v>
      </c>
      <c r="B1432">
        <v>45565.258020833331</v>
      </c>
      <c r="C1432" t="s">
        <v>252</v>
      </c>
      <c r="D1432" t="s">
        <v>131</v>
      </c>
      <c r="E1432" t="s">
        <v>88</v>
      </c>
      <c r="F1432" t="s">
        <v>2393</v>
      </c>
      <c r="G1432" t="s">
        <v>2377</v>
      </c>
      <c r="H1432">
        <v>14000</v>
      </c>
      <c r="I1432">
        <v>3</v>
      </c>
      <c r="J1432">
        <v>15</v>
      </c>
      <c r="K1432">
        <v>42000</v>
      </c>
      <c r="L1432">
        <v>6300</v>
      </c>
      <c r="M1432">
        <v>35700</v>
      </c>
      <c r="N1432">
        <v>59000</v>
      </c>
      <c r="O1432">
        <v>94700</v>
      </c>
      <c r="P1432" t="s">
        <v>29</v>
      </c>
      <c r="Q1432" t="s">
        <v>2356</v>
      </c>
      <c r="R1432" t="s">
        <v>36</v>
      </c>
      <c r="S1432">
        <v>2</v>
      </c>
      <c r="T1432" t="s">
        <v>24</v>
      </c>
      <c r="U1432" t="s">
        <v>2409</v>
      </c>
      <c r="V1432">
        <v>2024</v>
      </c>
      <c r="W1432">
        <v>9</v>
      </c>
    </row>
    <row r="1433" spans="1:23" x14ac:dyDescent="0.25">
      <c r="A1433" t="s">
        <v>251</v>
      </c>
      <c r="B1433">
        <v>45565.258020833331</v>
      </c>
      <c r="C1433" t="s">
        <v>252</v>
      </c>
      <c r="D1433" t="s">
        <v>131</v>
      </c>
      <c r="E1433" t="s">
        <v>41</v>
      </c>
      <c r="F1433" t="s">
        <v>2395</v>
      </c>
      <c r="G1433" t="s">
        <v>2377</v>
      </c>
      <c r="H1433">
        <v>4000</v>
      </c>
      <c r="I1433">
        <v>2</v>
      </c>
      <c r="J1433">
        <v>15</v>
      </c>
      <c r="K1433">
        <v>8000</v>
      </c>
      <c r="L1433">
        <v>1200</v>
      </c>
      <c r="M1433">
        <v>6800</v>
      </c>
      <c r="N1433">
        <v>0</v>
      </c>
      <c r="O1433">
        <v>6800</v>
      </c>
      <c r="P1433" t="s">
        <v>29</v>
      </c>
      <c r="Q1433" t="s">
        <v>2356</v>
      </c>
      <c r="R1433" t="s">
        <v>36</v>
      </c>
      <c r="S1433">
        <v>2</v>
      </c>
      <c r="T1433" t="s">
        <v>24</v>
      </c>
      <c r="U1433" t="s">
        <v>2409</v>
      </c>
      <c r="V1433">
        <v>2024</v>
      </c>
      <c r="W1433">
        <v>9</v>
      </c>
    </row>
    <row r="1434" spans="1:23" x14ac:dyDescent="0.25">
      <c r="A1434" t="s">
        <v>253</v>
      </c>
      <c r="B1434">
        <v>45565.288680555554</v>
      </c>
      <c r="C1434" t="s">
        <v>254</v>
      </c>
      <c r="D1434" t="s">
        <v>61</v>
      </c>
      <c r="E1434" t="s">
        <v>38</v>
      </c>
      <c r="F1434" t="s">
        <v>2399</v>
      </c>
      <c r="G1434" t="s">
        <v>2379</v>
      </c>
      <c r="H1434">
        <v>28000</v>
      </c>
      <c r="I1434">
        <v>3</v>
      </c>
      <c r="J1434">
        <v>20</v>
      </c>
      <c r="K1434">
        <v>84000</v>
      </c>
      <c r="L1434">
        <v>16800</v>
      </c>
      <c r="M1434">
        <v>67200</v>
      </c>
      <c r="N1434">
        <v>26000</v>
      </c>
      <c r="O1434">
        <v>93200</v>
      </c>
      <c r="P1434" t="s">
        <v>35</v>
      </c>
      <c r="Q1434" t="s">
        <v>2357</v>
      </c>
      <c r="R1434" t="s">
        <v>46</v>
      </c>
      <c r="S1434">
        <v>1</v>
      </c>
      <c r="T1434" t="s">
        <v>24</v>
      </c>
      <c r="U1434" t="s">
        <v>2409</v>
      </c>
      <c r="V1434">
        <v>2024</v>
      </c>
      <c r="W1434">
        <v>9</v>
      </c>
    </row>
    <row r="1435" spans="1:23" x14ac:dyDescent="0.25">
      <c r="A1435" t="s">
        <v>255</v>
      </c>
      <c r="B1435">
        <v>45565.642199074071</v>
      </c>
      <c r="C1435" t="s">
        <v>256</v>
      </c>
      <c r="D1435" t="s">
        <v>107</v>
      </c>
      <c r="E1435" t="s">
        <v>54</v>
      </c>
      <c r="F1435" t="s">
        <v>2393</v>
      </c>
      <c r="G1435" t="s">
        <v>2379</v>
      </c>
      <c r="H1435">
        <v>16000</v>
      </c>
      <c r="I1435">
        <v>4</v>
      </c>
      <c r="J1435">
        <v>20</v>
      </c>
      <c r="K1435">
        <v>64000</v>
      </c>
      <c r="L1435">
        <v>12800</v>
      </c>
      <c r="M1435">
        <v>51200</v>
      </c>
      <c r="N1435">
        <v>97000</v>
      </c>
      <c r="O1435">
        <v>148200</v>
      </c>
      <c r="P1435" t="s">
        <v>29</v>
      </c>
      <c r="Q1435" t="s">
        <v>2357</v>
      </c>
      <c r="R1435" t="s">
        <v>30</v>
      </c>
      <c r="S1435">
        <v>2</v>
      </c>
      <c r="T1435" t="s">
        <v>24</v>
      </c>
      <c r="U1435" t="s">
        <v>2409</v>
      </c>
      <c r="V1435">
        <v>2024</v>
      </c>
      <c r="W1435">
        <v>9</v>
      </c>
    </row>
    <row r="1436" spans="1:23" x14ac:dyDescent="0.25">
      <c r="A1436" t="s">
        <v>257</v>
      </c>
      <c r="B1436">
        <v>45565.775868055563</v>
      </c>
      <c r="C1436" t="s">
        <v>258</v>
      </c>
      <c r="D1436" t="s">
        <v>44</v>
      </c>
      <c r="E1436" t="s">
        <v>93</v>
      </c>
      <c r="F1436" t="s">
        <v>2399</v>
      </c>
      <c r="G1436" t="s">
        <v>2378</v>
      </c>
      <c r="H1436">
        <v>25000</v>
      </c>
      <c r="I1436">
        <v>2</v>
      </c>
      <c r="J1436">
        <v>5</v>
      </c>
      <c r="K1436">
        <v>50000</v>
      </c>
      <c r="L1436">
        <v>2500</v>
      </c>
      <c r="M1436">
        <v>47500</v>
      </c>
      <c r="N1436">
        <v>93000</v>
      </c>
      <c r="O1436">
        <v>140500</v>
      </c>
      <c r="P1436" t="s">
        <v>29</v>
      </c>
      <c r="Q1436" t="s">
        <v>2357</v>
      </c>
      <c r="R1436" t="s">
        <v>36</v>
      </c>
      <c r="S1436">
        <v>3</v>
      </c>
      <c r="T1436" t="s">
        <v>24</v>
      </c>
      <c r="U1436" t="s">
        <v>2409</v>
      </c>
      <c r="V1436">
        <v>2024</v>
      </c>
      <c r="W1436">
        <v>9</v>
      </c>
    </row>
    <row r="1437" spans="1:23" x14ac:dyDescent="0.25">
      <c r="A1437" t="s">
        <v>259</v>
      </c>
      <c r="B1437">
        <v>45565.845833333333</v>
      </c>
      <c r="C1437" t="s">
        <v>240</v>
      </c>
      <c r="D1437" t="s">
        <v>189</v>
      </c>
      <c r="E1437" t="s">
        <v>45</v>
      </c>
      <c r="F1437" t="s">
        <v>2394</v>
      </c>
      <c r="G1437" t="s">
        <v>2378</v>
      </c>
      <c r="H1437">
        <v>40000</v>
      </c>
      <c r="I1437">
        <v>4</v>
      </c>
      <c r="J1437">
        <v>10</v>
      </c>
      <c r="K1437">
        <v>160000</v>
      </c>
      <c r="L1437">
        <v>16000</v>
      </c>
      <c r="M1437">
        <v>144000</v>
      </c>
      <c r="N1437">
        <v>57000</v>
      </c>
      <c r="O1437">
        <v>201000</v>
      </c>
      <c r="P1437" t="s">
        <v>22</v>
      </c>
      <c r="Q1437" t="s">
        <v>2357</v>
      </c>
      <c r="R1437" t="s">
        <v>46</v>
      </c>
      <c r="S1437">
        <v>1</v>
      </c>
      <c r="T1437" t="s">
        <v>37</v>
      </c>
      <c r="U1437" t="s">
        <v>2409</v>
      </c>
      <c r="V1437">
        <v>2024</v>
      </c>
      <c r="W1437">
        <v>9</v>
      </c>
    </row>
    <row r="1438" spans="1:23" x14ac:dyDescent="0.25">
      <c r="A1438" t="s">
        <v>260</v>
      </c>
      <c r="B1438">
        <v>45565.901932870373</v>
      </c>
      <c r="C1438" t="s">
        <v>261</v>
      </c>
      <c r="D1438" t="s">
        <v>262</v>
      </c>
      <c r="E1438" t="s">
        <v>93</v>
      </c>
      <c r="F1438" t="s">
        <v>2399</v>
      </c>
      <c r="G1438" t="s">
        <v>2378</v>
      </c>
      <c r="H1438">
        <v>25000</v>
      </c>
      <c r="I1438">
        <v>5</v>
      </c>
      <c r="J1438">
        <v>5</v>
      </c>
      <c r="K1438">
        <v>125000</v>
      </c>
      <c r="L1438">
        <v>6250</v>
      </c>
      <c r="M1438">
        <v>118750</v>
      </c>
      <c r="N1438">
        <v>18000</v>
      </c>
      <c r="O1438">
        <v>136750</v>
      </c>
      <c r="P1438" t="s">
        <v>35</v>
      </c>
      <c r="Q1438" t="s">
        <v>2357</v>
      </c>
      <c r="R1438" t="s">
        <v>30</v>
      </c>
      <c r="S1438">
        <v>3</v>
      </c>
      <c r="T1438" t="s">
        <v>24</v>
      </c>
      <c r="U1438" t="s">
        <v>2409</v>
      </c>
      <c r="V1438">
        <v>2024</v>
      </c>
      <c r="W1438">
        <v>9</v>
      </c>
    </row>
    <row r="1439" spans="1:23" x14ac:dyDescent="0.25">
      <c r="A1439" t="s">
        <v>263</v>
      </c>
      <c r="B1439">
        <v>45565.920231481483</v>
      </c>
      <c r="C1439" t="s">
        <v>181</v>
      </c>
      <c r="D1439" t="s">
        <v>182</v>
      </c>
      <c r="E1439" t="s">
        <v>71</v>
      </c>
      <c r="F1439" t="s">
        <v>2392</v>
      </c>
      <c r="G1439" t="s">
        <v>2379</v>
      </c>
      <c r="H1439">
        <v>40000</v>
      </c>
      <c r="I1439">
        <v>5</v>
      </c>
      <c r="J1439">
        <v>5</v>
      </c>
      <c r="K1439">
        <v>200000</v>
      </c>
      <c r="L1439">
        <v>10000</v>
      </c>
      <c r="M1439">
        <v>190000</v>
      </c>
      <c r="N1439">
        <v>48000</v>
      </c>
      <c r="O1439">
        <v>238000</v>
      </c>
      <c r="P1439" t="s">
        <v>22</v>
      </c>
      <c r="Q1439" t="s">
        <v>2357</v>
      </c>
      <c r="R1439" t="s">
        <v>46</v>
      </c>
      <c r="S1439">
        <v>4</v>
      </c>
      <c r="T1439" t="s">
        <v>24</v>
      </c>
      <c r="U1439" t="s">
        <v>2409</v>
      </c>
      <c r="V1439">
        <v>2024</v>
      </c>
      <c r="W1439">
        <v>9</v>
      </c>
    </row>
    <row r="1440" spans="1:23" x14ac:dyDescent="0.25">
      <c r="A1440" t="s">
        <v>2273</v>
      </c>
      <c r="B1440">
        <v>45901.082326388889</v>
      </c>
      <c r="C1440" t="s">
        <v>711</v>
      </c>
      <c r="D1440" t="s">
        <v>177</v>
      </c>
      <c r="E1440" t="s">
        <v>45</v>
      </c>
      <c r="F1440" t="s">
        <v>2394</v>
      </c>
      <c r="G1440" t="s">
        <v>2378</v>
      </c>
      <c r="H1440">
        <v>40000</v>
      </c>
      <c r="I1440">
        <v>2</v>
      </c>
      <c r="J1440">
        <v>15</v>
      </c>
      <c r="K1440">
        <v>80000</v>
      </c>
      <c r="L1440">
        <v>12000</v>
      </c>
      <c r="M1440">
        <v>68000</v>
      </c>
      <c r="N1440">
        <v>56000</v>
      </c>
      <c r="O1440">
        <v>124000</v>
      </c>
      <c r="P1440" t="s">
        <v>35</v>
      </c>
      <c r="Q1440" t="s">
        <v>2360</v>
      </c>
      <c r="R1440" t="s">
        <v>23</v>
      </c>
      <c r="S1440">
        <v>5</v>
      </c>
      <c r="T1440" t="s">
        <v>24</v>
      </c>
      <c r="U1440" t="s">
        <v>2409</v>
      </c>
      <c r="V1440">
        <v>2025</v>
      </c>
      <c r="W1440">
        <v>9</v>
      </c>
    </row>
    <row r="1441" spans="1:23" x14ac:dyDescent="0.25">
      <c r="A1441" t="s">
        <v>2274</v>
      </c>
      <c r="B1441">
        <v>45901.183159722219</v>
      </c>
      <c r="C1441" t="s">
        <v>547</v>
      </c>
      <c r="D1441" t="s">
        <v>119</v>
      </c>
      <c r="E1441" t="s">
        <v>58</v>
      </c>
      <c r="F1441" t="s">
        <v>2396</v>
      </c>
      <c r="G1441" t="s">
        <v>2377</v>
      </c>
      <c r="H1441">
        <v>16000</v>
      </c>
      <c r="I1441">
        <v>3</v>
      </c>
      <c r="J1441">
        <v>0</v>
      </c>
      <c r="K1441">
        <v>48000</v>
      </c>
      <c r="L1441">
        <v>0</v>
      </c>
      <c r="M1441">
        <v>48000</v>
      </c>
      <c r="N1441">
        <v>0</v>
      </c>
      <c r="O1441">
        <v>48000</v>
      </c>
      <c r="P1441" t="s">
        <v>29</v>
      </c>
      <c r="Q1441" t="s">
        <v>2358</v>
      </c>
      <c r="R1441" t="s">
        <v>82</v>
      </c>
      <c r="S1441">
        <v>3</v>
      </c>
      <c r="T1441" t="s">
        <v>37</v>
      </c>
      <c r="U1441" t="s">
        <v>2409</v>
      </c>
      <c r="V1441">
        <v>2025</v>
      </c>
      <c r="W1441">
        <v>9</v>
      </c>
    </row>
    <row r="1442" spans="1:23" x14ac:dyDescent="0.25">
      <c r="A1442" t="s">
        <v>2275</v>
      </c>
      <c r="B1442">
        <v>45901.198425925933</v>
      </c>
      <c r="C1442" t="s">
        <v>459</v>
      </c>
      <c r="D1442" t="s">
        <v>61</v>
      </c>
      <c r="E1442" t="s">
        <v>93</v>
      </c>
      <c r="F1442" t="s">
        <v>2399</v>
      </c>
      <c r="G1442" t="s">
        <v>2378</v>
      </c>
      <c r="H1442">
        <v>25000</v>
      </c>
      <c r="I1442">
        <v>2</v>
      </c>
      <c r="J1442">
        <v>10</v>
      </c>
      <c r="K1442">
        <v>50000</v>
      </c>
      <c r="L1442">
        <v>5000</v>
      </c>
      <c r="M1442">
        <v>45000</v>
      </c>
      <c r="N1442">
        <v>26000</v>
      </c>
      <c r="O1442">
        <v>71000</v>
      </c>
      <c r="P1442" t="s">
        <v>63</v>
      </c>
      <c r="Q1442" t="s">
        <v>2356</v>
      </c>
      <c r="R1442" t="s">
        <v>46</v>
      </c>
      <c r="S1442">
        <v>4</v>
      </c>
      <c r="T1442" t="s">
        <v>24</v>
      </c>
      <c r="U1442" t="s">
        <v>2409</v>
      </c>
      <c r="V1442">
        <v>2025</v>
      </c>
      <c r="W1442">
        <v>9</v>
      </c>
    </row>
    <row r="1443" spans="1:23" x14ac:dyDescent="0.25">
      <c r="A1443" t="s">
        <v>2276</v>
      </c>
      <c r="B1443">
        <v>45901.202060185176</v>
      </c>
      <c r="C1443" t="s">
        <v>159</v>
      </c>
      <c r="D1443" t="s">
        <v>160</v>
      </c>
      <c r="E1443" t="s">
        <v>67</v>
      </c>
      <c r="F1443" t="s">
        <v>2393</v>
      </c>
      <c r="G1443" t="s">
        <v>2378</v>
      </c>
      <c r="H1443">
        <v>15000</v>
      </c>
      <c r="I1443">
        <v>3</v>
      </c>
      <c r="J1443">
        <v>15</v>
      </c>
      <c r="K1443">
        <v>45000</v>
      </c>
      <c r="L1443">
        <v>6750</v>
      </c>
      <c r="M1443">
        <v>38250</v>
      </c>
      <c r="N1443">
        <v>68000</v>
      </c>
      <c r="O1443">
        <v>106250</v>
      </c>
      <c r="P1443" t="s">
        <v>29</v>
      </c>
      <c r="Q1443" t="s">
        <v>2357</v>
      </c>
      <c r="R1443" t="s">
        <v>30</v>
      </c>
      <c r="S1443">
        <v>2</v>
      </c>
      <c r="T1443" t="s">
        <v>24</v>
      </c>
      <c r="U1443" t="s">
        <v>2409</v>
      </c>
      <c r="V1443">
        <v>2025</v>
      </c>
      <c r="W1443">
        <v>9</v>
      </c>
    </row>
    <row r="1444" spans="1:23" x14ac:dyDescent="0.25">
      <c r="A1444" t="s">
        <v>2277</v>
      </c>
      <c r="B1444">
        <v>45901.210173611107</v>
      </c>
      <c r="C1444" t="s">
        <v>150</v>
      </c>
      <c r="D1444" t="s">
        <v>151</v>
      </c>
      <c r="E1444" t="s">
        <v>62</v>
      </c>
      <c r="F1444" t="s">
        <v>2398</v>
      </c>
      <c r="G1444" t="s">
        <v>2378</v>
      </c>
      <c r="H1444">
        <v>50000</v>
      </c>
      <c r="I1444">
        <v>1</v>
      </c>
      <c r="J1444">
        <v>20</v>
      </c>
      <c r="K1444">
        <v>50000</v>
      </c>
      <c r="L1444">
        <v>10000</v>
      </c>
      <c r="M1444">
        <v>40000</v>
      </c>
      <c r="N1444">
        <v>55000</v>
      </c>
      <c r="O1444">
        <v>95000</v>
      </c>
      <c r="P1444" t="s">
        <v>35</v>
      </c>
      <c r="Q1444" t="s">
        <v>2360</v>
      </c>
      <c r="R1444" t="s">
        <v>82</v>
      </c>
      <c r="S1444">
        <v>1</v>
      </c>
      <c r="T1444" t="s">
        <v>37</v>
      </c>
      <c r="U1444" t="s">
        <v>2409</v>
      </c>
      <c r="V1444">
        <v>2025</v>
      </c>
      <c r="W1444">
        <v>9</v>
      </c>
    </row>
    <row r="1445" spans="1:23" x14ac:dyDescent="0.25">
      <c r="A1445" t="s">
        <v>2278</v>
      </c>
      <c r="B1445">
        <v>45901.214085648149</v>
      </c>
      <c r="C1445" t="s">
        <v>1146</v>
      </c>
      <c r="D1445" t="s">
        <v>116</v>
      </c>
      <c r="E1445" t="s">
        <v>58</v>
      </c>
      <c r="F1445" t="s">
        <v>2396</v>
      </c>
      <c r="G1445" t="s">
        <v>2377</v>
      </c>
      <c r="H1445">
        <v>16000</v>
      </c>
      <c r="I1445">
        <v>1</v>
      </c>
      <c r="J1445">
        <v>15</v>
      </c>
      <c r="K1445">
        <v>16000</v>
      </c>
      <c r="L1445">
        <v>2400</v>
      </c>
      <c r="M1445">
        <v>13600</v>
      </c>
      <c r="N1445">
        <v>72000</v>
      </c>
      <c r="O1445">
        <v>85600</v>
      </c>
      <c r="P1445" t="s">
        <v>35</v>
      </c>
      <c r="Q1445" t="s">
        <v>2359</v>
      </c>
      <c r="R1445" t="s">
        <v>23</v>
      </c>
      <c r="S1445">
        <v>4</v>
      </c>
      <c r="T1445" t="s">
        <v>24</v>
      </c>
      <c r="U1445" t="s">
        <v>2409</v>
      </c>
      <c r="V1445">
        <v>2025</v>
      </c>
      <c r="W1445">
        <v>9</v>
      </c>
    </row>
    <row r="1446" spans="1:23" x14ac:dyDescent="0.25">
      <c r="A1446" t="s">
        <v>2279</v>
      </c>
      <c r="B1446">
        <v>45901.378113425933</v>
      </c>
      <c r="C1446" t="s">
        <v>466</v>
      </c>
      <c r="D1446" t="s">
        <v>131</v>
      </c>
      <c r="E1446" t="s">
        <v>138</v>
      </c>
      <c r="F1446" t="s">
        <v>2396</v>
      </c>
      <c r="G1446" t="s">
        <v>2378</v>
      </c>
      <c r="H1446">
        <v>17000</v>
      </c>
      <c r="I1446">
        <v>4</v>
      </c>
      <c r="J1446">
        <v>15</v>
      </c>
      <c r="K1446">
        <v>68000</v>
      </c>
      <c r="L1446">
        <v>10200</v>
      </c>
      <c r="M1446">
        <v>57800</v>
      </c>
      <c r="N1446">
        <v>59000</v>
      </c>
      <c r="O1446">
        <v>116800</v>
      </c>
      <c r="P1446" t="s">
        <v>29</v>
      </c>
      <c r="Q1446" t="s">
        <v>2360</v>
      </c>
      <c r="R1446" t="s">
        <v>82</v>
      </c>
      <c r="S1446">
        <v>3</v>
      </c>
      <c r="T1446" t="s">
        <v>24</v>
      </c>
      <c r="U1446" t="s">
        <v>2409</v>
      </c>
      <c r="V1446">
        <v>2025</v>
      </c>
      <c r="W1446">
        <v>9</v>
      </c>
    </row>
    <row r="1447" spans="1:23" x14ac:dyDescent="0.25">
      <c r="A1447" t="s">
        <v>2280</v>
      </c>
      <c r="B1447">
        <v>45901.889374999999</v>
      </c>
      <c r="C1447" t="s">
        <v>582</v>
      </c>
      <c r="D1447" t="s">
        <v>435</v>
      </c>
      <c r="E1447" t="s">
        <v>174</v>
      </c>
      <c r="F1447" t="s">
        <v>2400</v>
      </c>
      <c r="G1447" t="s">
        <v>2377</v>
      </c>
      <c r="H1447">
        <v>10000</v>
      </c>
      <c r="I1447">
        <v>1</v>
      </c>
      <c r="J1447">
        <v>15</v>
      </c>
      <c r="K1447">
        <v>10000</v>
      </c>
      <c r="L1447">
        <v>1500</v>
      </c>
      <c r="M1447">
        <v>8500</v>
      </c>
      <c r="N1447">
        <v>67000</v>
      </c>
      <c r="O1447">
        <v>75500</v>
      </c>
      <c r="P1447" t="s">
        <v>29</v>
      </c>
      <c r="Q1447" t="s">
        <v>2359</v>
      </c>
      <c r="R1447" t="s">
        <v>82</v>
      </c>
      <c r="S1447">
        <v>3</v>
      </c>
      <c r="T1447" t="s">
        <v>24</v>
      </c>
      <c r="U1447" t="s">
        <v>2409</v>
      </c>
      <c r="V1447">
        <v>2025</v>
      </c>
      <c r="W1447">
        <v>9</v>
      </c>
    </row>
    <row r="1448" spans="1:23" x14ac:dyDescent="0.25">
      <c r="A1448" t="s">
        <v>2281</v>
      </c>
      <c r="B1448">
        <v>45901.962511574071</v>
      </c>
      <c r="C1448" t="s">
        <v>287</v>
      </c>
      <c r="D1448" t="s">
        <v>262</v>
      </c>
      <c r="E1448" t="s">
        <v>123</v>
      </c>
      <c r="F1448" t="s">
        <v>2399</v>
      </c>
      <c r="G1448" t="s">
        <v>2377</v>
      </c>
      <c r="H1448">
        <v>22000</v>
      </c>
      <c r="I1448">
        <v>2</v>
      </c>
      <c r="J1448">
        <v>20</v>
      </c>
      <c r="K1448">
        <v>44000</v>
      </c>
      <c r="L1448">
        <v>8800</v>
      </c>
      <c r="M1448">
        <v>35200</v>
      </c>
      <c r="N1448">
        <v>18000</v>
      </c>
      <c r="O1448">
        <v>53200</v>
      </c>
      <c r="P1448" t="s">
        <v>35</v>
      </c>
      <c r="Q1448" t="s">
        <v>2360</v>
      </c>
      <c r="R1448" t="s">
        <v>46</v>
      </c>
      <c r="S1448">
        <v>5</v>
      </c>
      <c r="T1448" t="s">
        <v>24</v>
      </c>
      <c r="U1448" t="s">
        <v>2409</v>
      </c>
      <c r="V1448">
        <v>2025</v>
      </c>
      <c r="W1448">
        <v>9</v>
      </c>
    </row>
    <row r="1449" spans="1:23" x14ac:dyDescent="0.25">
      <c r="A1449" t="s">
        <v>2282</v>
      </c>
      <c r="B1449">
        <v>45902.057638888888</v>
      </c>
      <c r="C1449" t="s">
        <v>772</v>
      </c>
      <c r="D1449" t="s">
        <v>113</v>
      </c>
      <c r="E1449" t="s">
        <v>110</v>
      </c>
      <c r="F1449" t="s">
        <v>2395</v>
      </c>
      <c r="G1449" t="s">
        <v>2379</v>
      </c>
      <c r="H1449">
        <v>6000</v>
      </c>
      <c r="I1449">
        <v>4</v>
      </c>
      <c r="J1449">
        <v>20</v>
      </c>
      <c r="K1449">
        <v>24000</v>
      </c>
      <c r="L1449">
        <v>4800</v>
      </c>
      <c r="M1449">
        <v>19200</v>
      </c>
      <c r="N1449">
        <v>18000</v>
      </c>
      <c r="O1449">
        <v>37200</v>
      </c>
      <c r="P1449" t="s">
        <v>29</v>
      </c>
      <c r="Q1449" t="s">
        <v>2357</v>
      </c>
      <c r="R1449" t="s">
        <v>82</v>
      </c>
      <c r="S1449">
        <v>4</v>
      </c>
      <c r="T1449" t="s">
        <v>24</v>
      </c>
      <c r="U1449" t="s">
        <v>2409</v>
      </c>
      <c r="V1449">
        <v>2025</v>
      </c>
      <c r="W1449">
        <v>9</v>
      </c>
    </row>
    <row r="1450" spans="1:23" x14ac:dyDescent="0.25">
      <c r="A1450" t="s">
        <v>2283</v>
      </c>
      <c r="B1450">
        <v>45902.448449074072</v>
      </c>
      <c r="C1450" t="s">
        <v>258</v>
      </c>
      <c r="D1450" t="s">
        <v>44</v>
      </c>
      <c r="E1450" t="s">
        <v>45</v>
      </c>
      <c r="F1450" t="s">
        <v>2394</v>
      </c>
      <c r="G1450" t="s">
        <v>2378</v>
      </c>
      <c r="H1450">
        <v>40000</v>
      </c>
      <c r="I1450">
        <v>3</v>
      </c>
      <c r="J1450">
        <v>0</v>
      </c>
      <c r="K1450">
        <v>120000</v>
      </c>
      <c r="L1450">
        <v>0</v>
      </c>
      <c r="M1450">
        <v>120000</v>
      </c>
      <c r="N1450">
        <v>93000</v>
      </c>
      <c r="O1450">
        <v>213000</v>
      </c>
      <c r="P1450" t="s">
        <v>63</v>
      </c>
      <c r="Q1450" t="s">
        <v>2358</v>
      </c>
      <c r="R1450" t="s">
        <v>30</v>
      </c>
      <c r="S1450">
        <v>4</v>
      </c>
      <c r="T1450" t="s">
        <v>24</v>
      </c>
      <c r="U1450" t="s">
        <v>2409</v>
      </c>
      <c r="V1450">
        <v>2025</v>
      </c>
      <c r="W1450">
        <v>9</v>
      </c>
    </row>
    <row r="1451" spans="1:23" x14ac:dyDescent="0.25">
      <c r="A1451" t="s">
        <v>2284</v>
      </c>
      <c r="B1451">
        <v>45902.546354166669</v>
      </c>
      <c r="C1451" t="s">
        <v>1321</v>
      </c>
      <c r="D1451" t="s">
        <v>113</v>
      </c>
      <c r="E1451" t="s">
        <v>45</v>
      </c>
      <c r="F1451" t="s">
        <v>2394</v>
      </c>
      <c r="G1451" t="s">
        <v>2378</v>
      </c>
      <c r="H1451">
        <v>40000</v>
      </c>
      <c r="I1451">
        <v>1</v>
      </c>
      <c r="J1451">
        <v>5</v>
      </c>
      <c r="K1451">
        <v>40000</v>
      </c>
      <c r="L1451">
        <v>2000</v>
      </c>
      <c r="M1451">
        <v>38000</v>
      </c>
      <c r="N1451">
        <v>18000</v>
      </c>
      <c r="O1451">
        <v>56000</v>
      </c>
      <c r="P1451" t="s">
        <v>63</v>
      </c>
      <c r="Q1451" t="s">
        <v>2357</v>
      </c>
      <c r="R1451" t="s">
        <v>23</v>
      </c>
      <c r="S1451">
        <v>1</v>
      </c>
      <c r="T1451" t="s">
        <v>24</v>
      </c>
      <c r="U1451" t="s">
        <v>2409</v>
      </c>
      <c r="V1451">
        <v>2025</v>
      </c>
      <c r="W1451">
        <v>9</v>
      </c>
    </row>
    <row r="1452" spans="1:23" x14ac:dyDescent="0.25">
      <c r="A1452" t="s">
        <v>2285</v>
      </c>
      <c r="B1452">
        <v>45902.616435185177</v>
      </c>
      <c r="C1452" t="s">
        <v>118</v>
      </c>
      <c r="D1452" t="s">
        <v>119</v>
      </c>
      <c r="E1452" t="s">
        <v>123</v>
      </c>
      <c r="F1452" t="s">
        <v>2399</v>
      </c>
      <c r="G1452" t="s">
        <v>2377</v>
      </c>
      <c r="H1452">
        <v>22000</v>
      </c>
      <c r="I1452">
        <v>3</v>
      </c>
      <c r="J1452">
        <v>0</v>
      </c>
      <c r="K1452">
        <v>66000</v>
      </c>
      <c r="L1452">
        <v>0</v>
      </c>
      <c r="M1452">
        <v>66000</v>
      </c>
      <c r="N1452">
        <v>0</v>
      </c>
      <c r="O1452">
        <v>66000</v>
      </c>
      <c r="P1452" t="s">
        <v>29</v>
      </c>
      <c r="Q1452" t="s">
        <v>2360</v>
      </c>
      <c r="R1452" t="s">
        <v>46</v>
      </c>
      <c r="S1452">
        <v>1</v>
      </c>
      <c r="T1452" t="s">
        <v>24</v>
      </c>
      <c r="U1452" t="s">
        <v>2409</v>
      </c>
      <c r="V1452">
        <v>2025</v>
      </c>
      <c r="W1452">
        <v>9</v>
      </c>
    </row>
    <row r="1453" spans="1:23" x14ac:dyDescent="0.25">
      <c r="A1453" t="s">
        <v>2286</v>
      </c>
      <c r="B1453">
        <v>45902.798379629632</v>
      </c>
      <c r="C1453" t="s">
        <v>763</v>
      </c>
      <c r="D1453" t="s">
        <v>74</v>
      </c>
      <c r="E1453" t="s">
        <v>104</v>
      </c>
      <c r="F1453" t="s">
        <v>2392</v>
      </c>
      <c r="G1453" t="s">
        <v>2377</v>
      </c>
      <c r="H1453">
        <v>30000</v>
      </c>
      <c r="I1453">
        <v>1</v>
      </c>
      <c r="J1453">
        <v>20</v>
      </c>
      <c r="K1453">
        <v>30000</v>
      </c>
      <c r="L1453">
        <v>6000</v>
      </c>
      <c r="M1453">
        <v>24000</v>
      </c>
      <c r="N1453">
        <v>87000</v>
      </c>
      <c r="O1453">
        <v>111000</v>
      </c>
      <c r="P1453" t="s">
        <v>29</v>
      </c>
      <c r="Q1453" t="s">
        <v>2357</v>
      </c>
      <c r="R1453" t="s">
        <v>23</v>
      </c>
      <c r="S1453">
        <v>3</v>
      </c>
      <c r="T1453" t="s">
        <v>24</v>
      </c>
      <c r="U1453" t="s">
        <v>2409</v>
      </c>
      <c r="V1453">
        <v>2025</v>
      </c>
      <c r="W1453">
        <v>9</v>
      </c>
    </row>
    <row r="1454" spans="1:23" x14ac:dyDescent="0.25">
      <c r="A1454" t="s">
        <v>2287</v>
      </c>
      <c r="B1454">
        <v>45902.852962962963</v>
      </c>
      <c r="C1454" t="s">
        <v>626</v>
      </c>
      <c r="D1454" t="s">
        <v>296</v>
      </c>
      <c r="E1454" t="s">
        <v>85</v>
      </c>
      <c r="F1454" t="s">
        <v>2394</v>
      </c>
      <c r="G1454" t="s">
        <v>2377</v>
      </c>
      <c r="H1454">
        <v>35000</v>
      </c>
      <c r="I1454">
        <v>4</v>
      </c>
      <c r="J1454">
        <v>20</v>
      </c>
      <c r="K1454">
        <v>140000</v>
      </c>
      <c r="L1454">
        <v>28000</v>
      </c>
      <c r="M1454">
        <v>112000</v>
      </c>
      <c r="N1454">
        <v>79000</v>
      </c>
      <c r="O1454">
        <v>191000</v>
      </c>
      <c r="P1454" t="s">
        <v>22</v>
      </c>
      <c r="Q1454" t="s">
        <v>2360</v>
      </c>
      <c r="R1454" t="s">
        <v>23</v>
      </c>
      <c r="S1454">
        <v>5</v>
      </c>
      <c r="T1454" t="s">
        <v>24</v>
      </c>
      <c r="U1454" t="s">
        <v>2409</v>
      </c>
      <c r="V1454">
        <v>2025</v>
      </c>
      <c r="W1454">
        <v>9</v>
      </c>
    </row>
    <row r="1455" spans="1:23" x14ac:dyDescent="0.25">
      <c r="A1455" t="s">
        <v>2288</v>
      </c>
      <c r="B1455">
        <v>45902.913171296299</v>
      </c>
      <c r="C1455" t="s">
        <v>404</v>
      </c>
      <c r="D1455" t="s">
        <v>177</v>
      </c>
      <c r="E1455" t="s">
        <v>75</v>
      </c>
      <c r="F1455" t="s">
        <v>2398</v>
      </c>
      <c r="G1455" t="s">
        <v>2379</v>
      </c>
      <c r="H1455">
        <v>55000</v>
      </c>
      <c r="I1455">
        <v>2</v>
      </c>
      <c r="J1455">
        <v>0</v>
      </c>
      <c r="K1455">
        <v>110000</v>
      </c>
      <c r="L1455">
        <v>0</v>
      </c>
      <c r="M1455">
        <v>110000</v>
      </c>
      <c r="N1455">
        <v>56000</v>
      </c>
      <c r="O1455">
        <v>166000</v>
      </c>
      <c r="P1455" t="s">
        <v>22</v>
      </c>
      <c r="Q1455" t="s">
        <v>2357</v>
      </c>
      <c r="R1455" t="s">
        <v>82</v>
      </c>
      <c r="S1455">
        <v>4</v>
      </c>
      <c r="T1455" t="s">
        <v>37</v>
      </c>
      <c r="U1455" t="s">
        <v>2409</v>
      </c>
      <c r="V1455">
        <v>2025</v>
      </c>
      <c r="W1455">
        <v>9</v>
      </c>
    </row>
    <row r="1456" spans="1:23" x14ac:dyDescent="0.25">
      <c r="A1456" t="s">
        <v>2289</v>
      </c>
      <c r="B1456">
        <v>45902.965671296297</v>
      </c>
      <c r="C1456" t="s">
        <v>615</v>
      </c>
      <c r="D1456" t="s">
        <v>92</v>
      </c>
      <c r="E1456" t="s">
        <v>21</v>
      </c>
      <c r="F1456" t="s">
        <v>2394</v>
      </c>
      <c r="G1456" t="s">
        <v>2379</v>
      </c>
      <c r="H1456">
        <v>45000</v>
      </c>
      <c r="I1456">
        <v>1</v>
      </c>
      <c r="J1456">
        <v>5</v>
      </c>
      <c r="K1456">
        <v>45000</v>
      </c>
      <c r="L1456">
        <v>2250</v>
      </c>
      <c r="M1456">
        <v>42750</v>
      </c>
      <c r="N1456">
        <v>30000</v>
      </c>
      <c r="O1456">
        <v>72750</v>
      </c>
      <c r="P1456" t="s">
        <v>29</v>
      </c>
      <c r="Q1456" t="s">
        <v>2357</v>
      </c>
      <c r="R1456" t="s">
        <v>36</v>
      </c>
      <c r="S1456">
        <v>4</v>
      </c>
      <c r="T1456" t="s">
        <v>24</v>
      </c>
      <c r="U1456" t="s">
        <v>2409</v>
      </c>
      <c r="V1456">
        <v>2025</v>
      </c>
      <c r="W1456">
        <v>9</v>
      </c>
    </row>
    <row r="1457" spans="1:23" x14ac:dyDescent="0.25">
      <c r="A1457" t="s">
        <v>2290</v>
      </c>
      <c r="B1457">
        <v>45902.976076388892</v>
      </c>
      <c r="C1457" t="s">
        <v>553</v>
      </c>
      <c r="D1457" t="s">
        <v>107</v>
      </c>
      <c r="E1457" t="s">
        <v>21</v>
      </c>
      <c r="F1457" t="s">
        <v>2394</v>
      </c>
      <c r="G1457" t="s">
        <v>2379</v>
      </c>
      <c r="H1457">
        <v>45000</v>
      </c>
      <c r="I1457">
        <v>5</v>
      </c>
      <c r="J1457">
        <v>20</v>
      </c>
      <c r="K1457">
        <v>225000</v>
      </c>
      <c r="L1457">
        <v>45000</v>
      </c>
      <c r="M1457">
        <v>180000</v>
      </c>
      <c r="N1457">
        <v>97000</v>
      </c>
      <c r="O1457">
        <v>277000</v>
      </c>
      <c r="P1457" t="s">
        <v>29</v>
      </c>
      <c r="Q1457" t="s">
        <v>2359</v>
      </c>
      <c r="R1457" t="s">
        <v>46</v>
      </c>
      <c r="S1457">
        <v>1</v>
      </c>
      <c r="T1457" t="s">
        <v>24</v>
      </c>
      <c r="U1457" t="s">
        <v>2409</v>
      </c>
      <c r="V1457">
        <v>2025</v>
      </c>
      <c r="W1457">
        <v>9</v>
      </c>
    </row>
    <row r="1458" spans="1:23" x14ac:dyDescent="0.25">
      <c r="A1458" t="s">
        <v>2291</v>
      </c>
      <c r="B1458">
        <v>45903.04824074074</v>
      </c>
      <c r="C1458" t="s">
        <v>525</v>
      </c>
      <c r="D1458" t="s">
        <v>96</v>
      </c>
      <c r="E1458" t="s">
        <v>144</v>
      </c>
      <c r="F1458" t="s">
        <v>2396</v>
      </c>
      <c r="G1458" t="s">
        <v>2379</v>
      </c>
      <c r="H1458">
        <v>18000</v>
      </c>
      <c r="I1458">
        <v>2</v>
      </c>
      <c r="J1458">
        <v>10</v>
      </c>
      <c r="K1458">
        <v>36000</v>
      </c>
      <c r="L1458">
        <v>3600</v>
      </c>
      <c r="M1458">
        <v>32400</v>
      </c>
      <c r="N1458">
        <v>49000</v>
      </c>
      <c r="O1458">
        <v>81400</v>
      </c>
      <c r="P1458" t="s">
        <v>63</v>
      </c>
      <c r="Q1458" t="s">
        <v>2357</v>
      </c>
      <c r="R1458" t="s">
        <v>23</v>
      </c>
      <c r="S1458">
        <v>1</v>
      </c>
      <c r="T1458" t="s">
        <v>24</v>
      </c>
      <c r="U1458" t="s">
        <v>2409</v>
      </c>
      <c r="V1458">
        <v>2025</v>
      </c>
      <c r="W1458">
        <v>9</v>
      </c>
    </row>
    <row r="1459" spans="1:23" x14ac:dyDescent="0.25">
      <c r="A1459" t="s">
        <v>2292</v>
      </c>
      <c r="B1459">
        <v>45903.053576388891</v>
      </c>
      <c r="C1459" t="s">
        <v>802</v>
      </c>
      <c r="D1459" t="s">
        <v>126</v>
      </c>
      <c r="E1459" t="s">
        <v>85</v>
      </c>
      <c r="F1459" t="s">
        <v>2394</v>
      </c>
      <c r="G1459" t="s">
        <v>2377</v>
      </c>
      <c r="H1459">
        <v>35000</v>
      </c>
      <c r="I1459">
        <v>1</v>
      </c>
      <c r="J1459">
        <v>10</v>
      </c>
      <c r="K1459">
        <v>35000</v>
      </c>
      <c r="L1459">
        <v>3500</v>
      </c>
      <c r="M1459">
        <v>31500</v>
      </c>
      <c r="N1459">
        <v>84000</v>
      </c>
      <c r="O1459">
        <v>115500</v>
      </c>
      <c r="P1459" t="s">
        <v>29</v>
      </c>
      <c r="Q1459" t="s">
        <v>2360</v>
      </c>
      <c r="R1459" t="s">
        <v>23</v>
      </c>
      <c r="S1459">
        <v>2</v>
      </c>
      <c r="T1459" t="s">
        <v>24</v>
      </c>
      <c r="U1459" t="s">
        <v>2409</v>
      </c>
      <c r="V1459">
        <v>2025</v>
      </c>
      <c r="W1459">
        <v>9</v>
      </c>
    </row>
    <row r="1460" spans="1:23" x14ac:dyDescent="0.25">
      <c r="A1460" t="s">
        <v>2293</v>
      </c>
      <c r="B1460">
        <v>45903.475706018522</v>
      </c>
      <c r="C1460" t="s">
        <v>457</v>
      </c>
      <c r="D1460" t="s">
        <v>80</v>
      </c>
      <c r="E1460" t="s">
        <v>174</v>
      </c>
      <c r="F1460" t="s">
        <v>2400</v>
      </c>
      <c r="G1460" t="s">
        <v>2377</v>
      </c>
      <c r="H1460">
        <v>10000</v>
      </c>
      <c r="I1460">
        <v>2</v>
      </c>
      <c r="J1460">
        <v>5</v>
      </c>
      <c r="K1460">
        <v>20000</v>
      </c>
      <c r="L1460">
        <v>1000</v>
      </c>
      <c r="M1460">
        <v>19000</v>
      </c>
      <c r="N1460">
        <v>74000</v>
      </c>
      <c r="O1460">
        <v>93000</v>
      </c>
      <c r="P1460" t="s">
        <v>22</v>
      </c>
      <c r="Q1460" t="s">
        <v>2357</v>
      </c>
      <c r="R1460" t="s">
        <v>23</v>
      </c>
      <c r="S1460">
        <v>2</v>
      </c>
      <c r="T1460" t="s">
        <v>24</v>
      </c>
      <c r="U1460" t="s">
        <v>2409</v>
      </c>
      <c r="V1460">
        <v>2025</v>
      </c>
      <c r="W1460">
        <v>9</v>
      </c>
    </row>
    <row r="1461" spans="1:23" x14ac:dyDescent="0.25">
      <c r="A1461" t="s">
        <v>2294</v>
      </c>
      <c r="B1461">
        <v>45903.693055555559</v>
      </c>
      <c r="C1461" t="s">
        <v>1509</v>
      </c>
      <c r="D1461" t="s">
        <v>122</v>
      </c>
      <c r="E1461" t="s">
        <v>21</v>
      </c>
      <c r="F1461" t="s">
        <v>2394</v>
      </c>
      <c r="G1461" t="s">
        <v>2379</v>
      </c>
      <c r="H1461">
        <v>45000</v>
      </c>
      <c r="I1461">
        <v>1</v>
      </c>
      <c r="J1461">
        <v>10</v>
      </c>
      <c r="K1461">
        <v>45000</v>
      </c>
      <c r="L1461">
        <v>4500</v>
      </c>
      <c r="M1461">
        <v>40500</v>
      </c>
      <c r="N1461">
        <v>78000</v>
      </c>
      <c r="O1461">
        <v>118500</v>
      </c>
      <c r="P1461" t="s">
        <v>63</v>
      </c>
      <c r="Q1461" t="s">
        <v>2358</v>
      </c>
      <c r="R1461" t="s">
        <v>36</v>
      </c>
      <c r="S1461">
        <v>2</v>
      </c>
      <c r="T1461" t="s">
        <v>24</v>
      </c>
      <c r="U1461" t="s">
        <v>2409</v>
      </c>
      <c r="V1461">
        <v>2025</v>
      </c>
      <c r="W1461">
        <v>9</v>
      </c>
    </row>
    <row r="1462" spans="1:23" x14ac:dyDescent="0.25">
      <c r="A1462" t="s">
        <v>2295</v>
      </c>
      <c r="B1462">
        <v>45903.831736111111</v>
      </c>
      <c r="C1462" t="s">
        <v>140</v>
      </c>
      <c r="D1462" t="s">
        <v>92</v>
      </c>
      <c r="E1462" t="s">
        <v>28</v>
      </c>
      <c r="F1462" t="s">
        <v>2395</v>
      </c>
      <c r="G1462" t="s">
        <v>2378</v>
      </c>
      <c r="H1462">
        <v>5000</v>
      </c>
      <c r="I1462">
        <v>5</v>
      </c>
      <c r="J1462">
        <v>20</v>
      </c>
      <c r="K1462">
        <v>25000</v>
      </c>
      <c r="L1462">
        <v>5000</v>
      </c>
      <c r="M1462">
        <v>20000</v>
      </c>
      <c r="N1462">
        <v>30000</v>
      </c>
      <c r="O1462">
        <v>50000</v>
      </c>
      <c r="P1462" t="s">
        <v>63</v>
      </c>
      <c r="Q1462" t="s">
        <v>2357</v>
      </c>
      <c r="R1462" t="s">
        <v>82</v>
      </c>
      <c r="S1462">
        <v>3</v>
      </c>
      <c r="T1462" t="s">
        <v>24</v>
      </c>
      <c r="U1462" t="s">
        <v>2409</v>
      </c>
      <c r="V1462">
        <v>2025</v>
      </c>
      <c r="W1462">
        <v>9</v>
      </c>
    </row>
    <row r="1463" spans="1:23" x14ac:dyDescent="0.25">
      <c r="A1463" t="s">
        <v>2296</v>
      </c>
      <c r="B1463">
        <v>45903.947222222218</v>
      </c>
      <c r="C1463" t="s">
        <v>56</v>
      </c>
      <c r="D1463" t="s">
        <v>57</v>
      </c>
      <c r="E1463" t="s">
        <v>54</v>
      </c>
      <c r="F1463" t="s">
        <v>2393</v>
      </c>
      <c r="G1463" t="s">
        <v>2379</v>
      </c>
      <c r="H1463">
        <v>16000</v>
      </c>
      <c r="I1463">
        <v>1</v>
      </c>
      <c r="J1463">
        <v>10</v>
      </c>
      <c r="K1463">
        <v>16000</v>
      </c>
      <c r="L1463">
        <v>1600</v>
      </c>
      <c r="M1463">
        <v>14400</v>
      </c>
      <c r="N1463">
        <v>80000</v>
      </c>
      <c r="O1463">
        <v>94400</v>
      </c>
      <c r="P1463" t="s">
        <v>35</v>
      </c>
      <c r="Q1463" t="s">
        <v>2358</v>
      </c>
      <c r="R1463" t="s">
        <v>82</v>
      </c>
      <c r="S1463">
        <v>2</v>
      </c>
      <c r="T1463" t="s">
        <v>24</v>
      </c>
      <c r="U1463" t="s">
        <v>2409</v>
      </c>
      <c r="V1463">
        <v>2025</v>
      </c>
      <c r="W1463">
        <v>9</v>
      </c>
    </row>
    <row r="1464" spans="1:23" x14ac:dyDescent="0.25">
      <c r="A1464" t="s">
        <v>2297</v>
      </c>
      <c r="B1464">
        <v>45904.083923611113</v>
      </c>
      <c r="C1464" t="s">
        <v>1053</v>
      </c>
      <c r="D1464" t="s">
        <v>80</v>
      </c>
      <c r="E1464" t="s">
        <v>186</v>
      </c>
      <c r="F1464" t="s">
        <v>2398</v>
      </c>
      <c r="G1464" t="s">
        <v>2377</v>
      </c>
      <c r="H1464">
        <v>45000</v>
      </c>
      <c r="I1464">
        <v>2</v>
      </c>
      <c r="J1464">
        <v>5</v>
      </c>
      <c r="K1464">
        <v>90000</v>
      </c>
      <c r="L1464">
        <v>4500</v>
      </c>
      <c r="M1464">
        <v>85500</v>
      </c>
      <c r="N1464">
        <v>74000</v>
      </c>
      <c r="O1464">
        <v>159500</v>
      </c>
      <c r="P1464" t="s">
        <v>63</v>
      </c>
      <c r="Q1464" t="s">
        <v>2360</v>
      </c>
      <c r="R1464" t="s">
        <v>82</v>
      </c>
      <c r="S1464">
        <v>3</v>
      </c>
      <c r="T1464" t="s">
        <v>24</v>
      </c>
      <c r="U1464" t="s">
        <v>2409</v>
      </c>
      <c r="V1464">
        <v>2025</v>
      </c>
      <c r="W1464">
        <v>9</v>
      </c>
    </row>
    <row r="1465" spans="1:23" x14ac:dyDescent="0.25">
      <c r="A1465" t="s">
        <v>2298</v>
      </c>
      <c r="B1465">
        <v>45904.106585648151</v>
      </c>
      <c r="C1465" t="s">
        <v>468</v>
      </c>
      <c r="D1465" t="s">
        <v>163</v>
      </c>
      <c r="E1465" t="s">
        <v>110</v>
      </c>
      <c r="F1465" t="s">
        <v>2395</v>
      </c>
      <c r="G1465" t="s">
        <v>2379</v>
      </c>
      <c r="H1465">
        <v>6000</v>
      </c>
      <c r="I1465">
        <v>1</v>
      </c>
      <c r="J1465">
        <v>5</v>
      </c>
      <c r="K1465">
        <v>6000</v>
      </c>
      <c r="L1465">
        <v>300</v>
      </c>
      <c r="M1465">
        <v>5700</v>
      </c>
      <c r="N1465">
        <v>50000</v>
      </c>
      <c r="O1465">
        <v>55700</v>
      </c>
      <c r="P1465" t="s">
        <v>22</v>
      </c>
      <c r="Q1465" t="s">
        <v>2357</v>
      </c>
      <c r="R1465" t="s">
        <v>36</v>
      </c>
      <c r="S1465">
        <v>1</v>
      </c>
      <c r="T1465" t="s">
        <v>24</v>
      </c>
      <c r="U1465" t="s">
        <v>2409</v>
      </c>
      <c r="V1465">
        <v>2025</v>
      </c>
      <c r="W1465">
        <v>9</v>
      </c>
    </row>
    <row r="1466" spans="1:23" x14ac:dyDescent="0.25">
      <c r="A1466" t="s">
        <v>2299</v>
      </c>
      <c r="B1466">
        <v>45904.359710648147</v>
      </c>
      <c r="C1466" t="s">
        <v>1979</v>
      </c>
      <c r="D1466" t="s">
        <v>103</v>
      </c>
      <c r="E1466" t="s">
        <v>85</v>
      </c>
      <c r="F1466" t="s">
        <v>2394</v>
      </c>
      <c r="G1466" t="s">
        <v>2377</v>
      </c>
      <c r="H1466">
        <v>35000</v>
      </c>
      <c r="I1466">
        <v>4</v>
      </c>
      <c r="J1466">
        <v>5</v>
      </c>
      <c r="K1466">
        <v>140000</v>
      </c>
      <c r="L1466">
        <v>7000</v>
      </c>
      <c r="M1466">
        <v>133000</v>
      </c>
      <c r="N1466">
        <v>85000</v>
      </c>
      <c r="O1466">
        <v>218000</v>
      </c>
      <c r="P1466" t="s">
        <v>63</v>
      </c>
      <c r="Q1466" t="s">
        <v>2357</v>
      </c>
      <c r="R1466" t="s">
        <v>36</v>
      </c>
      <c r="S1466">
        <v>1</v>
      </c>
      <c r="T1466" t="s">
        <v>24</v>
      </c>
      <c r="U1466" t="s">
        <v>2409</v>
      </c>
      <c r="V1466">
        <v>2025</v>
      </c>
      <c r="W1466">
        <v>9</v>
      </c>
    </row>
    <row r="1467" spans="1:23" x14ac:dyDescent="0.25">
      <c r="A1467" t="s">
        <v>2300</v>
      </c>
      <c r="B1467">
        <v>45904.632847222223</v>
      </c>
      <c r="C1467" t="s">
        <v>192</v>
      </c>
      <c r="D1467" t="s">
        <v>107</v>
      </c>
      <c r="E1467" t="s">
        <v>93</v>
      </c>
      <c r="F1467" t="s">
        <v>2399</v>
      </c>
      <c r="G1467" t="s">
        <v>2378</v>
      </c>
      <c r="H1467">
        <v>25000</v>
      </c>
      <c r="I1467">
        <v>1</v>
      </c>
      <c r="J1467">
        <v>0</v>
      </c>
      <c r="K1467">
        <v>25000</v>
      </c>
      <c r="L1467">
        <v>0</v>
      </c>
      <c r="M1467">
        <v>25000</v>
      </c>
      <c r="N1467">
        <v>97000</v>
      </c>
      <c r="O1467">
        <v>122000</v>
      </c>
      <c r="P1467" t="s">
        <v>22</v>
      </c>
      <c r="Q1467" t="s">
        <v>2357</v>
      </c>
      <c r="R1467" t="s">
        <v>36</v>
      </c>
      <c r="S1467">
        <v>1</v>
      </c>
      <c r="T1467" t="s">
        <v>24</v>
      </c>
      <c r="U1467" t="s">
        <v>2409</v>
      </c>
      <c r="V1467">
        <v>2025</v>
      </c>
      <c r="W1467">
        <v>9</v>
      </c>
    </row>
    <row r="1468" spans="1:23" x14ac:dyDescent="0.25">
      <c r="A1468" t="s">
        <v>2301</v>
      </c>
      <c r="B1468">
        <v>45905.050254629627</v>
      </c>
      <c r="C1468" t="s">
        <v>772</v>
      </c>
      <c r="D1468" t="s">
        <v>113</v>
      </c>
      <c r="E1468" t="s">
        <v>67</v>
      </c>
      <c r="F1468" t="s">
        <v>2393</v>
      </c>
      <c r="G1468" t="s">
        <v>2378</v>
      </c>
      <c r="H1468">
        <v>15000</v>
      </c>
      <c r="I1468">
        <v>2</v>
      </c>
      <c r="J1468">
        <v>15</v>
      </c>
      <c r="K1468">
        <v>30000</v>
      </c>
      <c r="L1468">
        <v>4500</v>
      </c>
      <c r="M1468">
        <v>25500</v>
      </c>
      <c r="N1468">
        <v>18000</v>
      </c>
      <c r="O1468">
        <v>43500</v>
      </c>
      <c r="P1468" t="s">
        <v>22</v>
      </c>
      <c r="Q1468" t="s">
        <v>2358</v>
      </c>
      <c r="R1468" t="s">
        <v>30</v>
      </c>
      <c r="S1468">
        <v>2</v>
      </c>
      <c r="T1468" t="s">
        <v>24</v>
      </c>
      <c r="U1468" t="s">
        <v>2409</v>
      </c>
      <c r="V1468">
        <v>2025</v>
      </c>
      <c r="W1468">
        <v>9</v>
      </c>
    </row>
    <row r="1469" spans="1:23" x14ac:dyDescent="0.25">
      <c r="A1469" t="s">
        <v>2302</v>
      </c>
      <c r="B1469">
        <v>45905.062800925924</v>
      </c>
      <c r="C1469" t="s">
        <v>412</v>
      </c>
      <c r="D1469" t="s">
        <v>70</v>
      </c>
      <c r="E1469" t="s">
        <v>50</v>
      </c>
      <c r="F1469" t="s">
        <v>2400</v>
      </c>
      <c r="G1469" t="s">
        <v>2379</v>
      </c>
      <c r="H1469">
        <v>14000</v>
      </c>
      <c r="I1469">
        <v>1</v>
      </c>
      <c r="J1469">
        <v>15</v>
      </c>
      <c r="K1469">
        <v>14000</v>
      </c>
      <c r="L1469">
        <v>2100</v>
      </c>
      <c r="M1469">
        <v>11900</v>
      </c>
      <c r="N1469">
        <v>89000</v>
      </c>
      <c r="O1469">
        <v>100900</v>
      </c>
      <c r="P1469" t="s">
        <v>22</v>
      </c>
      <c r="Q1469" t="s">
        <v>2357</v>
      </c>
      <c r="R1469" t="s">
        <v>46</v>
      </c>
      <c r="S1469">
        <v>4</v>
      </c>
      <c r="T1469" t="s">
        <v>24</v>
      </c>
      <c r="U1469" t="s">
        <v>2409</v>
      </c>
      <c r="V1469">
        <v>2025</v>
      </c>
      <c r="W1469">
        <v>9</v>
      </c>
    </row>
    <row r="1470" spans="1:23" x14ac:dyDescent="0.25">
      <c r="A1470" t="s">
        <v>2303</v>
      </c>
      <c r="B1470">
        <v>45905.075659722221</v>
      </c>
      <c r="C1470" t="s">
        <v>40</v>
      </c>
      <c r="D1470" t="s">
        <v>27</v>
      </c>
      <c r="E1470" t="s">
        <v>250</v>
      </c>
      <c r="F1470" t="s">
        <v>2397</v>
      </c>
      <c r="G1470" t="s">
        <v>2379</v>
      </c>
      <c r="H1470">
        <v>18000</v>
      </c>
      <c r="I1470">
        <v>4</v>
      </c>
      <c r="J1470">
        <v>15</v>
      </c>
      <c r="K1470">
        <v>72000</v>
      </c>
      <c r="L1470">
        <v>10800</v>
      </c>
      <c r="M1470">
        <v>61200</v>
      </c>
      <c r="N1470">
        <v>17000</v>
      </c>
      <c r="O1470">
        <v>78200</v>
      </c>
      <c r="P1470" t="s">
        <v>35</v>
      </c>
      <c r="Q1470" t="s">
        <v>2357</v>
      </c>
      <c r="R1470" t="s">
        <v>23</v>
      </c>
      <c r="S1470">
        <v>2</v>
      </c>
      <c r="T1470" t="s">
        <v>24</v>
      </c>
      <c r="U1470" t="s">
        <v>2409</v>
      </c>
      <c r="V1470">
        <v>2025</v>
      </c>
      <c r="W1470">
        <v>9</v>
      </c>
    </row>
    <row r="1471" spans="1:23" x14ac:dyDescent="0.25">
      <c r="A1471" t="s">
        <v>2304</v>
      </c>
      <c r="B1471">
        <v>45905.135451388887</v>
      </c>
      <c r="C1471" t="s">
        <v>48</v>
      </c>
      <c r="D1471" t="s">
        <v>49</v>
      </c>
      <c r="E1471" t="s">
        <v>28</v>
      </c>
      <c r="F1471" t="s">
        <v>2395</v>
      </c>
      <c r="G1471" t="s">
        <v>2378</v>
      </c>
      <c r="H1471">
        <v>5000</v>
      </c>
      <c r="I1471">
        <v>3</v>
      </c>
      <c r="J1471">
        <v>10</v>
      </c>
      <c r="K1471">
        <v>15000</v>
      </c>
      <c r="L1471">
        <v>1500</v>
      </c>
      <c r="M1471">
        <v>13500</v>
      </c>
      <c r="N1471">
        <v>43000</v>
      </c>
      <c r="O1471">
        <v>56500</v>
      </c>
      <c r="P1471" t="s">
        <v>63</v>
      </c>
      <c r="Q1471" t="s">
        <v>2357</v>
      </c>
      <c r="R1471" t="s">
        <v>36</v>
      </c>
      <c r="S1471">
        <v>1</v>
      </c>
      <c r="T1471" t="s">
        <v>24</v>
      </c>
      <c r="U1471" t="s">
        <v>2409</v>
      </c>
      <c r="V1471">
        <v>2025</v>
      </c>
      <c r="W1471">
        <v>9</v>
      </c>
    </row>
    <row r="1472" spans="1:23" x14ac:dyDescent="0.25">
      <c r="A1472" t="s">
        <v>2305</v>
      </c>
      <c r="B1472">
        <v>45905.21371527778</v>
      </c>
      <c r="C1472" t="s">
        <v>155</v>
      </c>
      <c r="D1472" t="s">
        <v>92</v>
      </c>
      <c r="E1472" t="s">
        <v>85</v>
      </c>
      <c r="F1472" t="s">
        <v>2394</v>
      </c>
      <c r="G1472" t="s">
        <v>2377</v>
      </c>
      <c r="H1472">
        <v>35000</v>
      </c>
      <c r="I1472">
        <v>1</v>
      </c>
      <c r="J1472">
        <v>10</v>
      </c>
      <c r="K1472">
        <v>35000</v>
      </c>
      <c r="L1472">
        <v>3500</v>
      </c>
      <c r="M1472">
        <v>31500</v>
      </c>
      <c r="N1472">
        <v>30000</v>
      </c>
      <c r="O1472">
        <v>61500</v>
      </c>
      <c r="P1472" t="s">
        <v>29</v>
      </c>
      <c r="Q1472" t="s">
        <v>2357</v>
      </c>
      <c r="R1472" t="s">
        <v>82</v>
      </c>
      <c r="S1472">
        <v>4</v>
      </c>
      <c r="T1472" t="s">
        <v>24</v>
      </c>
      <c r="U1472" t="s">
        <v>2409</v>
      </c>
      <c r="V1472">
        <v>2025</v>
      </c>
      <c r="W1472">
        <v>9</v>
      </c>
    </row>
    <row r="1473" spans="1:23" x14ac:dyDescent="0.25">
      <c r="A1473" t="s">
        <v>2306</v>
      </c>
      <c r="B1473">
        <v>45905.256689814807</v>
      </c>
      <c r="C1473" t="s">
        <v>626</v>
      </c>
      <c r="D1473" t="s">
        <v>296</v>
      </c>
      <c r="E1473" t="s">
        <v>123</v>
      </c>
      <c r="F1473" t="s">
        <v>2399</v>
      </c>
      <c r="G1473" t="s">
        <v>2377</v>
      </c>
      <c r="H1473">
        <v>22000</v>
      </c>
      <c r="I1473">
        <v>4</v>
      </c>
      <c r="J1473">
        <v>15</v>
      </c>
      <c r="K1473">
        <v>88000</v>
      </c>
      <c r="L1473">
        <v>13200</v>
      </c>
      <c r="M1473">
        <v>74800</v>
      </c>
      <c r="N1473">
        <v>79000</v>
      </c>
      <c r="O1473">
        <v>153800</v>
      </c>
      <c r="P1473" t="s">
        <v>22</v>
      </c>
      <c r="Q1473" t="s">
        <v>2358</v>
      </c>
      <c r="R1473" t="s">
        <v>30</v>
      </c>
      <c r="S1473">
        <v>4</v>
      </c>
      <c r="T1473" t="s">
        <v>24</v>
      </c>
      <c r="U1473" t="s">
        <v>2409</v>
      </c>
      <c r="V1473">
        <v>2025</v>
      </c>
      <c r="W1473">
        <v>9</v>
      </c>
    </row>
    <row r="1474" spans="1:23" x14ac:dyDescent="0.25">
      <c r="A1474" t="s">
        <v>2307</v>
      </c>
      <c r="B1474">
        <v>45905.417534722219</v>
      </c>
      <c r="C1474" t="s">
        <v>1199</v>
      </c>
      <c r="D1474" t="s">
        <v>375</v>
      </c>
      <c r="E1474" t="s">
        <v>186</v>
      </c>
      <c r="F1474" t="s">
        <v>2398</v>
      </c>
      <c r="G1474" t="s">
        <v>2377</v>
      </c>
      <c r="H1474">
        <v>45000</v>
      </c>
      <c r="I1474">
        <v>3</v>
      </c>
      <c r="J1474">
        <v>15</v>
      </c>
      <c r="K1474">
        <v>135000</v>
      </c>
      <c r="L1474">
        <v>20250</v>
      </c>
      <c r="M1474">
        <v>114750</v>
      </c>
      <c r="N1474">
        <v>21000</v>
      </c>
      <c r="O1474">
        <v>135750</v>
      </c>
      <c r="P1474" t="s">
        <v>22</v>
      </c>
      <c r="Q1474" t="s">
        <v>2358</v>
      </c>
      <c r="R1474" t="s">
        <v>82</v>
      </c>
      <c r="S1474">
        <v>4</v>
      </c>
      <c r="T1474" t="s">
        <v>24</v>
      </c>
      <c r="U1474" t="s">
        <v>2409</v>
      </c>
      <c r="V1474">
        <v>2025</v>
      </c>
      <c r="W1474">
        <v>9</v>
      </c>
    </row>
    <row r="1475" spans="1:23" x14ac:dyDescent="0.25">
      <c r="A1475" t="s">
        <v>2308</v>
      </c>
      <c r="B1475">
        <v>45905.498310185183</v>
      </c>
      <c r="C1475" t="s">
        <v>515</v>
      </c>
      <c r="D1475" t="s">
        <v>182</v>
      </c>
      <c r="E1475" t="s">
        <v>93</v>
      </c>
      <c r="F1475" t="s">
        <v>2399</v>
      </c>
      <c r="G1475" t="s">
        <v>2378</v>
      </c>
      <c r="H1475">
        <v>25000</v>
      </c>
      <c r="I1475">
        <v>2</v>
      </c>
      <c r="J1475">
        <v>20</v>
      </c>
      <c r="K1475">
        <v>50000</v>
      </c>
      <c r="L1475">
        <v>10000</v>
      </c>
      <c r="M1475">
        <v>40000</v>
      </c>
      <c r="N1475">
        <v>48000</v>
      </c>
      <c r="O1475">
        <v>88000</v>
      </c>
      <c r="P1475" t="s">
        <v>22</v>
      </c>
      <c r="Q1475" t="s">
        <v>2358</v>
      </c>
      <c r="R1475" t="s">
        <v>46</v>
      </c>
      <c r="S1475">
        <v>3</v>
      </c>
      <c r="T1475" t="s">
        <v>24</v>
      </c>
      <c r="U1475" t="s">
        <v>2409</v>
      </c>
      <c r="V1475">
        <v>2025</v>
      </c>
      <c r="W1475">
        <v>9</v>
      </c>
    </row>
    <row r="1476" spans="1:23" x14ac:dyDescent="0.25">
      <c r="A1476" t="s">
        <v>2308</v>
      </c>
      <c r="B1476">
        <v>45905.498310185183</v>
      </c>
      <c r="C1476" t="s">
        <v>515</v>
      </c>
      <c r="D1476" t="s">
        <v>182</v>
      </c>
      <c r="E1476" t="s">
        <v>54</v>
      </c>
      <c r="F1476" t="s">
        <v>2393</v>
      </c>
      <c r="G1476" t="s">
        <v>2379</v>
      </c>
      <c r="H1476">
        <v>16000</v>
      </c>
      <c r="I1476">
        <v>1</v>
      </c>
      <c r="J1476">
        <v>15</v>
      </c>
      <c r="K1476">
        <v>16000</v>
      </c>
      <c r="L1476">
        <v>2400</v>
      </c>
      <c r="M1476">
        <v>13600</v>
      </c>
      <c r="N1476">
        <v>0</v>
      </c>
      <c r="O1476">
        <v>13600</v>
      </c>
      <c r="P1476" t="s">
        <v>22</v>
      </c>
      <c r="Q1476" t="s">
        <v>2358</v>
      </c>
      <c r="R1476" t="s">
        <v>46</v>
      </c>
      <c r="S1476">
        <v>3</v>
      </c>
      <c r="T1476" t="s">
        <v>24</v>
      </c>
      <c r="U1476" t="s">
        <v>2409</v>
      </c>
      <c r="V1476">
        <v>2025</v>
      </c>
      <c r="W1476">
        <v>9</v>
      </c>
    </row>
    <row r="1477" spans="1:23" x14ac:dyDescent="0.25">
      <c r="A1477" t="s">
        <v>2309</v>
      </c>
      <c r="B1477">
        <v>45905.600358796299</v>
      </c>
      <c r="C1477" t="s">
        <v>2097</v>
      </c>
      <c r="D1477" t="s">
        <v>53</v>
      </c>
      <c r="E1477" t="s">
        <v>28</v>
      </c>
      <c r="F1477" t="s">
        <v>2395</v>
      </c>
      <c r="G1477" t="s">
        <v>2378</v>
      </c>
      <c r="H1477">
        <v>5000</v>
      </c>
      <c r="I1477">
        <v>5</v>
      </c>
      <c r="J1477">
        <v>20</v>
      </c>
      <c r="K1477">
        <v>25000</v>
      </c>
      <c r="L1477">
        <v>5000</v>
      </c>
      <c r="M1477">
        <v>20000</v>
      </c>
      <c r="N1477">
        <v>18000</v>
      </c>
      <c r="O1477">
        <v>38000</v>
      </c>
      <c r="P1477" t="s">
        <v>63</v>
      </c>
      <c r="Q1477" t="s">
        <v>2357</v>
      </c>
      <c r="R1477" t="s">
        <v>82</v>
      </c>
      <c r="S1477">
        <v>4</v>
      </c>
      <c r="T1477" t="s">
        <v>24</v>
      </c>
      <c r="U1477" t="s">
        <v>2409</v>
      </c>
      <c r="V1477">
        <v>2025</v>
      </c>
      <c r="W1477">
        <v>9</v>
      </c>
    </row>
    <row r="1478" spans="1:23" x14ac:dyDescent="0.25">
      <c r="A1478" t="s">
        <v>2310</v>
      </c>
      <c r="B1478">
        <v>45905.7890625</v>
      </c>
      <c r="C1478" t="s">
        <v>314</v>
      </c>
      <c r="D1478" t="s">
        <v>113</v>
      </c>
      <c r="E1478" t="s">
        <v>250</v>
      </c>
      <c r="F1478" t="s">
        <v>2397</v>
      </c>
      <c r="G1478" t="s">
        <v>2379</v>
      </c>
      <c r="H1478">
        <v>18000</v>
      </c>
      <c r="I1478">
        <v>2</v>
      </c>
      <c r="J1478">
        <v>15</v>
      </c>
      <c r="K1478">
        <v>36000</v>
      </c>
      <c r="L1478">
        <v>5400</v>
      </c>
      <c r="M1478">
        <v>30600</v>
      </c>
      <c r="N1478">
        <v>18000</v>
      </c>
      <c r="O1478">
        <v>48600</v>
      </c>
      <c r="P1478" t="s">
        <v>29</v>
      </c>
      <c r="Q1478" t="s">
        <v>2357</v>
      </c>
      <c r="R1478" t="s">
        <v>30</v>
      </c>
      <c r="S1478">
        <v>1</v>
      </c>
      <c r="T1478" t="s">
        <v>24</v>
      </c>
      <c r="U1478" t="s">
        <v>2409</v>
      </c>
      <c r="V1478">
        <v>2025</v>
      </c>
      <c r="W1478">
        <v>9</v>
      </c>
    </row>
    <row r="1479" spans="1:23" x14ac:dyDescent="0.25">
      <c r="A1479" t="s">
        <v>2311</v>
      </c>
      <c r="B1479">
        <v>45905.909791666672</v>
      </c>
      <c r="C1479" t="s">
        <v>167</v>
      </c>
      <c r="D1479" t="s">
        <v>44</v>
      </c>
      <c r="E1479" t="s">
        <v>174</v>
      </c>
      <c r="F1479" t="s">
        <v>2400</v>
      </c>
      <c r="G1479" t="s">
        <v>2377</v>
      </c>
      <c r="H1479">
        <v>10000</v>
      </c>
      <c r="I1479">
        <v>1</v>
      </c>
      <c r="J1479">
        <v>15</v>
      </c>
      <c r="K1479">
        <v>10000</v>
      </c>
      <c r="L1479">
        <v>1500</v>
      </c>
      <c r="M1479">
        <v>8500</v>
      </c>
      <c r="N1479">
        <v>93000</v>
      </c>
      <c r="O1479">
        <v>101500</v>
      </c>
      <c r="P1479" t="s">
        <v>63</v>
      </c>
      <c r="Q1479" t="s">
        <v>2358</v>
      </c>
      <c r="R1479" t="s">
        <v>30</v>
      </c>
      <c r="S1479">
        <v>3</v>
      </c>
      <c r="T1479" t="s">
        <v>24</v>
      </c>
      <c r="U1479" t="s">
        <v>2409</v>
      </c>
      <c r="V1479">
        <v>2025</v>
      </c>
      <c r="W1479">
        <v>9</v>
      </c>
    </row>
    <row r="1480" spans="1:23" x14ac:dyDescent="0.25">
      <c r="A1480" t="s">
        <v>2312</v>
      </c>
      <c r="B1480">
        <v>45906.208703703713</v>
      </c>
      <c r="C1480" t="s">
        <v>1887</v>
      </c>
      <c r="D1480" t="s">
        <v>238</v>
      </c>
      <c r="E1480" t="s">
        <v>144</v>
      </c>
      <c r="F1480" t="s">
        <v>2396</v>
      </c>
      <c r="G1480" t="s">
        <v>2379</v>
      </c>
      <c r="H1480">
        <v>18000</v>
      </c>
      <c r="I1480">
        <v>4</v>
      </c>
      <c r="J1480">
        <v>15</v>
      </c>
      <c r="K1480">
        <v>72000</v>
      </c>
      <c r="L1480">
        <v>10800</v>
      </c>
      <c r="M1480">
        <v>61200</v>
      </c>
      <c r="N1480">
        <v>28000</v>
      </c>
      <c r="O1480">
        <v>89200</v>
      </c>
      <c r="P1480" t="s">
        <v>35</v>
      </c>
      <c r="Q1480" t="s">
        <v>2358</v>
      </c>
      <c r="R1480" t="s">
        <v>23</v>
      </c>
      <c r="S1480">
        <v>3</v>
      </c>
      <c r="T1480" t="s">
        <v>24</v>
      </c>
      <c r="U1480" t="s">
        <v>2409</v>
      </c>
      <c r="V1480">
        <v>2025</v>
      </c>
      <c r="W1480">
        <v>9</v>
      </c>
    </row>
    <row r="1481" spans="1:23" x14ac:dyDescent="0.25">
      <c r="A1481" t="s">
        <v>2313</v>
      </c>
      <c r="B1481">
        <v>45906.4375462963</v>
      </c>
      <c r="C1481" t="s">
        <v>483</v>
      </c>
      <c r="D1481" t="s">
        <v>170</v>
      </c>
      <c r="E1481" t="s">
        <v>144</v>
      </c>
      <c r="F1481" t="s">
        <v>2396</v>
      </c>
      <c r="G1481" t="s">
        <v>2379</v>
      </c>
      <c r="H1481">
        <v>18000</v>
      </c>
      <c r="I1481">
        <v>5</v>
      </c>
      <c r="J1481">
        <v>0</v>
      </c>
      <c r="K1481">
        <v>90000</v>
      </c>
      <c r="L1481">
        <v>0</v>
      </c>
      <c r="M1481">
        <v>90000</v>
      </c>
      <c r="N1481">
        <v>46000</v>
      </c>
      <c r="O1481">
        <v>136000</v>
      </c>
      <c r="P1481" t="s">
        <v>29</v>
      </c>
      <c r="Q1481" t="s">
        <v>2360</v>
      </c>
      <c r="R1481" t="s">
        <v>82</v>
      </c>
      <c r="S1481">
        <v>1</v>
      </c>
      <c r="T1481" t="s">
        <v>24</v>
      </c>
      <c r="U1481" t="s">
        <v>2409</v>
      </c>
      <c r="V1481">
        <v>2025</v>
      </c>
      <c r="W1481">
        <v>9</v>
      </c>
    </row>
    <row r="1482" spans="1:23" x14ac:dyDescent="0.25">
      <c r="A1482" t="s">
        <v>2314</v>
      </c>
      <c r="B1482">
        <v>45907.025393518517</v>
      </c>
      <c r="C1482" t="s">
        <v>473</v>
      </c>
      <c r="D1482" t="s">
        <v>122</v>
      </c>
      <c r="E1482" t="s">
        <v>58</v>
      </c>
      <c r="F1482" t="s">
        <v>2396</v>
      </c>
      <c r="G1482" t="s">
        <v>2377</v>
      </c>
      <c r="H1482">
        <v>16000</v>
      </c>
      <c r="I1482">
        <v>4</v>
      </c>
      <c r="J1482">
        <v>15</v>
      </c>
      <c r="K1482">
        <v>64000</v>
      </c>
      <c r="L1482">
        <v>9600</v>
      </c>
      <c r="M1482">
        <v>54400</v>
      </c>
      <c r="N1482">
        <v>78000</v>
      </c>
      <c r="O1482">
        <v>132400</v>
      </c>
      <c r="P1482" t="s">
        <v>29</v>
      </c>
      <c r="Q1482" t="s">
        <v>2357</v>
      </c>
      <c r="R1482" t="s">
        <v>36</v>
      </c>
      <c r="S1482">
        <v>3</v>
      </c>
      <c r="T1482" t="s">
        <v>24</v>
      </c>
      <c r="U1482" t="s">
        <v>2409</v>
      </c>
      <c r="V1482">
        <v>2025</v>
      </c>
      <c r="W1482">
        <v>9</v>
      </c>
    </row>
    <row r="1483" spans="1:23" x14ac:dyDescent="0.25">
      <c r="A1483" t="s">
        <v>2315</v>
      </c>
      <c r="B1483">
        <v>45907.163194444453</v>
      </c>
      <c r="C1483" t="s">
        <v>1237</v>
      </c>
      <c r="D1483" t="s">
        <v>92</v>
      </c>
      <c r="E1483" t="s">
        <v>71</v>
      </c>
      <c r="F1483" t="s">
        <v>2392</v>
      </c>
      <c r="G1483" t="s">
        <v>2379</v>
      </c>
      <c r="H1483">
        <v>40000</v>
      </c>
      <c r="I1483">
        <v>1</v>
      </c>
      <c r="J1483">
        <v>5</v>
      </c>
      <c r="K1483">
        <v>40000</v>
      </c>
      <c r="L1483">
        <v>2000</v>
      </c>
      <c r="M1483">
        <v>38000</v>
      </c>
      <c r="N1483">
        <v>30000</v>
      </c>
      <c r="O1483">
        <v>68000</v>
      </c>
      <c r="P1483" t="s">
        <v>29</v>
      </c>
      <c r="Q1483" t="s">
        <v>2360</v>
      </c>
      <c r="R1483" t="s">
        <v>46</v>
      </c>
      <c r="S1483">
        <v>5</v>
      </c>
      <c r="T1483" t="s">
        <v>24</v>
      </c>
      <c r="U1483" t="s">
        <v>2409</v>
      </c>
      <c r="V1483">
        <v>2025</v>
      </c>
      <c r="W1483">
        <v>9</v>
      </c>
    </row>
    <row r="1484" spans="1:23" x14ac:dyDescent="0.25">
      <c r="A1484" t="s">
        <v>2316</v>
      </c>
      <c r="B1484">
        <v>45907.29928240741</v>
      </c>
      <c r="C1484" t="s">
        <v>976</v>
      </c>
      <c r="D1484" t="s">
        <v>182</v>
      </c>
      <c r="E1484" t="s">
        <v>21</v>
      </c>
      <c r="F1484" t="s">
        <v>2394</v>
      </c>
      <c r="G1484" t="s">
        <v>2379</v>
      </c>
      <c r="H1484">
        <v>45000</v>
      </c>
      <c r="I1484">
        <v>3</v>
      </c>
      <c r="J1484">
        <v>0</v>
      </c>
      <c r="K1484">
        <v>135000</v>
      </c>
      <c r="L1484">
        <v>0</v>
      </c>
      <c r="M1484">
        <v>135000</v>
      </c>
      <c r="N1484">
        <v>48000</v>
      </c>
      <c r="O1484">
        <v>183000</v>
      </c>
      <c r="P1484" t="s">
        <v>63</v>
      </c>
      <c r="Q1484" t="s">
        <v>2357</v>
      </c>
      <c r="R1484" t="s">
        <v>46</v>
      </c>
      <c r="S1484">
        <v>1</v>
      </c>
      <c r="T1484" t="s">
        <v>24</v>
      </c>
      <c r="U1484" t="s">
        <v>2409</v>
      </c>
      <c r="V1484">
        <v>2025</v>
      </c>
      <c r="W1484">
        <v>9</v>
      </c>
    </row>
    <row r="1485" spans="1:23" x14ac:dyDescent="0.25">
      <c r="A1485" t="s">
        <v>2317</v>
      </c>
      <c r="B1485">
        <v>45907.406712962962</v>
      </c>
      <c r="C1485" t="s">
        <v>794</v>
      </c>
      <c r="D1485" t="s">
        <v>61</v>
      </c>
      <c r="E1485" t="s">
        <v>138</v>
      </c>
      <c r="F1485" t="s">
        <v>2396</v>
      </c>
      <c r="G1485" t="s">
        <v>2378</v>
      </c>
      <c r="H1485">
        <v>17000</v>
      </c>
      <c r="I1485">
        <v>3</v>
      </c>
      <c r="J1485">
        <v>10</v>
      </c>
      <c r="K1485">
        <v>51000</v>
      </c>
      <c r="L1485">
        <v>5100</v>
      </c>
      <c r="M1485">
        <v>45900</v>
      </c>
      <c r="N1485">
        <v>26000</v>
      </c>
      <c r="O1485">
        <v>71900</v>
      </c>
      <c r="P1485" t="s">
        <v>22</v>
      </c>
      <c r="Q1485" t="s">
        <v>2358</v>
      </c>
      <c r="R1485" t="s">
        <v>36</v>
      </c>
      <c r="S1485">
        <v>4</v>
      </c>
      <c r="T1485" t="s">
        <v>37</v>
      </c>
      <c r="U1485" t="s">
        <v>2409</v>
      </c>
      <c r="V1485">
        <v>2025</v>
      </c>
      <c r="W1485">
        <v>9</v>
      </c>
    </row>
    <row r="1486" spans="1:23" x14ac:dyDescent="0.25">
      <c r="A1486" t="s">
        <v>2318</v>
      </c>
      <c r="B1486">
        <v>45907.415150462963</v>
      </c>
      <c r="C1486" t="s">
        <v>1794</v>
      </c>
      <c r="D1486" t="s">
        <v>195</v>
      </c>
      <c r="E1486" t="s">
        <v>21</v>
      </c>
      <c r="F1486" t="s">
        <v>2394</v>
      </c>
      <c r="G1486" t="s">
        <v>2379</v>
      </c>
      <c r="H1486">
        <v>45000</v>
      </c>
      <c r="I1486">
        <v>3</v>
      </c>
      <c r="J1486">
        <v>20</v>
      </c>
      <c r="K1486">
        <v>135000</v>
      </c>
      <c r="L1486">
        <v>27000</v>
      </c>
      <c r="M1486">
        <v>108000</v>
      </c>
      <c r="N1486">
        <v>87000</v>
      </c>
      <c r="O1486">
        <v>195000</v>
      </c>
      <c r="P1486" t="s">
        <v>29</v>
      </c>
      <c r="Q1486" t="s">
        <v>2360</v>
      </c>
      <c r="R1486" t="s">
        <v>30</v>
      </c>
      <c r="S1486">
        <v>4</v>
      </c>
      <c r="T1486" t="s">
        <v>37</v>
      </c>
      <c r="U1486" t="s">
        <v>2409</v>
      </c>
      <c r="V1486">
        <v>2025</v>
      </c>
      <c r="W1486">
        <v>9</v>
      </c>
    </row>
    <row r="1487" spans="1:23" x14ac:dyDescent="0.25">
      <c r="A1487" t="s">
        <v>2319</v>
      </c>
      <c r="B1487">
        <v>45907.97729166667</v>
      </c>
      <c r="C1487" t="s">
        <v>495</v>
      </c>
      <c r="D1487" t="s">
        <v>44</v>
      </c>
      <c r="E1487" t="s">
        <v>190</v>
      </c>
      <c r="F1487" t="s">
        <v>2392</v>
      </c>
      <c r="G1487" t="s">
        <v>2378</v>
      </c>
      <c r="H1487">
        <v>35000</v>
      </c>
      <c r="I1487">
        <v>5</v>
      </c>
      <c r="J1487">
        <v>15</v>
      </c>
      <c r="K1487">
        <v>175000</v>
      </c>
      <c r="L1487">
        <v>26250</v>
      </c>
      <c r="M1487">
        <v>148750</v>
      </c>
      <c r="N1487">
        <v>93000</v>
      </c>
      <c r="O1487">
        <v>241750</v>
      </c>
      <c r="P1487" t="s">
        <v>29</v>
      </c>
      <c r="Q1487" t="s">
        <v>2360</v>
      </c>
      <c r="R1487" t="s">
        <v>30</v>
      </c>
      <c r="S1487">
        <v>1</v>
      </c>
      <c r="T1487" t="s">
        <v>37</v>
      </c>
      <c r="U1487" t="s">
        <v>2409</v>
      </c>
      <c r="V1487">
        <v>2025</v>
      </c>
      <c r="W1487">
        <v>9</v>
      </c>
    </row>
    <row r="1488" spans="1:23" x14ac:dyDescent="0.25">
      <c r="A1488" t="s">
        <v>2320</v>
      </c>
      <c r="B1488">
        <v>45908.137361111112</v>
      </c>
      <c r="C1488" t="s">
        <v>381</v>
      </c>
      <c r="D1488" t="s">
        <v>103</v>
      </c>
      <c r="E1488" t="s">
        <v>21</v>
      </c>
      <c r="F1488" t="s">
        <v>2394</v>
      </c>
      <c r="G1488" t="s">
        <v>2379</v>
      </c>
      <c r="H1488">
        <v>45000</v>
      </c>
      <c r="I1488">
        <v>3</v>
      </c>
      <c r="J1488">
        <v>5</v>
      </c>
      <c r="K1488">
        <v>135000</v>
      </c>
      <c r="L1488">
        <v>6750</v>
      </c>
      <c r="M1488">
        <v>128250</v>
      </c>
      <c r="N1488">
        <v>85000</v>
      </c>
      <c r="O1488">
        <v>213250</v>
      </c>
      <c r="P1488" t="s">
        <v>29</v>
      </c>
      <c r="Q1488" t="s">
        <v>2357</v>
      </c>
      <c r="R1488" t="s">
        <v>30</v>
      </c>
      <c r="S1488">
        <v>1</v>
      </c>
      <c r="T1488" t="s">
        <v>24</v>
      </c>
      <c r="U1488" t="s">
        <v>2409</v>
      </c>
      <c r="V1488">
        <v>2025</v>
      </c>
      <c r="W1488">
        <v>9</v>
      </c>
    </row>
    <row r="1489" spans="1:23" x14ac:dyDescent="0.25">
      <c r="A1489" t="s">
        <v>2321</v>
      </c>
      <c r="B1489">
        <v>45908.174062500002</v>
      </c>
      <c r="C1489" t="s">
        <v>150</v>
      </c>
      <c r="D1489" t="s">
        <v>151</v>
      </c>
      <c r="E1489" t="s">
        <v>75</v>
      </c>
      <c r="F1489" t="s">
        <v>2398</v>
      </c>
      <c r="G1489" t="s">
        <v>2379</v>
      </c>
      <c r="H1489">
        <v>55000</v>
      </c>
      <c r="I1489">
        <v>3</v>
      </c>
      <c r="J1489">
        <v>5</v>
      </c>
      <c r="K1489">
        <v>165000</v>
      </c>
      <c r="L1489">
        <v>8250</v>
      </c>
      <c r="M1489">
        <v>156750</v>
      </c>
      <c r="N1489">
        <v>55000</v>
      </c>
      <c r="O1489">
        <v>211750</v>
      </c>
      <c r="P1489" t="s">
        <v>35</v>
      </c>
      <c r="Q1489" t="s">
        <v>2360</v>
      </c>
      <c r="R1489" t="s">
        <v>82</v>
      </c>
      <c r="S1489">
        <v>5</v>
      </c>
      <c r="T1489" t="s">
        <v>37</v>
      </c>
      <c r="U1489" t="s">
        <v>2409</v>
      </c>
      <c r="V1489">
        <v>2025</v>
      </c>
      <c r="W1489">
        <v>9</v>
      </c>
    </row>
    <row r="1490" spans="1:23" x14ac:dyDescent="0.25">
      <c r="A1490" t="s">
        <v>2322</v>
      </c>
      <c r="B1490">
        <v>45908.257928240739</v>
      </c>
      <c r="C1490" t="s">
        <v>711</v>
      </c>
      <c r="D1490" t="s">
        <v>177</v>
      </c>
      <c r="E1490" t="s">
        <v>54</v>
      </c>
      <c r="F1490" t="s">
        <v>2393</v>
      </c>
      <c r="G1490" t="s">
        <v>2379</v>
      </c>
      <c r="H1490">
        <v>16000</v>
      </c>
      <c r="I1490">
        <v>2</v>
      </c>
      <c r="J1490">
        <v>10</v>
      </c>
      <c r="K1490">
        <v>32000</v>
      </c>
      <c r="L1490">
        <v>3200</v>
      </c>
      <c r="M1490">
        <v>28800</v>
      </c>
      <c r="N1490">
        <v>56000</v>
      </c>
      <c r="O1490">
        <v>84800</v>
      </c>
      <c r="P1490" t="s">
        <v>35</v>
      </c>
      <c r="Q1490" t="s">
        <v>2357</v>
      </c>
      <c r="R1490" t="s">
        <v>30</v>
      </c>
      <c r="S1490">
        <v>2</v>
      </c>
      <c r="T1490" t="s">
        <v>24</v>
      </c>
      <c r="U1490" t="s">
        <v>2409</v>
      </c>
      <c r="V1490">
        <v>2025</v>
      </c>
      <c r="W1490">
        <v>9</v>
      </c>
    </row>
    <row r="1491" spans="1:23" x14ac:dyDescent="0.25">
      <c r="A1491" t="s">
        <v>2323</v>
      </c>
      <c r="B1491">
        <v>45908.992615740739</v>
      </c>
      <c r="C1491" t="s">
        <v>584</v>
      </c>
      <c r="D1491" t="s">
        <v>92</v>
      </c>
      <c r="E1491" t="s">
        <v>58</v>
      </c>
      <c r="F1491" t="s">
        <v>2396</v>
      </c>
      <c r="G1491" t="s">
        <v>2377</v>
      </c>
      <c r="H1491">
        <v>16000</v>
      </c>
      <c r="I1491">
        <v>1</v>
      </c>
      <c r="J1491">
        <v>0</v>
      </c>
      <c r="K1491">
        <v>16000</v>
      </c>
      <c r="L1491">
        <v>0</v>
      </c>
      <c r="M1491">
        <v>16000</v>
      </c>
      <c r="N1491">
        <v>30000</v>
      </c>
      <c r="O1491">
        <v>46000</v>
      </c>
      <c r="P1491" t="s">
        <v>22</v>
      </c>
      <c r="Q1491" t="s">
        <v>2359</v>
      </c>
      <c r="R1491" t="s">
        <v>82</v>
      </c>
      <c r="S1491">
        <v>4</v>
      </c>
      <c r="T1491" t="s">
        <v>24</v>
      </c>
      <c r="U1491" t="s">
        <v>2409</v>
      </c>
      <c r="V1491">
        <v>2025</v>
      </c>
      <c r="W1491">
        <v>9</v>
      </c>
    </row>
    <row r="1492" spans="1:23" x14ac:dyDescent="0.25">
      <c r="A1492" t="s">
        <v>2324</v>
      </c>
      <c r="B1492">
        <v>45909.124780092592</v>
      </c>
      <c r="C1492" t="s">
        <v>1160</v>
      </c>
      <c r="D1492" t="s">
        <v>96</v>
      </c>
      <c r="E1492" t="s">
        <v>67</v>
      </c>
      <c r="F1492" t="s">
        <v>2393</v>
      </c>
      <c r="G1492" t="s">
        <v>2378</v>
      </c>
      <c r="H1492">
        <v>15000</v>
      </c>
      <c r="I1492">
        <v>2</v>
      </c>
      <c r="J1492">
        <v>15</v>
      </c>
      <c r="K1492">
        <v>30000</v>
      </c>
      <c r="L1492">
        <v>4500</v>
      </c>
      <c r="M1492">
        <v>25500</v>
      </c>
      <c r="N1492">
        <v>49000</v>
      </c>
      <c r="O1492">
        <v>74500</v>
      </c>
      <c r="P1492" t="s">
        <v>29</v>
      </c>
      <c r="Q1492" t="s">
        <v>2357</v>
      </c>
      <c r="R1492" t="s">
        <v>46</v>
      </c>
      <c r="S1492">
        <v>3</v>
      </c>
      <c r="T1492" t="s">
        <v>24</v>
      </c>
      <c r="U1492" t="s">
        <v>2409</v>
      </c>
      <c r="V1492">
        <v>2025</v>
      </c>
      <c r="W1492">
        <v>9</v>
      </c>
    </row>
    <row r="1493" spans="1:23" x14ac:dyDescent="0.25">
      <c r="A1493" t="s">
        <v>2325</v>
      </c>
      <c r="B1493">
        <v>45909.465266203697</v>
      </c>
      <c r="C1493" t="s">
        <v>722</v>
      </c>
      <c r="D1493" t="s">
        <v>57</v>
      </c>
      <c r="E1493" t="s">
        <v>93</v>
      </c>
      <c r="F1493" t="s">
        <v>2399</v>
      </c>
      <c r="G1493" t="s">
        <v>2378</v>
      </c>
      <c r="H1493">
        <v>25000</v>
      </c>
      <c r="I1493">
        <v>4</v>
      </c>
      <c r="J1493">
        <v>5</v>
      </c>
      <c r="K1493">
        <v>100000</v>
      </c>
      <c r="L1493">
        <v>5000</v>
      </c>
      <c r="M1493">
        <v>95000</v>
      </c>
      <c r="N1493">
        <v>80000</v>
      </c>
      <c r="O1493">
        <v>175000</v>
      </c>
      <c r="P1493" t="s">
        <v>29</v>
      </c>
      <c r="Q1493" t="s">
        <v>2357</v>
      </c>
      <c r="R1493" t="s">
        <v>46</v>
      </c>
      <c r="S1493">
        <v>5</v>
      </c>
      <c r="T1493" t="s">
        <v>24</v>
      </c>
      <c r="U1493" t="s">
        <v>2409</v>
      </c>
      <c r="V1493">
        <v>2025</v>
      </c>
      <c r="W1493">
        <v>9</v>
      </c>
    </row>
    <row r="1494" spans="1:23" x14ac:dyDescent="0.25">
      <c r="A1494" t="s">
        <v>2326</v>
      </c>
      <c r="B1494">
        <v>45909.471724537027</v>
      </c>
      <c r="C1494" t="s">
        <v>1128</v>
      </c>
      <c r="D1494" t="s">
        <v>113</v>
      </c>
      <c r="E1494" t="s">
        <v>110</v>
      </c>
      <c r="F1494" t="s">
        <v>2395</v>
      </c>
      <c r="G1494" t="s">
        <v>2379</v>
      </c>
      <c r="H1494">
        <v>6000</v>
      </c>
      <c r="I1494">
        <v>4</v>
      </c>
      <c r="J1494">
        <v>10</v>
      </c>
      <c r="K1494">
        <v>24000</v>
      </c>
      <c r="L1494">
        <v>2400</v>
      </c>
      <c r="M1494">
        <v>21600</v>
      </c>
      <c r="N1494">
        <v>18000</v>
      </c>
      <c r="O1494">
        <v>39600</v>
      </c>
      <c r="P1494" t="s">
        <v>22</v>
      </c>
      <c r="Q1494" t="s">
        <v>2357</v>
      </c>
      <c r="R1494" t="s">
        <v>46</v>
      </c>
      <c r="S1494">
        <v>1</v>
      </c>
      <c r="T1494" t="s">
        <v>24</v>
      </c>
      <c r="U1494" t="s">
        <v>2409</v>
      </c>
      <c r="V1494">
        <v>2025</v>
      </c>
      <c r="W1494">
        <v>9</v>
      </c>
    </row>
    <row r="1495" spans="1:23" x14ac:dyDescent="0.25">
      <c r="A1495" t="s">
        <v>2327</v>
      </c>
      <c r="B1495">
        <v>45909.625439814823</v>
      </c>
      <c r="C1495" t="s">
        <v>299</v>
      </c>
      <c r="D1495" t="s">
        <v>163</v>
      </c>
      <c r="E1495" t="s">
        <v>58</v>
      </c>
      <c r="F1495" t="s">
        <v>2396</v>
      </c>
      <c r="G1495" t="s">
        <v>2377</v>
      </c>
      <c r="H1495">
        <v>16000</v>
      </c>
      <c r="I1495">
        <v>3</v>
      </c>
      <c r="J1495">
        <v>20</v>
      </c>
      <c r="K1495">
        <v>48000</v>
      </c>
      <c r="L1495">
        <v>9600</v>
      </c>
      <c r="M1495">
        <v>38400</v>
      </c>
      <c r="N1495">
        <v>50000</v>
      </c>
      <c r="O1495">
        <v>88400</v>
      </c>
      <c r="P1495" t="s">
        <v>63</v>
      </c>
      <c r="Q1495" t="s">
        <v>2360</v>
      </c>
      <c r="R1495" t="s">
        <v>36</v>
      </c>
      <c r="S1495">
        <v>4</v>
      </c>
      <c r="T1495" t="s">
        <v>24</v>
      </c>
      <c r="U1495" t="s">
        <v>2409</v>
      </c>
      <c r="V1495">
        <v>2025</v>
      </c>
      <c r="W1495">
        <v>9</v>
      </c>
    </row>
    <row r="1496" spans="1:23" x14ac:dyDescent="0.25">
      <c r="A1496" t="s">
        <v>2328</v>
      </c>
      <c r="B1496">
        <v>45909.898738425924</v>
      </c>
      <c r="C1496" t="s">
        <v>441</v>
      </c>
      <c r="D1496" t="s">
        <v>116</v>
      </c>
      <c r="E1496" t="s">
        <v>38</v>
      </c>
      <c r="F1496" t="s">
        <v>2399</v>
      </c>
      <c r="G1496" t="s">
        <v>2379</v>
      </c>
      <c r="H1496">
        <v>28000</v>
      </c>
      <c r="I1496">
        <v>2</v>
      </c>
      <c r="J1496">
        <v>5</v>
      </c>
      <c r="K1496">
        <v>56000</v>
      </c>
      <c r="L1496">
        <v>2800</v>
      </c>
      <c r="M1496">
        <v>53200</v>
      </c>
      <c r="N1496">
        <v>72000</v>
      </c>
      <c r="O1496">
        <v>125200</v>
      </c>
      <c r="P1496" t="s">
        <v>63</v>
      </c>
      <c r="Q1496" t="s">
        <v>2357</v>
      </c>
      <c r="R1496" t="s">
        <v>46</v>
      </c>
      <c r="S1496">
        <v>1</v>
      </c>
      <c r="T1496" t="s">
        <v>37</v>
      </c>
      <c r="U1496" t="s">
        <v>2409</v>
      </c>
      <c r="V1496">
        <v>2025</v>
      </c>
      <c r="W1496">
        <v>9</v>
      </c>
    </row>
    <row r="1497" spans="1:23" x14ac:dyDescent="0.25">
      <c r="A1497" t="s">
        <v>2329</v>
      </c>
      <c r="B1497">
        <v>45910.002106481479</v>
      </c>
      <c r="C1497" t="s">
        <v>1025</v>
      </c>
      <c r="D1497" t="s">
        <v>119</v>
      </c>
      <c r="E1497" t="s">
        <v>41</v>
      </c>
      <c r="F1497" t="s">
        <v>2395</v>
      </c>
      <c r="G1497" t="s">
        <v>2377</v>
      </c>
      <c r="H1497">
        <v>4000</v>
      </c>
      <c r="I1497">
        <v>1</v>
      </c>
      <c r="J1497">
        <v>0</v>
      </c>
      <c r="K1497">
        <v>4000</v>
      </c>
      <c r="L1497">
        <v>0</v>
      </c>
      <c r="M1497">
        <v>4000</v>
      </c>
      <c r="N1497">
        <v>0</v>
      </c>
      <c r="O1497">
        <v>4000</v>
      </c>
      <c r="P1497" t="s">
        <v>22</v>
      </c>
      <c r="Q1497" t="s">
        <v>2357</v>
      </c>
      <c r="R1497" t="s">
        <v>23</v>
      </c>
      <c r="S1497">
        <v>2</v>
      </c>
      <c r="T1497" t="s">
        <v>24</v>
      </c>
      <c r="U1497" t="s">
        <v>2409</v>
      </c>
      <c r="V1497">
        <v>2025</v>
      </c>
      <c r="W1497">
        <v>9</v>
      </c>
    </row>
    <row r="1498" spans="1:23" x14ac:dyDescent="0.25">
      <c r="A1498" t="s">
        <v>2329</v>
      </c>
      <c r="B1498">
        <v>45910.002106481479</v>
      </c>
      <c r="C1498" t="s">
        <v>1025</v>
      </c>
      <c r="D1498" t="s">
        <v>119</v>
      </c>
      <c r="E1498" t="s">
        <v>41</v>
      </c>
      <c r="F1498" t="s">
        <v>2395</v>
      </c>
      <c r="G1498" t="s">
        <v>2377</v>
      </c>
      <c r="H1498">
        <v>4000</v>
      </c>
      <c r="I1498">
        <v>2</v>
      </c>
      <c r="J1498">
        <v>15</v>
      </c>
      <c r="K1498">
        <v>8000</v>
      </c>
      <c r="L1498">
        <v>1200</v>
      </c>
      <c r="M1498">
        <v>6800</v>
      </c>
      <c r="N1498">
        <v>0</v>
      </c>
      <c r="O1498">
        <v>6800</v>
      </c>
      <c r="P1498" t="s">
        <v>22</v>
      </c>
      <c r="Q1498" t="s">
        <v>2357</v>
      </c>
      <c r="R1498" t="s">
        <v>23</v>
      </c>
      <c r="S1498">
        <v>2</v>
      </c>
      <c r="T1498" t="s">
        <v>24</v>
      </c>
      <c r="U1498" t="s">
        <v>2409</v>
      </c>
      <c r="V1498">
        <v>2025</v>
      </c>
      <c r="W1498">
        <v>9</v>
      </c>
    </row>
    <row r="1499" spans="1:23" x14ac:dyDescent="0.25">
      <c r="A1499" t="s">
        <v>2330</v>
      </c>
      <c r="B1499">
        <v>45910.324317129627</v>
      </c>
      <c r="C1499" t="s">
        <v>1073</v>
      </c>
      <c r="D1499" t="s">
        <v>27</v>
      </c>
      <c r="E1499" t="s">
        <v>38</v>
      </c>
      <c r="F1499" t="s">
        <v>2399</v>
      </c>
      <c r="G1499" t="s">
        <v>2379</v>
      </c>
      <c r="H1499">
        <v>28000</v>
      </c>
      <c r="I1499">
        <v>1</v>
      </c>
      <c r="J1499">
        <v>10</v>
      </c>
      <c r="K1499">
        <v>28000</v>
      </c>
      <c r="L1499">
        <v>2800</v>
      </c>
      <c r="M1499">
        <v>25200</v>
      </c>
      <c r="N1499">
        <v>17000</v>
      </c>
      <c r="O1499">
        <v>42200</v>
      </c>
      <c r="P1499" t="s">
        <v>35</v>
      </c>
      <c r="Q1499" t="s">
        <v>2359</v>
      </c>
      <c r="R1499" t="s">
        <v>82</v>
      </c>
      <c r="S1499">
        <v>3</v>
      </c>
      <c r="T1499" t="s">
        <v>24</v>
      </c>
      <c r="U1499" t="s">
        <v>2409</v>
      </c>
      <c r="V1499">
        <v>2025</v>
      </c>
      <c r="W1499">
        <v>9</v>
      </c>
    </row>
    <row r="1500" spans="1:23" x14ac:dyDescent="0.25">
      <c r="A1500" t="s">
        <v>2331</v>
      </c>
      <c r="B1500">
        <v>45910.486921296288</v>
      </c>
      <c r="C1500" t="s">
        <v>381</v>
      </c>
      <c r="D1500" t="s">
        <v>103</v>
      </c>
      <c r="E1500" t="s">
        <v>38</v>
      </c>
      <c r="F1500" t="s">
        <v>2399</v>
      </c>
      <c r="G1500" t="s">
        <v>2379</v>
      </c>
      <c r="H1500">
        <v>28000</v>
      </c>
      <c r="I1500">
        <v>5</v>
      </c>
      <c r="J1500">
        <v>15</v>
      </c>
      <c r="K1500">
        <v>140000</v>
      </c>
      <c r="L1500">
        <v>21000</v>
      </c>
      <c r="M1500">
        <v>119000</v>
      </c>
      <c r="N1500">
        <v>85000</v>
      </c>
      <c r="O1500">
        <v>204000</v>
      </c>
      <c r="P1500" t="s">
        <v>63</v>
      </c>
      <c r="Q1500" t="s">
        <v>2360</v>
      </c>
      <c r="R1500" t="s">
        <v>36</v>
      </c>
      <c r="S1500">
        <v>4</v>
      </c>
      <c r="T1500" t="s">
        <v>24</v>
      </c>
      <c r="U1500" t="s">
        <v>2409</v>
      </c>
      <c r="V1500">
        <v>2025</v>
      </c>
      <c r="W1500">
        <v>9</v>
      </c>
    </row>
    <row r="1501" spans="1:23" x14ac:dyDescent="0.25">
      <c r="A1501" t="s">
        <v>2332</v>
      </c>
      <c r="B1501">
        <v>45911.310497685183</v>
      </c>
      <c r="C1501" t="s">
        <v>605</v>
      </c>
      <c r="D1501" t="s">
        <v>151</v>
      </c>
      <c r="E1501" t="s">
        <v>41</v>
      </c>
      <c r="F1501" t="s">
        <v>2395</v>
      </c>
      <c r="G1501" t="s">
        <v>2377</v>
      </c>
      <c r="H1501">
        <v>4000</v>
      </c>
      <c r="I1501">
        <v>2</v>
      </c>
      <c r="J1501">
        <v>5</v>
      </c>
      <c r="K1501">
        <v>8000</v>
      </c>
      <c r="L1501">
        <v>400</v>
      </c>
      <c r="M1501">
        <v>7600</v>
      </c>
      <c r="N1501">
        <v>55000</v>
      </c>
      <c r="O1501">
        <v>62600</v>
      </c>
      <c r="P1501" t="s">
        <v>22</v>
      </c>
      <c r="Q1501" t="s">
        <v>2357</v>
      </c>
      <c r="R1501" t="s">
        <v>36</v>
      </c>
      <c r="S1501">
        <v>2</v>
      </c>
      <c r="T1501" t="s">
        <v>24</v>
      </c>
      <c r="U1501" t="s">
        <v>2409</v>
      </c>
      <c r="V1501">
        <v>2025</v>
      </c>
      <c r="W1501">
        <v>9</v>
      </c>
    </row>
    <row r="1502" spans="1:23" x14ac:dyDescent="0.25">
      <c r="A1502" t="s">
        <v>2333</v>
      </c>
      <c r="B1502">
        <v>45912.145752314813</v>
      </c>
      <c r="C1502" t="s">
        <v>488</v>
      </c>
      <c r="D1502" t="s">
        <v>49</v>
      </c>
      <c r="E1502" t="s">
        <v>144</v>
      </c>
      <c r="F1502" t="s">
        <v>2396</v>
      </c>
      <c r="G1502" t="s">
        <v>2379</v>
      </c>
      <c r="H1502">
        <v>18000</v>
      </c>
      <c r="I1502">
        <v>3</v>
      </c>
      <c r="J1502">
        <v>20</v>
      </c>
      <c r="K1502">
        <v>54000</v>
      </c>
      <c r="L1502">
        <v>10800</v>
      </c>
      <c r="M1502">
        <v>43200</v>
      </c>
      <c r="N1502">
        <v>43000</v>
      </c>
      <c r="O1502">
        <v>86200</v>
      </c>
      <c r="P1502" t="s">
        <v>63</v>
      </c>
      <c r="Q1502" t="s">
        <v>2357</v>
      </c>
      <c r="R1502" t="s">
        <v>46</v>
      </c>
      <c r="S1502">
        <v>5</v>
      </c>
      <c r="T1502" t="s">
        <v>24</v>
      </c>
      <c r="U1502" t="s">
        <v>2409</v>
      </c>
      <c r="V1502">
        <v>2025</v>
      </c>
      <c r="W1502">
        <v>9</v>
      </c>
    </row>
    <row r="1503" spans="1:23" x14ac:dyDescent="0.25">
      <c r="A1503" t="s">
        <v>2333</v>
      </c>
      <c r="B1503">
        <v>45912.145752314813</v>
      </c>
      <c r="C1503" t="s">
        <v>488</v>
      </c>
      <c r="D1503" t="s">
        <v>49</v>
      </c>
      <c r="E1503" t="s">
        <v>104</v>
      </c>
      <c r="F1503" t="s">
        <v>2392</v>
      </c>
      <c r="G1503" t="s">
        <v>2377</v>
      </c>
      <c r="H1503">
        <v>30000</v>
      </c>
      <c r="I1503">
        <v>1</v>
      </c>
      <c r="J1503">
        <v>0</v>
      </c>
      <c r="K1503">
        <v>30000</v>
      </c>
      <c r="L1503">
        <v>0</v>
      </c>
      <c r="M1503">
        <v>30000</v>
      </c>
      <c r="N1503">
        <v>0</v>
      </c>
      <c r="O1503">
        <v>30000</v>
      </c>
      <c r="P1503" t="s">
        <v>63</v>
      </c>
      <c r="Q1503" t="s">
        <v>2357</v>
      </c>
      <c r="R1503" t="s">
        <v>46</v>
      </c>
      <c r="S1503">
        <v>5</v>
      </c>
      <c r="T1503" t="s">
        <v>24</v>
      </c>
      <c r="U1503" t="s">
        <v>2409</v>
      </c>
      <c r="V1503">
        <v>2025</v>
      </c>
      <c r="W1503">
        <v>9</v>
      </c>
    </row>
    <row r="1504" spans="1:23" x14ac:dyDescent="0.25">
      <c r="A1504" t="s">
        <v>2334</v>
      </c>
      <c r="B1504">
        <v>45912.35261574074</v>
      </c>
      <c r="C1504" t="s">
        <v>305</v>
      </c>
      <c r="D1504" t="s">
        <v>143</v>
      </c>
      <c r="E1504" t="s">
        <v>21</v>
      </c>
      <c r="F1504" t="s">
        <v>2394</v>
      </c>
      <c r="G1504" t="s">
        <v>2379</v>
      </c>
      <c r="H1504">
        <v>45000</v>
      </c>
      <c r="I1504">
        <v>2</v>
      </c>
      <c r="J1504">
        <v>20</v>
      </c>
      <c r="K1504">
        <v>90000</v>
      </c>
      <c r="L1504">
        <v>18000</v>
      </c>
      <c r="M1504">
        <v>72000</v>
      </c>
      <c r="N1504">
        <v>50000</v>
      </c>
      <c r="O1504">
        <v>122000</v>
      </c>
      <c r="P1504" t="s">
        <v>63</v>
      </c>
      <c r="Q1504" t="s">
        <v>2357</v>
      </c>
      <c r="R1504" t="s">
        <v>46</v>
      </c>
      <c r="S1504">
        <v>5</v>
      </c>
      <c r="T1504" t="s">
        <v>24</v>
      </c>
      <c r="U1504" t="s">
        <v>2409</v>
      </c>
      <c r="V1504">
        <v>2025</v>
      </c>
      <c r="W1504">
        <v>9</v>
      </c>
    </row>
    <row r="1505" spans="1:23" x14ac:dyDescent="0.25">
      <c r="A1505" t="s">
        <v>2335</v>
      </c>
      <c r="B1505">
        <v>45912.45</v>
      </c>
      <c r="C1505" t="s">
        <v>299</v>
      </c>
      <c r="D1505" t="s">
        <v>163</v>
      </c>
      <c r="E1505" t="s">
        <v>144</v>
      </c>
      <c r="F1505" t="s">
        <v>2396</v>
      </c>
      <c r="G1505" t="s">
        <v>2379</v>
      </c>
      <c r="H1505">
        <v>18000</v>
      </c>
      <c r="I1505">
        <v>1</v>
      </c>
      <c r="J1505">
        <v>10</v>
      </c>
      <c r="K1505">
        <v>18000</v>
      </c>
      <c r="L1505">
        <v>1800</v>
      </c>
      <c r="M1505">
        <v>16200</v>
      </c>
      <c r="N1505">
        <v>50000</v>
      </c>
      <c r="O1505">
        <v>66200</v>
      </c>
      <c r="P1505" t="s">
        <v>35</v>
      </c>
      <c r="Q1505" t="s">
        <v>2358</v>
      </c>
      <c r="R1505" t="s">
        <v>30</v>
      </c>
      <c r="S1505">
        <v>2</v>
      </c>
      <c r="T1505" t="s">
        <v>24</v>
      </c>
      <c r="U1505" t="s">
        <v>2409</v>
      </c>
      <c r="V1505">
        <v>2025</v>
      </c>
      <c r="W1505">
        <v>9</v>
      </c>
    </row>
    <row r="1506" spans="1:23" x14ac:dyDescent="0.25">
      <c r="A1506" t="s">
        <v>2336</v>
      </c>
      <c r="B1506">
        <v>45912.501030092593</v>
      </c>
      <c r="C1506" t="s">
        <v>900</v>
      </c>
      <c r="D1506" t="s">
        <v>27</v>
      </c>
      <c r="E1506" t="s">
        <v>75</v>
      </c>
      <c r="F1506" t="s">
        <v>2398</v>
      </c>
      <c r="G1506" t="s">
        <v>2379</v>
      </c>
      <c r="H1506">
        <v>55000</v>
      </c>
      <c r="I1506">
        <v>4</v>
      </c>
      <c r="J1506">
        <v>20</v>
      </c>
      <c r="K1506">
        <v>220000</v>
      </c>
      <c r="L1506">
        <v>44000</v>
      </c>
      <c r="M1506">
        <v>176000</v>
      </c>
      <c r="N1506">
        <v>17000</v>
      </c>
      <c r="O1506">
        <v>193000</v>
      </c>
      <c r="P1506" t="s">
        <v>63</v>
      </c>
      <c r="Q1506" t="s">
        <v>2357</v>
      </c>
      <c r="R1506" t="s">
        <v>30</v>
      </c>
      <c r="S1506">
        <v>4</v>
      </c>
      <c r="T1506" t="s">
        <v>24</v>
      </c>
      <c r="U1506" t="s">
        <v>2409</v>
      </c>
      <c r="V1506">
        <v>2025</v>
      </c>
      <c r="W1506">
        <v>9</v>
      </c>
    </row>
    <row r="1507" spans="1:23" x14ac:dyDescent="0.25">
      <c r="A1507" t="s">
        <v>2337</v>
      </c>
      <c r="B1507">
        <v>45912.618125000001</v>
      </c>
      <c r="C1507" t="s">
        <v>1033</v>
      </c>
      <c r="D1507" t="s">
        <v>122</v>
      </c>
      <c r="E1507" t="s">
        <v>144</v>
      </c>
      <c r="F1507" t="s">
        <v>2396</v>
      </c>
      <c r="G1507" t="s">
        <v>2379</v>
      </c>
      <c r="H1507">
        <v>18000</v>
      </c>
      <c r="I1507">
        <v>1</v>
      </c>
      <c r="J1507">
        <v>0</v>
      </c>
      <c r="K1507">
        <v>18000</v>
      </c>
      <c r="L1507">
        <v>0</v>
      </c>
      <c r="M1507">
        <v>18000</v>
      </c>
      <c r="N1507">
        <v>78000</v>
      </c>
      <c r="O1507">
        <v>96000</v>
      </c>
      <c r="P1507" t="s">
        <v>29</v>
      </c>
      <c r="Q1507" t="s">
        <v>2357</v>
      </c>
      <c r="R1507" t="s">
        <v>36</v>
      </c>
      <c r="S1507">
        <v>2</v>
      </c>
      <c r="T1507" t="s">
        <v>24</v>
      </c>
      <c r="U1507" t="s">
        <v>2409</v>
      </c>
      <c r="V1507">
        <v>2025</v>
      </c>
      <c r="W1507">
        <v>9</v>
      </c>
    </row>
    <row r="1508" spans="1:23" x14ac:dyDescent="0.25">
      <c r="A1508" t="s">
        <v>2338</v>
      </c>
      <c r="B1508">
        <v>45913.005798611113</v>
      </c>
      <c r="C1508" t="s">
        <v>891</v>
      </c>
      <c r="D1508" t="s">
        <v>126</v>
      </c>
      <c r="E1508" t="s">
        <v>138</v>
      </c>
      <c r="F1508" t="s">
        <v>2396</v>
      </c>
      <c r="G1508" t="s">
        <v>2378</v>
      </c>
      <c r="H1508">
        <v>17000</v>
      </c>
      <c r="I1508">
        <v>5</v>
      </c>
      <c r="J1508">
        <v>20</v>
      </c>
      <c r="K1508">
        <v>85000</v>
      </c>
      <c r="L1508">
        <v>17000</v>
      </c>
      <c r="M1508">
        <v>68000</v>
      </c>
      <c r="N1508">
        <v>84000</v>
      </c>
      <c r="O1508">
        <v>152000</v>
      </c>
      <c r="P1508" t="s">
        <v>22</v>
      </c>
      <c r="Q1508" t="s">
        <v>2357</v>
      </c>
      <c r="R1508" t="s">
        <v>36</v>
      </c>
      <c r="S1508">
        <v>5</v>
      </c>
      <c r="T1508" t="s">
        <v>37</v>
      </c>
      <c r="U1508" t="s">
        <v>2409</v>
      </c>
      <c r="V1508">
        <v>2025</v>
      </c>
      <c r="W1508">
        <v>9</v>
      </c>
    </row>
    <row r="1509" spans="1:23" x14ac:dyDescent="0.25">
      <c r="A1509" t="s">
        <v>2338</v>
      </c>
      <c r="B1509">
        <v>45913.005798611113</v>
      </c>
      <c r="C1509" t="s">
        <v>891</v>
      </c>
      <c r="D1509" t="s">
        <v>126</v>
      </c>
      <c r="E1509" t="s">
        <v>136</v>
      </c>
      <c r="F1509" t="s">
        <v>2400</v>
      </c>
      <c r="G1509" t="s">
        <v>2378</v>
      </c>
      <c r="H1509">
        <v>12000</v>
      </c>
      <c r="I1509">
        <v>4</v>
      </c>
      <c r="J1509">
        <v>0</v>
      </c>
      <c r="K1509">
        <v>48000</v>
      </c>
      <c r="L1509">
        <v>0</v>
      </c>
      <c r="M1509">
        <v>48000</v>
      </c>
      <c r="N1509">
        <v>0</v>
      </c>
      <c r="O1509">
        <v>48000</v>
      </c>
      <c r="P1509" t="s">
        <v>22</v>
      </c>
      <c r="Q1509" t="s">
        <v>2357</v>
      </c>
      <c r="R1509" t="s">
        <v>36</v>
      </c>
      <c r="S1509">
        <v>5</v>
      </c>
      <c r="T1509" t="s">
        <v>37</v>
      </c>
      <c r="U1509" t="s">
        <v>2409</v>
      </c>
      <c r="V1509">
        <v>2025</v>
      </c>
      <c r="W1509">
        <v>9</v>
      </c>
    </row>
    <row r="1510" spans="1:23" x14ac:dyDescent="0.25">
      <c r="A1510" t="s">
        <v>2339</v>
      </c>
      <c r="B1510">
        <v>45913.014201388891</v>
      </c>
      <c r="C1510" t="s">
        <v>732</v>
      </c>
      <c r="D1510" t="s">
        <v>170</v>
      </c>
      <c r="E1510" t="s">
        <v>81</v>
      </c>
      <c r="F1510" t="s">
        <v>2397</v>
      </c>
      <c r="G1510" t="s">
        <v>2378</v>
      </c>
      <c r="H1510">
        <v>17000</v>
      </c>
      <c r="I1510">
        <v>3</v>
      </c>
      <c r="J1510">
        <v>0</v>
      </c>
      <c r="K1510">
        <v>51000</v>
      </c>
      <c r="L1510">
        <v>0</v>
      </c>
      <c r="M1510">
        <v>51000</v>
      </c>
      <c r="N1510">
        <v>46000</v>
      </c>
      <c r="O1510">
        <v>97000</v>
      </c>
      <c r="P1510" t="s">
        <v>35</v>
      </c>
      <c r="Q1510" t="s">
        <v>2357</v>
      </c>
      <c r="R1510" t="s">
        <v>82</v>
      </c>
      <c r="S1510">
        <v>3</v>
      </c>
      <c r="T1510" t="s">
        <v>24</v>
      </c>
      <c r="U1510" t="s">
        <v>2409</v>
      </c>
      <c r="V1510">
        <v>2025</v>
      </c>
      <c r="W1510">
        <v>9</v>
      </c>
    </row>
    <row r="1511" spans="1:23" x14ac:dyDescent="0.25">
      <c r="A1511" t="s">
        <v>2339</v>
      </c>
      <c r="B1511">
        <v>45913.014201388891</v>
      </c>
      <c r="C1511" t="s">
        <v>732</v>
      </c>
      <c r="D1511" t="s">
        <v>170</v>
      </c>
      <c r="E1511" t="s">
        <v>50</v>
      </c>
      <c r="F1511" t="s">
        <v>2400</v>
      </c>
      <c r="G1511" t="s">
        <v>2379</v>
      </c>
      <c r="H1511">
        <v>14000</v>
      </c>
      <c r="I1511">
        <v>4</v>
      </c>
      <c r="J1511">
        <v>0</v>
      </c>
      <c r="K1511">
        <v>56000</v>
      </c>
      <c r="L1511">
        <v>0</v>
      </c>
      <c r="M1511">
        <v>56000</v>
      </c>
      <c r="N1511">
        <v>0</v>
      </c>
      <c r="O1511">
        <v>56000</v>
      </c>
      <c r="P1511" t="s">
        <v>35</v>
      </c>
      <c r="Q1511" t="s">
        <v>2357</v>
      </c>
      <c r="R1511" t="s">
        <v>82</v>
      </c>
      <c r="S1511">
        <v>3</v>
      </c>
      <c r="T1511" t="s">
        <v>24</v>
      </c>
      <c r="U1511" t="s">
        <v>2409</v>
      </c>
      <c r="V1511">
        <v>2025</v>
      </c>
      <c r="W1511">
        <v>9</v>
      </c>
    </row>
    <row r="1512" spans="1:23" x14ac:dyDescent="0.25">
      <c r="A1512" t="s">
        <v>2340</v>
      </c>
      <c r="B1512">
        <v>45913.278587962966</v>
      </c>
      <c r="C1512" t="s">
        <v>1136</v>
      </c>
      <c r="D1512" t="s">
        <v>195</v>
      </c>
      <c r="E1512" t="s">
        <v>81</v>
      </c>
      <c r="F1512" t="s">
        <v>2397</v>
      </c>
      <c r="G1512" t="s">
        <v>2378</v>
      </c>
      <c r="H1512">
        <v>17000</v>
      </c>
      <c r="I1512">
        <v>5</v>
      </c>
      <c r="J1512">
        <v>0</v>
      </c>
      <c r="K1512">
        <v>85000</v>
      </c>
      <c r="L1512">
        <v>0</v>
      </c>
      <c r="M1512">
        <v>85000</v>
      </c>
      <c r="N1512">
        <v>87000</v>
      </c>
      <c r="O1512">
        <v>172000</v>
      </c>
      <c r="P1512" t="s">
        <v>63</v>
      </c>
      <c r="Q1512" t="s">
        <v>2357</v>
      </c>
      <c r="R1512" t="s">
        <v>30</v>
      </c>
      <c r="S1512">
        <v>2</v>
      </c>
      <c r="T1512" t="s">
        <v>24</v>
      </c>
      <c r="U1512" t="s">
        <v>2409</v>
      </c>
      <c r="V1512">
        <v>2025</v>
      </c>
      <c r="W1512">
        <v>9</v>
      </c>
    </row>
    <row r="1513" spans="1:23" x14ac:dyDescent="0.25">
      <c r="A1513" t="s">
        <v>2341</v>
      </c>
      <c r="B1513">
        <v>45913.297407407408</v>
      </c>
      <c r="C1513" t="s">
        <v>609</v>
      </c>
      <c r="D1513" t="s">
        <v>80</v>
      </c>
      <c r="E1513" t="s">
        <v>28</v>
      </c>
      <c r="F1513" t="s">
        <v>2395</v>
      </c>
      <c r="G1513" t="s">
        <v>2378</v>
      </c>
      <c r="H1513">
        <v>5000</v>
      </c>
      <c r="I1513">
        <v>1</v>
      </c>
      <c r="J1513">
        <v>10</v>
      </c>
      <c r="K1513">
        <v>5000</v>
      </c>
      <c r="L1513">
        <v>500</v>
      </c>
      <c r="M1513">
        <v>4500</v>
      </c>
      <c r="N1513">
        <v>74000</v>
      </c>
      <c r="O1513">
        <v>78500</v>
      </c>
      <c r="P1513" t="s">
        <v>63</v>
      </c>
      <c r="Q1513" t="s">
        <v>2357</v>
      </c>
      <c r="R1513" t="s">
        <v>30</v>
      </c>
      <c r="S1513">
        <v>5</v>
      </c>
      <c r="T1513" t="s">
        <v>24</v>
      </c>
      <c r="U1513" t="s">
        <v>2409</v>
      </c>
      <c r="V1513">
        <v>2025</v>
      </c>
      <c r="W1513">
        <v>9</v>
      </c>
    </row>
    <row r="1514" spans="1:23" x14ac:dyDescent="0.25">
      <c r="A1514" t="s">
        <v>2342</v>
      </c>
      <c r="B1514">
        <v>45913.318969907406</v>
      </c>
      <c r="C1514" t="s">
        <v>1022</v>
      </c>
      <c r="D1514" t="s">
        <v>177</v>
      </c>
      <c r="E1514" t="s">
        <v>93</v>
      </c>
      <c r="F1514" t="s">
        <v>2399</v>
      </c>
      <c r="G1514" t="s">
        <v>2378</v>
      </c>
      <c r="H1514">
        <v>25000</v>
      </c>
      <c r="I1514">
        <v>3</v>
      </c>
      <c r="J1514">
        <v>5</v>
      </c>
      <c r="K1514">
        <v>75000</v>
      </c>
      <c r="L1514">
        <v>3750</v>
      </c>
      <c r="M1514">
        <v>71250</v>
      </c>
      <c r="N1514">
        <v>56000</v>
      </c>
      <c r="O1514">
        <v>127250</v>
      </c>
      <c r="P1514" t="s">
        <v>63</v>
      </c>
      <c r="Q1514" t="s">
        <v>2360</v>
      </c>
      <c r="R1514" t="s">
        <v>23</v>
      </c>
      <c r="S1514">
        <v>5</v>
      </c>
      <c r="T1514" t="s">
        <v>24</v>
      </c>
      <c r="U1514" t="s">
        <v>2409</v>
      </c>
      <c r="V1514">
        <v>2025</v>
      </c>
      <c r="W1514">
        <v>9</v>
      </c>
    </row>
    <row r="1515" spans="1:23" x14ac:dyDescent="0.25">
      <c r="A1515" t="s">
        <v>2343</v>
      </c>
      <c r="B1515">
        <v>45913.671365740738</v>
      </c>
      <c r="C1515" t="s">
        <v>2210</v>
      </c>
      <c r="D1515" t="s">
        <v>126</v>
      </c>
      <c r="E1515" t="s">
        <v>104</v>
      </c>
      <c r="F1515" t="s">
        <v>2392</v>
      </c>
      <c r="G1515" t="s">
        <v>2377</v>
      </c>
      <c r="H1515">
        <v>30000</v>
      </c>
      <c r="I1515">
        <v>5</v>
      </c>
      <c r="J1515">
        <v>5</v>
      </c>
      <c r="K1515">
        <v>150000</v>
      </c>
      <c r="L1515">
        <v>7500</v>
      </c>
      <c r="M1515">
        <v>142500</v>
      </c>
      <c r="N1515">
        <v>84000</v>
      </c>
      <c r="O1515">
        <v>226500</v>
      </c>
      <c r="P1515" t="s">
        <v>35</v>
      </c>
      <c r="Q1515" t="s">
        <v>2357</v>
      </c>
      <c r="R1515" t="s">
        <v>82</v>
      </c>
      <c r="S1515">
        <v>1</v>
      </c>
      <c r="T1515" t="s">
        <v>24</v>
      </c>
      <c r="U1515" t="s">
        <v>2409</v>
      </c>
      <c r="V1515">
        <v>2025</v>
      </c>
      <c r="W1515">
        <v>9</v>
      </c>
    </row>
    <row r="1516" spans="1:23" x14ac:dyDescent="0.25">
      <c r="A1516" t="s">
        <v>2344</v>
      </c>
      <c r="B1516">
        <v>45913.934953703712</v>
      </c>
      <c r="C1516" t="s">
        <v>1050</v>
      </c>
      <c r="D1516" t="s">
        <v>92</v>
      </c>
      <c r="E1516" t="s">
        <v>62</v>
      </c>
      <c r="F1516" t="s">
        <v>2398</v>
      </c>
      <c r="G1516" t="s">
        <v>2378</v>
      </c>
      <c r="H1516">
        <v>50000</v>
      </c>
      <c r="I1516">
        <v>3</v>
      </c>
      <c r="J1516">
        <v>10</v>
      </c>
      <c r="K1516">
        <v>150000</v>
      </c>
      <c r="L1516">
        <v>15000</v>
      </c>
      <c r="M1516">
        <v>135000</v>
      </c>
      <c r="N1516">
        <v>30000</v>
      </c>
      <c r="O1516">
        <v>165000</v>
      </c>
      <c r="P1516" t="s">
        <v>22</v>
      </c>
      <c r="Q1516" t="s">
        <v>2357</v>
      </c>
      <c r="R1516" t="s">
        <v>23</v>
      </c>
      <c r="S1516">
        <v>1</v>
      </c>
      <c r="T1516" t="s">
        <v>24</v>
      </c>
      <c r="U1516" t="s">
        <v>2409</v>
      </c>
      <c r="V1516">
        <v>2025</v>
      </c>
      <c r="W1516">
        <v>9</v>
      </c>
    </row>
    <row r="1517" spans="1:23" x14ac:dyDescent="0.25">
      <c r="A1517" t="s">
        <v>2345</v>
      </c>
      <c r="B1517">
        <v>45914.369270833333</v>
      </c>
      <c r="C1517" t="s">
        <v>654</v>
      </c>
      <c r="D1517" t="s">
        <v>375</v>
      </c>
      <c r="E1517" t="s">
        <v>21</v>
      </c>
      <c r="F1517" t="s">
        <v>2394</v>
      </c>
      <c r="G1517" t="s">
        <v>2379</v>
      </c>
      <c r="H1517">
        <v>45000</v>
      </c>
      <c r="I1517">
        <v>1</v>
      </c>
      <c r="J1517">
        <v>10</v>
      </c>
      <c r="K1517">
        <v>45000</v>
      </c>
      <c r="L1517">
        <v>4500</v>
      </c>
      <c r="M1517">
        <v>40500</v>
      </c>
      <c r="N1517">
        <v>21000</v>
      </c>
      <c r="O1517">
        <v>61500</v>
      </c>
      <c r="P1517" t="s">
        <v>63</v>
      </c>
      <c r="Q1517" t="s">
        <v>2360</v>
      </c>
      <c r="R1517" t="s">
        <v>82</v>
      </c>
      <c r="S1517">
        <v>3</v>
      </c>
      <c r="T1517" t="s">
        <v>24</v>
      </c>
      <c r="U1517" t="s">
        <v>2409</v>
      </c>
      <c r="V1517">
        <v>2025</v>
      </c>
      <c r="W1517">
        <v>9</v>
      </c>
    </row>
    <row r="1518" spans="1:23" x14ac:dyDescent="0.25">
      <c r="A1518" t="s">
        <v>2346</v>
      </c>
      <c r="B1518">
        <v>45915.223090277781</v>
      </c>
      <c r="C1518" t="s">
        <v>1654</v>
      </c>
      <c r="D1518" t="s">
        <v>74</v>
      </c>
      <c r="E1518" t="s">
        <v>50</v>
      </c>
      <c r="F1518" t="s">
        <v>2400</v>
      </c>
      <c r="G1518" t="s">
        <v>2379</v>
      </c>
      <c r="H1518">
        <v>14000</v>
      </c>
      <c r="I1518">
        <v>5</v>
      </c>
      <c r="J1518">
        <v>20</v>
      </c>
      <c r="K1518">
        <v>70000</v>
      </c>
      <c r="L1518">
        <v>14000</v>
      </c>
      <c r="M1518">
        <v>56000</v>
      </c>
      <c r="N1518">
        <v>87000</v>
      </c>
      <c r="O1518">
        <v>143000</v>
      </c>
      <c r="P1518" t="s">
        <v>22</v>
      </c>
      <c r="Q1518" t="s">
        <v>2358</v>
      </c>
      <c r="R1518" t="s">
        <v>36</v>
      </c>
      <c r="S1518">
        <v>3</v>
      </c>
      <c r="T1518" t="s">
        <v>37</v>
      </c>
      <c r="U1518" t="s">
        <v>2409</v>
      </c>
      <c r="V1518">
        <v>2025</v>
      </c>
      <c r="W1518">
        <v>9</v>
      </c>
    </row>
    <row r="1519" spans="1:23" x14ac:dyDescent="0.25">
      <c r="A1519" t="s">
        <v>2346</v>
      </c>
      <c r="B1519">
        <v>45915.223090277781</v>
      </c>
      <c r="C1519" t="s">
        <v>1654</v>
      </c>
      <c r="D1519" t="s">
        <v>74</v>
      </c>
      <c r="E1519" t="s">
        <v>85</v>
      </c>
      <c r="F1519" t="s">
        <v>2394</v>
      </c>
      <c r="G1519" t="s">
        <v>2377</v>
      </c>
      <c r="H1519">
        <v>35000</v>
      </c>
      <c r="I1519">
        <v>3</v>
      </c>
      <c r="J1519">
        <v>0</v>
      </c>
      <c r="K1519">
        <v>105000</v>
      </c>
      <c r="L1519">
        <v>0</v>
      </c>
      <c r="M1519">
        <v>105000</v>
      </c>
      <c r="N1519">
        <v>0</v>
      </c>
      <c r="O1519">
        <v>105000</v>
      </c>
      <c r="P1519" t="s">
        <v>22</v>
      </c>
      <c r="Q1519" t="s">
        <v>2358</v>
      </c>
      <c r="R1519" t="s">
        <v>36</v>
      </c>
      <c r="S1519">
        <v>3</v>
      </c>
      <c r="T1519" t="s">
        <v>37</v>
      </c>
      <c r="U1519" t="s">
        <v>2409</v>
      </c>
      <c r="V1519">
        <v>2025</v>
      </c>
      <c r="W1519">
        <v>9</v>
      </c>
    </row>
    <row r="1520" spans="1:23" x14ac:dyDescent="0.25">
      <c r="A1520" t="s">
        <v>2347</v>
      </c>
      <c r="B1520">
        <v>45915.235671296286</v>
      </c>
      <c r="C1520" t="s">
        <v>60</v>
      </c>
      <c r="D1520" t="s">
        <v>61</v>
      </c>
      <c r="E1520" t="s">
        <v>136</v>
      </c>
      <c r="F1520" t="s">
        <v>2400</v>
      </c>
      <c r="G1520" t="s">
        <v>2378</v>
      </c>
      <c r="H1520">
        <v>12000</v>
      </c>
      <c r="I1520">
        <v>2</v>
      </c>
      <c r="J1520">
        <v>0</v>
      </c>
      <c r="K1520">
        <v>24000</v>
      </c>
      <c r="L1520">
        <v>0</v>
      </c>
      <c r="M1520">
        <v>24000</v>
      </c>
      <c r="N1520">
        <v>26000</v>
      </c>
      <c r="O1520">
        <v>50000</v>
      </c>
      <c r="P1520" t="s">
        <v>29</v>
      </c>
      <c r="Q1520" t="s">
        <v>2359</v>
      </c>
      <c r="R1520" t="s">
        <v>23</v>
      </c>
      <c r="S1520">
        <v>1</v>
      </c>
      <c r="T1520" t="s">
        <v>24</v>
      </c>
      <c r="U1520" t="s">
        <v>2409</v>
      </c>
      <c r="V1520">
        <v>2025</v>
      </c>
      <c r="W1520">
        <v>9</v>
      </c>
    </row>
    <row r="1521" spans="1:23" x14ac:dyDescent="0.25">
      <c r="A1521" t="s">
        <v>2348</v>
      </c>
      <c r="B1521">
        <v>45915.261840277781</v>
      </c>
      <c r="C1521" t="s">
        <v>157</v>
      </c>
      <c r="D1521" t="s">
        <v>20</v>
      </c>
      <c r="E1521" t="s">
        <v>75</v>
      </c>
      <c r="F1521" t="s">
        <v>2398</v>
      </c>
      <c r="G1521" t="s">
        <v>2379</v>
      </c>
      <c r="H1521">
        <v>55000</v>
      </c>
      <c r="I1521">
        <v>4</v>
      </c>
      <c r="J1521">
        <v>0</v>
      </c>
      <c r="K1521">
        <v>220000</v>
      </c>
      <c r="L1521">
        <v>0</v>
      </c>
      <c r="M1521">
        <v>220000</v>
      </c>
      <c r="N1521">
        <v>15000</v>
      </c>
      <c r="O1521">
        <v>235000</v>
      </c>
      <c r="P1521" t="s">
        <v>29</v>
      </c>
      <c r="Q1521" t="s">
        <v>2360</v>
      </c>
      <c r="R1521" t="s">
        <v>36</v>
      </c>
      <c r="S1521">
        <v>5</v>
      </c>
      <c r="T1521" t="s">
        <v>24</v>
      </c>
      <c r="U1521" t="s">
        <v>2409</v>
      </c>
      <c r="V1521">
        <v>2025</v>
      </c>
      <c r="W1521">
        <v>9</v>
      </c>
    </row>
    <row r="1522" spans="1:23" x14ac:dyDescent="0.25">
      <c r="A1522" t="s">
        <v>2349</v>
      </c>
      <c r="B1522">
        <v>45915.289189814823</v>
      </c>
      <c r="C1522" t="s">
        <v>615</v>
      </c>
      <c r="D1522" t="s">
        <v>92</v>
      </c>
      <c r="E1522" t="s">
        <v>62</v>
      </c>
      <c r="F1522" t="s">
        <v>2398</v>
      </c>
      <c r="G1522" t="s">
        <v>2378</v>
      </c>
      <c r="H1522">
        <v>50000</v>
      </c>
      <c r="I1522">
        <v>1</v>
      </c>
      <c r="J1522">
        <v>10</v>
      </c>
      <c r="K1522">
        <v>50000</v>
      </c>
      <c r="L1522">
        <v>5000</v>
      </c>
      <c r="M1522">
        <v>45000</v>
      </c>
      <c r="N1522">
        <v>30000</v>
      </c>
      <c r="O1522">
        <v>75000</v>
      </c>
      <c r="P1522" t="s">
        <v>63</v>
      </c>
      <c r="Q1522" t="s">
        <v>2357</v>
      </c>
      <c r="R1522" t="s">
        <v>23</v>
      </c>
      <c r="S1522">
        <v>4</v>
      </c>
      <c r="T1522" t="s">
        <v>24</v>
      </c>
      <c r="U1522" t="s">
        <v>2409</v>
      </c>
      <c r="V1522">
        <v>2025</v>
      </c>
      <c r="W1522">
        <v>9</v>
      </c>
    </row>
    <row r="1523" spans="1:23" x14ac:dyDescent="0.25">
      <c r="A1523" t="s">
        <v>2350</v>
      </c>
      <c r="B1523">
        <v>45915.563148148147</v>
      </c>
      <c r="C1523" t="s">
        <v>383</v>
      </c>
      <c r="D1523" t="s">
        <v>122</v>
      </c>
      <c r="E1523" t="s">
        <v>110</v>
      </c>
      <c r="F1523" t="s">
        <v>2395</v>
      </c>
      <c r="G1523" t="s">
        <v>2379</v>
      </c>
      <c r="H1523">
        <v>6000</v>
      </c>
      <c r="I1523">
        <v>3</v>
      </c>
      <c r="J1523">
        <v>15</v>
      </c>
      <c r="K1523">
        <v>18000</v>
      </c>
      <c r="L1523">
        <v>2700</v>
      </c>
      <c r="M1523">
        <v>15300</v>
      </c>
      <c r="N1523">
        <v>78000</v>
      </c>
      <c r="O1523">
        <v>93300</v>
      </c>
      <c r="P1523" t="s">
        <v>22</v>
      </c>
      <c r="Q1523" t="s">
        <v>2357</v>
      </c>
      <c r="R1523" t="s">
        <v>46</v>
      </c>
      <c r="S1523">
        <v>2</v>
      </c>
      <c r="T1523" t="s">
        <v>24</v>
      </c>
      <c r="U1523" t="s">
        <v>2409</v>
      </c>
      <c r="V1523">
        <v>2025</v>
      </c>
      <c r="W1523">
        <v>9</v>
      </c>
    </row>
    <row r="1524" spans="1:23" x14ac:dyDescent="0.25">
      <c r="A1524" t="s">
        <v>2351</v>
      </c>
      <c r="B1524">
        <v>45915.817013888889</v>
      </c>
      <c r="C1524" t="s">
        <v>693</v>
      </c>
      <c r="D1524" t="s">
        <v>119</v>
      </c>
      <c r="E1524" t="s">
        <v>110</v>
      </c>
      <c r="F1524" t="s">
        <v>2395</v>
      </c>
      <c r="G1524" t="s">
        <v>2379</v>
      </c>
      <c r="H1524">
        <v>6000</v>
      </c>
      <c r="I1524">
        <v>3</v>
      </c>
      <c r="J1524">
        <v>20</v>
      </c>
      <c r="K1524">
        <v>18000</v>
      </c>
      <c r="L1524">
        <v>3600</v>
      </c>
      <c r="M1524">
        <v>14400</v>
      </c>
      <c r="N1524">
        <v>0</v>
      </c>
      <c r="O1524">
        <v>14400</v>
      </c>
      <c r="P1524" t="s">
        <v>22</v>
      </c>
      <c r="Q1524" t="s">
        <v>2360</v>
      </c>
      <c r="R1524" t="s">
        <v>46</v>
      </c>
      <c r="S1524">
        <v>3</v>
      </c>
      <c r="T1524" t="s">
        <v>24</v>
      </c>
      <c r="U1524" t="s">
        <v>2409</v>
      </c>
      <c r="V1524">
        <v>2025</v>
      </c>
      <c r="W1524">
        <v>9</v>
      </c>
    </row>
    <row r="1525" spans="1:23" x14ac:dyDescent="0.25">
      <c r="A1525" t="s">
        <v>2352</v>
      </c>
      <c r="B1525">
        <v>45916.043009259258</v>
      </c>
      <c r="C1525" t="s">
        <v>368</v>
      </c>
      <c r="D1525" t="s">
        <v>113</v>
      </c>
      <c r="E1525" t="s">
        <v>88</v>
      </c>
      <c r="F1525" t="s">
        <v>2393</v>
      </c>
      <c r="G1525" t="s">
        <v>2377</v>
      </c>
      <c r="H1525">
        <v>14000</v>
      </c>
      <c r="I1525">
        <v>4</v>
      </c>
      <c r="J1525">
        <v>15</v>
      </c>
      <c r="K1525">
        <v>56000</v>
      </c>
      <c r="L1525">
        <v>8400</v>
      </c>
      <c r="M1525">
        <v>47600</v>
      </c>
      <c r="N1525">
        <v>18000</v>
      </c>
      <c r="O1525">
        <v>65600</v>
      </c>
      <c r="P1525" t="s">
        <v>35</v>
      </c>
      <c r="Q1525" t="s">
        <v>2357</v>
      </c>
      <c r="R1525" t="s">
        <v>36</v>
      </c>
      <c r="S1525">
        <v>1</v>
      </c>
      <c r="T1525" t="s">
        <v>37</v>
      </c>
      <c r="U1525" t="s">
        <v>2409</v>
      </c>
      <c r="V1525">
        <v>2025</v>
      </c>
      <c r="W1525">
        <v>9</v>
      </c>
    </row>
    <row r="1526" spans="1:23" x14ac:dyDescent="0.25">
      <c r="A1526" t="s">
        <v>2353</v>
      </c>
      <c r="B1526">
        <v>45916.137037037042</v>
      </c>
      <c r="C1526" t="s">
        <v>1040</v>
      </c>
      <c r="D1526" t="s">
        <v>61</v>
      </c>
      <c r="E1526" t="s">
        <v>28</v>
      </c>
      <c r="F1526" t="s">
        <v>2395</v>
      </c>
      <c r="G1526" t="s">
        <v>2378</v>
      </c>
      <c r="H1526">
        <v>5000</v>
      </c>
      <c r="I1526">
        <v>1</v>
      </c>
      <c r="J1526">
        <v>0</v>
      </c>
      <c r="K1526">
        <v>5000</v>
      </c>
      <c r="L1526">
        <v>0</v>
      </c>
      <c r="M1526">
        <v>5000</v>
      </c>
      <c r="N1526">
        <v>26000</v>
      </c>
      <c r="O1526">
        <v>31000</v>
      </c>
      <c r="P1526" t="s">
        <v>22</v>
      </c>
      <c r="Q1526" t="s">
        <v>2358</v>
      </c>
      <c r="R1526" t="s">
        <v>30</v>
      </c>
      <c r="S1526">
        <v>3</v>
      </c>
      <c r="T1526" t="s">
        <v>24</v>
      </c>
      <c r="U1526" t="s">
        <v>2409</v>
      </c>
      <c r="V1526">
        <v>2025</v>
      </c>
      <c r="W1526">
        <v>9</v>
      </c>
    </row>
    <row r="1527" spans="1:23" x14ac:dyDescent="0.25">
      <c r="A1527" t="s">
        <v>2354</v>
      </c>
      <c r="B1527">
        <v>45916.459421296298</v>
      </c>
      <c r="C1527" t="s">
        <v>716</v>
      </c>
      <c r="D1527" t="s">
        <v>66</v>
      </c>
      <c r="E1527" t="s">
        <v>138</v>
      </c>
      <c r="F1527" t="s">
        <v>2396</v>
      </c>
      <c r="G1527" t="s">
        <v>2378</v>
      </c>
      <c r="H1527">
        <v>17000</v>
      </c>
      <c r="I1527">
        <v>1</v>
      </c>
      <c r="J1527">
        <v>0</v>
      </c>
      <c r="K1527">
        <v>17000</v>
      </c>
      <c r="L1527">
        <v>0</v>
      </c>
      <c r="M1527">
        <v>17000</v>
      </c>
      <c r="N1527">
        <v>59000</v>
      </c>
      <c r="O1527">
        <v>76000</v>
      </c>
      <c r="P1527" t="s">
        <v>35</v>
      </c>
      <c r="Q1527" t="s">
        <v>2360</v>
      </c>
      <c r="R1527" t="s">
        <v>30</v>
      </c>
      <c r="S1527">
        <v>2</v>
      </c>
      <c r="T1527" t="s">
        <v>24</v>
      </c>
      <c r="U1527" t="s">
        <v>2409</v>
      </c>
      <c r="V1527">
        <v>2025</v>
      </c>
      <c r="W1527">
        <v>9</v>
      </c>
    </row>
    <row r="1528" spans="1:23" x14ac:dyDescent="0.25">
      <c r="A1528" t="s">
        <v>2355</v>
      </c>
      <c r="B1528">
        <v>45916.722824074073</v>
      </c>
      <c r="C1528" t="s">
        <v>582</v>
      </c>
      <c r="D1528" t="s">
        <v>435</v>
      </c>
      <c r="E1528" t="s">
        <v>58</v>
      </c>
      <c r="F1528" t="s">
        <v>2396</v>
      </c>
      <c r="G1528" t="s">
        <v>2377</v>
      </c>
      <c r="H1528">
        <v>16000</v>
      </c>
      <c r="I1528">
        <v>5</v>
      </c>
      <c r="J1528">
        <v>10</v>
      </c>
      <c r="K1528">
        <v>80000</v>
      </c>
      <c r="L1528">
        <v>8000</v>
      </c>
      <c r="M1528">
        <v>72000</v>
      </c>
      <c r="N1528">
        <v>67000</v>
      </c>
      <c r="O1528">
        <v>139000</v>
      </c>
      <c r="P1528" t="s">
        <v>22</v>
      </c>
      <c r="Q1528" t="s">
        <v>2358</v>
      </c>
      <c r="R1528" t="s">
        <v>82</v>
      </c>
      <c r="S1528">
        <v>3</v>
      </c>
      <c r="T1528" t="s">
        <v>24</v>
      </c>
      <c r="U1528" t="s">
        <v>2409</v>
      </c>
      <c r="V1528">
        <v>2025</v>
      </c>
      <c r="W1528">
        <v>9</v>
      </c>
    </row>
    <row r="1529" spans="1:23" x14ac:dyDescent="0.25">
      <c r="A1529" t="s">
        <v>264</v>
      </c>
      <c r="B1529">
        <v>45566.031354166669</v>
      </c>
      <c r="C1529" t="s">
        <v>265</v>
      </c>
      <c r="D1529" t="s">
        <v>119</v>
      </c>
      <c r="E1529" t="s">
        <v>190</v>
      </c>
      <c r="F1529" t="s">
        <v>2392</v>
      </c>
      <c r="G1529" t="s">
        <v>2378</v>
      </c>
      <c r="H1529">
        <v>35000</v>
      </c>
      <c r="I1529">
        <v>5</v>
      </c>
      <c r="J1529">
        <v>0</v>
      </c>
      <c r="K1529">
        <v>175000</v>
      </c>
      <c r="L1529">
        <v>0</v>
      </c>
      <c r="M1529">
        <v>175000</v>
      </c>
      <c r="N1529">
        <v>0</v>
      </c>
      <c r="O1529">
        <v>175000</v>
      </c>
      <c r="P1529" t="s">
        <v>35</v>
      </c>
      <c r="Q1529" t="s">
        <v>2357</v>
      </c>
      <c r="R1529" t="s">
        <v>82</v>
      </c>
      <c r="S1529">
        <v>1</v>
      </c>
      <c r="T1529" t="s">
        <v>24</v>
      </c>
      <c r="U1529" t="s">
        <v>2410</v>
      </c>
      <c r="V1529">
        <v>2024</v>
      </c>
      <c r="W1529">
        <v>10</v>
      </c>
    </row>
    <row r="1530" spans="1:23" x14ac:dyDescent="0.25">
      <c r="A1530" t="s">
        <v>266</v>
      </c>
      <c r="B1530">
        <v>45566.726631944453</v>
      </c>
      <c r="C1530" t="s">
        <v>267</v>
      </c>
      <c r="D1530" t="s">
        <v>131</v>
      </c>
      <c r="E1530" t="s">
        <v>28</v>
      </c>
      <c r="F1530" t="s">
        <v>2395</v>
      </c>
      <c r="G1530" t="s">
        <v>2378</v>
      </c>
      <c r="H1530">
        <v>5000</v>
      </c>
      <c r="I1530">
        <v>3</v>
      </c>
      <c r="J1530">
        <v>10</v>
      </c>
      <c r="K1530">
        <v>15000</v>
      </c>
      <c r="L1530">
        <v>1500</v>
      </c>
      <c r="M1530">
        <v>13500</v>
      </c>
      <c r="N1530">
        <v>59000</v>
      </c>
      <c r="O1530">
        <v>72500</v>
      </c>
      <c r="P1530" t="s">
        <v>22</v>
      </c>
      <c r="Q1530" t="s">
        <v>2356</v>
      </c>
      <c r="R1530" t="s">
        <v>30</v>
      </c>
      <c r="S1530">
        <v>3</v>
      </c>
      <c r="T1530" t="s">
        <v>24</v>
      </c>
      <c r="U1530" t="s">
        <v>2410</v>
      </c>
      <c r="V1530">
        <v>2024</v>
      </c>
      <c r="W1530">
        <v>10</v>
      </c>
    </row>
    <row r="1531" spans="1:23" x14ac:dyDescent="0.25">
      <c r="A1531" t="s">
        <v>268</v>
      </c>
      <c r="B1531">
        <v>45566.999780092592</v>
      </c>
      <c r="C1531" t="s">
        <v>269</v>
      </c>
      <c r="D1531" t="s">
        <v>173</v>
      </c>
      <c r="E1531" t="s">
        <v>250</v>
      </c>
      <c r="F1531" t="s">
        <v>2397</v>
      </c>
      <c r="G1531" t="s">
        <v>2379</v>
      </c>
      <c r="H1531">
        <v>18000</v>
      </c>
      <c r="I1531">
        <v>5</v>
      </c>
      <c r="J1531">
        <v>20</v>
      </c>
      <c r="K1531">
        <v>90000</v>
      </c>
      <c r="L1531">
        <v>18000</v>
      </c>
      <c r="M1531">
        <v>72000</v>
      </c>
      <c r="N1531">
        <v>49000</v>
      </c>
      <c r="O1531">
        <v>121000</v>
      </c>
      <c r="P1531" t="s">
        <v>22</v>
      </c>
      <c r="Q1531" t="s">
        <v>2357</v>
      </c>
      <c r="R1531" t="s">
        <v>23</v>
      </c>
      <c r="S1531">
        <v>4</v>
      </c>
      <c r="T1531" t="s">
        <v>37</v>
      </c>
      <c r="U1531" t="s">
        <v>2410</v>
      </c>
      <c r="V1531">
        <v>2024</v>
      </c>
      <c r="W1531">
        <v>10</v>
      </c>
    </row>
    <row r="1532" spans="1:23" x14ac:dyDescent="0.25">
      <c r="A1532" t="s">
        <v>270</v>
      </c>
      <c r="B1532">
        <v>45567.289039351846</v>
      </c>
      <c r="C1532" t="s">
        <v>271</v>
      </c>
      <c r="D1532" t="s">
        <v>49</v>
      </c>
      <c r="E1532" t="s">
        <v>28</v>
      </c>
      <c r="F1532" t="s">
        <v>2395</v>
      </c>
      <c r="G1532" t="s">
        <v>2378</v>
      </c>
      <c r="H1532">
        <v>5000</v>
      </c>
      <c r="I1532">
        <v>5</v>
      </c>
      <c r="J1532">
        <v>15</v>
      </c>
      <c r="K1532">
        <v>25000</v>
      </c>
      <c r="L1532">
        <v>3750</v>
      </c>
      <c r="M1532">
        <v>21250</v>
      </c>
      <c r="N1532">
        <v>43000</v>
      </c>
      <c r="O1532">
        <v>64250</v>
      </c>
      <c r="P1532" t="s">
        <v>29</v>
      </c>
      <c r="Q1532" t="s">
        <v>2357</v>
      </c>
      <c r="R1532" t="s">
        <v>46</v>
      </c>
      <c r="S1532">
        <v>2</v>
      </c>
      <c r="T1532" t="s">
        <v>24</v>
      </c>
      <c r="U1532" t="s">
        <v>2410</v>
      </c>
      <c r="V1532">
        <v>2024</v>
      </c>
      <c r="W1532">
        <v>10</v>
      </c>
    </row>
    <row r="1533" spans="1:23" x14ac:dyDescent="0.25">
      <c r="A1533" t="s">
        <v>272</v>
      </c>
      <c r="B1533">
        <v>45567.723541666674</v>
      </c>
      <c r="C1533" t="s">
        <v>273</v>
      </c>
      <c r="D1533" t="s">
        <v>195</v>
      </c>
      <c r="E1533" t="s">
        <v>67</v>
      </c>
      <c r="F1533" t="s">
        <v>2393</v>
      </c>
      <c r="G1533" t="s">
        <v>2378</v>
      </c>
      <c r="H1533">
        <v>15000</v>
      </c>
      <c r="I1533">
        <v>2</v>
      </c>
      <c r="J1533">
        <v>20</v>
      </c>
      <c r="K1533">
        <v>30000</v>
      </c>
      <c r="L1533">
        <v>6000</v>
      </c>
      <c r="M1533">
        <v>24000</v>
      </c>
      <c r="N1533">
        <v>87000</v>
      </c>
      <c r="O1533">
        <v>111000</v>
      </c>
      <c r="P1533" t="s">
        <v>29</v>
      </c>
      <c r="Q1533" t="s">
        <v>2357</v>
      </c>
      <c r="R1533" t="s">
        <v>46</v>
      </c>
      <c r="S1533">
        <v>5</v>
      </c>
      <c r="T1533" t="s">
        <v>24</v>
      </c>
      <c r="U1533" t="s">
        <v>2410</v>
      </c>
      <c r="V1533">
        <v>2024</v>
      </c>
      <c r="W1533">
        <v>10</v>
      </c>
    </row>
    <row r="1534" spans="1:23" x14ac:dyDescent="0.25">
      <c r="A1534" t="s">
        <v>274</v>
      </c>
      <c r="B1534">
        <v>45567.82440972222</v>
      </c>
      <c r="C1534" t="s">
        <v>275</v>
      </c>
      <c r="D1534" t="s">
        <v>96</v>
      </c>
      <c r="E1534" t="s">
        <v>93</v>
      </c>
      <c r="F1534" t="s">
        <v>2399</v>
      </c>
      <c r="G1534" t="s">
        <v>2378</v>
      </c>
      <c r="H1534">
        <v>25000</v>
      </c>
      <c r="I1534">
        <v>5</v>
      </c>
      <c r="J1534">
        <v>15</v>
      </c>
      <c r="K1534">
        <v>125000</v>
      </c>
      <c r="L1534">
        <v>18750</v>
      </c>
      <c r="M1534">
        <v>106250</v>
      </c>
      <c r="N1534">
        <v>49000</v>
      </c>
      <c r="O1534">
        <v>155250</v>
      </c>
      <c r="P1534" t="s">
        <v>35</v>
      </c>
      <c r="Q1534" t="s">
        <v>2356</v>
      </c>
      <c r="R1534" t="s">
        <v>23</v>
      </c>
      <c r="S1534">
        <v>2</v>
      </c>
      <c r="T1534" t="s">
        <v>24</v>
      </c>
      <c r="U1534" t="s">
        <v>2410</v>
      </c>
      <c r="V1534">
        <v>2024</v>
      </c>
      <c r="W1534">
        <v>10</v>
      </c>
    </row>
    <row r="1535" spans="1:23" x14ac:dyDescent="0.25">
      <c r="A1535" t="s">
        <v>276</v>
      </c>
      <c r="B1535">
        <v>45568.027962962973</v>
      </c>
      <c r="C1535" t="s">
        <v>277</v>
      </c>
      <c r="D1535" t="s">
        <v>119</v>
      </c>
      <c r="E1535" t="s">
        <v>58</v>
      </c>
      <c r="F1535" t="s">
        <v>2396</v>
      </c>
      <c r="G1535" t="s">
        <v>2377</v>
      </c>
      <c r="H1535">
        <v>16000</v>
      </c>
      <c r="I1535">
        <v>4</v>
      </c>
      <c r="J1535">
        <v>0</v>
      </c>
      <c r="K1535">
        <v>64000</v>
      </c>
      <c r="L1535">
        <v>0</v>
      </c>
      <c r="M1535">
        <v>64000</v>
      </c>
      <c r="N1535">
        <v>0</v>
      </c>
      <c r="O1535">
        <v>64000</v>
      </c>
      <c r="P1535" t="s">
        <v>29</v>
      </c>
      <c r="Q1535" t="s">
        <v>2357</v>
      </c>
      <c r="R1535" t="s">
        <v>46</v>
      </c>
      <c r="S1535">
        <v>4</v>
      </c>
      <c r="T1535" t="s">
        <v>24</v>
      </c>
      <c r="U1535" t="s">
        <v>2410</v>
      </c>
      <c r="V1535">
        <v>2024</v>
      </c>
      <c r="W1535">
        <v>10</v>
      </c>
    </row>
    <row r="1536" spans="1:23" x14ac:dyDescent="0.25">
      <c r="A1536" t="s">
        <v>278</v>
      </c>
      <c r="B1536">
        <v>45568.078692129631</v>
      </c>
      <c r="C1536" t="s">
        <v>254</v>
      </c>
      <c r="D1536" t="s">
        <v>61</v>
      </c>
      <c r="E1536" t="s">
        <v>41</v>
      </c>
      <c r="F1536" t="s">
        <v>2395</v>
      </c>
      <c r="G1536" t="s">
        <v>2377</v>
      </c>
      <c r="H1536">
        <v>4000</v>
      </c>
      <c r="I1536">
        <v>1</v>
      </c>
      <c r="J1536">
        <v>20</v>
      </c>
      <c r="K1536">
        <v>4000</v>
      </c>
      <c r="L1536">
        <v>800</v>
      </c>
      <c r="M1536">
        <v>3200</v>
      </c>
      <c r="N1536">
        <v>26000</v>
      </c>
      <c r="O1536">
        <v>29200</v>
      </c>
      <c r="P1536" t="s">
        <v>35</v>
      </c>
      <c r="Q1536" t="s">
        <v>2357</v>
      </c>
      <c r="R1536" t="s">
        <v>82</v>
      </c>
      <c r="S1536">
        <v>1</v>
      </c>
      <c r="T1536" t="s">
        <v>24</v>
      </c>
      <c r="U1536" t="s">
        <v>2410</v>
      </c>
      <c r="V1536">
        <v>2024</v>
      </c>
      <c r="W1536">
        <v>10</v>
      </c>
    </row>
    <row r="1537" spans="1:23" x14ac:dyDescent="0.25">
      <c r="A1537" t="s">
        <v>279</v>
      </c>
      <c r="B1537">
        <v>45568.349606481483</v>
      </c>
      <c r="C1537" t="s">
        <v>95</v>
      </c>
      <c r="D1537" t="s">
        <v>96</v>
      </c>
      <c r="E1537" t="s">
        <v>174</v>
      </c>
      <c r="F1537" t="s">
        <v>2400</v>
      </c>
      <c r="G1537" t="s">
        <v>2377</v>
      </c>
      <c r="H1537">
        <v>10000</v>
      </c>
      <c r="I1537">
        <v>4</v>
      </c>
      <c r="J1537">
        <v>0</v>
      </c>
      <c r="K1537">
        <v>40000</v>
      </c>
      <c r="L1537">
        <v>0</v>
      </c>
      <c r="M1537">
        <v>40000</v>
      </c>
      <c r="N1537">
        <v>49000</v>
      </c>
      <c r="O1537">
        <v>89000</v>
      </c>
      <c r="P1537" t="s">
        <v>22</v>
      </c>
      <c r="Q1537" t="s">
        <v>2357</v>
      </c>
      <c r="R1537" t="s">
        <v>23</v>
      </c>
      <c r="S1537">
        <v>2</v>
      </c>
      <c r="T1537" t="s">
        <v>24</v>
      </c>
      <c r="U1537" t="s">
        <v>2410</v>
      </c>
      <c r="V1537">
        <v>2024</v>
      </c>
      <c r="W1537">
        <v>10</v>
      </c>
    </row>
    <row r="1538" spans="1:23" x14ac:dyDescent="0.25">
      <c r="A1538" t="s">
        <v>280</v>
      </c>
      <c r="B1538">
        <v>45568.446655092594</v>
      </c>
      <c r="C1538" t="s">
        <v>281</v>
      </c>
      <c r="D1538" t="s">
        <v>151</v>
      </c>
      <c r="E1538" t="s">
        <v>110</v>
      </c>
      <c r="F1538" t="s">
        <v>2395</v>
      </c>
      <c r="G1538" t="s">
        <v>2379</v>
      </c>
      <c r="H1538">
        <v>6000</v>
      </c>
      <c r="I1538">
        <v>1</v>
      </c>
      <c r="J1538">
        <v>5</v>
      </c>
      <c r="K1538">
        <v>6000</v>
      </c>
      <c r="L1538">
        <v>300</v>
      </c>
      <c r="M1538">
        <v>5700</v>
      </c>
      <c r="N1538">
        <v>55000</v>
      </c>
      <c r="O1538">
        <v>60700</v>
      </c>
      <c r="P1538" t="s">
        <v>29</v>
      </c>
      <c r="Q1538" t="s">
        <v>2357</v>
      </c>
      <c r="R1538" t="s">
        <v>30</v>
      </c>
      <c r="S1538">
        <v>4</v>
      </c>
      <c r="T1538" t="s">
        <v>24</v>
      </c>
      <c r="U1538" t="s">
        <v>2410</v>
      </c>
      <c r="V1538">
        <v>2024</v>
      </c>
      <c r="W1538">
        <v>10</v>
      </c>
    </row>
    <row r="1539" spans="1:23" x14ac:dyDescent="0.25">
      <c r="A1539" t="s">
        <v>282</v>
      </c>
      <c r="B1539">
        <v>45568.770300925928</v>
      </c>
      <c r="C1539" t="s">
        <v>283</v>
      </c>
      <c r="D1539" t="s">
        <v>92</v>
      </c>
      <c r="E1539" t="s">
        <v>93</v>
      </c>
      <c r="F1539" t="s">
        <v>2399</v>
      </c>
      <c r="G1539" t="s">
        <v>2378</v>
      </c>
      <c r="H1539">
        <v>25000</v>
      </c>
      <c r="I1539">
        <v>2</v>
      </c>
      <c r="J1539">
        <v>0</v>
      </c>
      <c r="K1539">
        <v>50000</v>
      </c>
      <c r="L1539">
        <v>0</v>
      </c>
      <c r="M1539">
        <v>50000</v>
      </c>
      <c r="N1539">
        <v>30000</v>
      </c>
      <c r="O1539">
        <v>80000</v>
      </c>
      <c r="P1539" t="s">
        <v>63</v>
      </c>
      <c r="Q1539" t="s">
        <v>2357</v>
      </c>
      <c r="R1539" t="s">
        <v>36</v>
      </c>
      <c r="S1539">
        <v>5</v>
      </c>
      <c r="T1539" t="s">
        <v>24</v>
      </c>
      <c r="U1539" t="s">
        <v>2410</v>
      </c>
      <c r="V1539">
        <v>2024</v>
      </c>
      <c r="W1539">
        <v>10</v>
      </c>
    </row>
    <row r="1540" spans="1:23" x14ac:dyDescent="0.25">
      <c r="A1540" t="s">
        <v>284</v>
      </c>
      <c r="B1540">
        <v>45568.892858796287</v>
      </c>
      <c r="C1540" t="s">
        <v>285</v>
      </c>
      <c r="D1540" t="s">
        <v>20</v>
      </c>
      <c r="E1540" t="s">
        <v>186</v>
      </c>
      <c r="F1540" t="s">
        <v>2398</v>
      </c>
      <c r="G1540" t="s">
        <v>2377</v>
      </c>
      <c r="H1540">
        <v>45000</v>
      </c>
      <c r="I1540">
        <v>2</v>
      </c>
      <c r="J1540">
        <v>15</v>
      </c>
      <c r="K1540">
        <v>90000</v>
      </c>
      <c r="L1540">
        <v>13500</v>
      </c>
      <c r="M1540">
        <v>76500</v>
      </c>
      <c r="N1540">
        <v>15000</v>
      </c>
      <c r="O1540">
        <v>91500</v>
      </c>
      <c r="P1540" t="s">
        <v>29</v>
      </c>
      <c r="Q1540" t="s">
        <v>2357</v>
      </c>
      <c r="R1540" t="s">
        <v>30</v>
      </c>
      <c r="S1540">
        <v>2</v>
      </c>
      <c r="T1540" t="s">
        <v>37</v>
      </c>
      <c r="U1540" t="s">
        <v>2410</v>
      </c>
      <c r="V1540">
        <v>2024</v>
      </c>
      <c r="W1540">
        <v>10</v>
      </c>
    </row>
    <row r="1541" spans="1:23" x14ac:dyDescent="0.25">
      <c r="A1541" t="s">
        <v>286</v>
      </c>
      <c r="B1541">
        <v>45568.966736111113</v>
      </c>
      <c r="C1541" t="s">
        <v>287</v>
      </c>
      <c r="D1541" t="s">
        <v>262</v>
      </c>
      <c r="E1541" t="s">
        <v>28</v>
      </c>
      <c r="F1541" t="s">
        <v>2395</v>
      </c>
      <c r="G1541" t="s">
        <v>2378</v>
      </c>
      <c r="H1541">
        <v>5000</v>
      </c>
      <c r="I1541">
        <v>5</v>
      </c>
      <c r="J1541">
        <v>5</v>
      </c>
      <c r="K1541">
        <v>25000</v>
      </c>
      <c r="L1541">
        <v>1250</v>
      </c>
      <c r="M1541">
        <v>23750</v>
      </c>
      <c r="N1541">
        <v>18000</v>
      </c>
      <c r="O1541">
        <v>41750</v>
      </c>
      <c r="P1541" t="s">
        <v>35</v>
      </c>
      <c r="Q1541" t="s">
        <v>2357</v>
      </c>
      <c r="R1541" t="s">
        <v>30</v>
      </c>
      <c r="S1541">
        <v>1</v>
      </c>
      <c r="T1541" t="s">
        <v>24</v>
      </c>
      <c r="U1541" t="s">
        <v>2410</v>
      </c>
      <c r="V1541">
        <v>2024</v>
      </c>
      <c r="W1541">
        <v>10</v>
      </c>
    </row>
    <row r="1542" spans="1:23" x14ac:dyDescent="0.25">
      <c r="A1542" t="s">
        <v>288</v>
      </c>
      <c r="B1542">
        <v>45569.413773148153</v>
      </c>
      <c r="C1542" t="s">
        <v>289</v>
      </c>
      <c r="D1542" t="s">
        <v>20</v>
      </c>
      <c r="E1542" t="s">
        <v>123</v>
      </c>
      <c r="F1542" t="s">
        <v>2399</v>
      </c>
      <c r="G1542" t="s">
        <v>2377</v>
      </c>
      <c r="H1542">
        <v>22000</v>
      </c>
      <c r="I1542">
        <v>4</v>
      </c>
      <c r="J1542">
        <v>5</v>
      </c>
      <c r="K1542">
        <v>88000</v>
      </c>
      <c r="L1542">
        <v>4400</v>
      </c>
      <c r="M1542">
        <v>83600</v>
      </c>
      <c r="N1542">
        <v>15000</v>
      </c>
      <c r="O1542">
        <v>98600</v>
      </c>
      <c r="P1542" t="s">
        <v>63</v>
      </c>
      <c r="Q1542" t="s">
        <v>2357</v>
      </c>
      <c r="R1542" t="s">
        <v>23</v>
      </c>
      <c r="S1542">
        <v>3</v>
      </c>
      <c r="T1542" t="s">
        <v>24</v>
      </c>
      <c r="U1542" t="s">
        <v>2410</v>
      </c>
      <c r="V1542">
        <v>2024</v>
      </c>
      <c r="W1542">
        <v>10</v>
      </c>
    </row>
    <row r="1543" spans="1:23" x14ac:dyDescent="0.25">
      <c r="A1543" t="s">
        <v>290</v>
      </c>
      <c r="B1543">
        <v>45569.503067129634</v>
      </c>
      <c r="C1543" t="s">
        <v>291</v>
      </c>
      <c r="D1543" t="s">
        <v>49</v>
      </c>
      <c r="E1543" t="s">
        <v>144</v>
      </c>
      <c r="F1543" t="s">
        <v>2396</v>
      </c>
      <c r="G1543" t="s">
        <v>2379</v>
      </c>
      <c r="H1543">
        <v>18000</v>
      </c>
      <c r="I1543">
        <v>4</v>
      </c>
      <c r="J1543">
        <v>5</v>
      </c>
      <c r="K1543">
        <v>72000</v>
      </c>
      <c r="L1543">
        <v>3600</v>
      </c>
      <c r="M1543">
        <v>68400</v>
      </c>
      <c r="N1543">
        <v>43000</v>
      </c>
      <c r="O1543">
        <v>111400</v>
      </c>
      <c r="P1543" t="s">
        <v>22</v>
      </c>
      <c r="Q1543" t="s">
        <v>2356</v>
      </c>
      <c r="R1543" t="s">
        <v>46</v>
      </c>
      <c r="S1543">
        <v>3</v>
      </c>
      <c r="T1543" t="s">
        <v>37</v>
      </c>
      <c r="U1543" t="s">
        <v>2410</v>
      </c>
      <c r="V1543">
        <v>2024</v>
      </c>
      <c r="W1543">
        <v>10</v>
      </c>
    </row>
    <row r="1544" spans="1:23" x14ac:dyDescent="0.25">
      <c r="A1544" t="s">
        <v>292</v>
      </c>
      <c r="B1544">
        <v>45569.778032407397</v>
      </c>
      <c r="C1544" t="s">
        <v>192</v>
      </c>
      <c r="D1544" t="s">
        <v>107</v>
      </c>
      <c r="E1544" t="s">
        <v>104</v>
      </c>
      <c r="F1544" t="s">
        <v>2392</v>
      </c>
      <c r="G1544" t="s">
        <v>2377</v>
      </c>
      <c r="H1544">
        <v>30000</v>
      </c>
      <c r="I1544">
        <v>5</v>
      </c>
      <c r="J1544">
        <v>0</v>
      </c>
      <c r="K1544">
        <v>150000</v>
      </c>
      <c r="L1544">
        <v>0</v>
      </c>
      <c r="M1544">
        <v>150000</v>
      </c>
      <c r="N1544">
        <v>97000</v>
      </c>
      <c r="O1544">
        <v>247000</v>
      </c>
      <c r="P1544" t="s">
        <v>22</v>
      </c>
      <c r="Q1544" t="s">
        <v>2359</v>
      </c>
      <c r="R1544" t="s">
        <v>30</v>
      </c>
      <c r="S1544">
        <v>3</v>
      </c>
      <c r="T1544" t="s">
        <v>24</v>
      </c>
      <c r="U1544" t="s">
        <v>2410</v>
      </c>
      <c r="V1544">
        <v>2024</v>
      </c>
      <c r="W1544">
        <v>10</v>
      </c>
    </row>
    <row r="1545" spans="1:23" x14ac:dyDescent="0.25">
      <c r="A1545" t="s">
        <v>293</v>
      </c>
      <c r="B1545">
        <v>45570.166203703702</v>
      </c>
      <c r="C1545" t="s">
        <v>235</v>
      </c>
      <c r="D1545" t="s">
        <v>189</v>
      </c>
      <c r="E1545" t="s">
        <v>174</v>
      </c>
      <c r="F1545" t="s">
        <v>2400</v>
      </c>
      <c r="G1545" t="s">
        <v>2377</v>
      </c>
      <c r="H1545">
        <v>10000</v>
      </c>
      <c r="I1545">
        <v>1</v>
      </c>
      <c r="J1545">
        <v>10</v>
      </c>
      <c r="K1545">
        <v>10000</v>
      </c>
      <c r="L1545">
        <v>1000</v>
      </c>
      <c r="M1545">
        <v>9000</v>
      </c>
      <c r="N1545">
        <v>57000</v>
      </c>
      <c r="O1545">
        <v>66000</v>
      </c>
      <c r="P1545" t="s">
        <v>29</v>
      </c>
      <c r="Q1545" t="s">
        <v>2357</v>
      </c>
      <c r="R1545" t="s">
        <v>82</v>
      </c>
      <c r="S1545">
        <v>4</v>
      </c>
      <c r="T1545" t="s">
        <v>37</v>
      </c>
      <c r="U1545" t="s">
        <v>2410</v>
      </c>
      <c r="V1545">
        <v>2024</v>
      </c>
      <c r="W1545">
        <v>10</v>
      </c>
    </row>
    <row r="1546" spans="1:23" x14ac:dyDescent="0.25">
      <c r="A1546" t="s">
        <v>294</v>
      </c>
      <c r="B1546">
        <v>45570.395057870373</v>
      </c>
      <c r="C1546" t="s">
        <v>295</v>
      </c>
      <c r="D1546" t="s">
        <v>296</v>
      </c>
      <c r="E1546" t="s">
        <v>190</v>
      </c>
      <c r="F1546" t="s">
        <v>2392</v>
      </c>
      <c r="G1546" t="s">
        <v>2378</v>
      </c>
      <c r="H1546">
        <v>35000</v>
      </c>
      <c r="I1546">
        <v>4</v>
      </c>
      <c r="J1546">
        <v>15</v>
      </c>
      <c r="K1546">
        <v>140000</v>
      </c>
      <c r="L1546">
        <v>21000</v>
      </c>
      <c r="M1546">
        <v>119000</v>
      </c>
      <c r="N1546">
        <v>79000</v>
      </c>
      <c r="O1546">
        <v>198000</v>
      </c>
      <c r="P1546" t="s">
        <v>22</v>
      </c>
      <c r="Q1546" t="s">
        <v>2356</v>
      </c>
      <c r="R1546" t="s">
        <v>36</v>
      </c>
      <c r="S1546">
        <v>1</v>
      </c>
      <c r="T1546" t="s">
        <v>24</v>
      </c>
      <c r="U1546" t="s">
        <v>2410</v>
      </c>
      <c r="V1546">
        <v>2024</v>
      </c>
      <c r="W1546">
        <v>10</v>
      </c>
    </row>
    <row r="1547" spans="1:23" x14ac:dyDescent="0.25">
      <c r="A1547" t="s">
        <v>297</v>
      </c>
      <c r="B1547">
        <v>45570.514328703714</v>
      </c>
      <c r="C1547" t="s">
        <v>209</v>
      </c>
      <c r="D1547" t="s">
        <v>143</v>
      </c>
      <c r="E1547" t="s">
        <v>67</v>
      </c>
      <c r="F1547" t="s">
        <v>2393</v>
      </c>
      <c r="G1547" t="s">
        <v>2378</v>
      </c>
      <c r="H1547">
        <v>15000</v>
      </c>
      <c r="I1547">
        <v>1</v>
      </c>
      <c r="J1547">
        <v>15</v>
      </c>
      <c r="K1547">
        <v>15000</v>
      </c>
      <c r="L1547">
        <v>2250</v>
      </c>
      <c r="M1547">
        <v>12750</v>
      </c>
      <c r="N1547">
        <v>50000</v>
      </c>
      <c r="O1547">
        <v>62750</v>
      </c>
      <c r="P1547" t="s">
        <v>63</v>
      </c>
      <c r="Q1547" t="s">
        <v>2357</v>
      </c>
      <c r="R1547" t="s">
        <v>23</v>
      </c>
      <c r="S1547">
        <v>4</v>
      </c>
      <c r="T1547" t="s">
        <v>37</v>
      </c>
      <c r="U1547" t="s">
        <v>2410</v>
      </c>
      <c r="V1547">
        <v>2024</v>
      </c>
      <c r="W1547">
        <v>10</v>
      </c>
    </row>
    <row r="1548" spans="1:23" x14ac:dyDescent="0.25">
      <c r="A1548" t="s">
        <v>298</v>
      </c>
      <c r="B1548">
        <v>45570.857453703713</v>
      </c>
      <c r="C1548" t="s">
        <v>299</v>
      </c>
      <c r="D1548" t="s">
        <v>163</v>
      </c>
      <c r="E1548" t="s">
        <v>28</v>
      </c>
      <c r="F1548" t="s">
        <v>2395</v>
      </c>
      <c r="G1548" t="s">
        <v>2378</v>
      </c>
      <c r="H1548">
        <v>5000</v>
      </c>
      <c r="I1548">
        <v>3</v>
      </c>
      <c r="J1548">
        <v>15</v>
      </c>
      <c r="K1548">
        <v>15000</v>
      </c>
      <c r="L1548">
        <v>2250</v>
      </c>
      <c r="M1548">
        <v>12750</v>
      </c>
      <c r="N1548">
        <v>50000</v>
      </c>
      <c r="O1548">
        <v>62750</v>
      </c>
      <c r="P1548" t="s">
        <v>35</v>
      </c>
      <c r="Q1548" t="s">
        <v>2356</v>
      </c>
      <c r="R1548" t="s">
        <v>23</v>
      </c>
      <c r="S1548">
        <v>1</v>
      </c>
      <c r="T1548" t="s">
        <v>24</v>
      </c>
      <c r="U1548" t="s">
        <v>2410</v>
      </c>
      <c r="V1548">
        <v>2024</v>
      </c>
      <c r="W1548">
        <v>10</v>
      </c>
    </row>
    <row r="1549" spans="1:23" x14ac:dyDescent="0.25">
      <c r="A1549" t="s">
        <v>300</v>
      </c>
      <c r="B1549">
        <v>45570.984722222223</v>
      </c>
      <c r="C1549" t="s">
        <v>261</v>
      </c>
      <c r="D1549" t="s">
        <v>262</v>
      </c>
      <c r="E1549" t="s">
        <v>21</v>
      </c>
      <c r="F1549" t="s">
        <v>2394</v>
      </c>
      <c r="G1549" t="s">
        <v>2379</v>
      </c>
      <c r="H1549">
        <v>45000</v>
      </c>
      <c r="I1549">
        <v>1</v>
      </c>
      <c r="J1549">
        <v>5</v>
      </c>
      <c r="K1549">
        <v>45000</v>
      </c>
      <c r="L1549">
        <v>2250</v>
      </c>
      <c r="M1549">
        <v>42750</v>
      </c>
      <c r="N1549">
        <v>18000</v>
      </c>
      <c r="O1549">
        <v>60750</v>
      </c>
      <c r="P1549" t="s">
        <v>29</v>
      </c>
      <c r="Q1549" t="s">
        <v>2356</v>
      </c>
      <c r="R1549" t="s">
        <v>30</v>
      </c>
      <c r="S1549">
        <v>4</v>
      </c>
      <c r="T1549" t="s">
        <v>24</v>
      </c>
      <c r="U1549" t="s">
        <v>2410</v>
      </c>
      <c r="V1549">
        <v>2024</v>
      </c>
      <c r="W1549">
        <v>10</v>
      </c>
    </row>
    <row r="1550" spans="1:23" x14ac:dyDescent="0.25">
      <c r="A1550" t="s">
        <v>301</v>
      </c>
      <c r="B1550">
        <v>45571.2656712963</v>
      </c>
      <c r="C1550" t="s">
        <v>302</v>
      </c>
      <c r="D1550" t="s">
        <v>74</v>
      </c>
      <c r="E1550" t="s">
        <v>85</v>
      </c>
      <c r="F1550" t="s">
        <v>2394</v>
      </c>
      <c r="G1550" t="s">
        <v>2377</v>
      </c>
      <c r="H1550">
        <v>35000</v>
      </c>
      <c r="I1550">
        <v>1</v>
      </c>
      <c r="J1550">
        <v>10</v>
      </c>
      <c r="K1550">
        <v>35000</v>
      </c>
      <c r="L1550">
        <v>3500</v>
      </c>
      <c r="M1550">
        <v>31500</v>
      </c>
      <c r="N1550">
        <v>87000</v>
      </c>
      <c r="O1550">
        <v>118500</v>
      </c>
      <c r="P1550" t="s">
        <v>29</v>
      </c>
      <c r="Q1550" t="s">
        <v>2357</v>
      </c>
      <c r="R1550" t="s">
        <v>82</v>
      </c>
      <c r="S1550">
        <v>1</v>
      </c>
      <c r="T1550" t="s">
        <v>24</v>
      </c>
      <c r="U1550" t="s">
        <v>2410</v>
      </c>
      <c r="V1550">
        <v>2024</v>
      </c>
      <c r="W1550">
        <v>10</v>
      </c>
    </row>
    <row r="1551" spans="1:23" x14ac:dyDescent="0.25">
      <c r="A1551" t="s">
        <v>303</v>
      </c>
      <c r="B1551">
        <v>45571.307962962957</v>
      </c>
      <c r="C1551" t="s">
        <v>192</v>
      </c>
      <c r="D1551" t="s">
        <v>107</v>
      </c>
      <c r="E1551" t="s">
        <v>38</v>
      </c>
      <c r="F1551" t="s">
        <v>2399</v>
      </c>
      <c r="G1551" t="s">
        <v>2379</v>
      </c>
      <c r="H1551">
        <v>28000</v>
      </c>
      <c r="I1551">
        <v>4</v>
      </c>
      <c r="J1551">
        <v>0</v>
      </c>
      <c r="K1551">
        <v>112000</v>
      </c>
      <c r="L1551">
        <v>0</v>
      </c>
      <c r="M1551">
        <v>112000</v>
      </c>
      <c r="N1551">
        <v>97000</v>
      </c>
      <c r="O1551">
        <v>209000</v>
      </c>
      <c r="P1551" t="s">
        <v>35</v>
      </c>
      <c r="Q1551" t="s">
        <v>2357</v>
      </c>
      <c r="R1551" t="s">
        <v>36</v>
      </c>
      <c r="S1551">
        <v>2</v>
      </c>
      <c r="T1551" t="s">
        <v>24</v>
      </c>
      <c r="U1551" t="s">
        <v>2410</v>
      </c>
      <c r="V1551">
        <v>2024</v>
      </c>
      <c r="W1551">
        <v>10</v>
      </c>
    </row>
    <row r="1552" spans="1:23" x14ac:dyDescent="0.25">
      <c r="A1552" t="s">
        <v>304</v>
      </c>
      <c r="B1552">
        <v>45571.434687499997</v>
      </c>
      <c r="C1552" t="s">
        <v>305</v>
      </c>
      <c r="D1552" t="s">
        <v>143</v>
      </c>
      <c r="E1552" t="s">
        <v>250</v>
      </c>
      <c r="F1552" t="s">
        <v>2397</v>
      </c>
      <c r="G1552" t="s">
        <v>2379</v>
      </c>
      <c r="H1552">
        <v>18000</v>
      </c>
      <c r="I1552">
        <v>1</v>
      </c>
      <c r="J1552">
        <v>20</v>
      </c>
      <c r="K1552">
        <v>18000</v>
      </c>
      <c r="L1552">
        <v>3600</v>
      </c>
      <c r="M1552">
        <v>14400</v>
      </c>
      <c r="N1552">
        <v>50000</v>
      </c>
      <c r="O1552">
        <v>64400</v>
      </c>
      <c r="P1552" t="s">
        <v>22</v>
      </c>
      <c r="Q1552" t="s">
        <v>2357</v>
      </c>
      <c r="R1552" t="s">
        <v>46</v>
      </c>
      <c r="S1552">
        <v>3</v>
      </c>
      <c r="T1552" t="s">
        <v>24</v>
      </c>
      <c r="U1552" t="s">
        <v>2410</v>
      </c>
      <c r="V1552">
        <v>2024</v>
      </c>
      <c r="W1552">
        <v>10</v>
      </c>
    </row>
    <row r="1553" spans="1:23" x14ac:dyDescent="0.25">
      <c r="A1553" t="s">
        <v>304</v>
      </c>
      <c r="B1553">
        <v>45571.434687499997</v>
      </c>
      <c r="C1553" t="s">
        <v>305</v>
      </c>
      <c r="D1553" t="s">
        <v>143</v>
      </c>
      <c r="E1553" t="s">
        <v>41</v>
      </c>
      <c r="F1553" t="s">
        <v>2395</v>
      </c>
      <c r="G1553" t="s">
        <v>2377</v>
      </c>
      <c r="H1553">
        <v>4000</v>
      </c>
      <c r="I1553">
        <v>3</v>
      </c>
      <c r="J1553">
        <v>10</v>
      </c>
      <c r="K1553">
        <v>12000</v>
      </c>
      <c r="L1553">
        <v>1200</v>
      </c>
      <c r="M1553">
        <v>10800</v>
      </c>
      <c r="N1553">
        <v>0</v>
      </c>
      <c r="O1553">
        <v>10800</v>
      </c>
      <c r="P1553" t="s">
        <v>22</v>
      </c>
      <c r="Q1553" t="s">
        <v>2357</v>
      </c>
      <c r="R1553" t="s">
        <v>46</v>
      </c>
      <c r="S1553">
        <v>3</v>
      </c>
      <c r="T1553" t="s">
        <v>24</v>
      </c>
      <c r="U1553" t="s">
        <v>2410</v>
      </c>
      <c r="V1553">
        <v>2024</v>
      </c>
      <c r="W1553">
        <v>10</v>
      </c>
    </row>
    <row r="1554" spans="1:23" x14ac:dyDescent="0.25">
      <c r="A1554" t="s">
        <v>306</v>
      </c>
      <c r="B1554">
        <v>45571.541539351849</v>
      </c>
      <c r="C1554" t="s">
        <v>307</v>
      </c>
      <c r="D1554" t="s">
        <v>70</v>
      </c>
      <c r="E1554" t="s">
        <v>81</v>
      </c>
      <c r="F1554" t="s">
        <v>2397</v>
      </c>
      <c r="G1554" t="s">
        <v>2378</v>
      </c>
      <c r="H1554">
        <v>17000</v>
      </c>
      <c r="I1554">
        <v>5</v>
      </c>
      <c r="J1554">
        <v>5</v>
      </c>
      <c r="K1554">
        <v>85000</v>
      </c>
      <c r="L1554">
        <v>4250</v>
      </c>
      <c r="M1554">
        <v>80750</v>
      </c>
      <c r="N1554">
        <v>89000</v>
      </c>
      <c r="O1554">
        <v>169750</v>
      </c>
      <c r="P1554" t="s">
        <v>35</v>
      </c>
      <c r="Q1554" t="s">
        <v>2357</v>
      </c>
      <c r="R1554" t="s">
        <v>23</v>
      </c>
      <c r="S1554">
        <v>4</v>
      </c>
      <c r="T1554" t="s">
        <v>24</v>
      </c>
      <c r="U1554" t="s">
        <v>2410</v>
      </c>
      <c r="V1554">
        <v>2024</v>
      </c>
      <c r="W1554">
        <v>10</v>
      </c>
    </row>
    <row r="1555" spans="1:23" x14ac:dyDescent="0.25">
      <c r="A1555" t="s">
        <v>308</v>
      </c>
      <c r="B1555">
        <v>45571.581678240742</v>
      </c>
      <c r="C1555" t="s">
        <v>309</v>
      </c>
      <c r="D1555" t="s">
        <v>107</v>
      </c>
      <c r="E1555" t="s">
        <v>85</v>
      </c>
      <c r="F1555" t="s">
        <v>2394</v>
      </c>
      <c r="G1555" t="s">
        <v>2377</v>
      </c>
      <c r="H1555">
        <v>35000</v>
      </c>
      <c r="I1555">
        <v>4</v>
      </c>
      <c r="J1555">
        <v>0</v>
      </c>
      <c r="K1555">
        <v>140000</v>
      </c>
      <c r="L1555">
        <v>0</v>
      </c>
      <c r="M1555">
        <v>140000</v>
      </c>
      <c r="N1555">
        <v>97000</v>
      </c>
      <c r="O1555">
        <v>237000</v>
      </c>
      <c r="P1555" t="s">
        <v>22</v>
      </c>
      <c r="Q1555" t="s">
        <v>2357</v>
      </c>
      <c r="R1555" t="s">
        <v>23</v>
      </c>
      <c r="S1555">
        <v>1</v>
      </c>
      <c r="T1555" t="s">
        <v>37</v>
      </c>
      <c r="U1555" t="s">
        <v>2410</v>
      </c>
      <c r="V1555">
        <v>2024</v>
      </c>
      <c r="W1555">
        <v>10</v>
      </c>
    </row>
    <row r="1556" spans="1:23" x14ac:dyDescent="0.25">
      <c r="A1556" t="s">
        <v>310</v>
      </c>
      <c r="B1556">
        <v>45571.595104166663</v>
      </c>
      <c r="C1556" t="s">
        <v>311</v>
      </c>
      <c r="D1556" t="s">
        <v>116</v>
      </c>
      <c r="E1556" t="s">
        <v>45</v>
      </c>
      <c r="F1556" t="s">
        <v>2394</v>
      </c>
      <c r="G1556" t="s">
        <v>2378</v>
      </c>
      <c r="H1556">
        <v>40000</v>
      </c>
      <c r="I1556">
        <v>4</v>
      </c>
      <c r="J1556">
        <v>0</v>
      </c>
      <c r="K1556">
        <v>160000</v>
      </c>
      <c r="L1556">
        <v>0</v>
      </c>
      <c r="M1556">
        <v>160000</v>
      </c>
      <c r="N1556">
        <v>72000</v>
      </c>
      <c r="O1556">
        <v>232000</v>
      </c>
      <c r="P1556" t="s">
        <v>35</v>
      </c>
      <c r="Q1556" t="s">
        <v>2357</v>
      </c>
      <c r="R1556" t="s">
        <v>82</v>
      </c>
      <c r="S1556">
        <v>3</v>
      </c>
      <c r="T1556" t="s">
        <v>24</v>
      </c>
      <c r="U1556" t="s">
        <v>2410</v>
      </c>
      <c r="V1556">
        <v>2024</v>
      </c>
      <c r="W1556">
        <v>10</v>
      </c>
    </row>
    <row r="1557" spans="1:23" x14ac:dyDescent="0.25">
      <c r="A1557" t="s">
        <v>312</v>
      </c>
      <c r="B1557">
        <v>45571.958182870367</v>
      </c>
      <c r="C1557" t="s">
        <v>311</v>
      </c>
      <c r="D1557" t="s">
        <v>116</v>
      </c>
      <c r="E1557" t="s">
        <v>58</v>
      </c>
      <c r="F1557" t="s">
        <v>2396</v>
      </c>
      <c r="G1557" t="s">
        <v>2377</v>
      </c>
      <c r="H1557">
        <v>16000</v>
      </c>
      <c r="I1557">
        <v>1</v>
      </c>
      <c r="J1557">
        <v>15</v>
      </c>
      <c r="K1557">
        <v>16000</v>
      </c>
      <c r="L1557">
        <v>2400</v>
      </c>
      <c r="M1557">
        <v>13600</v>
      </c>
      <c r="N1557">
        <v>72000</v>
      </c>
      <c r="O1557">
        <v>85600</v>
      </c>
      <c r="P1557" t="s">
        <v>35</v>
      </c>
      <c r="Q1557" t="s">
        <v>2356</v>
      </c>
      <c r="R1557" t="s">
        <v>82</v>
      </c>
      <c r="S1557">
        <v>1</v>
      </c>
      <c r="T1557" t="s">
        <v>24</v>
      </c>
      <c r="U1557" t="s">
        <v>2410</v>
      </c>
      <c r="V1557">
        <v>2024</v>
      </c>
      <c r="W1557">
        <v>10</v>
      </c>
    </row>
    <row r="1558" spans="1:23" x14ac:dyDescent="0.25">
      <c r="A1558" t="s">
        <v>313</v>
      </c>
      <c r="B1558">
        <v>45572.168055555558</v>
      </c>
      <c r="C1558" t="s">
        <v>314</v>
      </c>
      <c r="D1558" t="s">
        <v>113</v>
      </c>
      <c r="E1558" t="s">
        <v>186</v>
      </c>
      <c r="F1558" t="s">
        <v>2398</v>
      </c>
      <c r="G1558" t="s">
        <v>2377</v>
      </c>
      <c r="H1558">
        <v>45000</v>
      </c>
      <c r="I1558">
        <v>4</v>
      </c>
      <c r="J1558">
        <v>10</v>
      </c>
      <c r="K1558">
        <v>180000</v>
      </c>
      <c r="L1558">
        <v>18000</v>
      </c>
      <c r="M1558">
        <v>162000</v>
      </c>
      <c r="N1558">
        <v>18000</v>
      </c>
      <c r="O1558">
        <v>180000</v>
      </c>
      <c r="P1558" t="s">
        <v>29</v>
      </c>
      <c r="Q1558" t="s">
        <v>2357</v>
      </c>
      <c r="R1558" t="s">
        <v>36</v>
      </c>
      <c r="S1558">
        <v>1</v>
      </c>
      <c r="T1558" t="s">
        <v>24</v>
      </c>
      <c r="U1558" t="s">
        <v>2410</v>
      </c>
      <c r="V1558">
        <v>2024</v>
      </c>
      <c r="W1558">
        <v>10</v>
      </c>
    </row>
    <row r="1559" spans="1:23" x14ac:dyDescent="0.25">
      <c r="A1559" t="s">
        <v>313</v>
      </c>
      <c r="B1559">
        <v>45572.168055555558</v>
      </c>
      <c r="C1559" t="s">
        <v>314</v>
      </c>
      <c r="D1559" t="s">
        <v>113</v>
      </c>
      <c r="E1559" t="s">
        <v>54</v>
      </c>
      <c r="F1559" t="s">
        <v>2393</v>
      </c>
      <c r="G1559" t="s">
        <v>2379</v>
      </c>
      <c r="H1559">
        <v>16000</v>
      </c>
      <c r="I1559">
        <v>3</v>
      </c>
      <c r="J1559">
        <v>10</v>
      </c>
      <c r="K1559">
        <v>48000</v>
      </c>
      <c r="L1559">
        <v>4800</v>
      </c>
      <c r="M1559">
        <v>43200</v>
      </c>
      <c r="N1559">
        <v>0</v>
      </c>
      <c r="O1559">
        <v>43200</v>
      </c>
      <c r="P1559" t="s">
        <v>29</v>
      </c>
      <c r="Q1559" t="s">
        <v>2357</v>
      </c>
      <c r="R1559" t="s">
        <v>36</v>
      </c>
      <c r="S1559">
        <v>1</v>
      </c>
      <c r="T1559" t="s">
        <v>24</v>
      </c>
      <c r="U1559" t="s">
        <v>2410</v>
      </c>
      <c r="V1559">
        <v>2024</v>
      </c>
      <c r="W1559">
        <v>10</v>
      </c>
    </row>
    <row r="1560" spans="1:23" x14ac:dyDescent="0.25">
      <c r="A1560" t="s">
        <v>315</v>
      </c>
      <c r="B1560">
        <v>45572.169282407413</v>
      </c>
      <c r="C1560" t="s">
        <v>316</v>
      </c>
      <c r="D1560" t="s">
        <v>244</v>
      </c>
      <c r="E1560" t="s">
        <v>174</v>
      </c>
      <c r="F1560" t="s">
        <v>2400</v>
      </c>
      <c r="G1560" t="s">
        <v>2377</v>
      </c>
      <c r="H1560">
        <v>10000</v>
      </c>
      <c r="I1560">
        <v>3</v>
      </c>
      <c r="J1560">
        <v>5</v>
      </c>
      <c r="K1560">
        <v>30000</v>
      </c>
      <c r="L1560">
        <v>1500</v>
      </c>
      <c r="M1560">
        <v>28500</v>
      </c>
      <c r="N1560">
        <v>80000</v>
      </c>
      <c r="O1560">
        <v>108500</v>
      </c>
      <c r="P1560" t="s">
        <v>63</v>
      </c>
      <c r="Q1560" t="s">
        <v>2357</v>
      </c>
      <c r="R1560" t="s">
        <v>23</v>
      </c>
      <c r="S1560">
        <v>2</v>
      </c>
      <c r="T1560" t="s">
        <v>24</v>
      </c>
      <c r="U1560" t="s">
        <v>2410</v>
      </c>
      <c r="V1560">
        <v>2024</v>
      </c>
      <c r="W1560">
        <v>10</v>
      </c>
    </row>
    <row r="1561" spans="1:23" x14ac:dyDescent="0.25">
      <c r="A1561" t="s">
        <v>317</v>
      </c>
      <c r="B1561">
        <v>45572.446215277778</v>
      </c>
      <c r="C1561" t="s">
        <v>318</v>
      </c>
      <c r="D1561" t="s">
        <v>244</v>
      </c>
      <c r="E1561" t="s">
        <v>81</v>
      </c>
      <c r="F1561" t="s">
        <v>2397</v>
      </c>
      <c r="G1561" t="s">
        <v>2378</v>
      </c>
      <c r="H1561">
        <v>17000</v>
      </c>
      <c r="I1561">
        <v>5</v>
      </c>
      <c r="J1561">
        <v>15</v>
      </c>
      <c r="K1561">
        <v>85000</v>
      </c>
      <c r="L1561">
        <v>12750</v>
      </c>
      <c r="M1561">
        <v>72250</v>
      </c>
      <c r="N1561">
        <v>80000</v>
      </c>
      <c r="O1561">
        <v>152250</v>
      </c>
      <c r="P1561" t="s">
        <v>35</v>
      </c>
      <c r="Q1561" t="s">
        <v>2356</v>
      </c>
      <c r="R1561" t="s">
        <v>23</v>
      </c>
      <c r="S1561">
        <v>1</v>
      </c>
      <c r="T1561" t="s">
        <v>37</v>
      </c>
      <c r="U1561" t="s">
        <v>2410</v>
      </c>
      <c r="V1561">
        <v>2024</v>
      </c>
      <c r="W1561">
        <v>10</v>
      </c>
    </row>
    <row r="1562" spans="1:23" x14ac:dyDescent="0.25">
      <c r="A1562" t="s">
        <v>319</v>
      </c>
      <c r="B1562">
        <v>45572.621770833342</v>
      </c>
      <c r="C1562" t="s">
        <v>273</v>
      </c>
      <c r="D1562" t="s">
        <v>195</v>
      </c>
      <c r="E1562" t="s">
        <v>81</v>
      </c>
      <c r="F1562" t="s">
        <v>2397</v>
      </c>
      <c r="G1562" t="s">
        <v>2378</v>
      </c>
      <c r="H1562">
        <v>17000</v>
      </c>
      <c r="I1562">
        <v>4</v>
      </c>
      <c r="J1562">
        <v>10</v>
      </c>
      <c r="K1562">
        <v>68000</v>
      </c>
      <c r="L1562">
        <v>6800</v>
      </c>
      <c r="M1562">
        <v>61200</v>
      </c>
      <c r="N1562">
        <v>87000</v>
      </c>
      <c r="O1562">
        <v>148200</v>
      </c>
      <c r="P1562" t="s">
        <v>35</v>
      </c>
      <c r="Q1562" t="s">
        <v>2357</v>
      </c>
      <c r="R1562" t="s">
        <v>46</v>
      </c>
      <c r="S1562">
        <v>1</v>
      </c>
      <c r="T1562" t="s">
        <v>24</v>
      </c>
      <c r="U1562" t="s">
        <v>2410</v>
      </c>
      <c r="V1562">
        <v>2024</v>
      </c>
      <c r="W1562">
        <v>10</v>
      </c>
    </row>
    <row r="1563" spans="1:23" x14ac:dyDescent="0.25">
      <c r="A1563" t="s">
        <v>320</v>
      </c>
      <c r="B1563">
        <v>45573.014687499999</v>
      </c>
      <c r="C1563" t="s">
        <v>321</v>
      </c>
      <c r="D1563" t="s">
        <v>80</v>
      </c>
      <c r="E1563" t="s">
        <v>50</v>
      </c>
      <c r="F1563" t="s">
        <v>2400</v>
      </c>
      <c r="G1563" t="s">
        <v>2379</v>
      </c>
      <c r="H1563">
        <v>14000</v>
      </c>
      <c r="I1563">
        <v>2</v>
      </c>
      <c r="J1563">
        <v>5</v>
      </c>
      <c r="K1563">
        <v>28000</v>
      </c>
      <c r="L1563">
        <v>1400</v>
      </c>
      <c r="M1563">
        <v>26600</v>
      </c>
      <c r="N1563">
        <v>74000</v>
      </c>
      <c r="O1563">
        <v>100600</v>
      </c>
      <c r="P1563" t="s">
        <v>35</v>
      </c>
      <c r="Q1563" t="s">
        <v>2357</v>
      </c>
      <c r="R1563" t="s">
        <v>30</v>
      </c>
      <c r="S1563">
        <v>1</v>
      </c>
      <c r="T1563" t="s">
        <v>24</v>
      </c>
      <c r="U1563" t="s">
        <v>2410</v>
      </c>
      <c r="V1563">
        <v>2024</v>
      </c>
      <c r="W1563">
        <v>10</v>
      </c>
    </row>
    <row r="1564" spans="1:23" x14ac:dyDescent="0.25">
      <c r="A1564" t="s">
        <v>322</v>
      </c>
      <c r="B1564">
        <v>45573.198518518519</v>
      </c>
      <c r="C1564" t="s">
        <v>323</v>
      </c>
      <c r="D1564" t="s">
        <v>103</v>
      </c>
      <c r="E1564" t="s">
        <v>110</v>
      </c>
      <c r="F1564" t="s">
        <v>2395</v>
      </c>
      <c r="G1564" t="s">
        <v>2379</v>
      </c>
      <c r="H1564">
        <v>6000</v>
      </c>
      <c r="I1564">
        <v>5</v>
      </c>
      <c r="J1564">
        <v>15</v>
      </c>
      <c r="K1564">
        <v>30000</v>
      </c>
      <c r="L1564">
        <v>4500</v>
      </c>
      <c r="M1564">
        <v>25500</v>
      </c>
      <c r="N1564">
        <v>85000</v>
      </c>
      <c r="O1564">
        <v>110500</v>
      </c>
      <c r="P1564" t="s">
        <v>63</v>
      </c>
      <c r="Q1564" t="s">
        <v>2357</v>
      </c>
      <c r="R1564" t="s">
        <v>23</v>
      </c>
      <c r="S1564">
        <v>2</v>
      </c>
      <c r="T1564" t="s">
        <v>24</v>
      </c>
      <c r="U1564" t="s">
        <v>2410</v>
      </c>
      <c r="V1564">
        <v>2024</v>
      </c>
      <c r="W1564">
        <v>10</v>
      </c>
    </row>
    <row r="1565" spans="1:23" x14ac:dyDescent="0.25">
      <c r="A1565" t="s">
        <v>324</v>
      </c>
      <c r="B1565">
        <v>45573.420266203713</v>
      </c>
      <c r="C1565" t="s">
        <v>192</v>
      </c>
      <c r="D1565" t="s">
        <v>107</v>
      </c>
      <c r="E1565" t="s">
        <v>123</v>
      </c>
      <c r="F1565" t="s">
        <v>2399</v>
      </c>
      <c r="G1565" t="s">
        <v>2377</v>
      </c>
      <c r="H1565">
        <v>22000</v>
      </c>
      <c r="I1565">
        <v>4</v>
      </c>
      <c r="J1565">
        <v>20</v>
      </c>
      <c r="K1565">
        <v>88000</v>
      </c>
      <c r="L1565">
        <v>17600</v>
      </c>
      <c r="M1565">
        <v>70400</v>
      </c>
      <c r="N1565">
        <v>97000</v>
      </c>
      <c r="O1565">
        <v>167400</v>
      </c>
      <c r="P1565" t="s">
        <v>63</v>
      </c>
      <c r="Q1565" t="s">
        <v>2357</v>
      </c>
      <c r="R1565" t="s">
        <v>30</v>
      </c>
      <c r="S1565">
        <v>3</v>
      </c>
      <c r="T1565" t="s">
        <v>24</v>
      </c>
      <c r="U1565" t="s">
        <v>2410</v>
      </c>
      <c r="V1565">
        <v>2024</v>
      </c>
      <c r="W1565">
        <v>10</v>
      </c>
    </row>
    <row r="1566" spans="1:23" x14ac:dyDescent="0.25">
      <c r="A1566" t="s">
        <v>325</v>
      </c>
      <c r="B1566">
        <v>45573.527280092603</v>
      </c>
      <c r="C1566" t="s">
        <v>326</v>
      </c>
      <c r="D1566" t="s">
        <v>262</v>
      </c>
      <c r="E1566" t="s">
        <v>50</v>
      </c>
      <c r="F1566" t="s">
        <v>2400</v>
      </c>
      <c r="G1566" t="s">
        <v>2379</v>
      </c>
      <c r="H1566">
        <v>14000</v>
      </c>
      <c r="I1566">
        <v>4</v>
      </c>
      <c r="J1566">
        <v>10</v>
      </c>
      <c r="K1566">
        <v>56000</v>
      </c>
      <c r="L1566">
        <v>5600</v>
      </c>
      <c r="M1566">
        <v>50400</v>
      </c>
      <c r="N1566">
        <v>18000</v>
      </c>
      <c r="O1566">
        <v>68400</v>
      </c>
      <c r="P1566" t="s">
        <v>63</v>
      </c>
      <c r="Q1566" t="s">
        <v>2357</v>
      </c>
      <c r="R1566" t="s">
        <v>46</v>
      </c>
      <c r="S1566">
        <v>3</v>
      </c>
      <c r="T1566" t="s">
        <v>37</v>
      </c>
      <c r="U1566" t="s">
        <v>2410</v>
      </c>
      <c r="V1566">
        <v>2024</v>
      </c>
      <c r="W1566">
        <v>10</v>
      </c>
    </row>
    <row r="1567" spans="1:23" x14ac:dyDescent="0.25">
      <c r="A1567" t="s">
        <v>327</v>
      </c>
      <c r="B1567">
        <v>45573.747465277767</v>
      </c>
      <c r="C1567" t="s">
        <v>179</v>
      </c>
      <c r="D1567" t="s">
        <v>66</v>
      </c>
      <c r="E1567" t="s">
        <v>34</v>
      </c>
      <c r="F1567" t="s">
        <v>2397</v>
      </c>
      <c r="G1567" t="s">
        <v>2377</v>
      </c>
      <c r="H1567">
        <v>16000</v>
      </c>
      <c r="I1567">
        <v>5</v>
      </c>
      <c r="J1567">
        <v>0</v>
      </c>
      <c r="K1567">
        <v>80000</v>
      </c>
      <c r="L1567">
        <v>0</v>
      </c>
      <c r="M1567">
        <v>80000</v>
      </c>
      <c r="N1567">
        <v>59000</v>
      </c>
      <c r="O1567">
        <v>139000</v>
      </c>
      <c r="P1567" t="s">
        <v>35</v>
      </c>
      <c r="Q1567" t="s">
        <v>2359</v>
      </c>
      <c r="R1567" t="s">
        <v>23</v>
      </c>
      <c r="S1567">
        <v>3</v>
      </c>
      <c r="T1567" t="s">
        <v>24</v>
      </c>
      <c r="U1567" t="s">
        <v>2410</v>
      </c>
      <c r="V1567">
        <v>2024</v>
      </c>
      <c r="W1567">
        <v>10</v>
      </c>
    </row>
    <row r="1568" spans="1:23" x14ac:dyDescent="0.25">
      <c r="A1568" t="s">
        <v>328</v>
      </c>
      <c r="B1568">
        <v>45573.881365740737</v>
      </c>
      <c r="C1568" t="s">
        <v>188</v>
      </c>
      <c r="D1568" t="s">
        <v>189</v>
      </c>
      <c r="E1568" t="s">
        <v>75</v>
      </c>
      <c r="F1568" t="s">
        <v>2398</v>
      </c>
      <c r="G1568" t="s">
        <v>2379</v>
      </c>
      <c r="H1568">
        <v>55000</v>
      </c>
      <c r="I1568">
        <v>2</v>
      </c>
      <c r="J1568">
        <v>0</v>
      </c>
      <c r="K1568">
        <v>110000</v>
      </c>
      <c r="L1568">
        <v>0</v>
      </c>
      <c r="M1568">
        <v>110000</v>
      </c>
      <c r="N1568">
        <v>57000</v>
      </c>
      <c r="O1568">
        <v>167000</v>
      </c>
      <c r="P1568" t="s">
        <v>29</v>
      </c>
      <c r="Q1568" t="s">
        <v>2357</v>
      </c>
      <c r="R1568" t="s">
        <v>23</v>
      </c>
      <c r="S1568">
        <v>5</v>
      </c>
      <c r="T1568" t="s">
        <v>24</v>
      </c>
      <c r="U1568" t="s">
        <v>2410</v>
      </c>
      <c r="V1568">
        <v>2024</v>
      </c>
      <c r="W1568">
        <v>10</v>
      </c>
    </row>
    <row r="1569" spans="1:23" x14ac:dyDescent="0.25">
      <c r="A1569" t="s">
        <v>329</v>
      </c>
      <c r="B1569">
        <v>45574.081747685188</v>
      </c>
      <c r="C1569" t="s">
        <v>169</v>
      </c>
      <c r="D1569" t="s">
        <v>170</v>
      </c>
      <c r="E1569" t="s">
        <v>250</v>
      </c>
      <c r="F1569" t="s">
        <v>2397</v>
      </c>
      <c r="G1569" t="s">
        <v>2379</v>
      </c>
      <c r="H1569">
        <v>18000</v>
      </c>
      <c r="I1569">
        <v>3</v>
      </c>
      <c r="J1569">
        <v>15</v>
      </c>
      <c r="K1569">
        <v>54000</v>
      </c>
      <c r="L1569">
        <v>8100</v>
      </c>
      <c r="M1569">
        <v>45900</v>
      </c>
      <c r="N1569">
        <v>46000</v>
      </c>
      <c r="O1569">
        <v>91900</v>
      </c>
      <c r="P1569" t="s">
        <v>35</v>
      </c>
      <c r="Q1569" t="s">
        <v>2357</v>
      </c>
      <c r="R1569" t="s">
        <v>36</v>
      </c>
      <c r="S1569">
        <v>1</v>
      </c>
      <c r="T1569" t="s">
        <v>24</v>
      </c>
      <c r="U1569" t="s">
        <v>2410</v>
      </c>
      <c r="V1569">
        <v>2024</v>
      </c>
      <c r="W1569">
        <v>10</v>
      </c>
    </row>
    <row r="1570" spans="1:23" x14ac:dyDescent="0.25">
      <c r="A1570" t="s">
        <v>329</v>
      </c>
      <c r="B1570">
        <v>45574.081747685188</v>
      </c>
      <c r="C1570" t="s">
        <v>169</v>
      </c>
      <c r="D1570" t="s">
        <v>170</v>
      </c>
      <c r="E1570" t="s">
        <v>85</v>
      </c>
      <c r="F1570" t="s">
        <v>2394</v>
      </c>
      <c r="G1570" t="s">
        <v>2377</v>
      </c>
      <c r="H1570">
        <v>35000</v>
      </c>
      <c r="I1570">
        <v>3</v>
      </c>
      <c r="J1570">
        <v>20</v>
      </c>
      <c r="K1570">
        <v>105000</v>
      </c>
      <c r="L1570">
        <v>21000</v>
      </c>
      <c r="M1570">
        <v>84000</v>
      </c>
      <c r="N1570">
        <v>0</v>
      </c>
      <c r="O1570">
        <v>84000</v>
      </c>
      <c r="P1570" t="s">
        <v>35</v>
      </c>
      <c r="Q1570" t="s">
        <v>2357</v>
      </c>
      <c r="R1570" t="s">
        <v>36</v>
      </c>
      <c r="S1570">
        <v>1</v>
      </c>
      <c r="T1570" t="s">
        <v>24</v>
      </c>
      <c r="U1570" t="s">
        <v>2410</v>
      </c>
      <c r="V1570">
        <v>2024</v>
      </c>
      <c r="W1570">
        <v>10</v>
      </c>
    </row>
    <row r="1571" spans="1:23" x14ac:dyDescent="0.25">
      <c r="A1571" t="s">
        <v>330</v>
      </c>
      <c r="B1571">
        <v>45574.15121527778</v>
      </c>
      <c r="C1571" t="s">
        <v>331</v>
      </c>
      <c r="D1571" t="s">
        <v>20</v>
      </c>
      <c r="E1571" t="s">
        <v>45</v>
      </c>
      <c r="F1571" t="s">
        <v>2394</v>
      </c>
      <c r="G1571" t="s">
        <v>2378</v>
      </c>
      <c r="H1571">
        <v>40000</v>
      </c>
      <c r="I1571">
        <v>2</v>
      </c>
      <c r="J1571">
        <v>15</v>
      </c>
      <c r="K1571">
        <v>80000</v>
      </c>
      <c r="L1571">
        <v>12000</v>
      </c>
      <c r="M1571">
        <v>68000</v>
      </c>
      <c r="N1571">
        <v>15000</v>
      </c>
      <c r="O1571">
        <v>83000</v>
      </c>
      <c r="P1571" t="s">
        <v>35</v>
      </c>
      <c r="Q1571" t="s">
        <v>2357</v>
      </c>
      <c r="R1571" t="s">
        <v>46</v>
      </c>
      <c r="S1571">
        <v>5</v>
      </c>
      <c r="T1571" t="s">
        <v>37</v>
      </c>
      <c r="U1571" t="s">
        <v>2410</v>
      </c>
      <c r="V1571">
        <v>2024</v>
      </c>
      <c r="W1571">
        <v>10</v>
      </c>
    </row>
    <row r="1572" spans="1:23" x14ac:dyDescent="0.25">
      <c r="A1572" t="s">
        <v>332</v>
      </c>
      <c r="B1572">
        <v>45574.197430555563</v>
      </c>
      <c r="C1572" t="s">
        <v>333</v>
      </c>
      <c r="D1572" t="s">
        <v>107</v>
      </c>
      <c r="E1572" t="s">
        <v>85</v>
      </c>
      <c r="F1572" t="s">
        <v>2394</v>
      </c>
      <c r="G1572" t="s">
        <v>2377</v>
      </c>
      <c r="H1572">
        <v>35000</v>
      </c>
      <c r="I1572">
        <v>2</v>
      </c>
      <c r="J1572">
        <v>5</v>
      </c>
      <c r="K1572">
        <v>70000</v>
      </c>
      <c r="L1572">
        <v>3500</v>
      </c>
      <c r="M1572">
        <v>66500</v>
      </c>
      <c r="N1572">
        <v>97000</v>
      </c>
      <c r="O1572">
        <v>163500</v>
      </c>
      <c r="P1572" t="s">
        <v>35</v>
      </c>
      <c r="Q1572" t="s">
        <v>2357</v>
      </c>
      <c r="R1572" t="s">
        <v>30</v>
      </c>
      <c r="S1572">
        <v>5</v>
      </c>
      <c r="T1572" t="s">
        <v>37</v>
      </c>
      <c r="U1572" t="s">
        <v>2410</v>
      </c>
      <c r="V1572">
        <v>2024</v>
      </c>
      <c r="W1572">
        <v>10</v>
      </c>
    </row>
    <row r="1573" spans="1:23" x14ac:dyDescent="0.25">
      <c r="A1573" t="s">
        <v>334</v>
      </c>
      <c r="B1573">
        <v>45574.236168981479</v>
      </c>
      <c r="C1573" t="s">
        <v>335</v>
      </c>
      <c r="D1573" t="s">
        <v>80</v>
      </c>
      <c r="E1573" t="s">
        <v>123</v>
      </c>
      <c r="F1573" t="s">
        <v>2399</v>
      </c>
      <c r="G1573" t="s">
        <v>2377</v>
      </c>
      <c r="H1573">
        <v>22000</v>
      </c>
      <c r="I1573">
        <v>5</v>
      </c>
      <c r="J1573">
        <v>0</v>
      </c>
      <c r="K1573">
        <v>110000</v>
      </c>
      <c r="L1573">
        <v>0</v>
      </c>
      <c r="M1573">
        <v>110000</v>
      </c>
      <c r="N1573">
        <v>74000</v>
      </c>
      <c r="O1573">
        <v>184000</v>
      </c>
      <c r="P1573" t="s">
        <v>63</v>
      </c>
      <c r="Q1573" t="s">
        <v>2357</v>
      </c>
      <c r="R1573" t="s">
        <v>82</v>
      </c>
      <c r="S1573">
        <v>5</v>
      </c>
      <c r="T1573" t="s">
        <v>37</v>
      </c>
      <c r="U1573" t="s">
        <v>2410</v>
      </c>
      <c r="V1573">
        <v>2024</v>
      </c>
      <c r="W1573">
        <v>10</v>
      </c>
    </row>
    <row r="1574" spans="1:23" x14ac:dyDescent="0.25">
      <c r="A1574" t="s">
        <v>336</v>
      </c>
      <c r="B1574">
        <v>45574.308252314811</v>
      </c>
      <c r="C1574" t="s">
        <v>337</v>
      </c>
      <c r="D1574" t="s">
        <v>131</v>
      </c>
      <c r="E1574" t="s">
        <v>62</v>
      </c>
      <c r="F1574" t="s">
        <v>2398</v>
      </c>
      <c r="G1574" t="s">
        <v>2378</v>
      </c>
      <c r="H1574">
        <v>50000</v>
      </c>
      <c r="I1574">
        <v>3</v>
      </c>
      <c r="J1574">
        <v>5</v>
      </c>
      <c r="K1574">
        <v>150000</v>
      </c>
      <c r="L1574">
        <v>7500</v>
      </c>
      <c r="M1574">
        <v>142500</v>
      </c>
      <c r="N1574">
        <v>59000</v>
      </c>
      <c r="O1574">
        <v>201500</v>
      </c>
      <c r="P1574" t="s">
        <v>35</v>
      </c>
      <c r="Q1574" t="s">
        <v>2357</v>
      </c>
      <c r="R1574" t="s">
        <v>46</v>
      </c>
      <c r="S1574">
        <v>1</v>
      </c>
      <c r="T1574" t="s">
        <v>24</v>
      </c>
      <c r="U1574" t="s">
        <v>2410</v>
      </c>
      <c r="V1574">
        <v>2024</v>
      </c>
      <c r="W1574">
        <v>10</v>
      </c>
    </row>
    <row r="1575" spans="1:23" x14ac:dyDescent="0.25">
      <c r="A1575" t="s">
        <v>338</v>
      </c>
      <c r="B1575">
        <v>45574.792592592603</v>
      </c>
      <c r="C1575" t="s">
        <v>246</v>
      </c>
      <c r="D1575" t="s">
        <v>238</v>
      </c>
      <c r="E1575" t="s">
        <v>28</v>
      </c>
      <c r="F1575" t="s">
        <v>2395</v>
      </c>
      <c r="G1575" t="s">
        <v>2378</v>
      </c>
      <c r="H1575">
        <v>5000</v>
      </c>
      <c r="I1575">
        <v>1</v>
      </c>
      <c r="J1575">
        <v>5</v>
      </c>
      <c r="K1575">
        <v>5000</v>
      </c>
      <c r="L1575">
        <v>250</v>
      </c>
      <c r="M1575">
        <v>4750</v>
      </c>
      <c r="N1575">
        <v>28000</v>
      </c>
      <c r="O1575">
        <v>32750</v>
      </c>
      <c r="P1575" t="s">
        <v>29</v>
      </c>
      <c r="Q1575" t="s">
        <v>2357</v>
      </c>
      <c r="R1575" t="s">
        <v>23</v>
      </c>
      <c r="S1575">
        <v>2</v>
      </c>
      <c r="T1575" t="s">
        <v>24</v>
      </c>
      <c r="U1575" t="s">
        <v>2410</v>
      </c>
      <c r="V1575">
        <v>2024</v>
      </c>
      <c r="W1575">
        <v>10</v>
      </c>
    </row>
    <row r="1576" spans="1:23" x14ac:dyDescent="0.25">
      <c r="A1576" t="s">
        <v>339</v>
      </c>
      <c r="B1576">
        <v>45574.835451388892</v>
      </c>
      <c r="C1576" t="s">
        <v>340</v>
      </c>
      <c r="D1576" t="s">
        <v>126</v>
      </c>
      <c r="E1576" t="s">
        <v>93</v>
      </c>
      <c r="F1576" t="s">
        <v>2399</v>
      </c>
      <c r="G1576" t="s">
        <v>2378</v>
      </c>
      <c r="H1576">
        <v>25000</v>
      </c>
      <c r="I1576">
        <v>5</v>
      </c>
      <c r="J1576">
        <v>15</v>
      </c>
      <c r="K1576">
        <v>125000</v>
      </c>
      <c r="L1576">
        <v>18750</v>
      </c>
      <c r="M1576">
        <v>106250</v>
      </c>
      <c r="N1576">
        <v>84000</v>
      </c>
      <c r="O1576">
        <v>190250</v>
      </c>
      <c r="P1576" t="s">
        <v>63</v>
      </c>
      <c r="Q1576" t="s">
        <v>2357</v>
      </c>
      <c r="R1576" t="s">
        <v>30</v>
      </c>
      <c r="S1576">
        <v>2</v>
      </c>
      <c r="T1576" t="s">
        <v>37</v>
      </c>
      <c r="U1576" t="s">
        <v>2410</v>
      </c>
      <c r="V1576">
        <v>2024</v>
      </c>
      <c r="W1576">
        <v>10</v>
      </c>
    </row>
    <row r="1577" spans="1:23" x14ac:dyDescent="0.25">
      <c r="A1577" t="s">
        <v>341</v>
      </c>
      <c r="B1577">
        <v>45574.890370370369</v>
      </c>
      <c r="C1577" t="s">
        <v>342</v>
      </c>
      <c r="D1577" t="s">
        <v>131</v>
      </c>
      <c r="E1577" t="s">
        <v>250</v>
      </c>
      <c r="F1577" t="s">
        <v>2397</v>
      </c>
      <c r="G1577" t="s">
        <v>2379</v>
      </c>
      <c r="H1577">
        <v>18000</v>
      </c>
      <c r="I1577">
        <v>2</v>
      </c>
      <c r="J1577">
        <v>20</v>
      </c>
      <c r="K1577">
        <v>36000</v>
      </c>
      <c r="L1577">
        <v>7200</v>
      </c>
      <c r="M1577">
        <v>28800</v>
      </c>
      <c r="N1577">
        <v>59000</v>
      </c>
      <c r="O1577">
        <v>87800</v>
      </c>
      <c r="P1577" t="s">
        <v>63</v>
      </c>
      <c r="Q1577" t="s">
        <v>2357</v>
      </c>
      <c r="R1577" t="s">
        <v>23</v>
      </c>
      <c r="S1577">
        <v>1</v>
      </c>
      <c r="T1577" t="s">
        <v>37</v>
      </c>
      <c r="U1577" t="s">
        <v>2410</v>
      </c>
      <c r="V1577">
        <v>2024</v>
      </c>
      <c r="W1577">
        <v>10</v>
      </c>
    </row>
    <row r="1578" spans="1:23" x14ac:dyDescent="0.25">
      <c r="A1578" t="s">
        <v>343</v>
      </c>
      <c r="B1578">
        <v>45575.103472222218</v>
      </c>
      <c r="C1578" t="s">
        <v>344</v>
      </c>
      <c r="D1578" t="s">
        <v>195</v>
      </c>
      <c r="E1578" t="s">
        <v>62</v>
      </c>
      <c r="F1578" t="s">
        <v>2398</v>
      </c>
      <c r="G1578" t="s">
        <v>2378</v>
      </c>
      <c r="H1578">
        <v>50000</v>
      </c>
      <c r="I1578">
        <v>1</v>
      </c>
      <c r="J1578">
        <v>15</v>
      </c>
      <c r="K1578">
        <v>50000</v>
      </c>
      <c r="L1578">
        <v>7500</v>
      </c>
      <c r="M1578">
        <v>42500</v>
      </c>
      <c r="N1578">
        <v>87000</v>
      </c>
      <c r="O1578">
        <v>129500</v>
      </c>
      <c r="P1578" t="s">
        <v>63</v>
      </c>
      <c r="Q1578" t="s">
        <v>2357</v>
      </c>
      <c r="R1578" t="s">
        <v>30</v>
      </c>
      <c r="S1578">
        <v>5</v>
      </c>
      <c r="T1578" t="s">
        <v>24</v>
      </c>
      <c r="U1578" t="s">
        <v>2410</v>
      </c>
      <c r="V1578">
        <v>2024</v>
      </c>
      <c r="W1578">
        <v>10</v>
      </c>
    </row>
    <row r="1579" spans="1:23" x14ac:dyDescent="0.25">
      <c r="A1579" t="s">
        <v>345</v>
      </c>
      <c r="B1579">
        <v>45575.44390046296</v>
      </c>
      <c r="C1579" t="s">
        <v>346</v>
      </c>
      <c r="D1579" t="s">
        <v>296</v>
      </c>
      <c r="E1579" t="s">
        <v>85</v>
      </c>
      <c r="F1579" t="s">
        <v>2394</v>
      </c>
      <c r="G1579" t="s">
        <v>2377</v>
      </c>
      <c r="H1579">
        <v>35000</v>
      </c>
      <c r="I1579">
        <v>1</v>
      </c>
      <c r="J1579">
        <v>10</v>
      </c>
      <c r="K1579">
        <v>35000</v>
      </c>
      <c r="L1579">
        <v>3500</v>
      </c>
      <c r="M1579">
        <v>31500</v>
      </c>
      <c r="N1579">
        <v>79000</v>
      </c>
      <c r="O1579">
        <v>110500</v>
      </c>
      <c r="P1579" t="s">
        <v>35</v>
      </c>
      <c r="Q1579" t="s">
        <v>2357</v>
      </c>
      <c r="R1579" t="s">
        <v>30</v>
      </c>
      <c r="S1579">
        <v>1</v>
      </c>
      <c r="T1579" t="s">
        <v>24</v>
      </c>
      <c r="U1579" t="s">
        <v>2410</v>
      </c>
      <c r="V1579">
        <v>2024</v>
      </c>
      <c r="W1579">
        <v>10</v>
      </c>
    </row>
    <row r="1580" spans="1:23" x14ac:dyDescent="0.25">
      <c r="A1580" t="s">
        <v>347</v>
      </c>
      <c r="B1580">
        <v>45575.883668981478</v>
      </c>
      <c r="C1580" t="s">
        <v>201</v>
      </c>
      <c r="D1580" t="s">
        <v>107</v>
      </c>
      <c r="E1580" t="s">
        <v>190</v>
      </c>
      <c r="F1580" t="s">
        <v>2392</v>
      </c>
      <c r="G1580" t="s">
        <v>2378</v>
      </c>
      <c r="H1580">
        <v>35000</v>
      </c>
      <c r="I1580">
        <v>2</v>
      </c>
      <c r="J1580">
        <v>10</v>
      </c>
      <c r="K1580">
        <v>70000</v>
      </c>
      <c r="L1580">
        <v>7000</v>
      </c>
      <c r="M1580">
        <v>63000</v>
      </c>
      <c r="N1580">
        <v>97000</v>
      </c>
      <c r="O1580">
        <v>160000</v>
      </c>
      <c r="P1580" t="s">
        <v>63</v>
      </c>
      <c r="Q1580" t="s">
        <v>2357</v>
      </c>
      <c r="R1580" t="s">
        <v>30</v>
      </c>
      <c r="S1580">
        <v>1</v>
      </c>
      <c r="T1580" t="s">
        <v>24</v>
      </c>
      <c r="U1580" t="s">
        <v>2410</v>
      </c>
      <c r="V1580">
        <v>2024</v>
      </c>
      <c r="W1580">
        <v>10</v>
      </c>
    </row>
    <row r="1581" spans="1:23" x14ac:dyDescent="0.25">
      <c r="A1581" t="s">
        <v>348</v>
      </c>
      <c r="B1581">
        <v>45576.006597222222</v>
      </c>
      <c r="C1581" t="s">
        <v>155</v>
      </c>
      <c r="D1581" t="s">
        <v>92</v>
      </c>
      <c r="E1581" t="s">
        <v>67</v>
      </c>
      <c r="F1581" t="s">
        <v>2393</v>
      </c>
      <c r="G1581" t="s">
        <v>2378</v>
      </c>
      <c r="H1581">
        <v>15000</v>
      </c>
      <c r="I1581">
        <v>5</v>
      </c>
      <c r="J1581">
        <v>20</v>
      </c>
      <c r="K1581">
        <v>75000</v>
      </c>
      <c r="L1581">
        <v>15000</v>
      </c>
      <c r="M1581">
        <v>60000</v>
      </c>
      <c r="N1581">
        <v>30000</v>
      </c>
      <c r="O1581">
        <v>90000</v>
      </c>
      <c r="P1581" t="s">
        <v>29</v>
      </c>
      <c r="Q1581" t="s">
        <v>2357</v>
      </c>
      <c r="R1581" t="s">
        <v>82</v>
      </c>
      <c r="S1581">
        <v>4</v>
      </c>
      <c r="T1581" t="s">
        <v>24</v>
      </c>
      <c r="U1581" t="s">
        <v>2410</v>
      </c>
      <c r="V1581">
        <v>2024</v>
      </c>
      <c r="W1581">
        <v>10</v>
      </c>
    </row>
    <row r="1582" spans="1:23" x14ac:dyDescent="0.25">
      <c r="A1582" t="s">
        <v>349</v>
      </c>
      <c r="B1582">
        <v>45576.337685185194</v>
      </c>
      <c r="C1582" t="s">
        <v>350</v>
      </c>
      <c r="D1582" t="s">
        <v>195</v>
      </c>
      <c r="E1582" t="s">
        <v>50</v>
      </c>
      <c r="F1582" t="s">
        <v>2400</v>
      </c>
      <c r="G1582" t="s">
        <v>2379</v>
      </c>
      <c r="H1582">
        <v>14000</v>
      </c>
      <c r="I1582">
        <v>4</v>
      </c>
      <c r="J1582">
        <v>5</v>
      </c>
      <c r="K1582">
        <v>56000</v>
      </c>
      <c r="L1582">
        <v>2800</v>
      </c>
      <c r="M1582">
        <v>53200</v>
      </c>
      <c r="N1582">
        <v>87000</v>
      </c>
      <c r="O1582">
        <v>140200</v>
      </c>
      <c r="P1582" t="s">
        <v>22</v>
      </c>
      <c r="Q1582" t="s">
        <v>2357</v>
      </c>
      <c r="R1582" t="s">
        <v>46</v>
      </c>
      <c r="S1582">
        <v>4</v>
      </c>
      <c r="T1582" t="s">
        <v>37</v>
      </c>
      <c r="U1582" t="s">
        <v>2410</v>
      </c>
      <c r="V1582">
        <v>2024</v>
      </c>
      <c r="W1582">
        <v>10</v>
      </c>
    </row>
    <row r="1583" spans="1:23" x14ac:dyDescent="0.25">
      <c r="A1583" t="s">
        <v>349</v>
      </c>
      <c r="B1583">
        <v>45576.337685185194</v>
      </c>
      <c r="C1583" t="s">
        <v>350</v>
      </c>
      <c r="D1583" t="s">
        <v>195</v>
      </c>
      <c r="E1583" t="s">
        <v>250</v>
      </c>
      <c r="F1583" t="s">
        <v>2397</v>
      </c>
      <c r="G1583" t="s">
        <v>2379</v>
      </c>
      <c r="H1583">
        <v>18000</v>
      </c>
      <c r="I1583">
        <v>3</v>
      </c>
      <c r="J1583">
        <v>0</v>
      </c>
      <c r="K1583">
        <v>54000</v>
      </c>
      <c r="L1583">
        <v>0</v>
      </c>
      <c r="M1583">
        <v>54000</v>
      </c>
      <c r="N1583">
        <v>0</v>
      </c>
      <c r="O1583">
        <v>54000</v>
      </c>
      <c r="P1583" t="s">
        <v>22</v>
      </c>
      <c r="Q1583" t="s">
        <v>2357</v>
      </c>
      <c r="R1583" t="s">
        <v>46</v>
      </c>
      <c r="S1583">
        <v>4</v>
      </c>
      <c r="T1583" t="s">
        <v>37</v>
      </c>
      <c r="U1583" t="s">
        <v>2410</v>
      </c>
      <c r="V1583">
        <v>2024</v>
      </c>
      <c r="W1583">
        <v>10</v>
      </c>
    </row>
    <row r="1584" spans="1:23" x14ac:dyDescent="0.25">
      <c r="A1584" t="s">
        <v>351</v>
      </c>
      <c r="B1584">
        <v>45576.468136574083</v>
      </c>
      <c r="C1584" t="s">
        <v>148</v>
      </c>
      <c r="D1584" t="s">
        <v>74</v>
      </c>
      <c r="E1584" t="s">
        <v>250</v>
      </c>
      <c r="F1584" t="s">
        <v>2397</v>
      </c>
      <c r="G1584" t="s">
        <v>2379</v>
      </c>
      <c r="H1584">
        <v>18000</v>
      </c>
      <c r="I1584">
        <v>1</v>
      </c>
      <c r="J1584">
        <v>20</v>
      </c>
      <c r="K1584">
        <v>18000</v>
      </c>
      <c r="L1584">
        <v>3600</v>
      </c>
      <c r="M1584">
        <v>14400</v>
      </c>
      <c r="N1584">
        <v>87000</v>
      </c>
      <c r="O1584">
        <v>101400</v>
      </c>
      <c r="P1584" t="s">
        <v>29</v>
      </c>
      <c r="Q1584" t="s">
        <v>2356</v>
      </c>
      <c r="R1584" t="s">
        <v>46</v>
      </c>
      <c r="S1584">
        <v>3</v>
      </c>
      <c r="T1584" t="s">
        <v>24</v>
      </c>
      <c r="U1584" t="s">
        <v>2410</v>
      </c>
      <c r="V1584">
        <v>2024</v>
      </c>
      <c r="W1584">
        <v>10</v>
      </c>
    </row>
    <row r="1585" spans="1:23" x14ac:dyDescent="0.25">
      <c r="A1585" t="s">
        <v>352</v>
      </c>
      <c r="B1585">
        <v>45576.592407407406</v>
      </c>
      <c r="C1585" t="s">
        <v>353</v>
      </c>
      <c r="D1585" t="s">
        <v>66</v>
      </c>
      <c r="E1585" t="s">
        <v>21</v>
      </c>
      <c r="F1585" t="s">
        <v>2394</v>
      </c>
      <c r="G1585" t="s">
        <v>2379</v>
      </c>
      <c r="H1585">
        <v>45000</v>
      </c>
      <c r="I1585">
        <v>1</v>
      </c>
      <c r="J1585">
        <v>10</v>
      </c>
      <c r="K1585">
        <v>45000</v>
      </c>
      <c r="L1585">
        <v>4500</v>
      </c>
      <c r="M1585">
        <v>40500</v>
      </c>
      <c r="N1585">
        <v>59000</v>
      </c>
      <c r="O1585">
        <v>99500</v>
      </c>
      <c r="P1585" t="s">
        <v>63</v>
      </c>
      <c r="Q1585" t="s">
        <v>2357</v>
      </c>
      <c r="R1585" t="s">
        <v>36</v>
      </c>
      <c r="S1585">
        <v>4</v>
      </c>
      <c r="T1585" t="s">
        <v>24</v>
      </c>
      <c r="U1585" t="s">
        <v>2410</v>
      </c>
      <c r="V1585">
        <v>2024</v>
      </c>
      <c r="W1585">
        <v>10</v>
      </c>
    </row>
    <row r="1586" spans="1:23" x14ac:dyDescent="0.25">
      <c r="A1586" t="s">
        <v>352</v>
      </c>
      <c r="B1586">
        <v>45576.592407407406</v>
      </c>
      <c r="C1586" t="s">
        <v>353</v>
      </c>
      <c r="D1586" t="s">
        <v>66</v>
      </c>
      <c r="E1586" t="s">
        <v>21</v>
      </c>
      <c r="F1586" t="s">
        <v>2394</v>
      </c>
      <c r="G1586" t="s">
        <v>2379</v>
      </c>
      <c r="H1586">
        <v>45000</v>
      </c>
      <c r="I1586">
        <v>1</v>
      </c>
      <c r="J1586">
        <v>0</v>
      </c>
      <c r="K1586">
        <v>45000</v>
      </c>
      <c r="L1586">
        <v>0</v>
      </c>
      <c r="M1586">
        <v>45000</v>
      </c>
      <c r="N1586">
        <v>0</v>
      </c>
      <c r="O1586">
        <v>45000</v>
      </c>
      <c r="P1586" t="s">
        <v>63</v>
      </c>
      <c r="Q1586" t="s">
        <v>2357</v>
      </c>
      <c r="R1586" t="s">
        <v>36</v>
      </c>
      <c r="S1586">
        <v>4</v>
      </c>
      <c r="T1586" t="s">
        <v>24</v>
      </c>
      <c r="U1586" t="s">
        <v>2410</v>
      </c>
      <c r="V1586">
        <v>2024</v>
      </c>
      <c r="W1586">
        <v>10</v>
      </c>
    </row>
    <row r="1587" spans="1:23" x14ac:dyDescent="0.25">
      <c r="A1587" t="s">
        <v>354</v>
      </c>
      <c r="B1587">
        <v>45576.899918981479</v>
      </c>
      <c r="C1587" t="s">
        <v>355</v>
      </c>
      <c r="D1587" t="s">
        <v>116</v>
      </c>
      <c r="E1587" t="s">
        <v>45</v>
      </c>
      <c r="F1587" t="s">
        <v>2394</v>
      </c>
      <c r="G1587" t="s">
        <v>2378</v>
      </c>
      <c r="H1587">
        <v>40000</v>
      </c>
      <c r="I1587">
        <v>3</v>
      </c>
      <c r="J1587">
        <v>5</v>
      </c>
      <c r="K1587">
        <v>120000</v>
      </c>
      <c r="L1587">
        <v>6000</v>
      </c>
      <c r="M1587">
        <v>114000</v>
      </c>
      <c r="N1587">
        <v>72000</v>
      </c>
      <c r="O1587">
        <v>186000</v>
      </c>
      <c r="P1587" t="s">
        <v>63</v>
      </c>
      <c r="Q1587" t="s">
        <v>2356</v>
      </c>
      <c r="R1587" t="s">
        <v>82</v>
      </c>
      <c r="S1587">
        <v>2</v>
      </c>
      <c r="T1587" t="s">
        <v>24</v>
      </c>
      <c r="U1587" t="s">
        <v>2410</v>
      </c>
      <c r="V1587">
        <v>2024</v>
      </c>
      <c r="W1587">
        <v>10</v>
      </c>
    </row>
    <row r="1588" spans="1:23" x14ac:dyDescent="0.25">
      <c r="A1588" t="s">
        <v>356</v>
      </c>
      <c r="B1588">
        <v>45577.019085648149</v>
      </c>
      <c r="C1588" t="s">
        <v>229</v>
      </c>
      <c r="D1588" t="s">
        <v>195</v>
      </c>
      <c r="E1588" t="s">
        <v>62</v>
      </c>
      <c r="F1588" t="s">
        <v>2398</v>
      </c>
      <c r="G1588" t="s">
        <v>2378</v>
      </c>
      <c r="H1588">
        <v>50000</v>
      </c>
      <c r="I1588">
        <v>5</v>
      </c>
      <c r="J1588">
        <v>15</v>
      </c>
      <c r="K1588">
        <v>250000</v>
      </c>
      <c r="L1588">
        <v>37500</v>
      </c>
      <c r="M1588">
        <v>212500</v>
      </c>
      <c r="N1588">
        <v>87000</v>
      </c>
      <c r="O1588">
        <v>299500</v>
      </c>
      <c r="P1588" t="s">
        <v>29</v>
      </c>
      <c r="Q1588" t="s">
        <v>2357</v>
      </c>
      <c r="R1588" t="s">
        <v>23</v>
      </c>
      <c r="S1588">
        <v>1</v>
      </c>
      <c r="T1588" t="s">
        <v>24</v>
      </c>
      <c r="U1588" t="s">
        <v>2410</v>
      </c>
      <c r="V1588">
        <v>2024</v>
      </c>
      <c r="W1588">
        <v>10</v>
      </c>
    </row>
    <row r="1589" spans="1:23" x14ac:dyDescent="0.25">
      <c r="A1589" t="s">
        <v>357</v>
      </c>
      <c r="B1589">
        <v>45577.086134259262</v>
      </c>
      <c r="C1589" t="s">
        <v>140</v>
      </c>
      <c r="D1589" t="s">
        <v>92</v>
      </c>
      <c r="E1589" t="s">
        <v>67</v>
      </c>
      <c r="F1589" t="s">
        <v>2393</v>
      </c>
      <c r="G1589" t="s">
        <v>2378</v>
      </c>
      <c r="H1589">
        <v>15000</v>
      </c>
      <c r="I1589">
        <v>3</v>
      </c>
      <c r="J1589">
        <v>20</v>
      </c>
      <c r="K1589">
        <v>45000</v>
      </c>
      <c r="L1589">
        <v>9000</v>
      </c>
      <c r="M1589">
        <v>36000</v>
      </c>
      <c r="N1589">
        <v>30000</v>
      </c>
      <c r="O1589">
        <v>66000</v>
      </c>
      <c r="P1589" t="s">
        <v>35</v>
      </c>
      <c r="Q1589" t="s">
        <v>2357</v>
      </c>
      <c r="R1589" t="s">
        <v>82</v>
      </c>
      <c r="S1589">
        <v>5</v>
      </c>
      <c r="T1589" t="s">
        <v>24</v>
      </c>
      <c r="U1589" t="s">
        <v>2410</v>
      </c>
      <c r="V1589">
        <v>2024</v>
      </c>
      <c r="W1589">
        <v>10</v>
      </c>
    </row>
    <row r="1590" spans="1:23" x14ac:dyDescent="0.25">
      <c r="A1590" t="s">
        <v>358</v>
      </c>
      <c r="B1590">
        <v>45577.210648148153</v>
      </c>
      <c r="C1590" t="s">
        <v>359</v>
      </c>
      <c r="D1590" t="s">
        <v>70</v>
      </c>
      <c r="E1590" t="s">
        <v>58</v>
      </c>
      <c r="F1590" t="s">
        <v>2396</v>
      </c>
      <c r="G1590" t="s">
        <v>2377</v>
      </c>
      <c r="H1590">
        <v>16000</v>
      </c>
      <c r="I1590">
        <v>4</v>
      </c>
      <c r="J1590">
        <v>15</v>
      </c>
      <c r="K1590">
        <v>64000</v>
      </c>
      <c r="L1590">
        <v>9600</v>
      </c>
      <c r="M1590">
        <v>54400</v>
      </c>
      <c r="N1590">
        <v>89000</v>
      </c>
      <c r="O1590">
        <v>143400</v>
      </c>
      <c r="P1590" t="s">
        <v>35</v>
      </c>
      <c r="Q1590" t="s">
        <v>2357</v>
      </c>
      <c r="R1590" t="s">
        <v>46</v>
      </c>
      <c r="S1590">
        <v>2</v>
      </c>
      <c r="T1590" t="s">
        <v>24</v>
      </c>
      <c r="U1590" t="s">
        <v>2410</v>
      </c>
      <c r="V1590">
        <v>2024</v>
      </c>
      <c r="W1590">
        <v>10</v>
      </c>
    </row>
    <row r="1591" spans="1:23" x14ac:dyDescent="0.25">
      <c r="A1591" t="s">
        <v>360</v>
      </c>
      <c r="B1591">
        <v>45578.0231712963</v>
      </c>
      <c r="C1591" t="s">
        <v>361</v>
      </c>
      <c r="D1591" t="s">
        <v>70</v>
      </c>
      <c r="E1591" t="s">
        <v>123</v>
      </c>
      <c r="F1591" t="s">
        <v>2399</v>
      </c>
      <c r="G1591" t="s">
        <v>2377</v>
      </c>
      <c r="H1591">
        <v>22000</v>
      </c>
      <c r="I1591">
        <v>4</v>
      </c>
      <c r="J1591">
        <v>5</v>
      </c>
      <c r="K1591">
        <v>88000</v>
      </c>
      <c r="L1591">
        <v>4400</v>
      </c>
      <c r="M1591">
        <v>83600</v>
      </c>
      <c r="N1591">
        <v>89000</v>
      </c>
      <c r="O1591">
        <v>172600</v>
      </c>
      <c r="P1591" t="s">
        <v>29</v>
      </c>
      <c r="Q1591" t="s">
        <v>2357</v>
      </c>
      <c r="R1591" t="s">
        <v>46</v>
      </c>
      <c r="S1591">
        <v>5</v>
      </c>
      <c r="T1591" t="s">
        <v>37</v>
      </c>
      <c r="U1591" t="s">
        <v>2410</v>
      </c>
      <c r="V1591">
        <v>2024</v>
      </c>
      <c r="W1591">
        <v>10</v>
      </c>
    </row>
    <row r="1592" spans="1:23" x14ac:dyDescent="0.25">
      <c r="A1592" t="s">
        <v>362</v>
      </c>
      <c r="B1592">
        <v>45578.09033564815</v>
      </c>
      <c r="C1592" t="s">
        <v>363</v>
      </c>
      <c r="D1592" t="s">
        <v>189</v>
      </c>
      <c r="E1592" t="s">
        <v>75</v>
      </c>
      <c r="F1592" t="s">
        <v>2398</v>
      </c>
      <c r="G1592" t="s">
        <v>2379</v>
      </c>
      <c r="H1592">
        <v>55000</v>
      </c>
      <c r="I1592">
        <v>1</v>
      </c>
      <c r="J1592">
        <v>5</v>
      </c>
      <c r="K1592">
        <v>55000</v>
      </c>
      <c r="L1592">
        <v>2750</v>
      </c>
      <c r="M1592">
        <v>52250</v>
      </c>
      <c r="N1592">
        <v>57000</v>
      </c>
      <c r="O1592">
        <v>109250</v>
      </c>
      <c r="P1592" t="s">
        <v>35</v>
      </c>
      <c r="Q1592" t="s">
        <v>2357</v>
      </c>
      <c r="R1592" t="s">
        <v>30</v>
      </c>
      <c r="S1592">
        <v>2</v>
      </c>
      <c r="T1592" t="s">
        <v>24</v>
      </c>
      <c r="U1592" t="s">
        <v>2410</v>
      </c>
      <c r="V1592">
        <v>2024</v>
      </c>
      <c r="W1592">
        <v>10</v>
      </c>
    </row>
    <row r="1593" spans="1:23" x14ac:dyDescent="0.25">
      <c r="A1593" t="s">
        <v>364</v>
      </c>
      <c r="B1593">
        <v>45578.308217592603</v>
      </c>
      <c r="C1593" t="s">
        <v>365</v>
      </c>
      <c r="D1593" t="s">
        <v>61</v>
      </c>
      <c r="E1593" t="s">
        <v>138</v>
      </c>
      <c r="F1593" t="s">
        <v>2396</v>
      </c>
      <c r="G1593" t="s">
        <v>2378</v>
      </c>
      <c r="H1593">
        <v>17000</v>
      </c>
      <c r="I1593">
        <v>3</v>
      </c>
      <c r="J1593">
        <v>20</v>
      </c>
      <c r="K1593">
        <v>51000</v>
      </c>
      <c r="L1593">
        <v>10200</v>
      </c>
      <c r="M1593">
        <v>40800</v>
      </c>
      <c r="N1593">
        <v>26000</v>
      </c>
      <c r="O1593">
        <v>66800</v>
      </c>
      <c r="P1593" t="s">
        <v>63</v>
      </c>
      <c r="Q1593" t="s">
        <v>2357</v>
      </c>
      <c r="R1593" t="s">
        <v>23</v>
      </c>
      <c r="S1593">
        <v>3</v>
      </c>
      <c r="T1593" t="s">
        <v>24</v>
      </c>
      <c r="U1593" t="s">
        <v>2410</v>
      </c>
      <c r="V1593">
        <v>2024</v>
      </c>
      <c r="W1593">
        <v>10</v>
      </c>
    </row>
    <row r="1594" spans="1:23" x14ac:dyDescent="0.25">
      <c r="A1594" t="s">
        <v>366</v>
      </c>
      <c r="B1594">
        <v>45578.389340277783</v>
      </c>
      <c r="C1594" t="s">
        <v>140</v>
      </c>
      <c r="D1594" t="s">
        <v>92</v>
      </c>
      <c r="E1594" t="s">
        <v>110</v>
      </c>
      <c r="F1594" t="s">
        <v>2395</v>
      </c>
      <c r="G1594" t="s">
        <v>2379</v>
      </c>
      <c r="H1594">
        <v>6000</v>
      </c>
      <c r="I1594">
        <v>3</v>
      </c>
      <c r="J1594">
        <v>15</v>
      </c>
      <c r="K1594">
        <v>18000</v>
      </c>
      <c r="L1594">
        <v>2700</v>
      </c>
      <c r="M1594">
        <v>15300</v>
      </c>
      <c r="N1594">
        <v>30000</v>
      </c>
      <c r="O1594">
        <v>45300</v>
      </c>
      <c r="P1594" t="s">
        <v>63</v>
      </c>
      <c r="Q1594" t="s">
        <v>2357</v>
      </c>
      <c r="R1594" t="s">
        <v>36</v>
      </c>
      <c r="S1594">
        <v>5</v>
      </c>
      <c r="T1594" t="s">
        <v>24</v>
      </c>
      <c r="U1594" t="s">
        <v>2410</v>
      </c>
      <c r="V1594">
        <v>2024</v>
      </c>
      <c r="W1594">
        <v>10</v>
      </c>
    </row>
    <row r="1595" spans="1:23" x14ac:dyDescent="0.25">
      <c r="A1595" t="s">
        <v>367</v>
      </c>
      <c r="B1595">
        <v>45579.019826388889</v>
      </c>
      <c r="C1595" t="s">
        <v>368</v>
      </c>
      <c r="D1595" t="s">
        <v>113</v>
      </c>
      <c r="E1595" t="s">
        <v>88</v>
      </c>
      <c r="F1595" t="s">
        <v>2393</v>
      </c>
      <c r="G1595" t="s">
        <v>2377</v>
      </c>
      <c r="H1595">
        <v>14000</v>
      </c>
      <c r="I1595">
        <v>1</v>
      </c>
      <c r="J1595">
        <v>0</v>
      </c>
      <c r="K1595">
        <v>14000</v>
      </c>
      <c r="L1595">
        <v>0</v>
      </c>
      <c r="M1595">
        <v>14000</v>
      </c>
      <c r="N1595">
        <v>18000</v>
      </c>
      <c r="O1595">
        <v>32000</v>
      </c>
      <c r="P1595" t="s">
        <v>35</v>
      </c>
      <c r="Q1595" t="s">
        <v>2357</v>
      </c>
      <c r="R1595" t="s">
        <v>36</v>
      </c>
      <c r="S1595">
        <v>5</v>
      </c>
      <c r="T1595" t="s">
        <v>37</v>
      </c>
      <c r="U1595" t="s">
        <v>2410</v>
      </c>
      <c r="V1595">
        <v>2024</v>
      </c>
      <c r="W1595">
        <v>10</v>
      </c>
    </row>
    <row r="1596" spans="1:23" x14ac:dyDescent="0.25">
      <c r="A1596" t="s">
        <v>369</v>
      </c>
      <c r="B1596">
        <v>45579.089201388888</v>
      </c>
      <c r="C1596" t="s">
        <v>326</v>
      </c>
      <c r="D1596" t="s">
        <v>262</v>
      </c>
      <c r="E1596" t="s">
        <v>186</v>
      </c>
      <c r="F1596" t="s">
        <v>2398</v>
      </c>
      <c r="G1596" t="s">
        <v>2377</v>
      </c>
      <c r="H1596">
        <v>45000</v>
      </c>
      <c r="I1596">
        <v>4</v>
      </c>
      <c r="J1596">
        <v>15</v>
      </c>
      <c r="K1596">
        <v>180000</v>
      </c>
      <c r="L1596">
        <v>27000</v>
      </c>
      <c r="M1596">
        <v>153000</v>
      </c>
      <c r="N1596">
        <v>18000</v>
      </c>
      <c r="O1596">
        <v>171000</v>
      </c>
      <c r="P1596" t="s">
        <v>29</v>
      </c>
      <c r="Q1596" t="s">
        <v>2357</v>
      </c>
      <c r="R1596" t="s">
        <v>36</v>
      </c>
      <c r="S1596">
        <v>5</v>
      </c>
      <c r="T1596" t="s">
        <v>37</v>
      </c>
      <c r="U1596" t="s">
        <v>2410</v>
      </c>
      <c r="V1596">
        <v>2024</v>
      </c>
      <c r="W1596">
        <v>10</v>
      </c>
    </row>
    <row r="1597" spans="1:23" x14ac:dyDescent="0.25">
      <c r="A1597" t="s">
        <v>370</v>
      </c>
      <c r="B1597">
        <v>45579.285381944443</v>
      </c>
      <c r="C1597" t="s">
        <v>371</v>
      </c>
      <c r="D1597" t="s">
        <v>27</v>
      </c>
      <c r="E1597" t="s">
        <v>174</v>
      </c>
      <c r="F1597" t="s">
        <v>2400</v>
      </c>
      <c r="G1597" t="s">
        <v>2377</v>
      </c>
      <c r="H1597">
        <v>10000</v>
      </c>
      <c r="I1597">
        <v>3</v>
      </c>
      <c r="J1597">
        <v>0</v>
      </c>
      <c r="K1597">
        <v>30000</v>
      </c>
      <c r="L1597">
        <v>0</v>
      </c>
      <c r="M1597">
        <v>30000</v>
      </c>
      <c r="N1597">
        <v>17000</v>
      </c>
      <c r="O1597">
        <v>47000</v>
      </c>
      <c r="P1597" t="s">
        <v>22</v>
      </c>
      <c r="Q1597" t="s">
        <v>2357</v>
      </c>
      <c r="R1597" t="s">
        <v>36</v>
      </c>
      <c r="S1597">
        <v>3</v>
      </c>
      <c r="T1597" t="s">
        <v>24</v>
      </c>
      <c r="U1597" t="s">
        <v>2410</v>
      </c>
      <c r="V1597">
        <v>2024</v>
      </c>
      <c r="W1597">
        <v>10</v>
      </c>
    </row>
    <row r="1598" spans="1:23" x14ac:dyDescent="0.25">
      <c r="A1598" t="s">
        <v>372</v>
      </c>
      <c r="B1598">
        <v>45579.436226851853</v>
      </c>
      <c r="C1598" t="s">
        <v>26</v>
      </c>
      <c r="D1598" t="s">
        <v>27</v>
      </c>
      <c r="E1598" t="s">
        <v>93</v>
      </c>
      <c r="F1598" t="s">
        <v>2399</v>
      </c>
      <c r="G1598" t="s">
        <v>2378</v>
      </c>
      <c r="H1598">
        <v>25000</v>
      </c>
      <c r="I1598">
        <v>1</v>
      </c>
      <c r="J1598">
        <v>5</v>
      </c>
      <c r="K1598">
        <v>25000</v>
      </c>
      <c r="L1598">
        <v>1250</v>
      </c>
      <c r="M1598">
        <v>23750</v>
      </c>
      <c r="N1598">
        <v>17000</v>
      </c>
      <c r="O1598">
        <v>40750</v>
      </c>
      <c r="P1598" t="s">
        <v>35</v>
      </c>
      <c r="Q1598" t="s">
        <v>2357</v>
      </c>
      <c r="R1598" t="s">
        <v>30</v>
      </c>
      <c r="S1598">
        <v>2</v>
      </c>
      <c r="T1598" t="s">
        <v>24</v>
      </c>
      <c r="U1598" t="s">
        <v>2410</v>
      </c>
      <c r="V1598">
        <v>2024</v>
      </c>
      <c r="W1598">
        <v>10</v>
      </c>
    </row>
    <row r="1599" spans="1:23" x14ac:dyDescent="0.25">
      <c r="A1599" t="s">
        <v>373</v>
      </c>
      <c r="B1599">
        <v>45579.47074074074</v>
      </c>
      <c r="C1599" t="s">
        <v>374</v>
      </c>
      <c r="D1599" t="s">
        <v>375</v>
      </c>
      <c r="E1599" t="s">
        <v>110</v>
      </c>
      <c r="F1599" t="s">
        <v>2395</v>
      </c>
      <c r="G1599" t="s">
        <v>2379</v>
      </c>
      <c r="H1599">
        <v>6000</v>
      </c>
      <c r="I1599">
        <v>5</v>
      </c>
      <c r="J1599">
        <v>5</v>
      </c>
      <c r="K1599">
        <v>30000</v>
      </c>
      <c r="L1599">
        <v>1500</v>
      </c>
      <c r="M1599">
        <v>28500</v>
      </c>
      <c r="N1599">
        <v>21000</v>
      </c>
      <c r="O1599">
        <v>49500</v>
      </c>
      <c r="P1599" t="s">
        <v>63</v>
      </c>
      <c r="Q1599" t="s">
        <v>2357</v>
      </c>
      <c r="R1599" t="s">
        <v>82</v>
      </c>
      <c r="S1599">
        <v>4</v>
      </c>
      <c r="T1599" t="s">
        <v>37</v>
      </c>
      <c r="U1599" t="s">
        <v>2410</v>
      </c>
      <c r="V1599">
        <v>2024</v>
      </c>
      <c r="W1599">
        <v>10</v>
      </c>
    </row>
    <row r="1600" spans="1:23" x14ac:dyDescent="0.25">
      <c r="A1600" t="s">
        <v>376</v>
      </c>
      <c r="B1600">
        <v>45579.511793981481</v>
      </c>
      <c r="C1600" t="s">
        <v>377</v>
      </c>
      <c r="D1600" t="s">
        <v>182</v>
      </c>
      <c r="E1600" t="s">
        <v>85</v>
      </c>
      <c r="F1600" t="s">
        <v>2394</v>
      </c>
      <c r="G1600" t="s">
        <v>2377</v>
      </c>
      <c r="H1600">
        <v>35000</v>
      </c>
      <c r="I1600">
        <v>5</v>
      </c>
      <c r="J1600">
        <v>15</v>
      </c>
      <c r="K1600">
        <v>175000</v>
      </c>
      <c r="L1600">
        <v>26250</v>
      </c>
      <c r="M1600">
        <v>148750</v>
      </c>
      <c r="N1600">
        <v>48000</v>
      </c>
      <c r="O1600">
        <v>196750</v>
      </c>
      <c r="P1600" t="s">
        <v>29</v>
      </c>
      <c r="Q1600" t="s">
        <v>2357</v>
      </c>
      <c r="R1600" t="s">
        <v>46</v>
      </c>
      <c r="S1600">
        <v>4</v>
      </c>
      <c r="T1600" t="s">
        <v>24</v>
      </c>
      <c r="U1600" t="s">
        <v>2410</v>
      </c>
      <c r="V1600">
        <v>2024</v>
      </c>
      <c r="W1600">
        <v>10</v>
      </c>
    </row>
    <row r="1601" spans="1:23" x14ac:dyDescent="0.25">
      <c r="A1601" t="s">
        <v>378</v>
      </c>
      <c r="B1601">
        <v>45580.081608796303</v>
      </c>
      <c r="C1601" t="s">
        <v>379</v>
      </c>
      <c r="D1601" t="s">
        <v>27</v>
      </c>
      <c r="E1601" t="s">
        <v>190</v>
      </c>
      <c r="F1601" t="s">
        <v>2392</v>
      </c>
      <c r="G1601" t="s">
        <v>2378</v>
      </c>
      <c r="H1601">
        <v>35000</v>
      </c>
      <c r="I1601">
        <v>5</v>
      </c>
      <c r="J1601">
        <v>10</v>
      </c>
      <c r="K1601">
        <v>175000</v>
      </c>
      <c r="L1601">
        <v>17500</v>
      </c>
      <c r="M1601">
        <v>157500</v>
      </c>
      <c r="N1601">
        <v>17000</v>
      </c>
      <c r="O1601">
        <v>174500</v>
      </c>
      <c r="P1601" t="s">
        <v>35</v>
      </c>
      <c r="Q1601" t="s">
        <v>2357</v>
      </c>
      <c r="R1601" t="s">
        <v>46</v>
      </c>
      <c r="S1601">
        <v>2</v>
      </c>
      <c r="T1601" t="s">
        <v>24</v>
      </c>
      <c r="U1601" t="s">
        <v>2410</v>
      </c>
      <c r="V1601">
        <v>2024</v>
      </c>
      <c r="W1601">
        <v>10</v>
      </c>
    </row>
    <row r="1602" spans="1:23" x14ac:dyDescent="0.25">
      <c r="A1602" t="s">
        <v>380</v>
      </c>
      <c r="B1602">
        <v>45580.332685185182</v>
      </c>
      <c r="C1602" t="s">
        <v>381</v>
      </c>
      <c r="D1602" t="s">
        <v>103</v>
      </c>
      <c r="E1602" t="s">
        <v>41</v>
      </c>
      <c r="F1602" t="s">
        <v>2395</v>
      </c>
      <c r="G1602" t="s">
        <v>2377</v>
      </c>
      <c r="H1602">
        <v>4000</v>
      </c>
      <c r="I1602">
        <v>2</v>
      </c>
      <c r="J1602">
        <v>0</v>
      </c>
      <c r="K1602">
        <v>8000</v>
      </c>
      <c r="L1602">
        <v>0</v>
      </c>
      <c r="M1602">
        <v>8000</v>
      </c>
      <c r="N1602">
        <v>85000</v>
      </c>
      <c r="O1602">
        <v>93000</v>
      </c>
      <c r="P1602" t="s">
        <v>63</v>
      </c>
      <c r="Q1602" t="s">
        <v>2356</v>
      </c>
      <c r="R1602" t="s">
        <v>23</v>
      </c>
      <c r="S1602">
        <v>3</v>
      </c>
      <c r="T1602" t="s">
        <v>24</v>
      </c>
      <c r="U1602" t="s">
        <v>2410</v>
      </c>
      <c r="V1602">
        <v>2024</v>
      </c>
      <c r="W1602">
        <v>10</v>
      </c>
    </row>
    <row r="1603" spans="1:23" x14ac:dyDescent="0.25">
      <c r="A1603" t="s">
        <v>382</v>
      </c>
      <c r="B1603">
        <v>45580.433888888889</v>
      </c>
      <c r="C1603" t="s">
        <v>383</v>
      </c>
      <c r="D1603" t="s">
        <v>122</v>
      </c>
      <c r="E1603" t="s">
        <v>45</v>
      </c>
      <c r="F1603" t="s">
        <v>2394</v>
      </c>
      <c r="G1603" t="s">
        <v>2378</v>
      </c>
      <c r="H1603">
        <v>40000</v>
      </c>
      <c r="I1603">
        <v>4</v>
      </c>
      <c r="J1603">
        <v>5</v>
      </c>
      <c r="K1603">
        <v>160000</v>
      </c>
      <c r="L1603">
        <v>8000</v>
      </c>
      <c r="M1603">
        <v>152000</v>
      </c>
      <c r="N1603">
        <v>78000</v>
      </c>
      <c r="O1603">
        <v>230000</v>
      </c>
      <c r="P1603" t="s">
        <v>35</v>
      </c>
      <c r="Q1603" t="s">
        <v>2357</v>
      </c>
      <c r="R1603" t="s">
        <v>23</v>
      </c>
      <c r="S1603">
        <v>5</v>
      </c>
      <c r="T1603" t="s">
        <v>24</v>
      </c>
      <c r="U1603" t="s">
        <v>2410</v>
      </c>
      <c r="V1603">
        <v>2024</v>
      </c>
      <c r="W1603">
        <v>10</v>
      </c>
    </row>
    <row r="1604" spans="1:23" x14ac:dyDescent="0.25">
      <c r="A1604" t="s">
        <v>384</v>
      </c>
      <c r="B1604">
        <v>45580.58116898148</v>
      </c>
      <c r="C1604" t="s">
        <v>385</v>
      </c>
      <c r="D1604" t="s">
        <v>375</v>
      </c>
      <c r="E1604" t="s">
        <v>71</v>
      </c>
      <c r="F1604" t="s">
        <v>2392</v>
      </c>
      <c r="G1604" t="s">
        <v>2379</v>
      </c>
      <c r="H1604">
        <v>40000</v>
      </c>
      <c r="I1604">
        <v>2</v>
      </c>
      <c r="J1604">
        <v>15</v>
      </c>
      <c r="K1604">
        <v>80000</v>
      </c>
      <c r="L1604">
        <v>12000</v>
      </c>
      <c r="M1604">
        <v>68000</v>
      </c>
      <c r="N1604">
        <v>21000</v>
      </c>
      <c r="O1604">
        <v>89000</v>
      </c>
      <c r="P1604" t="s">
        <v>63</v>
      </c>
      <c r="Q1604" t="s">
        <v>2359</v>
      </c>
      <c r="R1604" t="s">
        <v>82</v>
      </c>
      <c r="S1604">
        <v>5</v>
      </c>
      <c r="T1604" t="s">
        <v>24</v>
      </c>
      <c r="U1604" t="s">
        <v>2410</v>
      </c>
      <c r="V1604">
        <v>2024</v>
      </c>
      <c r="W1604">
        <v>10</v>
      </c>
    </row>
    <row r="1605" spans="1:23" x14ac:dyDescent="0.25">
      <c r="A1605" t="s">
        <v>386</v>
      </c>
      <c r="B1605">
        <v>45580.70553240741</v>
      </c>
      <c r="C1605" t="s">
        <v>387</v>
      </c>
      <c r="D1605" t="s">
        <v>49</v>
      </c>
      <c r="E1605" t="s">
        <v>62</v>
      </c>
      <c r="F1605" t="s">
        <v>2398</v>
      </c>
      <c r="G1605" t="s">
        <v>2378</v>
      </c>
      <c r="H1605">
        <v>50000</v>
      </c>
      <c r="I1605">
        <v>1</v>
      </c>
      <c r="J1605">
        <v>5</v>
      </c>
      <c r="K1605">
        <v>50000</v>
      </c>
      <c r="L1605">
        <v>2500</v>
      </c>
      <c r="M1605">
        <v>47500</v>
      </c>
      <c r="N1605">
        <v>43000</v>
      </c>
      <c r="O1605">
        <v>90500</v>
      </c>
      <c r="P1605" t="s">
        <v>35</v>
      </c>
      <c r="Q1605" t="s">
        <v>2357</v>
      </c>
      <c r="R1605" t="s">
        <v>36</v>
      </c>
      <c r="S1605">
        <v>3</v>
      </c>
      <c r="T1605" t="s">
        <v>37</v>
      </c>
      <c r="U1605" t="s">
        <v>2410</v>
      </c>
      <c r="V1605">
        <v>2024</v>
      </c>
      <c r="W1605">
        <v>10</v>
      </c>
    </row>
    <row r="1606" spans="1:23" x14ac:dyDescent="0.25">
      <c r="A1606" t="s">
        <v>388</v>
      </c>
      <c r="B1606">
        <v>45580.726215277777</v>
      </c>
      <c r="C1606" t="s">
        <v>389</v>
      </c>
      <c r="D1606" t="s">
        <v>182</v>
      </c>
      <c r="E1606" t="s">
        <v>186</v>
      </c>
      <c r="F1606" t="s">
        <v>2398</v>
      </c>
      <c r="G1606" t="s">
        <v>2377</v>
      </c>
      <c r="H1606">
        <v>45000</v>
      </c>
      <c r="I1606">
        <v>5</v>
      </c>
      <c r="J1606">
        <v>10</v>
      </c>
      <c r="K1606">
        <v>225000</v>
      </c>
      <c r="L1606">
        <v>22500</v>
      </c>
      <c r="M1606">
        <v>202500</v>
      </c>
      <c r="N1606">
        <v>48000</v>
      </c>
      <c r="O1606">
        <v>250500</v>
      </c>
      <c r="P1606" t="s">
        <v>29</v>
      </c>
      <c r="Q1606" t="s">
        <v>2357</v>
      </c>
      <c r="R1606" t="s">
        <v>23</v>
      </c>
      <c r="S1606">
        <v>4</v>
      </c>
      <c r="T1606" t="s">
        <v>24</v>
      </c>
      <c r="U1606" t="s">
        <v>2410</v>
      </c>
      <c r="V1606">
        <v>2024</v>
      </c>
      <c r="W1606">
        <v>10</v>
      </c>
    </row>
    <row r="1607" spans="1:23" x14ac:dyDescent="0.25">
      <c r="A1607" t="s">
        <v>390</v>
      </c>
      <c r="B1607">
        <v>45580.737210648149</v>
      </c>
      <c r="C1607" t="s">
        <v>391</v>
      </c>
      <c r="D1607" t="s">
        <v>122</v>
      </c>
      <c r="E1607" t="s">
        <v>186</v>
      </c>
      <c r="F1607" t="s">
        <v>2398</v>
      </c>
      <c r="G1607" t="s">
        <v>2377</v>
      </c>
      <c r="H1607">
        <v>45000</v>
      </c>
      <c r="I1607">
        <v>3</v>
      </c>
      <c r="J1607">
        <v>0</v>
      </c>
      <c r="K1607">
        <v>135000</v>
      </c>
      <c r="L1607">
        <v>0</v>
      </c>
      <c r="M1607">
        <v>135000</v>
      </c>
      <c r="N1607">
        <v>78000</v>
      </c>
      <c r="O1607">
        <v>213000</v>
      </c>
      <c r="P1607" t="s">
        <v>35</v>
      </c>
      <c r="Q1607" t="s">
        <v>2357</v>
      </c>
      <c r="R1607" t="s">
        <v>46</v>
      </c>
      <c r="S1607">
        <v>5</v>
      </c>
      <c r="T1607" t="s">
        <v>24</v>
      </c>
      <c r="U1607" t="s">
        <v>2410</v>
      </c>
      <c r="V1607">
        <v>2024</v>
      </c>
      <c r="W1607">
        <v>10</v>
      </c>
    </row>
    <row r="1608" spans="1:23" x14ac:dyDescent="0.25">
      <c r="A1608" t="s">
        <v>392</v>
      </c>
      <c r="B1608">
        <v>45580.862592592603</v>
      </c>
      <c r="C1608" t="s">
        <v>201</v>
      </c>
      <c r="D1608" t="s">
        <v>107</v>
      </c>
      <c r="E1608" t="s">
        <v>50</v>
      </c>
      <c r="F1608" t="s">
        <v>2400</v>
      </c>
      <c r="G1608" t="s">
        <v>2379</v>
      </c>
      <c r="H1608">
        <v>14000</v>
      </c>
      <c r="I1608">
        <v>4</v>
      </c>
      <c r="J1608">
        <v>0</v>
      </c>
      <c r="K1608">
        <v>56000</v>
      </c>
      <c r="L1608">
        <v>0</v>
      </c>
      <c r="M1608">
        <v>56000</v>
      </c>
      <c r="N1608">
        <v>97000</v>
      </c>
      <c r="O1608">
        <v>153000</v>
      </c>
      <c r="P1608" t="s">
        <v>35</v>
      </c>
      <c r="Q1608" t="s">
        <v>2356</v>
      </c>
      <c r="R1608" t="s">
        <v>46</v>
      </c>
      <c r="S1608">
        <v>1</v>
      </c>
      <c r="T1608" t="s">
        <v>24</v>
      </c>
      <c r="U1608" t="s">
        <v>2410</v>
      </c>
      <c r="V1608">
        <v>2024</v>
      </c>
      <c r="W1608">
        <v>10</v>
      </c>
    </row>
    <row r="1609" spans="1:23" x14ac:dyDescent="0.25">
      <c r="A1609" t="s">
        <v>392</v>
      </c>
      <c r="B1609">
        <v>45580.862592592603</v>
      </c>
      <c r="C1609" t="s">
        <v>201</v>
      </c>
      <c r="D1609" t="s">
        <v>107</v>
      </c>
      <c r="E1609" t="s">
        <v>138</v>
      </c>
      <c r="F1609" t="s">
        <v>2396</v>
      </c>
      <c r="G1609" t="s">
        <v>2378</v>
      </c>
      <c r="H1609">
        <v>17000</v>
      </c>
      <c r="I1609">
        <v>5</v>
      </c>
      <c r="J1609">
        <v>0</v>
      </c>
      <c r="K1609">
        <v>85000</v>
      </c>
      <c r="L1609">
        <v>0</v>
      </c>
      <c r="M1609">
        <v>85000</v>
      </c>
      <c r="N1609">
        <v>0</v>
      </c>
      <c r="O1609">
        <v>85000</v>
      </c>
      <c r="P1609" t="s">
        <v>35</v>
      </c>
      <c r="Q1609" t="s">
        <v>2356</v>
      </c>
      <c r="R1609" t="s">
        <v>46</v>
      </c>
      <c r="S1609">
        <v>1</v>
      </c>
      <c r="T1609" t="s">
        <v>24</v>
      </c>
      <c r="U1609" t="s">
        <v>2410</v>
      </c>
      <c r="V1609">
        <v>2024</v>
      </c>
      <c r="W1609">
        <v>10</v>
      </c>
    </row>
    <row r="1610" spans="1:23" x14ac:dyDescent="0.25">
      <c r="A1610" t="s">
        <v>393</v>
      </c>
      <c r="B1610">
        <v>45580.967118055552</v>
      </c>
      <c r="C1610" t="s">
        <v>394</v>
      </c>
      <c r="D1610" t="s">
        <v>53</v>
      </c>
      <c r="E1610" t="s">
        <v>104</v>
      </c>
      <c r="F1610" t="s">
        <v>2392</v>
      </c>
      <c r="G1610" t="s">
        <v>2377</v>
      </c>
      <c r="H1610">
        <v>30000</v>
      </c>
      <c r="I1610">
        <v>5</v>
      </c>
      <c r="J1610">
        <v>5</v>
      </c>
      <c r="K1610">
        <v>150000</v>
      </c>
      <c r="L1610">
        <v>7500</v>
      </c>
      <c r="M1610">
        <v>142500</v>
      </c>
      <c r="N1610">
        <v>18000</v>
      </c>
      <c r="O1610">
        <v>160500</v>
      </c>
      <c r="P1610" t="s">
        <v>22</v>
      </c>
      <c r="Q1610" t="s">
        <v>2357</v>
      </c>
      <c r="R1610" t="s">
        <v>30</v>
      </c>
      <c r="S1610">
        <v>2</v>
      </c>
      <c r="T1610" t="s">
        <v>24</v>
      </c>
      <c r="U1610" t="s">
        <v>2410</v>
      </c>
      <c r="V1610">
        <v>2024</v>
      </c>
      <c r="W1610">
        <v>10</v>
      </c>
    </row>
    <row r="1611" spans="1:23" x14ac:dyDescent="0.25">
      <c r="A1611" t="s">
        <v>395</v>
      </c>
      <c r="B1611">
        <v>45581.035011574073</v>
      </c>
      <c r="C1611" t="s">
        <v>396</v>
      </c>
      <c r="D1611" t="s">
        <v>66</v>
      </c>
      <c r="E1611" t="s">
        <v>58</v>
      </c>
      <c r="F1611" t="s">
        <v>2396</v>
      </c>
      <c r="G1611" t="s">
        <v>2377</v>
      </c>
      <c r="H1611">
        <v>16000</v>
      </c>
      <c r="I1611">
        <v>1</v>
      </c>
      <c r="J1611">
        <v>20</v>
      </c>
      <c r="K1611">
        <v>16000</v>
      </c>
      <c r="L1611">
        <v>3200</v>
      </c>
      <c r="M1611">
        <v>12800</v>
      </c>
      <c r="N1611">
        <v>59000</v>
      </c>
      <c r="O1611">
        <v>71800</v>
      </c>
      <c r="P1611" t="s">
        <v>63</v>
      </c>
      <c r="Q1611" t="s">
        <v>2357</v>
      </c>
      <c r="R1611" t="s">
        <v>82</v>
      </c>
      <c r="S1611">
        <v>4</v>
      </c>
      <c r="T1611" t="s">
        <v>37</v>
      </c>
      <c r="U1611" t="s">
        <v>2410</v>
      </c>
      <c r="V1611">
        <v>2024</v>
      </c>
      <c r="W1611">
        <v>10</v>
      </c>
    </row>
    <row r="1612" spans="1:23" x14ac:dyDescent="0.25">
      <c r="A1612" t="s">
        <v>397</v>
      </c>
      <c r="B1612">
        <v>45581.525694444441</v>
      </c>
      <c r="C1612" t="s">
        <v>398</v>
      </c>
      <c r="D1612" t="s">
        <v>182</v>
      </c>
      <c r="E1612" t="s">
        <v>93</v>
      </c>
      <c r="F1612" t="s">
        <v>2399</v>
      </c>
      <c r="G1612" t="s">
        <v>2378</v>
      </c>
      <c r="H1612">
        <v>25000</v>
      </c>
      <c r="I1612">
        <v>3</v>
      </c>
      <c r="J1612">
        <v>20</v>
      </c>
      <c r="K1612">
        <v>75000</v>
      </c>
      <c r="L1612">
        <v>15000</v>
      </c>
      <c r="M1612">
        <v>60000</v>
      </c>
      <c r="N1612">
        <v>48000</v>
      </c>
      <c r="O1612">
        <v>108000</v>
      </c>
      <c r="P1612" t="s">
        <v>35</v>
      </c>
      <c r="Q1612" t="s">
        <v>2356</v>
      </c>
      <c r="R1612" t="s">
        <v>36</v>
      </c>
      <c r="S1612">
        <v>4</v>
      </c>
      <c r="T1612" t="s">
        <v>24</v>
      </c>
      <c r="U1612" t="s">
        <v>2410</v>
      </c>
      <c r="V1612">
        <v>2024</v>
      </c>
      <c r="W1612">
        <v>10</v>
      </c>
    </row>
    <row r="1613" spans="1:23" x14ac:dyDescent="0.25">
      <c r="A1613" t="s">
        <v>399</v>
      </c>
      <c r="B1613">
        <v>45581.551469907397</v>
      </c>
      <c r="C1613" t="s">
        <v>400</v>
      </c>
      <c r="D1613" t="s">
        <v>27</v>
      </c>
      <c r="E1613" t="s">
        <v>250</v>
      </c>
      <c r="F1613" t="s">
        <v>2397</v>
      </c>
      <c r="G1613" t="s">
        <v>2379</v>
      </c>
      <c r="H1613">
        <v>18000</v>
      </c>
      <c r="I1613">
        <v>1</v>
      </c>
      <c r="J1613">
        <v>5</v>
      </c>
      <c r="K1613">
        <v>18000</v>
      </c>
      <c r="L1613">
        <v>900</v>
      </c>
      <c r="M1613">
        <v>17100</v>
      </c>
      <c r="N1613">
        <v>17000</v>
      </c>
      <c r="O1613">
        <v>34100</v>
      </c>
      <c r="P1613" t="s">
        <v>63</v>
      </c>
      <c r="Q1613" t="s">
        <v>2356</v>
      </c>
      <c r="R1613" t="s">
        <v>30</v>
      </c>
      <c r="S1613">
        <v>2</v>
      </c>
      <c r="T1613" t="s">
        <v>24</v>
      </c>
      <c r="U1613" t="s">
        <v>2410</v>
      </c>
      <c r="V1613">
        <v>2024</v>
      </c>
      <c r="W1613">
        <v>10</v>
      </c>
    </row>
    <row r="1614" spans="1:23" x14ac:dyDescent="0.25">
      <c r="A1614" t="s">
        <v>401</v>
      </c>
      <c r="B1614">
        <v>45581.599340277768</v>
      </c>
      <c r="C1614" t="s">
        <v>402</v>
      </c>
      <c r="D1614" t="s">
        <v>163</v>
      </c>
      <c r="E1614" t="s">
        <v>123</v>
      </c>
      <c r="F1614" t="s">
        <v>2399</v>
      </c>
      <c r="G1614" t="s">
        <v>2377</v>
      </c>
      <c r="H1614">
        <v>22000</v>
      </c>
      <c r="I1614">
        <v>3</v>
      </c>
      <c r="J1614">
        <v>5</v>
      </c>
      <c r="K1614">
        <v>66000</v>
      </c>
      <c r="L1614">
        <v>3300</v>
      </c>
      <c r="M1614">
        <v>62700</v>
      </c>
      <c r="N1614">
        <v>50000</v>
      </c>
      <c r="O1614">
        <v>112700</v>
      </c>
      <c r="P1614" t="s">
        <v>29</v>
      </c>
      <c r="Q1614" t="s">
        <v>2357</v>
      </c>
      <c r="R1614" t="s">
        <v>30</v>
      </c>
      <c r="S1614">
        <v>2</v>
      </c>
      <c r="T1614" t="s">
        <v>24</v>
      </c>
      <c r="U1614" t="s">
        <v>2410</v>
      </c>
      <c r="V1614">
        <v>2024</v>
      </c>
      <c r="W1614">
        <v>10</v>
      </c>
    </row>
    <row r="1615" spans="1:23" x14ac:dyDescent="0.25">
      <c r="A1615" t="s">
        <v>403</v>
      </c>
      <c r="B1615">
        <v>45581.850717592592</v>
      </c>
      <c r="C1615" t="s">
        <v>404</v>
      </c>
      <c r="D1615" t="s">
        <v>177</v>
      </c>
      <c r="E1615" t="s">
        <v>21</v>
      </c>
      <c r="F1615" t="s">
        <v>2394</v>
      </c>
      <c r="G1615" t="s">
        <v>2379</v>
      </c>
      <c r="H1615">
        <v>45000</v>
      </c>
      <c r="I1615">
        <v>1</v>
      </c>
      <c r="J1615">
        <v>20</v>
      </c>
      <c r="K1615">
        <v>45000</v>
      </c>
      <c r="L1615">
        <v>9000</v>
      </c>
      <c r="M1615">
        <v>36000</v>
      </c>
      <c r="N1615">
        <v>56000</v>
      </c>
      <c r="O1615">
        <v>92000</v>
      </c>
      <c r="P1615" t="s">
        <v>22</v>
      </c>
      <c r="Q1615" t="s">
        <v>2359</v>
      </c>
      <c r="R1615" t="s">
        <v>82</v>
      </c>
      <c r="S1615">
        <v>5</v>
      </c>
      <c r="T1615" t="s">
        <v>37</v>
      </c>
      <c r="U1615" t="s">
        <v>2410</v>
      </c>
      <c r="V1615">
        <v>2024</v>
      </c>
      <c r="W1615">
        <v>10</v>
      </c>
    </row>
    <row r="1616" spans="1:23" x14ac:dyDescent="0.25">
      <c r="A1616" t="s">
        <v>405</v>
      </c>
      <c r="B1616">
        <v>45582.04446759259</v>
      </c>
      <c r="C1616" t="s">
        <v>256</v>
      </c>
      <c r="D1616" t="s">
        <v>107</v>
      </c>
      <c r="E1616" t="s">
        <v>144</v>
      </c>
      <c r="F1616" t="s">
        <v>2396</v>
      </c>
      <c r="G1616" t="s">
        <v>2379</v>
      </c>
      <c r="H1616">
        <v>18000</v>
      </c>
      <c r="I1616">
        <v>2</v>
      </c>
      <c r="J1616">
        <v>15</v>
      </c>
      <c r="K1616">
        <v>36000</v>
      </c>
      <c r="L1616">
        <v>5400</v>
      </c>
      <c r="M1616">
        <v>30600</v>
      </c>
      <c r="N1616">
        <v>97000</v>
      </c>
      <c r="O1616">
        <v>127600</v>
      </c>
      <c r="P1616" t="s">
        <v>35</v>
      </c>
      <c r="Q1616" t="s">
        <v>2357</v>
      </c>
      <c r="R1616" t="s">
        <v>82</v>
      </c>
      <c r="S1616">
        <v>5</v>
      </c>
      <c r="T1616" t="s">
        <v>24</v>
      </c>
      <c r="U1616" t="s">
        <v>2410</v>
      </c>
      <c r="V1616">
        <v>2024</v>
      </c>
      <c r="W1616">
        <v>10</v>
      </c>
    </row>
    <row r="1617" spans="1:23" x14ac:dyDescent="0.25">
      <c r="A1617" t="s">
        <v>406</v>
      </c>
      <c r="B1617">
        <v>45582.439421296287</v>
      </c>
      <c r="C1617" t="s">
        <v>155</v>
      </c>
      <c r="D1617" t="s">
        <v>92</v>
      </c>
      <c r="E1617" t="s">
        <v>123</v>
      </c>
      <c r="F1617" t="s">
        <v>2399</v>
      </c>
      <c r="G1617" t="s">
        <v>2377</v>
      </c>
      <c r="H1617">
        <v>22000</v>
      </c>
      <c r="I1617">
        <v>2</v>
      </c>
      <c r="J1617">
        <v>10</v>
      </c>
      <c r="K1617">
        <v>44000</v>
      </c>
      <c r="L1617">
        <v>4400</v>
      </c>
      <c r="M1617">
        <v>39600</v>
      </c>
      <c r="N1617">
        <v>30000</v>
      </c>
      <c r="O1617">
        <v>69600</v>
      </c>
      <c r="P1617" t="s">
        <v>63</v>
      </c>
      <c r="Q1617" t="s">
        <v>2357</v>
      </c>
      <c r="R1617" t="s">
        <v>30</v>
      </c>
      <c r="S1617">
        <v>1</v>
      </c>
      <c r="T1617" t="s">
        <v>24</v>
      </c>
      <c r="U1617" t="s">
        <v>2410</v>
      </c>
      <c r="V1617">
        <v>2024</v>
      </c>
      <c r="W1617">
        <v>10</v>
      </c>
    </row>
    <row r="1618" spans="1:23" x14ac:dyDescent="0.25">
      <c r="A1618" t="s">
        <v>407</v>
      </c>
      <c r="B1618">
        <v>45582.465902777767</v>
      </c>
      <c r="C1618" t="s">
        <v>408</v>
      </c>
      <c r="D1618" t="s">
        <v>74</v>
      </c>
      <c r="E1618" t="s">
        <v>104</v>
      </c>
      <c r="F1618" t="s">
        <v>2392</v>
      </c>
      <c r="G1618" t="s">
        <v>2377</v>
      </c>
      <c r="H1618">
        <v>30000</v>
      </c>
      <c r="I1618">
        <v>1</v>
      </c>
      <c r="J1618">
        <v>10</v>
      </c>
      <c r="K1618">
        <v>30000</v>
      </c>
      <c r="L1618">
        <v>3000</v>
      </c>
      <c r="M1618">
        <v>27000</v>
      </c>
      <c r="N1618">
        <v>87000</v>
      </c>
      <c r="O1618">
        <v>114000</v>
      </c>
      <c r="P1618" t="s">
        <v>22</v>
      </c>
      <c r="Q1618" t="s">
        <v>2357</v>
      </c>
      <c r="R1618" t="s">
        <v>36</v>
      </c>
      <c r="S1618">
        <v>3</v>
      </c>
      <c r="T1618" t="s">
        <v>24</v>
      </c>
      <c r="U1618" t="s">
        <v>2410</v>
      </c>
      <c r="V1618">
        <v>2024</v>
      </c>
      <c r="W1618">
        <v>10</v>
      </c>
    </row>
    <row r="1619" spans="1:23" x14ac:dyDescent="0.25">
      <c r="A1619" t="s">
        <v>409</v>
      </c>
      <c r="B1619">
        <v>45582.85765046296</v>
      </c>
      <c r="C1619" t="s">
        <v>410</v>
      </c>
      <c r="D1619" t="s">
        <v>151</v>
      </c>
      <c r="E1619" t="s">
        <v>190</v>
      </c>
      <c r="F1619" t="s">
        <v>2392</v>
      </c>
      <c r="G1619" t="s">
        <v>2378</v>
      </c>
      <c r="H1619">
        <v>35000</v>
      </c>
      <c r="I1619">
        <v>4</v>
      </c>
      <c r="J1619">
        <v>15</v>
      </c>
      <c r="K1619">
        <v>140000</v>
      </c>
      <c r="L1619">
        <v>21000</v>
      </c>
      <c r="M1619">
        <v>119000</v>
      </c>
      <c r="N1619">
        <v>55000</v>
      </c>
      <c r="O1619">
        <v>174000</v>
      </c>
      <c r="P1619" t="s">
        <v>22</v>
      </c>
      <c r="Q1619" t="s">
        <v>2357</v>
      </c>
      <c r="R1619" t="s">
        <v>82</v>
      </c>
      <c r="S1619">
        <v>2</v>
      </c>
      <c r="T1619" t="s">
        <v>24</v>
      </c>
      <c r="U1619" t="s">
        <v>2410</v>
      </c>
      <c r="V1619">
        <v>2024</v>
      </c>
      <c r="W1619">
        <v>10</v>
      </c>
    </row>
    <row r="1620" spans="1:23" x14ac:dyDescent="0.25">
      <c r="A1620" t="s">
        <v>411</v>
      </c>
      <c r="B1620">
        <v>45583.083252314813</v>
      </c>
      <c r="C1620" t="s">
        <v>412</v>
      </c>
      <c r="D1620" t="s">
        <v>70</v>
      </c>
      <c r="E1620" t="s">
        <v>21</v>
      </c>
      <c r="F1620" t="s">
        <v>2394</v>
      </c>
      <c r="G1620" t="s">
        <v>2379</v>
      </c>
      <c r="H1620">
        <v>45000</v>
      </c>
      <c r="I1620">
        <v>5</v>
      </c>
      <c r="J1620">
        <v>10</v>
      </c>
      <c r="K1620">
        <v>225000</v>
      </c>
      <c r="L1620">
        <v>22500</v>
      </c>
      <c r="M1620">
        <v>202500</v>
      </c>
      <c r="N1620">
        <v>89000</v>
      </c>
      <c r="O1620">
        <v>291500</v>
      </c>
      <c r="P1620" t="s">
        <v>29</v>
      </c>
      <c r="Q1620" t="s">
        <v>2357</v>
      </c>
      <c r="R1620" t="s">
        <v>30</v>
      </c>
      <c r="S1620">
        <v>3</v>
      </c>
      <c r="T1620" t="s">
        <v>24</v>
      </c>
      <c r="U1620" t="s">
        <v>2410</v>
      </c>
      <c r="V1620">
        <v>2024</v>
      </c>
      <c r="W1620">
        <v>10</v>
      </c>
    </row>
    <row r="1621" spans="1:23" x14ac:dyDescent="0.25">
      <c r="A1621" t="s">
        <v>413</v>
      </c>
      <c r="B1621">
        <v>45583.400694444441</v>
      </c>
      <c r="C1621" t="s">
        <v>231</v>
      </c>
      <c r="D1621" t="s">
        <v>66</v>
      </c>
      <c r="E1621" t="s">
        <v>190</v>
      </c>
      <c r="F1621" t="s">
        <v>2392</v>
      </c>
      <c r="G1621" t="s">
        <v>2378</v>
      </c>
      <c r="H1621">
        <v>35000</v>
      </c>
      <c r="I1621">
        <v>1</v>
      </c>
      <c r="J1621">
        <v>0</v>
      </c>
      <c r="K1621">
        <v>35000</v>
      </c>
      <c r="L1621">
        <v>0</v>
      </c>
      <c r="M1621">
        <v>35000</v>
      </c>
      <c r="N1621">
        <v>59000</v>
      </c>
      <c r="O1621">
        <v>94000</v>
      </c>
      <c r="P1621" t="s">
        <v>29</v>
      </c>
      <c r="Q1621" t="s">
        <v>2357</v>
      </c>
      <c r="R1621" t="s">
        <v>36</v>
      </c>
      <c r="S1621">
        <v>1</v>
      </c>
      <c r="T1621" t="s">
        <v>24</v>
      </c>
      <c r="U1621" t="s">
        <v>2410</v>
      </c>
      <c r="V1621">
        <v>2024</v>
      </c>
      <c r="W1621">
        <v>10</v>
      </c>
    </row>
    <row r="1622" spans="1:23" x14ac:dyDescent="0.25">
      <c r="A1622" t="s">
        <v>413</v>
      </c>
      <c r="B1622">
        <v>45583.400694444441</v>
      </c>
      <c r="C1622" t="s">
        <v>231</v>
      </c>
      <c r="D1622" t="s">
        <v>66</v>
      </c>
      <c r="E1622" t="s">
        <v>50</v>
      </c>
      <c r="F1622" t="s">
        <v>2400</v>
      </c>
      <c r="G1622" t="s">
        <v>2379</v>
      </c>
      <c r="H1622">
        <v>14000</v>
      </c>
      <c r="I1622">
        <v>3</v>
      </c>
      <c r="J1622">
        <v>20</v>
      </c>
      <c r="K1622">
        <v>42000</v>
      </c>
      <c r="L1622">
        <v>8400</v>
      </c>
      <c r="M1622">
        <v>33600</v>
      </c>
      <c r="N1622">
        <v>0</v>
      </c>
      <c r="O1622">
        <v>33600</v>
      </c>
      <c r="P1622" t="s">
        <v>29</v>
      </c>
      <c r="Q1622" t="s">
        <v>2357</v>
      </c>
      <c r="R1622" t="s">
        <v>36</v>
      </c>
      <c r="S1622">
        <v>1</v>
      </c>
      <c r="T1622" t="s">
        <v>24</v>
      </c>
      <c r="U1622" t="s">
        <v>2410</v>
      </c>
      <c r="V1622">
        <v>2024</v>
      </c>
      <c r="W1622">
        <v>10</v>
      </c>
    </row>
    <row r="1623" spans="1:23" x14ac:dyDescent="0.25">
      <c r="A1623" t="s">
        <v>414</v>
      </c>
      <c r="B1623">
        <v>45583.736875000002</v>
      </c>
      <c r="C1623" t="s">
        <v>109</v>
      </c>
      <c r="D1623" t="s">
        <v>49</v>
      </c>
      <c r="E1623" t="s">
        <v>58</v>
      </c>
      <c r="F1623" t="s">
        <v>2396</v>
      </c>
      <c r="G1623" t="s">
        <v>2377</v>
      </c>
      <c r="H1623">
        <v>16000</v>
      </c>
      <c r="I1623">
        <v>4</v>
      </c>
      <c r="J1623">
        <v>10</v>
      </c>
      <c r="K1623">
        <v>64000</v>
      </c>
      <c r="L1623">
        <v>6400</v>
      </c>
      <c r="M1623">
        <v>57600</v>
      </c>
      <c r="N1623">
        <v>43000</v>
      </c>
      <c r="O1623">
        <v>100600</v>
      </c>
      <c r="P1623" t="s">
        <v>29</v>
      </c>
      <c r="Q1623" t="s">
        <v>2356</v>
      </c>
      <c r="R1623" t="s">
        <v>82</v>
      </c>
      <c r="S1623">
        <v>4</v>
      </c>
      <c r="T1623" t="s">
        <v>24</v>
      </c>
      <c r="U1623" t="s">
        <v>2410</v>
      </c>
      <c r="V1623">
        <v>2024</v>
      </c>
      <c r="W1623">
        <v>10</v>
      </c>
    </row>
    <row r="1624" spans="1:23" x14ac:dyDescent="0.25">
      <c r="A1624" t="s">
        <v>415</v>
      </c>
      <c r="B1624">
        <v>45583.761122685188</v>
      </c>
      <c r="C1624" t="s">
        <v>416</v>
      </c>
      <c r="D1624" t="s">
        <v>131</v>
      </c>
      <c r="E1624" t="s">
        <v>45</v>
      </c>
      <c r="F1624" t="s">
        <v>2394</v>
      </c>
      <c r="G1624" t="s">
        <v>2378</v>
      </c>
      <c r="H1624">
        <v>40000</v>
      </c>
      <c r="I1624">
        <v>1</v>
      </c>
      <c r="J1624">
        <v>20</v>
      </c>
      <c r="K1624">
        <v>40000</v>
      </c>
      <c r="L1624">
        <v>8000</v>
      </c>
      <c r="M1624">
        <v>32000</v>
      </c>
      <c r="N1624">
        <v>59000</v>
      </c>
      <c r="O1624">
        <v>91000</v>
      </c>
      <c r="P1624" t="s">
        <v>35</v>
      </c>
      <c r="Q1624" t="s">
        <v>2357</v>
      </c>
      <c r="R1624" t="s">
        <v>82</v>
      </c>
      <c r="S1624">
        <v>2</v>
      </c>
      <c r="T1624" t="s">
        <v>24</v>
      </c>
      <c r="U1624" t="s">
        <v>2410</v>
      </c>
      <c r="V1624">
        <v>2024</v>
      </c>
      <c r="W1624">
        <v>10</v>
      </c>
    </row>
    <row r="1625" spans="1:23" x14ac:dyDescent="0.25">
      <c r="A1625" t="s">
        <v>417</v>
      </c>
      <c r="B1625">
        <v>45583.808518518519</v>
      </c>
      <c r="C1625" t="s">
        <v>273</v>
      </c>
      <c r="D1625" t="s">
        <v>195</v>
      </c>
      <c r="E1625" t="s">
        <v>104</v>
      </c>
      <c r="F1625" t="s">
        <v>2392</v>
      </c>
      <c r="G1625" t="s">
        <v>2377</v>
      </c>
      <c r="H1625">
        <v>30000</v>
      </c>
      <c r="I1625">
        <v>1</v>
      </c>
      <c r="J1625">
        <v>20</v>
      </c>
      <c r="K1625">
        <v>30000</v>
      </c>
      <c r="L1625">
        <v>6000</v>
      </c>
      <c r="M1625">
        <v>24000</v>
      </c>
      <c r="N1625">
        <v>87000</v>
      </c>
      <c r="O1625">
        <v>111000</v>
      </c>
      <c r="P1625" t="s">
        <v>29</v>
      </c>
      <c r="Q1625" t="s">
        <v>2357</v>
      </c>
      <c r="R1625" t="s">
        <v>30</v>
      </c>
      <c r="S1625">
        <v>2</v>
      </c>
      <c r="T1625" t="s">
        <v>24</v>
      </c>
      <c r="U1625" t="s">
        <v>2410</v>
      </c>
      <c r="V1625">
        <v>2024</v>
      </c>
      <c r="W1625">
        <v>10</v>
      </c>
    </row>
    <row r="1626" spans="1:23" x14ac:dyDescent="0.25">
      <c r="A1626" t="s">
        <v>418</v>
      </c>
      <c r="B1626">
        <v>45584.355254629627</v>
      </c>
      <c r="C1626" t="s">
        <v>419</v>
      </c>
      <c r="D1626" t="s">
        <v>103</v>
      </c>
      <c r="E1626" t="s">
        <v>28</v>
      </c>
      <c r="F1626" t="s">
        <v>2395</v>
      </c>
      <c r="G1626" t="s">
        <v>2378</v>
      </c>
      <c r="H1626">
        <v>5000</v>
      </c>
      <c r="I1626">
        <v>3</v>
      </c>
      <c r="J1626">
        <v>10</v>
      </c>
      <c r="K1626">
        <v>15000</v>
      </c>
      <c r="L1626">
        <v>1500</v>
      </c>
      <c r="M1626">
        <v>13500</v>
      </c>
      <c r="N1626">
        <v>85000</v>
      </c>
      <c r="O1626">
        <v>98500</v>
      </c>
      <c r="P1626" t="s">
        <v>63</v>
      </c>
      <c r="Q1626" t="s">
        <v>2356</v>
      </c>
      <c r="R1626" t="s">
        <v>23</v>
      </c>
      <c r="S1626">
        <v>5</v>
      </c>
      <c r="T1626" t="s">
        <v>37</v>
      </c>
      <c r="U1626" t="s">
        <v>2410</v>
      </c>
      <c r="V1626">
        <v>2024</v>
      </c>
      <c r="W1626">
        <v>10</v>
      </c>
    </row>
    <row r="1627" spans="1:23" x14ac:dyDescent="0.25">
      <c r="A1627" t="s">
        <v>420</v>
      </c>
      <c r="B1627">
        <v>45584.36681712963</v>
      </c>
      <c r="C1627" t="s">
        <v>421</v>
      </c>
      <c r="D1627" t="s">
        <v>103</v>
      </c>
      <c r="E1627" t="s">
        <v>34</v>
      </c>
      <c r="F1627" t="s">
        <v>2397</v>
      </c>
      <c r="G1627" t="s">
        <v>2377</v>
      </c>
      <c r="H1627">
        <v>16000</v>
      </c>
      <c r="I1627">
        <v>4</v>
      </c>
      <c r="J1627">
        <v>0</v>
      </c>
      <c r="K1627">
        <v>64000</v>
      </c>
      <c r="L1627">
        <v>0</v>
      </c>
      <c r="M1627">
        <v>64000</v>
      </c>
      <c r="N1627">
        <v>85000</v>
      </c>
      <c r="O1627">
        <v>149000</v>
      </c>
      <c r="P1627" t="s">
        <v>22</v>
      </c>
      <c r="Q1627" t="s">
        <v>2357</v>
      </c>
      <c r="R1627" t="s">
        <v>46</v>
      </c>
      <c r="S1627">
        <v>3</v>
      </c>
      <c r="T1627" t="s">
        <v>24</v>
      </c>
      <c r="U1627" t="s">
        <v>2410</v>
      </c>
      <c r="V1627">
        <v>2024</v>
      </c>
      <c r="W1627">
        <v>10</v>
      </c>
    </row>
    <row r="1628" spans="1:23" x14ac:dyDescent="0.25">
      <c r="A1628" t="s">
        <v>422</v>
      </c>
      <c r="B1628">
        <v>45584.417337962957</v>
      </c>
      <c r="C1628" t="s">
        <v>309</v>
      </c>
      <c r="D1628" t="s">
        <v>107</v>
      </c>
      <c r="E1628" t="s">
        <v>54</v>
      </c>
      <c r="F1628" t="s">
        <v>2393</v>
      </c>
      <c r="G1628" t="s">
        <v>2379</v>
      </c>
      <c r="H1628">
        <v>16000</v>
      </c>
      <c r="I1628">
        <v>2</v>
      </c>
      <c r="J1628">
        <v>10</v>
      </c>
      <c r="K1628">
        <v>32000</v>
      </c>
      <c r="L1628">
        <v>3200</v>
      </c>
      <c r="M1628">
        <v>28800</v>
      </c>
      <c r="N1628">
        <v>97000</v>
      </c>
      <c r="O1628">
        <v>125800</v>
      </c>
      <c r="P1628" t="s">
        <v>63</v>
      </c>
      <c r="Q1628" t="s">
        <v>2356</v>
      </c>
      <c r="R1628" t="s">
        <v>46</v>
      </c>
      <c r="S1628">
        <v>4</v>
      </c>
      <c r="T1628" t="s">
        <v>37</v>
      </c>
      <c r="U1628" t="s">
        <v>2410</v>
      </c>
      <c r="V1628">
        <v>2024</v>
      </c>
      <c r="W1628">
        <v>10</v>
      </c>
    </row>
    <row r="1629" spans="1:23" x14ac:dyDescent="0.25">
      <c r="A1629" t="s">
        <v>423</v>
      </c>
      <c r="B1629">
        <v>45584.532777777778</v>
      </c>
      <c r="C1629" t="s">
        <v>155</v>
      </c>
      <c r="D1629" t="s">
        <v>92</v>
      </c>
      <c r="E1629" t="s">
        <v>190</v>
      </c>
      <c r="F1629" t="s">
        <v>2392</v>
      </c>
      <c r="G1629" t="s">
        <v>2378</v>
      </c>
      <c r="H1629">
        <v>35000</v>
      </c>
      <c r="I1629">
        <v>2</v>
      </c>
      <c r="J1629">
        <v>10</v>
      </c>
      <c r="K1629">
        <v>70000</v>
      </c>
      <c r="L1629">
        <v>7000</v>
      </c>
      <c r="M1629">
        <v>63000</v>
      </c>
      <c r="N1629">
        <v>30000</v>
      </c>
      <c r="O1629">
        <v>93000</v>
      </c>
      <c r="P1629" t="s">
        <v>35</v>
      </c>
      <c r="Q1629" t="s">
        <v>2357</v>
      </c>
      <c r="R1629" t="s">
        <v>82</v>
      </c>
      <c r="S1629">
        <v>5</v>
      </c>
      <c r="T1629" t="s">
        <v>24</v>
      </c>
      <c r="U1629" t="s">
        <v>2410</v>
      </c>
      <c r="V1629">
        <v>2024</v>
      </c>
      <c r="W1629">
        <v>10</v>
      </c>
    </row>
    <row r="1630" spans="1:23" x14ac:dyDescent="0.25">
      <c r="A1630" t="s">
        <v>424</v>
      </c>
      <c r="B1630">
        <v>45584.6871875</v>
      </c>
      <c r="C1630" t="s">
        <v>425</v>
      </c>
      <c r="D1630" t="s">
        <v>44</v>
      </c>
      <c r="E1630" t="s">
        <v>67</v>
      </c>
      <c r="F1630" t="s">
        <v>2393</v>
      </c>
      <c r="G1630" t="s">
        <v>2378</v>
      </c>
      <c r="H1630">
        <v>15000</v>
      </c>
      <c r="I1630">
        <v>3</v>
      </c>
      <c r="J1630">
        <v>0</v>
      </c>
      <c r="K1630">
        <v>45000</v>
      </c>
      <c r="L1630">
        <v>0</v>
      </c>
      <c r="M1630">
        <v>45000</v>
      </c>
      <c r="N1630">
        <v>93000</v>
      </c>
      <c r="O1630">
        <v>138000</v>
      </c>
      <c r="P1630" t="s">
        <v>63</v>
      </c>
      <c r="Q1630" t="s">
        <v>2359</v>
      </c>
      <c r="R1630" t="s">
        <v>23</v>
      </c>
      <c r="S1630">
        <v>2</v>
      </c>
      <c r="T1630" t="s">
        <v>37</v>
      </c>
      <c r="U1630" t="s">
        <v>2410</v>
      </c>
      <c r="V1630">
        <v>2024</v>
      </c>
      <c r="W1630">
        <v>10</v>
      </c>
    </row>
    <row r="1631" spans="1:23" x14ac:dyDescent="0.25">
      <c r="A1631" t="s">
        <v>426</v>
      </c>
      <c r="B1631">
        <v>45585.006365740737</v>
      </c>
      <c r="C1631" t="s">
        <v>427</v>
      </c>
      <c r="D1631" t="s">
        <v>103</v>
      </c>
      <c r="E1631" t="s">
        <v>138</v>
      </c>
      <c r="F1631" t="s">
        <v>2396</v>
      </c>
      <c r="G1631" t="s">
        <v>2378</v>
      </c>
      <c r="H1631">
        <v>17000</v>
      </c>
      <c r="I1631">
        <v>1</v>
      </c>
      <c r="J1631">
        <v>0</v>
      </c>
      <c r="K1631">
        <v>17000</v>
      </c>
      <c r="L1631">
        <v>0</v>
      </c>
      <c r="M1631">
        <v>17000</v>
      </c>
      <c r="N1631">
        <v>85000</v>
      </c>
      <c r="O1631">
        <v>102000</v>
      </c>
      <c r="P1631" t="s">
        <v>22</v>
      </c>
      <c r="Q1631" t="s">
        <v>2357</v>
      </c>
      <c r="R1631" t="s">
        <v>36</v>
      </c>
      <c r="S1631">
        <v>1</v>
      </c>
      <c r="T1631" t="s">
        <v>24</v>
      </c>
      <c r="U1631" t="s">
        <v>2410</v>
      </c>
      <c r="V1631">
        <v>2024</v>
      </c>
      <c r="W1631">
        <v>10</v>
      </c>
    </row>
    <row r="1632" spans="1:23" x14ac:dyDescent="0.25">
      <c r="A1632" t="s">
        <v>428</v>
      </c>
      <c r="B1632">
        <v>45585.27239583333</v>
      </c>
      <c r="C1632" t="s">
        <v>429</v>
      </c>
      <c r="D1632" t="s">
        <v>177</v>
      </c>
      <c r="E1632" t="s">
        <v>190</v>
      </c>
      <c r="F1632" t="s">
        <v>2392</v>
      </c>
      <c r="G1632" t="s">
        <v>2378</v>
      </c>
      <c r="H1632">
        <v>35000</v>
      </c>
      <c r="I1632">
        <v>2</v>
      </c>
      <c r="J1632">
        <v>10</v>
      </c>
      <c r="K1632">
        <v>70000</v>
      </c>
      <c r="L1632">
        <v>7000</v>
      </c>
      <c r="M1632">
        <v>63000</v>
      </c>
      <c r="N1632">
        <v>56000</v>
      </c>
      <c r="O1632">
        <v>119000</v>
      </c>
      <c r="P1632" t="s">
        <v>35</v>
      </c>
      <c r="Q1632" t="s">
        <v>2356</v>
      </c>
      <c r="R1632" t="s">
        <v>46</v>
      </c>
      <c r="S1632">
        <v>4</v>
      </c>
      <c r="T1632" t="s">
        <v>37</v>
      </c>
      <c r="U1632" t="s">
        <v>2410</v>
      </c>
      <c r="V1632">
        <v>2024</v>
      </c>
      <c r="W1632">
        <v>10</v>
      </c>
    </row>
    <row r="1633" spans="1:23" x14ac:dyDescent="0.25">
      <c r="A1633" t="s">
        <v>430</v>
      </c>
      <c r="B1633">
        <v>45585.31559027778</v>
      </c>
      <c r="C1633" t="s">
        <v>431</v>
      </c>
      <c r="D1633" t="s">
        <v>33</v>
      </c>
      <c r="E1633" t="s">
        <v>104</v>
      </c>
      <c r="F1633" t="s">
        <v>2392</v>
      </c>
      <c r="G1633" t="s">
        <v>2377</v>
      </c>
      <c r="H1633">
        <v>30000</v>
      </c>
      <c r="I1633">
        <v>3</v>
      </c>
      <c r="J1633">
        <v>5</v>
      </c>
      <c r="K1633">
        <v>90000</v>
      </c>
      <c r="L1633">
        <v>4500</v>
      </c>
      <c r="M1633">
        <v>85500</v>
      </c>
      <c r="N1633">
        <v>76000</v>
      </c>
      <c r="O1633">
        <v>161500</v>
      </c>
      <c r="P1633" t="s">
        <v>29</v>
      </c>
      <c r="Q1633" t="s">
        <v>2356</v>
      </c>
      <c r="R1633" t="s">
        <v>82</v>
      </c>
      <c r="S1633">
        <v>1</v>
      </c>
      <c r="T1633" t="s">
        <v>24</v>
      </c>
      <c r="U1633" t="s">
        <v>2410</v>
      </c>
      <c r="V1633">
        <v>2024</v>
      </c>
      <c r="W1633">
        <v>10</v>
      </c>
    </row>
    <row r="1634" spans="1:23" x14ac:dyDescent="0.25">
      <c r="A1634" t="s">
        <v>430</v>
      </c>
      <c r="B1634">
        <v>45585.31559027778</v>
      </c>
      <c r="C1634" t="s">
        <v>431</v>
      </c>
      <c r="D1634" t="s">
        <v>33</v>
      </c>
      <c r="E1634" t="s">
        <v>144</v>
      </c>
      <c r="F1634" t="s">
        <v>2396</v>
      </c>
      <c r="G1634" t="s">
        <v>2379</v>
      </c>
      <c r="H1634">
        <v>18000</v>
      </c>
      <c r="I1634">
        <v>2</v>
      </c>
      <c r="J1634">
        <v>10</v>
      </c>
      <c r="K1634">
        <v>36000</v>
      </c>
      <c r="L1634">
        <v>3600</v>
      </c>
      <c r="M1634">
        <v>32400</v>
      </c>
      <c r="N1634">
        <v>0</v>
      </c>
      <c r="O1634">
        <v>32400</v>
      </c>
      <c r="P1634" t="s">
        <v>29</v>
      </c>
      <c r="Q1634" t="s">
        <v>2356</v>
      </c>
      <c r="R1634" t="s">
        <v>82</v>
      </c>
      <c r="S1634">
        <v>1</v>
      </c>
      <c r="T1634" t="s">
        <v>24</v>
      </c>
      <c r="U1634" t="s">
        <v>2410</v>
      </c>
      <c r="V1634">
        <v>2024</v>
      </c>
      <c r="W1634">
        <v>10</v>
      </c>
    </row>
    <row r="1635" spans="1:23" x14ac:dyDescent="0.25">
      <c r="A1635" t="s">
        <v>432</v>
      </c>
      <c r="B1635">
        <v>45585.430104166669</v>
      </c>
      <c r="C1635" t="s">
        <v>265</v>
      </c>
      <c r="D1635" t="s">
        <v>119</v>
      </c>
      <c r="E1635" t="s">
        <v>45</v>
      </c>
      <c r="F1635" t="s">
        <v>2394</v>
      </c>
      <c r="G1635" t="s">
        <v>2378</v>
      </c>
      <c r="H1635">
        <v>40000</v>
      </c>
      <c r="I1635">
        <v>5</v>
      </c>
      <c r="J1635">
        <v>15</v>
      </c>
      <c r="K1635">
        <v>200000</v>
      </c>
      <c r="L1635">
        <v>30000</v>
      </c>
      <c r="M1635">
        <v>170000</v>
      </c>
      <c r="N1635">
        <v>0</v>
      </c>
      <c r="O1635">
        <v>170000</v>
      </c>
      <c r="P1635" t="s">
        <v>29</v>
      </c>
      <c r="Q1635" t="s">
        <v>2356</v>
      </c>
      <c r="R1635" t="s">
        <v>46</v>
      </c>
      <c r="S1635">
        <v>2</v>
      </c>
      <c r="T1635" t="s">
        <v>24</v>
      </c>
      <c r="U1635" t="s">
        <v>2410</v>
      </c>
      <c r="V1635">
        <v>2024</v>
      </c>
      <c r="W1635">
        <v>10</v>
      </c>
    </row>
    <row r="1636" spans="1:23" x14ac:dyDescent="0.25">
      <c r="A1636" t="s">
        <v>433</v>
      </c>
      <c r="B1636">
        <v>45586.347326388888</v>
      </c>
      <c r="C1636" t="s">
        <v>434</v>
      </c>
      <c r="D1636" t="s">
        <v>435</v>
      </c>
      <c r="E1636" t="s">
        <v>138</v>
      </c>
      <c r="F1636" t="s">
        <v>2396</v>
      </c>
      <c r="G1636" t="s">
        <v>2378</v>
      </c>
      <c r="H1636">
        <v>17000</v>
      </c>
      <c r="I1636">
        <v>2</v>
      </c>
      <c r="J1636">
        <v>20</v>
      </c>
      <c r="K1636">
        <v>34000</v>
      </c>
      <c r="L1636">
        <v>6800</v>
      </c>
      <c r="M1636">
        <v>27200</v>
      </c>
      <c r="N1636">
        <v>67000</v>
      </c>
      <c r="O1636">
        <v>94200</v>
      </c>
      <c r="P1636" t="s">
        <v>29</v>
      </c>
      <c r="Q1636" t="s">
        <v>2356</v>
      </c>
      <c r="R1636" t="s">
        <v>46</v>
      </c>
      <c r="S1636">
        <v>4</v>
      </c>
      <c r="T1636" t="s">
        <v>24</v>
      </c>
      <c r="U1636" t="s">
        <v>2410</v>
      </c>
      <c r="V1636">
        <v>2024</v>
      </c>
      <c r="W1636">
        <v>10</v>
      </c>
    </row>
    <row r="1637" spans="1:23" x14ac:dyDescent="0.25">
      <c r="A1637" t="s">
        <v>436</v>
      </c>
      <c r="B1637">
        <v>45586.38616898148</v>
      </c>
      <c r="C1637" t="s">
        <v>437</v>
      </c>
      <c r="D1637" t="s">
        <v>375</v>
      </c>
      <c r="E1637" t="s">
        <v>45</v>
      </c>
      <c r="F1637" t="s">
        <v>2394</v>
      </c>
      <c r="G1637" t="s">
        <v>2378</v>
      </c>
      <c r="H1637">
        <v>40000</v>
      </c>
      <c r="I1637">
        <v>3</v>
      </c>
      <c r="J1637">
        <v>5</v>
      </c>
      <c r="K1637">
        <v>120000</v>
      </c>
      <c r="L1637">
        <v>6000</v>
      </c>
      <c r="M1637">
        <v>114000</v>
      </c>
      <c r="N1637">
        <v>21000</v>
      </c>
      <c r="O1637">
        <v>135000</v>
      </c>
      <c r="P1637" t="s">
        <v>63</v>
      </c>
      <c r="Q1637" t="s">
        <v>2357</v>
      </c>
      <c r="R1637" t="s">
        <v>23</v>
      </c>
      <c r="S1637">
        <v>3</v>
      </c>
      <c r="T1637" t="s">
        <v>24</v>
      </c>
      <c r="U1637" t="s">
        <v>2410</v>
      </c>
      <c r="V1637">
        <v>2024</v>
      </c>
      <c r="W1637">
        <v>10</v>
      </c>
    </row>
    <row r="1638" spans="1:23" x14ac:dyDescent="0.25">
      <c r="A1638" t="s">
        <v>438</v>
      </c>
      <c r="B1638">
        <v>45587.162407407413</v>
      </c>
      <c r="C1638" t="s">
        <v>439</v>
      </c>
      <c r="D1638" t="s">
        <v>119</v>
      </c>
      <c r="E1638" t="s">
        <v>93</v>
      </c>
      <c r="F1638" t="s">
        <v>2399</v>
      </c>
      <c r="G1638" t="s">
        <v>2378</v>
      </c>
      <c r="H1638">
        <v>25000</v>
      </c>
      <c r="I1638">
        <v>1</v>
      </c>
      <c r="J1638">
        <v>0</v>
      </c>
      <c r="K1638">
        <v>25000</v>
      </c>
      <c r="L1638">
        <v>0</v>
      </c>
      <c r="M1638">
        <v>25000</v>
      </c>
      <c r="N1638">
        <v>0</v>
      </c>
      <c r="O1638">
        <v>25000</v>
      </c>
      <c r="P1638" t="s">
        <v>35</v>
      </c>
      <c r="Q1638" t="s">
        <v>2357</v>
      </c>
      <c r="R1638" t="s">
        <v>23</v>
      </c>
      <c r="S1638">
        <v>1</v>
      </c>
      <c r="T1638" t="s">
        <v>37</v>
      </c>
      <c r="U1638" t="s">
        <v>2410</v>
      </c>
      <c r="V1638">
        <v>2024</v>
      </c>
      <c r="W1638">
        <v>10</v>
      </c>
    </row>
    <row r="1639" spans="1:23" x14ac:dyDescent="0.25">
      <c r="A1639" t="s">
        <v>440</v>
      </c>
      <c r="B1639">
        <v>45587.341643518521</v>
      </c>
      <c r="C1639" t="s">
        <v>441</v>
      </c>
      <c r="D1639" t="s">
        <v>116</v>
      </c>
      <c r="E1639" t="s">
        <v>58</v>
      </c>
      <c r="F1639" t="s">
        <v>2396</v>
      </c>
      <c r="G1639" t="s">
        <v>2377</v>
      </c>
      <c r="H1639">
        <v>16000</v>
      </c>
      <c r="I1639">
        <v>2</v>
      </c>
      <c r="J1639">
        <v>0</v>
      </c>
      <c r="K1639">
        <v>32000</v>
      </c>
      <c r="L1639">
        <v>0</v>
      </c>
      <c r="M1639">
        <v>32000</v>
      </c>
      <c r="N1639">
        <v>72000</v>
      </c>
      <c r="O1639">
        <v>104000</v>
      </c>
      <c r="P1639" t="s">
        <v>63</v>
      </c>
      <c r="Q1639" t="s">
        <v>2357</v>
      </c>
      <c r="R1639" t="s">
        <v>46</v>
      </c>
      <c r="S1639">
        <v>1</v>
      </c>
      <c r="T1639" t="s">
        <v>37</v>
      </c>
      <c r="U1639" t="s">
        <v>2410</v>
      </c>
      <c r="V1639">
        <v>2024</v>
      </c>
      <c r="W1639">
        <v>10</v>
      </c>
    </row>
    <row r="1640" spans="1:23" x14ac:dyDescent="0.25">
      <c r="A1640" t="s">
        <v>442</v>
      </c>
      <c r="B1640">
        <v>45587.469409722216</v>
      </c>
      <c r="C1640" t="s">
        <v>443</v>
      </c>
      <c r="D1640" t="s">
        <v>53</v>
      </c>
      <c r="E1640" t="s">
        <v>186</v>
      </c>
      <c r="F1640" t="s">
        <v>2398</v>
      </c>
      <c r="G1640" t="s">
        <v>2377</v>
      </c>
      <c r="H1640">
        <v>45000</v>
      </c>
      <c r="I1640">
        <v>4</v>
      </c>
      <c r="J1640">
        <v>15</v>
      </c>
      <c r="K1640">
        <v>180000</v>
      </c>
      <c r="L1640">
        <v>27000</v>
      </c>
      <c r="M1640">
        <v>153000</v>
      </c>
      <c r="N1640">
        <v>18000</v>
      </c>
      <c r="O1640">
        <v>171000</v>
      </c>
      <c r="P1640" t="s">
        <v>29</v>
      </c>
      <c r="Q1640" t="s">
        <v>2357</v>
      </c>
      <c r="R1640" t="s">
        <v>36</v>
      </c>
      <c r="S1640">
        <v>1</v>
      </c>
      <c r="T1640" t="s">
        <v>24</v>
      </c>
      <c r="U1640" t="s">
        <v>2410</v>
      </c>
      <c r="V1640">
        <v>2024</v>
      </c>
      <c r="W1640">
        <v>10</v>
      </c>
    </row>
    <row r="1641" spans="1:23" x14ac:dyDescent="0.25">
      <c r="A1641" t="s">
        <v>444</v>
      </c>
      <c r="B1641">
        <v>45587.500289351847</v>
      </c>
      <c r="C1641" t="s">
        <v>84</v>
      </c>
      <c r="D1641" t="s">
        <v>57</v>
      </c>
      <c r="E1641" t="s">
        <v>104</v>
      </c>
      <c r="F1641" t="s">
        <v>2392</v>
      </c>
      <c r="G1641" t="s">
        <v>2377</v>
      </c>
      <c r="H1641">
        <v>30000</v>
      </c>
      <c r="I1641">
        <v>1</v>
      </c>
      <c r="J1641">
        <v>20</v>
      </c>
      <c r="K1641">
        <v>30000</v>
      </c>
      <c r="L1641">
        <v>6000</v>
      </c>
      <c r="M1641">
        <v>24000</v>
      </c>
      <c r="N1641">
        <v>80000</v>
      </c>
      <c r="O1641">
        <v>104000</v>
      </c>
      <c r="P1641" t="s">
        <v>63</v>
      </c>
      <c r="Q1641" t="s">
        <v>2357</v>
      </c>
      <c r="R1641" t="s">
        <v>23</v>
      </c>
      <c r="S1641">
        <v>3</v>
      </c>
      <c r="T1641" t="s">
        <v>37</v>
      </c>
      <c r="U1641" t="s">
        <v>2410</v>
      </c>
      <c r="V1641">
        <v>2024</v>
      </c>
      <c r="W1641">
        <v>10</v>
      </c>
    </row>
    <row r="1642" spans="1:23" x14ac:dyDescent="0.25">
      <c r="A1642" t="s">
        <v>445</v>
      </c>
      <c r="B1642">
        <v>45588.139120370368</v>
      </c>
      <c r="C1642" t="s">
        <v>446</v>
      </c>
      <c r="D1642" t="s">
        <v>296</v>
      </c>
      <c r="E1642" t="s">
        <v>81</v>
      </c>
      <c r="F1642" t="s">
        <v>2397</v>
      </c>
      <c r="G1642" t="s">
        <v>2378</v>
      </c>
      <c r="H1642">
        <v>17000</v>
      </c>
      <c r="I1642">
        <v>2</v>
      </c>
      <c r="J1642">
        <v>15</v>
      </c>
      <c r="K1642">
        <v>34000</v>
      </c>
      <c r="L1642">
        <v>5100</v>
      </c>
      <c r="M1642">
        <v>28900</v>
      </c>
      <c r="N1642">
        <v>79000</v>
      </c>
      <c r="O1642">
        <v>107900</v>
      </c>
      <c r="P1642" t="s">
        <v>35</v>
      </c>
      <c r="Q1642" t="s">
        <v>2356</v>
      </c>
      <c r="R1642" t="s">
        <v>30</v>
      </c>
      <c r="S1642">
        <v>5</v>
      </c>
      <c r="T1642" t="s">
        <v>37</v>
      </c>
      <c r="U1642" t="s">
        <v>2410</v>
      </c>
      <c r="V1642">
        <v>2024</v>
      </c>
      <c r="W1642">
        <v>10</v>
      </c>
    </row>
    <row r="1643" spans="1:23" x14ac:dyDescent="0.25">
      <c r="A1643" t="s">
        <v>447</v>
      </c>
      <c r="B1643">
        <v>45588.201261574082</v>
      </c>
      <c r="C1643" t="s">
        <v>249</v>
      </c>
      <c r="D1643" t="s">
        <v>49</v>
      </c>
      <c r="E1643" t="s">
        <v>250</v>
      </c>
      <c r="F1643" t="s">
        <v>2397</v>
      </c>
      <c r="G1643" t="s">
        <v>2379</v>
      </c>
      <c r="H1643">
        <v>18000</v>
      </c>
      <c r="I1643">
        <v>5</v>
      </c>
      <c r="J1643">
        <v>5</v>
      </c>
      <c r="K1643">
        <v>90000</v>
      </c>
      <c r="L1643">
        <v>4500</v>
      </c>
      <c r="M1643">
        <v>85500</v>
      </c>
      <c r="N1643">
        <v>43000</v>
      </c>
      <c r="O1643">
        <v>128500</v>
      </c>
      <c r="P1643" t="s">
        <v>29</v>
      </c>
      <c r="Q1643" t="s">
        <v>2357</v>
      </c>
      <c r="R1643" t="s">
        <v>82</v>
      </c>
      <c r="S1643">
        <v>2</v>
      </c>
      <c r="T1643" t="s">
        <v>24</v>
      </c>
      <c r="U1643" t="s">
        <v>2410</v>
      </c>
      <c r="V1643">
        <v>2024</v>
      </c>
      <c r="W1643">
        <v>10</v>
      </c>
    </row>
    <row r="1644" spans="1:23" x14ac:dyDescent="0.25">
      <c r="A1644" t="s">
        <v>447</v>
      </c>
      <c r="B1644">
        <v>45588.201261574082</v>
      </c>
      <c r="C1644" t="s">
        <v>249</v>
      </c>
      <c r="D1644" t="s">
        <v>49</v>
      </c>
      <c r="E1644" t="s">
        <v>186</v>
      </c>
      <c r="F1644" t="s">
        <v>2398</v>
      </c>
      <c r="G1644" t="s">
        <v>2377</v>
      </c>
      <c r="H1644">
        <v>45000</v>
      </c>
      <c r="I1644">
        <v>5</v>
      </c>
      <c r="J1644">
        <v>20</v>
      </c>
      <c r="K1644">
        <v>225000</v>
      </c>
      <c r="L1644">
        <v>45000</v>
      </c>
      <c r="M1644">
        <v>180000</v>
      </c>
      <c r="N1644">
        <v>0</v>
      </c>
      <c r="O1644">
        <v>180000</v>
      </c>
      <c r="P1644" t="s">
        <v>29</v>
      </c>
      <c r="Q1644" t="s">
        <v>2357</v>
      </c>
      <c r="R1644" t="s">
        <v>82</v>
      </c>
      <c r="S1644">
        <v>2</v>
      </c>
      <c r="T1644" t="s">
        <v>24</v>
      </c>
      <c r="U1644" t="s">
        <v>2410</v>
      </c>
      <c r="V1644">
        <v>2024</v>
      </c>
      <c r="W1644">
        <v>10</v>
      </c>
    </row>
    <row r="1645" spans="1:23" x14ac:dyDescent="0.25">
      <c r="A1645" t="s">
        <v>448</v>
      </c>
      <c r="B1645">
        <v>45588.265324074076</v>
      </c>
      <c r="C1645" t="s">
        <v>449</v>
      </c>
      <c r="D1645" t="s">
        <v>151</v>
      </c>
      <c r="E1645" t="s">
        <v>34</v>
      </c>
      <c r="F1645" t="s">
        <v>2397</v>
      </c>
      <c r="G1645" t="s">
        <v>2377</v>
      </c>
      <c r="H1645">
        <v>16000</v>
      </c>
      <c r="I1645">
        <v>4</v>
      </c>
      <c r="J1645">
        <v>15</v>
      </c>
      <c r="K1645">
        <v>64000</v>
      </c>
      <c r="L1645">
        <v>9600</v>
      </c>
      <c r="M1645">
        <v>54400</v>
      </c>
      <c r="N1645">
        <v>55000</v>
      </c>
      <c r="O1645">
        <v>109400</v>
      </c>
      <c r="P1645" t="s">
        <v>35</v>
      </c>
      <c r="Q1645" t="s">
        <v>2357</v>
      </c>
      <c r="R1645" t="s">
        <v>36</v>
      </c>
      <c r="S1645">
        <v>1</v>
      </c>
      <c r="T1645" t="s">
        <v>24</v>
      </c>
      <c r="U1645" t="s">
        <v>2410</v>
      </c>
      <c r="V1645">
        <v>2024</v>
      </c>
      <c r="W1645">
        <v>10</v>
      </c>
    </row>
    <row r="1646" spans="1:23" x14ac:dyDescent="0.25">
      <c r="A1646" t="s">
        <v>450</v>
      </c>
      <c r="B1646">
        <v>45588.701157407413</v>
      </c>
      <c r="C1646" t="s">
        <v>451</v>
      </c>
      <c r="D1646" t="s">
        <v>116</v>
      </c>
      <c r="E1646" t="s">
        <v>136</v>
      </c>
      <c r="F1646" t="s">
        <v>2400</v>
      </c>
      <c r="G1646" t="s">
        <v>2378</v>
      </c>
      <c r="H1646">
        <v>12000</v>
      </c>
      <c r="I1646">
        <v>4</v>
      </c>
      <c r="J1646">
        <v>5</v>
      </c>
      <c r="K1646">
        <v>48000</v>
      </c>
      <c r="L1646">
        <v>2400</v>
      </c>
      <c r="M1646">
        <v>45600</v>
      </c>
      <c r="N1646">
        <v>72000</v>
      </c>
      <c r="O1646">
        <v>117600</v>
      </c>
      <c r="P1646" t="s">
        <v>29</v>
      </c>
      <c r="Q1646" t="s">
        <v>2357</v>
      </c>
      <c r="R1646" t="s">
        <v>36</v>
      </c>
      <c r="S1646">
        <v>4</v>
      </c>
      <c r="T1646" t="s">
        <v>24</v>
      </c>
      <c r="U1646" t="s">
        <v>2410</v>
      </c>
      <c r="V1646">
        <v>2024</v>
      </c>
      <c r="W1646">
        <v>10</v>
      </c>
    </row>
    <row r="1647" spans="1:23" x14ac:dyDescent="0.25">
      <c r="A1647" t="s">
        <v>452</v>
      </c>
      <c r="B1647">
        <v>45588.701851851853</v>
      </c>
      <c r="C1647" t="s">
        <v>453</v>
      </c>
      <c r="D1647" t="s">
        <v>27</v>
      </c>
      <c r="E1647" t="s">
        <v>110</v>
      </c>
      <c r="F1647" t="s">
        <v>2395</v>
      </c>
      <c r="G1647" t="s">
        <v>2379</v>
      </c>
      <c r="H1647">
        <v>6000</v>
      </c>
      <c r="I1647">
        <v>4</v>
      </c>
      <c r="J1647">
        <v>10</v>
      </c>
      <c r="K1647">
        <v>24000</v>
      </c>
      <c r="L1647">
        <v>2400</v>
      </c>
      <c r="M1647">
        <v>21600</v>
      </c>
      <c r="N1647">
        <v>17000</v>
      </c>
      <c r="O1647">
        <v>38600</v>
      </c>
      <c r="P1647" t="s">
        <v>29</v>
      </c>
      <c r="Q1647" t="s">
        <v>2357</v>
      </c>
      <c r="R1647" t="s">
        <v>23</v>
      </c>
      <c r="S1647">
        <v>4</v>
      </c>
      <c r="T1647" t="s">
        <v>37</v>
      </c>
      <c r="U1647" t="s">
        <v>2410</v>
      </c>
      <c r="V1647">
        <v>2024</v>
      </c>
      <c r="W1647">
        <v>10</v>
      </c>
    </row>
    <row r="1648" spans="1:23" x14ac:dyDescent="0.25">
      <c r="A1648" t="s">
        <v>454</v>
      </c>
      <c r="B1648">
        <v>45588.748912037037</v>
      </c>
      <c r="C1648" t="s">
        <v>455</v>
      </c>
      <c r="D1648" t="s">
        <v>33</v>
      </c>
      <c r="E1648" t="s">
        <v>186</v>
      </c>
      <c r="F1648" t="s">
        <v>2398</v>
      </c>
      <c r="G1648" t="s">
        <v>2377</v>
      </c>
      <c r="H1648">
        <v>45000</v>
      </c>
      <c r="I1648">
        <v>3</v>
      </c>
      <c r="J1648">
        <v>15</v>
      </c>
      <c r="K1648">
        <v>135000</v>
      </c>
      <c r="L1648">
        <v>20250</v>
      </c>
      <c r="M1648">
        <v>114750</v>
      </c>
      <c r="N1648">
        <v>76000</v>
      </c>
      <c r="O1648">
        <v>190750</v>
      </c>
      <c r="P1648" t="s">
        <v>29</v>
      </c>
      <c r="Q1648" t="s">
        <v>2357</v>
      </c>
      <c r="R1648" t="s">
        <v>36</v>
      </c>
      <c r="S1648">
        <v>1</v>
      </c>
      <c r="T1648" t="s">
        <v>24</v>
      </c>
      <c r="U1648" t="s">
        <v>2410</v>
      </c>
      <c r="V1648">
        <v>2024</v>
      </c>
      <c r="W1648">
        <v>10</v>
      </c>
    </row>
    <row r="1649" spans="1:23" x14ac:dyDescent="0.25">
      <c r="A1649" t="s">
        <v>454</v>
      </c>
      <c r="B1649">
        <v>45588.748912037037</v>
      </c>
      <c r="C1649" t="s">
        <v>455</v>
      </c>
      <c r="D1649" t="s">
        <v>33</v>
      </c>
      <c r="E1649" t="s">
        <v>81</v>
      </c>
      <c r="F1649" t="s">
        <v>2397</v>
      </c>
      <c r="G1649" t="s">
        <v>2378</v>
      </c>
      <c r="H1649">
        <v>17000</v>
      </c>
      <c r="I1649">
        <v>4</v>
      </c>
      <c r="J1649">
        <v>20</v>
      </c>
      <c r="K1649">
        <v>68000</v>
      </c>
      <c r="L1649">
        <v>13600</v>
      </c>
      <c r="M1649">
        <v>54400</v>
      </c>
      <c r="N1649">
        <v>0</v>
      </c>
      <c r="O1649">
        <v>54400</v>
      </c>
      <c r="P1649" t="s">
        <v>29</v>
      </c>
      <c r="Q1649" t="s">
        <v>2357</v>
      </c>
      <c r="R1649" t="s">
        <v>36</v>
      </c>
      <c r="S1649">
        <v>1</v>
      </c>
      <c r="T1649" t="s">
        <v>24</v>
      </c>
      <c r="U1649" t="s">
        <v>2410</v>
      </c>
      <c r="V1649">
        <v>2024</v>
      </c>
      <c r="W1649">
        <v>10</v>
      </c>
    </row>
    <row r="1650" spans="1:23" x14ac:dyDescent="0.25">
      <c r="A1650" t="s">
        <v>456</v>
      </c>
      <c r="B1650">
        <v>45589.446782407409</v>
      </c>
      <c r="C1650" t="s">
        <v>457</v>
      </c>
      <c r="D1650" t="s">
        <v>80</v>
      </c>
      <c r="E1650" t="s">
        <v>123</v>
      </c>
      <c r="F1650" t="s">
        <v>2399</v>
      </c>
      <c r="G1650" t="s">
        <v>2377</v>
      </c>
      <c r="H1650">
        <v>22000</v>
      </c>
      <c r="I1650">
        <v>3</v>
      </c>
      <c r="J1650">
        <v>10</v>
      </c>
      <c r="K1650">
        <v>66000</v>
      </c>
      <c r="L1650">
        <v>6600</v>
      </c>
      <c r="M1650">
        <v>59400</v>
      </c>
      <c r="N1650">
        <v>74000</v>
      </c>
      <c r="O1650">
        <v>133400</v>
      </c>
      <c r="P1650" t="s">
        <v>22</v>
      </c>
      <c r="Q1650" t="s">
        <v>2357</v>
      </c>
      <c r="R1650" t="s">
        <v>23</v>
      </c>
      <c r="S1650">
        <v>3</v>
      </c>
      <c r="T1650" t="s">
        <v>24</v>
      </c>
      <c r="U1650" t="s">
        <v>2410</v>
      </c>
      <c r="V1650">
        <v>2024</v>
      </c>
      <c r="W1650">
        <v>10</v>
      </c>
    </row>
    <row r="1651" spans="1:23" x14ac:dyDescent="0.25">
      <c r="A1651" t="s">
        <v>458</v>
      </c>
      <c r="B1651">
        <v>45589.502523148149</v>
      </c>
      <c r="C1651" t="s">
        <v>459</v>
      </c>
      <c r="D1651" t="s">
        <v>61</v>
      </c>
      <c r="E1651" t="s">
        <v>93</v>
      </c>
      <c r="F1651" t="s">
        <v>2399</v>
      </c>
      <c r="G1651" t="s">
        <v>2378</v>
      </c>
      <c r="H1651">
        <v>25000</v>
      </c>
      <c r="I1651">
        <v>3</v>
      </c>
      <c r="J1651">
        <v>10</v>
      </c>
      <c r="K1651">
        <v>75000</v>
      </c>
      <c r="L1651">
        <v>7500</v>
      </c>
      <c r="M1651">
        <v>67500</v>
      </c>
      <c r="N1651">
        <v>26000</v>
      </c>
      <c r="O1651">
        <v>93500</v>
      </c>
      <c r="P1651" t="s">
        <v>29</v>
      </c>
      <c r="Q1651" t="s">
        <v>2357</v>
      </c>
      <c r="R1651" t="s">
        <v>46</v>
      </c>
      <c r="S1651">
        <v>5</v>
      </c>
      <c r="T1651" t="s">
        <v>24</v>
      </c>
      <c r="U1651" t="s">
        <v>2410</v>
      </c>
      <c r="V1651">
        <v>2024</v>
      </c>
      <c r="W1651">
        <v>10</v>
      </c>
    </row>
    <row r="1652" spans="1:23" x14ac:dyDescent="0.25">
      <c r="A1652" t="s">
        <v>460</v>
      </c>
      <c r="B1652">
        <v>45589.551249999997</v>
      </c>
      <c r="C1652" t="s">
        <v>461</v>
      </c>
      <c r="D1652" t="s">
        <v>92</v>
      </c>
      <c r="E1652" t="s">
        <v>85</v>
      </c>
      <c r="F1652" t="s">
        <v>2394</v>
      </c>
      <c r="G1652" t="s">
        <v>2377</v>
      </c>
      <c r="H1652">
        <v>35000</v>
      </c>
      <c r="I1652">
        <v>3</v>
      </c>
      <c r="J1652">
        <v>0</v>
      </c>
      <c r="K1652">
        <v>105000</v>
      </c>
      <c r="L1652">
        <v>0</v>
      </c>
      <c r="M1652">
        <v>105000</v>
      </c>
      <c r="N1652">
        <v>30000</v>
      </c>
      <c r="O1652">
        <v>135000</v>
      </c>
      <c r="P1652" t="s">
        <v>35</v>
      </c>
      <c r="Q1652" t="s">
        <v>2357</v>
      </c>
      <c r="R1652" t="s">
        <v>36</v>
      </c>
      <c r="S1652">
        <v>1</v>
      </c>
      <c r="T1652" t="s">
        <v>37</v>
      </c>
      <c r="U1652" t="s">
        <v>2410</v>
      </c>
      <c r="V1652">
        <v>2024</v>
      </c>
      <c r="W1652">
        <v>10</v>
      </c>
    </row>
    <row r="1653" spans="1:23" x14ac:dyDescent="0.25">
      <c r="A1653" t="s">
        <v>462</v>
      </c>
      <c r="B1653">
        <v>45589.828738425917</v>
      </c>
      <c r="C1653" t="s">
        <v>118</v>
      </c>
      <c r="D1653" t="s">
        <v>119</v>
      </c>
      <c r="E1653" t="s">
        <v>110</v>
      </c>
      <c r="F1653" t="s">
        <v>2395</v>
      </c>
      <c r="G1653" t="s">
        <v>2379</v>
      </c>
      <c r="H1653">
        <v>6000</v>
      </c>
      <c r="I1653">
        <v>5</v>
      </c>
      <c r="J1653">
        <v>15</v>
      </c>
      <c r="K1653">
        <v>30000</v>
      </c>
      <c r="L1653">
        <v>4500</v>
      </c>
      <c r="M1653">
        <v>25500</v>
      </c>
      <c r="N1653">
        <v>0</v>
      </c>
      <c r="O1653">
        <v>25500</v>
      </c>
      <c r="P1653" t="s">
        <v>35</v>
      </c>
      <c r="Q1653" t="s">
        <v>2357</v>
      </c>
      <c r="R1653" t="s">
        <v>36</v>
      </c>
      <c r="S1653">
        <v>3</v>
      </c>
      <c r="T1653" t="s">
        <v>24</v>
      </c>
      <c r="U1653" t="s">
        <v>2410</v>
      </c>
      <c r="V1653">
        <v>2024</v>
      </c>
      <c r="W1653">
        <v>10</v>
      </c>
    </row>
    <row r="1654" spans="1:23" x14ac:dyDescent="0.25">
      <c r="A1654" t="s">
        <v>463</v>
      </c>
      <c r="B1654">
        <v>45589.90861111111</v>
      </c>
      <c r="C1654" t="s">
        <v>464</v>
      </c>
      <c r="D1654" t="s">
        <v>296</v>
      </c>
      <c r="E1654" t="s">
        <v>190</v>
      </c>
      <c r="F1654" t="s">
        <v>2392</v>
      </c>
      <c r="G1654" t="s">
        <v>2378</v>
      </c>
      <c r="H1654">
        <v>35000</v>
      </c>
      <c r="I1654">
        <v>4</v>
      </c>
      <c r="J1654">
        <v>20</v>
      </c>
      <c r="K1654">
        <v>140000</v>
      </c>
      <c r="L1654">
        <v>28000</v>
      </c>
      <c r="M1654">
        <v>112000</v>
      </c>
      <c r="N1654">
        <v>79000</v>
      </c>
      <c r="O1654">
        <v>191000</v>
      </c>
      <c r="P1654" t="s">
        <v>29</v>
      </c>
      <c r="Q1654" t="s">
        <v>2357</v>
      </c>
      <c r="R1654" t="s">
        <v>46</v>
      </c>
      <c r="S1654">
        <v>4</v>
      </c>
      <c r="T1654" t="s">
        <v>37</v>
      </c>
      <c r="U1654" t="s">
        <v>2410</v>
      </c>
      <c r="V1654">
        <v>2024</v>
      </c>
      <c r="W1654">
        <v>10</v>
      </c>
    </row>
    <row r="1655" spans="1:23" x14ac:dyDescent="0.25">
      <c r="A1655" t="s">
        <v>465</v>
      </c>
      <c r="B1655">
        <v>45589.987604166658</v>
      </c>
      <c r="C1655" t="s">
        <v>466</v>
      </c>
      <c r="D1655" t="s">
        <v>131</v>
      </c>
      <c r="E1655" t="s">
        <v>71</v>
      </c>
      <c r="F1655" t="s">
        <v>2392</v>
      </c>
      <c r="G1655" t="s">
        <v>2379</v>
      </c>
      <c r="H1655">
        <v>40000</v>
      </c>
      <c r="I1655">
        <v>1</v>
      </c>
      <c r="J1655">
        <v>5</v>
      </c>
      <c r="K1655">
        <v>40000</v>
      </c>
      <c r="L1655">
        <v>2000</v>
      </c>
      <c r="M1655">
        <v>38000</v>
      </c>
      <c r="N1655">
        <v>59000</v>
      </c>
      <c r="O1655">
        <v>97000</v>
      </c>
      <c r="P1655" t="s">
        <v>22</v>
      </c>
      <c r="Q1655" t="s">
        <v>2357</v>
      </c>
      <c r="R1655" t="s">
        <v>82</v>
      </c>
      <c r="S1655">
        <v>5</v>
      </c>
      <c r="T1655" t="s">
        <v>24</v>
      </c>
      <c r="U1655" t="s">
        <v>2410</v>
      </c>
      <c r="V1655">
        <v>2024</v>
      </c>
      <c r="W1655">
        <v>10</v>
      </c>
    </row>
    <row r="1656" spans="1:23" x14ac:dyDescent="0.25">
      <c r="A1656" t="s">
        <v>467</v>
      </c>
      <c r="B1656">
        <v>45590.049872685187</v>
      </c>
      <c r="C1656" t="s">
        <v>468</v>
      </c>
      <c r="D1656" t="s">
        <v>163</v>
      </c>
      <c r="E1656" t="s">
        <v>144</v>
      </c>
      <c r="F1656" t="s">
        <v>2396</v>
      </c>
      <c r="G1656" t="s">
        <v>2379</v>
      </c>
      <c r="H1656">
        <v>18000</v>
      </c>
      <c r="I1656">
        <v>1</v>
      </c>
      <c r="J1656">
        <v>10</v>
      </c>
      <c r="K1656">
        <v>18000</v>
      </c>
      <c r="L1656">
        <v>1800</v>
      </c>
      <c r="M1656">
        <v>16200</v>
      </c>
      <c r="N1656">
        <v>50000</v>
      </c>
      <c r="O1656">
        <v>66200</v>
      </c>
      <c r="P1656" t="s">
        <v>35</v>
      </c>
      <c r="Q1656" t="s">
        <v>2357</v>
      </c>
      <c r="R1656" t="s">
        <v>36</v>
      </c>
      <c r="S1656">
        <v>4</v>
      </c>
      <c r="T1656" t="s">
        <v>24</v>
      </c>
      <c r="U1656" t="s">
        <v>2410</v>
      </c>
      <c r="V1656">
        <v>2024</v>
      </c>
      <c r="W1656">
        <v>10</v>
      </c>
    </row>
    <row r="1657" spans="1:23" x14ac:dyDescent="0.25">
      <c r="A1657" t="s">
        <v>469</v>
      </c>
      <c r="B1657">
        <v>45590.060011574067</v>
      </c>
      <c r="C1657" t="s">
        <v>470</v>
      </c>
      <c r="D1657" t="s">
        <v>116</v>
      </c>
      <c r="E1657" t="s">
        <v>110</v>
      </c>
      <c r="F1657" t="s">
        <v>2395</v>
      </c>
      <c r="G1657" t="s">
        <v>2379</v>
      </c>
      <c r="H1657">
        <v>6000</v>
      </c>
      <c r="I1657">
        <v>4</v>
      </c>
      <c r="J1657">
        <v>5</v>
      </c>
      <c r="K1657">
        <v>24000</v>
      </c>
      <c r="L1657">
        <v>1200</v>
      </c>
      <c r="M1657">
        <v>22800</v>
      </c>
      <c r="N1657">
        <v>72000</v>
      </c>
      <c r="O1657">
        <v>94800</v>
      </c>
      <c r="P1657" t="s">
        <v>63</v>
      </c>
      <c r="Q1657" t="s">
        <v>2357</v>
      </c>
      <c r="R1657" t="s">
        <v>46</v>
      </c>
      <c r="S1657">
        <v>2</v>
      </c>
      <c r="T1657" t="s">
        <v>24</v>
      </c>
      <c r="U1657" t="s">
        <v>2410</v>
      </c>
      <c r="V1657">
        <v>2024</v>
      </c>
      <c r="W1657">
        <v>10</v>
      </c>
    </row>
    <row r="1658" spans="1:23" x14ac:dyDescent="0.25">
      <c r="A1658" t="s">
        <v>471</v>
      </c>
      <c r="B1658">
        <v>45590.070925925917</v>
      </c>
      <c r="C1658" t="s">
        <v>379</v>
      </c>
      <c r="D1658" t="s">
        <v>27</v>
      </c>
      <c r="E1658" t="s">
        <v>136</v>
      </c>
      <c r="F1658" t="s">
        <v>2400</v>
      </c>
      <c r="G1658" t="s">
        <v>2378</v>
      </c>
      <c r="H1658">
        <v>12000</v>
      </c>
      <c r="I1658">
        <v>1</v>
      </c>
      <c r="J1658">
        <v>0</v>
      </c>
      <c r="K1658">
        <v>12000</v>
      </c>
      <c r="L1658">
        <v>0</v>
      </c>
      <c r="M1658">
        <v>12000</v>
      </c>
      <c r="N1658">
        <v>17000</v>
      </c>
      <c r="O1658">
        <v>29000</v>
      </c>
      <c r="P1658" t="s">
        <v>35</v>
      </c>
      <c r="Q1658" t="s">
        <v>2357</v>
      </c>
      <c r="R1658" t="s">
        <v>23</v>
      </c>
      <c r="S1658">
        <v>4</v>
      </c>
      <c r="T1658" t="s">
        <v>24</v>
      </c>
      <c r="U1658" t="s">
        <v>2410</v>
      </c>
      <c r="V1658">
        <v>2024</v>
      </c>
      <c r="W1658">
        <v>10</v>
      </c>
    </row>
    <row r="1659" spans="1:23" x14ac:dyDescent="0.25">
      <c r="A1659" t="s">
        <v>472</v>
      </c>
      <c r="B1659">
        <v>45590.156111111108</v>
      </c>
      <c r="C1659" t="s">
        <v>473</v>
      </c>
      <c r="D1659" t="s">
        <v>122</v>
      </c>
      <c r="E1659" t="s">
        <v>88</v>
      </c>
      <c r="F1659" t="s">
        <v>2393</v>
      </c>
      <c r="G1659" t="s">
        <v>2377</v>
      </c>
      <c r="H1659">
        <v>14000</v>
      </c>
      <c r="I1659">
        <v>4</v>
      </c>
      <c r="J1659">
        <v>5</v>
      </c>
      <c r="K1659">
        <v>56000</v>
      </c>
      <c r="L1659">
        <v>2800</v>
      </c>
      <c r="M1659">
        <v>53200</v>
      </c>
      <c r="N1659">
        <v>78000</v>
      </c>
      <c r="O1659">
        <v>131200</v>
      </c>
      <c r="P1659" t="s">
        <v>29</v>
      </c>
      <c r="Q1659" t="s">
        <v>2356</v>
      </c>
      <c r="R1659" t="s">
        <v>23</v>
      </c>
      <c r="S1659">
        <v>1</v>
      </c>
      <c r="T1659" t="s">
        <v>24</v>
      </c>
      <c r="U1659" t="s">
        <v>2410</v>
      </c>
      <c r="V1659">
        <v>2024</v>
      </c>
      <c r="W1659">
        <v>10</v>
      </c>
    </row>
    <row r="1660" spans="1:23" x14ac:dyDescent="0.25">
      <c r="A1660" t="s">
        <v>474</v>
      </c>
      <c r="B1660">
        <v>45590.454780092587</v>
      </c>
      <c r="C1660" t="s">
        <v>52</v>
      </c>
      <c r="D1660" t="s">
        <v>53</v>
      </c>
      <c r="E1660" t="s">
        <v>34</v>
      </c>
      <c r="F1660" t="s">
        <v>2397</v>
      </c>
      <c r="G1660" t="s">
        <v>2377</v>
      </c>
      <c r="H1660">
        <v>16000</v>
      </c>
      <c r="I1660">
        <v>4</v>
      </c>
      <c r="J1660">
        <v>0</v>
      </c>
      <c r="K1660">
        <v>64000</v>
      </c>
      <c r="L1660">
        <v>0</v>
      </c>
      <c r="M1660">
        <v>64000</v>
      </c>
      <c r="N1660">
        <v>18000</v>
      </c>
      <c r="O1660">
        <v>82000</v>
      </c>
      <c r="P1660" t="s">
        <v>22</v>
      </c>
      <c r="Q1660" t="s">
        <v>2357</v>
      </c>
      <c r="R1660" t="s">
        <v>82</v>
      </c>
      <c r="S1660">
        <v>5</v>
      </c>
      <c r="T1660" t="s">
        <v>24</v>
      </c>
      <c r="U1660" t="s">
        <v>2410</v>
      </c>
      <c r="V1660">
        <v>2024</v>
      </c>
      <c r="W1660">
        <v>10</v>
      </c>
    </row>
    <row r="1661" spans="1:23" x14ac:dyDescent="0.25">
      <c r="A1661" t="s">
        <v>475</v>
      </c>
      <c r="B1661">
        <v>45590.681967592587</v>
      </c>
      <c r="C1661" t="s">
        <v>446</v>
      </c>
      <c r="D1661" t="s">
        <v>296</v>
      </c>
      <c r="E1661" t="s">
        <v>21</v>
      </c>
      <c r="F1661" t="s">
        <v>2394</v>
      </c>
      <c r="G1661" t="s">
        <v>2379</v>
      </c>
      <c r="H1661">
        <v>45000</v>
      </c>
      <c r="I1661">
        <v>2</v>
      </c>
      <c r="J1661">
        <v>0</v>
      </c>
      <c r="K1661">
        <v>90000</v>
      </c>
      <c r="L1661">
        <v>0</v>
      </c>
      <c r="M1661">
        <v>90000</v>
      </c>
      <c r="N1661">
        <v>79000</v>
      </c>
      <c r="O1661">
        <v>169000</v>
      </c>
      <c r="P1661" t="s">
        <v>29</v>
      </c>
      <c r="Q1661" t="s">
        <v>2357</v>
      </c>
      <c r="R1661" t="s">
        <v>82</v>
      </c>
      <c r="S1661">
        <v>5</v>
      </c>
      <c r="T1661" t="s">
        <v>37</v>
      </c>
      <c r="U1661" t="s">
        <v>2410</v>
      </c>
      <c r="V1661">
        <v>2024</v>
      </c>
      <c r="W1661">
        <v>10</v>
      </c>
    </row>
    <row r="1662" spans="1:23" x14ac:dyDescent="0.25">
      <c r="A1662" t="s">
        <v>476</v>
      </c>
      <c r="B1662">
        <v>45590.768460648149</v>
      </c>
      <c r="C1662" t="s">
        <v>477</v>
      </c>
      <c r="D1662" t="s">
        <v>182</v>
      </c>
      <c r="E1662" t="s">
        <v>75</v>
      </c>
      <c r="F1662" t="s">
        <v>2398</v>
      </c>
      <c r="G1662" t="s">
        <v>2379</v>
      </c>
      <c r="H1662">
        <v>55000</v>
      </c>
      <c r="I1662">
        <v>5</v>
      </c>
      <c r="J1662">
        <v>5</v>
      </c>
      <c r="K1662">
        <v>275000</v>
      </c>
      <c r="L1662">
        <v>13750</v>
      </c>
      <c r="M1662">
        <v>261250</v>
      </c>
      <c r="N1662">
        <v>48000</v>
      </c>
      <c r="O1662">
        <v>309250</v>
      </c>
      <c r="P1662" t="s">
        <v>35</v>
      </c>
      <c r="Q1662" t="s">
        <v>2356</v>
      </c>
      <c r="R1662" t="s">
        <v>82</v>
      </c>
      <c r="S1662">
        <v>1</v>
      </c>
      <c r="T1662" t="s">
        <v>24</v>
      </c>
      <c r="U1662" t="s">
        <v>2410</v>
      </c>
      <c r="V1662">
        <v>2024</v>
      </c>
      <c r="W1662">
        <v>10</v>
      </c>
    </row>
    <row r="1663" spans="1:23" x14ac:dyDescent="0.25">
      <c r="A1663" t="s">
        <v>478</v>
      </c>
      <c r="B1663">
        <v>45590.867025462961</v>
      </c>
      <c r="C1663" t="s">
        <v>479</v>
      </c>
      <c r="D1663" t="s">
        <v>107</v>
      </c>
      <c r="E1663" t="s">
        <v>81</v>
      </c>
      <c r="F1663" t="s">
        <v>2397</v>
      </c>
      <c r="G1663" t="s">
        <v>2378</v>
      </c>
      <c r="H1663">
        <v>17000</v>
      </c>
      <c r="I1663">
        <v>3</v>
      </c>
      <c r="J1663">
        <v>15</v>
      </c>
      <c r="K1663">
        <v>51000</v>
      </c>
      <c r="L1663">
        <v>7650</v>
      </c>
      <c r="M1663">
        <v>43350</v>
      </c>
      <c r="N1663">
        <v>97000</v>
      </c>
      <c r="O1663">
        <v>140350</v>
      </c>
      <c r="P1663" t="s">
        <v>63</v>
      </c>
      <c r="Q1663" t="s">
        <v>2357</v>
      </c>
      <c r="R1663" t="s">
        <v>36</v>
      </c>
      <c r="S1663">
        <v>5</v>
      </c>
      <c r="T1663" t="s">
        <v>37</v>
      </c>
      <c r="U1663" t="s">
        <v>2410</v>
      </c>
      <c r="V1663">
        <v>2024</v>
      </c>
      <c r="W1663">
        <v>10</v>
      </c>
    </row>
    <row r="1664" spans="1:23" x14ac:dyDescent="0.25">
      <c r="A1664" t="s">
        <v>480</v>
      </c>
      <c r="B1664">
        <v>45590.888842592591</v>
      </c>
      <c r="C1664" t="s">
        <v>377</v>
      </c>
      <c r="D1664" t="s">
        <v>182</v>
      </c>
      <c r="E1664" t="s">
        <v>123</v>
      </c>
      <c r="F1664" t="s">
        <v>2399</v>
      </c>
      <c r="G1664" t="s">
        <v>2377</v>
      </c>
      <c r="H1664">
        <v>22000</v>
      </c>
      <c r="I1664">
        <v>5</v>
      </c>
      <c r="J1664">
        <v>10</v>
      </c>
      <c r="K1664">
        <v>110000</v>
      </c>
      <c r="L1664">
        <v>11000</v>
      </c>
      <c r="M1664">
        <v>99000</v>
      </c>
      <c r="N1664">
        <v>48000</v>
      </c>
      <c r="O1664">
        <v>147000</v>
      </c>
      <c r="P1664" t="s">
        <v>22</v>
      </c>
      <c r="Q1664" t="s">
        <v>2357</v>
      </c>
      <c r="R1664" t="s">
        <v>82</v>
      </c>
      <c r="S1664">
        <v>3</v>
      </c>
      <c r="T1664" t="s">
        <v>24</v>
      </c>
      <c r="U1664" t="s">
        <v>2410</v>
      </c>
      <c r="V1664">
        <v>2024</v>
      </c>
      <c r="W1664">
        <v>10</v>
      </c>
    </row>
    <row r="1665" spans="1:23" x14ac:dyDescent="0.25">
      <c r="A1665" t="s">
        <v>481</v>
      </c>
      <c r="B1665">
        <v>45590.895532407398</v>
      </c>
      <c r="C1665" t="s">
        <v>184</v>
      </c>
      <c r="D1665" t="s">
        <v>103</v>
      </c>
      <c r="E1665" t="s">
        <v>123</v>
      </c>
      <c r="F1665" t="s">
        <v>2399</v>
      </c>
      <c r="G1665" t="s">
        <v>2377</v>
      </c>
      <c r="H1665">
        <v>22000</v>
      </c>
      <c r="I1665">
        <v>3</v>
      </c>
      <c r="J1665">
        <v>0</v>
      </c>
      <c r="K1665">
        <v>66000</v>
      </c>
      <c r="L1665">
        <v>0</v>
      </c>
      <c r="M1665">
        <v>66000</v>
      </c>
      <c r="N1665">
        <v>85000</v>
      </c>
      <c r="O1665">
        <v>151000</v>
      </c>
      <c r="P1665" t="s">
        <v>35</v>
      </c>
      <c r="Q1665" t="s">
        <v>2357</v>
      </c>
      <c r="R1665" t="s">
        <v>23</v>
      </c>
      <c r="S1665">
        <v>1</v>
      </c>
      <c r="T1665" t="s">
        <v>24</v>
      </c>
      <c r="U1665" t="s">
        <v>2410</v>
      </c>
      <c r="V1665">
        <v>2024</v>
      </c>
      <c r="W1665">
        <v>10</v>
      </c>
    </row>
    <row r="1666" spans="1:23" x14ac:dyDescent="0.25">
      <c r="A1666" t="s">
        <v>482</v>
      </c>
      <c r="B1666">
        <v>45591.019918981481</v>
      </c>
      <c r="C1666" t="s">
        <v>483</v>
      </c>
      <c r="D1666" t="s">
        <v>170</v>
      </c>
      <c r="E1666" t="s">
        <v>54</v>
      </c>
      <c r="F1666" t="s">
        <v>2393</v>
      </c>
      <c r="G1666" t="s">
        <v>2379</v>
      </c>
      <c r="H1666">
        <v>16000</v>
      </c>
      <c r="I1666">
        <v>5</v>
      </c>
      <c r="J1666">
        <v>10</v>
      </c>
      <c r="K1666">
        <v>80000</v>
      </c>
      <c r="L1666">
        <v>8000</v>
      </c>
      <c r="M1666">
        <v>72000</v>
      </c>
      <c r="N1666">
        <v>46000</v>
      </c>
      <c r="O1666">
        <v>118000</v>
      </c>
      <c r="P1666" t="s">
        <v>29</v>
      </c>
      <c r="Q1666" t="s">
        <v>2357</v>
      </c>
      <c r="R1666" t="s">
        <v>30</v>
      </c>
      <c r="S1666">
        <v>4</v>
      </c>
      <c r="T1666" t="s">
        <v>24</v>
      </c>
      <c r="U1666" t="s">
        <v>2410</v>
      </c>
      <c r="V1666">
        <v>2024</v>
      </c>
      <c r="W1666">
        <v>10</v>
      </c>
    </row>
    <row r="1667" spans="1:23" x14ac:dyDescent="0.25">
      <c r="A1667" t="s">
        <v>484</v>
      </c>
      <c r="B1667">
        <v>45591.140474537038</v>
      </c>
      <c r="C1667" t="s">
        <v>201</v>
      </c>
      <c r="D1667" t="s">
        <v>107</v>
      </c>
      <c r="E1667" t="s">
        <v>190</v>
      </c>
      <c r="F1667" t="s">
        <v>2392</v>
      </c>
      <c r="G1667" t="s">
        <v>2378</v>
      </c>
      <c r="H1667">
        <v>35000</v>
      </c>
      <c r="I1667">
        <v>1</v>
      </c>
      <c r="J1667">
        <v>15</v>
      </c>
      <c r="K1667">
        <v>35000</v>
      </c>
      <c r="L1667">
        <v>5250</v>
      </c>
      <c r="M1667">
        <v>29750</v>
      </c>
      <c r="N1667">
        <v>97000</v>
      </c>
      <c r="O1667">
        <v>126750</v>
      </c>
      <c r="P1667" t="s">
        <v>63</v>
      </c>
      <c r="Q1667" t="s">
        <v>2357</v>
      </c>
      <c r="R1667" t="s">
        <v>46</v>
      </c>
      <c r="S1667">
        <v>5</v>
      </c>
      <c r="T1667" t="s">
        <v>24</v>
      </c>
      <c r="U1667" t="s">
        <v>2410</v>
      </c>
      <c r="V1667">
        <v>2024</v>
      </c>
      <c r="W1667">
        <v>10</v>
      </c>
    </row>
    <row r="1668" spans="1:23" x14ac:dyDescent="0.25">
      <c r="A1668" t="s">
        <v>485</v>
      </c>
      <c r="B1668">
        <v>45591.467962962961</v>
      </c>
      <c r="C1668" t="s">
        <v>486</v>
      </c>
      <c r="D1668" t="s">
        <v>182</v>
      </c>
      <c r="E1668" t="s">
        <v>123</v>
      </c>
      <c r="F1668" t="s">
        <v>2399</v>
      </c>
      <c r="G1668" t="s">
        <v>2377</v>
      </c>
      <c r="H1668">
        <v>22000</v>
      </c>
      <c r="I1668">
        <v>3</v>
      </c>
      <c r="J1668">
        <v>0</v>
      </c>
      <c r="K1668">
        <v>66000</v>
      </c>
      <c r="L1668">
        <v>0</v>
      </c>
      <c r="M1668">
        <v>66000</v>
      </c>
      <c r="N1668">
        <v>48000</v>
      </c>
      <c r="O1668">
        <v>114000</v>
      </c>
      <c r="P1668" t="s">
        <v>63</v>
      </c>
      <c r="Q1668" t="s">
        <v>2357</v>
      </c>
      <c r="R1668" t="s">
        <v>36</v>
      </c>
      <c r="S1668">
        <v>2</v>
      </c>
      <c r="T1668" t="s">
        <v>24</v>
      </c>
      <c r="U1668" t="s">
        <v>2410</v>
      </c>
      <c r="V1668">
        <v>2024</v>
      </c>
      <c r="W1668">
        <v>10</v>
      </c>
    </row>
    <row r="1669" spans="1:23" x14ac:dyDescent="0.25">
      <c r="A1669" t="s">
        <v>487</v>
      </c>
      <c r="B1669">
        <v>45591.748981481483</v>
      </c>
      <c r="C1669" t="s">
        <v>488</v>
      </c>
      <c r="D1669" t="s">
        <v>49</v>
      </c>
      <c r="E1669" t="s">
        <v>62</v>
      </c>
      <c r="F1669" t="s">
        <v>2398</v>
      </c>
      <c r="G1669" t="s">
        <v>2378</v>
      </c>
      <c r="H1669">
        <v>50000</v>
      </c>
      <c r="I1669">
        <v>5</v>
      </c>
      <c r="J1669">
        <v>15</v>
      </c>
      <c r="K1669">
        <v>250000</v>
      </c>
      <c r="L1669">
        <v>37500</v>
      </c>
      <c r="M1669">
        <v>212500</v>
      </c>
      <c r="N1669">
        <v>43000</v>
      </c>
      <c r="O1669">
        <v>255500</v>
      </c>
      <c r="P1669" t="s">
        <v>35</v>
      </c>
      <c r="Q1669" t="s">
        <v>2357</v>
      </c>
      <c r="R1669" t="s">
        <v>36</v>
      </c>
      <c r="S1669">
        <v>5</v>
      </c>
      <c r="T1669" t="s">
        <v>24</v>
      </c>
      <c r="U1669" t="s">
        <v>2410</v>
      </c>
      <c r="V1669">
        <v>2024</v>
      </c>
      <c r="W1669">
        <v>10</v>
      </c>
    </row>
    <row r="1670" spans="1:23" x14ac:dyDescent="0.25">
      <c r="A1670" t="s">
        <v>489</v>
      </c>
      <c r="B1670">
        <v>45591.931064814817</v>
      </c>
      <c r="C1670" t="s">
        <v>203</v>
      </c>
      <c r="D1670" t="s">
        <v>20</v>
      </c>
      <c r="E1670" t="s">
        <v>136</v>
      </c>
      <c r="F1670" t="s">
        <v>2400</v>
      </c>
      <c r="G1670" t="s">
        <v>2378</v>
      </c>
      <c r="H1670">
        <v>12000</v>
      </c>
      <c r="I1670">
        <v>1</v>
      </c>
      <c r="J1670">
        <v>0</v>
      </c>
      <c r="K1670">
        <v>12000</v>
      </c>
      <c r="L1670">
        <v>0</v>
      </c>
      <c r="M1670">
        <v>12000</v>
      </c>
      <c r="N1670">
        <v>15000</v>
      </c>
      <c r="O1670">
        <v>27000</v>
      </c>
      <c r="P1670" t="s">
        <v>22</v>
      </c>
      <c r="Q1670" t="s">
        <v>2357</v>
      </c>
      <c r="R1670" t="s">
        <v>30</v>
      </c>
      <c r="S1670">
        <v>5</v>
      </c>
      <c r="T1670" t="s">
        <v>24</v>
      </c>
      <c r="U1670" t="s">
        <v>2410</v>
      </c>
      <c r="V1670">
        <v>2024</v>
      </c>
      <c r="W1670">
        <v>10</v>
      </c>
    </row>
    <row r="1671" spans="1:23" x14ac:dyDescent="0.25">
      <c r="A1671" t="s">
        <v>490</v>
      </c>
      <c r="B1671">
        <v>45591.96943287037</v>
      </c>
      <c r="C1671" t="s">
        <v>181</v>
      </c>
      <c r="D1671" t="s">
        <v>182</v>
      </c>
      <c r="E1671" t="s">
        <v>75</v>
      </c>
      <c r="F1671" t="s">
        <v>2398</v>
      </c>
      <c r="G1671" t="s">
        <v>2379</v>
      </c>
      <c r="H1671">
        <v>55000</v>
      </c>
      <c r="I1671">
        <v>3</v>
      </c>
      <c r="J1671">
        <v>0</v>
      </c>
      <c r="K1671">
        <v>165000</v>
      </c>
      <c r="L1671">
        <v>0</v>
      </c>
      <c r="M1671">
        <v>165000</v>
      </c>
      <c r="N1671">
        <v>48000</v>
      </c>
      <c r="O1671">
        <v>213000</v>
      </c>
      <c r="P1671" t="s">
        <v>63</v>
      </c>
      <c r="Q1671" t="s">
        <v>2357</v>
      </c>
      <c r="R1671" t="s">
        <v>30</v>
      </c>
      <c r="S1671">
        <v>2</v>
      </c>
      <c r="T1671" t="s">
        <v>24</v>
      </c>
      <c r="U1671" t="s">
        <v>2410</v>
      </c>
      <c r="V1671">
        <v>2024</v>
      </c>
      <c r="W1671">
        <v>10</v>
      </c>
    </row>
    <row r="1672" spans="1:23" x14ac:dyDescent="0.25">
      <c r="A1672" t="s">
        <v>491</v>
      </c>
      <c r="B1672">
        <v>45592.29173611111</v>
      </c>
      <c r="C1672" t="s">
        <v>492</v>
      </c>
      <c r="D1672" t="s">
        <v>96</v>
      </c>
      <c r="E1672" t="s">
        <v>21</v>
      </c>
      <c r="F1672" t="s">
        <v>2394</v>
      </c>
      <c r="G1672" t="s">
        <v>2379</v>
      </c>
      <c r="H1672">
        <v>45000</v>
      </c>
      <c r="I1672">
        <v>4</v>
      </c>
      <c r="J1672">
        <v>0</v>
      </c>
      <c r="K1672">
        <v>180000</v>
      </c>
      <c r="L1672">
        <v>0</v>
      </c>
      <c r="M1672">
        <v>180000</v>
      </c>
      <c r="N1672">
        <v>49000</v>
      </c>
      <c r="O1672">
        <v>229000</v>
      </c>
      <c r="P1672" t="s">
        <v>63</v>
      </c>
      <c r="Q1672" t="s">
        <v>2356</v>
      </c>
      <c r="R1672" t="s">
        <v>82</v>
      </c>
      <c r="S1672">
        <v>1</v>
      </c>
      <c r="T1672" t="s">
        <v>37</v>
      </c>
      <c r="U1672" t="s">
        <v>2410</v>
      </c>
      <c r="V1672">
        <v>2024</v>
      </c>
      <c r="W1672">
        <v>10</v>
      </c>
    </row>
    <row r="1673" spans="1:23" x14ac:dyDescent="0.25">
      <c r="A1673" t="s">
        <v>493</v>
      </c>
      <c r="B1673">
        <v>45592.339837962973</v>
      </c>
      <c r="C1673" t="s">
        <v>477</v>
      </c>
      <c r="D1673" t="s">
        <v>182</v>
      </c>
      <c r="E1673" t="s">
        <v>190</v>
      </c>
      <c r="F1673" t="s">
        <v>2392</v>
      </c>
      <c r="G1673" t="s">
        <v>2378</v>
      </c>
      <c r="H1673">
        <v>35000</v>
      </c>
      <c r="I1673">
        <v>2</v>
      </c>
      <c r="J1673">
        <v>10</v>
      </c>
      <c r="K1673">
        <v>70000</v>
      </c>
      <c r="L1673">
        <v>7000</v>
      </c>
      <c r="M1673">
        <v>63000</v>
      </c>
      <c r="N1673">
        <v>48000</v>
      </c>
      <c r="O1673">
        <v>111000</v>
      </c>
      <c r="P1673" t="s">
        <v>35</v>
      </c>
      <c r="Q1673" t="s">
        <v>2357</v>
      </c>
      <c r="R1673" t="s">
        <v>82</v>
      </c>
      <c r="S1673">
        <v>1</v>
      </c>
      <c r="T1673" t="s">
        <v>24</v>
      </c>
      <c r="U1673" t="s">
        <v>2410</v>
      </c>
      <c r="V1673">
        <v>2024</v>
      </c>
      <c r="W1673">
        <v>10</v>
      </c>
    </row>
    <row r="1674" spans="1:23" x14ac:dyDescent="0.25">
      <c r="A1674" t="s">
        <v>494</v>
      </c>
      <c r="B1674">
        <v>45592.706921296303</v>
      </c>
      <c r="C1674" t="s">
        <v>495</v>
      </c>
      <c r="D1674" t="s">
        <v>44</v>
      </c>
      <c r="E1674" t="s">
        <v>45</v>
      </c>
      <c r="F1674" t="s">
        <v>2394</v>
      </c>
      <c r="G1674" t="s">
        <v>2378</v>
      </c>
      <c r="H1674">
        <v>40000</v>
      </c>
      <c r="I1674">
        <v>5</v>
      </c>
      <c r="J1674">
        <v>0</v>
      </c>
      <c r="K1674">
        <v>200000</v>
      </c>
      <c r="L1674">
        <v>0</v>
      </c>
      <c r="M1674">
        <v>200000</v>
      </c>
      <c r="N1674">
        <v>93000</v>
      </c>
      <c r="O1674">
        <v>293000</v>
      </c>
      <c r="P1674" t="s">
        <v>22</v>
      </c>
      <c r="Q1674" t="s">
        <v>2357</v>
      </c>
      <c r="R1674" t="s">
        <v>23</v>
      </c>
      <c r="S1674">
        <v>2</v>
      </c>
      <c r="T1674" t="s">
        <v>37</v>
      </c>
      <c r="U1674" t="s">
        <v>2410</v>
      </c>
      <c r="V1674">
        <v>2024</v>
      </c>
      <c r="W1674">
        <v>10</v>
      </c>
    </row>
    <row r="1675" spans="1:23" x14ac:dyDescent="0.25">
      <c r="A1675" t="s">
        <v>496</v>
      </c>
      <c r="B1675">
        <v>45592.76121527778</v>
      </c>
      <c r="C1675" t="s">
        <v>497</v>
      </c>
      <c r="D1675" t="s">
        <v>173</v>
      </c>
      <c r="E1675" t="s">
        <v>85</v>
      </c>
      <c r="F1675" t="s">
        <v>2394</v>
      </c>
      <c r="G1675" t="s">
        <v>2377</v>
      </c>
      <c r="H1675">
        <v>35000</v>
      </c>
      <c r="I1675">
        <v>5</v>
      </c>
      <c r="J1675">
        <v>10</v>
      </c>
      <c r="K1675">
        <v>175000</v>
      </c>
      <c r="L1675">
        <v>17500</v>
      </c>
      <c r="M1675">
        <v>157500</v>
      </c>
      <c r="N1675">
        <v>49000</v>
      </c>
      <c r="O1675">
        <v>206500</v>
      </c>
      <c r="P1675" t="s">
        <v>22</v>
      </c>
      <c r="Q1675" t="s">
        <v>2356</v>
      </c>
      <c r="R1675" t="s">
        <v>23</v>
      </c>
      <c r="S1675">
        <v>1</v>
      </c>
      <c r="T1675" t="s">
        <v>37</v>
      </c>
      <c r="U1675" t="s">
        <v>2410</v>
      </c>
      <c r="V1675">
        <v>2024</v>
      </c>
      <c r="W1675">
        <v>10</v>
      </c>
    </row>
    <row r="1676" spans="1:23" x14ac:dyDescent="0.25">
      <c r="A1676" t="s">
        <v>498</v>
      </c>
      <c r="B1676">
        <v>45593.106770833343</v>
      </c>
      <c r="C1676" t="s">
        <v>499</v>
      </c>
      <c r="D1676" t="s">
        <v>131</v>
      </c>
      <c r="E1676" t="s">
        <v>28</v>
      </c>
      <c r="F1676" t="s">
        <v>2395</v>
      </c>
      <c r="G1676" t="s">
        <v>2378</v>
      </c>
      <c r="H1676">
        <v>5000</v>
      </c>
      <c r="I1676">
        <v>4</v>
      </c>
      <c r="J1676">
        <v>0</v>
      </c>
      <c r="K1676">
        <v>20000</v>
      </c>
      <c r="L1676">
        <v>0</v>
      </c>
      <c r="M1676">
        <v>20000</v>
      </c>
      <c r="N1676">
        <v>59000</v>
      </c>
      <c r="O1676">
        <v>79000</v>
      </c>
      <c r="P1676" t="s">
        <v>29</v>
      </c>
      <c r="Q1676" t="s">
        <v>2357</v>
      </c>
      <c r="R1676" t="s">
        <v>36</v>
      </c>
      <c r="S1676">
        <v>5</v>
      </c>
      <c r="T1676" t="s">
        <v>24</v>
      </c>
      <c r="U1676" t="s">
        <v>2410</v>
      </c>
      <c r="V1676">
        <v>2024</v>
      </c>
      <c r="W1676">
        <v>10</v>
      </c>
    </row>
    <row r="1677" spans="1:23" x14ac:dyDescent="0.25">
      <c r="A1677" t="s">
        <v>500</v>
      </c>
      <c r="B1677">
        <v>45593.151678240742</v>
      </c>
      <c r="C1677" t="s">
        <v>153</v>
      </c>
      <c r="D1677" t="s">
        <v>103</v>
      </c>
      <c r="E1677" t="s">
        <v>250</v>
      </c>
      <c r="F1677" t="s">
        <v>2397</v>
      </c>
      <c r="G1677" t="s">
        <v>2379</v>
      </c>
      <c r="H1677">
        <v>18000</v>
      </c>
      <c r="I1677">
        <v>2</v>
      </c>
      <c r="J1677">
        <v>10</v>
      </c>
      <c r="K1677">
        <v>36000</v>
      </c>
      <c r="L1677">
        <v>3600</v>
      </c>
      <c r="M1677">
        <v>32400</v>
      </c>
      <c r="N1677">
        <v>85000</v>
      </c>
      <c r="O1677">
        <v>117400</v>
      </c>
      <c r="P1677" t="s">
        <v>29</v>
      </c>
      <c r="Q1677" t="s">
        <v>2357</v>
      </c>
      <c r="R1677" t="s">
        <v>30</v>
      </c>
      <c r="S1677">
        <v>1</v>
      </c>
      <c r="T1677" t="s">
        <v>37</v>
      </c>
      <c r="U1677" t="s">
        <v>2410</v>
      </c>
      <c r="V1677">
        <v>2024</v>
      </c>
      <c r="W1677">
        <v>10</v>
      </c>
    </row>
    <row r="1678" spans="1:23" x14ac:dyDescent="0.25">
      <c r="A1678" t="s">
        <v>501</v>
      </c>
      <c r="B1678">
        <v>45593.403321759259</v>
      </c>
      <c r="C1678" t="s">
        <v>502</v>
      </c>
      <c r="D1678" t="s">
        <v>107</v>
      </c>
      <c r="E1678" t="s">
        <v>41</v>
      </c>
      <c r="F1678" t="s">
        <v>2395</v>
      </c>
      <c r="G1678" t="s">
        <v>2377</v>
      </c>
      <c r="H1678">
        <v>4000</v>
      </c>
      <c r="I1678">
        <v>4</v>
      </c>
      <c r="J1678">
        <v>0</v>
      </c>
      <c r="K1678">
        <v>16000</v>
      </c>
      <c r="L1678">
        <v>0</v>
      </c>
      <c r="M1678">
        <v>16000</v>
      </c>
      <c r="N1678">
        <v>97000</v>
      </c>
      <c r="O1678">
        <v>113000</v>
      </c>
      <c r="P1678" t="s">
        <v>63</v>
      </c>
      <c r="Q1678" t="s">
        <v>2357</v>
      </c>
      <c r="R1678" t="s">
        <v>82</v>
      </c>
      <c r="S1678">
        <v>2</v>
      </c>
      <c r="T1678" t="s">
        <v>24</v>
      </c>
      <c r="U1678" t="s">
        <v>2410</v>
      </c>
      <c r="V1678">
        <v>2024</v>
      </c>
      <c r="W1678">
        <v>10</v>
      </c>
    </row>
    <row r="1679" spans="1:23" x14ac:dyDescent="0.25">
      <c r="A1679" t="s">
        <v>503</v>
      </c>
      <c r="B1679">
        <v>45594.145104166673</v>
      </c>
      <c r="C1679" t="s">
        <v>504</v>
      </c>
      <c r="D1679" t="s">
        <v>195</v>
      </c>
      <c r="E1679" t="s">
        <v>41</v>
      </c>
      <c r="F1679" t="s">
        <v>2395</v>
      </c>
      <c r="G1679" t="s">
        <v>2377</v>
      </c>
      <c r="H1679">
        <v>4000</v>
      </c>
      <c r="I1679">
        <v>3</v>
      </c>
      <c r="J1679">
        <v>20</v>
      </c>
      <c r="K1679">
        <v>12000</v>
      </c>
      <c r="L1679">
        <v>2400</v>
      </c>
      <c r="M1679">
        <v>9600</v>
      </c>
      <c r="N1679">
        <v>87000</v>
      </c>
      <c r="O1679">
        <v>96600</v>
      </c>
      <c r="P1679" t="s">
        <v>35</v>
      </c>
      <c r="Q1679" t="s">
        <v>2359</v>
      </c>
      <c r="R1679" t="s">
        <v>23</v>
      </c>
      <c r="S1679">
        <v>4</v>
      </c>
      <c r="T1679" t="s">
        <v>24</v>
      </c>
      <c r="U1679" t="s">
        <v>2410</v>
      </c>
      <c r="V1679">
        <v>2024</v>
      </c>
      <c r="W1679">
        <v>10</v>
      </c>
    </row>
    <row r="1680" spans="1:23" x14ac:dyDescent="0.25">
      <c r="A1680" t="s">
        <v>505</v>
      </c>
      <c r="B1680">
        <v>45594.350405092591</v>
      </c>
      <c r="C1680" t="s">
        <v>281</v>
      </c>
      <c r="D1680" t="s">
        <v>151</v>
      </c>
      <c r="E1680" t="s">
        <v>144</v>
      </c>
      <c r="F1680" t="s">
        <v>2396</v>
      </c>
      <c r="G1680" t="s">
        <v>2379</v>
      </c>
      <c r="H1680">
        <v>18000</v>
      </c>
      <c r="I1680">
        <v>3</v>
      </c>
      <c r="J1680">
        <v>10</v>
      </c>
      <c r="K1680">
        <v>54000</v>
      </c>
      <c r="L1680">
        <v>5400</v>
      </c>
      <c r="M1680">
        <v>48600</v>
      </c>
      <c r="N1680">
        <v>55000</v>
      </c>
      <c r="O1680">
        <v>103600</v>
      </c>
      <c r="P1680" t="s">
        <v>35</v>
      </c>
      <c r="Q1680" t="s">
        <v>2357</v>
      </c>
      <c r="R1680" t="s">
        <v>36</v>
      </c>
      <c r="S1680">
        <v>3</v>
      </c>
      <c r="T1680" t="s">
        <v>24</v>
      </c>
      <c r="U1680" t="s">
        <v>2410</v>
      </c>
      <c r="V1680">
        <v>2024</v>
      </c>
      <c r="W1680">
        <v>10</v>
      </c>
    </row>
    <row r="1681" spans="1:23" x14ac:dyDescent="0.25">
      <c r="A1681" t="s">
        <v>506</v>
      </c>
      <c r="B1681">
        <v>45594.41207175926</v>
      </c>
      <c r="C1681" t="s">
        <v>203</v>
      </c>
      <c r="D1681" t="s">
        <v>20</v>
      </c>
      <c r="E1681" t="s">
        <v>50</v>
      </c>
      <c r="F1681" t="s">
        <v>2400</v>
      </c>
      <c r="G1681" t="s">
        <v>2379</v>
      </c>
      <c r="H1681">
        <v>14000</v>
      </c>
      <c r="I1681">
        <v>4</v>
      </c>
      <c r="J1681">
        <v>10</v>
      </c>
      <c r="K1681">
        <v>56000</v>
      </c>
      <c r="L1681">
        <v>5600</v>
      </c>
      <c r="M1681">
        <v>50400</v>
      </c>
      <c r="N1681">
        <v>15000</v>
      </c>
      <c r="O1681">
        <v>65400</v>
      </c>
      <c r="P1681" t="s">
        <v>63</v>
      </c>
      <c r="Q1681" t="s">
        <v>2359</v>
      </c>
      <c r="R1681" t="s">
        <v>82</v>
      </c>
      <c r="S1681">
        <v>2</v>
      </c>
      <c r="T1681" t="s">
        <v>24</v>
      </c>
      <c r="U1681" t="s">
        <v>2410</v>
      </c>
      <c r="V1681">
        <v>2024</v>
      </c>
      <c r="W1681">
        <v>10</v>
      </c>
    </row>
    <row r="1682" spans="1:23" x14ac:dyDescent="0.25">
      <c r="A1682" t="s">
        <v>507</v>
      </c>
      <c r="B1682">
        <v>45594.518923611111</v>
      </c>
      <c r="C1682" t="s">
        <v>508</v>
      </c>
      <c r="D1682" t="s">
        <v>20</v>
      </c>
      <c r="E1682" t="s">
        <v>174</v>
      </c>
      <c r="F1682" t="s">
        <v>2400</v>
      </c>
      <c r="G1682" t="s">
        <v>2377</v>
      </c>
      <c r="H1682">
        <v>10000</v>
      </c>
      <c r="I1682">
        <v>4</v>
      </c>
      <c r="J1682">
        <v>10</v>
      </c>
      <c r="K1682">
        <v>40000</v>
      </c>
      <c r="L1682">
        <v>4000</v>
      </c>
      <c r="M1682">
        <v>36000</v>
      </c>
      <c r="N1682">
        <v>15000</v>
      </c>
      <c r="O1682">
        <v>51000</v>
      </c>
      <c r="P1682" t="s">
        <v>63</v>
      </c>
      <c r="Q1682" t="s">
        <v>2357</v>
      </c>
      <c r="R1682" t="s">
        <v>36</v>
      </c>
      <c r="S1682">
        <v>5</v>
      </c>
      <c r="T1682" t="s">
        <v>37</v>
      </c>
      <c r="U1682" t="s">
        <v>2410</v>
      </c>
      <c r="V1682">
        <v>2024</v>
      </c>
      <c r="W1682">
        <v>10</v>
      </c>
    </row>
    <row r="1683" spans="1:23" x14ac:dyDescent="0.25">
      <c r="A1683" t="s">
        <v>509</v>
      </c>
      <c r="B1683">
        <v>45594.764247685183</v>
      </c>
      <c r="C1683" t="s">
        <v>510</v>
      </c>
      <c r="D1683" t="s">
        <v>96</v>
      </c>
      <c r="E1683" t="s">
        <v>81</v>
      </c>
      <c r="F1683" t="s">
        <v>2397</v>
      </c>
      <c r="G1683" t="s">
        <v>2378</v>
      </c>
      <c r="H1683">
        <v>17000</v>
      </c>
      <c r="I1683">
        <v>2</v>
      </c>
      <c r="J1683">
        <v>0</v>
      </c>
      <c r="K1683">
        <v>34000</v>
      </c>
      <c r="L1683">
        <v>0</v>
      </c>
      <c r="M1683">
        <v>34000</v>
      </c>
      <c r="N1683">
        <v>49000</v>
      </c>
      <c r="O1683">
        <v>83000</v>
      </c>
      <c r="P1683" t="s">
        <v>22</v>
      </c>
      <c r="Q1683" t="s">
        <v>2357</v>
      </c>
      <c r="R1683" t="s">
        <v>23</v>
      </c>
      <c r="S1683">
        <v>4</v>
      </c>
      <c r="T1683" t="s">
        <v>24</v>
      </c>
      <c r="U1683" t="s">
        <v>2410</v>
      </c>
      <c r="V1683">
        <v>2024</v>
      </c>
      <c r="W1683">
        <v>10</v>
      </c>
    </row>
    <row r="1684" spans="1:23" x14ac:dyDescent="0.25">
      <c r="A1684" t="s">
        <v>511</v>
      </c>
      <c r="B1684">
        <v>45594.980034722219</v>
      </c>
      <c r="C1684" t="s">
        <v>26</v>
      </c>
      <c r="D1684" t="s">
        <v>27</v>
      </c>
      <c r="E1684" t="s">
        <v>67</v>
      </c>
      <c r="F1684" t="s">
        <v>2393</v>
      </c>
      <c r="G1684" t="s">
        <v>2378</v>
      </c>
      <c r="H1684">
        <v>15000</v>
      </c>
      <c r="I1684">
        <v>4</v>
      </c>
      <c r="J1684">
        <v>10</v>
      </c>
      <c r="K1684">
        <v>60000</v>
      </c>
      <c r="L1684">
        <v>6000</v>
      </c>
      <c r="M1684">
        <v>54000</v>
      </c>
      <c r="N1684">
        <v>17000</v>
      </c>
      <c r="O1684">
        <v>71000</v>
      </c>
      <c r="P1684" t="s">
        <v>22</v>
      </c>
      <c r="Q1684" t="s">
        <v>2357</v>
      </c>
      <c r="R1684" t="s">
        <v>46</v>
      </c>
      <c r="S1684">
        <v>2</v>
      </c>
      <c r="T1684" t="s">
        <v>24</v>
      </c>
      <c r="U1684" t="s">
        <v>2410</v>
      </c>
      <c r="V1684">
        <v>2024</v>
      </c>
      <c r="W1684">
        <v>10</v>
      </c>
    </row>
    <row r="1685" spans="1:23" x14ac:dyDescent="0.25">
      <c r="A1685" t="s">
        <v>512</v>
      </c>
      <c r="B1685">
        <v>45595.261643518519</v>
      </c>
      <c r="C1685" t="s">
        <v>513</v>
      </c>
      <c r="D1685" t="s">
        <v>182</v>
      </c>
      <c r="E1685" t="s">
        <v>110</v>
      </c>
      <c r="F1685" t="s">
        <v>2395</v>
      </c>
      <c r="G1685" t="s">
        <v>2379</v>
      </c>
      <c r="H1685">
        <v>6000</v>
      </c>
      <c r="I1685">
        <v>3</v>
      </c>
      <c r="J1685">
        <v>20</v>
      </c>
      <c r="K1685">
        <v>18000</v>
      </c>
      <c r="L1685">
        <v>3600</v>
      </c>
      <c r="M1685">
        <v>14400</v>
      </c>
      <c r="N1685">
        <v>48000</v>
      </c>
      <c r="O1685">
        <v>62400</v>
      </c>
      <c r="P1685" t="s">
        <v>22</v>
      </c>
      <c r="Q1685" t="s">
        <v>2357</v>
      </c>
      <c r="R1685" t="s">
        <v>23</v>
      </c>
      <c r="S1685">
        <v>3</v>
      </c>
      <c r="T1685" t="s">
        <v>24</v>
      </c>
      <c r="U1685" t="s">
        <v>2410</v>
      </c>
      <c r="V1685">
        <v>2024</v>
      </c>
      <c r="W1685">
        <v>10</v>
      </c>
    </row>
    <row r="1686" spans="1:23" x14ac:dyDescent="0.25">
      <c r="A1686" t="s">
        <v>514</v>
      </c>
      <c r="B1686">
        <v>45595.439872685187</v>
      </c>
      <c r="C1686" t="s">
        <v>515</v>
      </c>
      <c r="D1686" t="s">
        <v>182</v>
      </c>
      <c r="E1686" t="s">
        <v>62</v>
      </c>
      <c r="F1686" t="s">
        <v>2398</v>
      </c>
      <c r="G1686" t="s">
        <v>2378</v>
      </c>
      <c r="H1686">
        <v>50000</v>
      </c>
      <c r="I1686">
        <v>1</v>
      </c>
      <c r="J1686">
        <v>5</v>
      </c>
      <c r="K1686">
        <v>50000</v>
      </c>
      <c r="L1686">
        <v>2500</v>
      </c>
      <c r="M1686">
        <v>47500</v>
      </c>
      <c r="N1686">
        <v>48000</v>
      </c>
      <c r="O1686">
        <v>95500</v>
      </c>
      <c r="P1686" t="s">
        <v>22</v>
      </c>
      <c r="Q1686" t="s">
        <v>2357</v>
      </c>
      <c r="R1686" t="s">
        <v>30</v>
      </c>
      <c r="S1686">
        <v>2</v>
      </c>
      <c r="T1686" t="s">
        <v>24</v>
      </c>
      <c r="U1686" t="s">
        <v>2410</v>
      </c>
      <c r="V1686">
        <v>2024</v>
      </c>
      <c r="W1686">
        <v>10</v>
      </c>
    </row>
    <row r="1687" spans="1:23" x14ac:dyDescent="0.25">
      <c r="A1687" t="s">
        <v>516</v>
      </c>
      <c r="B1687">
        <v>45596.643530092602</v>
      </c>
      <c r="C1687" t="s">
        <v>408</v>
      </c>
      <c r="D1687" t="s">
        <v>74</v>
      </c>
      <c r="E1687" t="s">
        <v>41</v>
      </c>
      <c r="F1687" t="s">
        <v>2395</v>
      </c>
      <c r="G1687" t="s">
        <v>2377</v>
      </c>
      <c r="H1687">
        <v>4000</v>
      </c>
      <c r="I1687">
        <v>2</v>
      </c>
      <c r="J1687">
        <v>5</v>
      </c>
      <c r="K1687">
        <v>8000</v>
      </c>
      <c r="L1687">
        <v>400</v>
      </c>
      <c r="M1687">
        <v>7600</v>
      </c>
      <c r="N1687">
        <v>87000</v>
      </c>
      <c r="O1687">
        <v>94600</v>
      </c>
      <c r="P1687" t="s">
        <v>29</v>
      </c>
      <c r="Q1687" t="s">
        <v>2357</v>
      </c>
      <c r="R1687" t="s">
        <v>30</v>
      </c>
      <c r="S1687">
        <v>3</v>
      </c>
      <c r="T1687" t="s">
        <v>24</v>
      </c>
      <c r="U1687" t="s">
        <v>2410</v>
      </c>
      <c r="V1687">
        <v>2024</v>
      </c>
      <c r="W1687">
        <v>10</v>
      </c>
    </row>
    <row r="1688" spans="1:23" x14ac:dyDescent="0.25">
      <c r="A1688" t="s">
        <v>517</v>
      </c>
      <c r="B1688">
        <v>45597.015821759262</v>
      </c>
      <c r="C1688" t="s">
        <v>365</v>
      </c>
      <c r="D1688" t="s">
        <v>61</v>
      </c>
      <c r="E1688" t="s">
        <v>85</v>
      </c>
      <c r="F1688" t="s">
        <v>2394</v>
      </c>
      <c r="G1688" t="s">
        <v>2377</v>
      </c>
      <c r="H1688">
        <v>35000</v>
      </c>
      <c r="I1688">
        <v>2</v>
      </c>
      <c r="J1688">
        <v>0</v>
      </c>
      <c r="K1688">
        <v>70000</v>
      </c>
      <c r="L1688">
        <v>0</v>
      </c>
      <c r="M1688">
        <v>70000</v>
      </c>
      <c r="N1688">
        <v>26000</v>
      </c>
      <c r="O1688">
        <v>96000</v>
      </c>
      <c r="P1688" t="s">
        <v>35</v>
      </c>
      <c r="Q1688" t="s">
        <v>2356</v>
      </c>
      <c r="R1688" t="s">
        <v>23</v>
      </c>
      <c r="S1688">
        <v>2</v>
      </c>
      <c r="T1688" t="s">
        <v>24</v>
      </c>
      <c r="U1688" t="s">
        <v>2411</v>
      </c>
      <c r="V1688">
        <v>2024</v>
      </c>
      <c r="W1688">
        <v>11</v>
      </c>
    </row>
    <row r="1689" spans="1:23" x14ac:dyDescent="0.25">
      <c r="A1689" t="s">
        <v>518</v>
      </c>
      <c r="B1689">
        <v>45597.078587962962</v>
      </c>
      <c r="C1689" t="s">
        <v>87</v>
      </c>
      <c r="D1689" t="s">
        <v>80</v>
      </c>
      <c r="E1689" t="s">
        <v>75</v>
      </c>
      <c r="F1689" t="s">
        <v>2398</v>
      </c>
      <c r="G1689" t="s">
        <v>2379</v>
      </c>
      <c r="H1689">
        <v>55000</v>
      </c>
      <c r="I1689">
        <v>1</v>
      </c>
      <c r="J1689">
        <v>10</v>
      </c>
      <c r="K1689">
        <v>55000</v>
      </c>
      <c r="L1689">
        <v>5500</v>
      </c>
      <c r="M1689">
        <v>49500</v>
      </c>
      <c r="N1689">
        <v>74000</v>
      </c>
      <c r="O1689">
        <v>123500</v>
      </c>
      <c r="P1689" t="s">
        <v>22</v>
      </c>
      <c r="Q1689" t="s">
        <v>2356</v>
      </c>
      <c r="R1689" t="s">
        <v>30</v>
      </c>
      <c r="S1689">
        <v>3</v>
      </c>
      <c r="T1689" t="s">
        <v>24</v>
      </c>
      <c r="U1689" t="s">
        <v>2411</v>
      </c>
      <c r="V1689">
        <v>2024</v>
      </c>
      <c r="W1689">
        <v>11</v>
      </c>
    </row>
    <row r="1690" spans="1:23" x14ac:dyDescent="0.25">
      <c r="A1690" t="s">
        <v>519</v>
      </c>
      <c r="B1690">
        <v>45597.089837962973</v>
      </c>
      <c r="C1690" t="s">
        <v>520</v>
      </c>
      <c r="D1690" t="s">
        <v>103</v>
      </c>
      <c r="E1690" t="s">
        <v>67</v>
      </c>
      <c r="F1690" t="s">
        <v>2393</v>
      </c>
      <c r="G1690" t="s">
        <v>2378</v>
      </c>
      <c r="H1690">
        <v>15000</v>
      </c>
      <c r="I1690">
        <v>1</v>
      </c>
      <c r="J1690">
        <v>5</v>
      </c>
      <c r="K1690">
        <v>15000</v>
      </c>
      <c r="L1690">
        <v>750</v>
      </c>
      <c r="M1690">
        <v>14250</v>
      </c>
      <c r="N1690">
        <v>85000</v>
      </c>
      <c r="O1690">
        <v>99250</v>
      </c>
      <c r="P1690" t="s">
        <v>22</v>
      </c>
      <c r="Q1690" t="s">
        <v>2357</v>
      </c>
      <c r="R1690" t="s">
        <v>36</v>
      </c>
      <c r="S1690">
        <v>5</v>
      </c>
      <c r="T1690" t="s">
        <v>24</v>
      </c>
      <c r="U1690" t="s">
        <v>2411</v>
      </c>
      <c r="V1690">
        <v>2024</v>
      </c>
      <c r="W1690">
        <v>11</v>
      </c>
    </row>
    <row r="1691" spans="1:23" x14ac:dyDescent="0.25">
      <c r="A1691" t="s">
        <v>521</v>
      </c>
      <c r="B1691">
        <v>45597.640682870369</v>
      </c>
      <c r="C1691" t="s">
        <v>285</v>
      </c>
      <c r="D1691" t="s">
        <v>20</v>
      </c>
      <c r="E1691" t="s">
        <v>71</v>
      </c>
      <c r="F1691" t="s">
        <v>2392</v>
      </c>
      <c r="G1691" t="s">
        <v>2379</v>
      </c>
      <c r="H1691">
        <v>40000</v>
      </c>
      <c r="I1691">
        <v>2</v>
      </c>
      <c r="J1691">
        <v>15</v>
      </c>
      <c r="K1691">
        <v>80000</v>
      </c>
      <c r="L1691">
        <v>12000</v>
      </c>
      <c r="M1691">
        <v>68000</v>
      </c>
      <c r="N1691">
        <v>15000</v>
      </c>
      <c r="O1691">
        <v>83000</v>
      </c>
      <c r="P1691" t="s">
        <v>35</v>
      </c>
      <c r="Q1691" t="s">
        <v>2359</v>
      </c>
      <c r="R1691" t="s">
        <v>46</v>
      </c>
      <c r="S1691">
        <v>3</v>
      </c>
      <c r="T1691" t="s">
        <v>37</v>
      </c>
      <c r="U1691" t="s">
        <v>2411</v>
      </c>
      <c r="V1691">
        <v>2024</v>
      </c>
      <c r="W1691">
        <v>11</v>
      </c>
    </row>
    <row r="1692" spans="1:23" x14ac:dyDescent="0.25">
      <c r="A1692" t="s">
        <v>522</v>
      </c>
      <c r="B1692">
        <v>45597.866851851853</v>
      </c>
      <c r="C1692" t="s">
        <v>523</v>
      </c>
      <c r="D1692" t="s">
        <v>113</v>
      </c>
      <c r="E1692" t="s">
        <v>186</v>
      </c>
      <c r="F1692" t="s">
        <v>2398</v>
      </c>
      <c r="G1692" t="s">
        <v>2377</v>
      </c>
      <c r="H1692">
        <v>45000</v>
      </c>
      <c r="I1692">
        <v>4</v>
      </c>
      <c r="J1692">
        <v>0</v>
      </c>
      <c r="K1692">
        <v>180000</v>
      </c>
      <c r="L1692">
        <v>0</v>
      </c>
      <c r="M1692">
        <v>180000</v>
      </c>
      <c r="N1692">
        <v>18000</v>
      </c>
      <c r="O1692">
        <v>198000</v>
      </c>
      <c r="P1692" t="s">
        <v>29</v>
      </c>
      <c r="Q1692" t="s">
        <v>2357</v>
      </c>
      <c r="R1692" t="s">
        <v>30</v>
      </c>
      <c r="S1692">
        <v>4</v>
      </c>
      <c r="T1692" t="s">
        <v>24</v>
      </c>
      <c r="U1692" t="s">
        <v>2411</v>
      </c>
      <c r="V1692">
        <v>2024</v>
      </c>
      <c r="W1692">
        <v>11</v>
      </c>
    </row>
    <row r="1693" spans="1:23" x14ac:dyDescent="0.25">
      <c r="A1693" t="s">
        <v>524</v>
      </c>
      <c r="B1693">
        <v>45597.910775462973</v>
      </c>
      <c r="C1693" t="s">
        <v>525</v>
      </c>
      <c r="D1693" t="s">
        <v>96</v>
      </c>
      <c r="E1693" t="s">
        <v>81</v>
      </c>
      <c r="F1693" t="s">
        <v>2397</v>
      </c>
      <c r="G1693" t="s">
        <v>2378</v>
      </c>
      <c r="H1693">
        <v>17000</v>
      </c>
      <c r="I1693">
        <v>1</v>
      </c>
      <c r="J1693">
        <v>20</v>
      </c>
      <c r="K1693">
        <v>17000</v>
      </c>
      <c r="L1693">
        <v>3400</v>
      </c>
      <c r="M1693">
        <v>13600</v>
      </c>
      <c r="N1693">
        <v>49000</v>
      </c>
      <c r="O1693">
        <v>62600</v>
      </c>
      <c r="P1693" t="s">
        <v>29</v>
      </c>
      <c r="Q1693" t="s">
        <v>2357</v>
      </c>
      <c r="R1693" t="s">
        <v>36</v>
      </c>
      <c r="S1693">
        <v>3</v>
      </c>
      <c r="T1693" t="s">
        <v>24</v>
      </c>
      <c r="U1693" t="s">
        <v>2411</v>
      </c>
      <c r="V1693">
        <v>2024</v>
      </c>
      <c r="W1693">
        <v>11</v>
      </c>
    </row>
    <row r="1694" spans="1:23" x14ac:dyDescent="0.25">
      <c r="A1694" t="s">
        <v>526</v>
      </c>
      <c r="B1694">
        <v>45598.30060185185</v>
      </c>
      <c r="C1694" t="s">
        <v>527</v>
      </c>
      <c r="D1694" t="s">
        <v>173</v>
      </c>
      <c r="E1694" t="s">
        <v>71</v>
      </c>
      <c r="F1694" t="s">
        <v>2392</v>
      </c>
      <c r="G1694" t="s">
        <v>2379</v>
      </c>
      <c r="H1694">
        <v>40000</v>
      </c>
      <c r="I1694">
        <v>4</v>
      </c>
      <c r="J1694">
        <v>0</v>
      </c>
      <c r="K1694">
        <v>160000</v>
      </c>
      <c r="L1694">
        <v>0</v>
      </c>
      <c r="M1694">
        <v>160000</v>
      </c>
      <c r="N1694">
        <v>49000</v>
      </c>
      <c r="O1694">
        <v>209000</v>
      </c>
      <c r="P1694" t="s">
        <v>29</v>
      </c>
      <c r="Q1694" t="s">
        <v>2357</v>
      </c>
      <c r="R1694" t="s">
        <v>23</v>
      </c>
      <c r="S1694">
        <v>1</v>
      </c>
      <c r="T1694" t="s">
        <v>24</v>
      </c>
      <c r="U1694" t="s">
        <v>2411</v>
      </c>
      <c r="V1694">
        <v>2024</v>
      </c>
      <c r="W1694">
        <v>11</v>
      </c>
    </row>
    <row r="1695" spans="1:23" x14ac:dyDescent="0.25">
      <c r="A1695" t="s">
        <v>528</v>
      </c>
      <c r="B1695">
        <v>45598.751608796287</v>
      </c>
      <c r="C1695" t="s">
        <v>455</v>
      </c>
      <c r="D1695" t="s">
        <v>33</v>
      </c>
      <c r="E1695" t="s">
        <v>58</v>
      </c>
      <c r="F1695" t="s">
        <v>2396</v>
      </c>
      <c r="G1695" t="s">
        <v>2377</v>
      </c>
      <c r="H1695">
        <v>16000</v>
      </c>
      <c r="I1695">
        <v>1</v>
      </c>
      <c r="J1695">
        <v>10</v>
      </c>
      <c r="K1695">
        <v>16000</v>
      </c>
      <c r="L1695">
        <v>1600</v>
      </c>
      <c r="M1695">
        <v>14400</v>
      </c>
      <c r="N1695">
        <v>76000</v>
      </c>
      <c r="O1695">
        <v>90400</v>
      </c>
      <c r="P1695" t="s">
        <v>35</v>
      </c>
      <c r="Q1695" t="s">
        <v>2356</v>
      </c>
      <c r="R1695" t="s">
        <v>46</v>
      </c>
      <c r="S1695">
        <v>1</v>
      </c>
      <c r="T1695" t="s">
        <v>24</v>
      </c>
      <c r="U1695" t="s">
        <v>2411</v>
      </c>
      <c r="V1695">
        <v>2024</v>
      </c>
      <c r="W1695">
        <v>11</v>
      </c>
    </row>
    <row r="1696" spans="1:23" x14ac:dyDescent="0.25">
      <c r="A1696" t="s">
        <v>529</v>
      </c>
      <c r="B1696">
        <v>45598.904791666668</v>
      </c>
      <c r="C1696" t="s">
        <v>530</v>
      </c>
      <c r="D1696" t="s">
        <v>151</v>
      </c>
      <c r="E1696" t="s">
        <v>250</v>
      </c>
      <c r="F1696" t="s">
        <v>2397</v>
      </c>
      <c r="G1696" t="s">
        <v>2379</v>
      </c>
      <c r="H1696">
        <v>18000</v>
      </c>
      <c r="I1696">
        <v>5</v>
      </c>
      <c r="J1696">
        <v>0</v>
      </c>
      <c r="K1696">
        <v>90000</v>
      </c>
      <c r="L1696">
        <v>0</v>
      </c>
      <c r="M1696">
        <v>90000</v>
      </c>
      <c r="N1696">
        <v>55000</v>
      </c>
      <c r="O1696">
        <v>145000</v>
      </c>
      <c r="P1696" t="s">
        <v>63</v>
      </c>
      <c r="Q1696" t="s">
        <v>2357</v>
      </c>
      <c r="R1696" t="s">
        <v>82</v>
      </c>
      <c r="S1696">
        <v>2</v>
      </c>
      <c r="T1696" t="s">
        <v>24</v>
      </c>
      <c r="U1696" t="s">
        <v>2411</v>
      </c>
      <c r="V1696">
        <v>2024</v>
      </c>
      <c r="W1696">
        <v>11</v>
      </c>
    </row>
    <row r="1697" spans="1:23" x14ac:dyDescent="0.25">
      <c r="A1697" t="s">
        <v>531</v>
      </c>
      <c r="B1697">
        <v>45599.25885416667</v>
      </c>
      <c r="C1697" t="s">
        <v>532</v>
      </c>
      <c r="D1697" t="s">
        <v>262</v>
      </c>
      <c r="E1697" t="s">
        <v>75</v>
      </c>
      <c r="F1697" t="s">
        <v>2398</v>
      </c>
      <c r="G1697" t="s">
        <v>2379</v>
      </c>
      <c r="H1697">
        <v>55000</v>
      </c>
      <c r="I1697">
        <v>3</v>
      </c>
      <c r="J1697">
        <v>0</v>
      </c>
      <c r="K1697">
        <v>165000</v>
      </c>
      <c r="L1697">
        <v>0</v>
      </c>
      <c r="M1697">
        <v>165000</v>
      </c>
      <c r="N1697">
        <v>18000</v>
      </c>
      <c r="O1697">
        <v>183000</v>
      </c>
      <c r="P1697" t="s">
        <v>22</v>
      </c>
      <c r="Q1697" t="s">
        <v>2357</v>
      </c>
      <c r="R1697" t="s">
        <v>30</v>
      </c>
      <c r="S1697">
        <v>2</v>
      </c>
      <c r="T1697" t="s">
        <v>24</v>
      </c>
      <c r="U1697" t="s">
        <v>2411</v>
      </c>
      <c r="V1697">
        <v>2024</v>
      </c>
      <c r="W1697">
        <v>11</v>
      </c>
    </row>
    <row r="1698" spans="1:23" x14ac:dyDescent="0.25">
      <c r="A1698" t="s">
        <v>531</v>
      </c>
      <c r="B1698">
        <v>45599.25885416667</v>
      </c>
      <c r="C1698" t="s">
        <v>532</v>
      </c>
      <c r="D1698" t="s">
        <v>262</v>
      </c>
      <c r="E1698" t="s">
        <v>28</v>
      </c>
      <c r="F1698" t="s">
        <v>2395</v>
      </c>
      <c r="G1698" t="s">
        <v>2378</v>
      </c>
      <c r="H1698">
        <v>5000</v>
      </c>
      <c r="I1698">
        <v>2</v>
      </c>
      <c r="J1698">
        <v>5</v>
      </c>
      <c r="K1698">
        <v>10000</v>
      </c>
      <c r="L1698">
        <v>500</v>
      </c>
      <c r="M1698">
        <v>9500</v>
      </c>
      <c r="N1698">
        <v>0</v>
      </c>
      <c r="O1698">
        <v>9500</v>
      </c>
      <c r="P1698" t="s">
        <v>22</v>
      </c>
      <c r="Q1698" t="s">
        <v>2357</v>
      </c>
      <c r="R1698" t="s">
        <v>30</v>
      </c>
      <c r="S1698">
        <v>2</v>
      </c>
      <c r="T1698" t="s">
        <v>24</v>
      </c>
      <c r="U1698" t="s">
        <v>2411</v>
      </c>
      <c r="V1698">
        <v>2024</v>
      </c>
      <c r="W1698">
        <v>11</v>
      </c>
    </row>
    <row r="1699" spans="1:23" x14ac:dyDescent="0.25">
      <c r="A1699" t="s">
        <v>533</v>
      </c>
      <c r="B1699">
        <v>45599.295289351852</v>
      </c>
      <c r="C1699" t="s">
        <v>231</v>
      </c>
      <c r="D1699" t="s">
        <v>66</v>
      </c>
      <c r="E1699" t="s">
        <v>136</v>
      </c>
      <c r="F1699" t="s">
        <v>2400</v>
      </c>
      <c r="G1699" t="s">
        <v>2378</v>
      </c>
      <c r="H1699">
        <v>12000</v>
      </c>
      <c r="I1699">
        <v>2</v>
      </c>
      <c r="J1699">
        <v>15</v>
      </c>
      <c r="K1699">
        <v>24000</v>
      </c>
      <c r="L1699">
        <v>3600</v>
      </c>
      <c r="M1699">
        <v>20400</v>
      </c>
      <c r="N1699">
        <v>59000</v>
      </c>
      <c r="O1699">
        <v>79400</v>
      </c>
      <c r="P1699" t="s">
        <v>29</v>
      </c>
      <c r="Q1699" t="s">
        <v>2357</v>
      </c>
      <c r="R1699" t="s">
        <v>30</v>
      </c>
      <c r="S1699">
        <v>3</v>
      </c>
      <c r="T1699" t="s">
        <v>24</v>
      </c>
      <c r="U1699" t="s">
        <v>2411</v>
      </c>
      <c r="V1699">
        <v>2024</v>
      </c>
      <c r="W1699">
        <v>11</v>
      </c>
    </row>
    <row r="1700" spans="1:23" x14ac:dyDescent="0.25">
      <c r="A1700" t="s">
        <v>534</v>
      </c>
      <c r="B1700">
        <v>45599.459305555552</v>
      </c>
      <c r="C1700" t="s">
        <v>466</v>
      </c>
      <c r="D1700" t="s">
        <v>131</v>
      </c>
      <c r="E1700" t="s">
        <v>136</v>
      </c>
      <c r="F1700" t="s">
        <v>2400</v>
      </c>
      <c r="G1700" t="s">
        <v>2378</v>
      </c>
      <c r="H1700">
        <v>12000</v>
      </c>
      <c r="I1700">
        <v>3</v>
      </c>
      <c r="J1700">
        <v>15</v>
      </c>
      <c r="K1700">
        <v>36000</v>
      </c>
      <c r="L1700">
        <v>5400</v>
      </c>
      <c r="M1700">
        <v>30600</v>
      </c>
      <c r="N1700">
        <v>59000</v>
      </c>
      <c r="O1700">
        <v>89600</v>
      </c>
      <c r="P1700" t="s">
        <v>63</v>
      </c>
      <c r="Q1700" t="s">
        <v>2357</v>
      </c>
      <c r="R1700" t="s">
        <v>30</v>
      </c>
      <c r="S1700">
        <v>3</v>
      </c>
      <c r="T1700" t="s">
        <v>24</v>
      </c>
      <c r="U1700" t="s">
        <v>2411</v>
      </c>
      <c r="V1700">
        <v>2024</v>
      </c>
      <c r="W1700">
        <v>11</v>
      </c>
    </row>
    <row r="1701" spans="1:23" x14ac:dyDescent="0.25">
      <c r="A1701" t="s">
        <v>535</v>
      </c>
      <c r="B1701">
        <v>45600.006215277783</v>
      </c>
      <c r="C1701" t="s">
        <v>231</v>
      </c>
      <c r="D1701" t="s">
        <v>66</v>
      </c>
      <c r="E1701" t="s">
        <v>186</v>
      </c>
      <c r="F1701" t="s">
        <v>2398</v>
      </c>
      <c r="G1701" t="s">
        <v>2377</v>
      </c>
      <c r="H1701">
        <v>45000</v>
      </c>
      <c r="I1701">
        <v>4</v>
      </c>
      <c r="J1701">
        <v>15</v>
      </c>
      <c r="K1701">
        <v>180000</v>
      </c>
      <c r="L1701">
        <v>27000</v>
      </c>
      <c r="M1701">
        <v>153000</v>
      </c>
      <c r="N1701">
        <v>59000</v>
      </c>
      <c r="O1701">
        <v>212000</v>
      </c>
      <c r="P1701" t="s">
        <v>29</v>
      </c>
      <c r="Q1701" t="s">
        <v>2357</v>
      </c>
      <c r="R1701" t="s">
        <v>82</v>
      </c>
      <c r="S1701">
        <v>1</v>
      </c>
      <c r="T1701" t="s">
        <v>24</v>
      </c>
      <c r="U1701" t="s">
        <v>2411</v>
      </c>
      <c r="V1701">
        <v>2024</v>
      </c>
      <c r="W1701">
        <v>11</v>
      </c>
    </row>
    <row r="1702" spans="1:23" x14ac:dyDescent="0.25">
      <c r="A1702" t="s">
        <v>536</v>
      </c>
      <c r="B1702">
        <v>45600.688842592594</v>
      </c>
      <c r="C1702" t="s">
        <v>537</v>
      </c>
      <c r="D1702" t="s">
        <v>57</v>
      </c>
      <c r="E1702" t="s">
        <v>174</v>
      </c>
      <c r="F1702" t="s">
        <v>2400</v>
      </c>
      <c r="G1702" t="s">
        <v>2377</v>
      </c>
      <c r="H1702">
        <v>10000</v>
      </c>
      <c r="I1702">
        <v>4</v>
      </c>
      <c r="J1702">
        <v>20</v>
      </c>
      <c r="K1702">
        <v>40000</v>
      </c>
      <c r="L1702">
        <v>8000</v>
      </c>
      <c r="M1702">
        <v>32000</v>
      </c>
      <c r="N1702">
        <v>80000</v>
      </c>
      <c r="O1702">
        <v>112000</v>
      </c>
      <c r="P1702" t="s">
        <v>22</v>
      </c>
      <c r="Q1702" t="s">
        <v>2357</v>
      </c>
      <c r="R1702" t="s">
        <v>23</v>
      </c>
      <c r="S1702">
        <v>3</v>
      </c>
      <c r="T1702" t="s">
        <v>37</v>
      </c>
      <c r="U1702" t="s">
        <v>2411</v>
      </c>
      <c r="V1702">
        <v>2024</v>
      </c>
      <c r="W1702">
        <v>11</v>
      </c>
    </row>
    <row r="1703" spans="1:23" x14ac:dyDescent="0.25">
      <c r="A1703" t="s">
        <v>538</v>
      </c>
      <c r="B1703">
        <v>45600.952939814822</v>
      </c>
      <c r="C1703" t="s">
        <v>299</v>
      </c>
      <c r="D1703" t="s">
        <v>163</v>
      </c>
      <c r="E1703" t="s">
        <v>186</v>
      </c>
      <c r="F1703" t="s">
        <v>2398</v>
      </c>
      <c r="G1703" t="s">
        <v>2377</v>
      </c>
      <c r="H1703">
        <v>45000</v>
      </c>
      <c r="I1703">
        <v>3</v>
      </c>
      <c r="J1703">
        <v>5</v>
      </c>
      <c r="K1703">
        <v>135000</v>
      </c>
      <c r="L1703">
        <v>6750</v>
      </c>
      <c r="M1703">
        <v>128250</v>
      </c>
      <c r="N1703">
        <v>50000</v>
      </c>
      <c r="O1703">
        <v>178250</v>
      </c>
      <c r="P1703" t="s">
        <v>29</v>
      </c>
      <c r="Q1703" t="s">
        <v>2357</v>
      </c>
      <c r="R1703" t="s">
        <v>36</v>
      </c>
      <c r="S1703">
        <v>3</v>
      </c>
      <c r="T1703" t="s">
        <v>24</v>
      </c>
      <c r="U1703" t="s">
        <v>2411</v>
      </c>
      <c r="V1703">
        <v>2024</v>
      </c>
      <c r="W1703">
        <v>11</v>
      </c>
    </row>
    <row r="1704" spans="1:23" x14ac:dyDescent="0.25">
      <c r="A1704" t="s">
        <v>539</v>
      </c>
      <c r="B1704">
        <v>45600.978148148148</v>
      </c>
      <c r="C1704" t="s">
        <v>79</v>
      </c>
      <c r="D1704" t="s">
        <v>80</v>
      </c>
      <c r="E1704" t="s">
        <v>50</v>
      </c>
      <c r="F1704" t="s">
        <v>2400</v>
      </c>
      <c r="G1704" t="s">
        <v>2379</v>
      </c>
      <c r="H1704">
        <v>14000</v>
      </c>
      <c r="I1704">
        <v>2</v>
      </c>
      <c r="J1704">
        <v>20</v>
      </c>
      <c r="K1704">
        <v>28000</v>
      </c>
      <c r="L1704">
        <v>5600</v>
      </c>
      <c r="M1704">
        <v>22400</v>
      </c>
      <c r="N1704">
        <v>74000</v>
      </c>
      <c r="O1704">
        <v>96400</v>
      </c>
      <c r="P1704" t="s">
        <v>35</v>
      </c>
      <c r="Q1704" t="s">
        <v>2357</v>
      </c>
      <c r="R1704" t="s">
        <v>23</v>
      </c>
      <c r="S1704">
        <v>4</v>
      </c>
      <c r="T1704" t="s">
        <v>24</v>
      </c>
      <c r="U1704" t="s">
        <v>2411</v>
      </c>
      <c r="V1704">
        <v>2024</v>
      </c>
      <c r="W1704">
        <v>11</v>
      </c>
    </row>
    <row r="1705" spans="1:23" x14ac:dyDescent="0.25">
      <c r="A1705" t="s">
        <v>540</v>
      </c>
      <c r="B1705">
        <v>45601.156458333331</v>
      </c>
      <c r="C1705" t="s">
        <v>150</v>
      </c>
      <c r="D1705" t="s">
        <v>151</v>
      </c>
      <c r="E1705" t="s">
        <v>34</v>
      </c>
      <c r="F1705" t="s">
        <v>2397</v>
      </c>
      <c r="G1705" t="s">
        <v>2377</v>
      </c>
      <c r="H1705">
        <v>16000</v>
      </c>
      <c r="I1705">
        <v>5</v>
      </c>
      <c r="J1705">
        <v>0</v>
      </c>
      <c r="K1705">
        <v>80000</v>
      </c>
      <c r="L1705">
        <v>0</v>
      </c>
      <c r="M1705">
        <v>80000</v>
      </c>
      <c r="N1705">
        <v>55000</v>
      </c>
      <c r="O1705">
        <v>135000</v>
      </c>
      <c r="P1705" t="s">
        <v>63</v>
      </c>
      <c r="Q1705" t="s">
        <v>2357</v>
      </c>
      <c r="R1705" t="s">
        <v>23</v>
      </c>
      <c r="S1705">
        <v>4</v>
      </c>
      <c r="T1705" t="s">
        <v>37</v>
      </c>
      <c r="U1705" t="s">
        <v>2411</v>
      </c>
      <c r="V1705">
        <v>2024</v>
      </c>
      <c r="W1705">
        <v>11</v>
      </c>
    </row>
    <row r="1706" spans="1:23" x14ac:dyDescent="0.25">
      <c r="A1706" t="s">
        <v>541</v>
      </c>
      <c r="B1706">
        <v>45601.280624999999</v>
      </c>
      <c r="C1706" t="s">
        <v>542</v>
      </c>
      <c r="D1706" t="s">
        <v>122</v>
      </c>
      <c r="E1706" t="s">
        <v>93</v>
      </c>
      <c r="F1706" t="s">
        <v>2399</v>
      </c>
      <c r="G1706" t="s">
        <v>2378</v>
      </c>
      <c r="H1706">
        <v>25000</v>
      </c>
      <c r="I1706">
        <v>3</v>
      </c>
      <c r="J1706">
        <v>20</v>
      </c>
      <c r="K1706">
        <v>75000</v>
      </c>
      <c r="L1706">
        <v>15000</v>
      </c>
      <c r="M1706">
        <v>60000</v>
      </c>
      <c r="N1706">
        <v>78000</v>
      </c>
      <c r="O1706">
        <v>138000</v>
      </c>
      <c r="P1706" t="s">
        <v>63</v>
      </c>
      <c r="Q1706" t="s">
        <v>2357</v>
      </c>
      <c r="R1706" t="s">
        <v>36</v>
      </c>
      <c r="S1706">
        <v>4</v>
      </c>
      <c r="T1706" t="s">
        <v>24</v>
      </c>
      <c r="U1706" t="s">
        <v>2411</v>
      </c>
      <c r="V1706">
        <v>2024</v>
      </c>
      <c r="W1706">
        <v>11</v>
      </c>
    </row>
    <row r="1707" spans="1:23" x14ac:dyDescent="0.25">
      <c r="A1707" t="s">
        <v>543</v>
      </c>
      <c r="B1707">
        <v>45601.289606481478</v>
      </c>
      <c r="C1707" t="s">
        <v>544</v>
      </c>
      <c r="D1707" t="s">
        <v>163</v>
      </c>
      <c r="E1707" t="s">
        <v>67</v>
      </c>
      <c r="F1707" t="s">
        <v>2393</v>
      </c>
      <c r="G1707" t="s">
        <v>2378</v>
      </c>
      <c r="H1707">
        <v>15000</v>
      </c>
      <c r="I1707">
        <v>4</v>
      </c>
      <c r="J1707">
        <v>20</v>
      </c>
      <c r="K1707">
        <v>60000</v>
      </c>
      <c r="L1707">
        <v>12000</v>
      </c>
      <c r="M1707">
        <v>48000</v>
      </c>
      <c r="N1707">
        <v>50000</v>
      </c>
      <c r="O1707">
        <v>98000</v>
      </c>
      <c r="P1707" t="s">
        <v>22</v>
      </c>
      <c r="Q1707" t="s">
        <v>2357</v>
      </c>
      <c r="R1707" t="s">
        <v>23</v>
      </c>
      <c r="S1707">
        <v>4</v>
      </c>
      <c r="T1707" t="s">
        <v>24</v>
      </c>
      <c r="U1707" t="s">
        <v>2411</v>
      </c>
      <c r="V1707">
        <v>2024</v>
      </c>
      <c r="W1707">
        <v>11</v>
      </c>
    </row>
    <row r="1708" spans="1:23" x14ac:dyDescent="0.25">
      <c r="A1708" t="s">
        <v>545</v>
      </c>
      <c r="B1708">
        <v>45601.34511574074</v>
      </c>
      <c r="C1708" t="s">
        <v>307</v>
      </c>
      <c r="D1708" t="s">
        <v>70</v>
      </c>
      <c r="E1708" t="s">
        <v>81</v>
      </c>
      <c r="F1708" t="s">
        <v>2397</v>
      </c>
      <c r="G1708" t="s">
        <v>2378</v>
      </c>
      <c r="H1708">
        <v>17000</v>
      </c>
      <c r="I1708">
        <v>4</v>
      </c>
      <c r="J1708">
        <v>15</v>
      </c>
      <c r="K1708">
        <v>68000</v>
      </c>
      <c r="L1708">
        <v>10200</v>
      </c>
      <c r="M1708">
        <v>57800</v>
      </c>
      <c r="N1708">
        <v>89000</v>
      </c>
      <c r="O1708">
        <v>146800</v>
      </c>
      <c r="P1708" t="s">
        <v>29</v>
      </c>
      <c r="Q1708" t="s">
        <v>2357</v>
      </c>
      <c r="R1708" t="s">
        <v>82</v>
      </c>
      <c r="S1708">
        <v>2</v>
      </c>
      <c r="T1708" t="s">
        <v>24</v>
      </c>
      <c r="U1708" t="s">
        <v>2411</v>
      </c>
      <c r="V1708">
        <v>2024</v>
      </c>
      <c r="W1708">
        <v>11</v>
      </c>
    </row>
    <row r="1709" spans="1:23" x14ac:dyDescent="0.25">
      <c r="A1709" t="s">
        <v>546</v>
      </c>
      <c r="B1709">
        <v>45602.008159722223</v>
      </c>
      <c r="C1709" t="s">
        <v>547</v>
      </c>
      <c r="D1709" t="s">
        <v>119</v>
      </c>
      <c r="E1709" t="s">
        <v>250</v>
      </c>
      <c r="F1709" t="s">
        <v>2397</v>
      </c>
      <c r="G1709" t="s">
        <v>2379</v>
      </c>
      <c r="H1709">
        <v>18000</v>
      </c>
      <c r="I1709">
        <v>3</v>
      </c>
      <c r="J1709">
        <v>10</v>
      </c>
      <c r="K1709">
        <v>54000</v>
      </c>
      <c r="L1709">
        <v>5400</v>
      </c>
      <c r="M1709">
        <v>48600</v>
      </c>
      <c r="N1709">
        <v>0</v>
      </c>
      <c r="O1709">
        <v>48600</v>
      </c>
      <c r="P1709" t="s">
        <v>35</v>
      </c>
      <c r="Q1709" t="s">
        <v>2357</v>
      </c>
      <c r="R1709" t="s">
        <v>30</v>
      </c>
      <c r="S1709">
        <v>2</v>
      </c>
      <c r="T1709" t="s">
        <v>37</v>
      </c>
      <c r="U1709" t="s">
        <v>2411</v>
      </c>
      <c r="V1709">
        <v>2024</v>
      </c>
      <c r="W1709">
        <v>11</v>
      </c>
    </row>
    <row r="1710" spans="1:23" x14ac:dyDescent="0.25">
      <c r="A1710" t="s">
        <v>548</v>
      </c>
      <c r="B1710">
        <v>45602.08697916667</v>
      </c>
      <c r="C1710" t="s">
        <v>549</v>
      </c>
      <c r="D1710" t="s">
        <v>107</v>
      </c>
      <c r="E1710" t="s">
        <v>45</v>
      </c>
      <c r="F1710" t="s">
        <v>2394</v>
      </c>
      <c r="G1710" t="s">
        <v>2378</v>
      </c>
      <c r="H1710">
        <v>40000</v>
      </c>
      <c r="I1710">
        <v>2</v>
      </c>
      <c r="J1710">
        <v>15</v>
      </c>
      <c r="K1710">
        <v>80000</v>
      </c>
      <c r="L1710">
        <v>12000</v>
      </c>
      <c r="M1710">
        <v>68000</v>
      </c>
      <c r="N1710">
        <v>97000</v>
      </c>
      <c r="O1710">
        <v>165000</v>
      </c>
      <c r="P1710" t="s">
        <v>29</v>
      </c>
      <c r="Q1710" t="s">
        <v>2359</v>
      </c>
      <c r="R1710" t="s">
        <v>36</v>
      </c>
      <c r="S1710">
        <v>1</v>
      </c>
      <c r="T1710" t="s">
        <v>24</v>
      </c>
      <c r="U1710" t="s">
        <v>2411</v>
      </c>
      <c r="V1710">
        <v>2024</v>
      </c>
      <c r="W1710">
        <v>11</v>
      </c>
    </row>
    <row r="1711" spans="1:23" x14ac:dyDescent="0.25">
      <c r="A1711" t="s">
        <v>550</v>
      </c>
      <c r="B1711">
        <v>45602.363530092603</v>
      </c>
      <c r="C1711" t="s">
        <v>551</v>
      </c>
      <c r="D1711" t="s">
        <v>262</v>
      </c>
      <c r="E1711" t="s">
        <v>88</v>
      </c>
      <c r="F1711" t="s">
        <v>2393</v>
      </c>
      <c r="G1711" t="s">
        <v>2377</v>
      </c>
      <c r="H1711">
        <v>14000</v>
      </c>
      <c r="I1711">
        <v>1</v>
      </c>
      <c r="J1711">
        <v>10</v>
      </c>
      <c r="K1711">
        <v>14000</v>
      </c>
      <c r="L1711">
        <v>1400</v>
      </c>
      <c r="M1711">
        <v>12600</v>
      </c>
      <c r="N1711">
        <v>18000</v>
      </c>
      <c r="O1711">
        <v>30600</v>
      </c>
      <c r="P1711" t="s">
        <v>22</v>
      </c>
      <c r="Q1711" t="s">
        <v>2359</v>
      </c>
      <c r="R1711" t="s">
        <v>23</v>
      </c>
      <c r="S1711">
        <v>5</v>
      </c>
      <c r="T1711" t="s">
        <v>37</v>
      </c>
      <c r="U1711" t="s">
        <v>2411</v>
      </c>
      <c r="V1711">
        <v>2024</v>
      </c>
      <c r="W1711">
        <v>11</v>
      </c>
    </row>
    <row r="1712" spans="1:23" x14ac:dyDescent="0.25">
      <c r="A1712" t="s">
        <v>552</v>
      </c>
      <c r="B1712">
        <v>45603.475717592592</v>
      </c>
      <c r="C1712" t="s">
        <v>553</v>
      </c>
      <c r="D1712" t="s">
        <v>107</v>
      </c>
      <c r="E1712" t="s">
        <v>62</v>
      </c>
      <c r="F1712" t="s">
        <v>2398</v>
      </c>
      <c r="G1712" t="s">
        <v>2378</v>
      </c>
      <c r="H1712">
        <v>50000</v>
      </c>
      <c r="I1712">
        <v>5</v>
      </c>
      <c r="J1712">
        <v>10</v>
      </c>
      <c r="K1712">
        <v>250000</v>
      </c>
      <c r="L1712">
        <v>25000</v>
      </c>
      <c r="M1712">
        <v>225000</v>
      </c>
      <c r="N1712">
        <v>97000</v>
      </c>
      <c r="O1712">
        <v>322000</v>
      </c>
      <c r="P1712" t="s">
        <v>29</v>
      </c>
      <c r="Q1712" t="s">
        <v>2357</v>
      </c>
      <c r="R1712" t="s">
        <v>46</v>
      </c>
      <c r="S1712">
        <v>3</v>
      </c>
      <c r="T1712" t="s">
        <v>24</v>
      </c>
      <c r="U1712" t="s">
        <v>2411</v>
      </c>
      <c r="V1712">
        <v>2024</v>
      </c>
      <c r="W1712">
        <v>11</v>
      </c>
    </row>
    <row r="1713" spans="1:23" x14ac:dyDescent="0.25">
      <c r="A1713" t="s">
        <v>554</v>
      </c>
      <c r="B1713">
        <v>45603.967615740738</v>
      </c>
      <c r="C1713" t="s">
        <v>453</v>
      </c>
      <c r="D1713" t="s">
        <v>27</v>
      </c>
      <c r="E1713" t="s">
        <v>186</v>
      </c>
      <c r="F1713" t="s">
        <v>2398</v>
      </c>
      <c r="G1713" t="s">
        <v>2377</v>
      </c>
      <c r="H1713">
        <v>45000</v>
      </c>
      <c r="I1713">
        <v>3</v>
      </c>
      <c r="J1713">
        <v>0</v>
      </c>
      <c r="K1713">
        <v>135000</v>
      </c>
      <c r="L1713">
        <v>0</v>
      </c>
      <c r="M1713">
        <v>135000</v>
      </c>
      <c r="N1713">
        <v>17000</v>
      </c>
      <c r="O1713">
        <v>152000</v>
      </c>
      <c r="P1713" t="s">
        <v>29</v>
      </c>
      <c r="Q1713" t="s">
        <v>2357</v>
      </c>
      <c r="R1713" t="s">
        <v>23</v>
      </c>
      <c r="S1713">
        <v>2</v>
      </c>
      <c r="T1713" t="s">
        <v>37</v>
      </c>
      <c r="U1713" t="s">
        <v>2411</v>
      </c>
      <c r="V1713">
        <v>2024</v>
      </c>
      <c r="W1713">
        <v>11</v>
      </c>
    </row>
    <row r="1714" spans="1:23" x14ac:dyDescent="0.25">
      <c r="A1714" t="s">
        <v>555</v>
      </c>
      <c r="B1714">
        <v>45604.19804398148</v>
      </c>
      <c r="C1714" t="s">
        <v>333</v>
      </c>
      <c r="D1714" t="s">
        <v>107</v>
      </c>
      <c r="E1714" t="s">
        <v>81</v>
      </c>
      <c r="F1714" t="s">
        <v>2397</v>
      </c>
      <c r="G1714" t="s">
        <v>2378</v>
      </c>
      <c r="H1714">
        <v>17000</v>
      </c>
      <c r="I1714">
        <v>1</v>
      </c>
      <c r="J1714">
        <v>20</v>
      </c>
      <c r="K1714">
        <v>17000</v>
      </c>
      <c r="L1714">
        <v>3400</v>
      </c>
      <c r="M1714">
        <v>13600</v>
      </c>
      <c r="N1714">
        <v>97000</v>
      </c>
      <c r="O1714">
        <v>110600</v>
      </c>
      <c r="P1714" t="s">
        <v>22</v>
      </c>
      <c r="Q1714" t="s">
        <v>2357</v>
      </c>
      <c r="R1714" t="s">
        <v>82</v>
      </c>
      <c r="S1714">
        <v>2</v>
      </c>
      <c r="T1714" t="s">
        <v>37</v>
      </c>
      <c r="U1714" t="s">
        <v>2411</v>
      </c>
      <c r="V1714">
        <v>2024</v>
      </c>
      <c r="W1714">
        <v>11</v>
      </c>
    </row>
    <row r="1715" spans="1:23" x14ac:dyDescent="0.25">
      <c r="A1715" t="s">
        <v>556</v>
      </c>
      <c r="B1715">
        <v>45604.232210648152</v>
      </c>
      <c r="C1715" t="s">
        <v>557</v>
      </c>
      <c r="D1715" t="s">
        <v>173</v>
      </c>
      <c r="E1715" t="s">
        <v>144</v>
      </c>
      <c r="F1715" t="s">
        <v>2396</v>
      </c>
      <c r="G1715" t="s">
        <v>2379</v>
      </c>
      <c r="H1715">
        <v>18000</v>
      </c>
      <c r="I1715">
        <v>5</v>
      </c>
      <c r="J1715">
        <v>0</v>
      </c>
      <c r="K1715">
        <v>90000</v>
      </c>
      <c r="L1715">
        <v>0</v>
      </c>
      <c r="M1715">
        <v>90000</v>
      </c>
      <c r="N1715">
        <v>49000</v>
      </c>
      <c r="O1715">
        <v>139000</v>
      </c>
      <c r="P1715" t="s">
        <v>29</v>
      </c>
      <c r="Q1715" t="s">
        <v>2357</v>
      </c>
      <c r="R1715" t="s">
        <v>82</v>
      </c>
      <c r="S1715">
        <v>5</v>
      </c>
      <c r="T1715" t="s">
        <v>24</v>
      </c>
      <c r="U1715" t="s">
        <v>2411</v>
      </c>
      <c r="V1715">
        <v>2024</v>
      </c>
      <c r="W1715">
        <v>11</v>
      </c>
    </row>
    <row r="1716" spans="1:23" x14ac:dyDescent="0.25">
      <c r="A1716" t="s">
        <v>558</v>
      </c>
      <c r="B1716">
        <v>45604.992222222223</v>
      </c>
      <c r="C1716" t="s">
        <v>488</v>
      </c>
      <c r="D1716" t="s">
        <v>49</v>
      </c>
      <c r="E1716" t="s">
        <v>34</v>
      </c>
      <c r="F1716" t="s">
        <v>2397</v>
      </c>
      <c r="G1716" t="s">
        <v>2377</v>
      </c>
      <c r="H1716">
        <v>16000</v>
      </c>
      <c r="I1716">
        <v>5</v>
      </c>
      <c r="J1716">
        <v>10</v>
      </c>
      <c r="K1716">
        <v>80000</v>
      </c>
      <c r="L1716">
        <v>8000</v>
      </c>
      <c r="M1716">
        <v>72000</v>
      </c>
      <c r="N1716">
        <v>43000</v>
      </c>
      <c r="O1716">
        <v>115000</v>
      </c>
      <c r="P1716" t="s">
        <v>63</v>
      </c>
      <c r="Q1716" t="s">
        <v>2357</v>
      </c>
      <c r="R1716" t="s">
        <v>46</v>
      </c>
      <c r="S1716">
        <v>2</v>
      </c>
      <c r="T1716" t="s">
        <v>24</v>
      </c>
      <c r="U1716" t="s">
        <v>2411</v>
      </c>
      <c r="V1716">
        <v>2024</v>
      </c>
      <c r="W1716">
        <v>11</v>
      </c>
    </row>
    <row r="1717" spans="1:23" x14ac:dyDescent="0.25">
      <c r="A1717" t="s">
        <v>559</v>
      </c>
      <c r="B1717">
        <v>45605.157650462963</v>
      </c>
      <c r="C1717" t="s">
        <v>547</v>
      </c>
      <c r="D1717" t="s">
        <v>119</v>
      </c>
      <c r="E1717" t="s">
        <v>54</v>
      </c>
      <c r="F1717" t="s">
        <v>2393</v>
      </c>
      <c r="G1717" t="s">
        <v>2379</v>
      </c>
      <c r="H1717">
        <v>16000</v>
      </c>
      <c r="I1717">
        <v>2</v>
      </c>
      <c r="J1717">
        <v>20</v>
      </c>
      <c r="K1717">
        <v>32000</v>
      </c>
      <c r="L1717">
        <v>6400</v>
      </c>
      <c r="M1717">
        <v>25600</v>
      </c>
      <c r="N1717">
        <v>0</v>
      </c>
      <c r="O1717">
        <v>25600</v>
      </c>
      <c r="P1717" t="s">
        <v>22</v>
      </c>
      <c r="Q1717" t="s">
        <v>2357</v>
      </c>
      <c r="R1717" t="s">
        <v>23</v>
      </c>
      <c r="S1717">
        <v>4</v>
      </c>
      <c r="T1717" t="s">
        <v>37</v>
      </c>
      <c r="U1717" t="s">
        <v>2411</v>
      </c>
      <c r="V1717">
        <v>2024</v>
      </c>
      <c r="W1717">
        <v>11</v>
      </c>
    </row>
    <row r="1718" spans="1:23" x14ac:dyDescent="0.25">
      <c r="A1718" t="s">
        <v>559</v>
      </c>
      <c r="B1718">
        <v>45605.157650462963</v>
      </c>
      <c r="C1718" t="s">
        <v>547</v>
      </c>
      <c r="D1718" t="s">
        <v>119</v>
      </c>
      <c r="E1718" t="s">
        <v>93</v>
      </c>
      <c r="F1718" t="s">
        <v>2399</v>
      </c>
      <c r="G1718" t="s">
        <v>2378</v>
      </c>
      <c r="H1718">
        <v>25000</v>
      </c>
      <c r="I1718">
        <v>2</v>
      </c>
      <c r="J1718">
        <v>10</v>
      </c>
      <c r="K1718">
        <v>50000</v>
      </c>
      <c r="L1718">
        <v>5000</v>
      </c>
      <c r="M1718">
        <v>45000</v>
      </c>
      <c r="N1718">
        <v>0</v>
      </c>
      <c r="O1718">
        <v>45000</v>
      </c>
      <c r="P1718" t="s">
        <v>22</v>
      </c>
      <c r="Q1718" t="s">
        <v>2357</v>
      </c>
      <c r="R1718" t="s">
        <v>23</v>
      </c>
      <c r="S1718">
        <v>4</v>
      </c>
      <c r="T1718" t="s">
        <v>37</v>
      </c>
      <c r="U1718" t="s">
        <v>2411</v>
      </c>
      <c r="V1718">
        <v>2024</v>
      </c>
      <c r="W1718">
        <v>11</v>
      </c>
    </row>
    <row r="1719" spans="1:23" x14ac:dyDescent="0.25">
      <c r="A1719" t="s">
        <v>560</v>
      </c>
      <c r="B1719">
        <v>45605.213784722233</v>
      </c>
      <c r="C1719" t="s">
        <v>201</v>
      </c>
      <c r="D1719" t="s">
        <v>107</v>
      </c>
      <c r="E1719" t="s">
        <v>62</v>
      </c>
      <c r="F1719" t="s">
        <v>2398</v>
      </c>
      <c r="G1719" t="s">
        <v>2378</v>
      </c>
      <c r="H1719">
        <v>50000</v>
      </c>
      <c r="I1719">
        <v>4</v>
      </c>
      <c r="J1719">
        <v>20</v>
      </c>
      <c r="K1719">
        <v>200000</v>
      </c>
      <c r="L1719">
        <v>40000</v>
      </c>
      <c r="M1719">
        <v>160000</v>
      </c>
      <c r="N1719">
        <v>97000</v>
      </c>
      <c r="O1719">
        <v>257000</v>
      </c>
      <c r="P1719" t="s">
        <v>63</v>
      </c>
      <c r="Q1719" t="s">
        <v>2357</v>
      </c>
      <c r="R1719" t="s">
        <v>36</v>
      </c>
      <c r="S1719">
        <v>5</v>
      </c>
      <c r="T1719" t="s">
        <v>24</v>
      </c>
      <c r="U1719" t="s">
        <v>2411</v>
      </c>
      <c r="V1719">
        <v>2024</v>
      </c>
      <c r="W1719">
        <v>11</v>
      </c>
    </row>
    <row r="1720" spans="1:23" x14ac:dyDescent="0.25">
      <c r="A1720" t="s">
        <v>561</v>
      </c>
      <c r="B1720">
        <v>45605.499409722222</v>
      </c>
      <c r="C1720" t="s">
        <v>355</v>
      </c>
      <c r="D1720" t="s">
        <v>116</v>
      </c>
      <c r="E1720" t="s">
        <v>138</v>
      </c>
      <c r="F1720" t="s">
        <v>2396</v>
      </c>
      <c r="G1720" t="s">
        <v>2378</v>
      </c>
      <c r="H1720">
        <v>17000</v>
      </c>
      <c r="I1720">
        <v>5</v>
      </c>
      <c r="J1720">
        <v>5</v>
      </c>
      <c r="K1720">
        <v>85000</v>
      </c>
      <c r="L1720">
        <v>4250</v>
      </c>
      <c r="M1720">
        <v>80750</v>
      </c>
      <c r="N1720">
        <v>72000</v>
      </c>
      <c r="O1720">
        <v>152750</v>
      </c>
      <c r="P1720" t="s">
        <v>63</v>
      </c>
      <c r="Q1720" t="s">
        <v>2357</v>
      </c>
      <c r="R1720" t="s">
        <v>23</v>
      </c>
      <c r="S1720">
        <v>5</v>
      </c>
      <c r="T1720" t="s">
        <v>24</v>
      </c>
      <c r="U1720" t="s">
        <v>2411</v>
      </c>
      <c r="V1720">
        <v>2024</v>
      </c>
      <c r="W1720">
        <v>11</v>
      </c>
    </row>
    <row r="1721" spans="1:23" x14ac:dyDescent="0.25">
      <c r="A1721" t="s">
        <v>562</v>
      </c>
      <c r="B1721">
        <v>45605.63989583333</v>
      </c>
      <c r="C1721" t="s">
        <v>216</v>
      </c>
      <c r="D1721" t="s">
        <v>143</v>
      </c>
      <c r="E1721" t="s">
        <v>62</v>
      </c>
      <c r="F1721" t="s">
        <v>2398</v>
      </c>
      <c r="G1721" t="s">
        <v>2378</v>
      </c>
      <c r="H1721">
        <v>50000</v>
      </c>
      <c r="I1721">
        <v>3</v>
      </c>
      <c r="J1721">
        <v>15</v>
      </c>
      <c r="K1721">
        <v>150000</v>
      </c>
      <c r="L1721">
        <v>22500</v>
      </c>
      <c r="M1721">
        <v>127500</v>
      </c>
      <c r="N1721">
        <v>50000</v>
      </c>
      <c r="O1721">
        <v>177500</v>
      </c>
      <c r="P1721" t="s">
        <v>63</v>
      </c>
      <c r="Q1721" t="s">
        <v>2357</v>
      </c>
      <c r="R1721" t="s">
        <v>82</v>
      </c>
      <c r="S1721">
        <v>2</v>
      </c>
      <c r="T1721" t="s">
        <v>24</v>
      </c>
      <c r="U1721" t="s">
        <v>2411</v>
      </c>
      <c r="V1721">
        <v>2024</v>
      </c>
      <c r="W1721">
        <v>11</v>
      </c>
    </row>
    <row r="1722" spans="1:23" x14ac:dyDescent="0.25">
      <c r="A1722" t="s">
        <v>563</v>
      </c>
      <c r="B1722">
        <v>45605.801388888889</v>
      </c>
      <c r="C1722" t="s">
        <v>150</v>
      </c>
      <c r="D1722" t="s">
        <v>151</v>
      </c>
      <c r="E1722" t="s">
        <v>67</v>
      </c>
      <c r="F1722" t="s">
        <v>2393</v>
      </c>
      <c r="G1722" t="s">
        <v>2378</v>
      </c>
      <c r="H1722">
        <v>15000</v>
      </c>
      <c r="I1722">
        <v>3</v>
      </c>
      <c r="J1722">
        <v>10</v>
      </c>
      <c r="K1722">
        <v>45000</v>
      </c>
      <c r="L1722">
        <v>4500</v>
      </c>
      <c r="M1722">
        <v>40500</v>
      </c>
      <c r="N1722">
        <v>55000</v>
      </c>
      <c r="O1722">
        <v>95500</v>
      </c>
      <c r="P1722" t="s">
        <v>35</v>
      </c>
      <c r="Q1722" t="s">
        <v>2357</v>
      </c>
      <c r="R1722" t="s">
        <v>82</v>
      </c>
      <c r="S1722">
        <v>1</v>
      </c>
      <c r="T1722" t="s">
        <v>37</v>
      </c>
      <c r="U1722" t="s">
        <v>2411</v>
      </c>
      <c r="V1722">
        <v>2024</v>
      </c>
      <c r="W1722">
        <v>11</v>
      </c>
    </row>
    <row r="1723" spans="1:23" x14ac:dyDescent="0.25">
      <c r="A1723" t="s">
        <v>564</v>
      </c>
      <c r="B1723">
        <v>45606.352210648147</v>
      </c>
      <c r="C1723" t="s">
        <v>565</v>
      </c>
      <c r="D1723" t="s">
        <v>163</v>
      </c>
      <c r="E1723" t="s">
        <v>174</v>
      </c>
      <c r="F1723" t="s">
        <v>2400</v>
      </c>
      <c r="G1723" t="s">
        <v>2377</v>
      </c>
      <c r="H1723">
        <v>10000</v>
      </c>
      <c r="I1723">
        <v>4</v>
      </c>
      <c r="J1723">
        <v>20</v>
      </c>
      <c r="K1723">
        <v>40000</v>
      </c>
      <c r="L1723">
        <v>8000</v>
      </c>
      <c r="M1723">
        <v>32000</v>
      </c>
      <c r="N1723">
        <v>50000</v>
      </c>
      <c r="O1723">
        <v>82000</v>
      </c>
      <c r="P1723" t="s">
        <v>22</v>
      </c>
      <c r="Q1723" t="s">
        <v>2357</v>
      </c>
      <c r="R1723" t="s">
        <v>82</v>
      </c>
      <c r="S1723">
        <v>2</v>
      </c>
      <c r="T1723" t="s">
        <v>24</v>
      </c>
      <c r="U1723" t="s">
        <v>2411</v>
      </c>
      <c r="V1723">
        <v>2024</v>
      </c>
      <c r="W1723">
        <v>11</v>
      </c>
    </row>
    <row r="1724" spans="1:23" x14ac:dyDescent="0.25">
      <c r="A1724" t="s">
        <v>566</v>
      </c>
      <c r="B1724">
        <v>45606.393321759257</v>
      </c>
      <c r="C1724" t="s">
        <v>502</v>
      </c>
      <c r="D1724" t="s">
        <v>107</v>
      </c>
      <c r="E1724" t="s">
        <v>93</v>
      </c>
      <c r="F1724" t="s">
        <v>2399</v>
      </c>
      <c r="G1724" t="s">
        <v>2378</v>
      </c>
      <c r="H1724">
        <v>25000</v>
      </c>
      <c r="I1724">
        <v>1</v>
      </c>
      <c r="J1724">
        <v>0</v>
      </c>
      <c r="K1724">
        <v>25000</v>
      </c>
      <c r="L1724">
        <v>0</v>
      </c>
      <c r="M1724">
        <v>25000</v>
      </c>
      <c r="N1724">
        <v>97000</v>
      </c>
      <c r="O1724">
        <v>122000</v>
      </c>
      <c r="P1724" t="s">
        <v>63</v>
      </c>
      <c r="Q1724" t="s">
        <v>2357</v>
      </c>
      <c r="R1724" t="s">
        <v>36</v>
      </c>
      <c r="S1724">
        <v>5</v>
      </c>
      <c r="T1724" t="s">
        <v>24</v>
      </c>
      <c r="U1724" t="s">
        <v>2411</v>
      </c>
      <c r="V1724">
        <v>2024</v>
      </c>
      <c r="W1724">
        <v>11</v>
      </c>
    </row>
    <row r="1725" spans="1:23" x14ac:dyDescent="0.25">
      <c r="A1725" t="s">
        <v>567</v>
      </c>
      <c r="B1725">
        <v>45606.654351851852</v>
      </c>
      <c r="C1725" t="s">
        <v>568</v>
      </c>
      <c r="D1725" t="s">
        <v>435</v>
      </c>
      <c r="E1725" t="s">
        <v>138</v>
      </c>
      <c r="F1725" t="s">
        <v>2396</v>
      </c>
      <c r="G1725" t="s">
        <v>2378</v>
      </c>
      <c r="H1725">
        <v>17000</v>
      </c>
      <c r="I1725">
        <v>1</v>
      </c>
      <c r="J1725">
        <v>20</v>
      </c>
      <c r="K1725">
        <v>17000</v>
      </c>
      <c r="L1725">
        <v>3400</v>
      </c>
      <c r="M1725">
        <v>13600</v>
      </c>
      <c r="N1725">
        <v>67000</v>
      </c>
      <c r="O1725">
        <v>80600</v>
      </c>
      <c r="P1725" t="s">
        <v>29</v>
      </c>
      <c r="Q1725" t="s">
        <v>2357</v>
      </c>
      <c r="R1725" t="s">
        <v>46</v>
      </c>
      <c r="S1725">
        <v>2</v>
      </c>
      <c r="T1725" t="s">
        <v>24</v>
      </c>
      <c r="U1725" t="s">
        <v>2411</v>
      </c>
      <c r="V1725">
        <v>2024</v>
      </c>
      <c r="W1725">
        <v>11</v>
      </c>
    </row>
    <row r="1726" spans="1:23" x14ac:dyDescent="0.25">
      <c r="A1726" t="s">
        <v>569</v>
      </c>
      <c r="B1726">
        <v>45606.69021990741</v>
      </c>
      <c r="C1726" t="s">
        <v>570</v>
      </c>
      <c r="D1726" t="s">
        <v>80</v>
      </c>
      <c r="E1726" t="s">
        <v>174</v>
      </c>
      <c r="F1726" t="s">
        <v>2400</v>
      </c>
      <c r="G1726" t="s">
        <v>2377</v>
      </c>
      <c r="H1726">
        <v>10000</v>
      </c>
      <c r="I1726">
        <v>1</v>
      </c>
      <c r="J1726">
        <v>20</v>
      </c>
      <c r="K1726">
        <v>10000</v>
      </c>
      <c r="L1726">
        <v>2000</v>
      </c>
      <c r="M1726">
        <v>8000</v>
      </c>
      <c r="N1726">
        <v>74000</v>
      </c>
      <c r="O1726">
        <v>82000</v>
      </c>
      <c r="P1726" t="s">
        <v>63</v>
      </c>
      <c r="Q1726" t="s">
        <v>2357</v>
      </c>
      <c r="R1726" t="s">
        <v>30</v>
      </c>
      <c r="S1726">
        <v>4</v>
      </c>
      <c r="T1726" t="s">
        <v>24</v>
      </c>
      <c r="U1726" t="s">
        <v>2411</v>
      </c>
      <c r="V1726">
        <v>2024</v>
      </c>
      <c r="W1726">
        <v>11</v>
      </c>
    </row>
    <row r="1727" spans="1:23" x14ac:dyDescent="0.25">
      <c r="A1727" t="s">
        <v>571</v>
      </c>
      <c r="B1727">
        <v>45607.079050925917</v>
      </c>
      <c r="C1727" t="s">
        <v>572</v>
      </c>
      <c r="D1727" t="s">
        <v>33</v>
      </c>
      <c r="E1727" t="s">
        <v>58</v>
      </c>
      <c r="F1727" t="s">
        <v>2396</v>
      </c>
      <c r="G1727" t="s">
        <v>2377</v>
      </c>
      <c r="H1727">
        <v>16000</v>
      </c>
      <c r="I1727">
        <v>3</v>
      </c>
      <c r="J1727">
        <v>10</v>
      </c>
      <c r="K1727">
        <v>48000</v>
      </c>
      <c r="L1727">
        <v>4800</v>
      </c>
      <c r="M1727">
        <v>43200</v>
      </c>
      <c r="N1727">
        <v>76000</v>
      </c>
      <c r="O1727">
        <v>119200</v>
      </c>
      <c r="P1727" t="s">
        <v>29</v>
      </c>
      <c r="Q1727" t="s">
        <v>2356</v>
      </c>
      <c r="R1727" t="s">
        <v>46</v>
      </c>
      <c r="S1727">
        <v>2</v>
      </c>
      <c r="T1727" t="s">
        <v>24</v>
      </c>
      <c r="U1727" t="s">
        <v>2411</v>
      </c>
      <c r="V1727">
        <v>2024</v>
      </c>
      <c r="W1727">
        <v>11</v>
      </c>
    </row>
    <row r="1728" spans="1:23" x14ac:dyDescent="0.25">
      <c r="A1728" t="s">
        <v>573</v>
      </c>
      <c r="B1728">
        <v>45607.36209490741</v>
      </c>
      <c r="C1728" t="s">
        <v>40</v>
      </c>
      <c r="D1728" t="s">
        <v>27</v>
      </c>
      <c r="E1728" t="s">
        <v>144</v>
      </c>
      <c r="F1728" t="s">
        <v>2396</v>
      </c>
      <c r="G1728" t="s">
        <v>2379</v>
      </c>
      <c r="H1728">
        <v>18000</v>
      </c>
      <c r="I1728">
        <v>2</v>
      </c>
      <c r="J1728">
        <v>5</v>
      </c>
      <c r="K1728">
        <v>36000</v>
      </c>
      <c r="L1728">
        <v>1800</v>
      </c>
      <c r="M1728">
        <v>34200</v>
      </c>
      <c r="N1728">
        <v>17000</v>
      </c>
      <c r="O1728">
        <v>51200</v>
      </c>
      <c r="P1728" t="s">
        <v>29</v>
      </c>
      <c r="Q1728" t="s">
        <v>2359</v>
      </c>
      <c r="R1728" t="s">
        <v>46</v>
      </c>
      <c r="S1728">
        <v>4</v>
      </c>
      <c r="T1728" t="s">
        <v>24</v>
      </c>
      <c r="U1728" t="s">
        <v>2411</v>
      </c>
      <c r="V1728">
        <v>2024</v>
      </c>
      <c r="W1728">
        <v>11</v>
      </c>
    </row>
    <row r="1729" spans="1:23" x14ac:dyDescent="0.25">
      <c r="A1729" t="s">
        <v>574</v>
      </c>
      <c r="B1729">
        <v>45607.567719907413</v>
      </c>
      <c r="C1729" t="s">
        <v>515</v>
      </c>
      <c r="D1729" t="s">
        <v>182</v>
      </c>
      <c r="E1729" t="s">
        <v>81</v>
      </c>
      <c r="F1729" t="s">
        <v>2397</v>
      </c>
      <c r="G1729" t="s">
        <v>2378</v>
      </c>
      <c r="H1729">
        <v>17000</v>
      </c>
      <c r="I1729">
        <v>3</v>
      </c>
      <c r="J1729">
        <v>10</v>
      </c>
      <c r="K1729">
        <v>51000</v>
      </c>
      <c r="L1729">
        <v>5100</v>
      </c>
      <c r="M1729">
        <v>45900</v>
      </c>
      <c r="N1729">
        <v>48000</v>
      </c>
      <c r="O1729">
        <v>93900</v>
      </c>
      <c r="P1729" t="s">
        <v>35</v>
      </c>
      <c r="Q1729" t="s">
        <v>2357</v>
      </c>
      <c r="R1729" t="s">
        <v>36</v>
      </c>
      <c r="S1729">
        <v>3</v>
      </c>
      <c r="T1729" t="s">
        <v>24</v>
      </c>
      <c r="U1729" t="s">
        <v>2411</v>
      </c>
      <c r="V1729">
        <v>2024</v>
      </c>
      <c r="W1729">
        <v>11</v>
      </c>
    </row>
    <row r="1730" spans="1:23" x14ac:dyDescent="0.25">
      <c r="A1730" t="s">
        <v>574</v>
      </c>
      <c r="B1730">
        <v>45607.567719907413</v>
      </c>
      <c r="C1730" t="s">
        <v>515</v>
      </c>
      <c r="D1730" t="s">
        <v>182</v>
      </c>
      <c r="E1730" t="s">
        <v>62</v>
      </c>
      <c r="F1730" t="s">
        <v>2398</v>
      </c>
      <c r="G1730" t="s">
        <v>2378</v>
      </c>
      <c r="H1730">
        <v>50000</v>
      </c>
      <c r="I1730">
        <v>1</v>
      </c>
      <c r="J1730">
        <v>0</v>
      </c>
      <c r="K1730">
        <v>50000</v>
      </c>
      <c r="L1730">
        <v>0</v>
      </c>
      <c r="M1730">
        <v>50000</v>
      </c>
      <c r="N1730">
        <v>0</v>
      </c>
      <c r="O1730">
        <v>50000</v>
      </c>
      <c r="P1730" t="s">
        <v>35</v>
      </c>
      <c r="Q1730" t="s">
        <v>2357</v>
      </c>
      <c r="R1730" t="s">
        <v>36</v>
      </c>
      <c r="S1730">
        <v>3</v>
      </c>
      <c r="T1730" t="s">
        <v>24</v>
      </c>
      <c r="U1730" t="s">
        <v>2411</v>
      </c>
      <c r="V1730">
        <v>2024</v>
      </c>
      <c r="W1730">
        <v>11</v>
      </c>
    </row>
    <row r="1731" spans="1:23" x14ac:dyDescent="0.25">
      <c r="A1731" t="s">
        <v>575</v>
      </c>
      <c r="B1731">
        <v>45608.161423611113</v>
      </c>
      <c r="C1731" t="s">
        <v>576</v>
      </c>
      <c r="D1731" t="s">
        <v>57</v>
      </c>
      <c r="E1731" t="s">
        <v>190</v>
      </c>
      <c r="F1731" t="s">
        <v>2392</v>
      </c>
      <c r="G1731" t="s">
        <v>2378</v>
      </c>
      <c r="H1731">
        <v>35000</v>
      </c>
      <c r="I1731">
        <v>3</v>
      </c>
      <c r="J1731">
        <v>0</v>
      </c>
      <c r="K1731">
        <v>105000</v>
      </c>
      <c r="L1731">
        <v>0</v>
      </c>
      <c r="M1731">
        <v>105000</v>
      </c>
      <c r="N1731">
        <v>80000</v>
      </c>
      <c r="O1731">
        <v>185000</v>
      </c>
      <c r="P1731" t="s">
        <v>35</v>
      </c>
      <c r="Q1731" t="s">
        <v>2357</v>
      </c>
      <c r="R1731" t="s">
        <v>36</v>
      </c>
      <c r="S1731">
        <v>1</v>
      </c>
      <c r="T1731" t="s">
        <v>37</v>
      </c>
      <c r="U1731" t="s">
        <v>2411</v>
      </c>
      <c r="V1731">
        <v>2024</v>
      </c>
      <c r="W1731">
        <v>11</v>
      </c>
    </row>
    <row r="1732" spans="1:23" x14ac:dyDescent="0.25">
      <c r="A1732" t="s">
        <v>577</v>
      </c>
      <c r="B1732">
        <v>45608.472233796303</v>
      </c>
      <c r="C1732" t="s">
        <v>455</v>
      </c>
      <c r="D1732" t="s">
        <v>33</v>
      </c>
      <c r="E1732" t="s">
        <v>62</v>
      </c>
      <c r="F1732" t="s">
        <v>2398</v>
      </c>
      <c r="G1732" t="s">
        <v>2378</v>
      </c>
      <c r="H1732">
        <v>50000</v>
      </c>
      <c r="I1732">
        <v>5</v>
      </c>
      <c r="J1732">
        <v>15</v>
      </c>
      <c r="K1732">
        <v>250000</v>
      </c>
      <c r="L1732">
        <v>37500</v>
      </c>
      <c r="M1732">
        <v>212500</v>
      </c>
      <c r="N1732">
        <v>76000</v>
      </c>
      <c r="O1732">
        <v>288500</v>
      </c>
      <c r="P1732" t="s">
        <v>63</v>
      </c>
      <c r="Q1732" t="s">
        <v>2357</v>
      </c>
      <c r="R1732" t="s">
        <v>30</v>
      </c>
      <c r="S1732">
        <v>2</v>
      </c>
      <c r="T1732" t="s">
        <v>24</v>
      </c>
      <c r="U1732" t="s">
        <v>2411</v>
      </c>
      <c r="V1732">
        <v>2024</v>
      </c>
      <c r="W1732">
        <v>11</v>
      </c>
    </row>
    <row r="1733" spans="1:23" x14ac:dyDescent="0.25">
      <c r="A1733" t="s">
        <v>578</v>
      </c>
      <c r="B1733">
        <v>45608.480902777781</v>
      </c>
      <c r="C1733" t="s">
        <v>77</v>
      </c>
      <c r="D1733" t="s">
        <v>61</v>
      </c>
      <c r="E1733" t="s">
        <v>58</v>
      </c>
      <c r="F1733" t="s">
        <v>2396</v>
      </c>
      <c r="G1733" t="s">
        <v>2377</v>
      </c>
      <c r="H1733">
        <v>16000</v>
      </c>
      <c r="I1733">
        <v>1</v>
      </c>
      <c r="J1733">
        <v>10</v>
      </c>
      <c r="K1733">
        <v>16000</v>
      </c>
      <c r="L1733">
        <v>1600</v>
      </c>
      <c r="M1733">
        <v>14400</v>
      </c>
      <c r="N1733">
        <v>26000</v>
      </c>
      <c r="O1733">
        <v>40400</v>
      </c>
      <c r="P1733" t="s">
        <v>35</v>
      </c>
      <c r="Q1733" t="s">
        <v>2357</v>
      </c>
      <c r="R1733" t="s">
        <v>46</v>
      </c>
      <c r="S1733">
        <v>4</v>
      </c>
      <c r="T1733" t="s">
        <v>24</v>
      </c>
      <c r="U1733" t="s">
        <v>2411</v>
      </c>
      <c r="V1733">
        <v>2024</v>
      </c>
      <c r="W1733">
        <v>11</v>
      </c>
    </row>
    <row r="1734" spans="1:23" x14ac:dyDescent="0.25">
      <c r="A1734" t="s">
        <v>579</v>
      </c>
      <c r="B1734">
        <v>45608.974733796298</v>
      </c>
      <c r="C1734" t="s">
        <v>201</v>
      </c>
      <c r="D1734" t="s">
        <v>107</v>
      </c>
      <c r="E1734" t="s">
        <v>67</v>
      </c>
      <c r="F1734" t="s">
        <v>2393</v>
      </c>
      <c r="G1734" t="s">
        <v>2378</v>
      </c>
      <c r="H1734">
        <v>15000</v>
      </c>
      <c r="I1734">
        <v>3</v>
      </c>
      <c r="J1734">
        <v>5</v>
      </c>
      <c r="K1734">
        <v>45000</v>
      </c>
      <c r="L1734">
        <v>2250</v>
      </c>
      <c r="M1734">
        <v>42750</v>
      </c>
      <c r="N1734">
        <v>97000</v>
      </c>
      <c r="O1734">
        <v>139750</v>
      </c>
      <c r="P1734" t="s">
        <v>35</v>
      </c>
      <c r="Q1734" t="s">
        <v>2357</v>
      </c>
      <c r="R1734" t="s">
        <v>82</v>
      </c>
      <c r="S1734">
        <v>4</v>
      </c>
      <c r="T1734" t="s">
        <v>24</v>
      </c>
      <c r="U1734" t="s">
        <v>2411</v>
      </c>
      <c r="V1734">
        <v>2024</v>
      </c>
      <c r="W1734">
        <v>11</v>
      </c>
    </row>
    <row r="1735" spans="1:23" x14ac:dyDescent="0.25">
      <c r="A1735" t="s">
        <v>580</v>
      </c>
      <c r="B1735">
        <v>45609.019490740742</v>
      </c>
      <c r="C1735" t="s">
        <v>549</v>
      </c>
      <c r="D1735" t="s">
        <v>107</v>
      </c>
      <c r="E1735" t="s">
        <v>136</v>
      </c>
      <c r="F1735" t="s">
        <v>2400</v>
      </c>
      <c r="G1735" t="s">
        <v>2378</v>
      </c>
      <c r="H1735">
        <v>12000</v>
      </c>
      <c r="I1735">
        <v>1</v>
      </c>
      <c r="J1735">
        <v>20</v>
      </c>
      <c r="K1735">
        <v>12000</v>
      </c>
      <c r="L1735">
        <v>2400</v>
      </c>
      <c r="M1735">
        <v>9600</v>
      </c>
      <c r="N1735">
        <v>97000</v>
      </c>
      <c r="O1735">
        <v>106600</v>
      </c>
      <c r="P1735" t="s">
        <v>63</v>
      </c>
      <c r="Q1735" t="s">
        <v>2357</v>
      </c>
      <c r="R1735" t="s">
        <v>82</v>
      </c>
      <c r="S1735">
        <v>3</v>
      </c>
      <c r="T1735" t="s">
        <v>24</v>
      </c>
      <c r="U1735" t="s">
        <v>2411</v>
      </c>
      <c r="V1735">
        <v>2024</v>
      </c>
      <c r="W1735">
        <v>11</v>
      </c>
    </row>
    <row r="1736" spans="1:23" x14ac:dyDescent="0.25">
      <c r="A1736" t="s">
        <v>580</v>
      </c>
      <c r="B1736">
        <v>45609.019490740742</v>
      </c>
      <c r="C1736" t="s">
        <v>549</v>
      </c>
      <c r="D1736" t="s">
        <v>107</v>
      </c>
      <c r="E1736" t="s">
        <v>81</v>
      </c>
      <c r="F1736" t="s">
        <v>2397</v>
      </c>
      <c r="G1736" t="s">
        <v>2378</v>
      </c>
      <c r="H1736">
        <v>17000</v>
      </c>
      <c r="I1736">
        <v>5</v>
      </c>
      <c r="J1736">
        <v>10</v>
      </c>
      <c r="K1736">
        <v>85000</v>
      </c>
      <c r="L1736">
        <v>8500</v>
      </c>
      <c r="M1736">
        <v>76500</v>
      </c>
      <c r="N1736">
        <v>0</v>
      </c>
      <c r="O1736">
        <v>76500</v>
      </c>
      <c r="P1736" t="s">
        <v>63</v>
      </c>
      <c r="Q1736" t="s">
        <v>2357</v>
      </c>
      <c r="R1736" t="s">
        <v>82</v>
      </c>
      <c r="S1736">
        <v>3</v>
      </c>
      <c r="T1736" t="s">
        <v>24</v>
      </c>
      <c r="U1736" t="s">
        <v>2411</v>
      </c>
      <c r="V1736">
        <v>2024</v>
      </c>
      <c r="W1736">
        <v>11</v>
      </c>
    </row>
    <row r="1737" spans="1:23" x14ac:dyDescent="0.25">
      <c r="A1737" t="s">
        <v>581</v>
      </c>
      <c r="B1737">
        <v>45609.193136574067</v>
      </c>
      <c r="C1737" t="s">
        <v>582</v>
      </c>
      <c r="D1737" t="s">
        <v>435</v>
      </c>
      <c r="E1737" t="s">
        <v>123</v>
      </c>
      <c r="F1737" t="s">
        <v>2399</v>
      </c>
      <c r="G1737" t="s">
        <v>2377</v>
      </c>
      <c r="H1737">
        <v>22000</v>
      </c>
      <c r="I1737">
        <v>1</v>
      </c>
      <c r="J1737">
        <v>15</v>
      </c>
      <c r="K1737">
        <v>22000</v>
      </c>
      <c r="L1737">
        <v>3300</v>
      </c>
      <c r="M1737">
        <v>18700</v>
      </c>
      <c r="N1737">
        <v>67000</v>
      </c>
      <c r="O1737">
        <v>85700</v>
      </c>
      <c r="P1737" t="s">
        <v>29</v>
      </c>
      <c r="Q1737" t="s">
        <v>2356</v>
      </c>
      <c r="R1737" t="s">
        <v>23</v>
      </c>
      <c r="S1737">
        <v>2</v>
      </c>
      <c r="T1737" t="s">
        <v>24</v>
      </c>
      <c r="U1737" t="s">
        <v>2411</v>
      </c>
      <c r="V1737">
        <v>2024</v>
      </c>
      <c r="W1737">
        <v>11</v>
      </c>
    </row>
    <row r="1738" spans="1:23" x14ac:dyDescent="0.25">
      <c r="A1738" t="s">
        <v>583</v>
      </c>
      <c r="B1738">
        <v>45609.333831018521</v>
      </c>
      <c r="C1738" t="s">
        <v>584</v>
      </c>
      <c r="D1738" t="s">
        <v>92</v>
      </c>
      <c r="E1738" t="s">
        <v>28</v>
      </c>
      <c r="F1738" t="s">
        <v>2395</v>
      </c>
      <c r="G1738" t="s">
        <v>2378</v>
      </c>
      <c r="H1738">
        <v>5000</v>
      </c>
      <c r="I1738">
        <v>4</v>
      </c>
      <c r="J1738">
        <v>0</v>
      </c>
      <c r="K1738">
        <v>20000</v>
      </c>
      <c r="L1738">
        <v>0</v>
      </c>
      <c r="M1738">
        <v>20000</v>
      </c>
      <c r="N1738">
        <v>30000</v>
      </c>
      <c r="O1738">
        <v>50000</v>
      </c>
      <c r="P1738" t="s">
        <v>22</v>
      </c>
      <c r="Q1738" t="s">
        <v>2356</v>
      </c>
      <c r="R1738" t="s">
        <v>82</v>
      </c>
      <c r="S1738">
        <v>2</v>
      </c>
      <c r="T1738" t="s">
        <v>24</v>
      </c>
      <c r="U1738" t="s">
        <v>2411</v>
      </c>
      <c r="V1738">
        <v>2024</v>
      </c>
      <c r="W1738">
        <v>11</v>
      </c>
    </row>
    <row r="1739" spans="1:23" x14ac:dyDescent="0.25">
      <c r="A1739" t="s">
        <v>585</v>
      </c>
      <c r="B1739">
        <v>45609.545034722221</v>
      </c>
      <c r="C1739" t="s">
        <v>254</v>
      </c>
      <c r="D1739" t="s">
        <v>61</v>
      </c>
      <c r="E1739" t="s">
        <v>190</v>
      </c>
      <c r="F1739" t="s">
        <v>2392</v>
      </c>
      <c r="G1739" t="s">
        <v>2378</v>
      </c>
      <c r="H1739">
        <v>35000</v>
      </c>
      <c r="I1739">
        <v>2</v>
      </c>
      <c r="J1739">
        <v>10</v>
      </c>
      <c r="K1739">
        <v>70000</v>
      </c>
      <c r="L1739">
        <v>7000</v>
      </c>
      <c r="M1739">
        <v>63000</v>
      </c>
      <c r="N1739">
        <v>26000</v>
      </c>
      <c r="O1739">
        <v>89000</v>
      </c>
      <c r="P1739" t="s">
        <v>29</v>
      </c>
      <c r="Q1739" t="s">
        <v>2356</v>
      </c>
      <c r="R1739" t="s">
        <v>36</v>
      </c>
      <c r="S1739">
        <v>2</v>
      </c>
      <c r="T1739" t="s">
        <v>24</v>
      </c>
      <c r="U1739" t="s">
        <v>2411</v>
      </c>
      <c r="V1739">
        <v>2024</v>
      </c>
      <c r="W1739">
        <v>11</v>
      </c>
    </row>
    <row r="1740" spans="1:23" x14ac:dyDescent="0.25">
      <c r="A1740" t="s">
        <v>586</v>
      </c>
      <c r="B1740">
        <v>45610.736064814817</v>
      </c>
      <c r="C1740" t="s">
        <v>102</v>
      </c>
      <c r="D1740" t="s">
        <v>103</v>
      </c>
      <c r="E1740" t="s">
        <v>67</v>
      </c>
      <c r="F1740" t="s">
        <v>2393</v>
      </c>
      <c r="G1740" t="s">
        <v>2378</v>
      </c>
      <c r="H1740">
        <v>15000</v>
      </c>
      <c r="I1740">
        <v>4</v>
      </c>
      <c r="J1740">
        <v>5</v>
      </c>
      <c r="K1740">
        <v>60000</v>
      </c>
      <c r="L1740">
        <v>3000</v>
      </c>
      <c r="M1740">
        <v>57000</v>
      </c>
      <c r="N1740">
        <v>85000</v>
      </c>
      <c r="O1740">
        <v>142000</v>
      </c>
      <c r="P1740" t="s">
        <v>63</v>
      </c>
      <c r="Q1740" t="s">
        <v>2357</v>
      </c>
      <c r="R1740" t="s">
        <v>82</v>
      </c>
      <c r="S1740">
        <v>4</v>
      </c>
      <c r="T1740" t="s">
        <v>24</v>
      </c>
      <c r="U1740" t="s">
        <v>2411</v>
      </c>
      <c r="V1740">
        <v>2024</v>
      </c>
      <c r="W1740">
        <v>11</v>
      </c>
    </row>
    <row r="1741" spans="1:23" x14ac:dyDescent="0.25">
      <c r="A1741" t="s">
        <v>587</v>
      </c>
      <c r="B1741">
        <v>45610.784502314818</v>
      </c>
      <c r="C1741" t="s">
        <v>142</v>
      </c>
      <c r="D1741" t="s">
        <v>143</v>
      </c>
      <c r="E1741" t="s">
        <v>21</v>
      </c>
      <c r="F1741" t="s">
        <v>2394</v>
      </c>
      <c r="G1741" t="s">
        <v>2379</v>
      </c>
      <c r="H1741">
        <v>45000</v>
      </c>
      <c r="I1741">
        <v>2</v>
      </c>
      <c r="J1741">
        <v>15</v>
      </c>
      <c r="K1741">
        <v>90000</v>
      </c>
      <c r="L1741">
        <v>13500</v>
      </c>
      <c r="M1741">
        <v>76500</v>
      </c>
      <c r="N1741">
        <v>50000</v>
      </c>
      <c r="O1741">
        <v>126500</v>
      </c>
      <c r="P1741" t="s">
        <v>35</v>
      </c>
      <c r="Q1741" t="s">
        <v>2357</v>
      </c>
      <c r="R1741" t="s">
        <v>30</v>
      </c>
      <c r="S1741">
        <v>5</v>
      </c>
      <c r="T1741" t="s">
        <v>24</v>
      </c>
      <c r="U1741" t="s">
        <v>2411</v>
      </c>
      <c r="V1741">
        <v>2024</v>
      </c>
      <c r="W1741">
        <v>11</v>
      </c>
    </row>
    <row r="1742" spans="1:23" x14ac:dyDescent="0.25">
      <c r="A1742" t="s">
        <v>588</v>
      </c>
      <c r="B1742">
        <v>45610.841840277782</v>
      </c>
      <c r="C1742" t="s">
        <v>589</v>
      </c>
      <c r="D1742" t="s">
        <v>262</v>
      </c>
      <c r="E1742" t="s">
        <v>71</v>
      </c>
      <c r="F1742" t="s">
        <v>2392</v>
      </c>
      <c r="G1742" t="s">
        <v>2379</v>
      </c>
      <c r="H1742">
        <v>40000</v>
      </c>
      <c r="I1742">
        <v>2</v>
      </c>
      <c r="J1742">
        <v>10</v>
      </c>
      <c r="K1742">
        <v>80000</v>
      </c>
      <c r="L1742">
        <v>8000</v>
      </c>
      <c r="M1742">
        <v>72000</v>
      </c>
      <c r="N1742">
        <v>18000</v>
      </c>
      <c r="O1742">
        <v>90000</v>
      </c>
      <c r="P1742" t="s">
        <v>29</v>
      </c>
      <c r="Q1742" t="s">
        <v>2357</v>
      </c>
      <c r="R1742" t="s">
        <v>36</v>
      </c>
      <c r="S1742">
        <v>4</v>
      </c>
      <c r="T1742" t="s">
        <v>37</v>
      </c>
      <c r="U1742" t="s">
        <v>2411</v>
      </c>
      <c r="V1742">
        <v>2024</v>
      </c>
      <c r="W1742">
        <v>11</v>
      </c>
    </row>
    <row r="1743" spans="1:23" x14ac:dyDescent="0.25">
      <c r="A1743" t="s">
        <v>590</v>
      </c>
      <c r="B1743">
        <v>45611.286041666674</v>
      </c>
      <c r="C1743" t="s">
        <v>570</v>
      </c>
      <c r="D1743" t="s">
        <v>80</v>
      </c>
      <c r="E1743" t="s">
        <v>144</v>
      </c>
      <c r="F1743" t="s">
        <v>2396</v>
      </c>
      <c r="G1743" t="s">
        <v>2379</v>
      </c>
      <c r="H1743">
        <v>18000</v>
      </c>
      <c r="I1743">
        <v>1</v>
      </c>
      <c r="J1743">
        <v>20</v>
      </c>
      <c r="K1743">
        <v>18000</v>
      </c>
      <c r="L1743">
        <v>3600</v>
      </c>
      <c r="M1743">
        <v>14400</v>
      </c>
      <c r="N1743">
        <v>74000</v>
      </c>
      <c r="O1743">
        <v>88400</v>
      </c>
      <c r="P1743" t="s">
        <v>29</v>
      </c>
      <c r="Q1743" t="s">
        <v>2357</v>
      </c>
      <c r="R1743" t="s">
        <v>23</v>
      </c>
      <c r="S1743">
        <v>1</v>
      </c>
      <c r="T1743" t="s">
        <v>24</v>
      </c>
      <c r="U1743" t="s">
        <v>2411</v>
      </c>
      <c r="V1743">
        <v>2024</v>
      </c>
      <c r="W1743">
        <v>11</v>
      </c>
    </row>
    <row r="1744" spans="1:23" x14ac:dyDescent="0.25">
      <c r="A1744" t="s">
        <v>591</v>
      </c>
      <c r="B1744">
        <v>45611.544317129628</v>
      </c>
      <c r="C1744" t="s">
        <v>237</v>
      </c>
      <c r="D1744" t="s">
        <v>238</v>
      </c>
      <c r="E1744" t="s">
        <v>41</v>
      </c>
      <c r="F1744" t="s">
        <v>2395</v>
      </c>
      <c r="G1744" t="s">
        <v>2377</v>
      </c>
      <c r="H1744">
        <v>4000</v>
      </c>
      <c r="I1744">
        <v>1</v>
      </c>
      <c r="J1744">
        <v>0</v>
      </c>
      <c r="K1744">
        <v>4000</v>
      </c>
      <c r="L1744">
        <v>0</v>
      </c>
      <c r="M1744">
        <v>4000</v>
      </c>
      <c r="N1744">
        <v>28000</v>
      </c>
      <c r="O1744">
        <v>32000</v>
      </c>
      <c r="P1744" t="s">
        <v>63</v>
      </c>
      <c r="Q1744" t="s">
        <v>2357</v>
      </c>
      <c r="R1744" t="s">
        <v>36</v>
      </c>
      <c r="S1744">
        <v>4</v>
      </c>
      <c r="T1744" t="s">
        <v>24</v>
      </c>
      <c r="U1744" t="s">
        <v>2411</v>
      </c>
      <c r="V1744">
        <v>2024</v>
      </c>
      <c r="W1744">
        <v>11</v>
      </c>
    </row>
    <row r="1745" spans="1:23" x14ac:dyDescent="0.25">
      <c r="A1745" t="s">
        <v>592</v>
      </c>
      <c r="B1745">
        <v>45611.797002314823</v>
      </c>
      <c r="C1745" t="s">
        <v>593</v>
      </c>
      <c r="D1745" t="s">
        <v>195</v>
      </c>
      <c r="E1745" t="s">
        <v>144</v>
      </c>
      <c r="F1745" t="s">
        <v>2396</v>
      </c>
      <c r="G1745" t="s">
        <v>2379</v>
      </c>
      <c r="H1745">
        <v>18000</v>
      </c>
      <c r="I1745">
        <v>2</v>
      </c>
      <c r="J1745">
        <v>5</v>
      </c>
      <c r="K1745">
        <v>36000</v>
      </c>
      <c r="L1745">
        <v>1800</v>
      </c>
      <c r="M1745">
        <v>34200</v>
      </c>
      <c r="N1745">
        <v>87000</v>
      </c>
      <c r="O1745">
        <v>121200</v>
      </c>
      <c r="P1745" t="s">
        <v>22</v>
      </c>
      <c r="Q1745" t="s">
        <v>2357</v>
      </c>
      <c r="R1745" t="s">
        <v>46</v>
      </c>
      <c r="S1745">
        <v>4</v>
      </c>
      <c r="T1745" t="s">
        <v>24</v>
      </c>
      <c r="U1745" t="s">
        <v>2411</v>
      </c>
      <c r="V1745">
        <v>2024</v>
      </c>
      <c r="W1745">
        <v>11</v>
      </c>
    </row>
    <row r="1746" spans="1:23" x14ac:dyDescent="0.25">
      <c r="A1746" t="s">
        <v>594</v>
      </c>
      <c r="B1746">
        <v>45612.002303240741</v>
      </c>
      <c r="C1746" t="s">
        <v>106</v>
      </c>
      <c r="D1746" t="s">
        <v>107</v>
      </c>
      <c r="E1746" t="s">
        <v>123</v>
      </c>
      <c r="F1746" t="s">
        <v>2399</v>
      </c>
      <c r="G1746" t="s">
        <v>2377</v>
      </c>
      <c r="H1746">
        <v>22000</v>
      </c>
      <c r="I1746">
        <v>5</v>
      </c>
      <c r="J1746">
        <v>5</v>
      </c>
      <c r="K1746">
        <v>110000</v>
      </c>
      <c r="L1746">
        <v>5500</v>
      </c>
      <c r="M1746">
        <v>104500</v>
      </c>
      <c r="N1746">
        <v>97000</v>
      </c>
      <c r="O1746">
        <v>201500</v>
      </c>
      <c r="P1746" t="s">
        <v>22</v>
      </c>
      <c r="Q1746" t="s">
        <v>2357</v>
      </c>
      <c r="R1746" t="s">
        <v>30</v>
      </c>
      <c r="S1746">
        <v>4</v>
      </c>
      <c r="T1746" t="s">
        <v>24</v>
      </c>
      <c r="U1746" t="s">
        <v>2411</v>
      </c>
      <c r="V1746">
        <v>2024</v>
      </c>
      <c r="W1746">
        <v>11</v>
      </c>
    </row>
    <row r="1747" spans="1:23" x14ac:dyDescent="0.25">
      <c r="A1747" t="s">
        <v>595</v>
      </c>
      <c r="B1747">
        <v>45612.389988425923</v>
      </c>
      <c r="C1747" t="s">
        <v>596</v>
      </c>
      <c r="D1747" t="s">
        <v>70</v>
      </c>
      <c r="E1747" t="s">
        <v>34</v>
      </c>
      <c r="F1747" t="s">
        <v>2397</v>
      </c>
      <c r="G1747" t="s">
        <v>2377</v>
      </c>
      <c r="H1747">
        <v>16000</v>
      </c>
      <c r="I1747">
        <v>3</v>
      </c>
      <c r="J1747">
        <v>20</v>
      </c>
      <c r="K1747">
        <v>48000</v>
      </c>
      <c r="L1747">
        <v>9600</v>
      </c>
      <c r="M1747">
        <v>38400</v>
      </c>
      <c r="N1747">
        <v>89000</v>
      </c>
      <c r="O1747">
        <v>127400</v>
      </c>
      <c r="P1747" t="s">
        <v>29</v>
      </c>
      <c r="Q1747" t="s">
        <v>2357</v>
      </c>
      <c r="R1747" t="s">
        <v>36</v>
      </c>
      <c r="S1747">
        <v>3</v>
      </c>
      <c r="T1747" t="s">
        <v>24</v>
      </c>
      <c r="U1747" t="s">
        <v>2411</v>
      </c>
      <c r="V1747">
        <v>2024</v>
      </c>
      <c r="W1747">
        <v>11</v>
      </c>
    </row>
    <row r="1748" spans="1:23" x14ac:dyDescent="0.25">
      <c r="A1748" t="s">
        <v>597</v>
      </c>
      <c r="B1748">
        <v>45612.498726851853</v>
      </c>
      <c r="C1748" t="s">
        <v>598</v>
      </c>
      <c r="D1748" t="s">
        <v>61</v>
      </c>
      <c r="E1748" t="s">
        <v>190</v>
      </c>
      <c r="F1748" t="s">
        <v>2392</v>
      </c>
      <c r="G1748" t="s">
        <v>2378</v>
      </c>
      <c r="H1748">
        <v>35000</v>
      </c>
      <c r="I1748">
        <v>1</v>
      </c>
      <c r="J1748">
        <v>5</v>
      </c>
      <c r="K1748">
        <v>35000</v>
      </c>
      <c r="L1748">
        <v>1750</v>
      </c>
      <c r="M1748">
        <v>33250</v>
      </c>
      <c r="N1748">
        <v>26000</v>
      </c>
      <c r="O1748">
        <v>59250</v>
      </c>
      <c r="P1748" t="s">
        <v>29</v>
      </c>
      <c r="Q1748" t="s">
        <v>2357</v>
      </c>
      <c r="R1748" t="s">
        <v>46</v>
      </c>
      <c r="S1748">
        <v>4</v>
      </c>
      <c r="T1748" t="s">
        <v>24</v>
      </c>
      <c r="U1748" t="s">
        <v>2411</v>
      </c>
      <c r="V1748">
        <v>2024</v>
      </c>
      <c r="W1748">
        <v>11</v>
      </c>
    </row>
    <row r="1749" spans="1:23" x14ac:dyDescent="0.25">
      <c r="A1749" t="s">
        <v>599</v>
      </c>
      <c r="B1749">
        <v>45612.743634259263</v>
      </c>
      <c r="C1749" t="s">
        <v>443</v>
      </c>
      <c r="D1749" t="s">
        <v>53</v>
      </c>
      <c r="E1749" t="s">
        <v>54</v>
      </c>
      <c r="F1749" t="s">
        <v>2393</v>
      </c>
      <c r="G1749" t="s">
        <v>2379</v>
      </c>
      <c r="H1749">
        <v>16000</v>
      </c>
      <c r="I1749">
        <v>2</v>
      </c>
      <c r="J1749">
        <v>5</v>
      </c>
      <c r="K1749">
        <v>32000</v>
      </c>
      <c r="L1749">
        <v>1600</v>
      </c>
      <c r="M1749">
        <v>30400</v>
      </c>
      <c r="N1749">
        <v>18000</v>
      </c>
      <c r="O1749">
        <v>48400</v>
      </c>
      <c r="P1749" t="s">
        <v>35</v>
      </c>
      <c r="Q1749" t="s">
        <v>2357</v>
      </c>
      <c r="R1749" t="s">
        <v>36</v>
      </c>
      <c r="S1749">
        <v>2</v>
      </c>
      <c r="T1749" t="s">
        <v>24</v>
      </c>
      <c r="U1749" t="s">
        <v>2411</v>
      </c>
      <c r="V1749">
        <v>2024</v>
      </c>
      <c r="W1749">
        <v>11</v>
      </c>
    </row>
    <row r="1750" spans="1:23" x14ac:dyDescent="0.25">
      <c r="A1750" t="s">
        <v>600</v>
      </c>
      <c r="B1750">
        <v>45612.747106481482</v>
      </c>
      <c r="C1750" t="s">
        <v>601</v>
      </c>
      <c r="D1750" t="s">
        <v>119</v>
      </c>
      <c r="E1750" t="s">
        <v>93</v>
      </c>
      <c r="F1750" t="s">
        <v>2399</v>
      </c>
      <c r="G1750" t="s">
        <v>2378</v>
      </c>
      <c r="H1750">
        <v>25000</v>
      </c>
      <c r="I1750">
        <v>4</v>
      </c>
      <c r="J1750">
        <v>0</v>
      </c>
      <c r="K1750">
        <v>100000</v>
      </c>
      <c r="L1750">
        <v>0</v>
      </c>
      <c r="M1750">
        <v>100000</v>
      </c>
      <c r="N1750">
        <v>0</v>
      </c>
      <c r="O1750">
        <v>100000</v>
      </c>
      <c r="P1750" t="s">
        <v>22</v>
      </c>
      <c r="Q1750" t="s">
        <v>2357</v>
      </c>
      <c r="R1750" t="s">
        <v>46</v>
      </c>
      <c r="S1750">
        <v>3</v>
      </c>
      <c r="T1750" t="s">
        <v>24</v>
      </c>
      <c r="U1750" t="s">
        <v>2411</v>
      </c>
      <c r="V1750">
        <v>2024</v>
      </c>
      <c r="W1750">
        <v>11</v>
      </c>
    </row>
    <row r="1751" spans="1:23" x14ac:dyDescent="0.25">
      <c r="A1751" t="s">
        <v>602</v>
      </c>
      <c r="B1751">
        <v>45612.995729166672</v>
      </c>
      <c r="C1751" t="s">
        <v>603</v>
      </c>
      <c r="D1751" t="s">
        <v>53</v>
      </c>
      <c r="E1751" t="s">
        <v>34</v>
      </c>
      <c r="F1751" t="s">
        <v>2397</v>
      </c>
      <c r="G1751" t="s">
        <v>2377</v>
      </c>
      <c r="H1751">
        <v>16000</v>
      </c>
      <c r="I1751">
        <v>3</v>
      </c>
      <c r="J1751">
        <v>20</v>
      </c>
      <c r="K1751">
        <v>48000</v>
      </c>
      <c r="L1751">
        <v>9600</v>
      </c>
      <c r="M1751">
        <v>38400</v>
      </c>
      <c r="N1751">
        <v>18000</v>
      </c>
      <c r="O1751">
        <v>56400</v>
      </c>
      <c r="P1751" t="s">
        <v>29</v>
      </c>
      <c r="Q1751" t="s">
        <v>2356</v>
      </c>
      <c r="R1751" t="s">
        <v>23</v>
      </c>
      <c r="S1751">
        <v>1</v>
      </c>
      <c r="T1751" t="s">
        <v>24</v>
      </c>
      <c r="U1751" t="s">
        <v>2411</v>
      </c>
      <c r="V1751">
        <v>2024</v>
      </c>
      <c r="W1751">
        <v>11</v>
      </c>
    </row>
    <row r="1752" spans="1:23" x14ac:dyDescent="0.25">
      <c r="A1752" t="s">
        <v>604</v>
      </c>
      <c r="B1752">
        <v>45613.129432870373</v>
      </c>
      <c r="C1752" t="s">
        <v>605</v>
      </c>
      <c r="D1752" t="s">
        <v>151</v>
      </c>
      <c r="E1752" t="s">
        <v>75</v>
      </c>
      <c r="F1752" t="s">
        <v>2398</v>
      </c>
      <c r="G1752" t="s">
        <v>2379</v>
      </c>
      <c r="H1752">
        <v>55000</v>
      </c>
      <c r="I1752">
        <v>4</v>
      </c>
      <c r="J1752">
        <v>20</v>
      </c>
      <c r="K1752">
        <v>220000</v>
      </c>
      <c r="L1752">
        <v>44000</v>
      </c>
      <c r="M1752">
        <v>176000</v>
      </c>
      <c r="N1752">
        <v>55000</v>
      </c>
      <c r="O1752">
        <v>231000</v>
      </c>
      <c r="P1752" t="s">
        <v>29</v>
      </c>
      <c r="Q1752" t="s">
        <v>2357</v>
      </c>
      <c r="R1752" t="s">
        <v>46</v>
      </c>
      <c r="S1752">
        <v>2</v>
      </c>
      <c r="T1752" t="s">
        <v>24</v>
      </c>
      <c r="U1752" t="s">
        <v>2411</v>
      </c>
      <c r="V1752">
        <v>2024</v>
      </c>
      <c r="W1752">
        <v>11</v>
      </c>
    </row>
    <row r="1753" spans="1:23" x14ac:dyDescent="0.25">
      <c r="A1753" t="s">
        <v>606</v>
      </c>
      <c r="B1753">
        <v>45613.286724537043</v>
      </c>
      <c r="C1753" t="s">
        <v>416</v>
      </c>
      <c r="D1753" t="s">
        <v>131</v>
      </c>
      <c r="E1753" t="s">
        <v>38</v>
      </c>
      <c r="F1753" t="s">
        <v>2399</v>
      </c>
      <c r="G1753" t="s">
        <v>2379</v>
      </c>
      <c r="H1753">
        <v>28000</v>
      </c>
      <c r="I1753">
        <v>5</v>
      </c>
      <c r="J1753">
        <v>5</v>
      </c>
      <c r="K1753">
        <v>140000</v>
      </c>
      <c r="L1753">
        <v>7000</v>
      </c>
      <c r="M1753">
        <v>133000</v>
      </c>
      <c r="N1753">
        <v>59000</v>
      </c>
      <c r="O1753">
        <v>192000</v>
      </c>
      <c r="P1753" t="s">
        <v>63</v>
      </c>
      <c r="Q1753" t="s">
        <v>2357</v>
      </c>
      <c r="R1753" t="s">
        <v>46</v>
      </c>
      <c r="S1753">
        <v>1</v>
      </c>
      <c r="T1753" t="s">
        <v>24</v>
      </c>
      <c r="U1753" t="s">
        <v>2411</v>
      </c>
      <c r="V1753">
        <v>2024</v>
      </c>
      <c r="W1753">
        <v>11</v>
      </c>
    </row>
    <row r="1754" spans="1:23" x14ac:dyDescent="0.25">
      <c r="A1754" t="s">
        <v>607</v>
      </c>
      <c r="B1754">
        <v>45613.345520833333</v>
      </c>
      <c r="C1754" t="s">
        <v>48</v>
      </c>
      <c r="D1754" t="s">
        <v>49</v>
      </c>
      <c r="E1754" t="s">
        <v>136</v>
      </c>
      <c r="F1754" t="s">
        <v>2400</v>
      </c>
      <c r="G1754" t="s">
        <v>2378</v>
      </c>
      <c r="H1754">
        <v>12000</v>
      </c>
      <c r="I1754">
        <v>1</v>
      </c>
      <c r="J1754">
        <v>0</v>
      </c>
      <c r="K1754">
        <v>12000</v>
      </c>
      <c r="L1754">
        <v>0</v>
      </c>
      <c r="M1754">
        <v>12000</v>
      </c>
      <c r="N1754">
        <v>43000</v>
      </c>
      <c r="O1754">
        <v>55000</v>
      </c>
      <c r="P1754" t="s">
        <v>22</v>
      </c>
      <c r="Q1754" t="s">
        <v>2357</v>
      </c>
      <c r="R1754" t="s">
        <v>30</v>
      </c>
      <c r="S1754">
        <v>4</v>
      </c>
      <c r="T1754" t="s">
        <v>24</v>
      </c>
      <c r="U1754" t="s">
        <v>2411</v>
      </c>
      <c r="V1754">
        <v>2024</v>
      </c>
      <c r="W1754">
        <v>11</v>
      </c>
    </row>
    <row r="1755" spans="1:23" x14ac:dyDescent="0.25">
      <c r="A1755" t="s">
        <v>608</v>
      </c>
      <c r="B1755">
        <v>45613.462488425917</v>
      </c>
      <c r="C1755" t="s">
        <v>609</v>
      </c>
      <c r="D1755" t="s">
        <v>80</v>
      </c>
      <c r="E1755" t="s">
        <v>104</v>
      </c>
      <c r="F1755" t="s">
        <v>2392</v>
      </c>
      <c r="G1755" t="s">
        <v>2377</v>
      </c>
      <c r="H1755">
        <v>30000</v>
      </c>
      <c r="I1755">
        <v>2</v>
      </c>
      <c r="J1755">
        <v>15</v>
      </c>
      <c r="K1755">
        <v>60000</v>
      </c>
      <c r="L1755">
        <v>9000</v>
      </c>
      <c r="M1755">
        <v>51000</v>
      </c>
      <c r="N1755">
        <v>74000</v>
      </c>
      <c r="O1755">
        <v>125000</v>
      </c>
      <c r="P1755" t="s">
        <v>63</v>
      </c>
      <c r="Q1755" t="s">
        <v>2357</v>
      </c>
      <c r="R1755" t="s">
        <v>82</v>
      </c>
      <c r="S1755">
        <v>2</v>
      </c>
      <c r="T1755" t="s">
        <v>24</v>
      </c>
      <c r="U1755" t="s">
        <v>2411</v>
      </c>
      <c r="V1755">
        <v>2024</v>
      </c>
      <c r="W1755">
        <v>11</v>
      </c>
    </row>
    <row r="1756" spans="1:23" x14ac:dyDescent="0.25">
      <c r="A1756" t="s">
        <v>610</v>
      </c>
      <c r="B1756">
        <v>45613.683703703697</v>
      </c>
      <c r="C1756" t="s">
        <v>281</v>
      </c>
      <c r="D1756" t="s">
        <v>151</v>
      </c>
      <c r="E1756" t="s">
        <v>54</v>
      </c>
      <c r="F1756" t="s">
        <v>2393</v>
      </c>
      <c r="G1756" t="s">
        <v>2379</v>
      </c>
      <c r="H1756">
        <v>16000</v>
      </c>
      <c r="I1756">
        <v>4</v>
      </c>
      <c r="J1756">
        <v>15</v>
      </c>
      <c r="K1756">
        <v>64000</v>
      </c>
      <c r="L1756">
        <v>9600</v>
      </c>
      <c r="M1756">
        <v>54400</v>
      </c>
      <c r="N1756">
        <v>55000</v>
      </c>
      <c r="O1756">
        <v>109400</v>
      </c>
      <c r="P1756" t="s">
        <v>29</v>
      </c>
      <c r="Q1756" t="s">
        <v>2357</v>
      </c>
      <c r="R1756" t="s">
        <v>36</v>
      </c>
      <c r="S1756">
        <v>1</v>
      </c>
      <c r="T1756" t="s">
        <v>24</v>
      </c>
      <c r="U1756" t="s">
        <v>2411</v>
      </c>
      <c r="V1756">
        <v>2024</v>
      </c>
      <c r="W1756">
        <v>11</v>
      </c>
    </row>
    <row r="1757" spans="1:23" x14ac:dyDescent="0.25">
      <c r="A1757" t="s">
        <v>611</v>
      </c>
      <c r="B1757">
        <v>45613.832777777781</v>
      </c>
      <c r="C1757" t="s">
        <v>502</v>
      </c>
      <c r="D1757" t="s">
        <v>107</v>
      </c>
      <c r="E1757" t="s">
        <v>21</v>
      </c>
      <c r="F1757" t="s">
        <v>2394</v>
      </c>
      <c r="G1757" t="s">
        <v>2379</v>
      </c>
      <c r="H1757">
        <v>45000</v>
      </c>
      <c r="I1757">
        <v>2</v>
      </c>
      <c r="J1757">
        <v>20</v>
      </c>
      <c r="K1757">
        <v>90000</v>
      </c>
      <c r="L1757">
        <v>18000</v>
      </c>
      <c r="M1757">
        <v>72000</v>
      </c>
      <c r="N1757">
        <v>97000</v>
      </c>
      <c r="O1757">
        <v>169000</v>
      </c>
      <c r="P1757" t="s">
        <v>35</v>
      </c>
      <c r="Q1757" t="s">
        <v>2357</v>
      </c>
      <c r="R1757" t="s">
        <v>23</v>
      </c>
      <c r="S1757">
        <v>2</v>
      </c>
      <c r="T1757" t="s">
        <v>24</v>
      </c>
      <c r="U1757" t="s">
        <v>2411</v>
      </c>
      <c r="V1757">
        <v>2024</v>
      </c>
      <c r="W1757">
        <v>11</v>
      </c>
    </row>
    <row r="1758" spans="1:23" x14ac:dyDescent="0.25">
      <c r="A1758" t="s">
        <v>611</v>
      </c>
      <c r="B1758">
        <v>45613.832777777781</v>
      </c>
      <c r="C1758" t="s">
        <v>502</v>
      </c>
      <c r="D1758" t="s">
        <v>107</v>
      </c>
      <c r="E1758" t="s">
        <v>81</v>
      </c>
      <c r="F1758" t="s">
        <v>2397</v>
      </c>
      <c r="G1758" t="s">
        <v>2378</v>
      </c>
      <c r="H1758">
        <v>17000</v>
      </c>
      <c r="I1758">
        <v>1</v>
      </c>
      <c r="J1758">
        <v>5</v>
      </c>
      <c r="K1758">
        <v>17000</v>
      </c>
      <c r="L1758">
        <v>850</v>
      </c>
      <c r="M1758">
        <v>16150</v>
      </c>
      <c r="N1758">
        <v>0</v>
      </c>
      <c r="O1758">
        <v>16150</v>
      </c>
      <c r="P1758" t="s">
        <v>35</v>
      </c>
      <c r="Q1758" t="s">
        <v>2357</v>
      </c>
      <c r="R1758" t="s">
        <v>23</v>
      </c>
      <c r="S1758">
        <v>2</v>
      </c>
      <c r="T1758" t="s">
        <v>24</v>
      </c>
      <c r="U1758" t="s">
        <v>2411</v>
      </c>
      <c r="V1758">
        <v>2024</v>
      </c>
      <c r="W1758">
        <v>11</v>
      </c>
    </row>
    <row r="1759" spans="1:23" x14ac:dyDescent="0.25">
      <c r="A1759" t="s">
        <v>612</v>
      </c>
      <c r="B1759">
        <v>45614.040023148147</v>
      </c>
      <c r="C1759" t="s">
        <v>613</v>
      </c>
      <c r="D1759" t="s">
        <v>375</v>
      </c>
      <c r="E1759" t="s">
        <v>38</v>
      </c>
      <c r="F1759" t="s">
        <v>2399</v>
      </c>
      <c r="G1759" t="s">
        <v>2379</v>
      </c>
      <c r="H1759">
        <v>28000</v>
      </c>
      <c r="I1759">
        <v>2</v>
      </c>
      <c r="J1759">
        <v>10</v>
      </c>
      <c r="K1759">
        <v>56000</v>
      </c>
      <c r="L1759">
        <v>5600</v>
      </c>
      <c r="M1759">
        <v>50400</v>
      </c>
      <c r="N1759">
        <v>21000</v>
      </c>
      <c r="O1759">
        <v>71400</v>
      </c>
      <c r="P1759" t="s">
        <v>22</v>
      </c>
      <c r="Q1759" t="s">
        <v>2357</v>
      </c>
      <c r="R1759" t="s">
        <v>23</v>
      </c>
      <c r="S1759">
        <v>1</v>
      </c>
      <c r="T1759" t="s">
        <v>24</v>
      </c>
      <c r="U1759" t="s">
        <v>2411</v>
      </c>
      <c r="V1759">
        <v>2024</v>
      </c>
      <c r="W1759">
        <v>11</v>
      </c>
    </row>
    <row r="1760" spans="1:23" x14ac:dyDescent="0.25">
      <c r="A1760" t="s">
        <v>614</v>
      </c>
      <c r="B1760">
        <v>45614.308680555558</v>
      </c>
      <c r="C1760" t="s">
        <v>615</v>
      </c>
      <c r="D1760" t="s">
        <v>92</v>
      </c>
      <c r="E1760" t="s">
        <v>67</v>
      </c>
      <c r="F1760" t="s">
        <v>2393</v>
      </c>
      <c r="G1760" t="s">
        <v>2378</v>
      </c>
      <c r="H1760">
        <v>15000</v>
      </c>
      <c r="I1760">
        <v>3</v>
      </c>
      <c r="J1760">
        <v>15</v>
      </c>
      <c r="K1760">
        <v>45000</v>
      </c>
      <c r="L1760">
        <v>6750</v>
      </c>
      <c r="M1760">
        <v>38250</v>
      </c>
      <c r="N1760">
        <v>30000</v>
      </c>
      <c r="O1760">
        <v>68250</v>
      </c>
      <c r="P1760" t="s">
        <v>35</v>
      </c>
      <c r="Q1760" t="s">
        <v>2357</v>
      </c>
      <c r="R1760" t="s">
        <v>30</v>
      </c>
      <c r="S1760">
        <v>4</v>
      </c>
      <c r="T1760" t="s">
        <v>24</v>
      </c>
      <c r="U1760" t="s">
        <v>2411</v>
      </c>
      <c r="V1760">
        <v>2024</v>
      </c>
      <c r="W1760">
        <v>11</v>
      </c>
    </row>
    <row r="1761" spans="1:23" x14ac:dyDescent="0.25">
      <c r="A1761" t="s">
        <v>616</v>
      </c>
      <c r="B1761">
        <v>45614.526041666657</v>
      </c>
      <c r="C1761" t="s">
        <v>582</v>
      </c>
      <c r="D1761" t="s">
        <v>435</v>
      </c>
      <c r="E1761" t="s">
        <v>85</v>
      </c>
      <c r="F1761" t="s">
        <v>2394</v>
      </c>
      <c r="G1761" t="s">
        <v>2377</v>
      </c>
      <c r="H1761">
        <v>35000</v>
      </c>
      <c r="I1761">
        <v>5</v>
      </c>
      <c r="J1761">
        <v>0</v>
      </c>
      <c r="K1761">
        <v>175000</v>
      </c>
      <c r="L1761">
        <v>0</v>
      </c>
      <c r="M1761">
        <v>175000</v>
      </c>
      <c r="N1761">
        <v>67000</v>
      </c>
      <c r="O1761">
        <v>242000</v>
      </c>
      <c r="P1761" t="s">
        <v>29</v>
      </c>
      <c r="Q1761" t="s">
        <v>2356</v>
      </c>
      <c r="R1761" t="s">
        <v>82</v>
      </c>
      <c r="S1761">
        <v>2</v>
      </c>
      <c r="T1761" t="s">
        <v>24</v>
      </c>
      <c r="U1761" t="s">
        <v>2411</v>
      </c>
      <c r="V1761">
        <v>2024</v>
      </c>
      <c r="W1761">
        <v>11</v>
      </c>
    </row>
    <row r="1762" spans="1:23" x14ac:dyDescent="0.25">
      <c r="A1762" t="s">
        <v>617</v>
      </c>
      <c r="B1762">
        <v>45614.849224537043</v>
      </c>
      <c r="C1762" t="s">
        <v>229</v>
      </c>
      <c r="D1762" t="s">
        <v>195</v>
      </c>
      <c r="E1762" t="s">
        <v>21</v>
      </c>
      <c r="F1762" t="s">
        <v>2394</v>
      </c>
      <c r="G1762" t="s">
        <v>2379</v>
      </c>
      <c r="H1762">
        <v>45000</v>
      </c>
      <c r="I1762">
        <v>3</v>
      </c>
      <c r="J1762">
        <v>20</v>
      </c>
      <c r="K1762">
        <v>135000</v>
      </c>
      <c r="L1762">
        <v>27000</v>
      </c>
      <c r="M1762">
        <v>108000</v>
      </c>
      <c r="N1762">
        <v>87000</v>
      </c>
      <c r="O1762">
        <v>195000</v>
      </c>
      <c r="P1762" t="s">
        <v>22</v>
      </c>
      <c r="Q1762" t="s">
        <v>2357</v>
      </c>
      <c r="R1762" t="s">
        <v>82</v>
      </c>
      <c r="S1762">
        <v>1</v>
      </c>
      <c r="T1762" t="s">
        <v>24</v>
      </c>
      <c r="U1762" t="s">
        <v>2411</v>
      </c>
      <c r="V1762">
        <v>2024</v>
      </c>
      <c r="W1762">
        <v>11</v>
      </c>
    </row>
    <row r="1763" spans="1:23" x14ac:dyDescent="0.25">
      <c r="A1763" t="s">
        <v>618</v>
      </c>
      <c r="B1763">
        <v>45615.017175925917</v>
      </c>
      <c r="C1763" t="s">
        <v>619</v>
      </c>
      <c r="D1763" t="s">
        <v>435</v>
      </c>
      <c r="E1763" t="s">
        <v>186</v>
      </c>
      <c r="F1763" t="s">
        <v>2398</v>
      </c>
      <c r="G1763" t="s">
        <v>2377</v>
      </c>
      <c r="H1763">
        <v>45000</v>
      </c>
      <c r="I1763">
        <v>3</v>
      </c>
      <c r="J1763">
        <v>20</v>
      </c>
      <c r="K1763">
        <v>135000</v>
      </c>
      <c r="L1763">
        <v>27000</v>
      </c>
      <c r="M1763">
        <v>108000</v>
      </c>
      <c r="N1763">
        <v>67000</v>
      </c>
      <c r="O1763">
        <v>175000</v>
      </c>
      <c r="P1763" t="s">
        <v>63</v>
      </c>
      <c r="Q1763" t="s">
        <v>2357</v>
      </c>
      <c r="R1763" t="s">
        <v>36</v>
      </c>
      <c r="S1763">
        <v>2</v>
      </c>
      <c r="T1763" t="s">
        <v>24</v>
      </c>
      <c r="U1763" t="s">
        <v>2411</v>
      </c>
      <c r="V1763">
        <v>2024</v>
      </c>
      <c r="W1763">
        <v>11</v>
      </c>
    </row>
    <row r="1764" spans="1:23" x14ac:dyDescent="0.25">
      <c r="A1764" t="s">
        <v>620</v>
      </c>
      <c r="B1764">
        <v>45615.215370370373</v>
      </c>
      <c r="C1764" t="s">
        <v>165</v>
      </c>
      <c r="D1764" t="s">
        <v>143</v>
      </c>
      <c r="E1764" t="s">
        <v>144</v>
      </c>
      <c r="F1764" t="s">
        <v>2396</v>
      </c>
      <c r="G1764" t="s">
        <v>2379</v>
      </c>
      <c r="H1764">
        <v>18000</v>
      </c>
      <c r="I1764">
        <v>2</v>
      </c>
      <c r="J1764">
        <v>15</v>
      </c>
      <c r="K1764">
        <v>36000</v>
      </c>
      <c r="L1764">
        <v>5400</v>
      </c>
      <c r="M1764">
        <v>30600</v>
      </c>
      <c r="N1764">
        <v>50000</v>
      </c>
      <c r="O1764">
        <v>80600</v>
      </c>
      <c r="P1764" t="s">
        <v>63</v>
      </c>
      <c r="Q1764" t="s">
        <v>2357</v>
      </c>
      <c r="R1764" t="s">
        <v>30</v>
      </c>
      <c r="S1764">
        <v>2</v>
      </c>
      <c r="T1764" t="s">
        <v>24</v>
      </c>
      <c r="U1764" t="s">
        <v>2411</v>
      </c>
      <c r="V1764">
        <v>2024</v>
      </c>
      <c r="W1764">
        <v>11</v>
      </c>
    </row>
    <row r="1765" spans="1:23" x14ac:dyDescent="0.25">
      <c r="A1765" t="s">
        <v>621</v>
      </c>
      <c r="B1765">
        <v>45615.262997685182</v>
      </c>
      <c r="C1765" t="s">
        <v>197</v>
      </c>
      <c r="D1765" t="s">
        <v>119</v>
      </c>
      <c r="E1765" t="s">
        <v>67</v>
      </c>
      <c r="F1765" t="s">
        <v>2393</v>
      </c>
      <c r="G1765" t="s">
        <v>2378</v>
      </c>
      <c r="H1765">
        <v>15000</v>
      </c>
      <c r="I1765">
        <v>3</v>
      </c>
      <c r="J1765">
        <v>0</v>
      </c>
      <c r="K1765">
        <v>45000</v>
      </c>
      <c r="L1765">
        <v>0</v>
      </c>
      <c r="M1765">
        <v>45000</v>
      </c>
      <c r="N1765">
        <v>0</v>
      </c>
      <c r="O1765">
        <v>45000</v>
      </c>
      <c r="P1765" t="s">
        <v>29</v>
      </c>
      <c r="Q1765" t="s">
        <v>2357</v>
      </c>
      <c r="R1765" t="s">
        <v>46</v>
      </c>
      <c r="S1765">
        <v>2</v>
      </c>
      <c r="T1765" t="s">
        <v>37</v>
      </c>
      <c r="U1765" t="s">
        <v>2411</v>
      </c>
      <c r="V1765">
        <v>2024</v>
      </c>
      <c r="W1765">
        <v>11</v>
      </c>
    </row>
    <row r="1766" spans="1:23" x14ac:dyDescent="0.25">
      <c r="A1766" t="s">
        <v>622</v>
      </c>
      <c r="B1766">
        <v>45615.423321759263</v>
      </c>
      <c r="C1766" t="s">
        <v>56</v>
      </c>
      <c r="D1766" t="s">
        <v>57</v>
      </c>
      <c r="E1766" t="s">
        <v>34</v>
      </c>
      <c r="F1766" t="s">
        <v>2397</v>
      </c>
      <c r="G1766" t="s">
        <v>2377</v>
      </c>
      <c r="H1766">
        <v>16000</v>
      </c>
      <c r="I1766">
        <v>1</v>
      </c>
      <c r="J1766">
        <v>10</v>
      </c>
      <c r="K1766">
        <v>16000</v>
      </c>
      <c r="L1766">
        <v>1600</v>
      </c>
      <c r="M1766">
        <v>14400</v>
      </c>
      <c r="N1766">
        <v>80000</v>
      </c>
      <c r="O1766">
        <v>94400</v>
      </c>
      <c r="P1766" t="s">
        <v>29</v>
      </c>
      <c r="Q1766" t="s">
        <v>2357</v>
      </c>
      <c r="R1766" t="s">
        <v>82</v>
      </c>
      <c r="S1766">
        <v>2</v>
      </c>
      <c r="T1766" t="s">
        <v>24</v>
      </c>
      <c r="U1766" t="s">
        <v>2411</v>
      </c>
      <c r="V1766">
        <v>2024</v>
      </c>
      <c r="W1766">
        <v>11</v>
      </c>
    </row>
    <row r="1767" spans="1:23" x14ac:dyDescent="0.25">
      <c r="A1767" t="s">
        <v>623</v>
      </c>
      <c r="B1767">
        <v>45615.481932870367</v>
      </c>
      <c r="C1767" t="s">
        <v>220</v>
      </c>
      <c r="D1767" t="s">
        <v>53</v>
      </c>
      <c r="E1767" t="s">
        <v>123</v>
      </c>
      <c r="F1767" t="s">
        <v>2399</v>
      </c>
      <c r="G1767" t="s">
        <v>2377</v>
      </c>
      <c r="H1767">
        <v>22000</v>
      </c>
      <c r="I1767">
        <v>5</v>
      </c>
      <c r="J1767">
        <v>10</v>
      </c>
      <c r="K1767">
        <v>110000</v>
      </c>
      <c r="L1767">
        <v>11000</v>
      </c>
      <c r="M1767">
        <v>99000</v>
      </c>
      <c r="N1767">
        <v>18000</v>
      </c>
      <c r="O1767">
        <v>117000</v>
      </c>
      <c r="P1767" t="s">
        <v>29</v>
      </c>
      <c r="Q1767" t="s">
        <v>2357</v>
      </c>
      <c r="R1767" t="s">
        <v>82</v>
      </c>
      <c r="S1767">
        <v>5</v>
      </c>
      <c r="T1767" t="s">
        <v>24</v>
      </c>
      <c r="U1767" t="s">
        <v>2411</v>
      </c>
      <c r="V1767">
        <v>2024</v>
      </c>
      <c r="W1767">
        <v>11</v>
      </c>
    </row>
    <row r="1768" spans="1:23" x14ac:dyDescent="0.25">
      <c r="A1768" t="s">
        <v>624</v>
      </c>
      <c r="B1768">
        <v>45615.579155092593</v>
      </c>
      <c r="C1768" t="s">
        <v>199</v>
      </c>
      <c r="D1768" t="s">
        <v>143</v>
      </c>
      <c r="E1768" t="s">
        <v>45</v>
      </c>
      <c r="F1768" t="s">
        <v>2394</v>
      </c>
      <c r="G1768" t="s">
        <v>2378</v>
      </c>
      <c r="H1768">
        <v>40000</v>
      </c>
      <c r="I1768">
        <v>5</v>
      </c>
      <c r="J1768">
        <v>0</v>
      </c>
      <c r="K1768">
        <v>200000</v>
      </c>
      <c r="L1768">
        <v>0</v>
      </c>
      <c r="M1768">
        <v>200000</v>
      </c>
      <c r="N1768">
        <v>50000</v>
      </c>
      <c r="O1768">
        <v>250000</v>
      </c>
      <c r="P1768" t="s">
        <v>35</v>
      </c>
      <c r="Q1768" t="s">
        <v>2356</v>
      </c>
      <c r="R1768" t="s">
        <v>46</v>
      </c>
      <c r="S1768">
        <v>5</v>
      </c>
      <c r="T1768" t="s">
        <v>24</v>
      </c>
      <c r="U1768" t="s">
        <v>2411</v>
      </c>
      <c r="V1768">
        <v>2024</v>
      </c>
      <c r="W1768">
        <v>11</v>
      </c>
    </row>
    <row r="1769" spans="1:23" x14ac:dyDescent="0.25">
      <c r="A1769" t="s">
        <v>625</v>
      </c>
      <c r="B1769">
        <v>45616.226400462961</v>
      </c>
      <c r="C1769" t="s">
        <v>626</v>
      </c>
      <c r="D1769" t="s">
        <v>296</v>
      </c>
      <c r="E1769" t="s">
        <v>81</v>
      </c>
      <c r="F1769" t="s">
        <v>2397</v>
      </c>
      <c r="G1769" t="s">
        <v>2378</v>
      </c>
      <c r="H1769">
        <v>17000</v>
      </c>
      <c r="I1769">
        <v>3</v>
      </c>
      <c r="J1769">
        <v>5</v>
      </c>
      <c r="K1769">
        <v>51000</v>
      </c>
      <c r="L1769">
        <v>2550</v>
      </c>
      <c r="M1769">
        <v>48450</v>
      </c>
      <c r="N1769">
        <v>79000</v>
      </c>
      <c r="O1769">
        <v>127450</v>
      </c>
      <c r="P1769" t="s">
        <v>29</v>
      </c>
      <c r="Q1769" t="s">
        <v>2357</v>
      </c>
      <c r="R1769" t="s">
        <v>46</v>
      </c>
      <c r="S1769">
        <v>1</v>
      </c>
      <c r="T1769" t="s">
        <v>24</v>
      </c>
      <c r="U1769" t="s">
        <v>2411</v>
      </c>
      <c r="V1769">
        <v>2024</v>
      </c>
      <c r="W1769">
        <v>11</v>
      </c>
    </row>
    <row r="1770" spans="1:23" x14ac:dyDescent="0.25">
      <c r="A1770" t="s">
        <v>627</v>
      </c>
      <c r="B1770">
        <v>45616.279016203713</v>
      </c>
      <c r="C1770" t="s">
        <v>510</v>
      </c>
      <c r="D1770" t="s">
        <v>96</v>
      </c>
      <c r="E1770" t="s">
        <v>45</v>
      </c>
      <c r="F1770" t="s">
        <v>2394</v>
      </c>
      <c r="G1770" t="s">
        <v>2378</v>
      </c>
      <c r="H1770">
        <v>40000</v>
      </c>
      <c r="I1770">
        <v>4</v>
      </c>
      <c r="J1770">
        <v>10</v>
      </c>
      <c r="K1770">
        <v>160000</v>
      </c>
      <c r="L1770">
        <v>16000</v>
      </c>
      <c r="M1770">
        <v>144000</v>
      </c>
      <c r="N1770">
        <v>49000</v>
      </c>
      <c r="O1770">
        <v>193000</v>
      </c>
      <c r="P1770" t="s">
        <v>29</v>
      </c>
      <c r="Q1770" t="s">
        <v>2357</v>
      </c>
      <c r="R1770" t="s">
        <v>46</v>
      </c>
      <c r="S1770">
        <v>4</v>
      </c>
      <c r="T1770" t="s">
        <v>24</v>
      </c>
      <c r="U1770" t="s">
        <v>2411</v>
      </c>
      <c r="V1770">
        <v>2024</v>
      </c>
      <c r="W1770">
        <v>11</v>
      </c>
    </row>
    <row r="1771" spans="1:23" x14ac:dyDescent="0.25">
      <c r="A1771" t="s">
        <v>628</v>
      </c>
      <c r="B1771">
        <v>45616.395312499997</v>
      </c>
      <c r="C1771" t="s">
        <v>520</v>
      </c>
      <c r="D1771" t="s">
        <v>103</v>
      </c>
      <c r="E1771" t="s">
        <v>104</v>
      </c>
      <c r="F1771" t="s">
        <v>2392</v>
      </c>
      <c r="G1771" t="s">
        <v>2377</v>
      </c>
      <c r="H1771">
        <v>30000</v>
      </c>
      <c r="I1771">
        <v>2</v>
      </c>
      <c r="J1771">
        <v>15</v>
      </c>
      <c r="K1771">
        <v>60000</v>
      </c>
      <c r="L1771">
        <v>9000</v>
      </c>
      <c r="M1771">
        <v>51000</v>
      </c>
      <c r="N1771">
        <v>85000</v>
      </c>
      <c r="O1771">
        <v>136000</v>
      </c>
      <c r="P1771" t="s">
        <v>35</v>
      </c>
      <c r="Q1771" t="s">
        <v>2357</v>
      </c>
      <c r="R1771" t="s">
        <v>46</v>
      </c>
      <c r="S1771">
        <v>4</v>
      </c>
      <c r="T1771" t="s">
        <v>24</v>
      </c>
      <c r="U1771" t="s">
        <v>2411</v>
      </c>
      <c r="V1771">
        <v>2024</v>
      </c>
      <c r="W1771">
        <v>11</v>
      </c>
    </row>
    <row r="1772" spans="1:23" x14ac:dyDescent="0.25">
      <c r="A1772" t="s">
        <v>629</v>
      </c>
      <c r="B1772">
        <v>45616.472708333327</v>
      </c>
      <c r="C1772" t="s">
        <v>477</v>
      </c>
      <c r="D1772" t="s">
        <v>182</v>
      </c>
      <c r="E1772" t="s">
        <v>250</v>
      </c>
      <c r="F1772" t="s">
        <v>2397</v>
      </c>
      <c r="G1772" t="s">
        <v>2379</v>
      </c>
      <c r="H1772">
        <v>18000</v>
      </c>
      <c r="I1772">
        <v>2</v>
      </c>
      <c r="J1772">
        <v>10</v>
      </c>
      <c r="K1772">
        <v>36000</v>
      </c>
      <c r="L1772">
        <v>3600</v>
      </c>
      <c r="M1772">
        <v>32400</v>
      </c>
      <c r="N1772">
        <v>48000</v>
      </c>
      <c r="O1772">
        <v>80400</v>
      </c>
      <c r="P1772" t="s">
        <v>29</v>
      </c>
      <c r="Q1772" t="s">
        <v>2357</v>
      </c>
      <c r="R1772" t="s">
        <v>23</v>
      </c>
      <c r="S1772">
        <v>4</v>
      </c>
      <c r="T1772" t="s">
        <v>24</v>
      </c>
      <c r="U1772" t="s">
        <v>2411</v>
      </c>
      <c r="V1772">
        <v>2024</v>
      </c>
      <c r="W1772">
        <v>11</v>
      </c>
    </row>
    <row r="1773" spans="1:23" x14ac:dyDescent="0.25">
      <c r="A1773" t="s">
        <v>630</v>
      </c>
      <c r="B1773">
        <v>45616.565740740742</v>
      </c>
      <c r="C1773" t="s">
        <v>631</v>
      </c>
      <c r="D1773" t="s">
        <v>20</v>
      </c>
      <c r="E1773" t="s">
        <v>21</v>
      </c>
      <c r="F1773" t="s">
        <v>2394</v>
      </c>
      <c r="G1773" t="s">
        <v>2379</v>
      </c>
      <c r="H1773">
        <v>45000</v>
      </c>
      <c r="I1773">
        <v>1</v>
      </c>
      <c r="J1773">
        <v>0</v>
      </c>
      <c r="K1773">
        <v>45000</v>
      </c>
      <c r="L1773">
        <v>0</v>
      </c>
      <c r="M1773">
        <v>45000</v>
      </c>
      <c r="N1773">
        <v>15000</v>
      </c>
      <c r="O1773">
        <v>60000</v>
      </c>
      <c r="P1773" t="s">
        <v>35</v>
      </c>
      <c r="Q1773" t="s">
        <v>2357</v>
      </c>
      <c r="R1773" t="s">
        <v>46</v>
      </c>
      <c r="S1773">
        <v>3</v>
      </c>
      <c r="T1773" t="s">
        <v>37</v>
      </c>
      <c r="U1773" t="s">
        <v>2411</v>
      </c>
      <c r="V1773">
        <v>2024</v>
      </c>
      <c r="W1773">
        <v>11</v>
      </c>
    </row>
    <row r="1774" spans="1:23" x14ac:dyDescent="0.25">
      <c r="A1774" t="s">
        <v>632</v>
      </c>
      <c r="B1774">
        <v>45616.811388888891</v>
      </c>
      <c r="C1774" t="s">
        <v>65</v>
      </c>
      <c r="D1774" t="s">
        <v>66</v>
      </c>
      <c r="E1774" t="s">
        <v>45</v>
      </c>
      <c r="F1774" t="s">
        <v>2394</v>
      </c>
      <c r="G1774" t="s">
        <v>2378</v>
      </c>
      <c r="H1774">
        <v>40000</v>
      </c>
      <c r="I1774">
        <v>2</v>
      </c>
      <c r="J1774">
        <v>5</v>
      </c>
      <c r="K1774">
        <v>80000</v>
      </c>
      <c r="L1774">
        <v>4000</v>
      </c>
      <c r="M1774">
        <v>76000</v>
      </c>
      <c r="N1774">
        <v>59000</v>
      </c>
      <c r="O1774">
        <v>135000</v>
      </c>
      <c r="P1774" t="s">
        <v>35</v>
      </c>
      <c r="Q1774" t="s">
        <v>2357</v>
      </c>
      <c r="R1774" t="s">
        <v>23</v>
      </c>
      <c r="S1774">
        <v>3</v>
      </c>
      <c r="T1774" t="s">
        <v>37</v>
      </c>
      <c r="U1774" t="s">
        <v>2411</v>
      </c>
      <c r="V1774">
        <v>2024</v>
      </c>
      <c r="W1774">
        <v>11</v>
      </c>
    </row>
    <row r="1775" spans="1:23" x14ac:dyDescent="0.25">
      <c r="A1775" t="s">
        <v>633</v>
      </c>
      <c r="B1775">
        <v>45617.048101851848</v>
      </c>
      <c r="C1775" t="s">
        <v>252</v>
      </c>
      <c r="D1775" t="s">
        <v>131</v>
      </c>
      <c r="E1775" t="s">
        <v>67</v>
      </c>
      <c r="F1775" t="s">
        <v>2393</v>
      </c>
      <c r="G1775" t="s">
        <v>2378</v>
      </c>
      <c r="H1775">
        <v>15000</v>
      </c>
      <c r="I1775">
        <v>1</v>
      </c>
      <c r="J1775">
        <v>10</v>
      </c>
      <c r="K1775">
        <v>15000</v>
      </c>
      <c r="L1775">
        <v>1500</v>
      </c>
      <c r="M1775">
        <v>13500</v>
      </c>
      <c r="N1775">
        <v>59000</v>
      </c>
      <c r="O1775">
        <v>72500</v>
      </c>
      <c r="P1775" t="s">
        <v>22</v>
      </c>
      <c r="Q1775" t="s">
        <v>2357</v>
      </c>
      <c r="R1775" t="s">
        <v>23</v>
      </c>
      <c r="S1775">
        <v>4</v>
      </c>
      <c r="T1775" t="s">
        <v>24</v>
      </c>
      <c r="U1775" t="s">
        <v>2411</v>
      </c>
      <c r="V1775">
        <v>2024</v>
      </c>
      <c r="W1775">
        <v>11</v>
      </c>
    </row>
    <row r="1776" spans="1:23" x14ac:dyDescent="0.25">
      <c r="A1776" t="s">
        <v>634</v>
      </c>
      <c r="B1776">
        <v>45617.547268518523</v>
      </c>
      <c r="C1776" t="s">
        <v>635</v>
      </c>
      <c r="D1776" t="s">
        <v>103</v>
      </c>
      <c r="E1776" t="s">
        <v>41</v>
      </c>
      <c r="F1776" t="s">
        <v>2395</v>
      </c>
      <c r="G1776" t="s">
        <v>2377</v>
      </c>
      <c r="H1776">
        <v>4000</v>
      </c>
      <c r="I1776">
        <v>2</v>
      </c>
      <c r="J1776">
        <v>0</v>
      </c>
      <c r="K1776">
        <v>8000</v>
      </c>
      <c r="L1776">
        <v>0</v>
      </c>
      <c r="M1776">
        <v>8000</v>
      </c>
      <c r="N1776">
        <v>85000</v>
      </c>
      <c r="O1776">
        <v>93000</v>
      </c>
      <c r="P1776" t="s">
        <v>22</v>
      </c>
      <c r="Q1776" t="s">
        <v>2357</v>
      </c>
      <c r="R1776" t="s">
        <v>46</v>
      </c>
      <c r="S1776">
        <v>5</v>
      </c>
      <c r="T1776" t="s">
        <v>24</v>
      </c>
      <c r="U1776" t="s">
        <v>2411</v>
      </c>
      <c r="V1776">
        <v>2024</v>
      </c>
      <c r="W1776">
        <v>11</v>
      </c>
    </row>
    <row r="1777" spans="1:23" x14ac:dyDescent="0.25">
      <c r="A1777" t="s">
        <v>636</v>
      </c>
      <c r="B1777">
        <v>45617.552997685183</v>
      </c>
      <c r="C1777" t="s">
        <v>355</v>
      </c>
      <c r="D1777" t="s">
        <v>116</v>
      </c>
      <c r="E1777" t="s">
        <v>45</v>
      </c>
      <c r="F1777" t="s">
        <v>2394</v>
      </c>
      <c r="G1777" t="s">
        <v>2378</v>
      </c>
      <c r="H1777">
        <v>40000</v>
      </c>
      <c r="I1777">
        <v>5</v>
      </c>
      <c r="J1777">
        <v>0</v>
      </c>
      <c r="K1777">
        <v>200000</v>
      </c>
      <c r="L1777">
        <v>0</v>
      </c>
      <c r="M1777">
        <v>200000</v>
      </c>
      <c r="N1777">
        <v>72000</v>
      </c>
      <c r="O1777">
        <v>272000</v>
      </c>
      <c r="P1777" t="s">
        <v>63</v>
      </c>
      <c r="Q1777" t="s">
        <v>2356</v>
      </c>
      <c r="R1777" t="s">
        <v>82</v>
      </c>
      <c r="S1777">
        <v>2</v>
      </c>
      <c r="T1777" t="s">
        <v>24</v>
      </c>
      <c r="U1777" t="s">
        <v>2411</v>
      </c>
      <c r="V1777">
        <v>2024</v>
      </c>
      <c r="W1777">
        <v>11</v>
      </c>
    </row>
    <row r="1778" spans="1:23" x14ac:dyDescent="0.25">
      <c r="A1778" t="s">
        <v>637</v>
      </c>
      <c r="B1778">
        <v>45617.958738425928</v>
      </c>
      <c r="C1778" t="s">
        <v>638</v>
      </c>
      <c r="D1778" t="s">
        <v>195</v>
      </c>
      <c r="E1778" t="s">
        <v>34</v>
      </c>
      <c r="F1778" t="s">
        <v>2397</v>
      </c>
      <c r="G1778" t="s">
        <v>2377</v>
      </c>
      <c r="H1778">
        <v>16000</v>
      </c>
      <c r="I1778">
        <v>2</v>
      </c>
      <c r="J1778">
        <v>10</v>
      </c>
      <c r="K1778">
        <v>32000</v>
      </c>
      <c r="L1778">
        <v>3200</v>
      </c>
      <c r="M1778">
        <v>28800</v>
      </c>
      <c r="N1778">
        <v>87000</v>
      </c>
      <c r="O1778">
        <v>115800</v>
      </c>
      <c r="P1778" t="s">
        <v>22</v>
      </c>
      <c r="Q1778" t="s">
        <v>2357</v>
      </c>
      <c r="R1778" t="s">
        <v>46</v>
      </c>
      <c r="S1778">
        <v>5</v>
      </c>
      <c r="T1778" t="s">
        <v>37</v>
      </c>
      <c r="U1778" t="s">
        <v>2411</v>
      </c>
      <c r="V1778">
        <v>2024</v>
      </c>
      <c r="W1778">
        <v>11</v>
      </c>
    </row>
    <row r="1779" spans="1:23" x14ac:dyDescent="0.25">
      <c r="A1779" t="s">
        <v>639</v>
      </c>
      <c r="B1779">
        <v>45618.118530092594</v>
      </c>
      <c r="C1779" t="s">
        <v>523</v>
      </c>
      <c r="D1779" t="s">
        <v>113</v>
      </c>
      <c r="E1779" t="s">
        <v>67</v>
      </c>
      <c r="F1779" t="s">
        <v>2393</v>
      </c>
      <c r="G1779" t="s">
        <v>2378</v>
      </c>
      <c r="H1779">
        <v>15000</v>
      </c>
      <c r="I1779">
        <v>3</v>
      </c>
      <c r="J1779">
        <v>0</v>
      </c>
      <c r="K1779">
        <v>45000</v>
      </c>
      <c r="L1779">
        <v>0</v>
      </c>
      <c r="M1779">
        <v>45000</v>
      </c>
      <c r="N1779">
        <v>18000</v>
      </c>
      <c r="O1779">
        <v>63000</v>
      </c>
      <c r="P1779" t="s">
        <v>63</v>
      </c>
      <c r="Q1779" t="s">
        <v>2357</v>
      </c>
      <c r="R1779" t="s">
        <v>46</v>
      </c>
      <c r="S1779">
        <v>5</v>
      </c>
      <c r="T1779" t="s">
        <v>24</v>
      </c>
      <c r="U1779" t="s">
        <v>2411</v>
      </c>
      <c r="V1779">
        <v>2024</v>
      </c>
      <c r="W1779">
        <v>11</v>
      </c>
    </row>
    <row r="1780" spans="1:23" x14ac:dyDescent="0.25">
      <c r="A1780" t="s">
        <v>640</v>
      </c>
      <c r="B1780">
        <v>45618.215092592603</v>
      </c>
      <c r="C1780" t="s">
        <v>513</v>
      </c>
      <c r="D1780" t="s">
        <v>182</v>
      </c>
      <c r="E1780" t="s">
        <v>123</v>
      </c>
      <c r="F1780" t="s">
        <v>2399</v>
      </c>
      <c r="G1780" t="s">
        <v>2377</v>
      </c>
      <c r="H1780">
        <v>22000</v>
      </c>
      <c r="I1780">
        <v>5</v>
      </c>
      <c r="J1780">
        <v>0</v>
      </c>
      <c r="K1780">
        <v>110000</v>
      </c>
      <c r="L1780">
        <v>0</v>
      </c>
      <c r="M1780">
        <v>110000</v>
      </c>
      <c r="N1780">
        <v>48000</v>
      </c>
      <c r="O1780">
        <v>158000</v>
      </c>
      <c r="P1780" t="s">
        <v>29</v>
      </c>
      <c r="Q1780" t="s">
        <v>2357</v>
      </c>
      <c r="R1780" t="s">
        <v>23</v>
      </c>
      <c r="S1780">
        <v>1</v>
      </c>
      <c r="T1780" t="s">
        <v>24</v>
      </c>
      <c r="U1780" t="s">
        <v>2411</v>
      </c>
      <c r="V1780">
        <v>2024</v>
      </c>
      <c r="W1780">
        <v>11</v>
      </c>
    </row>
    <row r="1781" spans="1:23" x14ac:dyDescent="0.25">
      <c r="A1781" t="s">
        <v>641</v>
      </c>
      <c r="B1781">
        <v>45618.394178240742</v>
      </c>
      <c r="C1781" t="s">
        <v>642</v>
      </c>
      <c r="D1781" t="s">
        <v>160</v>
      </c>
      <c r="E1781" t="s">
        <v>75</v>
      </c>
      <c r="F1781" t="s">
        <v>2398</v>
      </c>
      <c r="G1781" t="s">
        <v>2379</v>
      </c>
      <c r="H1781">
        <v>55000</v>
      </c>
      <c r="I1781">
        <v>2</v>
      </c>
      <c r="J1781">
        <v>5</v>
      </c>
      <c r="K1781">
        <v>110000</v>
      </c>
      <c r="L1781">
        <v>5500</v>
      </c>
      <c r="M1781">
        <v>104500</v>
      </c>
      <c r="N1781">
        <v>68000</v>
      </c>
      <c r="O1781">
        <v>172500</v>
      </c>
      <c r="P1781" t="s">
        <v>22</v>
      </c>
      <c r="Q1781" t="s">
        <v>2357</v>
      </c>
      <c r="R1781" t="s">
        <v>30</v>
      </c>
      <c r="S1781">
        <v>2</v>
      </c>
      <c r="T1781" t="s">
        <v>24</v>
      </c>
      <c r="U1781" t="s">
        <v>2411</v>
      </c>
      <c r="V1781">
        <v>2024</v>
      </c>
      <c r="W1781">
        <v>11</v>
      </c>
    </row>
    <row r="1782" spans="1:23" x14ac:dyDescent="0.25">
      <c r="A1782" t="s">
        <v>643</v>
      </c>
      <c r="B1782">
        <v>45618.446053240739</v>
      </c>
      <c r="C1782" t="s">
        <v>644</v>
      </c>
      <c r="D1782" t="s">
        <v>244</v>
      </c>
      <c r="E1782" t="s">
        <v>186</v>
      </c>
      <c r="F1782" t="s">
        <v>2398</v>
      </c>
      <c r="G1782" t="s">
        <v>2377</v>
      </c>
      <c r="H1782">
        <v>45000</v>
      </c>
      <c r="I1782">
        <v>5</v>
      </c>
      <c r="J1782">
        <v>15</v>
      </c>
      <c r="K1782">
        <v>225000</v>
      </c>
      <c r="L1782">
        <v>33750</v>
      </c>
      <c r="M1782">
        <v>191250</v>
      </c>
      <c r="N1782">
        <v>80000</v>
      </c>
      <c r="O1782">
        <v>271250</v>
      </c>
      <c r="P1782" t="s">
        <v>63</v>
      </c>
      <c r="Q1782" t="s">
        <v>2357</v>
      </c>
      <c r="R1782" t="s">
        <v>36</v>
      </c>
      <c r="S1782">
        <v>2</v>
      </c>
      <c r="T1782" t="s">
        <v>24</v>
      </c>
      <c r="U1782" t="s">
        <v>2411</v>
      </c>
      <c r="V1782">
        <v>2024</v>
      </c>
      <c r="W1782">
        <v>11</v>
      </c>
    </row>
    <row r="1783" spans="1:23" x14ac:dyDescent="0.25">
      <c r="A1783" t="s">
        <v>645</v>
      </c>
      <c r="B1783">
        <v>45618.534259259257</v>
      </c>
      <c r="C1783" t="s">
        <v>261</v>
      </c>
      <c r="D1783" t="s">
        <v>262</v>
      </c>
      <c r="E1783" t="s">
        <v>136</v>
      </c>
      <c r="F1783" t="s">
        <v>2400</v>
      </c>
      <c r="G1783" t="s">
        <v>2378</v>
      </c>
      <c r="H1783">
        <v>12000</v>
      </c>
      <c r="I1783">
        <v>5</v>
      </c>
      <c r="J1783">
        <v>15</v>
      </c>
      <c r="K1783">
        <v>60000</v>
      </c>
      <c r="L1783">
        <v>9000</v>
      </c>
      <c r="M1783">
        <v>51000</v>
      </c>
      <c r="N1783">
        <v>18000</v>
      </c>
      <c r="O1783">
        <v>69000</v>
      </c>
      <c r="P1783" t="s">
        <v>29</v>
      </c>
      <c r="Q1783" t="s">
        <v>2357</v>
      </c>
      <c r="R1783" t="s">
        <v>23</v>
      </c>
      <c r="S1783">
        <v>5</v>
      </c>
      <c r="T1783" t="s">
        <v>24</v>
      </c>
      <c r="U1783" t="s">
        <v>2411</v>
      </c>
      <c r="V1783">
        <v>2024</v>
      </c>
      <c r="W1783">
        <v>11</v>
      </c>
    </row>
    <row r="1784" spans="1:23" x14ac:dyDescent="0.25">
      <c r="A1784" t="s">
        <v>645</v>
      </c>
      <c r="B1784">
        <v>45618.534259259257</v>
      </c>
      <c r="C1784" t="s">
        <v>261</v>
      </c>
      <c r="D1784" t="s">
        <v>262</v>
      </c>
      <c r="E1784" t="s">
        <v>38</v>
      </c>
      <c r="F1784" t="s">
        <v>2399</v>
      </c>
      <c r="G1784" t="s">
        <v>2379</v>
      </c>
      <c r="H1784">
        <v>28000</v>
      </c>
      <c r="I1784">
        <v>2</v>
      </c>
      <c r="J1784">
        <v>5</v>
      </c>
      <c r="K1784">
        <v>56000</v>
      </c>
      <c r="L1784">
        <v>2800</v>
      </c>
      <c r="M1784">
        <v>53200</v>
      </c>
      <c r="N1784">
        <v>0</v>
      </c>
      <c r="O1784">
        <v>53200</v>
      </c>
      <c r="P1784" t="s">
        <v>29</v>
      </c>
      <c r="Q1784" t="s">
        <v>2357</v>
      </c>
      <c r="R1784" t="s">
        <v>23</v>
      </c>
      <c r="S1784">
        <v>5</v>
      </c>
      <c r="T1784" t="s">
        <v>24</v>
      </c>
      <c r="U1784" t="s">
        <v>2411</v>
      </c>
      <c r="V1784">
        <v>2024</v>
      </c>
      <c r="W1784">
        <v>11</v>
      </c>
    </row>
    <row r="1785" spans="1:23" x14ac:dyDescent="0.25">
      <c r="A1785" t="s">
        <v>646</v>
      </c>
      <c r="B1785">
        <v>45618.840358796297</v>
      </c>
      <c r="C1785" t="s">
        <v>551</v>
      </c>
      <c r="D1785" t="s">
        <v>262</v>
      </c>
      <c r="E1785" t="s">
        <v>50</v>
      </c>
      <c r="F1785" t="s">
        <v>2400</v>
      </c>
      <c r="G1785" t="s">
        <v>2379</v>
      </c>
      <c r="H1785">
        <v>14000</v>
      </c>
      <c r="I1785">
        <v>1</v>
      </c>
      <c r="J1785">
        <v>15</v>
      </c>
      <c r="K1785">
        <v>14000</v>
      </c>
      <c r="L1785">
        <v>2100</v>
      </c>
      <c r="M1785">
        <v>11900</v>
      </c>
      <c r="N1785">
        <v>18000</v>
      </c>
      <c r="O1785">
        <v>29900</v>
      </c>
      <c r="P1785" t="s">
        <v>63</v>
      </c>
      <c r="Q1785" t="s">
        <v>2357</v>
      </c>
      <c r="R1785" t="s">
        <v>30</v>
      </c>
      <c r="S1785">
        <v>5</v>
      </c>
      <c r="T1785" t="s">
        <v>37</v>
      </c>
      <c r="U1785" t="s">
        <v>2411</v>
      </c>
      <c r="V1785">
        <v>2024</v>
      </c>
      <c r="W1785">
        <v>11</v>
      </c>
    </row>
    <row r="1786" spans="1:23" x14ac:dyDescent="0.25">
      <c r="A1786" t="s">
        <v>647</v>
      </c>
      <c r="B1786">
        <v>45618.88616898148</v>
      </c>
      <c r="C1786" t="s">
        <v>615</v>
      </c>
      <c r="D1786" t="s">
        <v>92</v>
      </c>
      <c r="E1786" t="s">
        <v>104</v>
      </c>
      <c r="F1786" t="s">
        <v>2392</v>
      </c>
      <c r="G1786" t="s">
        <v>2377</v>
      </c>
      <c r="H1786">
        <v>30000</v>
      </c>
      <c r="I1786">
        <v>4</v>
      </c>
      <c r="J1786">
        <v>15</v>
      </c>
      <c r="K1786">
        <v>120000</v>
      </c>
      <c r="L1786">
        <v>18000</v>
      </c>
      <c r="M1786">
        <v>102000</v>
      </c>
      <c r="N1786">
        <v>30000</v>
      </c>
      <c r="O1786">
        <v>132000</v>
      </c>
      <c r="P1786" t="s">
        <v>35</v>
      </c>
      <c r="Q1786" t="s">
        <v>2357</v>
      </c>
      <c r="R1786" t="s">
        <v>46</v>
      </c>
      <c r="S1786">
        <v>2</v>
      </c>
      <c r="T1786" t="s">
        <v>24</v>
      </c>
      <c r="U1786" t="s">
        <v>2411</v>
      </c>
      <c r="V1786">
        <v>2024</v>
      </c>
      <c r="W1786">
        <v>11</v>
      </c>
    </row>
    <row r="1787" spans="1:23" x14ac:dyDescent="0.25">
      <c r="A1787" t="s">
        <v>648</v>
      </c>
      <c r="B1787">
        <v>45618.896921296298</v>
      </c>
      <c r="C1787" t="s">
        <v>649</v>
      </c>
      <c r="D1787" t="s">
        <v>177</v>
      </c>
      <c r="E1787" t="s">
        <v>45</v>
      </c>
      <c r="F1787" t="s">
        <v>2394</v>
      </c>
      <c r="G1787" t="s">
        <v>2378</v>
      </c>
      <c r="H1787">
        <v>40000</v>
      </c>
      <c r="I1787">
        <v>3</v>
      </c>
      <c r="J1787">
        <v>5</v>
      </c>
      <c r="K1787">
        <v>120000</v>
      </c>
      <c r="L1787">
        <v>6000</v>
      </c>
      <c r="M1787">
        <v>114000</v>
      </c>
      <c r="N1787">
        <v>56000</v>
      </c>
      <c r="O1787">
        <v>170000</v>
      </c>
      <c r="P1787" t="s">
        <v>22</v>
      </c>
      <c r="Q1787" t="s">
        <v>2357</v>
      </c>
      <c r="R1787" t="s">
        <v>46</v>
      </c>
      <c r="S1787">
        <v>1</v>
      </c>
      <c r="T1787" t="s">
        <v>24</v>
      </c>
      <c r="U1787" t="s">
        <v>2411</v>
      </c>
      <c r="V1787">
        <v>2024</v>
      </c>
      <c r="W1787">
        <v>11</v>
      </c>
    </row>
    <row r="1788" spans="1:23" x14ac:dyDescent="0.25">
      <c r="A1788" t="s">
        <v>648</v>
      </c>
      <c r="B1788">
        <v>45618.896921296298</v>
      </c>
      <c r="C1788" t="s">
        <v>649</v>
      </c>
      <c r="D1788" t="s">
        <v>177</v>
      </c>
      <c r="E1788" t="s">
        <v>45</v>
      </c>
      <c r="F1788" t="s">
        <v>2394</v>
      </c>
      <c r="G1788" t="s">
        <v>2378</v>
      </c>
      <c r="H1788">
        <v>40000</v>
      </c>
      <c r="I1788">
        <v>3</v>
      </c>
      <c r="J1788">
        <v>5</v>
      </c>
      <c r="K1788">
        <v>120000</v>
      </c>
      <c r="L1788">
        <v>6000</v>
      </c>
      <c r="M1788">
        <v>114000</v>
      </c>
      <c r="N1788">
        <v>0</v>
      </c>
      <c r="O1788">
        <v>114000</v>
      </c>
      <c r="P1788" t="s">
        <v>22</v>
      </c>
      <c r="Q1788" t="s">
        <v>2357</v>
      </c>
      <c r="R1788" t="s">
        <v>46</v>
      </c>
      <c r="S1788">
        <v>1</v>
      </c>
      <c r="T1788" t="s">
        <v>24</v>
      </c>
      <c r="U1788" t="s">
        <v>2411</v>
      </c>
      <c r="V1788">
        <v>2024</v>
      </c>
      <c r="W1788">
        <v>11</v>
      </c>
    </row>
    <row r="1789" spans="1:23" x14ac:dyDescent="0.25">
      <c r="A1789" t="s">
        <v>650</v>
      </c>
      <c r="B1789">
        <v>45618.925833333327</v>
      </c>
      <c r="C1789" t="s">
        <v>651</v>
      </c>
      <c r="D1789" t="s">
        <v>182</v>
      </c>
      <c r="E1789" t="s">
        <v>88</v>
      </c>
      <c r="F1789" t="s">
        <v>2393</v>
      </c>
      <c r="G1789" t="s">
        <v>2377</v>
      </c>
      <c r="H1789">
        <v>14000</v>
      </c>
      <c r="I1789">
        <v>1</v>
      </c>
      <c r="J1789">
        <v>15</v>
      </c>
      <c r="K1789">
        <v>14000</v>
      </c>
      <c r="L1789">
        <v>2100</v>
      </c>
      <c r="M1789">
        <v>11900</v>
      </c>
      <c r="N1789">
        <v>48000</v>
      </c>
      <c r="O1789">
        <v>59900</v>
      </c>
      <c r="P1789" t="s">
        <v>22</v>
      </c>
      <c r="Q1789" t="s">
        <v>2356</v>
      </c>
      <c r="R1789" t="s">
        <v>46</v>
      </c>
      <c r="S1789">
        <v>1</v>
      </c>
      <c r="T1789" t="s">
        <v>37</v>
      </c>
      <c r="U1789" t="s">
        <v>2411</v>
      </c>
      <c r="V1789">
        <v>2024</v>
      </c>
      <c r="W1789">
        <v>11</v>
      </c>
    </row>
    <row r="1790" spans="1:23" x14ac:dyDescent="0.25">
      <c r="A1790" t="s">
        <v>652</v>
      </c>
      <c r="B1790">
        <v>45619.086608796293</v>
      </c>
      <c r="C1790" t="s">
        <v>439</v>
      </c>
      <c r="D1790" t="s">
        <v>119</v>
      </c>
      <c r="E1790" t="s">
        <v>186</v>
      </c>
      <c r="F1790" t="s">
        <v>2398</v>
      </c>
      <c r="G1790" t="s">
        <v>2377</v>
      </c>
      <c r="H1790">
        <v>45000</v>
      </c>
      <c r="I1790">
        <v>5</v>
      </c>
      <c r="J1790">
        <v>5</v>
      </c>
      <c r="K1790">
        <v>225000</v>
      </c>
      <c r="L1790">
        <v>11250</v>
      </c>
      <c r="M1790">
        <v>213750</v>
      </c>
      <c r="N1790">
        <v>0</v>
      </c>
      <c r="O1790">
        <v>213750</v>
      </c>
      <c r="P1790" t="s">
        <v>35</v>
      </c>
      <c r="Q1790" t="s">
        <v>2357</v>
      </c>
      <c r="R1790" t="s">
        <v>82</v>
      </c>
      <c r="S1790">
        <v>5</v>
      </c>
      <c r="T1790" t="s">
        <v>37</v>
      </c>
      <c r="U1790" t="s">
        <v>2411</v>
      </c>
      <c r="V1790">
        <v>2024</v>
      </c>
      <c r="W1790">
        <v>11</v>
      </c>
    </row>
    <row r="1791" spans="1:23" x14ac:dyDescent="0.25">
      <c r="A1791" t="s">
        <v>653</v>
      </c>
      <c r="B1791">
        <v>45619.327951388892</v>
      </c>
      <c r="C1791" t="s">
        <v>654</v>
      </c>
      <c r="D1791" t="s">
        <v>375</v>
      </c>
      <c r="E1791" t="s">
        <v>67</v>
      </c>
      <c r="F1791" t="s">
        <v>2393</v>
      </c>
      <c r="G1791" t="s">
        <v>2378</v>
      </c>
      <c r="H1791">
        <v>15000</v>
      </c>
      <c r="I1791">
        <v>2</v>
      </c>
      <c r="J1791">
        <v>0</v>
      </c>
      <c r="K1791">
        <v>30000</v>
      </c>
      <c r="L1791">
        <v>0</v>
      </c>
      <c r="M1791">
        <v>30000</v>
      </c>
      <c r="N1791">
        <v>21000</v>
      </c>
      <c r="O1791">
        <v>51000</v>
      </c>
      <c r="P1791" t="s">
        <v>22</v>
      </c>
      <c r="Q1791" t="s">
        <v>2357</v>
      </c>
      <c r="R1791" t="s">
        <v>82</v>
      </c>
      <c r="S1791">
        <v>1</v>
      </c>
      <c r="T1791" t="s">
        <v>24</v>
      </c>
      <c r="U1791" t="s">
        <v>2411</v>
      </c>
      <c r="V1791">
        <v>2024</v>
      </c>
      <c r="W1791">
        <v>11</v>
      </c>
    </row>
    <row r="1792" spans="1:23" x14ac:dyDescent="0.25">
      <c r="A1792" t="s">
        <v>655</v>
      </c>
      <c r="B1792">
        <v>45619.772673611107</v>
      </c>
      <c r="C1792" t="s">
        <v>656</v>
      </c>
      <c r="D1792" t="s">
        <v>195</v>
      </c>
      <c r="E1792" t="s">
        <v>45</v>
      </c>
      <c r="F1792" t="s">
        <v>2394</v>
      </c>
      <c r="G1792" t="s">
        <v>2378</v>
      </c>
      <c r="H1792">
        <v>40000</v>
      </c>
      <c r="I1792">
        <v>3</v>
      </c>
      <c r="J1792">
        <v>0</v>
      </c>
      <c r="K1792">
        <v>120000</v>
      </c>
      <c r="L1792">
        <v>0</v>
      </c>
      <c r="M1792">
        <v>120000</v>
      </c>
      <c r="N1792">
        <v>87000</v>
      </c>
      <c r="O1792">
        <v>207000</v>
      </c>
      <c r="P1792" t="s">
        <v>63</v>
      </c>
      <c r="Q1792" t="s">
        <v>2357</v>
      </c>
      <c r="R1792" t="s">
        <v>46</v>
      </c>
      <c r="S1792">
        <v>2</v>
      </c>
      <c r="T1792" t="s">
        <v>37</v>
      </c>
      <c r="U1792" t="s">
        <v>2411</v>
      </c>
      <c r="V1792">
        <v>2024</v>
      </c>
      <c r="W1792">
        <v>11</v>
      </c>
    </row>
    <row r="1793" spans="1:23" x14ac:dyDescent="0.25">
      <c r="A1793" t="s">
        <v>657</v>
      </c>
      <c r="B1793">
        <v>45619.772916666669</v>
      </c>
      <c r="C1793" t="s">
        <v>211</v>
      </c>
      <c r="D1793" t="s">
        <v>49</v>
      </c>
      <c r="E1793" t="s">
        <v>34</v>
      </c>
      <c r="F1793" t="s">
        <v>2397</v>
      </c>
      <c r="G1793" t="s">
        <v>2377</v>
      </c>
      <c r="H1793">
        <v>16000</v>
      </c>
      <c r="I1793">
        <v>3</v>
      </c>
      <c r="J1793">
        <v>20</v>
      </c>
      <c r="K1793">
        <v>48000</v>
      </c>
      <c r="L1793">
        <v>9600</v>
      </c>
      <c r="M1793">
        <v>38400</v>
      </c>
      <c r="N1793">
        <v>43000</v>
      </c>
      <c r="O1793">
        <v>81400</v>
      </c>
      <c r="P1793" t="s">
        <v>22</v>
      </c>
      <c r="Q1793" t="s">
        <v>2357</v>
      </c>
      <c r="R1793" t="s">
        <v>46</v>
      </c>
      <c r="S1793">
        <v>4</v>
      </c>
      <c r="T1793" t="s">
        <v>24</v>
      </c>
      <c r="U1793" t="s">
        <v>2411</v>
      </c>
      <c r="V1793">
        <v>2024</v>
      </c>
      <c r="W1793">
        <v>11</v>
      </c>
    </row>
    <row r="1794" spans="1:23" x14ac:dyDescent="0.25">
      <c r="A1794" t="s">
        <v>657</v>
      </c>
      <c r="B1794">
        <v>45619.772916666669</v>
      </c>
      <c r="C1794" t="s">
        <v>211</v>
      </c>
      <c r="D1794" t="s">
        <v>49</v>
      </c>
      <c r="E1794" t="s">
        <v>50</v>
      </c>
      <c r="F1794" t="s">
        <v>2400</v>
      </c>
      <c r="G1794" t="s">
        <v>2379</v>
      </c>
      <c r="H1794">
        <v>14000</v>
      </c>
      <c r="I1794">
        <v>2</v>
      </c>
      <c r="J1794">
        <v>15</v>
      </c>
      <c r="K1794">
        <v>28000</v>
      </c>
      <c r="L1794">
        <v>4200</v>
      </c>
      <c r="M1794">
        <v>23800</v>
      </c>
      <c r="N1794">
        <v>0</v>
      </c>
      <c r="O1794">
        <v>23800</v>
      </c>
      <c r="P1794" t="s">
        <v>22</v>
      </c>
      <c r="Q1794" t="s">
        <v>2357</v>
      </c>
      <c r="R1794" t="s">
        <v>46</v>
      </c>
      <c r="S1794">
        <v>4</v>
      </c>
      <c r="T1794" t="s">
        <v>24</v>
      </c>
      <c r="U1794" t="s">
        <v>2411</v>
      </c>
      <c r="V1794">
        <v>2024</v>
      </c>
      <c r="W1794">
        <v>11</v>
      </c>
    </row>
    <row r="1795" spans="1:23" x14ac:dyDescent="0.25">
      <c r="A1795" t="s">
        <v>658</v>
      </c>
      <c r="B1795">
        <v>45620.43949074074</v>
      </c>
      <c r="C1795" t="s">
        <v>391</v>
      </c>
      <c r="D1795" t="s">
        <v>122</v>
      </c>
      <c r="E1795" t="s">
        <v>28</v>
      </c>
      <c r="F1795" t="s">
        <v>2395</v>
      </c>
      <c r="G1795" t="s">
        <v>2378</v>
      </c>
      <c r="H1795">
        <v>5000</v>
      </c>
      <c r="I1795">
        <v>4</v>
      </c>
      <c r="J1795">
        <v>5</v>
      </c>
      <c r="K1795">
        <v>20000</v>
      </c>
      <c r="L1795">
        <v>1000</v>
      </c>
      <c r="M1795">
        <v>19000</v>
      </c>
      <c r="N1795">
        <v>78000</v>
      </c>
      <c r="O1795">
        <v>97000</v>
      </c>
      <c r="P1795" t="s">
        <v>29</v>
      </c>
      <c r="Q1795" t="s">
        <v>2356</v>
      </c>
      <c r="R1795" t="s">
        <v>30</v>
      </c>
      <c r="S1795">
        <v>5</v>
      </c>
      <c r="T1795" t="s">
        <v>24</v>
      </c>
      <c r="U1795" t="s">
        <v>2411</v>
      </c>
      <c r="V1795">
        <v>2024</v>
      </c>
      <c r="W1795">
        <v>11</v>
      </c>
    </row>
    <row r="1796" spans="1:23" x14ac:dyDescent="0.25">
      <c r="A1796" t="s">
        <v>659</v>
      </c>
      <c r="B1796">
        <v>45620.572939814818</v>
      </c>
      <c r="C1796" t="s">
        <v>194</v>
      </c>
      <c r="D1796" t="s">
        <v>195</v>
      </c>
      <c r="E1796" t="s">
        <v>21</v>
      </c>
      <c r="F1796" t="s">
        <v>2394</v>
      </c>
      <c r="G1796" t="s">
        <v>2379</v>
      </c>
      <c r="H1796">
        <v>45000</v>
      </c>
      <c r="I1796">
        <v>1</v>
      </c>
      <c r="J1796">
        <v>20</v>
      </c>
      <c r="K1796">
        <v>45000</v>
      </c>
      <c r="L1796">
        <v>9000</v>
      </c>
      <c r="M1796">
        <v>36000</v>
      </c>
      <c r="N1796">
        <v>87000</v>
      </c>
      <c r="O1796">
        <v>123000</v>
      </c>
      <c r="P1796" t="s">
        <v>63</v>
      </c>
      <c r="Q1796" t="s">
        <v>2357</v>
      </c>
      <c r="R1796" t="s">
        <v>82</v>
      </c>
      <c r="S1796">
        <v>4</v>
      </c>
      <c r="T1796" t="s">
        <v>24</v>
      </c>
      <c r="U1796" t="s">
        <v>2411</v>
      </c>
      <c r="V1796">
        <v>2024</v>
      </c>
      <c r="W1796">
        <v>11</v>
      </c>
    </row>
    <row r="1797" spans="1:23" x14ac:dyDescent="0.25">
      <c r="A1797" t="s">
        <v>660</v>
      </c>
      <c r="B1797">
        <v>45620.671018518522</v>
      </c>
      <c r="C1797" t="s">
        <v>661</v>
      </c>
      <c r="D1797" t="s">
        <v>49</v>
      </c>
      <c r="E1797" t="s">
        <v>34</v>
      </c>
      <c r="F1797" t="s">
        <v>2397</v>
      </c>
      <c r="G1797" t="s">
        <v>2377</v>
      </c>
      <c r="H1797">
        <v>16000</v>
      </c>
      <c r="I1797">
        <v>3</v>
      </c>
      <c r="J1797">
        <v>5</v>
      </c>
      <c r="K1797">
        <v>48000</v>
      </c>
      <c r="L1797">
        <v>2400</v>
      </c>
      <c r="M1797">
        <v>45600</v>
      </c>
      <c r="N1797">
        <v>43000</v>
      </c>
      <c r="O1797">
        <v>88600</v>
      </c>
      <c r="P1797" t="s">
        <v>22</v>
      </c>
      <c r="Q1797" t="s">
        <v>2357</v>
      </c>
      <c r="R1797" t="s">
        <v>36</v>
      </c>
      <c r="S1797">
        <v>3</v>
      </c>
      <c r="T1797" t="s">
        <v>24</v>
      </c>
      <c r="U1797" t="s">
        <v>2411</v>
      </c>
      <c r="V1797">
        <v>2024</v>
      </c>
      <c r="W1797">
        <v>11</v>
      </c>
    </row>
    <row r="1798" spans="1:23" x14ac:dyDescent="0.25">
      <c r="A1798" t="s">
        <v>660</v>
      </c>
      <c r="B1798">
        <v>45620.671018518522</v>
      </c>
      <c r="C1798" t="s">
        <v>661</v>
      </c>
      <c r="D1798" t="s">
        <v>49</v>
      </c>
      <c r="E1798" t="s">
        <v>136</v>
      </c>
      <c r="F1798" t="s">
        <v>2400</v>
      </c>
      <c r="G1798" t="s">
        <v>2378</v>
      </c>
      <c r="H1798">
        <v>12000</v>
      </c>
      <c r="I1798">
        <v>4</v>
      </c>
      <c r="J1798">
        <v>0</v>
      </c>
      <c r="K1798">
        <v>48000</v>
      </c>
      <c r="L1798">
        <v>0</v>
      </c>
      <c r="M1798">
        <v>48000</v>
      </c>
      <c r="N1798">
        <v>0</v>
      </c>
      <c r="O1798">
        <v>48000</v>
      </c>
      <c r="P1798" t="s">
        <v>22</v>
      </c>
      <c r="Q1798" t="s">
        <v>2357</v>
      </c>
      <c r="R1798" t="s">
        <v>36</v>
      </c>
      <c r="S1798">
        <v>3</v>
      </c>
      <c r="T1798" t="s">
        <v>24</v>
      </c>
      <c r="U1798" t="s">
        <v>2411</v>
      </c>
      <c r="V1798">
        <v>2024</v>
      </c>
      <c r="W1798">
        <v>11</v>
      </c>
    </row>
    <row r="1799" spans="1:23" x14ac:dyDescent="0.25">
      <c r="A1799" t="s">
        <v>662</v>
      </c>
      <c r="B1799">
        <v>45620.862060185187</v>
      </c>
      <c r="C1799" t="s">
        <v>254</v>
      </c>
      <c r="D1799" t="s">
        <v>61</v>
      </c>
      <c r="E1799" t="s">
        <v>62</v>
      </c>
      <c r="F1799" t="s">
        <v>2398</v>
      </c>
      <c r="G1799" t="s">
        <v>2378</v>
      </c>
      <c r="H1799">
        <v>50000</v>
      </c>
      <c r="I1799">
        <v>2</v>
      </c>
      <c r="J1799">
        <v>15</v>
      </c>
      <c r="K1799">
        <v>100000</v>
      </c>
      <c r="L1799">
        <v>15000</v>
      </c>
      <c r="M1799">
        <v>85000</v>
      </c>
      <c r="N1799">
        <v>26000</v>
      </c>
      <c r="O1799">
        <v>111000</v>
      </c>
      <c r="P1799" t="s">
        <v>29</v>
      </c>
      <c r="Q1799" t="s">
        <v>2357</v>
      </c>
      <c r="R1799" t="s">
        <v>82</v>
      </c>
      <c r="S1799">
        <v>1</v>
      </c>
      <c r="T1799" t="s">
        <v>24</v>
      </c>
      <c r="U1799" t="s">
        <v>2411</v>
      </c>
      <c r="V1799">
        <v>2024</v>
      </c>
      <c r="W1799">
        <v>11</v>
      </c>
    </row>
    <row r="1800" spans="1:23" x14ac:dyDescent="0.25">
      <c r="A1800" t="s">
        <v>663</v>
      </c>
      <c r="B1800">
        <v>45621.116562499999</v>
      </c>
      <c r="C1800" t="s">
        <v>258</v>
      </c>
      <c r="D1800" t="s">
        <v>44</v>
      </c>
      <c r="E1800" t="s">
        <v>54</v>
      </c>
      <c r="F1800" t="s">
        <v>2393</v>
      </c>
      <c r="G1800" t="s">
        <v>2379</v>
      </c>
      <c r="H1800">
        <v>16000</v>
      </c>
      <c r="I1800">
        <v>2</v>
      </c>
      <c r="J1800">
        <v>5</v>
      </c>
      <c r="K1800">
        <v>32000</v>
      </c>
      <c r="L1800">
        <v>1600</v>
      </c>
      <c r="M1800">
        <v>30400</v>
      </c>
      <c r="N1800">
        <v>93000</v>
      </c>
      <c r="O1800">
        <v>123400</v>
      </c>
      <c r="P1800" t="s">
        <v>29</v>
      </c>
      <c r="Q1800" t="s">
        <v>2356</v>
      </c>
      <c r="R1800" t="s">
        <v>46</v>
      </c>
      <c r="S1800">
        <v>1</v>
      </c>
      <c r="T1800" t="s">
        <v>24</v>
      </c>
      <c r="U1800" t="s">
        <v>2411</v>
      </c>
      <c r="V1800">
        <v>2024</v>
      </c>
      <c r="W1800">
        <v>11</v>
      </c>
    </row>
    <row r="1801" spans="1:23" x14ac:dyDescent="0.25">
      <c r="A1801" t="s">
        <v>664</v>
      </c>
      <c r="B1801">
        <v>45621.266608796293</v>
      </c>
      <c r="C1801" t="s">
        <v>353</v>
      </c>
      <c r="D1801" t="s">
        <v>66</v>
      </c>
      <c r="E1801" t="s">
        <v>71</v>
      </c>
      <c r="F1801" t="s">
        <v>2392</v>
      </c>
      <c r="G1801" t="s">
        <v>2379</v>
      </c>
      <c r="H1801">
        <v>40000</v>
      </c>
      <c r="I1801">
        <v>5</v>
      </c>
      <c r="J1801">
        <v>5</v>
      </c>
      <c r="K1801">
        <v>200000</v>
      </c>
      <c r="L1801">
        <v>10000</v>
      </c>
      <c r="M1801">
        <v>190000</v>
      </c>
      <c r="N1801">
        <v>59000</v>
      </c>
      <c r="O1801">
        <v>249000</v>
      </c>
      <c r="P1801" t="s">
        <v>63</v>
      </c>
      <c r="Q1801" t="s">
        <v>2357</v>
      </c>
      <c r="R1801" t="s">
        <v>82</v>
      </c>
      <c r="S1801">
        <v>3</v>
      </c>
      <c r="T1801" t="s">
        <v>24</v>
      </c>
      <c r="U1801" t="s">
        <v>2411</v>
      </c>
      <c r="V1801">
        <v>2024</v>
      </c>
      <c r="W1801">
        <v>11</v>
      </c>
    </row>
    <row r="1802" spans="1:23" x14ac:dyDescent="0.25">
      <c r="A1802" t="s">
        <v>665</v>
      </c>
      <c r="B1802">
        <v>45621.36173611111</v>
      </c>
      <c r="C1802" t="s">
        <v>666</v>
      </c>
      <c r="D1802" t="s">
        <v>66</v>
      </c>
      <c r="E1802" t="s">
        <v>136</v>
      </c>
      <c r="F1802" t="s">
        <v>2400</v>
      </c>
      <c r="G1802" t="s">
        <v>2378</v>
      </c>
      <c r="H1802">
        <v>12000</v>
      </c>
      <c r="I1802">
        <v>2</v>
      </c>
      <c r="J1802">
        <v>20</v>
      </c>
      <c r="K1802">
        <v>24000</v>
      </c>
      <c r="L1802">
        <v>4800</v>
      </c>
      <c r="M1802">
        <v>19200</v>
      </c>
      <c r="N1802">
        <v>59000</v>
      </c>
      <c r="O1802">
        <v>78200</v>
      </c>
      <c r="P1802" t="s">
        <v>22</v>
      </c>
      <c r="Q1802" t="s">
        <v>2357</v>
      </c>
      <c r="R1802" t="s">
        <v>46</v>
      </c>
      <c r="S1802">
        <v>1</v>
      </c>
      <c r="T1802" t="s">
        <v>24</v>
      </c>
      <c r="U1802" t="s">
        <v>2411</v>
      </c>
      <c r="V1802">
        <v>2024</v>
      </c>
      <c r="W1802">
        <v>11</v>
      </c>
    </row>
    <row r="1803" spans="1:23" x14ac:dyDescent="0.25">
      <c r="A1803" t="s">
        <v>665</v>
      </c>
      <c r="B1803">
        <v>45621.36173611111</v>
      </c>
      <c r="C1803" t="s">
        <v>666</v>
      </c>
      <c r="D1803" t="s">
        <v>66</v>
      </c>
      <c r="E1803" t="s">
        <v>50</v>
      </c>
      <c r="F1803" t="s">
        <v>2400</v>
      </c>
      <c r="G1803" t="s">
        <v>2379</v>
      </c>
      <c r="H1803">
        <v>14000</v>
      </c>
      <c r="I1803">
        <v>4</v>
      </c>
      <c r="J1803">
        <v>0</v>
      </c>
      <c r="K1803">
        <v>56000</v>
      </c>
      <c r="L1803">
        <v>0</v>
      </c>
      <c r="M1803">
        <v>56000</v>
      </c>
      <c r="N1803">
        <v>0</v>
      </c>
      <c r="O1803">
        <v>56000</v>
      </c>
      <c r="P1803" t="s">
        <v>22</v>
      </c>
      <c r="Q1803" t="s">
        <v>2357</v>
      </c>
      <c r="R1803" t="s">
        <v>46</v>
      </c>
      <c r="S1803">
        <v>1</v>
      </c>
      <c r="T1803" t="s">
        <v>24</v>
      </c>
      <c r="U1803" t="s">
        <v>2411</v>
      </c>
      <c r="V1803">
        <v>2024</v>
      </c>
      <c r="W1803">
        <v>11</v>
      </c>
    </row>
    <row r="1804" spans="1:23" x14ac:dyDescent="0.25">
      <c r="A1804" t="s">
        <v>667</v>
      </c>
      <c r="B1804">
        <v>45621.43341435185</v>
      </c>
      <c r="C1804" t="s">
        <v>289</v>
      </c>
      <c r="D1804" t="s">
        <v>20</v>
      </c>
      <c r="E1804" t="s">
        <v>250</v>
      </c>
      <c r="F1804" t="s">
        <v>2397</v>
      </c>
      <c r="G1804" t="s">
        <v>2379</v>
      </c>
      <c r="H1804">
        <v>18000</v>
      </c>
      <c r="I1804">
        <v>4</v>
      </c>
      <c r="J1804">
        <v>15</v>
      </c>
      <c r="K1804">
        <v>72000</v>
      </c>
      <c r="L1804">
        <v>10800</v>
      </c>
      <c r="M1804">
        <v>61200</v>
      </c>
      <c r="N1804">
        <v>15000</v>
      </c>
      <c r="O1804">
        <v>76200</v>
      </c>
      <c r="P1804" t="s">
        <v>29</v>
      </c>
      <c r="Q1804" t="s">
        <v>2357</v>
      </c>
      <c r="R1804" t="s">
        <v>82</v>
      </c>
      <c r="S1804">
        <v>3</v>
      </c>
      <c r="T1804" t="s">
        <v>24</v>
      </c>
      <c r="U1804" t="s">
        <v>2411</v>
      </c>
      <c r="V1804">
        <v>2024</v>
      </c>
      <c r="W1804">
        <v>11</v>
      </c>
    </row>
    <row r="1805" spans="1:23" x14ac:dyDescent="0.25">
      <c r="A1805" t="s">
        <v>668</v>
      </c>
      <c r="B1805">
        <v>45621.628136574072</v>
      </c>
      <c r="C1805" t="s">
        <v>669</v>
      </c>
      <c r="D1805" t="s">
        <v>151</v>
      </c>
      <c r="E1805" t="s">
        <v>62</v>
      </c>
      <c r="F1805" t="s">
        <v>2398</v>
      </c>
      <c r="G1805" t="s">
        <v>2378</v>
      </c>
      <c r="H1805">
        <v>50000</v>
      </c>
      <c r="I1805">
        <v>4</v>
      </c>
      <c r="J1805">
        <v>5</v>
      </c>
      <c r="K1805">
        <v>200000</v>
      </c>
      <c r="L1805">
        <v>10000</v>
      </c>
      <c r="M1805">
        <v>190000</v>
      </c>
      <c r="N1805">
        <v>55000</v>
      </c>
      <c r="O1805">
        <v>245000</v>
      </c>
      <c r="P1805" t="s">
        <v>29</v>
      </c>
      <c r="Q1805" t="s">
        <v>2357</v>
      </c>
      <c r="R1805" t="s">
        <v>23</v>
      </c>
      <c r="S1805">
        <v>3</v>
      </c>
      <c r="T1805" t="s">
        <v>24</v>
      </c>
      <c r="U1805" t="s">
        <v>2411</v>
      </c>
      <c r="V1805">
        <v>2024</v>
      </c>
      <c r="W1805">
        <v>11</v>
      </c>
    </row>
    <row r="1806" spans="1:23" x14ac:dyDescent="0.25">
      <c r="A1806" t="s">
        <v>670</v>
      </c>
      <c r="B1806">
        <v>45621.71665509259</v>
      </c>
      <c r="C1806" t="s">
        <v>671</v>
      </c>
      <c r="D1806" t="s">
        <v>160</v>
      </c>
      <c r="E1806" t="s">
        <v>58</v>
      </c>
      <c r="F1806" t="s">
        <v>2396</v>
      </c>
      <c r="G1806" t="s">
        <v>2377</v>
      </c>
      <c r="H1806">
        <v>16000</v>
      </c>
      <c r="I1806">
        <v>5</v>
      </c>
      <c r="J1806">
        <v>0</v>
      </c>
      <c r="K1806">
        <v>80000</v>
      </c>
      <c r="L1806">
        <v>0</v>
      </c>
      <c r="M1806">
        <v>80000</v>
      </c>
      <c r="N1806">
        <v>68000</v>
      </c>
      <c r="O1806">
        <v>148000</v>
      </c>
      <c r="P1806" t="s">
        <v>35</v>
      </c>
      <c r="Q1806" t="s">
        <v>2356</v>
      </c>
      <c r="R1806" t="s">
        <v>36</v>
      </c>
      <c r="S1806">
        <v>2</v>
      </c>
      <c r="T1806" t="s">
        <v>24</v>
      </c>
      <c r="U1806" t="s">
        <v>2411</v>
      </c>
      <c r="V1806">
        <v>2024</v>
      </c>
      <c r="W1806">
        <v>11</v>
      </c>
    </row>
    <row r="1807" spans="1:23" x14ac:dyDescent="0.25">
      <c r="A1807" t="s">
        <v>672</v>
      </c>
      <c r="B1807">
        <v>45622.093738425923</v>
      </c>
      <c r="C1807" t="s">
        <v>568</v>
      </c>
      <c r="D1807" t="s">
        <v>435</v>
      </c>
      <c r="E1807" t="s">
        <v>123</v>
      </c>
      <c r="F1807" t="s">
        <v>2399</v>
      </c>
      <c r="G1807" t="s">
        <v>2377</v>
      </c>
      <c r="H1807">
        <v>22000</v>
      </c>
      <c r="I1807">
        <v>3</v>
      </c>
      <c r="J1807">
        <v>15</v>
      </c>
      <c r="K1807">
        <v>66000</v>
      </c>
      <c r="L1807">
        <v>9900</v>
      </c>
      <c r="M1807">
        <v>56100</v>
      </c>
      <c r="N1807">
        <v>67000</v>
      </c>
      <c r="O1807">
        <v>123100</v>
      </c>
      <c r="P1807" t="s">
        <v>29</v>
      </c>
      <c r="Q1807" t="s">
        <v>2357</v>
      </c>
      <c r="R1807" t="s">
        <v>82</v>
      </c>
      <c r="S1807">
        <v>4</v>
      </c>
      <c r="T1807" t="s">
        <v>24</v>
      </c>
      <c r="U1807" t="s">
        <v>2411</v>
      </c>
      <c r="V1807">
        <v>2024</v>
      </c>
      <c r="W1807">
        <v>11</v>
      </c>
    </row>
    <row r="1808" spans="1:23" x14ac:dyDescent="0.25">
      <c r="A1808" t="s">
        <v>672</v>
      </c>
      <c r="B1808">
        <v>45622.093738425923</v>
      </c>
      <c r="C1808" t="s">
        <v>568</v>
      </c>
      <c r="D1808" t="s">
        <v>435</v>
      </c>
      <c r="E1808" t="s">
        <v>190</v>
      </c>
      <c r="F1808" t="s">
        <v>2392</v>
      </c>
      <c r="G1808" t="s">
        <v>2378</v>
      </c>
      <c r="H1808">
        <v>35000</v>
      </c>
      <c r="I1808">
        <v>1</v>
      </c>
      <c r="J1808">
        <v>20</v>
      </c>
      <c r="K1808">
        <v>35000</v>
      </c>
      <c r="L1808">
        <v>7000</v>
      </c>
      <c r="M1808">
        <v>28000</v>
      </c>
      <c r="N1808">
        <v>0</v>
      </c>
      <c r="O1808">
        <v>28000</v>
      </c>
      <c r="P1808" t="s">
        <v>29</v>
      </c>
      <c r="Q1808" t="s">
        <v>2357</v>
      </c>
      <c r="R1808" t="s">
        <v>82</v>
      </c>
      <c r="S1808">
        <v>4</v>
      </c>
      <c r="T1808" t="s">
        <v>24</v>
      </c>
      <c r="U1808" t="s">
        <v>2411</v>
      </c>
      <c r="V1808">
        <v>2024</v>
      </c>
      <c r="W1808">
        <v>11</v>
      </c>
    </row>
    <row r="1809" spans="1:23" x14ac:dyDescent="0.25">
      <c r="A1809" t="s">
        <v>673</v>
      </c>
      <c r="B1809">
        <v>45622.118726851862</v>
      </c>
      <c r="C1809" t="s">
        <v>416</v>
      </c>
      <c r="D1809" t="s">
        <v>131</v>
      </c>
      <c r="E1809" t="s">
        <v>190</v>
      </c>
      <c r="F1809" t="s">
        <v>2392</v>
      </c>
      <c r="G1809" t="s">
        <v>2378</v>
      </c>
      <c r="H1809">
        <v>35000</v>
      </c>
      <c r="I1809">
        <v>3</v>
      </c>
      <c r="J1809">
        <v>20</v>
      </c>
      <c r="K1809">
        <v>105000</v>
      </c>
      <c r="L1809">
        <v>21000</v>
      </c>
      <c r="M1809">
        <v>84000</v>
      </c>
      <c r="N1809">
        <v>59000</v>
      </c>
      <c r="O1809">
        <v>143000</v>
      </c>
      <c r="P1809" t="s">
        <v>29</v>
      </c>
      <c r="Q1809" t="s">
        <v>2357</v>
      </c>
      <c r="R1809" t="s">
        <v>23</v>
      </c>
      <c r="S1809">
        <v>3</v>
      </c>
      <c r="T1809" t="s">
        <v>24</v>
      </c>
      <c r="U1809" t="s">
        <v>2411</v>
      </c>
      <c r="V1809">
        <v>2024</v>
      </c>
      <c r="W1809">
        <v>11</v>
      </c>
    </row>
    <row r="1810" spans="1:23" x14ac:dyDescent="0.25">
      <c r="A1810" t="s">
        <v>674</v>
      </c>
      <c r="B1810">
        <v>45622.37572916667</v>
      </c>
      <c r="C1810" t="s">
        <v>520</v>
      </c>
      <c r="D1810" t="s">
        <v>103</v>
      </c>
      <c r="E1810" t="s">
        <v>34</v>
      </c>
      <c r="F1810" t="s">
        <v>2397</v>
      </c>
      <c r="G1810" t="s">
        <v>2377</v>
      </c>
      <c r="H1810">
        <v>16000</v>
      </c>
      <c r="I1810">
        <v>3</v>
      </c>
      <c r="J1810">
        <v>0</v>
      </c>
      <c r="K1810">
        <v>48000</v>
      </c>
      <c r="L1810">
        <v>0</v>
      </c>
      <c r="M1810">
        <v>48000</v>
      </c>
      <c r="N1810">
        <v>85000</v>
      </c>
      <c r="O1810">
        <v>133000</v>
      </c>
      <c r="P1810" t="s">
        <v>22</v>
      </c>
      <c r="Q1810" t="s">
        <v>2357</v>
      </c>
      <c r="R1810" t="s">
        <v>30</v>
      </c>
      <c r="S1810">
        <v>5</v>
      </c>
      <c r="T1810" t="s">
        <v>24</v>
      </c>
      <c r="U1810" t="s">
        <v>2411</v>
      </c>
      <c r="V1810">
        <v>2024</v>
      </c>
      <c r="W1810">
        <v>11</v>
      </c>
    </row>
    <row r="1811" spans="1:23" x14ac:dyDescent="0.25">
      <c r="A1811" t="s">
        <v>675</v>
      </c>
      <c r="B1811">
        <v>45622.427384259259</v>
      </c>
      <c r="C1811" t="s">
        <v>429</v>
      </c>
      <c r="D1811" t="s">
        <v>177</v>
      </c>
      <c r="E1811" t="s">
        <v>138</v>
      </c>
      <c r="F1811" t="s">
        <v>2396</v>
      </c>
      <c r="G1811" t="s">
        <v>2378</v>
      </c>
      <c r="H1811">
        <v>17000</v>
      </c>
      <c r="I1811">
        <v>2</v>
      </c>
      <c r="J1811">
        <v>15</v>
      </c>
      <c r="K1811">
        <v>34000</v>
      </c>
      <c r="L1811">
        <v>5100</v>
      </c>
      <c r="M1811">
        <v>28900</v>
      </c>
      <c r="N1811">
        <v>56000</v>
      </c>
      <c r="O1811">
        <v>84900</v>
      </c>
      <c r="P1811" t="s">
        <v>35</v>
      </c>
      <c r="Q1811" t="s">
        <v>2356</v>
      </c>
      <c r="R1811" t="s">
        <v>36</v>
      </c>
      <c r="S1811">
        <v>3</v>
      </c>
      <c r="T1811" t="s">
        <v>37</v>
      </c>
      <c r="U1811" t="s">
        <v>2411</v>
      </c>
      <c r="V1811">
        <v>2024</v>
      </c>
      <c r="W1811">
        <v>11</v>
      </c>
    </row>
    <row r="1812" spans="1:23" x14ac:dyDescent="0.25">
      <c r="A1812" t="s">
        <v>676</v>
      </c>
      <c r="B1812">
        <v>45622.655358796299</v>
      </c>
      <c r="C1812" t="s">
        <v>342</v>
      </c>
      <c r="D1812" t="s">
        <v>131</v>
      </c>
      <c r="E1812" t="s">
        <v>41</v>
      </c>
      <c r="F1812" t="s">
        <v>2395</v>
      </c>
      <c r="G1812" t="s">
        <v>2377</v>
      </c>
      <c r="H1812">
        <v>4000</v>
      </c>
      <c r="I1812">
        <v>4</v>
      </c>
      <c r="J1812">
        <v>20</v>
      </c>
      <c r="K1812">
        <v>16000</v>
      </c>
      <c r="L1812">
        <v>3200</v>
      </c>
      <c r="M1812">
        <v>12800</v>
      </c>
      <c r="N1812">
        <v>59000</v>
      </c>
      <c r="O1812">
        <v>71800</v>
      </c>
      <c r="P1812" t="s">
        <v>22</v>
      </c>
      <c r="Q1812" t="s">
        <v>2357</v>
      </c>
      <c r="R1812" t="s">
        <v>23</v>
      </c>
      <c r="S1812">
        <v>5</v>
      </c>
      <c r="T1812" t="s">
        <v>37</v>
      </c>
      <c r="U1812" t="s">
        <v>2411</v>
      </c>
      <c r="V1812">
        <v>2024</v>
      </c>
      <c r="W1812">
        <v>11</v>
      </c>
    </row>
    <row r="1813" spans="1:23" x14ac:dyDescent="0.25">
      <c r="A1813" t="s">
        <v>677</v>
      </c>
      <c r="B1813">
        <v>45622.663969907408</v>
      </c>
      <c r="C1813" t="s">
        <v>402</v>
      </c>
      <c r="D1813" t="s">
        <v>163</v>
      </c>
      <c r="E1813" t="s">
        <v>144</v>
      </c>
      <c r="F1813" t="s">
        <v>2396</v>
      </c>
      <c r="G1813" t="s">
        <v>2379</v>
      </c>
      <c r="H1813">
        <v>18000</v>
      </c>
      <c r="I1813">
        <v>1</v>
      </c>
      <c r="J1813">
        <v>15</v>
      </c>
      <c r="K1813">
        <v>18000</v>
      </c>
      <c r="L1813">
        <v>2700</v>
      </c>
      <c r="M1813">
        <v>15300</v>
      </c>
      <c r="N1813">
        <v>50000</v>
      </c>
      <c r="O1813">
        <v>65300</v>
      </c>
      <c r="P1813" t="s">
        <v>63</v>
      </c>
      <c r="Q1813" t="s">
        <v>2357</v>
      </c>
      <c r="R1813" t="s">
        <v>82</v>
      </c>
      <c r="S1813">
        <v>4</v>
      </c>
      <c r="T1813" t="s">
        <v>24</v>
      </c>
      <c r="U1813" t="s">
        <v>2411</v>
      </c>
      <c r="V1813">
        <v>2024</v>
      </c>
      <c r="W1813">
        <v>11</v>
      </c>
    </row>
    <row r="1814" spans="1:23" x14ac:dyDescent="0.25">
      <c r="A1814" t="s">
        <v>678</v>
      </c>
      <c r="B1814">
        <v>45622.683680555558</v>
      </c>
      <c r="C1814" t="s">
        <v>601</v>
      </c>
      <c r="D1814" t="s">
        <v>119</v>
      </c>
      <c r="E1814" t="s">
        <v>75</v>
      </c>
      <c r="F1814" t="s">
        <v>2398</v>
      </c>
      <c r="G1814" t="s">
        <v>2379</v>
      </c>
      <c r="H1814">
        <v>55000</v>
      </c>
      <c r="I1814">
        <v>2</v>
      </c>
      <c r="J1814">
        <v>10</v>
      </c>
      <c r="K1814">
        <v>110000</v>
      </c>
      <c r="L1814">
        <v>11000</v>
      </c>
      <c r="M1814">
        <v>99000</v>
      </c>
      <c r="N1814">
        <v>0</v>
      </c>
      <c r="O1814">
        <v>99000</v>
      </c>
      <c r="P1814" t="s">
        <v>35</v>
      </c>
      <c r="Q1814" t="s">
        <v>2357</v>
      </c>
      <c r="R1814" t="s">
        <v>30</v>
      </c>
      <c r="S1814">
        <v>4</v>
      </c>
      <c r="T1814" t="s">
        <v>24</v>
      </c>
      <c r="U1814" t="s">
        <v>2411</v>
      </c>
      <c r="V1814">
        <v>2024</v>
      </c>
      <c r="W1814">
        <v>11</v>
      </c>
    </row>
    <row r="1815" spans="1:23" x14ac:dyDescent="0.25">
      <c r="A1815" t="s">
        <v>679</v>
      </c>
      <c r="B1815">
        <v>45622.748402777783</v>
      </c>
      <c r="C1815" t="s">
        <v>112</v>
      </c>
      <c r="D1815" t="s">
        <v>113</v>
      </c>
      <c r="E1815" t="s">
        <v>75</v>
      </c>
      <c r="F1815" t="s">
        <v>2398</v>
      </c>
      <c r="G1815" t="s">
        <v>2379</v>
      </c>
      <c r="H1815">
        <v>55000</v>
      </c>
      <c r="I1815">
        <v>4</v>
      </c>
      <c r="J1815">
        <v>10</v>
      </c>
      <c r="K1815">
        <v>220000</v>
      </c>
      <c r="L1815">
        <v>22000</v>
      </c>
      <c r="M1815">
        <v>198000</v>
      </c>
      <c r="N1815">
        <v>18000</v>
      </c>
      <c r="O1815">
        <v>216000</v>
      </c>
      <c r="P1815" t="s">
        <v>35</v>
      </c>
      <c r="Q1815" t="s">
        <v>2357</v>
      </c>
      <c r="R1815" t="s">
        <v>30</v>
      </c>
      <c r="S1815">
        <v>2</v>
      </c>
      <c r="T1815" t="s">
        <v>24</v>
      </c>
      <c r="U1815" t="s">
        <v>2411</v>
      </c>
      <c r="V1815">
        <v>2024</v>
      </c>
      <c r="W1815">
        <v>11</v>
      </c>
    </row>
    <row r="1816" spans="1:23" x14ac:dyDescent="0.25">
      <c r="A1816" t="s">
        <v>680</v>
      </c>
      <c r="B1816">
        <v>45622.824826388889</v>
      </c>
      <c r="C1816" t="s">
        <v>681</v>
      </c>
      <c r="D1816" t="s">
        <v>262</v>
      </c>
      <c r="E1816" t="s">
        <v>34</v>
      </c>
      <c r="F1816" t="s">
        <v>2397</v>
      </c>
      <c r="G1816" t="s">
        <v>2377</v>
      </c>
      <c r="H1816">
        <v>16000</v>
      </c>
      <c r="I1816">
        <v>5</v>
      </c>
      <c r="J1816">
        <v>5</v>
      </c>
      <c r="K1816">
        <v>80000</v>
      </c>
      <c r="L1816">
        <v>4000</v>
      </c>
      <c r="M1816">
        <v>76000</v>
      </c>
      <c r="N1816">
        <v>18000</v>
      </c>
      <c r="O1816">
        <v>94000</v>
      </c>
      <c r="P1816" t="s">
        <v>35</v>
      </c>
      <c r="Q1816" t="s">
        <v>2357</v>
      </c>
      <c r="R1816" t="s">
        <v>82</v>
      </c>
      <c r="S1816">
        <v>5</v>
      </c>
      <c r="T1816" t="s">
        <v>24</v>
      </c>
      <c r="U1816" t="s">
        <v>2411</v>
      </c>
      <c r="V1816">
        <v>2024</v>
      </c>
      <c r="W1816">
        <v>11</v>
      </c>
    </row>
    <row r="1817" spans="1:23" x14ac:dyDescent="0.25">
      <c r="A1817" t="s">
        <v>682</v>
      </c>
      <c r="B1817">
        <v>45623.118333333332</v>
      </c>
      <c r="C1817" t="s">
        <v>683</v>
      </c>
      <c r="D1817" t="s">
        <v>27</v>
      </c>
      <c r="E1817" t="s">
        <v>186</v>
      </c>
      <c r="F1817" t="s">
        <v>2398</v>
      </c>
      <c r="G1817" t="s">
        <v>2377</v>
      </c>
      <c r="H1817">
        <v>45000</v>
      </c>
      <c r="I1817">
        <v>5</v>
      </c>
      <c r="J1817">
        <v>15</v>
      </c>
      <c r="K1817">
        <v>225000</v>
      </c>
      <c r="L1817">
        <v>33750</v>
      </c>
      <c r="M1817">
        <v>191250</v>
      </c>
      <c r="N1817">
        <v>17000</v>
      </c>
      <c r="O1817">
        <v>208250</v>
      </c>
      <c r="P1817" t="s">
        <v>35</v>
      </c>
      <c r="Q1817" t="s">
        <v>2356</v>
      </c>
      <c r="R1817" t="s">
        <v>30</v>
      </c>
      <c r="S1817">
        <v>1</v>
      </c>
      <c r="T1817" t="s">
        <v>37</v>
      </c>
      <c r="U1817" t="s">
        <v>2411</v>
      </c>
      <c r="V1817">
        <v>2024</v>
      </c>
      <c r="W1817">
        <v>11</v>
      </c>
    </row>
    <row r="1818" spans="1:23" x14ac:dyDescent="0.25">
      <c r="A1818" t="s">
        <v>684</v>
      </c>
      <c r="B1818">
        <v>45623.428807870368</v>
      </c>
      <c r="C1818" t="s">
        <v>402</v>
      </c>
      <c r="D1818" t="s">
        <v>163</v>
      </c>
      <c r="E1818" t="s">
        <v>81</v>
      </c>
      <c r="F1818" t="s">
        <v>2397</v>
      </c>
      <c r="G1818" t="s">
        <v>2378</v>
      </c>
      <c r="H1818">
        <v>17000</v>
      </c>
      <c r="I1818">
        <v>2</v>
      </c>
      <c r="J1818">
        <v>15</v>
      </c>
      <c r="K1818">
        <v>34000</v>
      </c>
      <c r="L1818">
        <v>5100</v>
      </c>
      <c r="M1818">
        <v>28900</v>
      </c>
      <c r="N1818">
        <v>50000</v>
      </c>
      <c r="O1818">
        <v>78900</v>
      </c>
      <c r="P1818" t="s">
        <v>35</v>
      </c>
      <c r="Q1818" t="s">
        <v>2357</v>
      </c>
      <c r="R1818" t="s">
        <v>82</v>
      </c>
      <c r="S1818">
        <v>3</v>
      </c>
      <c r="T1818" t="s">
        <v>24</v>
      </c>
      <c r="U1818" t="s">
        <v>2411</v>
      </c>
      <c r="V1818">
        <v>2024</v>
      </c>
      <c r="W1818">
        <v>11</v>
      </c>
    </row>
    <row r="1819" spans="1:23" x14ac:dyDescent="0.25">
      <c r="A1819" t="s">
        <v>685</v>
      </c>
      <c r="B1819">
        <v>45623.495648148149</v>
      </c>
      <c r="C1819" t="s">
        <v>495</v>
      </c>
      <c r="D1819" t="s">
        <v>44</v>
      </c>
      <c r="E1819" t="s">
        <v>21</v>
      </c>
      <c r="F1819" t="s">
        <v>2394</v>
      </c>
      <c r="G1819" t="s">
        <v>2379</v>
      </c>
      <c r="H1819">
        <v>45000</v>
      </c>
      <c r="I1819">
        <v>2</v>
      </c>
      <c r="J1819">
        <v>20</v>
      </c>
      <c r="K1819">
        <v>90000</v>
      </c>
      <c r="L1819">
        <v>18000</v>
      </c>
      <c r="M1819">
        <v>72000</v>
      </c>
      <c r="N1819">
        <v>93000</v>
      </c>
      <c r="O1819">
        <v>165000</v>
      </c>
      <c r="P1819" t="s">
        <v>35</v>
      </c>
      <c r="Q1819" t="s">
        <v>2357</v>
      </c>
      <c r="R1819" t="s">
        <v>36</v>
      </c>
      <c r="S1819">
        <v>3</v>
      </c>
      <c r="T1819" t="s">
        <v>37</v>
      </c>
      <c r="U1819" t="s">
        <v>2411</v>
      </c>
      <c r="V1819">
        <v>2024</v>
      </c>
      <c r="W1819">
        <v>11</v>
      </c>
    </row>
    <row r="1820" spans="1:23" x14ac:dyDescent="0.25">
      <c r="A1820" t="s">
        <v>686</v>
      </c>
      <c r="B1820">
        <v>45623.603171296287</v>
      </c>
      <c r="C1820" t="s">
        <v>479</v>
      </c>
      <c r="D1820" t="s">
        <v>107</v>
      </c>
      <c r="E1820" t="s">
        <v>34</v>
      </c>
      <c r="F1820" t="s">
        <v>2397</v>
      </c>
      <c r="G1820" t="s">
        <v>2377</v>
      </c>
      <c r="H1820">
        <v>16000</v>
      </c>
      <c r="I1820">
        <v>4</v>
      </c>
      <c r="J1820">
        <v>0</v>
      </c>
      <c r="K1820">
        <v>64000</v>
      </c>
      <c r="L1820">
        <v>0</v>
      </c>
      <c r="M1820">
        <v>64000</v>
      </c>
      <c r="N1820">
        <v>97000</v>
      </c>
      <c r="O1820">
        <v>161000</v>
      </c>
      <c r="P1820" t="s">
        <v>63</v>
      </c>
      <c r="Q1820" t="s">
        <v>2359</v>
      </c>
      <c r="R1820" t="s">
        <v>82</v>
      </c>
      <c r="S1820">
        <v>2</v>
      </c>
      <c r="T1820" t="s">
        <v>37</v>
      </c>
      <c r="U1820" t="s">
        <v>2411</v>
      </c>
      <c r="V1820">
        <v>2024</v>
      </c>
      <c r="W1820">
        <v>11</v>
      </c>
    </row>
    <row r="1821" spans="1:23" x14ac:dyDescent="0.25">
      <c r="A1821" t="s">
        <v>687</v>
      </c>
      <c r="B1821">
        <v>45623.647187499999</v>
      </c>
      <c r="C1821" t="s">
        <v>688</v>
      </c>
      <c r="D1821" t="s">
        <v>92</v>
      </c>
      <c r="E1821" t="s">
        <v>81</v>
      </c>
      <c r="F1821" t="s">
        <v>2397</v>
      </c>
      <c r="G1821" t="s">
        <v>2378</v>
      </c>
      <c r="H1821">
        <v>17000</v>
      </c>
      <c r="I1821">
        <v>2</v>
      </c>
      <c r="J1821">
        <v>20</v>
      </c>
      <c r="K1821">
        <v>34000</v>
      </c>
      <c r="L1821">
        <v>6800</v>
      </c>
      <c r="M1821">
        <v>27200</v>
      </c>
      <c r="N1821">
        <v>30000</v>
      </c>
      <c r="O1821">
        <v>57200</v>
      </c>
      <c r="P1821" t="s">
        <v>22</v>
      </c>
      <c r="Q1821" t="s">
        <v>2357</v>
      </c>
      <c r="R1821" t="s">
        <v>82</v>
      </c>
      <c r="S1821">
        <v>3</v>
      </c>
      <c r="T1821" t="s">
        <v>24</v>
      </c>
      <c r="U1821" t="s">
        <v>2411</v>
      </c>
      <c r="V1821">
        <v>2024</v>
      </c>
      <c r="W1821">
        <v>11</v>
      </c>
    </row>
    <row r="1822" spans="1:23" x14ac:dyDescent="0.25">
      <c r="A1822" t="s">
        <v>689</v>
      </c>
      <c r="B1822">
        <v>45623.852164351847</v>
      </c>
      <c r="C1822" t="s">
        <v>690</v>
      </c>
      <c r="D1822" t="s">
        <v>173</v>
      </c>
      <c r="E1822" t="s">
        <v>88</v>
      </c>
      <c r="F1822" t="s">
        <v>2393</v>
      </c>
      <c r="G1822" t="s">
        <v>2377</v>
      </c>
      <c r="H1822">
        <v>14000</v>
      </c>
      <c r="I1822">
        <v>2</v>
      </c>
      <c r="J1822">
        <v>20</v>
      </c>
      <c r="K1822">
        <v>28000</v>
      </c>
      <c r="L1822">
        <v>5600</v>
      </c>
      <c r="M1822">
        <v>22400</v>
      </c>
      <c r="N1822">
        <v>49000</v>
      </c>
      <c r="O1822">
        <v>71400</v>
      </c>
      <c r="P1822" t="s">
        <v>22</v>
      </c>
      <c r="Q1822" t="s">
        <v>2356</v>
      </c>
      <c r="R1822" t="s">
        <v>30</v>
      </c>
      <c r="S1822">
        <v>3</v>
      </c>
      <c r="T1822" t="s">
        <v>37</v>
      </c>
      <c r="U1822" t="s">
        <v>2411</v>
      </c>
      <c r="V1822">
        <v>2024</v>
      </c>
      <c r="W1822">
        <v>11</v>
      </c>
    </row>
    <row r="1823" spans="1:23" x14ac:dyDescent="0.25">
      <c r="A1823" t="s">
        <v>691</v>
      </c>
      <c r="B1823">
        <v>45623.93167824074</v>
      </c>
      <c r="C1823" t="s">
        <v>681</v>
      </c>
      <c r="D1823" t="s">
        <v>262</v>
      </c>
      <c r="E1823" t="s">
        <v>186</v>
      </c>
      <c r="F1823" t="s">
        <v>2398</v>
      </c>
      <c r="G1823" t="s">
        <v>2377</v>
      </c>
      <c r="H1823">
        <v>45000</v>
      </c>
      <c r="I1823">
        <v>2</v>
      </c>
      <c r="J1823">
        <v>5</v>
      </c>
      <c r="K1823">
        <v>90000</v>
      </c>
      <c r="L1823">
        <v>4500</v>
      </c>
      <c r="M1823">
        <v>85500</v>
      </c>
      <c r="N1823">
        <v>18000</v>
      </c>
      <c r="O1823">
        <v>103500</v>
      </c>
      <c r="P1823" t="s">
        <v>63</v>
      </c>
      <c r="Q1823" t="s">
        <v>2357</v>
      </c>
      <c r="R1823" t="s">
        <v>23</v>
      </c>
      <c r="S1823">
        <v>4</v>
      </c>
      <c r="T1823" t="s">
        <v>24</v>
      </c>
      <c r="U1823" t="s">
        <v>2411</v>
      </c>
      <c r="V1823">
        <v>2024</v>
      </c>
      <c r="W1823">
        <v>11</v>
      </c>
    </row>
    <row r="1824" spans="1:23" x14ac:dyDescent="0.25">
      <c r="A1824" t="s">
        <v>692</v>
      </c>
      <c r="B1824">
        <v>45624.106539351851</v>
      </c>
      <c r="C1824" t="s">
        <v>693</v>
      </c>
      <c r="D1824" t="s">
        <v>119</v>
      </c>
      <c r="E1824" t="s">
        <v>104</v>
      </c>
      <c r="F1824" t="s">
        <v>2392</v>
      </c>
      <c r="G1824" t="s">
        <v>2377</v>
      </c>
      <c r="H1824">
        <v>30000</v>
      </c>
      <c r="I1824">
        <v>5</v>
      </c>
      <c r="J1824">
        <v>10</v>
      </c>
      <c r="K1824">
        <v>150000</v>
      </c>
      <c r="L1824">
        <v>15000</v>
      </c>
      <c r="M1824">
        <v>135000</v>
      </c>
      <c r="N1824">
        <v>0</v>
      </c>
      <c r="O1824">
        <v>135000</v>
      </c>
      <c r="P1824" t="s">
        <v>29</v>
      </c>
      <c r="Q1824" t="s">
        <v>2356</v>
      </c>
      <c r="R1824" t="s">
        <v>23</v>
      </c>
      <c r="S1824">
        <v>1</v>
      </c>
      <c r="T1824" t="s">
        <v>24</v>
      </c>
      <c r="U1824" t="s">
        <v>2411</v>
      </c>
      <c r="V1824">
        <v>2024</v>
      </c>
      <c r="W1824">
        <v>11</v>
      </c>
    </row>
    <row r="1825" spans="1:23" x14ac:dyDescent="0.25">
      <c r="A1825" t="s">
        <v>692</v>
      </c>
      <c r="B1825">
        <v>45624.106539351851</v>
      </c>
      <c r="C1825" t="s">
        <v>693</v>
      </c>
      <c r="D1825" t="s">
        <v>119</v>
      </c>
      <c r="E1825" t="s">
        <v>28</v>
      </c>
      <c r="F1825" t="s">
        <v>2395</v>
      </c>
      <c r="G1825" t="s">
        <v>2378</v>
      </c>
      <c r="H1825">
        <v>5000</v>
      </c>
      <c r="I1825">
        <v>1</v>
      </c>
      <c r="J1825">
        <v>20</v>
      </c>
      <c r="K1825">
        <v>5000</v>
      </c>
      <c r="L1825">
        <v>1000</v>
      </c>
      <c r="M1825">
        <v>4000</v>
      </c>
      <c r="N1825">
        <v>0</v>
      </c>
      <c r="O1825">
        <v>4000</v>
      </c>
      <c r="P1825" t="s">
        <v>29</v>
      </c>
      <c r="Q1825" t="s">
        <v>2356</v>
      </c>
      <c r="R1825" t="s">
        <v>23</v>
      </c>
      <c r="S1825">
        <v>1</v>
      </c>
      <c r="T1825" t="s">
        <v>24</v>
      </c>
      <c r="U1825" t="s">
        <v>2411</v>
      </c>
      <c r="V1825">
        <v>2024</v>
      </c>
      <c r="W1825">
        <v>11</v>
      </c>
    </row>
    <row r="1826" spans="1:23" x14ac:dyDescent="0.25">
      <c r="A1826" t="s">
        <v>694</v>
      </c>
      <c r="B1826">
        <v>45624.178356481483</v>
      </c>
      <c r="C1826" t="s">
        <v>695</v>
      </c>
      <c r="D1826" t="s">
        <v>119</v>
      </c>
      <c r="E1826" t="s">
        <v>138</v>
      </c>
      <c r="F1826" t="s">
        <v>2396</v>
      </c>
      <c r="G1826" t="s">
        <v>2378</v>
      </c>
      <c r="H1826">
        <v>17000</v>
      </c>
      <c r="I1826">
        <v>3</v>
      </c>
      <c r="J1826">
        <v>5</v>
      </c>
      <c r="K1826">
        <v>51000</v>
      </c>
      <c r="L1826">
        <v>2550</v>
      </c>
      <c r="M1826">
        <v>48450</v>
      </c>
      <c r="N1826">
        <v>0</v>
      </c>
      <c r="O1826">
        <v>48450</v>
      </c>
      <c r="P1826" t="s">
        <v>29</v>
      </c>
      <c r="Q1826" t="s">
        <v>2357</v>
      </c>
      <c r="R1826" t="s">
        <v>82</v>
      </c>
      <c r="S1826">
        <v>5</v>
      </c>
      <c r="T1826" t="s">
        <v>24</v>
      </c>
      <c r="U1826" t="s">
        <v>2411</v>
      </c>
      <c r="V1826">
        <v>2024</v>
      </c>
      <c r="W1826">
        <v>11</v>
      </c>
    </row>
    <row r="1827" spans="1:23" x14ac:dyDescent="0.25">
      <c r="A1827" t="s">
        <v>696</v>
      </c>
      <c r="B1827">
        <v>45624.512974537043</v>
      </c>
      <c r="C1827" t="s">
        <v>697</v>
      </c>
      <c r="D1827" t="s">
        <v>143</v>
      </c>
      <c r="E1827" t="s">
        <v>88</v>
      </c>
      <c r="F1827" t="s">
        <v>2393</v>
      </c>
      <c r="G1827" t="s">
        <v>2377</v>
      </c>
      <c r="H1827">
        <v>14000</v>
      </c>
      <c r="I1827">
        <v>4</v>
      </c>
      <c r="J1827">
        <v>10</v>
      </c>
      <c r="K1827">
        <v>56000</v>
      </c>
      <c r="L1827">
        <v>5600</v>
      </c>
      <c r="M1827">
        <v>50400</v>
      </c>
      <c r="N1827">
        <v>50000</v>
      </c>
      <c r="O1827">
        <v>100400</v>
      </c>
      <c r="P1827" t="s">
        <v>22</v>
      </c>
      <c r="Q1827" t="s">
        <v>2357</v>
      </c>
      <c r="R1827" t="s">
        <v>46</v>
      </c>
      <c r="S1827">
        <v>4</v>
      </c>
      <c r="T1827" t="s">
        <v>37</v>
      </c>
      <c r="U1827" t="s">
        <v>2411</v>
      </c>
      <c r="V1827">
        <v>2024</v>
      </c>
      <c r="W1827">
        <v>11</v>
      </c>
    </row>
    <row r="1828" spans="1:23" x14ac:dyDescent="0.25">
      <c r="A1828" t="s">
        <v>696</v>
      </c>
      <c r="B1828">
        <v>45624.512974537043</v>
      </c>
      <c r="C1828" t="s">
        <v>697</v>
      </c>
      <c r="D1828" t="s">
        <v>143</v>
      </c>
      <c r="E1828" t="s">
        <v>45</v>
      </c>
      <c r="F1828" t="s">
        <v>2394</v>
      </c>
      <c r="G1828" t="s">
        <v>2378</v>
      </c>
      <c r="H1828">
        <v>40000</v>
      </c>
      <c r="I1828">
        <v>2</v>
      </c>
      <c r="J1828">
        <v>15</v>
      </c>
      <c r="K1828">
        <v>80000</v>
      </c>
      <c r="L1828">
        <v>12000</v>
      </c>
      <c r="M1828">
        <v>68000</v>
      </c>
      <c r="N1828">
        <v>0</v>
      </c>
      <c r="O1828">
        <v>68000</v>
      </c>
      <c r="P1828" t="s">
        <v>22</v>
      </c>
      <c r="Q1828" t="s">
        <v>2357</v>
      </c>
      <c r="R1828" t="s">
        <v>46</v>
      </c>
      <c r="S1828">
        <v>4</v>
      </c>
      <c r="T1828" t="s">
        <v>37</v>
      </c>
      <c r="U1828" t="s">
        <v>2411</v>
      </c>
      <c r="V1828">
        <v>2024</v>
      </c>
      <c r="W1828">
        <v>11</v>
      </c>
    </row>
    <row r="1829" spans="1:23" x14ac:dyDescent="0.25">
      <c r="A1829" t="s">
        <v>698</v>
      </c>
      <c r="B1829">
        <v>45624.686874999999</v>
      </c>
      <c r="C1829" t="s">
        <v>699</v>
      </c>
      <c r="D1829" t="s">
        <v>238</v>
      </c>
      <c r="E1829" t="s">
        <v>174</v>
      </c>
      <c r="F1829" t="s">
        <v>2400</v>
      </c>
      <c r="G1829" t="s">
        <v>2377</v>
      </c>
      <c r="H1829">
        <v>10000</v>
      </c>
      <c r="I1829">
        <v>4</v>
      </c>
      <c r="J1829">
        <v>0</v>
      </c>
      <c r="K1829">
        <v>40000</v>
      </c>
      <c r="L1829">
        <v>0</v>
      </c>
      <c r="M1829">
        <v>40000</v>
      </c>
      <c r="N1829">
        <v>28000</v>
      </c>
      <c r="O1829">
        <v>68000</v>
      </c>
      <c r="P1829" t="s">
        <v>35</v>
      </c>
      <c r="Q1829" t="s">
        <v>2356</v>
      </c>
      <c r="R1829" t="s">
        <v>82</v>
      </c>
      <c r="S1829">
        <v>5</v>
      </c>
      <c r="T1829" t="s">
        <v>37</v>
      </c>
      <c r="U1829" t="s">
        <v>2411</v>
      </c>
      <c r="V1829">
        <v>2024</v>
      </c>
      <c r="W1829">
        <v>11</v>
      </c>
    </row>
    <row r="1830" spans="1:23" x14ac:dyDescent="0.25">
      <c r="A1830" t="s">
        <v>700</v>
      </c>
      <c r="B1830">
        <v>45624.811597222222</v>
      </c>
      <c r="C1830" t="s">
        <v>502</v>
      </c>
      <c r="D1830" t="s">
        <v>107</v>
      </c>
      <c r="E1830" t="s">
        <v>186</v>
      </c>
      <c r="F1830" t="s">
        <v>2398</v>
      </c>
      <c r="G1830" t="s">
        <v>2377</v>
      </c>
      <c r="H1830">
        <v>45000</v>
      </c>
      <c r="I1830">
        <v>4</v>
      </c>
      <c r="J1830">
        <v>20</v>
      </c>
      <c r="K1830">
        <v>180000</v>
      </c>
      <c r="L1830">
        <v>36000</v>
      </c>
      <c r="M1830">
        <v>144000</v>
      </c>
      <c r="N1830">
        <v>97000</v>
      </c>
      <c r="O1830">
        <v>241000</v>
      </c>
      <c r="P1830" t="s">
        <v>63</v>
      </c>
      <c r="Q1830" t="s">
        <v>2357</v>
      </c>
      <c r="R1830" t="s">
        <v>23</v>
      </c>
      <c r="S1830">
        <v>4</v>
      </c>
      <c r="T1830" t="s">
        <v>24</v>
      </c>
      <c r="U1830" t="s">
        <v>2411</v>
      </c>
      <c r="V1830">
        <v>2024</v>
      </c>
      <c r="W1830">
        <v>11</v>
      </c>
    </row>
    <row r="1831" spans="1:23" x14ac:dyDescent="0.25">
      <c r="A1831" t="s">
        <v>701</v>
      </c>
      <c r="B1831">
        <v>45625.003437500003</v>
      </c>
      <c r="C1831" t="s">
        <v>593</v>
      </c>
      <c r="D1831" t="s">
        <v>195</v>
      </c>
      <c r="E1831" t="s">
        <v>75</v>
      </c>
      <c r="F1831" t="s">
        <v>2398</v>
      </c>
      <c r="G1831" t="s">
        <v>2379</v>
      </c>
      <c r="H1831">
        <v>55000</v>
      </c>
      <c r="I1831">
        <v>3</v>
      </c>
      <c r="J1831">
        <v>5</v>
      </c>
      <c r="K1831">
        <v>165000</v>
      </c>
      <c r="L1831">
        <v>8250</v>
      </c>
      <c r="M1831">
        <v>156750</v>
      </c>
      <c r="N1831">
        <v>87000</v>
      </c>
      <c r="O1831">
        <v>243750</v>
      </c>
      <c r="P1831" t="s">
        <v>29</v>
      </c>
      <c r="Q1831" t="s">
        <v>2357</v>
      </c>
      <c r="R1831" t="s">
        <v>82</v>
      </c>
      <c r="S1831">
        <v>2</v>
      </c>
      <c r="T1831" t="s">
        <v>24</v>
      </c>
      <c r="U1831" t="s">
        <v>2411</v>
      </c>
      <c r="V1831">
        <v>2024</v>
      </c>
      <c r="W1831">
        <v>11</v>
      </c>
    </row>
    <row r="1832" spans="1:23" x14ac:dyDescent="0.25">
      <c r="A1832" t="s">
        <v>702</v>
      </c>
      <c r="B1832">
        <v>45625.054247685177</v>
      </c>
      <c r="C1832" t="s">
        <v>703</v>
      </c>
      <c r="D1832" t="s">
        <v>122</v>
      </c>
      <c r="E1832" t="s">
        <v>41</v>
      </c>
      <c r="F1832" t="s">
        <v>2395</v>
      </c>
      <c r="G1832" t="s">
        <v>2377</v>
      </c>
      <c r="H1832">
        <v>4000</v>
      </c>
      <c r="I1832">
        <v>2</v>
      </c>
      <c r="J1832">
        <v>5</v>
      </c>
      <c r="K1832">
        <v>8000</v>
      </c>
      <c r="L1832">
        <v>400</v>
      </c>
      <c r="M1832">
        <v>7600</v>
      </c>
      <c r="N1832">
        <v>78000</v>
      </c>
      <c r="O1832">
        <v>85600</v>
      </c>
      <c r="P1832" t="s">
        <v>22</v>
      </c>
      <c r="Q1832" t="s">
        <v>2357</v>
      </c>
      <c r="R1832" t="s">
        <v>82</v>
      </c>
      <c r="S1832">
        <v>2</v>
      </c>
      <c r="T1832" t="s">
        <v>24</v>
      </c>
      <c r="U1832" t="s">
        <v>2411</v>
      </c>
      <c r="V1832">
        <v>2024</v>
      </c>
      <c r="W1832">
        <v>11</v>
      </c>
    </row>
    <row r="1833" spans="1:23" x14ac:dyDescent="0.25">
      <c r="A1833" t="s">
        <v>704</v>
      </c>
      <c r="B1833">
        <v>45625.054560185177</v>
      </c>
      <c r="C1833" t="s">
        <v>705</v>
      </c>
      <c r="D1833" t="s">
        <v>189</v>
      </c>
      <c r="E1833" t="s">
        <v>67</v>
      </c>
      <c r="F1833" t="s">
        <v>2393</v>
      </c>
      <c r="G1833" t="s">
        <v>2378</v>
      </c>
      <c r="H1833">
        <v>15000</v>
      </c>
      <c r="I1833">
        <v>2</v>
      </c>
      <c r="J1833">
        <v>10</v>
      </c>
      <c r="K1833">
        <v>30000</v>
      </c>
      <c r="L1833">
        <v>3000</v>
      </c>
      <c r="M1833">
        <v>27000</v>
      </c>
      <c r="N1833">
        <v>57000</v>
      </c>
      <c r="O1833">
        <v>84000</v>
      </c>
      <c r="P1833" t="s">
        <v>35</v>
      </c>
      <c r="Q1833" t="s">
        <v>2357</v>
      </c>
      <c r="R1833" t="s">
        <v>23</v>
      </c>
      <c r="S1833">
        <v>4</v>
      </c>
      <c r="T1833" t="s">
        <v>24</v>
      </c>
      <c r="U1833" t="s">
        <v>2411</v>
      </c>
      <c r="V1833">
        <v>2024</v>
      </c>
      <c r="W1833">
        <v>11</v>
      </c>
    </row>
    <row r="1834" spans="1:23" x14ac:dyDescent="0.25">
      <c r="A1834" t="s">
        <v>706</v>
      </c>
      <c r="B1834">
        <v>45625.092488425929</v>
      </c>
      <c r="C1834" t="s">
        <v>100</v>
      </c>
      <c r="D1834" t="s">
        <v>66</v>
      </c>
      <c r="E1834" t="s">
        <v>250</v>
      </c>
      <c r="F1834" t="s">
        <v>2397</v>
      </c>
      <c r="G1834" t="s">
        <v>2379</v>
      </c>
      <c r="H1834">
        <v>18000</v>
      </c>
      <c r="I1834">
        <v>4</v>
      </c>
      <c r="J1834">
        <v>0</v>
      </c>
      <c r="K1834">
        <v>72000</v>
      </c>
      <c r="L1834">
        <v>0</v>
      </c>
      <c r="M1834">
        <v>72000</v>
      </c>
      <c r="N1834">
        <v>59000</v>
      </c>
      <c r="O1834">
        <v>131000</v>
      </c>
      <c r="P1834" t="s">
        <v>22</v>
      </c>
      <c r="Q1834" t="s">
        <v>2357</v>
      </c>
      <c r="R1834" t="s">
        <v>46</v>
      </c>
      <c r="S1834">
        <v>5</v>
      </c>
      <c r="T1834" t="s">
        <v>24</v>
      </c>
      <c r="U1834" t="s">
        <v>2411</v>
      </c>
      <c r="V1834">
        <v>2024</v>
      </c>
      <c r="W1834">
        <v>11</v>
      </c>
    </row>
    <row r="1835" spans="1:23" x14ac:dyDescent="0.25">
      <c r="A1835" t="s">
        <v>707</v>
      </c>
      <c r="B1835">
        <v>45625.140717592592</v>
      </c>
      <c r="C1835" t="s">
        <v>708</v>
      </c>
      <c r="D1835" t="s">
        <v>116</v>
      </c>
      <c r="E1835" t="s">
        <v>104</v>
      </c>
      <c r="F1835" t="s">
        <v>2392</v>
      </c>
      <c r="G1835" t="s">
        <v>2377</v>
      </c>
      <c r="H1835">
        <v>30000</v>
      </c>
      <c r="I1835">
        <v>4</v>
      </c>
      <c r="J1835">
        <v>20</v>
      </c>
      <c r="K1835">
        <v>120000</v>
      </c>
      <c r="L1835">
        <v>24000</v>
      </c>
      <c r="M1835">
        <v>96000</v>
      </c>
      <c r="N1835">
        <v>72000</v>
      </c>
      <c r="O1835">
        <v>168000</v>
      </c>
      <c r="P1835" t="s">
        <v>63</v>
      </c>
      <c r="Q1835" t="s">
        <v>2357</v>
      </c>
      <c r="R1835" t="s">
        <v>23</v>
      </c>
      <c r="S1835">
        <v>4</v>
      </c>
      <c r="T1835" t="s">
        <v>24</v>
      </c>
      <c r="U1835" t="s">
        <v>2411</v>
      </c>
      <c r="V1835">
        <v>2024</v>
      </c>
      <c r="W1835">
        <v>11</v>
      </c>
    </row>
    <row r="1836" spans="1:23" x14ac:dyDescent="0.25">
      <c r="A1836" t="s">
        <v>709</v>
      </c>
      <c r="B1836">
        <v>45625.605902777781</v>
      </c>
      <c r="C1836" t="s">
        <v>100</v>
      </c>
      <c r="D1836" t="s">
        <v>66</v>
      </c>
      <c r="E1836" t="s">
        <v>190</v>
      </c>
      <c r="F1836" t="s">
        <v>2392</v>
      </c>
      <c r="G1836" t="s">
        <v>2378</v>
      </c>
      <c r="H1836">
        <v>35000</v>
      </c>
      <c r="I1836">
        <v>2</v>
      </c>
      <c r="J1836">
        <v>20</v>
      </c>
      <c r="K1836">
        <v>70000</v>
      </c>
      <c r="L1836">
        <v>14000</v>
      </c>
      <c r="M1836">
        <v>56000</v>
      </c>
      <c r="N1836">
        <v>59000</v>
      </c>
      <c r="O1836">
        <v>115000</v>
      </c>
      <c r="P1836" t="s">
        <v>35</v>
      </c>
      <c r="Q1836" t="s">
        <v>2357</v>
      </c>
      <c r="R1836" t="s">
        <v>30</v>
      </c>
      <c r="S1836">
        <v>3</v>
      </c>
      <c r="T1836" t="s">
        <v>24</v>
      </c>
      <c r="U1836" t="s">
        <v>2411</v>
      </c>
      <c r="V1836">
        <v>2024</v>
      </c>
      <c r="W1836">
        <v>11</v>
      </c>
    </row>
    <row r="1837" spans="1:23" x14ac:dyDescent="0.25">
      <c r="A1837" t="s">
        <v>710</v>
      </c>
      <c r="B1837">
        <v>45625.796550925923</v>
      </c>
      <c r="C1837" t="s">
        <v>711</v>
      </c>
      <c r="D1837" t="s">
        <v>177</v>
      </c>
      <c r="E1837" t="s">
        <v>21</v>
      </c>
      <c r="F1837" t="s">
        <v>2394</v>
      </c>
      <c r="G1837" t="s">
        <v>2379</v>
      </c>
      <c r="H1837">
        <v>45000</v>
      </c>
      <c r="I1837">
        <v>4</v>
      </c>
      <c r="J1837">
        <v>10</v>
      </c>
      <c r="K1837">
        <v>180000</v>
      </c>
      <c r="L1837">
        <v>18000</v>
      </c>
      <c r="M1837">
        <v>162000</v>
      </c>
      <c r="N1837">
        <v>56000</v>
      </c>
      <c r="O1837">
        <v>218000</v>
      </c>
      <c r="P1837" t="s">
        <v>22</v>
      </c>
      <c r="Q1837" t="s">
        <v>2357</v>
      </c>
      <c r="R1837" t="s">
        <v>23</v>
      </c>
      <c r="S1837">
        <v>5</v>
      </c>
      <c r="T1837" t="s">
        <v>24</v>
      </c>
      <c r="U1837" t="s">
        <v>2411</v>
      </c>
      <c r="V1837">
        <v>2024</v>
      </c>
      <c r="W1837">
        <v>11</v>
      </c>
    </row>
    <row r="1838" spans="1:23" x14ac:dyDescent="0.25">
      <c r="A1838" t="s">
        <v>712</v>
      </c>
      <c r="B1838">
        <v>45625.893275462957</v>
      </c>
      <c r="C1838" t="s">
        <v>323</v>
      </c>
      <c r="D1838" t="s">
        <v>103</v>
      </c>
      <c r="E1838" t="s">
        <v>250</v>
      </c>
      <c r="F1838" t="s">
        <v>2397</v>
      </c>
      <c r="G1838" t="s">
        <v>2379</v>
      </c>
      <c r="H1838">
        <v>18000</v>
      </c>
      <c r="I1838">
        <v>1</v>
      </c>
      <c r="J1838">
        <v>0</v>
      </c>
      <c r="K1838">
        <v>18000</v>
      </c>
      <c r="L1838">
        <v>0</v>
      </c>
      <c r="M1838">
        <v>18000</v>
      </c>
      <c r="N1838">
        <v>85000</v>
      </c>
      <c r="O1838">
        <v>103000</v>
      </c>
      <c r="P1838" t="s">
        <v>22</v>
      </c>
      <c r="Q1838" t="s">
        <v>2356</v>
      </c>
      <c r="R1838" t="s">
        <v>30</v>
      </c>
      <c r="S1838">
        <v>3</v>
      </c>
      <c r="T1838" t="s">
        <v>24</v>
      </c>
      <c r="U1838" t="s">
        <v>2411</v>
      </c>
      <c r="V1838">
        <v>2024</v>
      </c>
      <c r="W1838">
        <v>11</v>
      </c>
    </row>
    <row r="1839" spans="1:23" x14ac:dyDescent="0.25">
      <c r="A1839" t="s">
        <v>713</v>
      </c>
      <c r="B1839">
        <v>45626.462916666656</v>
      </c>
      <c r="C1839" t="s">
        <v>714</v>
      </c>
      <c r="D1839" t="s">
        <v>262</v>
      </c>
      <c r="E1839" t="s">
        <v>62</v>
      </c>
      <c r="F1839" t="s">
        <v>2398</v>
      </c>
      <c r="G1839" t="s">
        <v>2378</v>
      </c>
      <c r="H1839">
        <v>50000</v>
      </c>
      <c r="I1839">
        <v>4</v>
      </c>
      <c r="J1839">
        <v>10</v>
      </c>
      <c r="K1839">
        <v>200000</v>
      </c>
      <c r="L1839">
        <v>20000</v>
      </c>
      <c r="M1839">
        <v>180000</v>
      </c>
      <c r="N1839">
        <v>18000</v>
      </c>
      <c r="O1839">
        <v>198000</v>
      </c>
      <c r="P1839" t="s">
        <v>29</v>
      </c>
      <c r="Q1839" t="s">
        <v>2357</v>
      </c>
      <c r="R1839" t="s">
        <v>46</v>
      </c>
      <c r="S1839">
        <v>4</v>
      </c>
      <c r="T1839" t="s">
        <v>24</v>
      </c>
      <c r="U1839" t="s">
        <v>2411</v>
      </c>
      <c r="V1839">
        <v>2024</v>
      </c>
      <c r="W1839">
        <v>11</v>
      </c>
    </row>
    <row r="1840" spans="1:23" x14ac:dyDescent="0.25">
      <c r="A1840" t="s">
        <v>713</v>
      </c>
      <c r="B1840">
        <v>45626.462916666656</v>
      </c>
      <c r="C1840" t="s">
        <v>714</v>
      </c>
      <c r="D1840" t="s">
        <v>262</v>
      </c>
      <c r="E1840" t="s">
        <v>144</v>
      </c>
      <c r="F1840" t="s">
        <v>2396</v>
      </c>
      <c r="G1840" t="s">
        <v>2379</v>
      </c>
      <c r="H1840">
        <v>18000</v>
      </c>
      <c r="I1840">
        <v>1</v>
      </c>
      <c r="J1840">
        <v>0</v>
      </c>
      <c r="K1840">
        <v>18000</v>
      </c>
      <c r="L1840">
        <v>0</v>
      </c>
      <c r="M1840">
        <v>18000</v>
      </c>
      <c r="N1840">
        <v>0</v>
      </c>
      <c r="O1840">
        <v>18000</v>
      </c>
      <c r="P1840" t="s">
        <v>29</v>
      </c>
      <c r="Q1840" t="s">
        <v>2357</v>
      </c>
      <c r="R1840" t="s">
        <v>46</v>
      </c>
      <c r="S1840">
        <v>4</v>
      </c>
      <c r="T1840" t="s">
        <v>24</v>
      </c>
      <c r="U1840" t="s">
        <v>2411</v>
      </c>
      <c r="V1840">
        <v>2024</v>
      </c>
      <c r="W1840">
        <v>11</v>
      </c>
    </row>
    <row r="1841" spans="1:23" x14ac:dyDescent="0.25">
      <c r="A1841" t="s">
        <v>715</v>
      </c>
      <c r="B1841">
        <v>45626.525057870371</v>
      </c>
      <c r="C1841" t="s">
        <v>716</v>
      </c>
      <c r="D1841" t="s">
        <v>66</v>
      </c>
      <c r="E1841" t="s">
        <v>71</v>
      </c>
      <c r="F1841" t="s">
        <v>2392</v>
      </c>
      <c r="G1841" t="s">
        <v>2379</v>
      </c>
      <c r="H1841">
        <v>40000</v>
      </c>
      <c r="I1841">
        <v>2</v>
      </c>
      <c r="J1841">
        <v>10</v>
      </c>
      <c r="K1841">
        <v>80000</v>
      </c>
      <c r="L1841">
        <v>8000</v>
      </c>
      <c r="M1841">
        <v>72000</v>
      </c>
      <c r="N1841">
        <v>59000</v>
      </c>
      <c r="O1841">
        <v>131000</v>
      </c>
      <c r="P1841" t="s">
        <v>29</v>
      </c>
      <c r="Q1841" t="s">
        <v>2357</v>
      </c>
      <c r="R1841" t="s">
        <v>82</v>
      </c>
      <c r="S1841">
        <v>4</v>
      </c>
      <c r="T1841" t="s">
        <v>24</v>
      </c>
      <c r="U1841" t="s">
        <v>2411</v>
      </c>
      <c r="V1841">
        <v>2024</v>
      </c>
      <c r="W1841">
        <v>11</v>
      </c>
    </row>
    <row r="1842" spans="1:23" x14ac:dyDescent="0.25">
      <c r="A1842" t="s">
        <v>717</v>
      </c>
      <c r="B1842">
        <v>45626.606817129628</v>
      </c>
      <c r="C1842" t="s">
        <v>461</v>
      </c>
      <c r="D1842" t="s">
        <v>92</v>
      </c>
      <c r="E1842" t="s">
        <v>34</v>
      </c>
      <c r="F1842" t="s">
        <v>2397</v>
      </c>
      <c r="G1842" t="s">
        <v>2377</v>
      </c>
      <c r="H1842">
        <v>16000</v>
      </c>
      <c r="I1842">
        <v>3</v>
      </c>
      <c r="J1842">
        <v>0</v>
      </c>
      <c r="K1842">
        <v>48000</v>
      </c>
      <c r="L1842">
        <v>0</v>
      </c>
      <c r="M1842">
        <v>48000</v>
      </c>
      <c r="N1842">
        <v>30000</v>
      </c>
      <c r="O1842">
        <v>78000</v>
      </c>
      <c r="P1842" t="s">
        <v>35</v>
      </c>
      <c r="Q1842" t="s">
        <v>2357</v>
      </c>
      <c r="R1842" t="s">
        <v>82</v>
      </c>
      <c r="S1842">
        <v>4</v>
      </c>
      <c r="T1842" t="s">
        <v>37</v>
      </c>
      <c r="U1842" t="s">
        <v>2411</v>
      </c>
      <c r="V1842">
        <v>2024</v>
      </c>
      <c r="W1842">
        <v>11</v>
      </c>
    </row>
    <row r="1843" spans="1:23" x14ac:dyDescent="0.25">
      <c r="A1843" t="s">
        <v>718</v>
      </c>
      <c r="B1843">
        <v>45626.795601851853</v>
      </c>
      <c r="C1843" t="s">
        <v>416</v>
      </c>
      <c r="D1843" t="s">
        <v>131</v>
      </c>
      <c r="E1843" t="s">
        <v>190</v>
      </c>
      <c r="F1843" t="s">
        <v>2392</v>
      </c>
      <c r="G1843" t="s">
        <v>2378</v>
      </c>
      <c r="H1843">
        <v>35000</v>
      </c>
      <c r="I1843">
        <v>3</v>
      </c>
      <c r="J1843">
        <v>15</v>
      </c>
      <c r="K1843">
        <v>105000</v>
      </c>
      <c r="L1843">
        <v>15750</v>
      </c>
      <c r="M1843">
        <v>89250</v>
      </c>
      <c r="N1843">
        <v>59000</v>
      </c>
      <c r="O1843">
        <v>148250</v>
      </c>
      <c r="P1843" t="s">
        <v>63</v>
      </c>
      <c r="Q1843" t="s">
        <v>2359</v>
      </c>
      <c r="R1843" t="s">
        <v>46</v>
      </c>
      <c r="S1843">
        <v>5</v>
      </c>
      <c r="T1843" t="s">
        <v>24</v>
      </c>
      <c r="U1843" t="s">
        <v>2411</v>
      </c>
      <c r="V1843">
        <v>2024</v>
      </c>
      <c r="W1843">
        <v>11</v>
      </c>
    </row>
    <row r="1844" spans="1:23" x14ac:dyDescent="0.25">
      <c r="A1844" t="s">
        <v>719</v>
      </c>
      <c r="B1844">
        <v>45627.091238425928</v>
      </c>
      <c r="C1844" t="s">
        <v>355</v>
      </c>
      <c r="D1844" t="s">
        <v>116</v>
      </c>
      <c r="E1844" t="s">
        <v>136</v>
      </c>
      <c r="F1844" t="s">
        <v>2400</v>
      </c>
      <c r="G1844" t="s">
        <v>2378</v>
      </c>
      <c r="H1844">
        <v>12000</v>
      </c>
      <c r="I1844">
        <v>3</v>
      </c>
      <c r="J1844">
        <v>20</v>
      </c>
      <c r="K1844">
        <v>36000</v>
      </c>
      <c r="L1844">
        <v>7200</v>
      </c>
      <c r="M1844">
        <v>28800</v>
      </c>
      <c r="N1844">
        <v>72000</v>
      </c>
      <c r="O1844">
        <v>100800</v>
      </c>
      <c r="P1844" t="s">
        <v>29</v>
      </c>
      <c r="Q1844" t="s">
        <v>2357</v>
      </c>
      <c r="R1844" t="s">
        <v>46</v>
      </c>
      <c r="S1844">
        <v>2</v>
      </c>
      <c r="T1844" t="s">
        <v>24</v>
      </c>
      <c r="U1844" t="s">
        <v>2412</v>
      </c>
      <c r="V1844">
        <v>2024</v>
      </c>
      <c r="W1844">
        <v>12</v>
      </c>
    </row>
    <row r="1845" spans="1:23" x14ac:dyDescent="0.25">
      <c r="A1845" t="s">
        <v>720</v>
      </c>
      <c r="B1845">
        <v>45627.266261574077</v>
      </c>
      <c r="C1845" t="s">
        <v>269</v>
      </c>
      <c r="D1845" t="s">
        <v>173</v>
      </c>
      <c r="E1845" t="s">
        <v>28</v>
      </c>
      <c r="F1845" t="s">
        <v>2395</v>
      </c>
      <c r="G1845" t="s">
        <v>2378</v>
      </c>
      <c r="H1845">
        <v>5000</v>
      </c>
      <c r="I1845">
        <v>2</v>
      </c>
      <c r="J1845">
        <v>15</v>
      </c>
      <c r="K1845">
        <v>10000</v>
      </c>
      <c r="L1845">
        <v>1500</v>
      </c>
      <c r="M1845">
        <v>8500</v>
      </c>
      <c r="N1845">
        <v>49000</v>
      </c>
      <c r="O1845">
        <v>57500</v>
      </c>
      <c r="P1845" t="s">
        <v>29</v>
      </c>
      <c r="Q1845" t="s">
        <v>2357</v>
      </c>
      <c r="R1845" t="s">
        <v>46</v>
      </c>
      <c r="S1845">
        <v>4</v>
      </c>
      <c r="T1845" t="s">
        <v>37</v>
      </c>
      <c r="U1845" t="s">
        <v>2412</v>
      </c>
      <c r="V1845">
        <v>2024</v>
      </c>
      <c r="W1845">
        <v>12</v>
      </c>
    </row>
    <row r="1846" spans="1:23" x14ac:dyDescent="0.25">
      <c r="A1846" t="s">
        <v>721</v>
      </c>
      <c r="B1846">
        <v>45627.554027777784</v>
      </c>
      <c r="C1846" t="s">
        <v>722</v>
      </c>
      <c r="D1846" t="s">
        <v>57</v>
      </c>
      <c r="E1846" t="s">
        <v>138</v>
      </c>
      <c r="F1846" t="s">
        <v>2396</v>
      </c>
      <c r="G1846" t="s">
        <v>2378</v>
      </c>
      <c r="H1846">
        <v>17000</v>
      </c>
      <c r="I1846">
        <v>1</v>
      </c>
      <c r="J1846">
        <v>0</v>
      </c>
      <c r="K1846">
        <v>17000</v>
      </c>
      <c r="L1846">
        <v>0</v>
      </c>
      <c r="M1846">
        <v>17000</v>
      </c>
      <c r="N1846">
        <v>80000</v>
      </c>
      <c r="O1846">
        <v>97000</v>
      </c>
      <c r="P1846" t="s">
        <v>35</v>
      </c>
      <c r="Q1846" t="s">
        <v>2357</v>
      </c>
      <c r="R1846" t="s">
        <v>82</v>
      </c>
      <c r="S1846">
        <v>1</v>
      </c>
      <c r="T1846" t="s">
        <v>24</v>
      </c>
      <c r="U1846" t="s">
        <v>2412</v>
      </c>
      <c r="V1846">
        <v>2024</v>
      </c>
      <c r="W1846">
        <v>12</v>
      </c>
    </row>
    <row r="1847" spans="1:23" x14ac:dyDescent="0.25">
      <c r="A1847" t="s">
        <v>723</v>
      </c>
      <c r="B1847">
        <v>45627.61445601852</v>
      </c>
      <c r="C1847" t="s">
        <v>724</v>
      </c>
      <c r="D1847" t="s">
        <v>53</v>
      </c>
      <c r="E1847" t="s">
        <v>75</v>
      </c>
      <c r="F1847" t="s">
        <v>2398</v>
      </c>
      <c r="G1847" t="s">
        <v>2379</v>
      </c>
      <c r="H1847">
        <v>55000</v>
      </c>
      <c r="I1847">
        <v>3</v>
      </c>
      <c r="J1847">
        <v>0</v>
      </c>
      <c r="K1847">
        <v>165000</v>
      </c>
      <c r="L1847">
        <v>0</v>
      </c>
      <c r="M1847">
        <v>165000</v>
      </c>
      <c r="N1847">
        <v>18000</v>
      </c>
      <c r="O1847">
        <v>183000</v>
      </c>
      <c r="P1847" t="s">
        <v>22</v>
      </c>
      <c r="Q1847" t="s">
        <v>2356</v>
      </c>
      <c r="R1847" t="s">
        <v>36</v>
      </c>
      <c r="S1847">
        <v>3</v>
      </c>
      <c r="T1847" t="s">
        <v>24</v>
      </c>
      <c r="U1847" t="s">
        <v>2412</v>
      </c>
      <c r="V1847">
        <v>2024</v>
      </c>
      <c r="W1847">
        <v>12</v>
      </c>
    </row>
    <row r="1848" spans="1:23" x14ac:dyDescent="0.25">
      <c r="A1848" t="s">
        <v>725</v>
      </c>
      <c r="B1848">
        <v>45627.638541666667</v>
      </c>
      <c r="C1848" t="s">
        <v>726</v>
      </c>
      <c r="D1848" t="s">
        <v>53</v>
      </c>
      <c r="E1848" t="s">
        <v>75</v>
      </c>
      <c r="F1848" t="s">
        <v>2398</v>
      </c>
      <c r="G1848" t="s">
        <v>2379</v>
      </c>
      <c r="H1848">
        <v>55000</v>
      </c>
      <c r="I1848">
        <v>1</v>
      </c>
      <c r="J1848">
        <v>0</v>
      </c>
      <c r="K1848">
        <v>55000</v>
      </c>
      <c r="L1848">
        <v>0</v>
      </c>
      <c r="M1848">
        <v>55000</v>
      </c>
      <c r="N1848">
        <v>18000</v>
      </c>
      <c r="O1848">
        <v>73000</v>
      </c>
      <c r="P1848" t="s">
        <v>63</v>
      </c>
      <c r="Q1848" t="s">
        <v>2357</v>
      </c>
      <c r="R1848" t="s">
        <v>36</v>
      </c>
      <c r="S1848">
        <v>4</v>
      </c>
      <c r="T1848" t="s">
        <v>37</v>
      </c>
      <c r="U1848" t="s">
        <v>2412</v>
      </c>
      <c r="V1848">
        <v>2024</v>
      </c>
      <c r="W1848">
        <v>12</v>
      </c>
    </row>
    <row r="1849" spans="1:23" x14ac:dyDescent="0.25">
      <c r="A1849" t="s">
        <v>727</v>
      </c>
      <c r="B1849">
        <v>45627.976539351846</v>
      </c>
      <c r="C1849" t="s">
        <v>410</v>
      </c>
      <c r="D1849" t="s">
        <v>151</v>
      </c>
      <c r="E1849" t="s">
        <v>38</v>
      </c>
      <c r="F1849" t="s">
        <v>2399</v>
      </c>
      <c r="G1849" t="s">
        <v>2379</v>
      </c>
      <c r="H1849">
        <v>28000</v>
      </c>
      <c r="I1849">
        <v>3</v>
      </c>
      <c r="J1849">
        <v>10</v>
      </c>
      <c r="K1849">
        <v>84000</v>
      </c>
      <c r="L1849">
        <v>8400</v>
      </c>
      <c r="M1849">
        <v>75600</v>
      </c>
      <c r="N1849">
        <v>55000</v>
      </c>
      <c r="O1849">
        <v>130600</v>
      </c>
      <c r="P1849" t="s">
        <v>22</v>
      </c>
      <c r="Q1849" t="s">
        <v>2357</v>
      </c>
      <c r="R1849" t="s">
        <v>82</v>
      </c>
      <c r="S1849">
        <v>5</v>
      </c>
      <c r="T1849" t="s">
        <v>24</v>
      </c>
      <c r="U1849" t="s">
        <v>2412</v>
      </c>
      <c r="V1849">
        <v>2024</v>
      </c>
      <c r="W1849">
        <v>12</v>
      </c>
    </row>
    <row r="1850" spans="1:23" x14ac:dyDescent="0.25">
      <c r="A1850" t="s">
        <v>728</v>
      </c>
      <c r="B1850">
        <v>45628.068935185183</v>
      </c>
      <c r="C1850" t="s">
        <v>729</v>
      </c>
      <c r="D1850" t="s">
        <v>74</v>
      </c>
      <c r="E1850" t="s">
        <v>58</v>
      </c>
      <c r="F1850" t="s">
        <v>2396</v>
      </c>
      <c r="G1850" t="s">
        <v>2377</v>
      </c>
      <c r="H1850">
        <v>16000</v>
      </c>
      <c r="I1850">
        <v>3</v>
      </c>
      <c r="J1850">
        <v>10</v>
      </c>
      <c r="K1850">
        <v>48000</v>
      </c>
      <c r="L1850">
        <v>4800</v>
      </c>
      <c r="M1850">
        <v>43200</v>
      </c>
      <c r="N1850">
        <v>87000</v>
      </c>
      <c r="O1850">
        <v>130200</v>
      </c>
      <c r="P1850" t="s">
        <v>63</v>
      </c>
      <c r="Q1850" t="s">
        <v>2357</v>
      </c>
      <c r="R1850" t="s">
        <v>30</v>
      </c>
      <c r="S1850">
        <v>5</v>
      </c>
      <c r="T1850" t="s">
        <v>24</v>
      </c>
      <c r="U1850" t="s">
        <v>2412</v>
      </c>
      <c r="V1850">
        <v>2024</v>
      </c>
      <c r="W1850">
        <v>12</v>
      </c>
    </row>
    <row r="1851" spans="1:23" x14ac:dyDescent="0.25">
      <c r="A1851" t="s">
        <v>730</v>
      </c>
      <c r="B1851">
        <v>45628.098298611112</v>
      </c>
      <c r="C1851" t="s">
        <v>455</v>
      </c>
      <c r="D1851" t="s">
        <v>33</v>
      </c>
      <c r="E1851" t="s">
        <v>174</v>
      </c>
      <c r="F1851" t="s">
        <v>2400</v>
      </c>
      <c r="G1851" t="s">
        <v>2377</v>
      </c>
      <c r="H1851">
        <v>10000</v>
      </c>
      <c r="I1851">
        <v>5</v>
      </c>
      <c r="J1851">
        <v>0</v>
      </c>
      <c r="K1851">
        <v>50000</v>
      </c>
      <c r="L1851">
        <v>0</v>
      </c>
      <c r="M1851">
        <v>50000</v>
      </c>
      <c r="N1851">
        <v>76000</v>
      </c>
      <c r="O1851">
        <v>126000</v>
      </c>
      <c r="P1851" t="s">
        <v>35</v>
      </c>
      <c r="Q1851" t="s">
        <v>2357</v>
      </c>
      <c r="R1851" t="s">
        <v>46</v>
      </c>
      <c r="S1851">
        <v>1</v>
      </c>
      <c r="T1851" t="s">
        <v>24</v>
      </c>
      <c r="U1851" t="s">
        <v>2412</v>
      </c>
      <c r="V1851">
        <v>2024</v>
      </c>
      <c r="W1851">
        <v>12</v>
      </c>
    </row>
    <row r="1852" spans="1:23" x14ac:dyDescent="0.25">
      <c r="A1852" t="s">
        <v>731</v>
      </c>
      <c r="B1852">
        <v>45628.253842592603</v>
      </c>
      <c r="C1852" t="s">
        <v>732</v>
      </c>
      <c r="D1852" t="s">
        <v>170</v>
      </c>
      <c r="E1852" t="s">
        <v>54</v>
      </c>
      <c r="F1852" t="s">
        <v>2393</v>
      </c>
      <c r="G1852" t="s">
        <v>2379</v>
      </c>
      <c r="H1852">
        <v>16000</v>
      </c>
      <c r="I1852">
        <v>4</v>
      </c>
      <c r="J1852">
        <v>5</v>
      </c>
      <c r="K1852">
        <v>64000</v>
      </c>
      <c r="L1852">
        <v>3200</v>
      </c>
      <c r="M1852">
        <v>60800</v>
      </c>
      <c r="N1852">
        <v>46000</v>
      </c>
      <c r="O1852">
        <v>106800</v>
      </c>
      <c r="P1852" t="s">
        <v>35</v>
      </c>
      <c r="Q1852" t="s">
        <v>2357</v>
      </c>
      <c r="R1852" t="s">
        <v>82</v>
      </c>
      <c r="S1852">
        <v>1</v>
      </c>
      <c r="T1852" t="s">
        <v>24</v>
      </c>
      <c r="U1852" t="s">
        <v>2412</v>
      </c>
      <c r="V1852">
        <v>2024</v>
      </c>
      <c r="W1852">
        <v>12</v>
      </c>
    </row>
    <row r="1853" spans="1:23" x14ac:dyDescent="0.25">
      <c r="A1853" t="s">
        <v>733</v>
      </c>
      <c r="B1853">
        <v>45628.472118055557</v>
      </c>
      <c r="C1853" t="s">
        <v>77</v>
      </c>
      <c r="D1853" t="s">
        <v>61</v>
      </c>
      <c r="E1853" t="s">
        <v>28</v>
      </c>
      <c r="F1853" t="s">
        <v>2395</v>
      </c>
      <c r="G1853" t="s">
        <v>2378</v>
      </c>
      <c r="H1853">
        <v>5000</v>
      </c>
      <c r="I1853">
        <v>1</v>
      </c>
      <c r="J1853">
        <v>0</v>
      </c>
      <c r="K1853">
        <v>5000</v>
      </c>
      <c r="L1853">
        <v>0</v>
      </c>
      <c r="M1853">
        <v>5000</v>
      </c>
      <c r="N1853">
        <v>26000</v>
      </c>
      <c r="O1853">
        <v>31000</v>
      </c>
      <c r="P1853" t="s">
        <v>35</v>
      </c>
      <c r="Q1853" t="s">
        <v>2357</v>
      </c>
      <c r="R1853" t="s">
        <v>36</v>
      </c>
      <c r="S1853">
        <v>4</v>
      </c>
      <c r="T1853" t="s">
        <v>24</v>
      </c>
      <c r="U1853" t="s">
        <v>2412</v>
      </c>
      <c r="V1853">
        <v>2024</v>
      </c>
      <c r="W1853">
        <v>12</v>
      </c>
    </row>
    <row r="1854" spans="1:23" x14ac:dyDescent="0.25">
      <c r="A1854" t="s">
        <v>734</v>
      </c>
      <c r="B1854">
        <v>45628.478425925918</v>
      </c>
      <c r="C1854" t="s">
        <v>644</v>
      </c>
      <c r="D1854" t="s">
        <v>244</v>
      </c>
      <c r="E1854" t="s">
        <v>93</v>
      </c>
      <c r="F1854" t="s">
        <v>2399</v>
      </c>
      <c r="G1854" t="s">
        <v>2378</v>
      </c>
      <c r="H1854">
        <v>25000</v>
      </c>
      <c r="I1854">
        <v>1</v>
      </c>
      <c r="J1854">
        <v>10</v>
      </c>
      <c r="K1854">
        <v>25000</v>
      </c>
      <c r="L1854">
        <v>2500</v>
      </c>
      <c r="M1854">
        <v>22500</v>
      </c>
      <c r="N1854">
        <v>80000</v>
      </c>
      <c r="O1854">
        <v>102500</v>
      </c>
      <c r="P1854" t="s">
        <v>35</v>
      </c>
      <c r="Q1854" t="s">
        <v>2359</v>
      </c>
      <c r="R1854" t="s">
        <v>46</v>
      </c>
      <c r="S1854">
        <v>4</v>
      </c>
      <c r="T1854" t="s">
        <v>24</v>
      </c>
      <c r="U1854" t="s">
        <v>2412</v>
      </c>
      <c r="V1854">
        <v>2024</v>
      </c>
      <c r="W1854">
        <v>12</v>
      </c>
    </row>
    <row r="1855" spans="1:23" x14ac:dyDescent="0.25">
      <c r="A1855" t="s">
        <v>735</v>
      </c>
      <c r="B1855">
        <v>45628.526504629634</v>
      </c>
      <c r="C1855" t="s">
        <v>229</v>
      </c>
      <c r="D1855" t="s">
        <v>195</v>
      </c>
      <c r="E1855" t="s">
        <v>186</v>
      </c>
      <c r="F1855" t="s">
        <v>2398</v>
      </c>
      <c r="G1855" t="s">
        <v>2377</v>
      </c>
      <c r="H1855">
        <v>45000</v>
      </c>
      <c r="I1855">
        <v>2</v>
      </c>
      <c r="J1855">
        <v>10</v>
      </c>
      <c r="K1855">
        <v>90000</v>
      </c>
      <c r="L1855">
        <v>9000</v>
      </c>
      <c r="M1855">
        <v>81000</v>
      </c>
      <c r="N1855">
        <v>87000</v>
      </c>
      <c r="O1855">
        <v>168000</v>
      </c>
      <c r="P1855" t="s">
        <v>29</v>
      </c>
      <c r="Q1855" t="s">
        <v>2357</v>
      </c>
      <c r="R1855" t="s">
        <v>36</v>
      </c>
      <c r="S1855">
        <v>5</v>
      </c>
      <c r="T1855" t="s">
        <v>24</v>
      </c>
      <c r="U1855" t="s">
        <v>2412</v>
      </c>
      <c r="V1855">
        <v>2024</v>
      </c>
      <c r="W1855">
        <v>12</v>
      </c>
    </row>
    <row r="1856" spans="1:23" x14ac:dyDescent="0.25">
      <c r="A1856" t="s">
        <v>736</v>
      </c>
      <c r="B1856">
        <v>45628.564050925917</v>
      </c>
      <c r="C1856" t="s">
        <v>254</v>
      </c>
      <c r="D1856" t="s">
        <v>61</v>
      </c>
      <c r="E1856" t="s">
        <v>50</v>
      </c>
      <c r="F1856" t="s">
        <v>2400</v>
      </c>
      <c r="G1856" t="s">
        <v>2379</v>
      </c>
      <c r="H1856">
        <v>14000</v>
      </c>
      <c r="I1856">
        <v>5</v>
      </c>
      <c r="J1856">
        <v>0</v>
      </c>
      <c r="K1856">
        <v>70000</v>
      </c>
      <c r="L1856">
        <v>0</v>
      </c>
      <c r="M1856">
        <v>70000</v>
      </c>
      <c r="N1856">
        <v>26000</v>
      </c>
      <c r="O1856">
        <v>96000</v>
      </c>
      <c r="P1856" t="s">
        <v>63</v>
      </c>
      <c r="Q1856" t="s">
        <v>2357</v>
      </c>
      <c r="R1856" t="s">
        <v>46</v>
      </c>
      <c r="S1856">
        <v>5</v>
      </c>
      <c r="T1856" t="s">
        <v>24</v>
      </c>
      <c r="U1856" t="s">
        <v>2412</v>
      </c>
      <c r="V1856">
        <v>2024</v>
      </c>
      <c r="W1856">
        <v>12</v>
      </c>
    </row>
    <row r="1857" spans="1:23" x14ac:dyDescent="0.25">
      <c r="A1857" t="s">
        <v>737</v>
      </c>
      <c r="B1857">
        <v>45628.596377314818</v>
      </c>
      <c r="C1857" t="s">
        <v>570</v>
      </c>
      <c r="D1857" t="s">
        <v>80</v>
      </c>
      <c r="E1857" t="s">
        <v>54</v>
      </c>
      <c r="F1857" t="s">
        <v>2393</v>
      </c>
      <c r="G1857" t="s">
        <v>2379</v>
      </c>
      <c r="H1857">
        <v>16000</v>
      </c>
      <c r="I1857">
        <v>3</v>
      </c>
      <c r="J1857">
        <v>20</v>
      </c>
      <c r="K1857">
        <v>48000</v>
      </c>
      <c r="L1857">
        <v>9600</v>
      </c>
      <c r="M1857">
        <v>38400</v>
      </c>
      <c r="N1857">
        <v>74000</v>
      </c>
      <c r="O1857">
        <v>112400</v>
      </c>
      <c r="P1857" t="s">
        <v>35</v>
      </c>
      <c r="Q1857" t="s">
        <v>2359</v>
      </c>
      <c r="R1857" t="s">
        <v>36</v>
      </c>
      <c r="S1857">
        <v>5</v>
      </c>
      <c r="T1857" t="s">
        <v>24</v>
      </c>
      <c r="U1857" t="s">
        <v>2412</v>
      </c>
      <c r="V1857">
        <v>2024</v>
      </c>
      <c r="W1857">
        <v>12</v>
      </c>
    </row>
    <row r="1858" spans="1:23" x14ac:dyDescent="0.25">
      <c r="A1858" t="s">
        <v>738</v>
      </c>
      <c r="B1858">
        <v>45629.14199074074</v>
      </c>
      <c r="C1858" t="s">
        <v>739</v>
      </c>
      <c r="D1858" t="s">
        <v>177</v>
      </c>
      <c r="E1858" t="s">
        <v>34</v>
      </c>
      <c r="F1858" t="s">
        <v>2397</v>
      </c>
      <c r="G1858" t="s">
        <v>2377</v>
      </c>
      <c r="H1858">
        <v>16000</v>
      </c>
      <c r="I1858">
        <v>1</v>
      </c>
      <c r="J1858">
        <v>0</v>
      </c>
      <c r="K1858">
        <v>16000</v>
      </c>
      <c r="L1858">
        <v>0</v>
      </c>
      <c r="M1858">
        <v>16000</v>
      </c>
      <c r="N1858">
        <v>56000</v>
      </c>
      <c r="O1858">
        <v>72000</v>
      </c>
      <c r="P1858" t="s">
        <v>29</v>
      </c>
      <c r="Q1858" t="s">
        <v>2356</v>
      </c>
      <c r="R1858" t="s">
        <v>30</v>
      </c>
      <c r="S1858">
        <v>5</v>
      </c>
      <c r="T1858" t="s">
        <v>24</v>
      </c>
      <c r="U1858" t="s">
        <v>2412</v>
      </c>
      <c r="V1858">
        <v>2024</v>
      </c>
      <c r="W1858">
        <v>12</v>
      </c>
    </row>
    <row r="1859" spans="1:23" x14ac:dyDescent="0.25">
      <c r="A1859" t="s">
        <v>740</v>
      </c>
      <c r="B1859">
        <v>45629.167129629634</v>
      </c>
      <c r="C1859" t="s">
        <v>741</v>
      </c>
      <c r="D1859" t="s">
        <v>189</v>
      </c>
      <c r="E1859" t="s">
        <v>71</v>
      </c>
      <c r="F1859" t="s">
        <v>2392</v>
      </c>
      <c r="G1859" t="s">
        <v>2379</v>
      </c>
      <c r="H1859">
        <v>40000</v>
      </c>
      <c r="I1859">
        <v>5</v>
      </c>
      <c r="J1859">
        <v>15</v>
      </c>
      <c r="K1859">
        <v>200000</v>
      </c>
      <c r="L1859">
        <v>30000</v>
      </c>
      <c r="M1859">
        <v>170000</v>
      </c>
      <c r="N1859">
        <v>57000</v>
      </c>
      <c r="O1859">
        <v>227000</v>
      </c>
      <c r="P1859" t="s">
        <v>22</v>
      </c>
      <c r="Q1859" t="s">
        <v>2356</v>
      </c>
      <c r="R1859" t="s">
        <v>36</v>
      </c>
      <c r="S1859">
        <v>4</v>
      </c>
      <c r="T1859" t="s">
        <v>24</v>
      </c>
      <c r="U1859" t="s">
        <v>2412</v>
      </c>
      <c r="V1859">
        <v>2024</v>
      </c>
      <c r="W1859">
        <v>12</v>
      </c>
    </row>
    <row r="1860" spans="1:23" x14ac:dyDescent="0.25">
      <c r="A1860" t="s">
        <v>742</v>
      </c>
      <c r="B1860">
        <v>45629.321921296287</v>
      </c>
      <c r="C1860" t="s">
        <v>323</v>
      </c>
      <c r="D1860" t="s">
        <v>103</v>
      </c>
      <c r="E1860" t="s">
        <v>123</v>
      </c>
      <c r="F1860" t="s">
        <v>2399</v>
      </c>
      <c r="G1860" t="s">
        <v>2377</v>
      </c>
      <c r="H1860">
        <v>22000</v>
      </c>
      <c r="I1860">
        <v>2</v>
      </c>
      <c r="J1860">
        <v>0</v>
      </c>
      <c r="K1860">
        <v>44000</v>
      </c>
      <c r="L1860">
        <v>0</v>
      </c>
      <c r="M1860">
        <v>44000</v>
      </c>
      <c r="N1860">
        <v>85000</v>
      </c>
      <c r="O1860">
        <v>129000</v>
      </c>
      <c r="P1860" t="s">
        <v>29</v>
      </c>
      <c r="Q1860" t="s">
        <v>2357</v>
      </c>
      <c r="R1860" t="s">
        <v>23</v>
      </c>
      <c r="S1860">
        <v>4</v>
      </c>
      <c r="T1860" t="s">
        <v>24</v>
      </c>
      <c r="U1860" t="s">
        <v>2412</v>
      </c>
      <c r="V1860">
        <v>2024</v>
      </c>
      <c r="W1860">
        <v>12</v>
      </c>
    </row>
    <row r="1861" spans="1:23" x14ac:dyDescent="0.25">
      <c r="A1861" t="s">
        <v>742</v>
      </c>
      <c r="B1861">
        <v>45629.321921296287</v>
      </c>
      <c r="C1861" t="s">
        <v>323</v>
      </c>
      <c r="D1861" t="s">
        <v>103</v>
      </c>
      <c r="E1861" t="s">
        <v>136</v>
      </c>
      <c r="F1861" t="s">
        <v>2400</v>
      </c>
      <c r="G1861" t="s">
        <v>2378</v>
      </c>
      <c r="H1861">
        <v>12000</v>
      </c>
      <c r="I1861">
        <v>3</v>
      </c>
      <c r="J1861">
        <v>20</v>
      </c>
      <c r="K1861">
        <v>36000</v>
      </c>
      <c r="L1861">
        <v>7200</v>
      </c>
      <c r="M1861">
        <v>28800</v>
      </c>
      <c r="N1861">
        <v>0</v>
      </c>
      <c r="O1861">
        <v>28800</v>
      </c>
      <c r="P1861" t="s">
        <v>29</v>
      </c>
      <c r="Q1861" t="s">
        <v>2357</v>
      </c>
      <c r="R1861" t="s">
        <v>23</v>
      </c>
      <c r="S1861">
        <v>4</v>
      </c>
      <c r="T1861" t="s">
        <v>24</v>
      </c>
      <c r="U1861" t="s">
        <v>2412</v>
      </c>
      <c r="V1861">
        <v>2024</v>
      </c>
      <c r="W1861">
        <v>12</v>
      </c>
    </row>
    <row r="1862" spans="1:23" x14ac:dyDescent="0.25">
      <c r="A1862" t="s">
        <v>743</v>
      </c>
      <c r="B1862">
        <v>45629.390451388892</v>
      </c>
      <c r="C1862" t="s">
        <v>744</v>
      </c>
      <c r="D1862" t="s">
        <v>375</v>
      </c>
      <c r="E1862" t="s">
        <v>85</v>
      </c>
      <c r="F1862" t="s">
        <v>2394</v>
      </c>
      <c r="G1862" t="s">
        <v>2377</v>
      </c>
      <c r="H1862">
        <v>35000</v>
      </c>
      <c r="I1862">
        <v>2</v>
      </c>
      <c r="J1862">
        <v>0</v>
      </c>
      <c r="K1862">
        <v>70000</v>
      </c>
      <c r="L1862">
        <v>0</v>
      </c>
      <c r="M1862">
        <v>70000</v>
      </c>
      <c r="N1862">
        <v>21000</v>
      </c>
      <c r="O1862">
        <v>91000</v>
      </c>
      <c r="P1862" t="s">
        <v>35</v>
      </c>
      <c r="Q1862" t="s">
        <v>2357</v>
      </c>
      <c r="R1862" t="s">
        <v>30</v>
      </c>
      <c r="S1862">
        <v>1</v>
      </c>
      <c r="T1862" t="s">
        <v>24</v>
      </c>
      <c r="U1862" t="s">
        <v>2412</v>
      </c>
      <c r="V1862">
        <v>2024</v>
      </c>
      <c r="W1862">
        <v>12</v>
      </c>
    </row>
    <row r="1863" spans="1:23" x14ac:dyDescent="0.25">
      <c r="A1863" t="s">
        <v>745</v>
      </c>
      <c r="B1863">
        <v>45629.426365740743</v>
      </c>
      <c r="C1863" t="s">
        <v>549</v>
      </c>
      <c r="D1863" t="s">
        <v>107</v>
      </c>
      <c r="E1863" t="s">
        <v>71</v>
      </c>
      <c r="F1863" t="s">
        <v>2392</v>
      </c>
      <c r="G1863" t="s">
        <v>2379</v>
      </c>
      <c r="H1863">
        <v>40000</v>
      </c>
      <c r="I1863">
        <v>3</v>
      </c>
      <c r="J1863">
        <v>0</v>
      </c>
      <c r="K1863">
        <v>120000</v>
      </c>
      <c r="L1863">
        <v>0</v>
      </c>
      <c r="M1863">
        <v>120000</v>
      </c>
      <c r="N1863">
        <v>97000</v>
      </c>
      <c r="O1863">
        <v>217000</v>
      </c>
      <c r="P1863" t="s">
        <v>22</v>
      </c>
      <c r="Q1863" t="s">
        <v>2357</v>
      </c>
      <c r="R1863" t="s">
        <v>82</v>
      </c>
      <c r="S1863">
        <v>5</v>
      </c>
      <c r="T1863" t="s">
        <v>24</v>
      </c>
      <c r="U1863" t="s">
        <v>2412</v>
      </c>
      <c r="V1863">
        <v>2024</v>
      </c>
      <c r="W1863">
        <v>12</v>
      </c>
    </row>
    <row r="1864" spans="1:23" x14ac:dyDescent="0.25">
      <c r="A1864" t="s">
        <v>746</v>
      </c>
      <c r="B1864">
        <v>45629.528148148151</v>
      </c>
      <c r="C1864" t="s">
        <v>56</v>
      </c>
      <c r="D1864" t="s">
        <v>57</v>
      </c>
      <c r="E1864" t="s">
        <v>50</v>
      </c>
      <c r="F1864" t="s">
        <v>2400</v>
      </c>
      <c r="G1864" t="s">
        <v>2379</v>
      </c>
      <c r="H1864">
        <v>14000</v>
      </c>
      <c r="I1864">
        <v>1</v>
      </c>
      <c r="J1864">
        <v>5</v>
      </c>
      <c r="K1864">
        <v>14000</v>
      </c>
      <c r="L1864">
        <v>700</v>
      </c>
      <c r="M1864">
        <v>13300</v>
      </c>
      <c r="N1864">
        <v>80000</v>
      </c>
      <c r="O1864">
        <v>93300</v>
      </c>
      <c r="P1864" t="s">
        <v>63</v>
      </c>
      <c r="Q1864" t="s">
        <v>2357</v>
      </c>
      <c r="R1864" t="s">
        <v>82</v>
      </c>
      <c r="S1864">
        <v>4</v>
      </c>
      <c r="T1864" t="s">
        <v>24</v>
      </c>
      <c r="U1864" t="s">
        <v>2412</v>
      </c>
      <c r="V1864">
        <v>2024</v>
      </c>
      <c r="W1864">
        <v>12</v>
      </c>
    </row>
    <row r="1865" spans="1:23" x14ac:dyDescent="0.25">
      <c r="A1865" t="s">
        <v>747</v>
      </c>
      <c r="B1865">
        <v>45629.953587962962</v>
      </c>
      <c r="C1865" t="s">
        <v>748</v>
      </c>
      <c r="D1865" t="s">
        <v>160</v>
      </c>
      <c r="E1865" t="s">
        <v>50</v>
      </c>
      <c r="F1865" t="s">
        <v>2400</v>
      </c>
      <c r="G1865" t="s">
        <v>2379</v>
      </c>
      <c r="H1865">
        <v>14000</v>
      </c>
      <c r="I1865">
        <v>4</v>
      </c>
      <c r="J1865">
        <v>0</v>
      </c>
      <c r="K1865">
        <v>56000</v>
      </c>
      <c r="L1865">
        <v>0</v>
      </c>
      <c r="M1865">
        <v>56000</v>
      </c>
      <c r="N1865">
        <v>68000</v>
      </c>
      <c r="O1865">
        <v>124000</v>
      </c>
      <c r="P1865" t="s">
        <v>63</v>
      </c>
      <c r="Q1865" t="s">
        <v>2357</v>
      </c>
      <c r="R1865" t="s">
        <v>82</v>
      </c>
      <c r="S1865">
        <v>1</v>
      </c>
      <c r="T1865" t="s">
        <v>24</v>
      </c>
      <c r="U1865" t="s">
        <v>2412</v>
      </c>
      <c r="V1865">
        <v>2024</v>
      </c>
      <c r="W1865">
        <v>12</v>
      </c>
    </row>
    <row r="1866" spans="1:23" x14ac:dyDescent="0.25">
      <c r="A1866" t="s">
        <v>749</v>
      </c>
      <c r="B1866">
        <v>45630.617152777777</v>
      </c>
      <c r="C1866" t="s">
        <v>133</v>
      </c>
      <c r="D1866" t="s">
        <v>33</v>
      </c>
      <c r="E1866" t="s">
        <v>186</v>
      </c>
      <c r="F1866" t="s">
        <v>2398</v>
      </c>
      <c r="G1866" t="s">
        <v>2377</v>
      </c>
      <c r="H1866">
        <v>45000</v>
      </c>
      <c r="I1866">
        <v>2</v>
      </c>
      <c r="J1866">
        <v>15</v>
      </c>
      <c r="K1866">
        <v>90000</v>
      </c>
      <c r="L1866">
        <v>13500</v>
      </c>
      <c r="M1866">
        <v>76500</v>
      </c>
      <c r="N1866">
        <v>76000</v>
      </c>
      <c r="O1866">
        <v>152500</v>
      </c>
      <c r="P1866" t="s">
        <v>63</v>
      </c>
      <c r="Q1866" t="s">
        <v>2356</v>
      </c>
      <c r="R1866" t="s">
        <v>36</v>
      </c>
      <c r="S1866">
        <v>4</v>
      </c>
      <c r="T1866" t="s">
        <v>24</v>
      </c>
      <c r="U1866" t="s">
        <v>2412</v>
      </c>
      <c r="V1866">
        <v>2024</v>
      </c>
      <c r="W1866">
        <v>12</v>
      </c>
    </row>
    <row r="1867" spans="1:23" x14ac:dyDescent="0.25">
      <c r="A1867" t="s">
        <v>750</v>
      </c>
      <c r="B1867">
        <v>45631.069363425922</v>
      </c>
      <c r="C1867" t="s">
        <v>751</v>
      </c>
      <c r="D1867" t="s">
        <v>80</v>
      </c>
      <c r="E1867" t="s">
        <v>123</v>
      </c>
      <c r="F1867" t="s">
        <v>2399</v>
      </c>
      <c r="G1867" t="s">
        <v>2377</v>
      </c>
      <c r="H1867">
        <v>22000</v>
      </c>
      <c r="I1867">
        <v>5</v>
      </c>
      <c r="J1867">
        <v>20</v>
      </c>
      <c r="K1867">
        <v>110000</v>
      </c>
      <c r="L1867">
        <v>22000</v>
      </c>
      <c r="M1867">
        <v>88000</v>
      </c>
      <c r="N1867">
        <v>74000</v>
      </c>
      <c r="O1867">
        <v>162000</v>
      </c>
      <c r="P1867" t="s">
        <v>63</v>
      </c>
      <c r="Q1867" t="s">
        <v>2357</v>
      </c>
      <c r="R1867" t="s">
        <v>82</v>
      </c>
      <c r="S1867">
        <v>4</v>
      </c>
      <c r="T1867" t="s">
        <v>24</v>
      </c>
      <c r="U1867" t="s">
        <v>2412</v>
      </c>
      <c r="V1867">
        <v>2024</v>
      </c>
      <c r="W1867">
        <v>12</v>
      </c>
    </row>
    <row r="1868" spans="1:23" x14ac:dyDescent="0.25">
      <c r="A1868" t="s">
        <v>752</v>
      </c>
      <c r="B1868">
        <v>45631.320868055547</v>
      </c>
      <c r="C1868" t="s">
        <v>459</v>
      </c>
      <c r="D1868" t="s">
        <v>61</v>
      </c>
      <c r="E1868" t="s">
        <v>110</v>
      </c>
      <c r="F1868" t="s">
        <v>2395</v>
      </c>
      <c r="G1868" t="s">
        <v>2379</v>
      </c>
      <c r="H1868">
        <v>6000</v>
      </c>
      <c r="I1868">
        <v>2</v>
      </c>
      <c r="J1868">
        <v>0</v>
      </c>
      <c r="K1868">
        <v>12000</v>
      </c>
      <c r="L1868">
        <v>0</v>
      </c>
      <c r="M1868">
        <v>12000</v>
      </c>
      <c r="N1868">
        <v>26000</v>
      </c>
      <c r="O1868">
        <v>38000</v>
      </c>
      <c r="P1868" t="s">
        <v>29</v>
      </c>
      <c r="Q1868" t="s">
        <v>2357</v>
      </c>
      <c r="R1868" t="s">
        <v>46</v>
      </c>
      <c r="S1868">
        <v>1</v>
      </c>
      <c r="T1868" t="s">
        <v>24</v>
      </c>
      <c r="U1868" t="s">
        <v>2412</v>
      </c>
      <c r="V1868">
        <v>2024</v>
      </c>
      <c r="W1868">
        <v>12</v>
      </c>
    </row>
    <row r="1869" spans="1:23" x14ac:dyDescent="0.25">
      <c r="A1869" t="s">
        <v>753</v>
      </c>
      <c r="B1869">
        <v>45631.402430555558</v>
      </c>
      <c r="C1869" t="s">
        <v>754</v>
      </c>
      <c r="D1869" t="s">
        <v>238</v>
      </c>
      <c r="E1869" t="s">
        <v>250</v>
      </c>
      <c r="F1869" t="s">
        <v>2397</v>
      </c>
      <c r="G1869" t="s">
        <v>2379</v>
      </c>
      <c r="H1869">
        <v>18000</v>
      </c>
      <c r="I1869">
        <v>2</v>
      </c>
      <c r="J1869">
        <v>5</v>
      </c>
      <c r="K1869">
        <v>36000</v>
      </c>
      <c r="L1869">
        <v>1800</v>
      </c>
      <c r="M1869">
        <v>34200</v>
      </c>
      <c r="N1869">
        <v>28000</v>
      </c>
      <c r="O1869">
        <v>62200</v>
      </c>
      <c r="P1869" t="s">
        <v>63</v>
      </c>
      <c r="Q1869" t="s">
        <v>2357</v>
      </c>
      <c r="R1869" t="s">
        <v>82</v>
      </c>
      <c r="S1869">
        <v>3</v>
      </c>
      <c r="T1869" t="s">
        <v>37</v>
      </c>
      <c r="U1869" t="s">
        <v>2412</v>
      </c>
      <c r="V1869">
        <v>2024</v>
      </c>
      <c r="W1869">
        <v>12</v>
      </c>
    </row>
    <row r="1870" spans="1:23" x14ac:dyDescent="0.25">
      <c r="A1870" t="s">
        <v>753</v>
      </c>
      <c r="B1870">
        <v>45631.402430555558</v>
      </c>
      <c r="C1870" t="s">
        <v>754</v>
      </c>
      <c r="D1870" t="s">
        <v>238</v>
      </c>
      <c r="E1870" t="s">
        <v>144</v>
      </c>
      <c r="F1870" t="s">
        <v>2396</v>
      </c>
      <c r="G1870" t="s">
        <v>2379</v>
      </c>
      <c r="H1870">
        <v>18000</v>
      </c>
      <c r="I1870">
        <v>2</v>
      </c>
      <c r="J1870">
        <v>20</v>
      </c>
      <c r="K1870">
        <v>36000</v>
      </c>
      <c r="L1870">
        <v>7200</v>
      </c>
      <c r="M1870">
        <v>28800</v>
      </c>
      <c r="N1870">
        <v>0</v>
      </c>
      <c r="O1870">
        <v>28800</v>
      </c>
      <c r="P1870" t="s">
        <v>63</v>
      </c>
      <c r="Q1870" t="s">
        <v>2357</v>
      </c>
      <c r="R1870" t="s">
        <v>82</v>
      </c>
      <c r="S1870">
        <v>3</v>
      </c>
      <c r="T1870" t="s">
        <v>37</v>
      </c>
      <c r="U1870" t="s">
        <v>2412</v>
      </c>
      <c r="V1870">
        <v>2024</v>
      </c>
      <c r="W1870">
        <v>12</v>
      </c>
    </row>
    <row r="1871" spans="1:23" x14ac:dyDescent="0.25">
      <c r="A1871" t="s">
        <v>755</v>
      </c>
      <c r="B1871">
        <v>45631.572511574072</v>
      </c>
      <c r="C1871" t="s">
        <v>439</v>
      </c>
      <c r="D1871" t="s">
        <v>119</v>
      </c>
      <c r="E1871" t="s">
        <v>138</v>
      </c>
      <c r="F1871" t="s">
        <v>2396</v>
      </c>
      <c r="G1871" t="s">
        <v>2378</v>
      </c>
      <c r="H1871">
        <v>17000</v>
      </c>
      <c r="I1871">
        <v>3</v>
      </c>
      <c r="J1871">
        <v>20</v>
      </c>
      <c r="K1871">
        <v>51000</v>
      </c>
      <c r="L1871">
        <v>10200</v>
      </c>
      <c r="M1871">
        <v>40800</v>
      </c>
      <c r="N1871">
        <v>0</v>
      </c>
      <c r="O1871">
        <v>40800</v>
      </c>
      <c r="P1871" t="s">
        <v>35</v>
      </c>
      <c r="Q1871" t="s">
        <v>2357</v>
      </c>
      <c r="R1871" t="s">
        <v>46</v>
      </c>
      <c r="S1871">
        <v>4</v>
      </c>
      <c r="T1871" t="s">
        <v>37</v>
      </c>
      <c r="U1871" t="s">
        <v>2412</v>
      </c>
      <c r="V1871">
        <v>2024</v>
      </c>
      <c r="W1871">
        <v>12</v>
      </c>
    </row>
    <row r="1872" spans="1:23" x14ac:dyDescent="0.25">
      <c r="A1872" t="s">
        <v>756</v>
      </c>
      <c r="B1872">
        <v>45631.768067129633</v>
      </c>
      <c r="C1872" t="s">
        <v>570</v>
      </c>
      <c r="D1872" t="s">
        <v>80</v>
      </c>
      <c r="E1872" t="s">
        <v>136</v>
      </c>
      <c r="F1872" t="s">
        <v>2400</v>
      </c>
      <c r="G1872" t="s">
        <v>2378</v>
      </c>
      <c r="H1872">
        <v>12000</v>
      </c>
      <c r="I1872">
        <v>4</v>
      </c>
      <c r="J1872">
        <v>20</v>
      </c>
      <c r="K1872">
        <v>48000</v>
      </c>
      <c r="L1872">
        <v>9600</v>
      </c>
      <c r="M1872">
        <v>38400</v>
      </c>
      <c r="N1872">
        <v>74000</v>
      </c>
      <c r="O1872">
        <v>112400</v>
      </c>
      <c r="P1872" t="s">
        <v>29</v>
      </c>
      <c r="Q1872" t="s">
        <v>2357</v>
      </c>
      <c r="R1872" t="s">
        <v>46</v>
      </c>
      <c r="S1872">
        <v>2</v>
      </c>
      <c r="T1872" t="s">
        <v>24</v>
      </c>
      <c r="U1872" t="s">
        <v>2412</v>
      </c>
      <c r="V1872">
        <v>2024</v>
      </c>
      <c r="W1872">
        <v>12</v>
      </c>
    </row>
    <row r="1873" spans="1:23" x14ac:dyDescent="0.25">
      <c r="A1873" t="s">
        <v>757</v>
      </c>
      <c r="B1873">
        <v>45631.862500000003</v>
      </c>
      <c r="C1873" t="s">
        <v>758</v>
      </c>
      <c r="D1873" t="s">
        <v>238</v>
      </c>
      <c r="E1873" t="s">
        <v>75</v>
      </c>
      <c r="F1873" t="s">
        <v>2398</v>
      </c>
      <c r="G1873" t="s">
        <v>2379</v>
      </c>
      <c r="H1873">
        <v>55000</v>
      </c>
      <c r="I1873">
        <v>1</v>
      </c>
      <c r="J1873">
        <v>15</v>
      </c>
      <c r="K1873">
        <v>55000</v>
      </c>
      <c r="L1873">
        <v>8250</v>
      </c>
      <c r="M1873">
        <v>46750</v>
      </c>
      <c r="N1873">
        <v>28000</v>
      </c>
      <c r="O1873">
        <v>74750</v>
      </c>
      <c r="P1873" t="s">
        <v>63</v>
      </c>
      <c r="Q1873" t="s">
        <v>2359</v>
      </c>
      <c r="R1873" t="s">
        <v>30</v>
      </c>
      <c r="S1873">
        <v>5</v>
      </c>
      <c r="T1873" t="s">
        <v>24</v>
      </c>
      <c r="U1873" t="s">
        <v>2412</v>
      </c>
      <c r="V1873">
        <v>2024</v>
      </c>
      <c r="W1873">
        <v>12</v>
      </c>
    </row>
    <row r="1874" spans="1:23" x14ac:dyDescent="0.25">
      <c r="A1874" t="s">
        <v>759</v>
      </c>
      <c r="B1874">
        <v>45632.22550925926</v>
      </c>
      <c r="C1874" t="s">
        <v>699</v>
      </c>
      <c r="D1874" t="s">
        <v>238</v>
      </c>
      <c r="E1874" t="s">
        <v>85</v>
      </c>
      <c r="F1874" t="s">
        <v>2394</v>
      </c>
      <c r="G1874" t="s">
        <v>2377</v>
      </c>
      <c r="H1874">
        <v>35000</v>
      </c>
      <c r="I1874">
        <v>4</v>
      </c>
      <c r="J1874">
        <v>5</v>
      </c>
      <c r="K1874">
        <v>140000</v>
      </c>
      <c r="L1874">
        <v>7000</v>
      </c>
      <c r="M1874">
        <v>133000</v>
      </c>
      <c r="N1874">
        <v>28000</v>
      </c>
      <c r="O1874">
        <v>161000</v>
      </c>
      <c r="P1874" t="s">
        <v>22</v>
      </c>
      <c r="Q1874" t="s">
        <v>2357</v>
      </c>
      <c r="R1874" t="s">
        <v>23</v>
      </c>
      <c r="S1874">
        <v>1</v>
      </c>
      <c r="T1874" t="s">
        <v>37</v>
      </c>
      <c r="U1874" t="s">
        <v>2412</v>
      </c>
      <c r="V1874">
        <v>2024</v>
      </c>
      <c r="W1874">
        <v>12</v>
      </c>
    </row>
    <row r="1875" spans="1:23" x14ac:dyDescent="0.25">
      <c r="A1875" t="s">
        <v>760</v>
      </c>
      <c r="B1875">
        <v>45632.448240740741</v>
      </c>
      <c r="C1875" t="s">
        <v>32</v>
      </c>
      <c r="D1875" t="s">
        <v>33</v>
      </c>
      <c r="E1875" t="s">
        <v>45</v>
      </c>
      <c r="F1875" t="s">
        <v>2394</v>
      </c>
      <c r="G1875" t="s">
        <v>2378</v>
      </c>
      <c r="H1875">
        <v>40000</v>
      </c>
      <c r="I1875">
        <v>2</v>
      </c>
      <c r="J1875">
        <v>20</v>
      </c>
      <c r="K1875">
        <v>80000</v>
      </c>
      <c r="L1875">
        <v>16000</v>
      </c>
      <c r="M1875">
        <v>64000</v>
      </c>
      <c r="N1875">
        <v>76000</v>
      </c>
      <c r="O1875">
        <v>140000</v>
      </c>
      <c r="P1875" t="s">
        <v>29</v>
      </c>
      <c r="Q1875" t="s">
        <v>2357</v>
      </c>
      <c r="R1875" t="s">
        <v>30</v>
      </c>
      <c r="S1875">
        <v>5</v>
      </c>
      <c r="T1875" t="s">
        <v>37</v>
      </c>
      <c r="U1875" t="s">
        <v>2412</v>
      </c>
      <c r="V1875">
        <v>2024</v>
      </c>
      <c r="W1875">
        <v>12</v>
      </c>
    </row>
    <row r="1876" spans="1:23" x14ac:dyDescent="0.25">
      <c r="A1876" t="s">
        <v>761</v>
      </c>
      <c r="B1876">
        <v>45633.222604166673</v>
      </c>
      <c r="C1876" t="s">
        <v>488</v>
      </c>
      <c r="D1876" t="s">
        <v>49</v>
      </c>
      <c r="E1876" t="s">
        <v>28</v>
      </c>
      <c r="F1876" t="s">
        <v>2395</v>
      </c>
      <c r="G1876" t="s">
        <v>2378</v>
      </c>
      <c r="H1876">
        <v>5000</v>
      </c>
      <c r="I1876">
        <v>4</v>
      </c>
      <c r="J1876">
        <v>5</v>
      </c>
      <c r="K1876">
        <v>20000</v>
      </c>
      <c r="L1876">
        <v>1000</v>
      </c>
      <c r="M1876">
        <v>19000</v>
      </c>
      <c r="N1876">
        <v>43000</v>
      </c>
      <c r="O1876">
        <v>62000</v>
      </c>
      <c r="P1876" t="s">
        <v>63</v>
      </c>
      <c r="Q1876" t="s">
        <v>2357</v>
      </c>
      <c r="R1876" t="s">
        <v>36</v>
      </c>
      <c r="S1876">
        <v>3</v>
      </c>
      <c r="T1876" t="s">
        <v>24</v>
      </c>
      <c r="U1876" t="s">
        <v>2412</v>
      </c>
      <c r="V1876">
        <v>2024</v>
      </c>
      <c r="W1876">
        <v>12</v>
      </c>
    </row>
    <row r="1877" spans="1:23" x14ac:dyDescent="0.25">
      <c r="A1877" t="s">
        <v>762</v>
      </c>
      <c r="B1877">
        <v>45633.321956018517</v>
      </c>
      <c r="C1877" t="s">
        <v>763</v>
      </c>
      <c r="D1877" t="s">
        <v>74</v>
      </c>
      <c r="E1877" t="s">
        <v>138</v>
      </c>
      <c r="F1877" t="s">
        <v>2396</v>
      </c>
      <c r="G1877" t="s">
        <v>2378</v>
      </c>
      <c r="H1877">
        <v>17000</v>
      </c>
      <c r="I1877">
        <v>4</v>
      </c>
      <c r="J1877">
        <v>5</v>
      </c>
      <c r="K1877">
        <v>68000</v>
      </c>
      <c r="L1877">
        <v>3400</v>
      </c>
      <c r="M1877">
        <v>64600</v>
      </c>
      <c r="N1877">
        <v>87000</v>
      </c>
      <c r="O1877">
        <v>151600</v>
      </c>
      <c r="P1877" t="s">
        <v>22</v>
      </c>
      <c r="Q1877" t="s">
        <v>2357</v>
      </c>
      <c r="R1877" t="s">
        <v>46</v>
      </c>
      <c r="S1877">
        <v>1</v>
      </c>
      <c r="T1877" t="s">
        <v>24</v>
      </c>
      <c r="U1877" t="s">
        <v>2412</v>
      </c>
      <c r="V1877">
        <v>2024</v>
      </c>
      <c r="W1877">
        <v>12</v>
      </c>
    </row>
    <row r="1878" spans="1:23" x14ac:dyDescent="0.25">
      <c r="A1878" t="s">
        <v>764</v>
      </c>
      <c r="B1878">
        <v>45633.470682870371</v>
      </c>
      <c r="C1878" t="s">
        <v>613</v>
      </c>
      <c r="D1878" t="s">
        <v>375</v>
      </c>
      <c r="E1878" t="s">
        <v>93</v>
      </c>
      <c r="F1878" t="s">
        <v>2399</v>
      </c>
      <c r="G1878" t="s">
        <v>2378</v>
      </c>
      <c r="H1878">
        <v>25000</v>
      </c>
      <c r="I1878">
        <v>2</v>
      </c>
      <c r="J1878">
        <v>5</v>
      </c>
      <c r="K1878">
        <v>50000</v>
      </c>
      <c r="L1878">
        <v>2500</v>
      </c>
      <c r="M1878">
        <v>47500</v>
      </c>
      <c r="N1878">
        <v>21000</v>
      </c>
      <c r="O1878">
        <v>68500</v>
      </c>
      <c r="P1878" t="s">
        <v>63</v>
      </c>
      <c r="Q1878" t="s">
        <v>2357</v>
      </c>
      <c r="R1878" t="s">
        <v>82</v>
      </c>
      <c r="S1878">
        <v>5</v>
      </c>
      <c r="T1878" t="s">
        <v>24</v>
      </c>
      <c r="U1878" t="s">
        <v>2412</v>
      </c>
      <c r="V1878">
        <v>2024</v>
      </c>
      <c r="W1878">
        <v>12</v>
      </c>
    </row>
    <row r="1879" spans="1:23" x14ac:dyDescent="0.25">
      <c r="A1879" t="s">
        <v>765</v>
      </c>
      <c r="B1879">
        <v>45633.724930555552</v>
      </c>
      <c r="C1879" t="s">
        <v>368</v>
      </c>
      <c r="D1879" t="s">
        <v>113</v>
      </c>
      <c r="E1879" t="s">
        <v>28</v>
      </c>
      <c r="F1879" t="s">
        <v>2395</v>
      </c>
      <c r="G1879" t="s">
        <v>2378</v>
      </c>
      <c r="H1879">
        <v>5000</v>
      </c>
      <c r="I1879">
        <v>3</v>
      </c>
      <c r="J1879">
        <v>20</v>
      </c>
      <c r="K1879">
        <v>15000</v>
      </c>
      <c r="L1879">
        <v>3000</v>
      </c>
      <c r="M1879">
        <v>12000</v>
      </c>
      <c r="N1879">
        <v>18000</v>
      </c>
      <c r="O1879">
        <v>30000</v>
      </c>
      <c r="P1879" t="s">
        <v>35</v>
      </c>
      <c r="Q1879" t="s">
        <v>2359</v>
      </c>
      <c r="R1879" t="s">
        <v>82</v>
      </c>
      <c r="S1879">
        <v>4</v>
      </c>
      <c r="T1879" t="s">
        <v>37</v>
      </c>
      <c r="U1879" t="s">
        <v>2412</v>
      </c>
      <c r="V1879">
        <v>2024</v>
      </c>
      <c r="W1879">
        <v>12</v>
      </c>
    </row>
    <row r="1880" spans="1:23" x14ac:dyDescent="0.25">
      <c r="A1880" t="s">
        <v>766</v>
      </c>
      <c r="B1880">
        <v>45634.066932870373</v>
      </c>
      <c r="C1880" t="s">
        <v>626</v>
      </c>
      <c r="D1880" t="s">
        <v>296</v>
      </c>
      <c r="E1880" t="s">
        <v>21</v>
      </c>
      <c r="F1880" t="s">
        <v>2394</v>
      </c>
      <c r="G1880" t="s">
        <v>2379</v>
      </c>
      <c r="H1880">
        <v>45000</v>
      </c>
      <c r="I1880">
        <v>3</v>
      </c>
      <c r="J1880">
        <v>20</v>
      </c>
      <c r="K1880">
        <v>135000</v>
      </c>
      <c r="L1880">
        <v>27000</v>
      </c>
      <c r="M1880">
        <v>108000</v>
      </c>
      <c r="N1880">
        <v>79000</v>
      </c>
      <c r="O1880">
        <v>187000</v>
      </c>
      <c r="P1880" t="s">
        <v>35</v>
      </c>
      <c r="Q1880" t="s">
        <v>2356</v>
      </c>
      <c r="R1880" t="s">
        <v>46</v>
      </c>
      <c r="S1880">
        <v>5</v>
      </c>
      <c r="T1880" t="s">
        <v>24</v>
      </c>
      <c r="U1880" t="s">
        <v>2412</v>
      </c>
      <c r="V1880">
        <v>2024</v>
      </c>
      <c r="W1880">
        <v>12</v>
      </c>
    </row>
    <row r="1881" spans="1:23" x14ac:dyDescent="0.25">
      <c r="A1881" t="s">
        <v>767</v>
      </c>
      <c r="B1881">
        <v>45634.884618055563</v>
      </c>
      <c r="C1881" t="s">
        <v>91</v>
      </c>
      <c r="D1881" t="s">
        <v>92</v>
      </c>
      <c r="E1881" t="s">
        <v>110</v>
      </c>
      <c r="F1881" t="s">
        <v>2395</v>
      </c>
      <c r="G1881" t="s">
        <v>2379</v>
      </c>
      <c r="H1881">
        <v>6000</v>
      </c>
      <c r="I1881">
        <v>4</v>
      </c>
      <c r="J1881">
        <v>10</v>
      </c>
      <c r="K1881">
        <v>24000</v>
      </c>
      <c r="L1881">
        <v>2400</v>
      </c>
      <c r="M1881">
        <v>21600</v>
      </c>
      <c r="N1881">
        <v>30000</v>
      </c>
      <c r="O1881">
        <v>51600</v>
      </c>
      <c r="P1881" t="s">
        <v>35</v>
      </c>
      <c r="Q1881" t="s">
        <v>2356</v>
      </c>
      <c r="R1881" t="s">
        <v>23</v>
      </c>
      <c r="S1881">
        <v>2</v>
      </c>
      <c r="T1881" t="s">
        <v>24</v>
      </c>
      <c r="U1881" t="s">
        <v>2412</v>
      </c>
      <c r="V1881">
        <v>2024</v>
      </c>
      <c r="W1881">
        <v>12</v>
      </c>
    </row>
    <row r="1882" spans="1:23" x14ac:dyDescent="0.25">
      <c r="A1882" t="s">
        <v>768</v>
      </c>
      <c r="B1882">
        <v>45635.087650462963</v>
      </c>
      <c r="C1882" t="s">
        <v>410</v>
      </c>
      <c r="D1882" t="s">
        <v>151</v>
      </c>
      <c r="E1882" t="s">
        <v>88</v>
      </c>
      <c r="F1882" t="s">
        <v>2393</v>
      </c>
      <c r="G1882" t="s">
        <v>2377</v>
      </c>
      <c r="H1882">
        <v>14000</v>
      </c>
      <c r="I1882">
        <v>5</v>
      </c>
      <c r="J1882">
        <v>10</v>
      </c>
      <c r="K1882">
        <v>70000</v>
      </c>
      <c r="L1882">
        <v>7000</v>
      </c>
      <c r="M1882">
        <v>63000</v>
      </c>
      <c r="N1882">
        <v>55000</v>
      </c>
      <c r="O1882">
        <v>118000</v>
      </c>
      <c r="P1882" t="s">
        <v>35</v>
      </c>
      <c r="Q1882" t="s">
        <v>2357</v>
      </c>
      <c r="R1882" t="s">
        <v>36</v>
      </c>
      <c r="S1882">
        <v>2</v>
      </c>
      <c r="T1882" t="s">
        <v>24</v>
      </c>
      <c r="U1882" t="s">
        <v>2412</v>
      </c>
      <c r="V1882">
        <v>2024</v>
      </c>
      <c r="W1882">
        <v>12</v>
      </c>
    </row>
    <row r="1883" spans="1:23" x14ac:dyDescent="0.25">
      <c r="A1883" t="s">
        <v>769</v>
      </c>
      <c r="B1883">
        <v>45635.399953703702</v>
      </c>
      <c r="C1883" t="s">
        <v>355</v>
      </c>
      <c r="D1883" t="s">
        <v>116</v>
      </c>
      <c r="E1883" t="s">
        <v>54</v>
      </c>
      <c r="F1883" t="s">
        <v>2393</v>
      </c>
      <c r="G1883" t="s">
        <v>2379</v>
      </c>
      <c r="H1883">
        <v>16000</v>
      </c>
      <c r="I1883">
        <v>4</v>
      </c>
      <c r="J1883">
        <v>15</v>
      </c>
      <c r="K1883">
        <v>64000</v>
      </c>
      <c r="L1883">
        <v>9600</v>
      </c>
      <c r="M1883">
        <v>54400</v>
      </c>
      <c r="N1883">
        <v>72000</v>
      </c>
      <c r="O1883">
        <v>126400</v>
      </c>
      <c r="P1883" t="s">
        <v>22</v>
      </c>
      <c r="Q1883" t="s">
        <v>2356</v>
      </c>
      <c r="R1883" t="s">
        <v>46</v>
      </c>
      <c r="S1883">
        <v>5</v>
      </c>
      <c r="T1883" t="s">
        <v>24</v>
      </c>
      <c r="U1883" t="s">
        <v>2412</v>
      </c>
      <c r="V1883">
        <v>2024</v>
      </c>
      <c r="W1883">
        <v>12</v>
      </c>
    </row>
    <row r="1884" spans="1:23" x14ac:dyDescent="0.25">
      <c r="A1884" t="s">
        <v>770</v>
      </c>
      <c r="B1884">
        <v>45635.575624999998</v>
      </c>
      <c r="C1884" t="s">
        <v>565</v>
      </c>
      <c r="D1884" t="s">
        <v>163</v>
      </c>
      <c r="E1884" t="s">
        <v>123</v>
      </c>
      <c r="F1884" t="s">
        <v>2399</v>
      </c>
      <c r="G1884" t="s">
        <v>2377</v>
      </c>
      <c r="H1884">
        <v>22000</v>
      </c>
      <c r="I1884">
        <v>3</v>
      </c>
      <c r="J1884">
        <v>10</v>
      </c>
      <c r="K1884">
        <v>66000</v>
      </c>
      <c r="L1884">
        <v>6600</v>
      </c>
      <c r="M1884">
        <v>59400</v>
      </c>
      <c r="N1884">
        <v>50000</v>
      </c>
      <c r="O1884">
        <v>109400</v>
      </c>
      <c r="P1884" t="s">
        <v>22</v>
      </c>
      <c r="Q1884" t="s">
        <v>2357</v>
      </c>
      <c r="R1884" t="s">
        <v>23</v>
      </c>
      <c r="S1884">
        <v>5</v>
      </c>
      <c r="T1884" t="s">
        <v>24</v>
      </c>
      <c r="U1884" t="s">
        <v>2412</v>
      </c>
      <c r="V1884">
        <v>2024</v>
      </c>
      <c r="W1884">
        <v>12</v>
      </c>
    </row>
    <row r="1885" spans="1:23" x14ac:dyDescent="0.25">
      <c r="A1885" t="s">
        <v>771</v>
      </c>
      <c r="B1885">
        <v>45635.641793981478</v>
      </c>
      <c r="C1885" t="s">
        <v>772</v>
      </c>
      <c r="D1885" t="s">
        <v>113</v>
      </c>
      <c r="E1885" t="s">
        <v>81</v>
      </c>
      <c r="F1885" t="s">
        <v>2397</v>
      </c>
      <c r="G1885" t="s">
        <v>2378</v>
      </c>
      <c r="H1885">
        <v>17000</v>
      </c>
      <c r="I1885">
        <v>5</v>
      </c>
      <c r="J1885">
        <v>20</v>
      </c>
      <c r="K1885">
        <v>85000</v>
      </c>
      <c r="L1885">
        <v>17000</v>
      </c>
      <c r="M1885">
        <v>68000</v>
      </c>
      <c r="N1885">
        <v>18000</v>
      </c>
      <c r="O1885">
        <v>86000</v>
      </c>
      <c r="P1885" t="s">
        <v>29</v>
      </c>
      <c r="Q1885" t="s">
        <v>2357</v>
      </c>
      <c r="R1885" t="s">
        <v>23</v>
      </c>
      <c r="S1885">
        <v>1</v>
      </c>
      <c r="T1885" t="s">
        <v>24</v>
      </c>
      <c r="U1885" t="s">
        <v>2412</v>
      </c>
      <c r="V1885">
        <v>2024</v>
      </c>
      <c r="W1885">
        <v>12</v>
      </c>
    </row>
    <row r="1886" spans="1:23" x14ac:dyDescent="0.25">
      <c r="A1886" t="s">
        <v>773</v>
      </c>
      <c r="B1886">
        <v>45635.762002314812</v>
      </c>
      <c r="C1886" t="s">
        <v>774</v>
      </c>
      <c r="D1886" t="s">
        <v>262</v>
      </c>
      <c r="E1886" t="s">
        <v>144</v>
      </c>
      <c r="F1886" t="s">
        <v>2396</v>
      </c>
      <c r="G1886" t="s">
        <v>2379</v>
      </c>
      <c r="H1886">
        <v>18000</v>
      </c>
      <c r="I1886">
        <v>1</v>
      </c>
      <c r="J1886">
        <v>5</v>
      </c>
      <c r="K1886">
        <v>18000</v>
      </c>
      <c r="L1886">
        <v>900</v>
      </c>
      <c r="M1886">
        <v>17100</v>
      </c>
      <c r="N1886">
        <v>18000</v>
      </c>
      <c r="O1886">
        <v>35100</v>
      </c>
      <c r="P1886" t="s">
        <v>22</v>
      </c>
      <c r="Q1886" t="s">
        <v>2357</v>
      </c>
      <c r="R1886" t="s">
        <v>82</v>
      </c>
      <c r="S1886">
        <v>3</v>
      </c>
      <c r="T1886" t="s">
        <v>24</v>
      </c>
      <c r="U1886" t="s">
        <v>2412</v>
      </c>
      <c r="V1886">
        <v>2024</v>
      </c>
      <c r="W1886">
        <v>12</v>
      </c>
    </row>
    <row r="1887" spans="1:23" x14ac:dyDescent="0.25">
      <c r="A1887" t="s">
        <v>775</v>
      </c>
      <c r="B1887">
        <v>45636.287418981483</v>
      </c>
      <c r="C1887" t="s">
        <v>776</v>
      </c>
      <c r="D1887" t="s">
        <v>103</v>
      </c>
      <c r="E1887" t="s">
        <v>75</v>
      </c>
      <c r="F1887" t="s">
        <v>2398</v>
      </c>
      <c r="G1887" t="s">
        <v>2379</v>
      </c>
      <c r="H1887">
        <v>55000</v>
      </c>
      <c r="I1887">
        <v>4</v>
      </c>
      <c r="J1887">
        <v>10</v>
      </c>
      <c r="K1887">
        <v>220000</v>
      </c>
      <c r="L1887">
        <v>22000</v>
      </c>
      <c r="M1887">
        <v>198000</v>
      </c>
      <c r="N1887">
        <v>85000</v>
      </c>
      <c r="O1887">
        <v>283000</v>
      </c>
      <c r="P1887" t="s">
        <v>63</v>
      </c>
      <c r="Q1887" t="s">
        <v>2357</v>
      </c>
      <c r="R1887" t="s">
        <v>30</v>
      </c>
      <c r="S1887">
        <v>2</v>
      </c>
      <c r="T1887" t="s">
        <v>24</v>
      </c>
      <c r="U1887" t="s">
        <v>2412</v>
      </c>
      <c r="V1887">
        <v>2024</v>
      </c>
      <c r="W1887">
        <v>12</v>
      </c>
    </row>
    <row r="1888" spans="1:23" x14ac:dyDescent="0.25">
      <c r="A1888" t="s">
        <v>777</v>
      </c>
      <c r="B1888">
        <v>45636.340405092589</v>
      </c>
      <c r="C1888" t="s">
        <v>277</v>
      </c>
      <c r="D1888" t="s">
        <v>119</v>
      </c>
      <c r="E1888" t="s">
        <v>250</v>
      </c>
      <c r="F1888" t="s">
        <v>2397</v>
      </c>
      <c r="G1888" t="s">
        <v>2379</v>
      </c>
      <c r="H1888">
        <v>18000</v>
      </c>
      <c r="I1888">
        <v>2</v>
      </c>
      <c r="J1888">
        <v>10</v>
      </c>
      <c r="K1888">
        <v>36000</v>
      </c>
      <c r="L1888">
        <v>3600</v>
      </c>
      <c r="M1888">
        <v>32400</v>
      </c>
      <c r="N1888">
        <v>0</v>
      </c>
      <c r="O1888">
        <v>32400</v>
      </c>
      <c r="P1888" t="s">
        <v>35</v>
      </c>
      <c r="Q1888" t="s">
        <v>2357</v>
      </c>
      <c r="R1888" t="s">
        <v>46</v>
      </c>
      <c r="S1888">
        <v>2</v>
      </c>
      <c r="T1888" t="s">
        <v>24</v>
      </c>
      <c r="U1888" t="s">
        <v>2412</v>
      </c>
      <c r="V1888">
        <v>2024</v>
      </c>
      <c r="W1888">
        <v>12</v>
      </c>
    </row>
    <row r="1889" spans="1:23" x14ac:dyDescent="0.25">
      <c r="A1889" t="s">
        <v>778</v>
      </c>
      <c r="B1889">
        <v>45636.710740740738</v>
      </c>
      <c r="C1889" t="s">
        <v>739</v>
      </c>
      <c r="D1889" t="s">
        <v>177</v>
      </c>
      <c r="E1889" t="s">
        <v>45</v>
      </c>
      <c r="F1889" t="s">
        <v>2394</v>
      </c>
      <c r="G1889" t="s">
        <v>2378</v>
      </c>
      <c r="H1889">
        <v>40000</v>
      </c>
      <c r="I1889">
        <v>5</v>
      </c>
      <c r="J1889">
        <v>15</v>
      </c>
      <c r="K1889">
        <v>200000</v>
      </c>
      <c r="L1889">
        <v>30000</v>
      </c>
      <c r="M1889">
        <v>170000</v>
      </c>
      <c r="N1889">
        <v>56000</v>
      </c>
      <c r="O1889">
        <v>226000</v>
      </c>
      <c r="P1889" t="s">
        <v>63</v>
      </c>
      <c r="Q1889" t="s">
        <v>2357</v>
      </c>
      <c r="R1889" t="s">
        <v>82</v>
      </c>
      <c r="S1889">
        <v>4</v>
      </c>
      <c r="T1889" t="s">
        <v>24</v>
      </c>
      <c r="U1889" t="s">
        <v>2412</v>
      </c>
      <c r="V1889">
        <v>2024</v>
      </c>
      <c r="W1889">
        <v>12</v>
      </c>
    </row>
    <row r="1890" spans="1:23" x14ac:dyDescent="0.25">
      <c r="A1890" t="s">
        <v>779</v>
      </c>
      <c r="B1890">
        <v>45637.073472222219</v>
      </c>
      <c r="C1890" t="s">
        <v>780</v>
      </c>
      <c r="D1890" t="s">
        <v>113</v>
      </c>
      <c r="E1890" t="s">
        <v>50</v>
      </c>
      <c r="F1890" t="s">
        <v>2400</v>
      </c>
      <c r="G1890" t="s">
        <v>2379</v>
      </c>
      <c r="H1890">
        <v>14000</v>
      </c>
      <c r="I1890">
        <v>1</v>
      </c>
      <c r="J1890">
        <v>20</v>
      </c>
      <c r="K1890">
        <v>14000</v>
      </c>
      <c r="L1890">
        <v>2800</v>
      </c>
      <c r="M1890">
        <v>11200</v>
      </c>
      <c r="N1890">
        <v>18000</v>
      </c>
      <c r="O1890">
        <v>29200</v>
      </c>
      <c r="P1890" t="s">
        <v>63</v>
      </c>
      <c r="Q1890" t="s">
        <v>2357</v>
      </c>
      <c r="R1890" t="s">
        <v>46</v>
      </c>
      <c r="S1890">
        <v>2</v>
      </c>
      <c r="T1890" t="s">
        <v>24</v>
      </c>
      <c r="U1890" t="s">
        <v>2412</v>
      </c>
      <c r="V1890">
        <v>2024</v>
      </c>
      <c r="W1890">
        <v>12</v>
      </c>
    </row>
    <row r="1891" spans="1:23" x14ac:dyDescent="0.25">
      <c r="A1891" t="s">
        <v>781</v>
      </c>
      <c r="B1891">
        <v>45637.589143518519</v>
      </c>
      <c r="C1891" t="s">
        <v>782</v>
      </c>
      <c r="D1891" t="s">
        <v>177</v>
      </c>
      <c r="E1891" t="s">
        <v>88</v>
      </c>
      <c r="F1891" t="s">
        <v>2393</v>
      </c>
      <c r="G1891" t="s">
        <v>2377</v>
      </c>
      <c r="H1891">
        <v>14000</v>
      </c>
      <c r="I1891">
        <v>1</v>
      </c>
      <c r="J1891">
        <v>5</v>
      </c>
      <c r="K1891">
        <v>14000</v>
      </c>
      <c r="L1891">
        <v>700</v>
      </c>
      <c r="M1891">
        <v>13300</v>
      </c>
      <c r="N1891">
        <v>56000</v>
      </c>
      <c r="O1891">
        <v>69300</v>
      </c>
      <c r="P1891" t="s">
        <v>35</v>
      </c>
      <c r="Q1891" t="s">
        <v>2357</v>
      </c>
      <c r="R1891" t="s">
        <v>23</v>
      </c>
      <c r="S1891">
        <v>1</v>
      </c>
      <c r="T1891" t="s">
        <v>24</v>
      </c>
      <c r="U1891" t="s">
        <v>2412</v>
      </c>
      <c r="V1891">
        <v>2024</v>
      </c>
      <c r="W1891">
        <v>12</v>
      </c>
    </row>
    <row r="1892" spans="1:23" x14ac:dyDescent="0.25">
      <c r="A1892" t="s">
        <v>783</v>
      </c>
      <c r="B1892">
        <v>45638.143275462957</v>
      </c>
      <c r="C1892" t="s">
        <v>784</v>
      </c>
      <c r="D1892" t="s">
        <v>116</v>
      </c>
      <c r="E1892" t="s">
        <v>21</v>
      </c>
      <c r="F1892" t="s">
        <v>2394</v>
      </c>
      <c r="G1892" t="s">
        <v>2379</v>
      </c>
      <c r="H1892">
        <v>45000</v>
      </c>
      <c r="I1892">
        <v>2</v>
      </c>
      <c r="J1892">
        <v>10</v>
      </c>
      <c r="K1892">
        <v>90000</v>
      </c>
      <c r="L1892">
        <v>9000</v>
      </c>
      <c r="M1892">
        <v>81000</v>
      </c>
      <c r="N1892">
        <v>72000</v>
      </c>
      <c r="O1892">
        <v>153000</v>
      </c>
      <c r="P1892" t="s">
        <v>35</v>
      </c>
      <c r="Q1892" t="s">
        <v>2356</v>
      </c>
      <c r="R1892" t="s">
        <v>46</v>
      </c>
      <c r="S1892">
        <v>1</v>
      </c>
      <c r="T1892" t="s">
        <v>24</v>
      </c>
      <c r="U1892" t="s">
        <v>2412</v>
      </c>
      <c r="V1892">
        <v>2024</v>
      </c>
      <c r="W1892">
        <v>12</v>
      </c>
    </row>
    <row r="1893" spans="1:23" x14ac:dyDescent="0.25">
      <c r="A1893" t="s">
        <v>785</v>
      </c>
      <c r="B1893">
        <v>45638.296215277784</v>
      </c>
      <c r="C1893" t="s">
        <v>786</v>
      </c>
      <c r="D1893" t="s">
        <v>107</v>
      </c>
      <c r="E1893" t="s">
        <v>54</v>
      </c>
      <c r="F1893" t="s">
        <v>2393</v>
      </c>
      <c r="G1893" t="s">
        <v>2379</v>
      </c>
      <c r="H1893">
        <v>16000</v>
      </c>
      <c r="I1893">
        <v>2</v>
      </c>
      <c r="J1893">
        <v>5</v>
      </c>
      <c r="K1893">
        <v>32000</v>
      </c>
      <c r="L1893">
        <v>1600</v>
      </c>
      <c r="M1893">
        <v>30400</v>
      </c>
      <c r="N1893">
        <v>97000</v>
      </c>
      <c r="O1893">
        <v>127400</v>
      </c>
      <c r="P1893" t="s">
        <v>22</v>
      </c>
      <c r="Q1893" t="s">
        <v>2357</v>
      </c>
      <c r="R1893" t="s">
        <v>82</v>
      </c>
      <c r="S1893">
        <v>5</v>
      </c>
      <c r="T1893" t="s">
        <v>24</v>
      </c>
      <c r="U1893" t="s">
        <v>2412</v>
      </c>
      <c r="V1893">
        <v>2024</v>
      </c>
      <c r="W1893">
        <v>12</v>
      </c>
    </row>
    <row r="1894" spans="1:23" x14ac:dyDescent="0.25">
      <c r="A1894" t="s">
        <v>787</v>
      </c>
      <c r="B1894">
        <v>45638.342916666668</v>
      </c>
      <c r="C1894" t="s">
        <v>412</v>
      </c>
      <c r="D1894" t="s">
        <v>70</v>
      </c>
      <c r="E1894" t="s">
        <v>38</v>
      </c>
      <c r="F1894" t="s">
        <v>2399</v>
      </c>
      <c r="G1894" t="s">
        <v>2379</v>
      </c>
      <c r="H1894">
        <v>28000</v>
      </c>
      <c r="I1894">
        <v>3</v>
      </c>
      <c r="J1894">
        <v>20</v>
      </c>
      <c r="K1894">
        <v>84000</v>
      </c>
      <c r="L1894">
        <v>16800</v>
      </c>
      <c r="M1894">
        <v>67200</v>
      </c>
      <c r="N1894">
        <v>89000</v>
      </c>
      <c r="O1894">
        <v>156200</v>
      </c>
      <c r="P1894" t="s">
        <v>63</v>
      </c>
      <c r="Q1894" t="s">
        <v>2359</v>
      </c>
      <c r="R1894" t="s">
        <v>23</v>
      </c>
      <c r="S1894">
        <v>2</v>
      </c>
      <c r="T1894" t="s">
        <v>24</v>
      </c>
      <c r="U1894" t="s">
        <v>2412</v>
      </c>
      <c r="V1894">
        <v>2024</v>
      </c>
      <c r="W1894">
        <v>12</v>
      </c>
    </row>
    <row r="1895" spans="1:23" x14ac:dyDescent="0.25">
      <c r="A1895" t="s">
        <v>788</v>
      </c>
      <c r="B1895">
        <v>45638.383379629631</v>
      </c>
      <c r="C1895" t="s">
        <v>318</v>
      </c>
      <c r="D1895" t="s">
        <v>244</v>
      </c>
      <c r="E1895" t="s">
        <v>50</v>
      </c>
      <c r="F1895" t="s">
        <v>2400</v>
      </c>
      <c r="G1895" t="s">
        <v>2379</v>
      </c>
      <c r="H1895">
        <v>14000</v>
      </c>
      <c r="I1895">
        <v>5</v>
      </c>
      <c r="J1895">
        <v>20</v>
      </c>
      <c r="K1895">
        <v>70000</v>
      </c>
      <c r="L1895">
        <v>14000</v>
      </c>
      <c r="M1895">
        <v>56000</v>
      </c>
      <c r="N1895">
        <v>80000</v>
      </c>
      <c r="O1895">
        <v>136000</v>
      </c>
      <c r="P1895" t="s">
        <v>22</v>
      </c>
      <c r="Q1895" t="s">
        <v>2356</v>
      </c>
      <c r="R1895" t="s">
        <v>46</v>
      </c>
      <c r="S1895">
        <v>5</v>
      </c>
      <c r="T1895" t="s">
        <v>37</v>
      </c>
      <c r="U1895" t="s">
        <v>2412</v>
      </c>
      <c r="V1895">
        <v>2024</v>
      </c>
      <c r="W1895">
        <v>12</v>
      </c>
    </row>
    <row r="1896" spans="1:23" x14ac:dyDescent="0.25">
      <c r="A1896" t="s">
        <v>789</v>
      </c>
      <c r="B1896">
        <v>45638.577847222223</v>
      </c>
      <c r="C1896" t="s">
        <v>115</v>
      </c>
      <c r="D1896" t="s">
        <v>116</v>
      </c>
      <c r="E1896" t="s">
        <v>54</v>
      </c>
      <c r="F1896" t="s">
        <v>2393</v>
      </c>
      <c r="G1896" t="s">
        <v>2379</v>
      </c>
      <c r="H1896">
        <v>16000</v>
      </c>
      <c r="I1896">
        <v>1</v>
      </c>
      <c r="J1896">
        <v>5</v>
      </c>
      <c r="K1896">
        <v>16000</v>
      </c>
      <c r="L1896">
        <v>800</v>
      </c>
      <c r="M1896">
        <v>15200</v>
      </c>
      <c r="N1896">
        <v>72000</v>
      </c>
      <c r="O1896">
        <v>87200</v>
      </c>
      <c r="P1896" t="s">
        <v>29</v>
      </c>
      <c r="Q1896" t="s">
        <v>2357</v>
      </c>
      <c r="R1896" t="s">
        <v>30</v>
      </c>
      <c r="S1896">
        <v>3</v>
      </c>
      <c r="T1896" t="s">
        <v>24</v>
      </c>
      <c r="U1896" t="s">
        <v>2412</v>
      </c>
      <c r="V1896">
        <v>2024</v>
      </c>
      <c r="W1896">
        <v>12</v>
      </c>
    </row>
    <row r="1897" spans="1:23" x14ac:dyDescent="0.25">
      <c r="A1897" t="s">
        <v>790</v>
      </c>
      <c r="B1897">
        <v>45638.803784722222</v>
      </c>
      <c r="C1897" t="s">
        <v>118</v>
      </c>
      <c r="D1897" t="s">
        <v>119</v>
      </c>
      <c r="E1897" t="s">
        <v>104</v>
      </c>
      <c r="F1897" t="s">
        <v>2392</v>
      </c>
      <c r="G1897" t="s">
        <v>2377</v>
      </c>
      <c r="H1897">
        <v>30000</v>
      </c>
      <c r="I1897">
        <v>1</v>
      </c>
      <c r="J1897">
        <v>15</v>
      </c>
      <c r="K1897">
        <v>30000</v>
      </c>
      <c r="L1897">
        <v>4500</v>
      </c>
      <c r="M1897">
        <v>25500</v>
      </c>
      <c r="N1897">
        <v>0</v>
      </c>
      <c r="O1897">
        <v>25500</v>
      </c>
      <c r="P1897" t="s">
        <v>35</v>
      </c>
      <c r="Q1897" t="s">
        <v>2357</v>
      </c>
      <c r="R1897" t="s">
        <v>46</v>
      </c>
      <c r="S1897">
        <v>4</v>
      </c>
      <c r="T1897" t="s">
        <v>24</v>
      </c>
      <c r="U1897" t="s">
        <v>2412</v>
      </c>
      <c r="V1897">
        <v>2024</v>
      </c>
      <c r="W1897">
        <v>12</v>
      </c>
    </row>
    <row r="1898" spans="1:23" x14ac:dyDescent="0.25">
      <c r="A1898" t="s">
        <v>791</v>
      </c>
      <c r="B1898">
        <v>45638.838831018518</v>
      </c>
      <c r="C1898" t="s">
        <v>227</v>
      </c>
      <c r="D1898" t="s">
        <v>70</v>
      </c>
      <c r="E1898" t="s">
        <v>123</v>
      </c>
      <c r="F1898" t="s">
        <v>2399</v>
      </c>
      <c r="G1898" t="s">
        <v>2377</v>
      </c>
      <c r="H1898">
        <v>22000</v>
      </c>
      <c r="I1898">
        <v>1</v>
      </c>
      <c r="J1898">
        <v>20</v>
      </c>
      <c r="K1898">
        <v>22000</v>
      </c>
      <c r="L1898">
        <v>4400</v>
      </c>
      <c r="M1898">
        <v>17600</v>
      </c>
      <c r="N1898">
        <v>89000</v>
      </c>
      <c r="O1898">
        <v>106600</v>
      </c>
      <c r="P1898" t="s">
        <v>35</v>
      </c>
      <c r="Q1898" t="s">
        <v>2357</v>
      </c>
      <c r="R1898" t="s">
        <v>46</v>
      </c>
      <c r="S1898">
        <v>2</v>
      </c>
      <c r="T1898" t="s">
        <v>24</v>
      </c>
      <c r="U1898" t="s">
        <v>2412</v>
      </c>
      <c r="V1898">
        <v>2024</v>
      </c>
      <c r="W1898">
        <v>12</v>
      </c>
    </row>
    <row r="1899" spans="1:23" x14ac:dyDescent="0.25">
      <c r="A1899" t="s">
        <v>792</v>
      </c>
      <c r="B1899">
        <v>45638.972013888888</v>
      </c>
      <c r="C1899" t="s">
        <v>361</v>
      </c>
      <c r="D1899" t="s">
        <v>70</v>
      </c>
      <c r="E1899" t="s">
        <v>88</v>
      </c>
      <c r="F1899" t="s">
        <v>2393</v>
      </c>
      <c r="G1899" t="s">
        <v>2377</v>
      </c>
      <c r="H1899">
        <v>14000</v>
      </c>
      <c r="I1899">
        <v>4</v>
      </c>
      <c r="J1899">
        <v>20</v>
      </c>
      <c r="K1899">
        <v>56000</v>
      </c>
      <c r="L1899">
        <v>11200</v>
      </c>
      <c r="M1899">
        <v>44800</v>
      </c>
      <c r="N1899">
        <v>89000</v>
      </c>
      <c r="O1899">
        <v>133800</v>
      </c>
      <c r="P1899" t="s">
        <v>22</v>
      </c>
      <c r="Q1899" t="s">
        <v>2357</v>
      </c>
      <c r="R1899" t="s">
        <v>36</v>
      </c>
      <c r="S1899">
        <v>2</v>
      </c>
      <c r="T1899" t="s">
        <v>37</v>
      </c>
      <c r="U1899" t="s">
        <v>2412</v>
      </c>
      <c r="V1899">
        <v>2024</v>
      </c>
      <c r="W1899">
        <v>12</v>
      </c>
    </row>
    <row r="1900" spans="1:23" x14ac:dyDescent="0.25">
      <c r="A1900" t="s">
        <v>793</v>
      </c>
      <c r="B1900">
        <v>45639.236122685194</v>
      </c>
      <c r="C1900" t="s">
        <v>794</v>
      </c>
      <c r="D1900" t="s">
        <v>61</v>
      </c>
      <c r="E1900" t="s">
        <v>75</v>
      </c>
      <c r="F1900" t="s">
        <v>2398</v>
      </c>
      <c r="G1900" t="s">
        <v>2379</v>
      </c>
      <c r="H1900">
        <v>55000</v>
      </c>
      <c r="I1900">
        <v>2</v>
      </c>
      <c r="J1900">
        <v>5</v>
      </c>
      <c r="K1900">
        <v>110000</v>
      </c>
      <c r="L1900">
        <v>5500</v>
      </c>
      <c r="M1900">
        <v>104500</v>
      </c>
      <c r="N1900">
        <v>26000</v>
      </c>
      <c r="O1900">
        <v>130500</v>
      </c>
      <c r="P1900" t="s">
        <v>29</v>
      </c>
      <c r="Q1900" t="s">
        <v>2357</v>
      </c>
      <c r="R1900" t="s">
        <v>46</v>
      </c>
      <c r="S1900">
        <v>4</v>
      </c>
      <c r="T1900" t="s">
        <v>37</v>
      </c>
      <c r="U1900" t="s">
        <v>2412</v>
      </c>
      <c r="V1900">
        <v>2024</v>
      </c>
      <c r="W1900">
        <v>12</v>
      </c>
    </row>
    <row r="1901" spans="1:23" x14ac:dyDescent="0.25">
      <c r="A1901" t="s">
        <v>795</v>
      </c>
      <c r="B1901">
        <v>45639.284942129627</v>
      </c>
      <c r="C1901" t="s">
        <v>796</v>
      </c>
      <c r="D1901" t="s">
        <v>119</v>
      </c>
      <c r="E1901" t="s">
        <v>28</v>
      </c>
      <c r="F1901" t="s">
        <v>2395</v>
      </c>
      <c r="G1901" t="s">
        <v>2378</v>
      </c>
      <c r="H1901">
        <v>5000</v>
      </c>
      <c r="I1901">
        <v>4</v>
      </c>
      <c r="J1901">
        <v>0</v>
      </c>
      <c r="K1901">
        <v>20000</v>
      </c>
      <c r="L1901">
        <v>0</v>
      </c>
      <c r="M1901">
        <v>20000</v>
      </c>
      <c r="N1901">
        <v>0</v>
      </c>
      <c r="O1901">
        <v>20000</v>
      </c>
      <c r="P1901" t="s">
        <v>22</v>
      </c>
      <c r="Q1901" t="s">
        <v>2357</v>
      </c>
      <c r="R1901" t="s">
        <v>82</v>
      </c>
      <c r="S1901">
        <v>4</v>
      </c>
      <c r="T1901" t="s">
        <v>24</v>
      </c>
      <c r="U1901" t="s">
        <v>2412</v>
      </c>
      <c r="V1901">
        <v>2024</v>
      </c>
      <c r="W1901">
        <v>12</v>
      </c>
    </row>
    <row r="1902" spans="1:23" x14ac:dyDescent="0.25">
      <c r="A1902" t="s">
        <v>797</v>
      </c>
      <c r="B1902">
        <v>45639.31113425926</v>
      </c>
      <c r="C1902" t="s">
        <v>412</v>
      </c>
      <c r="D1902" t="s">
        <v>70</v>
      </c>
      <c r="E1902" t="s">
        <v>136</v>
      </c>
      <c r="F1902" t="s">
        <v>2400</v>
      </c>
      <c r="G1902" t="s">
        <v>2378</v>
      </c>
      <c r="H1902">
        <v>12000</v>
      </c>
      <c r="I1902">
        <v>2</v>
      </c>
      <c r="J1902">
        <v>10</v>
      </c>
      <c r="K1902">
        <v>24000</v>
      </c>
      <c r="L1902">
        <v>2400</v>
      </c>
      <c r="M1902">
        <v>21600</v>
      </c>
      <c r="N1902">
        <v>89000</v>
      </c>
      <c r="O1902">
        <v>110600</v>
      </c>
      <c r="P1902" t="s">
        <v>63</v>
      </c>
      <c r="Q1902" t="s">
        <v>2357</v>
      </c>
      <c r="R1902" t="s">
        <v>46</v>
      </c>
      <c r="S1902">
        <v>5</v>
      </c>
      <c r="T1902" t="s">
        <v>24</v>
      </c>
      <c r="U1902" t="s">
        <v>2412</v>
      </c>
      <c r="V1902">
        <v>2024</v>
      </c>
      <c r="W1902">
        <v>12</v>
      </c>
    </row>
    <row r="1903" spans="1:23" x14ac:dyDescent="0.25">
      <c r="A1903" t="s">
        <v>798</v>
      </c>
      <c r="B1903">
        <v>45639.444768518522</v>
      </c>
      <c r="C1903" t="s">
        <v>446</v>
      </c>
      <c r="D1903" t="s">
        <v>296</v>
      </c>
      <c r="E1903" t="s">
        <v>62</v>
      </c>
      <c r="F1903" t="s">
        <v>2398</v>
      </c>
      <c r="G1903" t="s">
        <v>2378</v>
      </c>
      <c r="H1903">
        <v>50000</v>
      </c>
      <c r="I1903">
        <v>2</v>
      </c>
      <c r="J1903">
        <v>15</v>
      </c>
      <c r="K1903">
        <v>100000</v>
      </c>
      <c r="L1903">
        <v>15000</v>
      </c>
      <c r="M1903">
        <v>85000</v>
      </c>
      <c r="N1903">
        <v>79000</v>
      </c>
      <c r="O1903">
        <v>164000</v>
      </c>
      <c r="P1903" t="s">
        <v>63</v>
      </c>
      <c r="Q1903" t="s">
        <v>2357</v>
      </c>
      <c r="R1903" t="s">
        <v>82</v>
      </c>
      <c r="S1903">
        <v>1</v>
      </c>
      <c r="T1903" t="s">
        <v>37</v>
      </c>
      <c r="U1903" t="s">
        <v>2412</v>
      </c>
      <c r="V1903">
        <v>2024</v>
      </c>
      <c r="W1903">
        <v>12</v>
      </c>
    </row>
    <row r="1904" spans="1:23" x14ac:dyDescent="0.25">
      <c r="A1904" t="s">
        <v>799</v>
      </c>
      <c r="B1904">
        <v>45639.711747685193</v>
      </c>
      <c r="C1904" t="s">
        <v>557</v>
      </c>
      <c r="D1904" t="s">
        <v>173</v>
      </c>
      <c r="E1904" t="s">
        <v>50</v>
      </c>
      <c r="F1904" t="s">
        <v>2400</v>
      </c>
      <c r="G1904" t="s">
        <v>2379</v>
      </c>
      <c r="H1904">
        <v>14000</v>
      </c>
      <c r="I1904">
        <v>5</v>
      </c>
      <c r="J1904">
        <v>15</v>
      </c>
      <c r="K1904">
        <v>70000</v>
      </c>
      <c r="L1904">
        <v>10500</v>
      </c>
      <c r="M1904">
        <v>59500</v>
      </c>
      <c r="N1904">
        <v>49000</v>
      </c>
      <c r="O1904">
        <v>108500</v>
      </c>
      <c r="P1904" t="s">
        <v>22</v>
      </c>
      <c r="Q1904" t="s">
        <v>2357</v>
      </c>
      <c r="R1904" t="s">
        <v>30</v>
      </c>
      <c r="S1904">
        <v>4</v>
      </c>
      <c r="T1904" t="s">
        <v>24</v>
      </c>
      <c r="U1904" t="s">
        <v>2412</v>
      </c>
      <c r="V1904">
        <v>2024</v>
      </c>
      <c r="W1904">
        <v>12</v>
      </c>
    </row>
    <row r="1905" spans="1:23" x14ac:dyDescent="0.25">
      <c r="A1905" t="s">
        <v>800</v>
      </c>
      <c r="B1905">
        <v>45640.079641203702</v>
      </c>
      <c r="C1905" t="s">
        <v>19</v>
      </c>
      <c r="D1905" t="s">
        <v>20</v>
      </c>
      <c r="E1905" t="s">
        <v>138</v>
      </c>
      <c r="F1905" t="s">
        <v>2396</v>
      </c>
      <c r="G1905" t="s">
        <v>2378</v>
      </c>
      <c r="H1905">
        <v>17000</v>
      </c>
      <c r="I1905">
        <v>3</v>
      </c>
      <c r="J1905">
        <v>20</v>
      </c>
      <c r="K1905">
        <v>51000</v>
      </c>
      <c r="L1905">
        <v>10200</v>
      </c>
      <c r="M1905">
        <v>40800</v>
      </c>
      <c r="N1905">
        <v>15000</v>
      </c>
      <c r="O1905">
        <v>55800</v>
      </c>
      <c r="P1905" t="s">
        <v>35</v>
      </c>
      <c r="Q1905" t="s">
        <v>2357</v>
      </c>
      <c r="R1905" t="s">
        <v>36</v>
      </c>
      <c r="S1905">
        <v>4</v>
      </c>
      <c r="T1905" t="s">
        <v>24</v>
      </c>
      <c r="U1905" t="s">
        <v>2412</v>
      </c>
      <c r="V1905">
        <v>2024</v>
      </c>
      <c r="W1905">
        <v>12</v>
      </c>
    </row>
    <row r="1906" spans="1:23" x14ac:dyDescent="0.25">
      <c r="A1906" t="s">
        <v>800</v>
      </c>
      <c r="B1906">
        <v>45640.079641203702</v>
      </c>
      <c r="C1906" t="s">
        <v>19</v>
      </c>
      <c r="D1906" t="s">
        <v>20</v>
      </c>
      <c r="E1906" t="s">
        <v>54</v>
      </c>
      <c r="F1906" t="s">
        <v>2393</v>
      </c>
      <c r="G1906" t="s">
        <v>2379</v>
      </c>
      <c r="H1906">
        <v>16000</v>
      </c>
      <c r="I1906">
        <v>4</v>
      </c>
      <c r="J1906">
        <v>5</v>
      </c>
      <c r="K1906">
        <v>64000</v>
      </c>
      <c r="L1906">
        <v>3200</v>
      </c>
      <c r="M1906">
        <v>60800</v>
      </c>
      <c r="N1906">
        <v>0</v>
      </c>
      <c r="O1906">
        <v>60800</v>
      </c>
      <c r="P1906" t="s">
        <v>35</v>
      </c>
      <c r="Q1906" t="s">
        <v>2357</v>
      </c>
      <c r="R1906" t="s">
        <v>36</v>
      </c>
      <c r="S1906">
        <v>4</v>
      </c>
      <c r="T1906" t="s">
        <v>24</v>
      </c>
      <c r="U1906" t="s">
        <v>2412</v>
      </c>
      <c r="V1906">
        <v>2024</v>
      </c>
      <c r="W1906">
        <v>12</v>
      </c>
    </row>
    <row r="1907" spans="1:23" x14ac:dyDescent="0.25">
      <c r="A1907" t="s">
        <v>801</v>
      </c>
      <c r="B1907">
        <v>45640.598009259258</v>
      </c>
      <c r="C1907" t="s">
        <v>802</v>
      </c>
      <c r="D1907" t="s">
        <v>126</v>
      </c>
      <c r="E1907" t="s">
        <v>28</v>
      </c>
      <c r="F1907" t="s">
        <v>2395</v>
      </c>
      <c r="G1907" t="s">
        <v>2378</v>
      </c>
      <c r="H1907">
        <v>5000</v>
      </c>
      <c r="I1907">
        <v>3</v>
      </c>
      <c r="J1907">
        <v>20</v>
      </c>
      <c r="K1907">
        <v>15000</v>
      </c>
      <c r="L1907">
        <v>3000</v>
      </c>
      <c r="M1907">
        <v>12000</v>
      </c>
      <c r="N1907">
        <v>84000</v>
      </c>
      <c r="O1907">
        <v>96000</v>
      </c>
      <c r="P1907" t="s">
        <v>22</v>
      </c>
      <c r="Q1907" t="s">
        <v>2357</v>
      </c>
      <c r="R1907" t="s">
        <v>46</v>
      </c>
      <c r="S1907">
        <v>4</v>
      </c>
      <c r="T1907" t="s">
        <v>24</v>
      </c>
      <c r="U1907" t="s">
        <v>2412</v>
      </c>
      <c r="V1907">
        <v>2024</v>
      </c>
      <c r="W1907">
        <v>12</v>
      </c>
    </row>
    <row r="1908" spans="1:23" x14ac:dyDescent="0.25">
      <c r="A1908" t="s">
        <v>803</v>
      </c>
      <c r="B1908">
        <v>45641.33452546296</v>
      </c>
      <c r="C1908" t="s">
        <v>804</v>
      </c>
      <c r="D1908" t="s">
        <v>49</v>
      </c>
      <c r="E1908" t="s">
        <v>71</v>
      </c>
      <c r="F1908" t="s">
        <v>2392</v>
      </c>
      <c r="G1908" t="s">
        <v>2379</v>
      </c>
      <c r="H1908">
        <v>40000</v>
      </c>
      <c r="I1908">
        <v>2</v>
      </c>
      <c r="J1908">
        <v>5</v>
      </c>
      <c r="K1908">
        <v>80000</v>
      </c>
      <c r="L1908">
        <v>4000</v>
      </c>
      <c r="M1908">
        <v>76000</v>
      </c>
      <c r="N1908">
        <v>43000</v>
      </c>
      <c r="O1908">
        <v>119000</v>
      </c>
      <c r="P1908" t="s">
        <v>29</v>
      </c>
      <c r="Q1908" t="s">
        <v>2359</v>
      </c>
      <c r="R1908" t="s">
        <v>82</v>
      </c>
      <c r="S1908">
        <v>5</v>
      </c>
      <c r="T1908" t="s">
        <v>24</v>
      </c>
      <c r="U1908" t="s">
        <v>2412</v>
      </c>
      <c r="V1908">
        <v>2024</v>
      </c>
      <c r="W1908">
        <v>12</v>
      </c>
    </row>
    <row r="1909" spans="1:23" x14ac:dyDescent="0.25">
      <c r="A1909" t="s">
        <v>805</v>
      </c>
      <c r="B1909">
        <v>45641.411006944443</v>
      </c>
      <c r="C1909" t="s">
        <v>295</v>
      </c>
      <c r="D1909" t="s">
        <v>296</v>
      </c>
      <c r="E1909" t="s">
        <v>144</v>
      </c>
      <c r="F1909" t="s">
        <v>2396</v>
      </c>
      <c r="G1909" t="s">
        <v>2379</v>
      </c>
      <c r="H1909">
        <v>18000</v>
      </c>
      <c r="I1909">
        <v>2</v>
      </c>
      <c r="J1909">
        <v>15</v>
      </c>
      <c r="K1909">
        <v>36000</v>
      </c>
      <c r="L1909">
        <v>5400</v>
      </c>
      <c r="M1909">
        <v>30600</v>
      </c>
      <c r="N1909">
        <v>79000</v>
      </c>
      <c r="O1909">
        <v>109600</v>
      </c>
      <c r="P1909" t="s">
        <v>29</v>
      </c>
      <c r="Q1909" t="s">
        <v>2357</v>
      </c>
      <c r="R1909" t="s">
        <v>30</v>
      </c>
      <c r="S1909">
        <v>5</v>
      </c>
      <c r="T1909" t="s">
        <v>24</v>
      </c>
      <c r="U1909" t="s">
        <v>2412</v>
      </c>
      <c r="V1909">
        <v>2024</v>
      </c>
      <c r="W1909">
        <v>12</v>
      </c>
    </row>
    <row r="1910" spans="1:23" x14ac:dyDescent="0.25">
      <c r="A1910" t="s">
        <v>806</v>
      </c>
      <c r="B1910">
        <v>45641.500902777778</v>
      </c>
      <c r="C1910" t="s">
        <v>649</v>
      </c>
      <c r="D1910" t="s">
        <v>177</v>
      </c>
      <c r="E1910" t="s">
        <v>54</v>
      </c>
      <c r="F1910" t="s">
        <v>2393</v>
      </c>
      <c r="G1910" t="s">
        <v>2379</v>
      </c>
      <c r="H1910">
        <v>16000</v>
      </c>
      <c r="I1910">
        <v>5</v>
      </c>
      <c r="J1910">
        <v>15</v>
      </c>
      <c r="K1910">
        <v>80000</v>
      </c>
      <c r="L1910">
        <v>12000</v>
      </c>
      <c r="M1910">
        <v>68000</v>
      </c>
      <c r="N1910">
        <v>56000</v>
      </c>
      <c r="O1910">
        <v>124000</v>
      </c>
      <c r="P1910" t="s">
        <v>63</v>
      </c>
      <c r="Q1910" t="s">
        <v>2357</v>
      </c>
      <c r="R1910" t="s">
        <v>36</v>
      </c>
      <c r="S1910">
        <v>5</v>
      </c>
      <c r="T1910" t="s">
        <v>24</v>
      </c>
      <c r="U1910" t="s">
        <v>2412</v>
      </c>
      <c r="V1910">
        <v>2024</v>
      </c>
      <c r="W1910">
        <v>12</v>
      </c>
    </row>
    <row r="1911" spans="1:23" x14ac:dyDescent="0.25">
      <c r="A1911" t="s">
        <v>807</v>
      </c>
      <c r="B1911">
        <v>45641.504328703697</v>
      </c>
      <c r="C1911" t="s">
        <v>808</v>
      </c>
      <c r="D1911" t="s">
        <v>61</v>
      </c>
      <c r="E1911" t="s">
        <v>34</v>
      </c>
      <c r="F1911" t="s">
        <v>2397</v>
      </c>
      <c r="G1911" t="s">
        <v>2377</v>
      </c>
      <c r="H1911">
        <v>16000</v>
      </c>
      <c r="I1911">
        <v>3</v>
      </c>
      <c r="J1911">
        <v>10</v>
      </c>
      <c r="K1911">
        <v>48000</v>
      </c>
      <c r="L1911">
        <v>4800</v>
      </c>
      <c r="M1911">
        <v>43200</v>
      </c>
      <c r="N1911">
        <v>26000</v>
      </c>
      <c r="O1911">
        <v>69200</v>
      </c>
      <c r="P1911" t="s">
        <v>29</v>
      </c>
      <c r="Q1911" t="s">
        <v>2357</v>
      </c>
      <c r="R1911" t="s">
        <v>82</v>
      </c>
      <c r="S1911">
        <v>1</v>
      </c>
      <c r="T1911" t="s">
        <v>24</v>
      </c>
      <c r="U1911" t="s">
        <v>2412</v>
      </c>
      <c r="V1911">
        <v>2024</v>
      </c>
      <c r="W1911">
        <v>12</v>
      </c>
    </row>
    <row r="1912" spans="1:23" x14ac:dyDescent="0.25">
      <c r="A1912" t="s">
        <v>809</v>
      </c>
      <c r="B1912">
        <v>45641.529745370368</v>
      </c>
      <c r="C1912" t="s">
        <v>379</v>
      </c>
      <c r="D1912" t="s">
        <v>27</v>
      </c>
      <c r="E1912" t="s">
        <v>34</v>
      </c>
      <c r="F1912" t="s">
        <v>2397</v>
      </c>
      <c r="G1912" t="s">
        <v>2377</v>
      </c>
      <c r="H1912">
        <v>16000</v>
      </c>
      <c r="I1912">
        <v>3</v>
      </c>
      <c r="J1912">
        <v>0</v>
      </c>
      <c r="K1912">
        <v>48000</v>
      </c>
      <c r="L1912">
        <v>0</v>
      </c>
      <c r="M1912">
        <v>48000</v>
      </c>
      <c r="N1912">
        <v>17000</v>
      </c>
      <c r="O1912">
        <v>65000</v>
      </c>
      <c r="P1912" t="s">
        <v>63</v>
      </c>
      <c r="Q1912" t="s">
        <v>2357</v>
      </c>
      <c r="R1912" t="s">
        <v>82</v>
      </c>
      <c r="S1912">
        <v>5</v>
      </c>
      <c r="T1912" t="s">
        <v>24</v>
      </c>
      <c r="U1912" t="s">
        <v>2412</v>
      </c>
      <c r="V1912">
        <v>2024</v>
      </c>
      <c r="W1912">
        <v>12</v>
      </c>
    </row>
    <row r="1913" spans="1:23" x14ac:dyDescent="0.25">
      <c r="A1913" t="s">
        <v>810</v>
      </c>
      <c r="B1913">
        <v>45641.617743055547</v>
      </c>
      <c r="C1913" t="s">
        <v>283</v>
      </c>
      <c r="D1913" t="s">
        <v>92</v>
      </c>
      <c r="E1913" t="s">
        <v>45</v>
      </c>
      <c r="F1913" t="s">
        <v>2394</v>
      </c>
      <c r="G1913" t="s">
        <v>2378</v>
      </c>
      <c r="H1913">
        <v>40000</v>
      </c>
      <c r="I1913">
        <v>5</v>
      </c>
      <c r="J1913">
        <v>10</v>
      </c>
      <c r="K1913">
        <v>200000</v>
      </c>
      <c r="L1913">
        <v>20000</v>
      </c>
      <c r="M1913">
        <v>180000</v>
      </c>
      <c r="N1913">
        <v>30000</v>
      </c>
      <c r="O1913">
        <v>210000</v>
      </c>
      <c r="P1913" t="s">
        <v>29</v>
      </c>
      <c r="Q1913" t="s">
        <v>2357</v>
      </c>
      <c r="R1913" t="s">
        <v>30</v>
      </c>
      <c r="S1913">
        <v>3</v>
      </c>
      <c r="T1913" t="s">
        <v>24</v>
      </c>
      <c r="U1913" t="s">
        <v>2412</v>
      </c>
      <c r="V1913">
        <v>2024</v>
      </c>
      <c r="W1913">
        <v>12</v>
      </c>
    </row>
    <row r="1914" spans="1:23" x14ac:dyDescent="0.25">
      <c r="A1914" t="s">
        <v>811</v>
      </c>
      <c r="B1914">
        <v>45642.436053240737</v>
      </c>
      <c r="C1914" t="s">
        <v>812</v>
      </c>
      <c r="D1914" t="s">
        <v>33</v>
      </c>
      <c r="E1914" t="s">
        <v>34</v>
      </c>
      <c r="F1914" t="s">
        <v>2397</v>
      </c>
      <c r="G1914" t="s">
        <v>2377</v>
      </c>
      <c r="H1914">
        <v>16000</v>
      </c>
      <c r="I1914">
        <v>3</v>
      </c>
      <c r="J1914">
        <v>0</v>
      </c>
      <c r="K1914">
        <v>48000</v>
      </c>
      <c r="L1914">
        <v>0</v>
      </c>
      <c r="M1914">
        <v>48000</v>
      </c>
      <c r="N1914">
        <v>76000</v>
      </c>
      <c r="O1914">
        <v>124000</v>
      </c>
      <c r="P1914" t="s">
        <v>22</v>
      </c>
      <c r="Q1914" t="s">
        <v>2357</v>
      </c>
      <c r="R1914" t="s">
        <v>30</v>
      </c>
      <c r="S1914">
        <v>3</v>
      </c>
      <c r="T1914" t="s">
        <v>24</v>
      </c>
      <c r="U1914" t="s">
        <v>2412</v>
      </c>
      <c r="V1914">
        <v>2024</v>
      </c>
      <c r="W1914">
        <v>12</v>
      </c>
    </row>
    <row r="1915" spans="1:23" x14ac:dyDescent="0.25">
      <c r="A1915" t="s">
        <v>813</v>
      </c>
      <c r="B1915">
        <v>45642.484791666669</v>
      </c>
      <c r="C1915" t="s">
        <v>311</v>
      </c>
      <c r="D1915" t="s">
        <v>116</v>
      </c>
      <c r="E1915" t="s">
        <v>93</v>
      </c>
      <c r="F1915" t="s">
        <v>2399</v>
      </c>
      <c r="G1915" t="s">
        <v>2378</v>
      </c>
      <c r="H1915">
        <v>25000</v>
      </c>
      <c r="I1915">
        <v>5</v>
      </c>
      <c r="J1915">
        <v>0</v>
      </c>
      <c r="K1915">
        <v>125000</v>
      </c>
      <c r="L1915">
        <v>0</v>
      </c>
      <c r="M1915">
        <v>125000</v>
      </c>
      <c r="N1915">
        <v>72000</v>
      </c>
      <c r="O1915">
        <v>197000</v>
      </c>
      <c r="P1915" t="s">
        <v>22</v>
      </c>
      <c r="Q1915" t="s">
        <v>2357</v>
      </c>
      <c r="R1915" t="s">
        <v>23</v>
      </c>
      <c r="S1915">
        <v>5</v>
      </c>
      <c r="T1915" t="s">
        <v>24</v>
      </c>
      <c r="U1915" t="s">
        <v>2412</v>
      </c>
      <c r="V1915">
        <v>2024</v>
      </c>
      <c r="W1915">
        <v>12</v>
      </c>
    </row>
    <row r="1916" spans="1:23" x14ac:dyDescent="0.25">
      <c r="A1916" t="s">
        <v>814</v>
      </c>
      <c r="B1916">
        <v>45642.491030092591</v>
      </c>
      <c r="C1916" t="s">
        <v>207</v>
      </c>
      <c r="D1916" t="s">
        <v>96</v>
      </c>
      <c r="E1916" t="s">
        <v>62</v>
      </c>
      <c r="F1916" t="s">
        <v>2398</v>
      </c>
      <c r="G1916" t="s">
        <v>2378</v>
      </c>
      <c r="H1916">
        <v>50000</v>
      </c>
      <c r="I1916">
        <v>3</v>
      </c>
      <c r="J1916">
        <v>5</v>
      </c>
      <c r="K1916">
        <v>150000</v>
      </c>
      <c r="L1916">
        <v>7500</v>
      </c>
      <c r="M1916">
        <v>142500</v>
      </c>
      <c r="N1916">
        <v>49000</v>
      </c>
      <c r="O1916">
        <v>191500</v>
      </c>
      <c r="P1916" t="s">
        <v>29</v>
      </c>
      <c r="Q1916" t="s">
        <v>2357</v>
      </c>
      <c r="R1916" t="s">
        <v>36</v>
      </c>
      <c r="S1916">
        <v>1</v>
      </c>
      <c r="T1916" t="s">
        <v>24</v>
      </c>
      <c r="U1916" t="s">
        <v>2412</v>
      </c>
      <c r="V1916">
        <v>2024</v>
      </c>
      <c r="W1916">
        <v>12</v>
      </c>
    </row>
    <row r="1917" spans="1:23" x14ac:dyDescent="0.25">
      <c r="A1917" t="s">
        <v>815</v>
      </c>
      <c r="B1917">
        <v>45642.536064814813</v>
      </c>
      <c r="C1917" t="s">
        <v>162</v>
      </c>
      <c r="D1917" t="s">
        <v>163</v>
      </c>
      <c r="E1917" t="s">
        <v>50</v>
      </c>
      <c r="F1917" t="s">
        <v>2400</v>
      </c>
      <c r="G1917" t="s">
        <v>2379</v>
      </c>
      <c r="H1917">
        <v>14000</v>
      </c>
      <c r="I1917">
        <v>4</v>
      </c>
      <c r="J1917">
        <v>20</v>
      </c>
      <c r="K1917">
        <v>56000</v>
      </c>
      <c r="L1917">
        <v>11200</v>
      </c>
      <c r="M1917">
        <v>44800</v>
      </c>
      <c r="N1917">
        <v>50000</v>
      </c>
      <c r="O1917">
        <v>94800</v>
      </c>
      <c r="P1917" t="s">
        <v>29</v>
      </c>
      <c r="Q1917" t="s">
        <v>2357</v>
      </c>
      <c r="R1917" t="s">
        <v>82</v>
      </c>
      <c r="S1917">
        <v>2</v>
      </c>
      <c r="T1917" t="s">
        <v>24</v>
      </c>
      <c r="U1917" t="s">
        <v>2412</v>
      </c>
      <c r="V1917">
        <v>2024</v>
      </c>
      <c r="W1917">
        <v>12</v>
      </c>
    </row>
    <row r="1918" spans="1:23" x14ac:dyDescent="0.25">
      <c r="A1918" t="s">
        <v>816</v>
      </c>
      <c r="B1918">
        <v>45642.787106481483</v>
      </c>
      <c r="C1918" t="s">
        <v>557</v>
      </c>
      <c r="D1918" t="s">
        <v>173</v>
      </c>
      <c r="E1918" t="s">
        <v>45</v>
      </c>
      <c r="F1918" t="s">
        <v>2394</v>
      </c>
      <c r="G1918" t="s">
        <v>2378</v>
      </c>
      <c r="H1918">
        <v>40000</v>
      </c>
      <c r="I1918">
        <v>4</v>
      </c>
      <c r="J1918">
        <v>15</v>
      </c>
      <c r="K1918">
        <v>160000</v>
      </c>
      <c r="L1918">
        <v>24000</v>
      </c>
      <c r="M1918">
        <v>136000</v>
      </c>
      <c r="N1918">
        <v>49000</v>
      </c>
      <c r="O1918">
        <v>185000</v>
      </c>
      <c r="P1918" t="s">
        <v>29</v>
      </c>
      <c r="Q1918" t="s">
        <v>2357</v>
      </c>
      <c r="R1918" t="s">
        <v>36</v>
      </c>
      <c r="S1918">
        <v>2</v>
      </c>
      <c r="T1918" t="s">
        <v>24</v>
      </c>
      <c r="U1918" t="s">
        <v>2412</v>
      </c>
      <c r="V1918">
        <v>2024</v>
      </c>
      <c r="W1918">
        <v>12</v>
      </c>
    </row>
    <row r="1919" spans="1:23" x14ac:dyDescent="0.25">
      <c r="A1919" t="s">
        <v>817</v>
      </c>
      <c r="B1919">
        <v>45643.473877314813</v>
      </c>
      <c r="C1919" t="s">
        <v>383</v>
      </c>
      <c r="D1919" t="s">
        <v>122</v>
      </c>
      <c r="E1919" t="s">
        <v>62</v>
      </c>
      <c r="F1919" t="s">
        <v>2398</v>
      </c>
      <c r="G1919" t="s">
        <v>2378</v>
      </c>
      <c r="H1919">
        <v>50000</v>
      </c>
      <c r="I1919">
        <v>4</v>
      </c>
      <c r="J1919">
        <v>15</v>
      </c>
      <c r="K1919">
        <v>200000</v>
      </c>
      <c r="L1919">
        <v>30000</v>
      </c>
      <c r="M1919">
        <v>170000</v>
      </c>
      <c r="N1919">
        <v>78000</v>
      </c>
      <c r="O1919">
        <v>248000</v>
      </c>
      <c r="P1919" t="s">
        <v>63</v>
      </c>
      <c r="Q1919" t="s">
        <v>2357</v>
      </c>
      <c r="R1919" t="s">
        <v>30</v>
      </c>
      <c r="S1919">
        <v>2</v>
      </c>
      <c r="T1919" t="s">
        <v>24</v>
      </c>
      <c r="U1919" t="s">
        <v>2412</v>
      </c>
      <c r="V1919">
        <v>2024</v>
      </c>
      <c r="W1919">
        <v>12</v>
      </c>
    </row>
    <row r="1920" spans="1:23" x14ac:dyDescent="0.25">
      <c r="A1920" t="s">
        <v>818</v>
      </c>
      <c r="B1920">
        <v>45643.491828703707</v>
      </c>
      <c r="C1920" t="s">
        <v>819</v>
      </c>
      <c r="D1920" t="s">
        <v>126</v>
      </c>
      <c r="E1920" t="s">
        <v>88</v>
      </c>
      <c r="F1920" t="s">
        <v>2393</v>
      </c>
      <c r="G1920" t="s">
        <v>2377</v>
      </c>
      <c r="H1920">
        <v>14000</v>
      </c>
      <c r="I1920">
        <v>4</v>
      </c>
      <c r="J1920">
        <v>10</v>
      </c>
      <c r="K1920">
        <v>56000</v>
      </c>
      <c r="L1920">
        <v>5600</v>
      </c>
      <c r="M1920">
        <v>50400</v>
      </c>
      <c r="N1920">
        <v>84000</v>
      </c>
      <c r="O1920">
        <v>134400</v>
      </c>
      <c r="P1920" t="s">
        <v>22</v>
      </c>
      <c r="Q1920" t="s">
        <v>2357</v>
      </c>
      <c r="R1920" t="s">
        <v>36</v>
      </c>
      <c r="S1920">
        <v>5</v>
      </c>
      <c r="T1920" t="s">
        <v>24</v>
      </c>
      <c r="U1920" t="s">
        <v>2412</v>
      </c>
      <c r="V1920">
        <v>2024</v>
      </c>
      <c r="W1920">
        <v>12</v>
      </c>
    </row>
    <row r="1921" spans="1:23" x14ac:dyDescent="0.25">
      <c r="A1921" t="s">
        <v>820</v>
      </c>
      <c r="B1921">
        <v>45643.807789351849</v>
      </c>
      <c r="C1921" t="s">
        <v>821</v>
      </c>
      <c r="D1921" t="s">
        <v>131</v>
      </c>
      <c r="E1921" t="s">
        <v>136</v>
      </c>
      <c r="F1921" t="s">
        <v>2400</v>
      </c>
      <c r="G1921" t="s">
        <v>2378</v>
      </c>
      <c r="H1921">
        <v>12000</v>
      </c>
      <c r="I1921">
        <v>4</v>
      </c>
      <c r="J1921">
        <v>20</v>
      </c>
      <c r="K1921">
        <v>48000</v>
      </c>
      <c r="L1921">
        <v>9600</v>
      </c>
      <c r="M1921">
        <v>38400</v>
      </c>
      <c r="N1921">
        <v>59000</v>
      </c>
      <c r="O1921">
        <v>97400</v>
      </c>
      <c r="P1921" t="s">
        <v>63</v>
      </c>
      <c r="Q1921" t="s">
        <v>2357</v>
      </c>
      <c r="R1921" t="s">
        <v>23</v>
      </c>
      <c r="S1921">
        <v>1</v>
      </c>
      <c r="T1921" t="s">
        <v>24</v>
      </c>
      <c r="U1921" t="s">
        <v>2412</v>
      </c>
      <c r="V1921">
        <v>2024</v>
      </c>
      <c r="W1921">
        <v>12</v>
      </c>
    </row>
    <row r="1922" spans="1:23" x14ac:dyDescent="0.25">
      <c r="A1922" t="s">
        <v>822</v>
      </c>
      <c r="B1922">
        <v>45643.960775462961</v>
      </c>
      <c r="C1922" t="s">
        <v>125</v>
      </c>
      <c r="D1922" t="s">
        <v>126</v>
      </c>
      <c r="E1922" t="s">
        <v>28</v>
      </c>
      <c r="F1922" t="s">
        <v>2395</v>
      </c>
      <c r="G1922" t="s">
        <v>2378</v>
      </c>
      <c r="H1922">
        <v>5000</v>
      </c>
      <c r="I1922">
        <v>2</v>
      </c>
      <c r="J1922">
        <v>0</v>
      </c>
      <c r="K1922">
        <v>10000</v>
      </c>
      <c r="L1922">
        <v>0</v>
      </c>
      <c r="M1922">
        <v>10000</v>
      </c>
      <c r="N1922">
        <v>84000</v>
      </c>
      <c r="O1922">
        <v>94000</v>
      </c>
      <c r="P1922" t="s">
        <v>29</v>
      </c>
      <c r="Q1922" t="s">
        <v>2357</v>
      </c>
      <c r="R1922" t="s">
        <v>82</v>
      </c>
      <c r="S1922">
        <v>4</v>
      </c>
      <c r="T1922" t="s">
        <v>24</v>
      </c>
      <c r="U1922" t="s">
        <v>2412</v>
      </c>
      <c r="V1922">
        <v>2024</v>
      </c>
      <c r="W1922">
        <v>12</v>
      </c>
    </row>
    <row r="1923" spans="1:23" x14ac:dyDescent="0.25">
      <c r="A1923" t="s">
        <v>823</v>
      </c>
      <c r="B1923">
        <v>45644.162418981483</v>
      </c>
      <c r="C1923" t="s">
        <v>323</v>
      </c>
      <c r="D1923" t="s">
        <v>103</v>
      </c>
      <c r="E1923" t="s">
        <v>58</v>
      </c>
      <c r="F1923" t="s">
        <v>2396</v>
      </c>
      <c r="G1923" t="s">
        <v>2377</v>
      </c>
      <c r="H1923">
        <v>16000</v>
      </c>
      <c r="I1923">
        <v>3</v>
      </c>
      <c r="J1923">
        <v>10</v>
      </c>
      <c r="K1923">
        <v>48000</v>
      </c>
      <c r="L1923">
        <v>4800</v>
      </c>
      <c r="M1923">
        <v>43200</v>
      </c>
      <c r="N1923">
        <v>85000</v>
      </c>
      <c r="O1923">
        <v>128200</v>
      </c>
      <c r="P1923" t="s">
        <v>35</v>
      </c>
      <c r="Q1923" t="s">
        <v>2357</v>
      </c>
      <c r="R1923" t="s">
        <v>46</v>
      </c>
      <c r="S1923">
        <v>1</v>
      </c>
      <c r="T1923" t="s">
        <v>24</v>
      </c>
      <c r="U1923" t="s">
        <v>2412</v>
      </c>
      <c r="V1923">
        <v>2024</v>
      </c>
      <c r="W1923">
        <v>12</v>
      </c>
    </row>
    <row r="1924" spans="1:23" x14ac:dyDescent="0.25">
      <c r="A1924" t="s">
        <v>823</v>
      </c>
      <c r="B1924">
        <v>45644.162418981483</v>
      </c>
      <c r="C1924" t="s">
        <v>323</v>
      </c>
      <c r="D1924" t="s">
        <v>103</v>
      </c>
      <c r="E1924" t="s">
        <v>138</v>
      </c>
      <c r="F1924" t="s">
        <v>2396</v>
      </c>
      <c r="G1924" t="s">
        <v>2378</v>
      </c>
      <c r="H1924">
        <v>17000</v>
      </c>
      <c r="I1924">
        <v>4</v>
      </c>
      <c r="J1924">
        <v>5</v>
      </c>
      <c r="K1924">
        <v>68000</v>
      </c>
      <c r="L1924">
        <v>3400</v>
      </c>
      <c r="M1924">
        <v>64600</v>
      </c>
      <c r="N1924">
        <v>0</v>
      </c>
      <c r="O1924">
        <v>64600</v>
      </c>
      <c r="P1924" t="s">
        <v>35</v>
      </c>
      <c r="Q1924" t="s">
        <v>2357</v>
      </c>
      <c r="R1924" t="s">
        <v>46</v>
      </c>
      <c r="S1924">
        <v>1</v>
      </c>
      <c r="T1924" t="s">
        <v>24</v>
      </c>
      <c r="U1924" t="s">
        <v>2412</v>
      </c>
      <c r="V1924">
        <v>2024</v>
      </c>
      <c r="W1924">
        <v>12</v>
      </c>
    </row>
    <row r="1925" spans="1:23" x14ac:dyDescent="0.25">
      <c r="A1925" t="s">
        <v>824</v>
      </c>
      <c r="B1925">
        <v>45645.030231481483</v>
      </c>
      <c r="C1925" t="s">
        <v>547</v>
      </c>
      <c r="D1925" t="s">
        <v>119</v>
      </c>
      <c r="E1925" t="s">
        <v>123</v>
      </c>
      <c r="F1925" t="s">
        <v>2399</v>
      </c>
      <c r="G1925" t="s">
        <v>2377</v>
      </c>
      <c r="H1925">
        <v>22000</v>
      </c>
      <c r="I1925">
        <v>1</v>
      </c>
      <c r="J1925">
        <v>20</v>
      </c>
      <c r="K1925">
        <v>22000</v>
      </c>
      <c r="L1925">
        <v>4400</v>
      </c>
      <c r="M1925">
        <v>17600</v>
      </c>
      <c r="N1925">
        <v>0</v>
      </c>
      <c r="O1925">
        <v>17600</v>
      </c>
      <c r="P1925" t="s">
        <v>35</v>
      </c>
      <c r="Q1925" t="s">
        <v>2357</v>
      </c>
      <c r="R1925" t="s">
        <v>46</v>
      </c>
      <c r="S1925">
        <v>1</v>
      </c>
      <c r="T1925" t="s">
        <v>37</v>
      </c>
      <c r="U1925" t="s">
        <v>2412</v>
      </c>
      <c r="V1925">
        <v>2024</v>
      </c>
      <c r="W1925">
        <v>12</v>
      </c>
    </row>
    <row r="1926" spans="1:23" x14ac:dyDescent="0.25">
      <c r="A1926" t="s">
        <v>825</v>
      </c>
      <c r="B1926">
        <v>45645.036539351851</v>
      </c>
      <c r="C1926" t="s">
        <v>381</v>
      </c>
      <c r="D1926" t="s">
        <v>103</v>
      </c>
      <c r="E1926" t="s">
        <v>144</v>
      </c>
      <c r="F1926" t="s">
        <v>2396</v>
      </c>
      <c r="G1926" t="s">
        <v>2379</v>
      </c>
      <c r="H1926">
        <v>18000</v>
      </c>
      <c r="I1926">
        <v>5</v>
      </c>
      <c r="J1926">
        <v>5</v>
      </c>
      <c r="K1926">
        <v>90000</v>
      </c>
      <c r="L1926">
        <v>4500</v>
      </c>
      <c r="M1926">
        <v>85500</v>
      </c>
      <c r="N1926">
        <v>85000</v>
      </c>
      <c r="O1926">
        <v>170500</v>
      </c>
      <c r="P1926" t="s">
        <v>63</v>
      </c>
      <c r="Q1926" t="s">
        <v>2356</v>
      </c>
      <c r="R1926" t="s">
        <v>36</v>
      </c>
      <c r="S1926">
        <v>5</v>
      </c>
      <c r="T1926" t="s">
        <v>24</v>
      </c>
      <c r="U1926" t="s">
        <v>2412</v>
      </c>
      <c r="V1926">
        <v>2024</v>
      </c>
      <c r="W1926">
        <v>12</v>
      </c>
    </row>
    <row r="1927" spans="1:23" x14ac:dyDescent="0.25">
      <c r="A1927" t="s">
        <v>826</v>
      </c>
      <c r="B1927">
        <v>45645.045162037037</v>
      </c>
      <c r="C1927" t="s">
        <v>827</v>
      </c>
      <c r="D1927" t="s">
        <v>20</v>
      </c>
      <c r="E1927" t="s">
        <v>186</v>
      </c>
      <c r="F1927" t="s">
        <v>2398</v>
      </c>
      <c r="G1927" t="s">
        <v>2377</v>
      </c>
      <c r="H1927">
        <v>45000</v>
      </c>
      <c r="I1927">
        <v>1</v>
      </c>
      <c r="J1927">
        <v>20</v>
      </c>
      <c r="K1927">
        <v>45000</v>
      </c>
      <c r="L1927">
        <v>9000</v>
      </c>
      <c r="M1927">
        <v>36000</v>
      </c>
      <c r="N1927">
        <v>15000</v>
      </c>
      <c r="O1927">
        <v>51000</v>
      </c>
      <c r="P1927" t="s">
        <v>63</v>
      </c>
      <c r="Q1927" t="s">
        <v>2357</v>
      </c>
      <c r="R1927" t="s">
        <v>82</v>
      </c>
      <c r="S1927">
        <v>1</v>
      </c>
      <c r="T1927" t="s">
        <v>24</v>
      </c>
      <c r="U1927" t="s">
        <v>2412</v>
      </c>
      <c r="V1927">
        <v>2024</v>
      </c>
      <c r="W1927">
        <v>12</v>
      </c>
    </row>
    <row r="1928" spans="1:23" x14ac:dyDescent="0.25">
      <c r="A1928" t="s">
        <v>828</v>
      </c>
      <c r="B1928">
        <v>45645.126064814824</v>
      </c>
      <c r="C1928" t="s">
        <v>79</v>
      </c>
      <c r="D1928" t="s">
        <v>80</v>
      </c>
      <c r="E1928" t="s">
        <v>38</v>
      </c>
      <c r="F1928" t="s">
        <v>2399</v>
      </c>
      <c r="G1928" t="s">
        <v>2379</v>
      </c>
      <c r="H1928">
        <v>28000</v>
      </c>
      <c r="I1928">
        <v>3</v>
      </c>
      <c r="J1928">
        <v>15</v>
      </c>
      <c r="K1928">
        <v>84000</v>
      </c>
      <c r="L1928">
        <v>12600</v>
      </c>
      <c r="M1928">
        <v>71400</v>
      </c>
      <c r="N1928">
        <v>74000</v>
      </c>
      <c r="O1928">
        <v>145400</v>
      </c>
      <c r="P1928" t="s">
        <v>22</v>
      </c>
      <c r="Q1928" t="s">
        <v>2356</v>
      </c>
      <c r="R1928" t="s">
        <v>82</v>
      </c>
      <c r="S1928">
        <v>5</v>
      </c>
      <c r="T1928" t="s">
        <v>24</v>
      </c>
      <c r="U1928" t="s">
        <v>2412</v>
      </c>
      <c r="V1928">
        <v>2024</v>
      </c>
      <c r="W1928">
        <v>12</v>
      </c>
    </row>
    <row r="1929" spans="1:23" x14ac:dyDescent="0.25">
      <c r="A1929" t="s">
        <v>828</v>
      </c>
      <c r="B1929">
        <v>45645.126064814824</v>
      </c>
      <c r="C1929" t="s">
        <v>79</v>
      </c>
      <c r="D1929" t="s">
        <v>80</v>
      </c>
      <c r="E1929" t="s">
        <v>67</v>
      </c>
      <c r="F1929" t="s">
        <v>2393</v>
      </c>
      <c r="G1929" t="s">
        <v>2378</v>
      </c>
      <c r="H1929">
        <v>15000</v>
      </c>
      <c r="I1929">
        <v>4</v>
      </c>
      <c r="J1929">
        <v>15</v>
      </c>
      <c r="K1929">
        <v>60000</v>
      </c>
      <c r="L1929">
        <v>9000</v>
      </c>
      <c r="M1929">
        <v>51000</v>
      </c>
      <c r="N1929">
        <v>0</v>
      </c>
      <c r="O1929">
        <v>51000</v>
      </c>
      <c r="P1929" t="s">
        <v>22</v>
      </c>
      <c r="Q1929" t="s">
        <v>2356</v>
      </c>
      <c r="R1929" t="s">
        <v>82</v>
      </c>
      <c r="S1929">
        <v>5</v>
      </c>
      <c r="T1929" t="s">
        <v>24</v>
      </c>
      <c r="U1929" t="s">
        <v>2412</v>
      </c>
      <c r="V1929">
        <v>2024</v>
      </c>
      <c r="W1929">
        <v>12</v>
      </c>
    </row>
    <row r="1930" spans="1:23" x14ac:dyDescent="0.25">
      <c r="A1930" t="s">
        <v>829</v>
      </c>
      <c r="B1930">
        <v>45645.420300925929</v>
      </c>
      <c r="C1930" t="s">
        <v>794</v>
      </c>
      <c r="D1930" t="s">
        <v>61</v>
      </c>
      <c r="E1930" t="s">
        <v>138</v>
      </c>
      <c r="F1930" t="s">
        <v>2396</v>
      </c>
      <c r="G1930" t="s">
        <v>2378</v>
      </c>
      <c r="H1930">
        <v>17000</v>
      </c>
      <c r="I1930">
        <v>1</v>
      </c>
      <c r="J1930">
        <v>20</v>
      </c>
      <c r="K1930">
        <v>17000</v>
      </c>
      <c r="L1930">
        <v>3400</v>
      </c>
      <c r="M1930">
        <v>13600</v>
      </c>
      <c r="N1930">
        <v>26000</v>
      </c>
      <c r="O1930">
        <v>39600</v>
      </c>
      <c r="P1930" t="s">
        <v>22</v>
      </c>
      <c r="Q1930" t="s">
        <v>2356</v>
      </c>
      <c r="R1930" t="s">
        <v>23</v>
      </c>
      <c r="S1930">
        <v>4</v>
      </c>
      <c r="T1930" t="s">
        <v>37</v>
      </c>
      <c r="U1930" t="s">
        <v>2412</v>
      </c>
      <c r="V1930">
        <v>2024</v>
      </c>
      <c r="W1930">
        <v>12</v>
      </c>
    </row>
    <row r="1931" spans="1:23" x14ac:dyDescent="0.25">
      <c r="A1931" t="s">
        <v>830</v>
      </c>
      <c r="B1931">
        <v>45645.752430555563</v>
      </c>
      <c r="C1931" t="s">
        <v>741</v>
      </c>
      <c r="D1931" t="s">
        <v>189</v>
      </c>
      <c r="E1931" t="s">
        <v>81</v>
      </c>
      <c r="F1931" t="s">
        <v>2397</v>
      </c>
      <c r="G1931" t="s">
        <v>2378</v>
      </c>
      <c r="H1931">
        <v>17000</v>
      </c>
      <c r="I1931">
        <v>3</v>
      </c>
      <c r="J1931">
        <v>5</v>
      </c>
      <c r="K1931">
        <v>51000</v>
      </c>
      <c r="L1931">
        <v>2550</v>
      </c>
      <c r="M1931">
        <v>48450</v>
      </c>
      <c r="N1931">
        <v>57000</v>
      </c>
      <c r="O1931">
        <v>105450</v>
      </c>
      <c r="P1931" t="s">
        <v>63</v>
      </c>
      <c r="Q1931" t="s">
        <v>2357</v>
      </c>
      <c r="R1931" t="s">
        <v>46</v>
      </c>
      <c r="S1931">
        <v>1</v>
      </c>
      <c r="T1931" t="s">
        <v>24</v>
      </c>
      <c r="U1931" t="s">
        <v>2412</v>
      </c>
      <c r="V1931">
        <v>2024</v>
      </c>
      <c r="W1931">
        <v>12</v>
      </c>
    </row>
    <row r="1932" spans="1:23" x14ac:dyDescent="0.25">
      <c r="A1932" t="s">
        <v>831</v>
      </c>
      <c r="B1932">
        <v>45645.80196759259</v>
      </c>
      <c r="C1932" t="s">
        <v>832</v>
      </c>
      <c r="D1932" t="s">
        <v>131</v>
      </c>
      <c r="E1932" t="s">
        <v>81</v>
      </c>
      <c r="F1932" t="s">
        <v>2397</v>
      </c>
      <c r="G1932" t="s">
        <v>2378</v>
      </c>
      <c r="H1932">
        <v>17000</v>
      </c>
      <c r="I1932">
        <v>3</v>
      </c>
      <c r="J1932">
        <v>5</v>
      </c>
      <c r="K1932">
        <v>51000</v>
      </c>
      <c r="L1932">
        <v>2550</v>
      </c>
      <c r="M1932">
        <v>48450</v>
      </c>
      <c r="N1932">
        <v>59000</v>
      </c>
      <c r="O1932">
        <v>107450</v>
      </c>
      <c r="P1932" t="s">
        <v>63</v>
      </c>
      <c r="Q1932" t="s">
        <v>2357</v>
      </c>
      <c r="R1932" t="s">
        <v>23</v>
      </c>
      <c r="S1932">
        <v>4</v>
      </c>
      <c r="T1932" t="s">
        <v>24</v>
      </c>
      <c r="U1932" t="s">
        <v>2412</v>
      </c>
      <c r="V1932">
        <v>2024</v>
      </c>
      <c r="W1932">
        <v>12</v>
      </c>
    </row>
    <row r="1933" spans="1:23" x14ac:dyDescent="0.25">
      <c r="A1933" t="s">
        <v>833</v>
      </c>
      <c r="B1933">
        <v>45645.90215277778</v>
      </c>
      <c r="C1933" t="s">
        <v>834</v>
      </c>
      <c r="D1933" t="s">
        <v>177</v>
      </c>
      <c r="E1933" t="s">
        <v>186</v>
      </c>
      <c r="F1933" t="s">
        <v>2398</v>
      </c>
      <c r="G1933" t="s">
        <v>2377</v>
      </c>
      <c r="H1933">
        <v>45000</v>
      </c>
      <c r="I1933">
        <v>1</v>
      </c>
      <c r="J1933">
        <v>10</v>
      </c>
      <c r="K1933">
        <v>45000</v>
      </c>
      <c r="L1933">
        <v>4500</v>
      </c>
      <c r="M1933">
        <v>40500</v>
      </c>
      <c r="N1933">
        <v>56000</v>
      </c>
      <c r="O1933">
        <v>96500</v>
      </c>
      <c r="P1933" t="s">
        <v>35</v>
      </c>
      <c r="Q1933" t="s">
        <v>2357</v>
      </c>
      <c r="R1933" t="s">
        <v>30</v>
      </c>
      <c r="S1933">
        <v>5</v>
      </c>
      <c r="T1933" t="s">
        <v>37</v>
      </c>
      <c r="U1933" t="s">
        <v>2412</v>
      </c>
      <c r="V1933">
        <v>2024</v>
      </c>
      <c r="W1933">
        <v>12</v>
      </c>
    </row>
    <row r="1934" spans="1:23" x14ac:dyDescent="0.25">
      <c r="A1934" t="s">
        <v>835</v>
      </c>
      <c r="B1934">
        <v>45646.222916666673</v>
      </c>
      <c r="C1934" t="s">
        <v>836</v>
      </c>
      <c r="D1934" t="s">
        <v>33</v>
      </c>
      <c r="E1934" t="s">
        <v>71</v>
      </c>
      <c r="F1934" t="s">
        <v>2392</v>
      </c>
      <c r="G1934" t="s">
        <v>2379</v>
      </c>
      <c r="H1934">
        <v>40000</v>
      </c>
      <c r="I1934">
        <v>2</v>
      </c>
      <c r="J1934">
        <v>5</v>
      </c>
      <c r="K1934">
        <v>80000</v>
      </c>
      <c r="L1934">
        <v>4000</v>
      </c>
      <c r="M1934">
        <v>76000</v>
      </c>
      <c r="N1934">
        <v>76000</v>
      </c>
      <c r="O1934">
        <v>152000</v>
      </c>
      <c r="P1934" t="s">
        <v>22</v>
      </c>
      <c r="Q1934" t="s">
        <v>2356</v>
      </c>
      <c r="R1934" t="s">
        <v>36</v>
      </c>
      <c r="S1934">
        <v>2</v>
      </c>
      <c r="T1934" t="s">
        <v>37</v>
      </c>
      <c r="U1934" t="s">
        <v>2412</v>
      </c>
      <c r="V1934">
        <v>2024</v>
      </c>
      <c r="W1934">
        <v>12</v>
      </c>
    </row>
    <row r="1935" spans="1:23" x14ac:dyDescent="0.25">
      <c r="A1935" t="s">
        <v>837</v>
      </c>
      <c r="B1935">
        <v>45646.841527777768</v>
      </c>
      <c r="C1935" t="s">
        <v>697</v>
      </c>
      <c r="D1935" t="s">
        <v>143</v>
      </c>
      <c r="E1935" t="s">
        <v>250</v>
      </c>
      <c r="F1935" t="s">
        <v>2397</v>
      </c>
      <c r="G1935" t="s">
        <v>2379</v>
      </c>
      <c r="H1935">
        <v>18000</v>
      </c>
      <c r="I1935">
        <v>4</v>
      </c>
      <c r="J1935">
        <v>20</v>
      </c>
      <c r="K1935">
        <v>72000</v>
      </c>
      <c r="L1935">
        <v>14400</v>
      </c>
      <c r="M1935">
        <v>57600</v>
      </c>
      <c r="N1935">
        <v>50000</v>
      </c>
      <c r="O1935">
        <v>107600</v>
      </c>
      <c r="P1935" t="s">
        <v>22</v>
      </c>
      <c r="Q1935" t="s">
        <v>2357</v>
      </c>
      <c r="R1935" t="s">
        <v>23</v>
      </c>
      <c r="S1935">
        <v>2</v>
      </c>
      <c r="T1935" t="s">
        <v>37</v>
      </c>
      <c r="U1935" t="s">
        <v>2412</v>
      </c>
      <c r="V1935">
        <v>2024</v>
      </c>
      <c r="W1935">
        <v>12</v>
      </c>
    </row>
    <row r="1936" spans="1:23" x14ac:dyDescent="0.25">
      <c r="A1936" t="s">
        <v>838</v>
      </c>
      <c r="B1936">
        <v>45647.412569444437</v>
      </c>
      <c r="C1936" t="s">
        <v>287</v>
      </c>
      <c r="D1936" t="s">
        <v>262</v>
      </c>
      <c r="E1936" t="s">
        <v>38</v>
      </c>
      <c r="F1936" t="s">
        <v>2399</v>
      </c>
      <c r="G1936" t="s">
        <v>2379</v>
      </c>
      <c r="H1936">
        <v>28000</v>
      </c>
      <c r="I1936">
        <v>3</v>
      </c>
      <c r="J1936">
        <v>0</v>
      </c>
      <c r="K1936">
        <v>84000</v>
      </c>
      <c r="L1936">
        <v>0</v>
      </c>
      <c r="M1936">
        <v>84000</v>
      </c>
      <c r="N1936">
        <v>18000</v>
      </c>
      <c r="O1936">
        <v>102000</v>
      </c>
      <c r="P1936" t="s">
        <v>63</v>
      </c>
      <c r="Q1936" t="s">
        <v>2356</v>
      </c>
      <c r="R1936" t="s">
        <v>46</v>
      </c>
      <c r="S1936">
        <v>3</v>
      </c>
      <c r="T1936" t="s">
        <v>24</v>
      </c>
      <c r="U1936" t="s">
        <v>2412</v>
      </c>
      <c r="V1936">
        <v>2024</v>
      </c>
      <c r="W1936">
        <v>12</v>
      </c>
    </row>
    <row r="1937" spans="1:23" x14ac:dyDescent="0.25">
      <c r="A1937" t="s">
        <v>839</v>
      </c>
      <c r="B1937">
        <v>45647.72111111111</v>
      </c>
      <c r="C1937" t="s">
        <v>576</v>
      </c>
      <c r="D1937" t="s">
        <v>57</v>
      </c>
      <c r="E1937" t="s">
        <v>123</v>
      </c>
      <c r="F1937" t="s">
        <v>2399</v>
      </c>
      <c r="G1937" t="s">
        <v>2377</v>
      </c>
      <c r="H1937">
        <v>22000</v>
      </c>
      <c r="I1937">
        <v>1</v>
      </c>
      <c r="J1937">
        <v>10</v>
      </c>
      <c r="K1937">
        <v>22000</v>
      </c>
      <c r="L1937">
        <v>2200</v>
      </c>
      <c r="M1937">
        <v>19800</v>
      </c>
      <c r="N1937">
        <v>80000</v>
      </c>
      <c r="O1937">
        <v>99800</v>
      </c>
      <c r="P1937" t="s">
        <v>35</v>
      </c>
      <c r="Q1937" t="s">
        <v>2357</v>
      </c>
      <c r="R1937" t="s">
        <v>36</v>
      </c>
      <c r="S1937">
        <v>5</v>
      </c>
      <c r="T1937" t="s">
        <v>37</v>
      </c>
      <c r="U1937" t="s">
        <v>2412</v>
      </c>
      <c r="V1937">
        <v>2024</v>
      </c>
      <c r="W1937">
        <v>12</v>
      </c>
    </row>
    <row r="1938" spans="1:23" x14ac:dyDescent="0.25">
      <c r="A1938" t="s">
        <v>840</v>
      </c>
      <c r="B1938">
        <v>45647.795694444438</v>
      </c>
      <c r="C1938" t="s">
        <v>553</v>
      </c>
      <c r="D1938" t="s">
        <v>107</v>
      </c>
      <c r="E1938" t="s">
        <v>186</v>
      </c>
      <c r="F1938" t="s">
        <v>2398</v>
      </c>
      <c r="G1938" t="s">
        <v>2377</v>
      </c>
      <c r="H1938">
        <v>45000</v>
      </c>
      <c r="I1938">
        <v>3</v>
      </c>
      <c r="J1938">
        <v>0</v>
      </c>
      <c r="K1938">
        <v>135000</v>
      </c>
      <c r="L1938">
        <v>0</v>
      </c>
      <c r="M1938">
        <v>135000</v>
      </c>
      <c r="N1938">
        <v>97000</v>
      </c>
      <c r="O1938">
        <v>232000</v>
      </c>
      <c r="P1938" t="s">
        <v>22</v>
      </c>
      <c r="Q1938" t="s">
        <v>2359</v>
      </c>
      <c r="R1938" t="s">
        <v>46</v>
      </c>
      <c r="S1938">
        <v>3</v>
      </c>
      <c r="T1938" t="s">
        <v>24</v>
      </c>
      <c r="U1938" t="s">
        <v>2412</v>
      </c>
      <c r="V1938">
        <v>2024</v>
      </c>
      <c r="W1938">
        <v>12</v>
      </c>
    </row>
    <row r="1939" spans="1:23" x14ac:dyDescent="0.25">
      <c r="A1939" t="s">
        <v>841</v>
      </c>
      <c r="B1939">
        <v>45648.021932870368</v>
      </c>
      <c r="C1939" t="s">
        <v>142</v>
      </c>
      <c r="D1939" t="s">
        <v>143</v>
      </c>
      <c r="E1939" t="s">
        <v>186</v>
      </c>
      <c r="F1939" t="s">
        <v>2398</v>
      </c>
      <c r="G1939" t="s">
        <v>2377</v>
      </c>
      <c r="H1939">
        <v>45000</v>
      </c>
      <c r="I1939">
        <v>2</v>
      </c>
      <c r="J1939">
        <v>10</v>
      </c>
      <c r="K1939">
        <v>90000</v>
      </c>
      <c r="L1939">
        <v>9000</v>
      </c>
      <c r="M1939">
        <v>81000</v>
      </c>
      <c r="N1939">
        <v>50000</v>
      </c>
      <c r="O1939">
        <v>131000</v>
      </c>
      <c r="P1939" t="s">
        <v>35</v>
      </c>
      <c r="Q1939" t="s">
        <v>2356</v>
      </c>
      <c r="R1939" t="s">
        <v>82</v>
      </c>
      <c r="S1939">
        <v>5</v>
      </c>
      <c r="T1939" t="s">
        <v>24</v>
      </c>
      <c r="U1939" t="s">
        <v>2412</v>
      </c>
      <c r="V1939">
        <v>2024</v>
      </c>
      <c r="W1939">
        <v>12</v>
      </c>
    </row>
    <row r="1940" spans="1:23" x14ac:dyDescent="0.25">
      <c r="A1940" t="s">
        <v>842</v>
      </c>
      <c r="B1940">
        <v>45648.123842592591</v>
      </c>
      <c r="C1940" t="s">
        <v>148</v>
      </c>
      <c r="D1940" t="s">
        <v>74</v>
      </c>
      <c r="E1940" t="s">
        <v>50</v>
      </c>
      <c r="F1940" t="s">
        <v>2400</v>
      </c>
      <c r="G1940" t="s">
        <v>2379</v>
      </c>
      <c r="H1940">
        <v>14000</v>
      </c>
      <c r="I1940">
        <v>5</v>
      </c>
      <c r="J1940">
        <v>20</v>
      </c>
      <c r="K1940">
        <v>70000</v>
      </c>
      <c r="L1940">
        <v>14000</v>
      </c>
      <c r="M1940">
        <v>56000</v>
      </c>
      <c r="N1940">
        <v>87000</v>
      </c>
      <c r="O1940">
        <v>143000</v>
      </c>
      <c r="P1940" t="s">
        <v>29</v>
      </c>
      <c r="Q1940" t="s">
        <v>2357</v>
      </c>
      <c r="R1940" t="s">
        <v>30</v>
      </c>
      <c r="S1940">
        <v>3</v>
      </c>
      <c r="T1940" t="s">
        <v>24</v>
      </c>
      <c r="U1940" t="s">
        <v>2412</v>
      </c>
      <c r="V1940">
        <v>2024</v>
      </c>
      <c r="W1940">
        <v>12</v>
      </c>
    </row>
    <row r="1941" spans="1:23" x14ac:dyDescent="0.25">
      <c r="A1941" t="s">
        <v>843</v>
      </c>
      <c r="B1941">
        <v>45648.368576388893</v>
      </c>
      <c r="C1941" t="s">
        <v>844</v>
      </c>
      <c r="D1941" t="s">
        <v>119</v>
      </c>
      <c r="E1941" t="s">
        <v>81</v>
      </c>
      <c r="F1941" t="s">
        <v>2397</v>
      </c>
      <c r="G1941" t="s">
        <v>2378</v>
      </c>
      <c r="H1941">
        <v>17000</v>
      </c>
      <c r="I1941">
        <v>3</v>
      </c>
      <c r="J1941">
        <v>0</v>
      </c>
      <c r="K1941">
        <v>51000</v>
      </c>
      <c r="L1941">
        <v>0</v>
      </c>
      <c r="M1941">
        <v>51000</v>
      </c>
      <c r="N1941">
        <v>0</v>
      </c>
      <c r="O1941">
        <v>51000</v>
      </c>
      <c r="P1941" t="s">
        <v>63</v>
      </c>
      <c r="Q1941" t="s">
        <v>2357</v>
      </c>
      <c r="R1941" t="s">
        <v>36</v>
      </c>
      <c r="S1941">
        <v>1</v>
      </c>
      <c r="T1941" t="s">
        <v>24</v>
      </c>
      <c r="U1941" t="s">
        <v>2412</v>
      </c>
      <c r="V1941">
        <v>2024</v>
      </c>
      <c r="W1941">
        <v>12</v>
      </c>
    </row>
    <row r="1942" spans="1:23" x14ac:dyDescent="0.25">
      <c r="A1942" t="s">
        <v>845</v>
      </c>
      <c r="B1942">
        <v>45648.407673611109</v>
      </c>
      <c r="C1942" t="s">
        <v>846</v>
      </c>
      <c r="D1942" t="s">
        <v>107</v>
      </c>
      <c r="E1942" t="s">
        <v>110</v>
      </c>
      <c r="F1942" t="s">
        <v>2395</v>
      </c>
      <c r="G1942" t="s">
        <v>2379</v>
      </c>
      <c r="H1942">
        <v>6000</v>
      </c>
      <c r="I1942">
        <v>2</v>
      </c>
      <c r="J1942">
        <v>10</v>
      </c>
      <c r="K1942">
        <v>12000</v>
      </c>
      <c r="L1942">
        <v>1200</v>
      </c>
      <c r="M1942">
        <v>10800</v>
      </c>
      <c r="N1942">
        <v>97000</v>
      </c>
      <c r="O1942">
        <v>107800</v>
      </c>
      <c r="P1942" t="s">
        <v>35</v>
      </c>
      <c r="Q1942" t="s">
        <v>2357</v>
      </c>
      <c r="R1942" t="s">
        <v>30</v>
      </c>
      <c r="S1942">
        <v>2</v>
      </c>
      <c r="T1942" t="s">
        <v>24</v>
      </c>
      <c r="U1942" t="s">
        <v>2412</v>
      </c>
      <c r="V1942">
        <v>2024</v>
      </c>
      <c r="W1942">
        <v>12</v>
      </c>
    </row>
    <row r="1943" spans="1:23" x14ac:dyDescent="0.25">
      <c r="A1943" t="s">
        <v>847</v>
      </c>
      <c r="B1943">
        <v>45648.446574074071</v>
      </c>
      <c r="C1943" t="s">
        <v>381</v>
      </c>
      <c r="D1943" t="s">
        <v>103</v>
      </c>
      <c r="E1943" t="s">
        <v>123</v>
      </c>
      <c r="F1943" t="s">
        <v>2399</v>
      </c>
      <c r="G1943" t="s">
        <v>2377</v>
      </c>
      <c r="H1943">
        <v>22000</v>
      </c>
      <c r="I1943">
        <v>3</v>
      </c>
      <c r="J1943">
        <v>10</v>
      </c>
      <c r="K1943">
        <v>66000</v>
      </c>
      <c r="L1943">
        <v>6600</v>
      </c>
      <c r="M1943">
        <v>59400</v>
      </c>
      <c r="N1943">
        <v>85000</v>
      </c>
      <c r="O1943">
        <v>144400</v>
      </c>
      <c r="P1943" t="s">
        <v>63</v>
      </c>
      <c r="Q1943" t="s">
        <v>2357</v>
      </c>
      <c r="R1943" t="s">
        <v>23</v>
      </c>
      <c r="S1943">
        <v>2</v>
      </c>
      <c r="T1943" t="s">
        <v>24</v>
      </c>
      <c r="U1943" t="s">
        <v>2412</v>
      </c>
      <c r="V1943">
        <v>2024</v>
      </c>
      <c r="W1943">
        <v>12</v>
      </c>
    </row>
    <row r="1944" spans="1:23" x14ac:dyDescent="0.25">
      <c r="A1944" t="s">
        <v>848</v>
      </c>
      <c r="B1944">
        <v>45648.832685185182</v>
      </c>
      <c r="C1944" t="s">
        <v>510</v>
      </c>
      <c r="D1944" t="s">
        <v>96</v>
      </c>
      <c r="E1944" t="s">
        <v>123</v>
      </c>
      <c r="F1944" t="s">
        <v>2399</v>
      </c>
      <c r="G1944" t="s">
        <v>2377</v>
      </c>
      <c r="H1944">
        <v>22000</v>
      </c>
      <c r="I1944">
        <v>1</v>
      </c>
      <c r="J1944">
        <v>15</v>
      </c>
      <c r="K1944">
        <v>22000</v>
      </c>
      <c r="L1944">
        <v>3300</v>
      </c>
      <c r="M1944">
        <v>18700</v>
      </c>
      <c r="N1944">
        <v>49000</v>
      </c>
      <c r="O1944">
        <v>67700</v>
      </c>
      <c r="P1944" t="s">
        <v>22</v>
      </c>
      <c r="Q1944" t="s">
        <v>2356</v>
      </c>
      <c r="R1944" t="s">
        <v>30</v>
      </c>
      <c r="S1944">
        <v>4</v>
      </c>
      <c r="T1944" t="s">
        <v>24</v>
      </c>
      <c r="U1944" t="s">
        <v>2412</v>
      </c>
      <c r="V1944">
        <v>2024</v>
      </c>
      <c r="W1944">
        <v>12</v>
      </c>
    </row>
    <row r="1945" spans="1:23" x14ac:dyDescent="0.25">
      <c r="A1945" t="s">
        <v>849</v>
      </c>
      <c r="B1945">
        <v>45648.892569444448</v>
      </c>
      <c r="C1945" t="s">
        <v>214</v>
      </c>
      <c r="D1945" t="s">
        <v>131</v>
      </c>
      <c r="E1945" t="s">
        <v>88</v>
      </c>
      <c r="F1945" t="s">
        <v>2393</v>
      </c>
      <c r="G1945" t="s">
        <v>2377</v>
      </c>
      <c r="H1945">
        <v>14000</v>
      </c>
      <c r="I1945">
        <v>5</v>
      </c>
      <c r="J1945">
        <v>5</v>
      </c>
      <c r="K1945">
        <v>70000</v>
      </c>
      <c r="L1945">
        <v>3500</v>
      </c>
      <c r="M1945">
        <v>66500</v>
      </c>
      <c r="N1945">
        <v>59000</v>
      </c>
      <c r="O1945">
        <v>125500</v>
      </c>
      <c r="P1945" t="s">
        <v>63</v>
      </c>
      <c r="Q1945" t="s">
        <v>2357</v>
      </c>
      <c r="R1945" t="s">
        <v>36</v>
      </c>
      <c r="S1945">
        <v>1</v>
      </c>
      <c r="T1945" t="s">
        <v>24</v>
      </c>
      <c r="U1945" t="s">
        <v>2412</v>
      </c>
      <c r="V1945">
        <v>2024</v>
      </c>
      <c r="W1945">
        <v>12</v>
      </c>
    </row>
    <row r="1946" spans="1:23" x14ac:dyDescent="0.25">
      <c r="A1946" t="s">
        <v>850</v>
      </c>
      <c r="B1946">
        <v>45649.169560185182</v>
      </c>
      <c r="C1946" t="s">
        <v>851</v>
      </c>
      <c r="D1946" t="s">
        <v>66</v>
      </c>
      <c r="E1946" t="s">
        <v>85</v>
      </c>
      <c r="F1946" t="s">
        <v>2394</v>
      </c>
      <c r="G1946" t="s">
        <v>2377</v>
      </c>
      <c r="H1946">
        <v>35000</v>
      </c>
      <c r="I1946">
        <v>1</v>
      </c>
      <c r="J1946">
        <v>20</v>
      </c>
      <c r="K1946">
        <v>35000</v>
      </c>
      <c r="L1946">
        <v>7000</v>
      </c>
      <c r="M1946">
        <v>28000</v>
      </c>
      <c r="N1946">
        <v>59000</v>
      </c>
      <c r="O1946">
        <v>87000</v>
      </c>
      <c r="P1946" t="s">
        <v>63</v>
      </c>
      <c r="Q1946" t="s">
        <v>2357</v>
      </c>
      <c r="R1946" t="s">
        <v>36</v>
      </c>
      <c r="S1946">
        <v>5</v>
      </c>
      <c r="T1946" t="s">
        <v>37</v>
      </c>
      <c r="U1946" t="s">
        <v>2412</v>
      </c>
      <c r="V1946">
        <v>2024</v>
      </c>
      <c r="W1946">
        <v>12</v>
      </c>
    </row>
    <row r="1947" spans="1:23" x14ac:dyDescent="0.25">
      <c r="A1947" t="s">
        <v>852</v>
      </c>
      <c r="B1947">
        <v>45649.226145833331</v>
      </c>
      <c r="C1947" t="s">
        <v>853</v>
      </c>
      <c r="D1947" t="s">
        <v>151</v>
      </c>
      <c r="E1947" t="s">
        <v>50</v>
      </c>
      <c r="F1947" t="s">
        <v>2400</v>
      </c>
      <c r="G1947" t="s">
        <v>2379</v>
      </c>
      <c r="H1947">
        <v>14000</v>
      </c>
      <c r="I1947">
        <v>3</v>
      </c>
      <c r="J1947">
        <v>20</v>
      </c>
      <c r="K1947">
        <v>42000</v>
      </c>
      <c r="L1947">
        <v>8400</v>
      </c>
      <c r="M1947">
        <v>33600</v>
      </c>
      <c r="N1947">
        <v>55000</v>
      </c>
      <c r="O1947">
        <v>88600</v>
      </c>
      <c r="P1947" t="s">
        <v>22</v>
      </c>
      <c r="Q1947" t="s">
        <v>2357</v>
      </c>
      <c r="R1947" t="s">
        <v>36</v>
      </c>
      <c r="S1947">
        <v>5</v>
      </c>
      <c r="T1947" t="s">
        <v>24</v>
      </c>
      <c r="U1947" t="s">
        <v>2412</v>
      </c>
      <c r="V1947">
        <v>2024</v>
      </c>
      <c r="W1947">
        <v>12</v>
      </c>
    </row>
    <row r="1948" spans="1:23" x14ac:dyDescent="0.25">
      <c r="A1948" t="s">
        <v>854</v>
      </c>
      <c r="B1948">
        <v>45649.30395833333</v>
      </c>
      <c r="C1948" t="s">
        <v>146</v>
      </c>
      <c r="D1948" t="s">
        <v>92</v>
      </c>
      <c r="E1948" t="s">
        <v>67</v>
      </c>
      <c r="F1948" t="s">
        <v>2393</v>
      </c>
      <c r="G1948" t="s">
        <v>2378</v>
      </c>
      <c r="H1948">
        <v>15000</v>
      </c>
      <c r="I1948">
        <v>4</v>
      </c>
      <c r="J1948">
        <v>15</v>
      </c>
      <c r="K1948">
        <v>60000</v>
      </c>
      <c r="L1948">
        <v>9000</v>
      </c>
      <c r="M1948">
        <v>51000</v>
      </c>
      <c r="N1948">
        <v>30000</v>
      </c>
      <c r="O1948">
        <v>81000</v>
      </c>
      <c r="P1948" t="s">
        <v>29</v>
      </c>
      <c r="Q1948" t="s">
        <v>2357</v>
      </c>
      <c r="R1948" t="s">
        <v>30</v>
      </c>
      <c r="S1948">
        <v>3</v>
      </c>
      <c r="T1948" t="s">
        <v>37</v>
      </c>
      <c r="U1948" t="s">
        <v>2412</v>
      </c>
      <c r="V1948">
        <v>2024</v>
      </c>
      <c r="W1948">
        <v>12</v>
      </c>
    </row>
    <row r="1949" spans="1:23" x14ac:dyDescent="0.25">
      <c r="A1949" t="s">
        <v>855</v>
      </c>
      <c r="B1949">
        <v>45649.355266203696</v>
      </c>
      <c r="C1949" t="s">
        <v>856</v>
      </c>
      <c r="D1949" t="s">
        <v>244</v>
      </c>
      <c r="E1949" t="s">
        <v>58</v>
      </c>
      <c r="F1949" t="s">
        <v>2396</v>
      </c>
      <c r="G1949" t="s">
        <v>2377</v>
      </c>
      <c r="H1949">
        <v>16000</v>
      </c>
      <c r="I1949">
        <v>5</v>
      </c>
      <c r="J1949">
        <v>0</v>
      </c>
      <c r="K1949">
        <v>80000</v>
      </c>
      <c r="L1949">
        <v>0</v>
      </c>
      <c r="M1949">
        <v>80000</v>
      </c>
      <c r="N1949">
        <v>80000</v>
      </c>
      <c r="O1949">
        <v>160000</v>
      </c>
      <c r="P1949" t="s">
        <v>22</v>
      </c>
      <c r="Q1949" t="s">
        <v>2356</v>
      </c>
      <c r="R1949" t="s">
        <v>36</v>
      </c>
      <c r="S1949">
        <v>2</v>
      </c>
      <c r="T1949" t="s">
        <v>24</v>
      </c>
      <c r="U1949" t="s">
        <v>2412</v>
      </c>
      <c r="V1949">
        <v>2024</v>
      </c>
      <c r="W1949">
        <v>12</v>
      </c>
    </row>
    <row r="1950" spans="1:23" x14ac:dyDescent="0.25">
      <c r="A1950" t="s">
        <v>857</v>
      </c>
      <c r="B1950">
        <v>45649.702384259261</v>
      </c>
      <c r="C1950" t="s">
        <v>48</v>
      </c>
      <c r="D1950" t="s">
        <v>49</v>
      </c>
      <c r="E1950" t="s">
        <v>144</v>
      </c>
      <c r="F1950" t="s">
        <v>2396</v>
      </c>
      <c r="G1950" t="s">
        <v>2379</v>
      </c>
      <c r="H1950">
        <v>18000</v>
      </c>
      <c r="I1950">
        <v>2</v>
      </c>
      <c r="J1950">
        <v>10</v>
      </c>
      <c r="K1950">
        <v>36000</v>
      </c>
      <c r="L1950">
        <v>3600</v>
      </c>
      <c r="M1950">
        <v>32400</v>
      </c>
      <c r="N1950">
        <v>43000</v>
      </c>
      <c r="O1950">
        <v>75400</v>
      </c>
      <c r="P1950" t="s">
        <v>63</v>
      </c>
      <c r="Q1950" t="s">
        <v>2357</v>
      </c>
      <c r="R1950" t="s">
        <v>82</v>
      </c>
      <c r="S1950">
        <v>4</v>
      </c>
      <c r="T1950" t="s">
        <v>24</v>
      </c>
      <c r="U1950" t="s">
        <v>2412</v>
      </c>
      <c r="V1950">
        <v>2024</v>
      </c>
      <c r="W1950">
        <v>12</v>
      </c>
    </row>
    <row r="1951" spans="1:23" x14ac:dyDescent="0.25">
      <c r="A1951" t="s">
        <v>858</v>
      </c>
      <c r="B1951">
        <v>45650.087824074071</v>
      </c>
      <c r="C1951" t="s">
        <v>669</v>
      </c>
      <c r="D1951" t="s">
        <v>151</v>
      </c>
      <c r="E1951" t="s">
        <v>88</v>
      </c>
      <c r="F1951" t="s">
        <v>2393</v>
      </c>
      <c r="G1951" t="s">
        <v>2377</v>
      </c>
      <c r="H1951">
        <v>14000</v>
      </c>
      <c r="I1951">
        <v>4</v>
      </c>
      <c r="J1951">
        <v>15</v>
      </c>
      <c r="K1951">
        <v>56000</v>
      </c>
      <c r="L1951">
        <v>8400</v>
      </c>
      <c r="M1951">
        <v>47600</v>
      </c>
      <c r="N1951">
        <v>55000</v>
      </c>
      <c r="O1951">
        <v>102600</v>
      </c>
      <c r="P1951" t="s">
        <v>35</v>
      </c>
      <c r="Q1951" t="s">
        <v>2357</v>
      </c>
      <c r="R1951" t="s">
        <v>82</v>
      </c>
      <c r="S1951">
        <v>5</v>
      </c>
      <c r="T1951" t="s">
        <v>24</v>
      </c>
      <c r="U1951" t="s">
        <v>2412</v>
      </c>
      <c r="V1951">
        <v>2024</v>
      </c>
      <c r="W1951">
        <v>12</v>
      </c>
    </row>
    <row r="1952" spans="1:23" x14ac:dyDescent="0.25">
      <c r="A1952" t="s">
        <v>859</v>
      </c>
      <c r="B1952">
        <v>45650.222685185188</v>
      </c>
      <c r="C1952" t="s">
        <v>860</v>
      </c>
      <c r="D1952" t="s">
        <v>44</v>
      </c>
      <c r="E1952" t="s">
        <v>88</v>
      </c>
      <c r="F1952" t="s">
        <v>2393</v>
      </c>
      <c r="G1952" t="s">
        <v>2377</v>
      </c>
      <c r="H1952">
        <v>14000</v>
      </c>
      <c r="I1952">
        <v>2</v>
      </c>
      <c r="J1952">
        <v>10</v>
      </c>
      <c r="K1952">
        <v>28000</v>
      </c>
      <c r="L1952">
        <v>2800</v>
      </c>
      <c r="M1952">
        <v>25200</v>
      </c>
      <c r="N1952">
        <v>93000</v>
      </c>
      <c r="O1952">
        <v>118200</v>
      </c>
      <c r="P1952" t="s">
        <v>63</v>
      </c>
      <c r="Q1952" t="s">
        <v>2357</v>
      </c>
      <c r="R1952" t="s">
        <v>30</v>
      </c>
      <c r="S1952">
        <v>1</v>
      </c>
      <c r="T1952" t="s">
        <v>37</v>
      </c>
      <c r="U1952" t="s">
        <v>2412</v>
      </c>
      <c r="V1952">
        <v>2024</v>
      </c>
      <c r="W1952">
        <v>12</v>
      </c>
    </row>
    <row r="1953" spans="1:23" x14ac:dyDescent="0.25">
      <c r="A1953" t="s">
        <v>859</v>
      </c>
      <c r="B1953">
        <v>45650.222685185188</v>
      </c>
      <c r="C1953" t="s">
        <v>860</v>
      </c>
      <c r="D1953" t="s">
        <v>44</v>
      </c>
      <c r="E1953" t="s">
        <v>28</v>
      </c>
      <c r="F1953" t="s">
        <v>2395</v>
      </c>
      <c r="G1953" t="s">
        <v>2378</v>
      </c>
      <c r="H1953">
        <v>5000</v>
      </c>
      <c r="I1953">
        <v>2</v>
      </c>
      <c r="J1953">
        <v>0</v>
      </c>
      <c r="K1953">
        <v>10000</v>
      </c>
      <c r="L1953">
        <v>0</v>
      </c>
      <c r="M1953">
        <v>10000</v>
      </c>
      <c r="N1953">
        <v>0</v>
      </c>
      <c r="O1953">
        <v>10000</v>
      </c>
      <c r="P1953" t="s">
        <v>63</v>
      </c>
      <c r="Q1953" t="s">
        <v>2357</v>
      </c>
      <c r="R1953" t="s">
        <v>30</v>
      </c>
      <c r="S1953">
        <v>1</v>
      </c>
      <c r="T1953" t="s">
        <v>37</v>
      </c>
      <c r="U1953" t="s">
        <v>2412</v>
      </c>
      <c r="V1953">
        <v>2024</v>
      </c>
      <c r="W1953">
        <v>12</v>
      </c>
    </row>
    <row r="1954" spans="1:23" x14ac:dyDescent="0.25">
      <c r="A1954" t="s">
        <v>861</v>
      </c>
      <c r="B1954">
        <v>45650.247152777767</v>
      </c>
      <c r="C1954" t="s">
        <v>383</v>
      </c>
      <c r="D1954" t="s">
        <v>122</v>
      </c>
      <c r="E1954" t="s">
        <v>174</v>
      </c>
      <c r="F1954" t="s">
        <v>2400</v>
      </c>
      <c r="G1954" t="s">
        <v>2377</v>
      </c>
      <c r="H1954">
        <v>10000</v>
      </c>
      <c r="I1954">
        <v>4</v>
      </c>
      <c r="J1954">
        <v>20</v>
      </c>
      <c r="K1954">
        <v>40000</v>
      </c>
      <c r="L1954">
        <v>8000</v>
      </c>
      <c r="M1954">
        <v>32000</v>
      </c>
      <c r="N1954">
        <v>78000</v>
      </c>
      <c r="O1954">
        <v>110000</v>
      </c>
      <c r="P1954" t="s">
        <v>35</v>
      </c>
      <c r="Q1954" t="s">
        <v>2357</v>
      </c>
      <c r="R1954" t="s">
        <v>36</v>
      </c>
      <c r="S1954">
        <v>4</v>
      </c>
      <c r="T1954" t="s">
        <v>24</v>
      </c>
      <c r="U1954" t="s">
        <v>2412</v>
      </c>
      <c r="V1954">
        <v>2024</v>
      </c>
      <c r="W1954">
        <v>12</v>
      </c>
    </row>
    <row r="1955" spans="1:23" x14ac:dyDescent="0.25">
      <c r="A1955" t="s">
        <v>862</v>
      </c>
      <c r="B1955">
        <v>45650.374699074076</v>
      </c>
      <c r="C1955" t="s">
        <v>305</v>
      </c>
      <c r="D1955" t="s">
        <v>143</v>
      </c>
      <c r="E1955" t="s">
        <v>123</v>
      </c>
      <c r="F1955" t="s">
        <v>2399</v>
      </c>
      <c r="G1955" t="s">
        <v>2377</v>
      </c>
      <c r="H1955">
        <v>22000</v>
      </c>
      <c r="I1955">
        <v>1</v>
      </c>
      <c r="J1955">
        <v>5</v>
      </c>
      <c r="K1955">
        <v>22000</v>
      </c>
      <c r="L1955">
        <v>1100</v>
      </c>
      <c r="M1955">
        <v>20900</v>
      </c>
      <c r="N1955">
        <v>50000</v>
      </c>
      <c r="O1955">
        <v>70900</v>
      </c>
      <c r="P1955" t="s">
        <v>35</v>
      </c>
      <c r="Q1955" t="s">
        <v>2357</v>
      </c>
      <c r="R1955" t="s">
        <v>36</v>
      </c>
      <c r="S1955">
        <v>2</v>
      </c>
      <c r="T1955" t="s">
        <v>24</v>
      </c>
      <c r="U1955" t="s">
        <v>2412</v>
      </c>
      <c r="V1955">
        <v>2024</v>
      </c>
      <c r="W1955">
        <v>12</v>
      </c>
    </row>
    <row r="1956" spans="1:23" x14ac:dyDescent="0.25">
      <c r="A1956" t="s">
        <v>863</v>
      </c>
      <c r="B1956">
        <v>45651.000578703701</v>
      </c>
      <c r="C1956" t="s">
        <v>311</v>
      </c>
      <c r="D1956" t="s">
        <v>116</v>
      </c>
      <c r="E1956" t="s">
        <v>123</v>
      </c>
      <c r="F1956" t="s">
        <v>2399</v>
      </c>
      <c r="G1956" t="s">
        <v>2377</v>
      </c>
      <c r="H1956">
        <v>22000</v>
      </c>
      <c r="I1956">
        <v>1</v>
      </c>
      <c r="J1956">
        <v>0</v>
      </c>
      <c r="K1956">
        <v>22000</v>
      </c>
      <c r="L1956">
        <v>0</v>
      </c>
      <c r="M1956">
        <v>22000</v>
      </c>
      <c r="N1956">
        <v>72000</v>
      </c>
      <c r="O1956">
        <v>94000</v>
      </c>
      <c r="P1956" t="s">
        <v>22</v>
      </c>
      <c r="Q1956" t="s">
        <v>2357</v>
      </c>
      <c r="R1956" t="s">
        <v>36</v>
      </c>
      <c r="S1956">
        <v>2</v>
      </c>
      <c r="T1956" t="s">
        <v>24</v>
      </c>
      <c r="U1956" t="s">
        <v>2412</v>
      </c>
      <c r="V1956">
        <v>2024</v>
      </c>
      <c r="W1956">
        <v>12</v>
      </c>
    </row>
    <row r="1957" spans="1:23" x14ac:dyDescent="0.25">
      <c r="A1957" t="s">
        <v>864</v>
      </c>
      <c r="B1957">
        <v>45651.293402777781</v>
      </c>
      <c r="C1957" t="s">
        <v>299</v>
      </c>
      <c r="D1957" t="s">
        <v>163</v>
      </c>
      <c r="E1957" t="s">
        <v>28</v>
      </c>
      <c r="F1957" t="s">
        <v>2395</v>
      </c>
      <c r="G1957" t="s">
        <v>2378</v>
      </c>
      <c r="H1957">
        <v>5000</v>
      </c>
      <c r="I1957">
        <v>3</v>
      </c>
      <c r="J1957">
        <v>5</v>
      </c>
      <c r="K1957">
        <v>15000</v>
      </c>
      <c r="L1957">
        <v>750</v>
      </c>
      <c r="M1957">
        <v>14250</v>
      </c>
      <c r="N1957">
        <v>50000</v>
      </c>
      <c r="O1957">
        <v>64250</v>
      </c>
      <c r="P1957" t="s">
        <v>29</v>
      </c>
      <c r="Q1957" t="s">
        <v>2357</v>
      </c>
      <c r="R1957" t="s">
        <v>46</v>
      </c>
      <c r="S1957">
        <v>5</v>
      </c>
      <c r="T1957" t="s">
        <v>24</v>
      </c>
      <c r="U1957" t="s">
        <v>2412</v>
      </c>
      <c r="V1957">
        <v>2024</v>
      </c>
      <c r="W1957">
        <v>12</v>
      </c>
    </row>
    <row r="1958" spans="1:23" x14ac:dyDescent="0.25">
      <c r="A1958" t="s">
        <v>865</v>
      </c>
      <c r="B1958">
        <v>45651.500891203701</v>
      </c>
      <c r="C1958" t="s">
        <v>412</v>
      </c>
      <c r="D1958" t="s">
        <v>70</v>
      </c>
      <c r="E1958" t="s">
        <v>104</v>
      </c>
      <c r="F1958" t="s">
        <v>2392</v>
      </c>
      <c r="G1958" t="s">
        <v>2377</v>
      </c>
      <c r="H1958">
        <v>30000</v>
      </c>
      <c r="I1958">
        <v>1</v>
      </c>
      <c r="J1958">
        <v>10</v>
      </c>
      <c r="K1958">
        <v>30000</v>
      </c>
      <c r="L1958">
        <v>3000</v>
      </c>
      <c r="M1958">
        <v>27000</v>
      </c>
      <c r="N1958">
        <v>89000</v>
      </c>
      <c r="O1958">
        <v>116000</v>
      </c>
      <c r="P1958" t="s">
        <v>22</v>
      </c>
      <c r="Q1958" t="s">
        <v>2357</v>
      </c>
      <c r="R1958" t="s">
        <v>30</v>
      </c>
      <c r="S1958">
        <v>2</v>
      </c>
      <c r="T1958" t="s">
        <v>24</v>
      </c>
      <c r="U1958" t="s">
        <v>2412</v>
      </c>
      <c r="V1958">
        <v>2024</v>
      </c>
      <c r="W1958">
        <v>12</v>
      </c>
    </row>
    <row r="1959" spans="1:23" x14ac:dyDescent="0.25">
      <c r="A1959" t="s">
        <v>866</v>
      </c>
      <c r="B1959">
        <v>45651.696226851847</v>
      </c>
      <c r="C1959" t="s">
        <v>867</v>
      </c>
      <c r="D1959" t="s">
        <v>20</v>
      </c>
      <c r="E1959" t="s">
        <v>123</v>
      </c>
      <c r="F1959" t="s">
        <v>2399</v>
      </c>
      <c r="G1959" t="s">
        <v>2377</v>
      </c>
      <c r="H1959">
        <v>22000</v>
      </c>
      <c r="I1959">
        <v>1</v>
      </c>
      <c r="J1959">
        <v>0</v>
      </c>
      <c r="K1959">
        <v>22000</v>
      </c>
      <c r="L1959">
        <v>0</v>
      </c>
      <c r="M1959">
        <v>22000</v>
      </c>
      <c r="N1959">
        <v>15000</v>
      </c>
      <c r="O1959">
        <v>37000</v>
      </c>
      <c r="P1959" t="s">
        <v>63</v>
      </c>
      <c r="Q1959" t="s">
        <v>2357</v>
      </c>
      <c r="R1959" t="s">
        <v>23</v>
      </c>
      <c r="S1959">
        <v>5</v>
      </c>
      <c r="T1959" t="s">
        <v>37</v>
      </c>
      <c r="U1959" t="s">
        <v>2412</v>
      </c>
      <c r="V1959">
        <v>2024</v>
      </c>
      <c r="W1959">
        <v>12</v>
      </c>
    </row>
    <row r="1960" spans="1:23" x14ac:dyDescent="0.25">
      <c r="A1960" t="s">
        <v>868</v>
      </c>
      <c r="B1960">
        <v>45651.779803240737</v>
      </c>
      <c r="C1960" t="s">
        <v>504</v>
      </c>
      <c r="D1960" t="s">
        <v>195</v>
      </c>
      <c r="E1960" t="s">
        <v>38</v>
      </c>
      <c r="F1960" t="s">
        <v>2399</v>
      </c>
      <c r="G1960" t="s">
        <v>2379</v>
      </c>
      <c r="H1960">
        <v>28000</v>
      </c>
      <c r="I1960">
        <v>4</v>
      </c>
      <c r="J1960">
        <v>20</v>
      </c>
      <c r="K1960">
        <v>112000</v>
      </c>
      <c r="L1960">
        <v>22400</v>
      </c>
      <c r="M1960">
        <v>89600</v>
      </c>
      <c r="N1960">
        <v>87000</v>
      </c>
      <c r="O1960">
        <v>176600</v>
      </c>
      <c r="P1960" t="s">
        <v>22</v>
      </c>
      <c r="Q1960" t="s">
        <v>2357</v>
      </c>
      <c r="R1960" t="s">
        <v>36</v>
      </c>
      <c r="S1960">
        <v>3</v>
      </c>
      <c r="T1960" t="s">
        <v>24</v>
      </c>
      <c r="U1960" t="s">
        <v>2412</v>
      </c>
      <c r="V1960">
        <v>2024</v>
      </c>
      <c r="W1960">
        <v>12</v>
      </c>
    </row>
    <row r="1961" spans="1:23" x14ac:dyDescent="0.25">
      <c r="A1961" t="s">
        <v>869</v>
      </c>
      <c r="B1961">
        <v>45652.07130787037</v>
      </c>
      <c r="C1961" t="s">
        <v>722</v>
      </c>
      <c r="D1961" t="s">
        <v>57</v>
      </c>
      <c r="E1961" t="s">
        <v>186</v>
      </c>
      <c r="F1961" t="s">
        <v>2398</v>
      </c>
      <c r="G1961" t="s">
        <v>2377</v>
      </c>
      <c r="H1961">
        <v>45000</v>
      </c>
      <c r="I1961">
        <v>3</v>
      </c>
      <c r="J1961">
        <v>0</v>
      </c>
      <c r="K1961">
        <v>135000</v>
      </c>
      <c r="L1961">
        <v>0</v>
      </c>
      <c r="M1961">
        <v>135000</v>
      </c>
      <c r="N1961">
        <v>80000</v>
      </c>
      <c r="O1961">
        <v>215000</v>
      </c>
      <c r="P1961" t="s">
        <v>29</v>
      </c>
      <c r="Q1961" t="s">
        <v>2357</v>
      </c>
      <c r="R1961" t="s">
        <v>23</v>
      </c>
      <c r="S1961">
        <v>4</v>
      </c>
      <c r="T1961" t="s">
        <v>24</v>
      </c>
      <c r="U1961" t="s">
        <v>2412</v>
      </c>
      <c r="V1961">
        <v>2024</v>
      </c>
      <c r="W1961">
        <v>12</v>
      </c>
    </row>
    <row r="1962" spans="1:23" x14ac:dyDescent="0.25">
      <c r="A1962" t="s">
        <v>870</v>
      </c>
      <c r="B1962">
        <v>45652.446261574078</v>
      </c>
      <c r="C1962" t="s">
        <v>846</v>
      </c>
      <c r="D1962" t="s">
        <v>107</v>
      </c>
      <c r="E1962" t="s">
        <v>250</v>
      </c>
      <c r="F1962" t="s">
        <v>2397</v>
      </c>
      <c r="G1962" t="s">
        <v>2379</v>
      </c>
      <c r="H1962">
        <v>18000</v>
      </c>
      <c r="I1962">
        <v>1</v>
      </c>
      <c r="J1962">
        <v>5</v>
      </c>
      <c r="K1962">
        <v>18000</v>
      </c>
      <c r="L1962">
        <v>900</v>
      </c>
      <c r="M1962">
        <v>17100</v>
      </c>
      <c r="N1962">
        <v>97000</v>
      </c>
      <c r="O1962">
        <v>114100</v>
      </c>
      <c r="P1962" t="s">
        <v>63</v>
      </c>
      <c r="Q1962" t="s">
        <v>2357</v>
      </c>
      <c r="R1962" t="s">
        <v>82</v>
      </c>
      <c r="S1962">
        <v>3</v>
      </c>
      <c r="T1962" t="s">
        <v>24</v>
      </c>
      <c r="U1962" t="s">
        <v>2412</v>
      </c>
      <c r="V1962">
        <v>2024</v>
      </c>
      <c r="W1962">
        <v>12</v>
      </c>
    </row>
    <row r="1963" spans="1:23" x14ac:dyDescent="0.25">
      <c r="A1963" t="s">
        <v>871</v>
      </c>
      <c r="B1963">
        <v>45652.465567129628</v>
      </c>
      <c r="C1963" t="s">
        <v>532</v>
      </c>
      <c r="D1963" t="s">
        <v>262</v>
      </c>
      <c r="E1963" t="s">
        <v>186</v>
      </c>
      <c r="F1963" t="s">
        <v>2398</v>
      </c>
      <c r="G1963" t="s">
        <v>2377</v>
      </c>
      <c r="H1963">
        <v>45000</v>
      </c>
      <c r="I1963">
        <v>1</v>
      </c>
      <c r="J1963">
        <v>10</v>
      </c>
      <c r="K1963">
        <v>45000</v>
      </c>
      <c r="L1963">
        <v>4500</v>
      </c>
      <c r="M1963">
        <v>40500</v>
      </c>
      <c r="N1963">
        <v>18000</v>
      </c>
      <c r="O1963">
        <v>58500</v>
      </c>
      <c r="P1963" t="s">
        <v>22</v>
      </c>
      <c r="Q1963" t="s">
        <v>2356</v>
      </c>
      <c r="R1963" t="s">
        <v>46</v>
      </c>
      <c r="S1963">
        <v>4</v>
      </c>
      <c r="T1963" t="s">
        <v>24</v>
      </c>
      <c r="U1963" t="s">
        <v>2412</v>
      </c>
      <c r="V1963">
        <v>2024</v>
      </c>
      <c r="W1963">
        <v>12</v>
      </c>
    </row>
    <row r="1964" spans="1:23" x14ac:dyDescent="0.25">
      <c r="A1964" t="s">
        <v>872</v>
      </c>
      <c r="B1964">
        <v>45652.688263888893</v>
      </c>
      <c r="C1964" t="s">
        <v>748</v>
      </c>
      <c r="D1964" t="s">
        <v>160</v>
      </c>
      <c r="E1964" t="s">
        <v>136</v>
      </c>
      <c r="F1964" t="s">
        <v>2400</v>
      </c>
      <c r="G1964" t="s">
        <v>2378</v>
      </c>
      <c r="H1964">
        <v>12000</v>
      </c>
      <c r="I1964">
        <v>5</v>
      </c>
      <c r="J1964">
        <v>15</v>
      </c>
      <c r="K1964">
        <v>60000</v>
      </c>
      <c r="L1964">
        <v>9000</v>
      </c>
      <c r="M1964">
        <v>51000</v>
      </c>
      <c r="N1964">
        <v>68000</v>
      </c>
      <c r="O1964">
        <v>119000</v>
      </c>
      <c r="P1964" t="s">
        <v>63</v>
      </c>
      <c r="Q1964" t="s">
        <v>2359</v>
      </c>
      <c r="R1964" t="s">
        <v>46</v>
      </c>
      <c r="S1964">
        <v>5</v>
      </c>
      <c r="T1964" t="s">
        <v>24</v>
      </c>
      <c r="U1964" t="s">
        <v>2412</v>
      </c>
      <c r="V1964">
        <v>2024</v>
      </c>
      <c r="W1964">
        <v>12</v>
      </c>
    </row>
    <row r="1965" spans="1:23" x14ac:dyDescent="0.25">
      <c r="A1965" t="s">
        <v>873</v>
      </c>
      <c r="B1965">
        <v>45652.693229166667</v>
      </c>
      <c r="C1965" t="s">
        <v>443</v>
      </c>
      <c r="D1965" t="s">
        <v>53</v>
      </c>
      <c r="E1965" t="s">
        <v>123</v>
      </c>
      <c r="F1965" t="s">
        <v>2399</v>
      </c>
      <c r="G1965" t="s">
        <v>2377</v>
      </c>
      <c r="H1965">
        <v>22000</v>
      </c>
      <c r="I1965">
        <v>5</v>
      </c>
      <c r="J1965">
        <v>20</v>
      </c>
      <c r="K1965">
        <v>110000</v>
      </c>
      <c r="L1965">
        <v>22000</v>
      </c>
      <c r="M1965">
        <v>88000</v>
      </c>
      <c r="N1965">
        <v>18000</v>
      </c>
      <c r="O1965">
        <v>106000</v>
      </c>
      <c r="P1965" t="s">
        <v>22</v>
      </c>
      <c r="Q1965" t="s">
        <v>2357</v>
      </c>
      <c r="R1965" t="s">
        <v>30</v>
      </c>
      <c r="S1965">
        <v>1</v>
      </c>
      <c r="T1965" t="s">
        <v>24</v>
      </c>
      <c r="U1965" t="s">
        <v>2412</v>
      </c>
      <c r="V1965">
        <v>2024</v>
      </c>
      <c r="W1965">
        <v>12</v>
      </c>
    </row>
    <row r="1966" spans="1:23" x14ac:dyDescent="0.25">
      <c r="A1966" t="s">
        <v>874</v>
      </c>
      <c r="B1966">
        <v>45652.890289351853</v>
      </c>
      <c r="C1966" t="s">
        <v>875</v>
      </c>
      <c r="D1966" t="s">
        <v>170</v>
      </c>
      <c r="E1966" t="s">
        <v>67</v>
      </c>
      <c r="F1966" t="s">
        <v>2393</v>
      </c>
      <c r="G1966" t="s">
        <v>2378</v>
      </c>
      <c r="H1966">
        <v>15000</v>
      </c>
      <c r="I1966">
        <v>2</v>
      </c>
      <c r="J1966">
        <v>20</v>
      </c>
      <c r="K1966">
        <v>30000</v>
      </c>
      <c r="L1966">
        <v>6000</v>
      </c>
      <c r="M1966">
        <v>24000</v>
      </c>
      <c r="N1966">
        <v>46000</v>
      </c>
      <c r="O1966">
        <v>70000</v>
      </c>
      <c r="P1966" t="s">
        <v>22</v>
      </c>
      <c r="Q1966" t="s">
        <v>2357</v>
      </c>
      <c r="R1966" t="s">
        <v>46</v>
      </c>
      <c r="S1966">
        <v>2</v>
      </c>
      <c r="T1966" t="s">
        <v>24</v>
      </c>
      <c r="U1966" t="s">
        <v>2412</v>
      </c>
      <c r="V1966">
        <v>2024</v>
      </c>
      <c r="W1966">
        <v>12</v>
      </c>
    </row>
    <row r="1967" spans="1:23" x14ac:dyDescent="0.25">
      <c r="A1967" t="s">
        <v>876</v>
      </c>
      <c r="B1967">
        <v>45652.929050925923</v>
      </c>
      <c r="C1967" t="s">
        <v>877</v>
      </c>
      <c r="D1967" t="s">
        <v>107</v>
      </c>
      <c r="E1967" t="s">
        <v>58</v>
      </c>
      <c r="F1967" t="s">
        <v>2396</v>
      </c>
      <c r="G1967" t="s">
        <v>2377</v>
      </c>
      <c r="H1967">
        <v>16000</v>
      </c>
      <c r="I1967">
        <v>1</v>
      </c>
      <c r="J1967">
        <v>5</v>
      </c>
      <c r="K1967">
        <v>16000</v>
      </c>
      <c r="L1967">
        <v>800</v>
      </c>
      <c r="M1967">
        <v>15200</v>
      </c>
      <c r="N1967">
        <v>97000</v>
      </c>
      <c r="O1967">
        <v>112200</v>
      </c>
      <c r="P1967" t="s">
        <v>63</v>
      </c>
      <c r="Q1967" t="s">
        <v>2356</v>
      </c>
      <c r="R1967" t="s">
        <v>23</v>
      </c>
      <c r="S1967">
        <v>2</v>
      </c>
      <c r="T1967" t="s">
        <v>24</v>
      </c>
      <c r="U1967" t="s">
        <v>2412</v>
      </c>
      <c r="V1967">
        <v>2024</v>
      </c>
      <c r="W1967">
        <v>12</v>
      </c>
    </row>
    <row r="1968" spans="1:23" x14ac:dyDescent="0.25">
      <c r="A1968" t="s">
        <v>878</v>
      </c>
      <c r="B1968">
        <v>45653.071111111109</v>
      </c>
      <c r="C1968" t="s">
        <v>201</v>
      </c>
      <c r="D1968" t="s">
        <v>107</v>
      </c>
      <c r="E1968" t="s">
        <v>67</v>
      </c>
      <c r="F1968" t="s">
        <v>2393</v>
      </c>
      <c r="G1968" t="s">
        <v>2378</v>
      </c>
      <c r="H1968">
        <v>15000</v>
      </c>
      <c r="I1968">
        <v>5</v>
      </c>
      <c r="J1968">
        <v>20</v>
      </c>
      <c r="K1968">
        <v>75000</v>
      </c>
      <c r="L1968">
        <v>15000</v>
      </c>
      <c r="M1968">
        <v>60000</v>
      </c>
      <c r="N1968">
        <v>97000</v>
      </c>
      <c r="O1968">
        <v>157000</v>
      </c>
      <c r="P1968" t="s">
        <v>35</v>
      </c>
      <c r="Q1968" t="s">
        <v>2357</v>
      </c>
      <c r="R1968" t="s">
        <v>30</v>
      </c>
      <c r="S1968">
        <v>3</v>
      </c>
      <c r="T1968" t="s">
        <v>24</v>
      </c>
      <c r="U1968" t="s">
        <v>2412</v>
      </c>
      <c r="V1968">
        <v>2024</v>
      </c>
      <c r="W1968">
        <v>12</v>
      </c>
    </row>
    <row r="1969" spans="1:23" x14ac:dyDescent="0.25">
      <c r="A1969" t="s">
        <v>879</v>
      </c>
      <c r="B1969">
        <v>45653.131284722222</v>
      </c>
      <c r="C1969" t="s">
        <v>148</v>
      </c>
      <c r="D1969" t="s">
        <v>74</v>
      </c>
      <c r="E1969" t="s">
        <v>50</v>
      </c>
      <c r="F1969" t="s">
        <v>2400</v>
      </c>
      <c r="G1969" t="s">
        <v>2379</v>
      </c>
      <c r="H1969">
        <v>14000</v>
      </c>
      <c r="I1969">
        <v>2</v>
      </c>
      <c r="J1969">
        <v>15</v>
      </c>
      <c r="K1969">
        <v>28000</v>
      </c>
      <c r="L1969">
        <v>4200</v>
      </c>
      <c r="M1969">
        <v>23800</v>
      </c>
      <c r="N1969">
        <v>87000</v>
      </c>
      <c r="O1969">
        <v>110800</v>
      </c>
      <c r="P1969" t="s">
        <v>22</v>
      </c>
      <c r="Q1969" t="s">
        <v>2357</v>
      </c>
      <c r="R1969" t="s">
        <v>30</v>
      </c>
      <c r="S1969">
        <v>4</v>
      </c>
      <c r="T1969" t="s">
        <v>24</v>
      </c>
      <c r="U1969" t="s">
        <v>2412</v>
      </c>
      <c r="V1969">
        <v>2024</v>
      </c>
      <c r="W1969">
        <v>12</v>
      </c>
    </row>
    <row r="1970" spans="1:23" x14ac:dyDescent="0.25">
      <c r="A1970" t="s">
        <v>880</v>
      </c>
      <c r="B1970">
        <v>45654.395462962973</v>
      </c>
      <c r="C1970" t="s">
        <v>371</v>
      </c>
      <c r="D1970" t="s">
        <v>27</v>
      </c>
      <c r="E1970" t="s">
        <v>38</v>
      </c>
      <c r="F1970" t="s">
        <v>2399</v>
      </c>
      <c r="G1970" t="s">
        <v>2379</v>
      </c>
      <c r="H1970">
        <v>28000</v>
      </c>
      <c r="I1970">
        <v>3</v>
      </c>
      <c r="J1970">
        <v>5</v>
      </c>
      <c r="K1970">
        <v>84000</v>
      </c>
      <c r="L1970">
        <v>4200</v>
      </c>
      <c r="M1970">
        <v>79800</v>
      </c>
      <c r="N1970">
        <v>17000</v>
      </c>
      <c r="O1970">
        <v>96800</v>
      </c>
      <c r="P1970" t="s">
        <v>22</v>
      </c>
      <c r="Q1970" t="s">
        <v>2357</v>
      </c>
      <c r="R1970" t="s">
        <v>82</v>
      </c>
      <c r="S1970">
        <v>2</v>
      </c>
      <c r="T1970" t="s">
        <v>24</v>
      </c>
      <c r="U1970" t="s">
        <v>2412</v>
      </c>
      <c r="V1970">
        <v>2024</v>
      </c>
      <c r="W1970">
        <v>12</v>
      </c>
    </row>
    <row r="1971" spans="1:23" x14ac:dyDescent="0.25">
      <c r="A1971" t="s">
        <v>881</v>
      </c>
      <c r="B1971">
        <v>45654.502337962957</v>
      </c>
      <c r="C1971" t="s">
        <v>275</v>
      </c>
      <c r="D1971" t="s">
        <v>96</v>
      </c>
      <c r="E1971" t="s">
        <v>67</v>
      </c>
      <c r="F1971" t="s">
        <v>2393</v>
      </c>
      <c r="G1971" t="s">
        <v>2378</v>
      </c>
      <c r="H1971">
        <v>15000</v>
      </c>
      <c r="I1971">
        <v>2</v>
      </c>
      <c r="J1971">
        <v>0</v>
      </c>
      <c r="K1971">
        <v>30000</v>
      </c>
      <c r="L1971">
        <v>0</v>
      </c>
      <c r="M1971">
        <v>30000</v>
      </c>
      <c r="N1971">
        <v>49000</v>
      </c>
      <c r="O1971">
        <v>79000</v>
      </c>
      <c r="P1971" t="s">
        <v>35</v>
      </c>
      <c r="Q1971" t="s">
        <v>2357</v>
      </c>
      <c r="R1971" t="s">
        <v>30</v>
      </c>
      <c r="S1971">
        <v>3</v>
      </c>
      <c r="T1971" t="s">
        <v>24</v>
      </c>
      <c r="U1971" t="s">
        <v>2412</v>
      </c>
      <c r="V1971">
        <v>2024</v>
      </c>
      <c r="W1971">
        <v>12</v>
      </c>
    </row>
    <row r="1972" spans="1:23" x14ac:dyDescent="0.25">
      <c r="A1972" t="s">
        <v>881</v>
      </c>
      <c r="B1972">
        <v>45654.502337962957</v>
      </c>
      <c r="C1972" t="s">
        <v>275</v>
      </c>
      <c r="D1972" t="s">
        <v>96</v>
      </c>
      <c r="E1972" t="s">
        <v>85</v>
      </c>
      <c r="F1972" t="s">
        <v>2394</v>
      </c>
      <c r="G1972" t="s">
        <v>2377</v>
      </c>
      <c r="H1972">
        <v>35000</v>
      </c>
      <c r="I1972">
        <v>1</v>
      </c>
      <c r="J1972">
        <v>5</v>
      </c>
      <c r="K1972">
        <v>35000</v>
      </c>
      <c r="L1972">
        <v>1750</v>
      </c>
      <c r="M1972">
        <v>33250</v>
      </c>
      <c r="N1972">
        <v>0</v>
      </c>
      <c r="O1972">
        <v>33250</v>
      </c>
      <c r="P1972" t="s">
        <v>35</v>
      </c>
      <c r="Q1972" t="s">
        <v>2357</v>
      </c>
      <c r="R1972" t="s">
        <v>30</v>
      </c>
      <c r="S1972">
        <v>3</v>
      </c>
      <c r="T1972" t="s">
        <v>24</v>
      </c>
      <c r="U1972" t="s">
        <v>2412</v>
      </c>
      <c r="V1972">
        <v>2024</v>
      </c>
      <c r="W1972">
        <v>12</v>
      </c>
    </row>
    <row r="1973" spans="1:23" x14ac:dyDescent="0.25">
      <c r="A1973" t="s">
        <v>882</v>
      </c>
      <c r="B1973">
        <v>45654.514606481483</v>
      </c>
      <c r="C1973" t="s">
        <v>883</v>
      </c>
      <c r="D1973" t="s">
        <v>44</v>
      </c>
      <c r="E1973" t="s">
        <v>123</v>
      </c>
      <c r="F1973" t="s">
        <v>2399</v>
      </c>
      <c r="G1973" t="s">
        <v>2377</v>
      </c>
      <c r="H1973">
        <v>22000</v>
      </c>
      <c r="I1973">
        <v>2</v>
      </c>
      <c r="J1973">
        <v>10</v>
      </c>
      <c r="K1973">
        <v>44000</v>
      </c>
      <c r="L1973">
        <v>4400</v>
      </c>
      <c r="M1973">
        <v>39600</v>
      </c>
      <c r="N1973">
        <v>93000</v>
      </c>
      <c r="O1973">
        <v>132600</v>
      </c>
      <c r="P1973" t="s">
        <v>63</v>
      </c>
      <c r="Q1973" t="s">
        <v>2357</v>
      </c>
      <c r="R1973" t="s">
        <v>30</v>
      </c>
      <c r="S1973">
        <v>1</v>
      </c>
      <c r="T1973" t="s">
        <v>37</v>
      </c>
      <c r="U1973" t="s">
        <v>2412</v>
      </c>
      <c r="V1973">
        <v>2024</v>
      </c>
      <c r="W1973">
        <v>12</v>
      </c>
    </row>
    <row r="1974" spans="1:23" x14ac:dyDescent="0.25">
      <c r="A1974" t="s">
        <v>882</v>
      </c>
      <c r="B1974">
        <v>45654.514606481483</v>
      </c>
      <c r="C1974" t="s">
        <v>883</v>
      </c>
      <c r="D1974" t="s">
        <v>44</v>
      </c>
      <c r="E1974" t="s">
        <v>28</v>
      </c>
      <c r="F1974" t="s">
        <v>2395</v>
      </c>
      <c r="G1974" t="s">
        <v>2378</v>
      </c>
      <c r="H1974">
        <v>5000</v>
      </c>
      <c r="I1974">
        <v>2</v>
      </c>
      <c r="J1974">
        <v>10</v>
      </c>
      <c r="K1974">
        <v>10000</v>
      </c>
      <c r="L1974">
        <v>1000</v>
      </c>
      <c r="M1974">
        <v>9000</v>
      </c>
      <c r="N1974">
        <v>0</v>
      </c>
      <c r="O1974">
        <v>9000</v>
      </c>
      <c r="P1974" t="s">
        <v>63</v>
      </c>
      <c r="Q1974" t="s">
        <v>2357</v>
      </c>
      <c r="R1974" t="s">
        <v>30</v>
      </c>
      <c r="S1974">
        <v>1</v>
      </c>
      <c r="T1974" t="s">
        <v>37</v>
      </c>
      <c r="U1974" t="s">
        <v>2412</v>
      </c>
      <c r="V1974">
        <v>2024</v>
      </c>
      <c r="W1974">
        <v>12</v>
      </c>
    </row>
    <row r="1975" spans="1:23" x14ac:dyDescent="0.25">
      <c r="A1975" t="s">
        <v>884</v>
      </c>
      <c r="B1975">
        <v>45654.560034722221</v>
      </c>
      <c r="C1975" t="s">
        <v>261</v>
      </c>
      <c r="D1975" t="s">
        <v>262</v>
      </c>
      <c r="E1975" t="s">
        <v>110</v>
      </c>
      <c r="F1975" t="s">
        <v>2395</v>
      </c>
      <c r="G1975" t="s">
        <v>2379</v>
      </c>
      <c r="H1975">
        <v>6000</v>
      </c>
      <c r="I1975">
        <v>3</v>
      </c>
      <c r="J1975">
        <v>15</v>
      </c>
      <c r="K1975">
        <v>18000</v>
      </c>
      <c r="L1975">
        <v>2700</v>
      </c>
      <c r="M1975">
        <v>15300</v>
      </c>
      <c r="N1975">
        <v>18000</v>
      </c>
      <c r="O1975">
        <v>33300</v>
      </c>
      <c r="P1975" t="s">
        <v>63</v>
      </c>
      <c r="Q1975" t="s">
        <v>2357</v>
      </c>
      <c r="R1975" t="s">
        <v>30</v>
      </c>
      <c r="S1975">
        <v>2</v>
      </c>
      <c r="T1975" t="s">
        <v>24</v>
      </c>
      <c r="U1975" t="s">
        <v>2412</v>
      </c>
      <c r="V1975">
        <v>2024</v>
      </c>
      <c r="W1975">
        <v>12</v>
      </c>
    </row>
    <row r="1976" spans="1:23" x14ac:dyDescent="0.25">
      <c r="A1976" t="s">
        <v>885</v>
      </c>
      <c r="B1976">
        <v>45654.772094907406</v>
      </c>
      <c r="C1976" t="s">
        <v>400</v>
      </c>
      <c r="D1976" t="s">
        <v>27</v>
      </c>
      <c r="E1976" t="s">
        <v>28</v>
      </c>
      <c r="F1976" t="s">
        <v>2395</v>
      </c>
      <c r="G1976" t="s">
        <v>2378</v>
      </c>
      <c r="H1976">
        <v>5000</v>
      </c>
      <c r="I1976">
        <v>4</v>
      </c>
      <c r="J1976">
        <v>15</v>
      </c>
      <c r="K1976">
        <v>20000</v>
      </c>
      <c r="L1976">
        <v>3000</v>
      </c>
      <c r="M1976">
        <v>17000</v>
      </c>
      <c r="N1976">
        <v>17000</v>
      </c>
      <c r="O1976">
        <v>34000</v>
      </c>
      <c r="P1976" t="s">
        <v>22</v>
      </c>
      <c r="Q1976" t="s">
        <v>2357</v>
      </c>
      <c r="R1976" t="s">
        <v>23</v>
      </c>
      <c r="S1976">
        <v>5</v>
      </c>
      <c r="T1976" t="s">
        <v>24</v>
      </c>
      <c r="U1976" t="s">
        <v>2412</v>
      </c>
      <c r="V1976">
        <v>2024</v>
      </c>
      <c r="W1976">
        <v>12</v>
      </c>
    </row>
    <row r="1977" spans="1:23" x14ac:dyDescent="0.25">
      <c r="A1977" t="s">
        <v>886</v>
      </c>
      <c r="B1977">
        <v>45654.837314814817</v>
      </c>
      <c r="C1977" t="s">
        <v>488</v>
      </c>
      <c r="D1977" t="s">
        <v>49</v>
      </c>
      <c r="E1977" t="s">
        <v>123</v>
      </c>
      <c r="F1977" t="s">
        <v>2399</v>
      </c>
      <c r="G1977" t="s">
        <v>2377</v>
      </c>
      <c r="H1977">
        <v>22000</v>
      </c>
      <c r="I1977">
        <v>2</v>
      </c>
      <c r="J1977">
        <v>15</v>
      </c>
      <c r="K1977">
        <v>44000</v>
      </c>
      <c r="L1977">
        <v>6600</v>
      </c>
      <c r="M1977">
        <v>37400</v>
      </c>
      <c r="N1977">
        <v>43000</v>
      </c>
      <c r="O1977">
        <v>80400</v>
      </c>
      <c r="P1977" t="s">
        <v>29</v>
      </c>
      <c r="Q1977" t="s">
        <v>2359</v>
      </c>
      <c r="R1977" t="s">
        <v>46</v>
      </c>
      <c r="S1977">
        <v>2</v>
      </c>
      <c r="T1977" t="s">
        <v>24</v>
      </c>
      <c r="U1977" t="s">
        <v>2412</v>
      </c>
      <c r="V1977">
        <v>2024</v>
      </c>
      <c r="W1977">
        <v>12</v>
      </c>
    </row>
    <row r="1978" spans="1:23" x14ac:dyDescent="0.25">
      <c r="A1978" t="s">
        <v>887</v>
      </c>
      <c r="B1978">
        <v>45654.920648148152</v>
      </c>
      <c r="C1978" t="s">
        <v>128</v>
      </c>
      <c r="D1978" t="s">
        <v>103</v>
      </c>
      <c r="E1978" t="s">
        <v>93</v>
      </c>
      <c r="F1978" t="s">
        <v>2399</v>
      </c>
      <c r="G1978" t="s">
        <v>2378</v>
      </c>
      <c r="H1978">
        <v>25000</v>
      </c>
      <c r="I1978">
        <v>5</v>
      </c>
      <c r="J1978">
        <v>20</v>
      </c>
      <c r="K1978">
        <v>125000</v>
      </c>
      <c r="L1978">
        <v>25000</v>
      </c>
      <c r="M1978">
        <v>100000</v>
      </c>
      <c r="N1978">
        <v>85000</v>
      </c>
      <c r="O1978">
        <v>185000</v>
      </c>
      <c r="P1978" t="s">
        <v>22</v>
      </c>
      <c r="Q1978" t="s">
        <v>2357</v>
      </c>
      <c r="R1978" t="s">
        <v>36</v>
      </c>
      <c r="S1978">
        <v>5</v>
      </c>
      <c r="T1978" t="s">
        <v>37</v>
      </c>
      <c r="U1978" t="s">
        <v>2412</v>
      </c>
      <c r="V1978">
        <v>2024</v>
      </c>
      <c r="W1978">
        <v>12</v>
      </c>
    </row>
    <row r="1979" spans="1:23" x14ac:dyDescent="0.25">
      <c r="A1979" t="s">
        <v>888</v>
      </c>
      <c r="B1979">
        <v>45654.936238425929</v>
      </c>
      <c r="C1979" t="s">
        <v>782</v>
      </c>
      <c r="D1979" t="s">
        <v>177</v>
      </c>
      <c r="E1979" t="s">
        <v>138</v>
      </c>
      <c r="F1979" t="s">
        <v>2396</v>
      </c>
      <c r="G1979" t="s">
        <v>2378</v>
      </c>
      <c r="H1979">
        <v>17000</v>
      </c>
      <c r="I1979">
        <v>4</v>
      </c>
      <c r="J1979">
        <v>20</v>
      </c>
      <c r="K1979">
        <v>68000</v>
      </c>
      <c r="L1979">
        <v>13600</v>
      </c>
      <c r="M1979">
        <v>54400</v>
      </c>
      <c r="N1979">
        <v>56000</v>
      </c>
      <c r="O1979">
        <v>110400</v>
      </c>
      <c r="P1979" t="s">
        <v>29</v>
      </c>
      <c r="Q1979" t="s">
        <v>2357</v>
      </c>
      <c r="R1979" t="s">
        <v>82</v>
      </c>
      <c r="S1979">
        <v>3</v>
      </c>
      <c r="T1979" t="s">
        <v>24</v>
      </c>
      <c r="U1979" t="s">
        <v>2412</v>
      </c>
      <c r="V1979">
        <v>2024</v>
      </c>
      <c r="W1979">
        <v>12</v>
      </c>
    </row>
    <row r="1980" spans="1:23" x14ac:dyDescent="0.25">
      <c r="A1980" t="s">
        <v>889</v>
      </c>
      <c r="B1980">
        <v>45655.067314814813</v>
      </c>
      <c r="C1980" t="s">
        <v>167</v>
      </c>
      <c r="D1980" t="s">
        <v>44</v>
      </c>
      <c r="E1980" t="s">
        <v>62</v>
      </c>
      <c r="F1980" t="s">
        <v>2398</v>
      </c>
      <c r="G1980" t="s">
        <v>2378</v>
      </c>
      <c r="H1980">
        <v>50000</v>
      </c>
      <c r="I1980">
        <v>2</v>
      </c>
      <c r="J1980">
        <v>0</v>
      </c>
      <c r="K1980">
        <v>100000</v>
      </c>
      <c r="L1980">
        <v>0</v>
      </c>
      <c r="M1980">
        <v>100000</v>
      </c>
      <c r="N1980">
        <v>93000</v>
      </c>
      <c r="O1980">
        <v>193000</v>
      </c>
      <c r="P1980" t="s">
        <v>35</v>
      </c>
      <c r="Q1980" t="s">
        <v>2357</v>
      </c>
      <c r="R1980" t="s">
        <v>46</v>
      </c>
      <c r="S1980">
        <v>1</v>
      </c>
      <c r="T1980" t="s">
        <v>24</v>
      </c>
      <c r="U1980" t="s">
        <v>2412</v>
      </c>
      <c r="V1980">
        <v>2024</v>
      </c>
      <c r="W1980">
        <v>12</v>
      </c>
    </row>
    <row r="1981" spans="1:23" x14ac:dyDescent="0.25">
      <c r="A1981" t="s">
        <v>890</v>
      </c>
      <c r="B1981">
        <v>45655.068379629629</v>
      </c>
      <c r="C1981" t="s">
        <v>891</v>
      </c>
      <c r="D1981" t="s">
        <v>126</v>
      </c>
      <c r="E1981" t="s">
        <v>144</v>
      </c>
      <c r="F1981" t="s">
        <v>2396</v>
      </c>
      <c r="G1981" t="s">
        <v>2379</v>
      </c>
      <c r="H1981">
        <v>18000</v>
      </c>
      <c r="I1981">
        <v>4</v>
      </c>
      <c r="J1981">
        <v>5</v>
      </c>
      <c r="K1981">
        <v>72000</v>
      </c>
      <c r="L1981">
        <v>3600</v>
      </c>
      <c r="M1981">
        <v>68400</v>
      </c>
      <c r="N1981">
        <v>84000</v>
      </c>
      <c r="O1981">
        <v>152400</v>
      </c>
      <c r="P1981" t="s">
        <v>35</v>
      </c>
      <c r="Q1981" t="s">
        <v>2357</v>
      </c>
      <c r="R1981" t="s">
        <v>46</v>
      </c>
      <c r="S1981">
        <v>1</v>
      </c>
      <c r="T1981" t="s">
        <v>37</v>
      </c>
      <c r="U1981" t="s">
        <v>2412</v>
      </c>
      <c r="V1981">
        <v>2024</v>
      </c>
      <c r="W1981">
        <v>12</v>
      </c>
    </row>
    <row r="1982" spans="1:23" x14ac:dyDescent="0.25">
      <c r="A1982" t="s">
        <v>892</v>
      </c>
      <c r="B1982">
        <v>45655.187175925923</v>
      </c>
      <c r="C1982" t="s">
        <v>91</v>
      </c>
      <c r="D1982" t="s">
        <v>92</v>
      </c>
      <c r="E1982" t="s">
        <v>190</v>
      </c>
      <c r="F1982" t="s">
        <v>2392</v>
      </c>
      <c r="G1982" t="s">
        <v>2378</v>
      </c>
      <c r="H1982">
        <v>35000</v>
      </c>
      <c r="I1982">
        <v>1</v>
      </c>
      <c r="J1982">
        <v>10</v>
      </c>
      <c r="K1982">
        <v>35000</v>
      </c>
      <c r="L1982">
        <v>3500</v>
      </c>
      <c r="M1982">
        <v>31500</v>
      </c>
      <c r="N1982">
        <v>30000</v>
      </c>
      <c r="O1982">
        <v>61500</v>
      </c>
      <c r="P1982" t="s">
        <v>63</v>
      </c>
      <c r="Q1982" t="s">
        <v>2357</v>
      </c>
      <c r="R1982" t="s">
        <v>82</v>
      </c>
      <c r="S1982">
        <v>3</v>
      </c>
      <c r="T1982" t="s">
        <v>24</v>
      </c>
      <c r="U1982" t="s">
        <v>2412</v>
      </c>
      <c r="V1982">
        <v>2024</v>
      </c>
      <c r="W1982">
        <v>12</v>
      </c>
    </row>
    <row r="1983" spans="1:23" x14ac:dyDescent="0.25">
      <c r="A1983" t="s">
        <v>893</v>
      </c>
      <c r="B1983">
        <v>45655.374756944453</v>
      </c>
      <c r="C1983" t="s">
        <v>331</v>
      </c>
      <c r="D1983" t="s">
        <v>20</v>
      </c>
      <c r="E1983" t="s">
        <v>104</v>
      </c>
      <c r="F1983" t="s">
        <v>2392</v>
      </c>
      <c r="G1983" t="s">
        <v>2377</v>
      </c>
      <c r="H1983">
        <v>30000</v>
      </c>
      <c r="I1983">
        <v>2</v>
      </c>
      <c r="J1983">
        <v>20</v>
      </c>
      <c r="K1983">
        <v>60000</v>
      </c>
      <c r="L1983">
        <v>12000</v>
      </c>
      <c r="M1983">
        <v>48000</v>
      </c>
      <c r="N1983">
        <v>15000</v>
      </c>
      <c r="O1983">
        <v>63000</v>
      </c>
      <c r="P1983" t="s">
        <v>22</v>
      </c>
      <c r="Q1983" t="s">
        <v>2357</v>
      </c>
      <c r="R1983" t="s">
        <v>82</v>
      </c>
      <c r="S1983">
        <v>1</v>
      </c>
      <c r="T1983" t="s">
        <v>37</v>
      </c>
      <c r="U1983" t="s">
        <v>2412</v>
      </c>
      <c r="V1983">
        <v>2024</v>
      </c>
      <c r="W1983">
        <v>12</v>
      </c>
    </row>
    <row r="1984" spans="1:23" x14ac:dyDescent="0.25">
      <c r="A1984" t="s">
        <v>894</v>
      </c>
      <c r="B1984">
        <v>45655.458425925928</v>
      </c>
      <c r="C1984" t="s">
        <v>100</v>
      </c>
      <c r="D1984" t="s">
        <v>66</v>
      </c>
      <c r="E1984" t="s">
        <v>28</v>
      </c>
      <c r="F1984" t="s">
        <v>2395</v>
      </c>
      <c r="G1984" t="s">
        <v>2378</v>
      </c>
      <c r="H1984">
        <v>5000</v>
      </c>
      <c r="I1984">
        <v>3</v>
      </c>
      <c r="J1984">
        <v>10</v>
      </c>
      <c r="K1984">
        <v>15000</v>
      </c>
      <c r="L1984">
        <v>1500</v>
      </c>
      <c r="M1984">
        <v>13500</v>
      </c>
      <c r="N1984">
        <v>59000</v>
      </c>
      <c r="O1984">
        <v>72500</v>
      </c>
      <c r="P1984" t="s">
        <v>22</v>
      </c>
      <c r="Q1984" t="s">
        <v>2356</v>
      </c>
      <c r="R1984" t="s">
        <v>30</v>
      </c>
      <c r="S1984">
        <v>4</v>
      </c>
      <c r="T1984" t="s">
        <v>24</v>
      </c>
      <c r="U1984" t="s">
        <v>2412</v>
      </c>
      <c r="V1984">
        <v>2024</v>
      </c>
      <c r="W1984">
        <v>12</v>
      </c>
    </row>
    <row r="1985" spans="1:23" x14ac:dyDescent="0.25">
      <c r="A1985" t="s">
        <v>895</v>
      </c>
      <c r="B1985">
        <v>45655.817673611113</v>
      </c>
      <c r="C1985" t="s">
        <v>551</v>
      </c>
      <c r="D1985" t="s">
        <v>262</v>
      </c>
      <c r="E1985" t="s">
        <v>144</v>
      </c>
      <c r="F1985" t="s">
        <v>2396</v>
      </c>
      <c r="G1985" t="s">
        <v>2379</v>
      </c>
      <c r="H1985">
        <v>18000</v>
      </c>
      <c r="I1985">
        <v>2</v>
      </c>
      <c r="J1985">
        <v>0</v>
      </c>
      <c r="K1985">
        <v>36000</v>
      </c>
      <c r="L1985">
        <v>0</v>
      </c>
      <c r="M1985">
        <v>36000</v>
      </c>
      <c r="N1985">
        <v>18000</v>
      </c>
      <c r="O1985">
        <v>54000</v>
      </c>
      <c r="P1985" t="s">
        <v>29</v>
      </c>
      <c r="Q1985" t="s">
        <v>2359</v>
      </c>
      <c r="R1985" t="s">
        <v>46</v>
      </c>
      <c r="S1985">
        <v>2</v>
      </c>
      <c r="T1985" t="s">
        <v>37</v>
      </c>
      <c r="U1985" t="s">
        <v>2412</v>
      </c>
      <c r="V1985">
        <v>2024</v>
      </c>
      <c r="W1985">
        <v>12</v>
      </c>
    </row>
    <row r="1986" spans="1:23" x14ac:dyDescent="0.25">
      <c r="A1986" t="s">
        <v>896</v>
      </c>
      <c r="B1986">
        <v>45656.280972222223</v>
      </c>
      <c r="C1986" t="s">
        <v>299</v>
      </c>
      <c r="D1986" t="s">
        <v>163</v>
      </c>
      <c r="E1986" t="s">
        <v>88</v>
      </c>
      <c r="F1986" t="s">
        <v>2393</v>
      </c>
      <c r="G1986" t="s">
        <v>2377</v>
      </c>
      <c r="H1986">
        <v>14000</v>
      </c>
      <c r="I1986">
        <v>5</v>
      </c>
      <c r="J1986">
        <v>15</v>
      </c>
      <c r="K1986">
        <v>70000</v>
      </c>
      <c r="L1986">
        <v>10500</v>
      </c>
      <c r="M1986">
        <v>59500</v>
      </c>
      <c r="N1986">
        <v>50000</v>
      </c>
      <c r="O1986">
        <v>109500</v>
      </c>
      <c r="P1986" t="s">
        <v>22</v>
      </c>
      <c r="Q1986" t="s">
        <v>2357</v>
      </c>
      <c r="R1986" t="s">
        <v>46</v>
      </c>
      <c r="S1986">
        <v>5</v>
      </c>
      <c r="T1986" t="s">
        <v>24</v>
      </c>
      <c r="U1986" t="s">
        <v>2412</v>
      </c>
      <c r="V1986">
        <v>2024</v>
      </c>
      <c r="W1986">
        <v>12</v>
      </c>
    </row>
    <row r="1987" spans="1:23" x14ac:dyDescent="0.25">
      <c r="A1987" t="s">
        <v>897</v>
      </c>
      <c r="B1987">
        <v>45656.804756944453</v>
      </c>
      <c r="C1987" t="s">
        <v>898</v>
      </c>
      <c r="D1987" t="s">
        <v>195</v>
      </c>
      <c r="E1987" t="s">
        <v>174</v>
      </c>
      <c r="F1987" t="s">
        <v>2400</v>
      </c>
      <c r="G1987" t="s">
        <v>2377</v>
      </c>
      <c r="H1987">
        <v>10000</v>
      </c>
      <c r="I1987">
        <v>4</v>
      </c>
      <c r="J1987">
        <v>5</v>
      </c>
      <c r="K1987">
        <v>40000</v>
      </c>
      <c r="L1987">
        <v>2000</v>
      </c>
      <c r="M1987">
        <v>38000</v>
      </c>
      <c r="N1987">
        <v>87000</v>
      </c>
      <c r="O1987">
        <v>125000</v>
      </c>
      <c r="P1987" t="s">
        <v>29</v>
      </c>
      <c r="Q1987" t="s">
        <v>2357</v>
      </c>
      <c r="R1987" t="s">
        <v>82</v>
      </c>
      <c r="S1987">
        <v>2</v>
      </c>
      <c r="T1987" t="s">
        <v>24</v>
      </c>
      <c r="U1987" t="s">
        <v>2412</v>
      </c>
      <c r="V1987">
        <v>2024</v>
      </c>
      <c r="W1987">
        <v>12</v>
      </c>
    </row>
    <row r="1988" spans="1:23" x14ac:dyDescent="0.25">
      <c r="A1988" t="s">
        <v>899</v>
      </c>
      <c r="B1988">
        <v>45656.917453703703</v>
      </c>
      <c r="C1988" t="s">
        <v>900</v>
      </c>
      <c r="D1988" t="s">
        <v>27</v>
      </c>
      <c r="E1988" t="s">
        <v>34</v>
      </c>
      <c r="F1988" t="s">
        <v>2397</v>
      </c>
      <c r="G1988" t="s">
        <v>2377</v>
      </c>
      <c r="H1988">
        <v>16000</v>
      </c>
      <c r="I1988">
        <v>4</v>
      </c>
      <c r="J1988">
        <v>15</v>
      </c>
      <c r="K1988">
        <v>64000</v>
      </c>
      <c r="L1988">
        <v>9600</v>
      </c>
      <c r="M1988">
        <v>54400</v>
      </c>
      <c r="N1988">
        <v>17000</v>
      </c>
      <c r="O1988">
        <v>71400</v>
      </c>
      <c r="P1988" t="s">
        <v>29</v>
      </c>
      <c r="Q1988" t="s">
        <v>2356</v>
      </c>
      <c r="R1988" t="s">
        <v>82</v>
      </c>
      <c r="S1988">
        <v>2</v>
      </c>
      <c r="T1988" t="s">
        <v>24</v>
      </c>
      <c r="U1988" t="s">
        <v>2412</v>
      </c>
      <c r="V1988">
        <v>2024</v>
      </c>
      <c r="W1988">
        <v>12</v>
      </c>
    </row>
    <row r="1989" spans="1:23" x14ac:dyDescent="0.25">
      <c r="A1989" t="s">
        <v>901</v>
      </c>
      <c r="B1989">
        <v>45656.930266203701</v>
      </c>
      <c r="C1989" t="s">
        <v>758</v>
      </c>
      <c r="D1989" t="s">
        <v>238</v>
      </c>
      <c r="E1989" t="s">
        <v>41</v>
      </c>
      <c r="F1989" t="s">
        <v>2395</v>
      </c>
      <c r="G1989" t="s">
        <v>2377</v>
      </c>
      <c r="H1989">
        <v>4000</v>
      </c>
      <c r="I1989">
        <v>1</v>
      </c>
      <c r="J1989">
        <v>5</v>
      </c>
      <c r="K1989">
        <v>4000</v>
      </c>
      <c r="L1989">
        <v>200</v>
      </c>
      <c r="M1989">
        <v>3800</v>
      </c>
      <c r="N1989">
        <v>28000</v>
      </c>
      <c r="O1989">
        <v>31800</v>
      </c>
      <c r="P1989" t="s">
        <v>35</v>
      </c>
      <c r="Q1989" t="s">
        <v>2357</v>
      </c>
      <c r="R1989" t="s">
        <v>30</v>
      </c>
      <c r="S1989">
        <v>1</v>
      </c>
      <c r="T1989" t="s">
        <v>24</v>
      </c>
      <c r="U1989" t="s">
        <v>2412</v>
      </c>
      <c r="V1989">
        <v>2024</v>
      </c>
      <c r="W1989">
        <v>12</v>
      </c>
    </row>
    <row r="1990" spans="1:23" x14ac:dyDescent="0.25">
      <c r="A1990" t="s">
        <v>902</v>
      </c>
      <c r="B1990">
        <v>45657.015648148154</v>
      </c>
      <c r="C1990" t="s">
        <v>381</v>
      </c>
      <c r="D1990" t="s">
        <v>103</v>
      </c>
      <c r="E1990" t="s">
        <v>138</v>
      </c>
      <c r="F1990" t="s">
        <v>2396</v>
      </c>
      <c r="G1990" t="s">
        <v>2378</v>
      </c>
      <c r="H1990">
        <v>17000</v>
      </c>
      <c r="I1990">
        <v>3</v>
      </c>
      <c r="J1990">
        <v>0</v>
      </c>
      <c r="K1990">
        <v>51000</v>
      </c>
      <c r="L1990">
        <v>0</v>
      </c>
      <c r="M1990">
        <v>51000</v>
      </c>
      <c r="N1990">
        <v>85000</v>
      </c>
      <c r="O1990">
        <v>136000</v>
      </c>
      <c r="P1990" t="s">
        <v>63</v>
      </c>
      <c r="Q1990" t="s">
        <v>2356</v>
      </c>
      <c r="R1990" t="s">
        <v>30</v>
      </c>
      <c r="S1990">
        <v>4</v>
      </c>
      <c r="T1990" t="s">
        <v>24</v>
      </c>
      <c r="U1990" t="s">
        <v>2412</v>
      </c>
      <c r="V1990">
        <v>2024</v>
      </c>
      <c r="W1990">
        <v>12</v>
      </c>
    </row>
    <row r="1991" spans="1:23" x14ac:dyDescent="0.25">
      <c r="A1991" t="s">
        <v>903</v>
      </c>
      <c r="B1991">
        <v>45657.066030092603</v>
      </c>
      <c r="C1991" t="s">
        <v>904</v>
      </c>
      <c r="D1991" t="s">
        <v>296</v>
      </c>
      <c r="E1991" t="s">
        <v>81</v>
      </c>
      <c r="F1991" t="s">
        <v>2397</v>
      </c>
      <c r="G1991" t="s">
        <v>2378</v>
      </c>
      <c r="H1991">
        <v>17000</v>
      </c>
      <c r="I1991">
        <v>3</v>
      </c>
      <c r="J1991">
        <v>0</v>
      </c>
      <c r="K1991">
        <v>51000</v>
      </c>
      <c r="L1991">
        <v>0</v>
      </c>
      <c r="M1991">
        <v>51000</v>
      </c>
      <c r="N1991">
        <v>79000</v>
      </c>
      <c r="O1991">
        <v>130000</v>
      </c>
      <c r="P1991" t="s">
        <v>29</v>
      </c>
      <c r="Q1991" t="s">
        <v>2356</v>
      </c>
      <c r="R1991" t="s">
        <v>36</v>
      </c>
      <c r="S1991">
        <v>4</v>
      </c>
      <c r="T1991" t="s">
        <v>37</v>
      </c>
      <c r="U1991" t="s">
        <v>2412</v>
      </c>
      <c r="V1991">
        <v>2024</v>
      </c>
      <c r="W1991">
        <v>12</v>
      </c>
    </row>
    <row r="1992" spans="1:23" x14ac:dyDescent="0.25">
      <c r="A1992" t="s">
        <v>905</v>
      </c>
      <c r="B1992">
        <v>45657.206493055557</v>
      </c>
      <c r="C1992" t="s">
        <v>269</v>
      </c>
      <c r="D1992" t="s">
        <v>173</v>
      </c>
      <c r="E1992" t="s">
        <v>67</v>
      </c>
      <c r="F1992" t="s">
        <v>2393</v>
      </c>
      <c r="G1992" t="s">
        <v>2378</v>
      </c>
      <c r="H1992">
        <v>15000</v>
      </c>
      <c r="I1992">
        <v>2</v>
      </c>
      <c r="J1992">
        <v>0</v>
      </c>
      <c r="K1992">
        <v>30000</v>
      </c>
      <c r="L1992">
        <v>0</v>
      </c>
      <c r="M1992">
        <v>30000</v>
      </c>
      <c r="N1992">
        <v>49000</v>
      </c>
      <c r="O1992">
        <v>79000</v>
      </c>
      <c r="P1992" t="s">
        <v>29</v>
      </c>
      <c r="Q1992" t="s">
        <v>2357</v>
      </c>
      <c r="R1992" t="s">
        <v>23</v>
      </c>
      <c r="S1992">
        <v>4</v>
      </c>
      <c r="T1992" t="s">
        <v>37</v>
      </c>
      <c r="U1992" t="s">
        <v>2412</v>
      </c>
      <c r="V1992">
        <v>2024</v>
      </c>
      <c r="W1992">
        <v>12</v>
      </c>
    </row>
    <row r="1993" spans="1:23" x14ac:dyDescent="0.25">
      <c r="A1993" t="s">
        <v>906</v>
      </c>
      <c r="B1993">
        <v>45657.253738425927</v>
      </c>
      <c r="C1993" t="s">
        <v>359</v>
      </c>
      <c r="D1993" t="s">
        <v>70</v>
      </c>
      <c r="E1993" t="s">
        <v>50</v>
      </c>
      <c r="F1993" t="s">
        <v>2400</v>
      </c>
      <c r="G1993" t="s">
        <v>2379</v>
      </c>
      <c r="H1993">
        <v>14000</v>
      </c>
      <c r="I1993">
        <v>1</v>
      </c>
      <c r="J1993">
        <v>10</v>
      </c>
      <c r="K1993">
        <v>14000</v>
      </c>
      <c r="L1993">
        <v>1400</v>
      </c>
      <c r="M1993">
        <v>12600</v>
      </c>
      <c r="N1993">
        <v>89000</v>
      </c>
      <c r="O1993">
        <v>101600</v>
      </c>
      <c r="P1993" t="s">
        <v>29</v>
      </c>
      <c r="Q1993" t="s">
        <v>2357</v>
      </c>
      <c r="R1993" t="s">
        <v>23</v>
      </c>
      <c r="S1993">
        <v>1</v>
      </c>
      <c r="T1993" t="s">
        <v>24</v>
      </c>
      <c r="U1993" t="s">
        <v>2412</v>
      </c>
      <c r="V1993">
        <v>2024</v>
      </c>
      <c r="W1993">
        <v>12</v>
      </c>
    </row>
    <row r="1994" spans="1:23" x14ac:dyDescent="0.25">
      <c r="A1994" t="s">
        <v>907</v>
      </c>
      <c r="B1994">
        <v>45657.470694444448</v>
      </c>
      <c r="C1994" t="s">
        <v>425</v>
      </c>
      <c r="D1994" t="s">
        <v>44</v>
      </c>
      <c r="E1994" t="s">
        <v>75</v>
      </c>
      <c r="F1994" t="s">
        <v>2398</v>
      </c>
      <c r="G1994" t="s">
        <v>2379</v>
      </c>
      <c r="H1994">
        <v>55000</v>
      </c>
      <c r="I1994">
        <v>2</v>
      </c>
      <c r="J1994">
        <v>10</v>
      </c>
      <c r="K1994">
        <v>110000</v>
      </c>
      <c r="L1994">
        <v>11000</v>
      </c>
      <c r="M1994">
        <v>99000</v>
      </c>
      <c r="N1994">
        <v>93000</v>
      </c>
      <c r="O1994">
        <v>192000</v>
      </c>
      <c r="P1994" t="s">
        <v>22</v>
      </c>
      <c r="Q1994" t="s">
        <v>2357</v>
      </c>
      <c r="R1994" t="s">
        <v>46</v>
      </c>
      <c r="S1994">
        <v>1</v>
      </c>
      <c r="T1994" t="s">
        <v>37</v>
      </c>
      <c r="U1994" t="s">
        <v>2412</v>
      </c>
      <c r="V1994">
        <v>2024</v>
      </c>
      <c r="W1994">
        <v>12</v>
      </c>
    </row>
    <row r="1995" spans="1:23" x14ac:dyDescent="0.25">
      <c r="A1995" t="s">
        <v>908</v>
      </c>
      <c r="B1995">
        <v>45657.500381944446</v>
      </c>
      <c r="C1995" t="s">
        <v>532</v>
      </c>
      <c r="D1995" t="s">
        <v>262</v>
      </c>
      <c r="E1995" t="s">
        <v>110</v>
      </c>
      <c r="F1995" t="s">
        <v>2395</v>
      </c>
      <c r="G1995" t="s">
        <v>2379</v>
      </c>
      <c r="H1995">
        <v>6000</v>
      </c>
      <c r="I1995">
        <v>5</v>
      </c>
      <c r="J1995">
        <v>5</v>
      </c>
      <c r="K1995">
        <v>30000</v>
      </c>
      <c r="L1995">
        <v>1500</v>
      </c>
      <c r="M1995">
        <v>28500</v>
      </c>
      <c r="N1995">
        <v>18000</v>
      </c>
      <c r="O1995">
        <v>46500</v>
      </c>
      <c r="P1995" t="s">
        <v>35</v>
      </c>
      <c r="Q1995" t="s">
        <v>2357</v>
      </c>
      <c r="R1995" t="s">
        <v>23</v>
      </c>
      <c r="S1995">
        <v>3</v>
      </c>
      <c r="T1995" t="s">
        <v>24</v>
      </c>
      <c r="U1995" t="s">
        <v>2412</v>
      </c>
      <c r="V1995">
        <v>2024</v>
      </c>
      <c r="W1995">
        <v>12</v>
      </c>
    </row>
    <row r="1996" spans="1:23" x14ac:dyDescent="0.25">
      <c r="A1996" t="s">
        <v>909</v>
      </c>
      <c r="B1996">
        <v>45657.556770833333</v>
      </c>
      <c r="C1996" t="s">
        <v>703</v>
      </c>
      <c r="D1996" t="s">
        <v>122</v>
      </c>
      <c r="E1996" t="s">
        <v>85</v>
      </c>
      <c r="F1996" t="s">
        <v>2394</v>
      </c>
      <c r="G1996" t="s">
        <v>2377</v>
      </c>
      <c r="H1996">
        <v>35000</v>
      </c>
      <c r="I1996">
        <v>3</v>
      </c>
      <c r="J1996">
        <v>0</v>
      </c>
      <c r="K1996">
        <v>105000</v>
      </c>
      <c r="L1996">
        <v>0</v>
      </c>
      <c r="M1996">
        <v>105000</v>
      </c>
      <c r="N1996">
        <v>78000</v>
      </c>
      <c r="O1996">
        <v>183000</v>
      </c>
      <c r="P1996" t="s">
        <v>29</v>
      </c>
      <c r="Q1996" t="s">
        <v>2357</v>
      </c>
      <c r="R1996" t="s">
        <v>30</v>
      </c>
      <c r="S1996">
        <v>5</v>
      </c>
      <c r="T1996" t="s">
        <v>24</v>
      </c>
      <c r="U1996" t="s">
        <v>2412</v>
      </c>
      <c r="V1996">
        <v>2024</v>
      </c>
      <c r="W1996">
        <v>12</v>
      </c>
    </row>
    <row r="1997" spans="1:23" x14ac:dyDescent="0.25">
      <c r="A1997" t="s">
        <v>910</v>
      </c>
      <c r="B1997">
        <v>45657.661597222221</v>
      </c>
      <c r="C1997" t="s">
        <v>87</v>
      </c>
      <c r="D1997" t="s">
        <v>80</v>
      </c>
      <c r="E1997" t="s">
        <v>41</v>
      </c>
      <c r="F1997" t="s">
        <v>2395</v>
      </c>
      <c r="G1997" t="s">
        <v>2377</v>
      </c>
      <c r="H1997">
        <v>4000</v>
      </c>
      <c r="I1997">
        <v>4</v>
      </c>
      <c r="J1997">
        <v>10</v>
      </c>
      <c r="K1997">
        <v>16000</v>
      </c>
      <c r="L1997">
        <v>1600</v>
      </c>
      <c r="M1997">
        <v>14400</v>
      </c>
      <c r="N1997">
        <v>74000</v>
      </c>
      <c r="O1997">
        <v>88400</v>
      </c>
      <c r="P1997" t="s">
        <v>35</v>
      </c>
      <c r="Q1997" t="s">
        <v>2356</v>
      </c>
      <c r="R1997" t="s">
        <v>46</v>
      </c>
      <c r="S1997">
        <v>5</v>
      </c>
      <c r="T1997" t="s">
        <v>24</v>
      </c>
      <c r="U1997" t="s">
        <v>2412</v>
      </c>
      <c r="V1997">
        <v>2024</v>
      </c>
      <c r="W1997">
        <v>12</v>
      </c>
    </row>
    <row r="1998" spans="1:23" x14ac:dyDescent="0.25">
      <c r="A1998" t="s">
        <v>911</v>
      </c>
      <c r="B1998">
        <v>45657.785000000003</v>
      </c>
      <c r="C1998" t="s">
        <v>812</v>
      </c>
      <c r="D1998" t="s">
        <v>33</v>
      </c>
      <c r="E1998" t="s">
        <v>174</v>
      </c>
      <c r="F1998" t="s">
        <v>2400</v>
      </c>
      <c r="G1998" t="s">
        <v>2377</v>
      </c>
      <c r="H1998">
        <v>10000</v>
      </c>
      <c r="I1998">
        <v>4</v>
      </c>
      <c r="J1998">
        <v>10</v>
      </c>
      <c r="K1998">
        <v>40000</v>
      </c>
      <c r="L1998">
        <v>4000</v>
      </c>
      <c r="M1998">
        <v>36000</v>
      </c>
      <c r="N1998">
        <v>76000</v>
      </c>
      <c r="O1998">
        <v>112000</v>
      </c>
      <c r="P1998" t="s">
        <v>29</v>
      </c>
      <c r="Q1998" t="s">
        <v>2357</v>
      </c>
      <c r="R1998" t="s">
        <v>36</v>
      </c>
      <c r="S1998">
        <v>1</v>
      </c>
      <c r="T1998" t="s">
        <v>24</v>
      </c>
      <c r="U1998" t="s">
        <v>2412</v>
      </c>
      <c r="V1998">
        <v>2024</v>
      </c>
      <c r="W1998">
        <v>12</v>
      </c>
    </row>
    <row r="1999" spans="1:23" x14ac:dyDescent="0.25">
      <c r="A1999" t="s">
        <v>911</v>
      </c>
      <c r="B1999">
        <v>45657.785000000003</v>
      </c>
      <c r="C1999" t="s">
        <v>812</v>
      </c>
      <c r="D1999" t="s">
        <v>33</v>
      </c>
      <c r="E1999" t="s">
        <v>75</v>
      </c>
      <c r="F1999" t="s">
        <v>2398</v>
      </c>
      <c r="G1999" t="s">
        <v>2379</v>
      </c>
      <c r="H1999">
        <v>55000</v>
      </c>
      <c r="I1999">
        <v>2</v>
      </c>
      <c r="J1999">
        <v>15</v>
      </c>
      <c r="K1999">
        <v>110000</v>
      </c>
      <c r="L1999">
        <v>16500</v>
      </c>
      <c r="M1999">
        <v>93500</v>
      </c>
      <c r="N1999">
        <v>0</v>
      </c>
      <c r="O1999">
        <v>93500</v>
      </c>
      <c r="P1999" t="s">
        <v>29</v>
      </c>
      <c r="Q1999" t="s">
        <v>2357</v>
      </c>
      <c r="R1999" t="s">
        <v>36</v>
      </c>
      <c r="S1999">
        <v>1</v>
      </c>
      <c r="T1999" t="s">
        <v>24</v>
      </c>
      <c r="U1999" t="s">
        <v>2412</v>
      </c>
      <c r="V1999">
        <v>2024</v>
      </c>
      <c r="W1999">
        <v>12</v>
      </c>
    </row>
    <row r="2000" spans="1:23" x14ac:dyDescent="0.25">
      <c r="A2000" t="s">
        <v>912</v>
      </c>
      <c r="B2000">
        <v>45657.819618055553</v>
      </c>
      <c r="C2000" t="s">
        <v>619</v>
      </c>
      <c r="D2000" t="s">
        <v>435</v>
      </c>
      <c r="E2000" t="s">
        <v>50</v>
      </c>
      <c r="F2000" t="s">
        <v>2400</v>
      </c>
      <c r="G2000" t="s">
        <v>2379</v>
      </c>
      <c r="H2000">
        <v>14000</v>
      </c>
      <c r="I2000">
        <v>1</v>
      </c>
      <c r="J2000">
        <v>20</v>
      </c>
      <c r="K2000">
        <v>14000</v>
      </c>
      <c r="L2000">
        <v>2800</v>
      </c>
      <c r="M2000">
        <v>11200</v>
      </c>
      <c r="N2000">
        <v>67000</v>
      </c>
      <c r="O2000">
        <v>78200</v>
      </c>
      <c r="P2000" t="s">
        <v>35</v>
      </c>
      <c r="Q2000" t="s">
        <v>2357</v>
      </c>
      <c r="R2000" t="s">
        <v>82</v>
      </c>
      <c r="S2000">
        <v>4</v>
      </c>
      <c r="T2000" t="s">
        <v>24</v>
      </c>
      <c r="U2000" t="s">
        <v>2412</v>
      </c>
      <c r="V2000">
        <v>2024</v>
      </c>
      <c r="W2000">
        <v>12</v>
      </c>
    </row>
    <row r="2001" spans="1:23" x14ac:dyDescent="0.25">
      <c r="A2001" t="s">
        <v>913</v>
      </c>
      <c r="B2001">
        <v>45657.956782407397</v>
      </c>
      <c r="C2001" t="s">
        <v>385</v>
      </c>
      <c r="D2001" t="s">
        <v>375</v>
      </c>
      <c r="E2001" t="s">
        <v>110</v>
      </c>
      <c r="F2001" t="s">
        <v>2395</v>
      </c>
      <c r="G2001" t="s">
        <v>2379</v>
      </c>
      <c r="H2001">
        <v>6000</v>
      </c>
      <c r="I2001">
        <v>3</v>
      </c>
      <c r="J2001">
        <v>20</v>
      </c>
      <c r="K2001">
        <v>18000</v>
      </c>
      <c r="L2001">
        <v>3600</v>
      </c>
      <c r="M2001">
        <v>14400</v>
      </c>
      <c r="N2001">
        <v>21000</v>
      </c>
      <c r="O2001">
        <v>35400</v>
      </c>
      <c r="P2001" t="s">
        <v>35</v>
      </c>
      <c r="Q2001" t="s">
        <v>2357</v>
      </c>
      <c r="R2001" t="s">
        <v>46</v>
      </c>
      <c r="S2001">
        <v>5</v>
      </c>
      <c r="T2001" t="s">
        <v>24</v>
      </c>
      <c r="U2001" t="s">
        <v>2412</v>
      </c>
      <c r="V2001">
        <v>2024</v>
      </c>
      <c r="W2001">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661B-C73D-4005-8880-3A85EBE90920}">
  <dimension ref="A1"/>
  <sheetViews>
    <sheetView showGridLines="0" tabSelected="1" zoomScale="55" zoomScaleNormal="55" workbookViewId="0">
      <selection activeCell="AC11" sqref="AC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6E205-5AA0-4D6D-9AED-B6BC19F029FD}">
  <dimension ref="A1:AO19"/>
  <sheetViews>
    <sheetView topLeftCell="H1" zoomScaleNormal="100" workbookViewId="0">
      <selection activeCell="O8" sqref="O8"/>
    </sheetView>
  </sheetViews>
  <sheetFormatPr defaultRowHeight="15" x14ac:dyDescent="0.25"/>
  <cols>
    <col min="1" max="1" width="15.42578125" bestFit="1" customWidth="1"/>
    <col min="3" max="3" width="17.28515625" bestFit="1" customWidth="1"/>
    <col min="5" max="5" width="16.5703125" bestFit="1" customWidth="1"/>
    <col min="7" max="7" width="13.140625" bestFit="1" customWidth="1"/>
    <col min="8" max="8" width="17.28515625" bestFit="1" customWidth="1"/>
    <col min="10" max="10" width="16.5703125" customWidth="1"/>
    <col min="12" max="12" width="14.42578125" bestFit="1" customWidth="1"/>
    <col min="13" max="13" width="15.42578125" bestFit="1" customWidth="1"/>
    <col min="14" max="14" width="12.42578125" bestFit="1" customWidth="1"/>
    <col min="17" max="17" width="13.140625" bestFit="1" customWidth="1"/>
    <col min="18" max="18" width="15.42578125" bestFit="1" customWidth="1"/>
    <col min="22" max="22" width="13.140625" bestFit="1" customWidth="1"/>
    <col min="23" max="23" width="17.28515625" bestFit="1" customWidth="1"/>
    <col min="24" max="24" width="12.140625" bestFit="1" customWidth="1"/>
    <col min="25" max="25" width="7" customWidth="1"/>
    <col min="26" max="26" width="12.5703125" bestFit="1" customWidth="1"/>
    <col min="29" max="29" width="15.85546875" bestFit="1" customWidth="1"/>
    <col min="30" max="30" width="17.28515625" bestFit="1" customWidth="1"/>
    <col min="31" max="31" width="16.7109375" bestFit="1" customWidth="1"/>
    <col min="34" max="34" width="13.140625" bestFit="1" customWidth="1"/>
    <col min="35" max="35" width="17.28515625" bestFit="1" customWidth="1"/>
    <col min="36" max="36" width="13.140625" bestFit="1" customWidth="1"/>
    <col min="38" max="38" width="12" customWidth="1"/>
    <col min="40" max="40" width="13.140625" bestFit="1" customWidth="1"/>
    <col min="41" max="41" width="17.28515625" bestFit="1" customWidth="1"/>
  </cols>
  <sheetData>
    <row r="1" spans="1:41" x14ac:dyDescent="0.25">
      <c r="A1" s="35" t="s">
        <v>2417</v>
      </c>
      <c r="C1" s="35" t="s">
        <v>2382</v>
      </c>
      <c r="E1" s="35" t="s">
        <v>2389</v>
      </c>
      <c r="G1" s="35" t="s">
        <v>2420</v>
      </c>
      <c r="L1" s="35" t="s">
        <v>2421</v>
      </c>
      <c r="Q1" s="35" t="s">
        <v>2422</v>
      </c>
      <c r="V1" s="35" t="s">
        <v>2423</v>
      </c>
      <c r="X1" s="41"/>
      <c r="AC1" s="35" t="s">
        <v>2425</v>
      </c>
      <c r="AH1" s="35" t="s">
        <v>2424</v>
      </c>
      <c r="AN1" s="35" t="s">
        <v>2426</v>
      </c>
    </row>
    <row r="4" spans="1:41" x14ac:dyDescent="0.25">
      <c r="A4" t="s">
        <v>2418</v>
      </c>
      <c r="C4" t="s">
        <v>2416</v>
      </c>
      <c r="E4" t="s">
        <v>2414</v>
      </c>
      <c r="G4" s="38" t="s">
        <v>2415</v>
      </c>
      <c r="H4" t="s">
        <v>2416</v>
      </c>
      <c r="J4" s="35" t="s">
        <v>2419</v>
      </c>
      <c r="L4" s="38" t="s">
        <v>2415</v>
      </c>
      <c r="M4" t="s">
        <v>2418</v>
      </c>
      <c r="Q4" s="38" t="s">
        <v>2415</v>
      </c>
      <c r="R4" t="s">
        <v>2418</v>
      </c>
      <c r="V4" s="38" t="s">
        <v>2415</v>
      </c>
      <c r="W4" t="s">
        <v>2416</v>
      </c>
      <c r="Z4" s="40">
        <f>SUM(W5:W9)</f>
        <v>128487050</v>
      </c>
      <c r="AC4" s="38" t="s">
        <v>2415</v>
      </c>
      <c r="AD4" t="s">
        <v>2416</v>
      </c>
      <c r="AH4" s="38" t="s">
        <v>2415</v>
      </c>
      <c r="AI4" t="s">
        <v>2416</v>
      </c>
      <c r="AL4">
        <f>SUM(AL5:AL8)</f>
        <v>128487050</v>
      </c>
      <c r="AN4" s="38" t="s">
        <v>2415</v>
      </c>
      <c r="AO4" t="s">
        <v>2416</v>
      </c>
    </row>
    <row r="5" spans="1:41" x14ac:dyDescent="0.25">
      <c r="A5" s="40">
        <v>5931</v>
      </c>
      <c r="C5" s="12">
        <v>128487050</v>
      </c>
      <c r="E5" s="40">
        <v>2000</v>
      </c>
      <c r="G5" s="39" t="s">
        <v>2401</v>
      </c>
      <c r="H5" s="12">
        <v>10915900</v>
      </c>
      <c r="I5" t="str">
        <f>G5</f>
        <v>January</v>
      </c>
      <c r="J5" s="42">
        <f>H5</f>
        <v>10915900</v>
      </c>
      <c r="L5" s="39" t="s">
        <v>2394</v>
      </c>
      <c r="M5" s="44">
        <v>719</v>
      </c>
      <c r="N5" t="str">
        <f>L5</f>
        <v>Daging Ayam</v>
      </c>
      <c r="O5">
        <f>M5</f>
        <v>719</v>
      </c>
      <c r="Q5" s="39" t="s">
        <v>2378</v>
      </c>
      <c r="R5" s="44">
        <v>1994</v>
      </c>
      <c r="S5" t="str">
        <f>Q5</f>
        <v>Brand B</v>
      </c>
      <c r="T5" s="41">
        <f>GETPIVOTDATA("Quantity",$Q$4,"Brand","Brand B")</f>
        <v>1994</v>
      </c>
      <c r="V5" s="39" t="s">
        <v>82</v>
      </c>
      <c r="W5" s="40">
        <v>25443450</v>
      </c>
      <c r="X5" t="s">
        <v>82</v>
      </c>
      <c r="Y5" s="43">
        <f>Z5/$Z$4</f>
        <v>0.19802345839522348</v>
      </c>
      <c r="Z5" s="40">
        <f>GETPIVOTDATA("Total Sales",$V$4,"Platform","Toko Biru")</f>
        <v>25443450</v>
      </c>
      <c r="AC5" s="39" t="s">
        <v>582</v>
      </c>
      <c r="AD5" s="12">
        <v>786800</v>
      </c>
      <c r="AE5" t="str">
        <f>AC5</f>
        <v>Kartika Saputra</v>
      </c>
      <c r="AF5">
        <f>AD5</f>
        <v>786800</v>
      </c>
      <c r="AH5" s="39" t="s">
        <v>35</v>
      </c>
      <c r="AI5" s="44">
        <v>32878550</v>
      </c>
      <c r="AJ5" t="str">
        <f>AH5</f>
        <v>COD</v>
      </c>
      <c r="AK5" s="43">
        <f>AL5/$AL$4</f>
        <v>0.25588999046985667</v>
      </c>
      <c r="AL5">
        <f>AI5</f>
        <v>32878550</v>
      </c>
      <c r="AN5" s="39">
        <v>2025</v>
      </c>
      <c r="AO5" s="12">
        <v>91706750</v>
      </c>
    </row>
    <row r="6" spans="1:41" x14ac:dyDescent="0.25">
      <c r="G6" s="39" t="s">
        <v>2402</v>
      </c>
      <c r="H6" s="12">
        <v>8697300</v>
      </c>
      <c r="I6" t="str">
        <f t="shared" ref="I6:J16" si="0">G6</f>
        <v>February</v>
      </c>
      <c r="J6" s="42">
        <f t="shared" si="0"/>
        <v>8697300</v>
      </c>
      <c r="L6" s="39" t="s">
        <v>2399</v>
      </c>
      <c r="M6" s="44">
        <v>706</v>
      </c>
      <c r="Q6" s="39" t="s">
        <v>2377</v>
      </c>
      <c r="R6" s="44">
        <v>1970</v>
      </c>
      <c r="V6" s="39" t="s">
        <v>23</v>
      </c>
      <c r="W6" s="40">
        <v>25596600</v>
      </c>
      <c r="X6" t="s">
        <v>23</v>
      </c>
      <c r="Y6" s="43">
        <f>Z6/$Z$4</f>
        <v>0.19921540731147613</v>
      </c>
      <c r="Z6" s="40">
        <f>GETPIVOTDATA("Total Sales",$V$4,"Platform","Toko Hijau")</f>
        <v>25596600</v>
      </c>
      <c r="AC6" s="39" t="s">
        <v>549</v>
      </c>
      <c r="AD6" s="12">
        <v>806600</v>
      </c>
      <c r="AE6" t="str">
        <f t="shared" ref="AE6:AF19" si="1">AC6</f>
        <v>Dewi Setiawan</v>
      </c>
      <c r="AF6">
        <f t="shared" si="1"/>
        <v>806600</v>
      </c>
      <c r="AH6" s="39" t="s">
        <v>63</v>
      </c>
      <c r="AI6" s="44">
        <v>29506400</v>
      </c>
      <c r="AJ6" t="str">
        <f>AH6</f>
        <v>e-Wallet</v>
      </c>
      <c r="AK6" s="43">
        <f>AL6/$AL$4</f>
        <v>0.22964493308858752</v>
      </c>
      <c r="AL6">
        <f>AI6</f>
        <v>29506400</v>
      </c>
      <c r="AN6" s="39">
        <v>2024</v>
      </c>
      <c r="AO6" s="12">
        <v>36780300</v>
      </c>
    </row>
    <row r="7" spans="1:41" x14ac:dyDescent="0.25">
      <c r="G7" s="39" t="s">
        <v>2403</v>
      </c>
      <c r="H7" s="12">
        <v>10043950</v>
      </c>
      <c r="I7" t="str">
        <f t="shared" si="0"/>
        <v>March</v>
      </c>
      <c r="J7" s="42">
        <f t="shared" si="0"/>
        <v>10043950</v>
      </c>
      <c r="L7" s="39" t="s">
        <v>2395</v>
      </c>
      <c r="M7" s="44">
        <v>690</v>
      </c>
      <c r="Q7" s="39" t="s">
        <v>2379</v>
      </c>
      <c r="R7" s="44">
        <v>1967</v>
      </c>
      <c r="V7" s="39" t="s">
        <v>36</v>
      </c>
      <c r="W7" s="40">
        <v>24925550</v>
      </c>
      <c r="X7" t="s">
        <v>36</v>
      </c>
      <c r="Y7" s="43">
        <f>Z7/$Z$4</f>
        <v>0.19399270198825486</v>
      </c>
      <c r="Z7" s="40">
        <f>GETPIVOTDATA("Total Sales",$V$4,"Platform","Toko Orange")</f>
        <v>24925550</v>
      </c>
      <c r="AC7" s="39" t="s">
        <v>412</v>
      </c>
      <c r="AD7" s="12">
        <v>809650</v>
      </c>
      <c r="AE7" t="str">
        <f t="shared" si="1"/>
        <v>Zahra Santoso</v>
      </c>
      <c r="AF7">
        <f t="shared" si="1"/>
        <v>809650</v>
      </c>
      <c r="AH7" s="39" t="s">
        <v>22</v>
      </c>
      <c r="AI7" s="44">
        <v>32246800</v>
      </c>
      <c r="AJ7" t="str">
        <f>AH7</f>
        <v>Kartu Kredit</v>
      </c>
      <c r="AK7" s="43">
        <f>AL7/$AL$4</f>
        <v>0.25097315254728003</v>
      </c>
      <c r="AL7">
        <f>AI7</f>
        <v>32246800</v>
      </c>
    </row>
    <row r="8" spans="1:41" x14ac:dyDescent="0.25">
      <c r="G8" s="39" t="s">
        <v>2404</v>
      </c>
      <c r="H8" s="12">
        <v>10587550</v>
      </c>
      <c r="I8" t="str">
        <f t="shared" si="0"/>
        <v>April</v>
      </c>
      <c r="J8" s="42">
        <f t="shared" si="0"/>
        <v>10587550</v>
      </c>
      <c r="L8" s="39" t="s">
        <v>2398</v>
      </c>
      <c r="M8" s="44">
        <v>672</v>
      </c>
      <c r="Q8" s="39" t="s">
        <v>12</v>
      </c>
      <c r="R8" s="44">
        <v>5931</v>
      </c>
      <c r="V8" s="39" t="s">
        <v>30</v>
      </c>
      <c r="W8" s="40">
        <v>25860650</v>
      </c>
      <c r="X8" t="s">
        <v>30</v>
      </c>
      <c r="Y8" s="43">
        <f>Z8/$Z$4</f>
        <v>0.20127047823107466</v>
      </c>
      <c r="Z8" s="40">
        <f>GETPIVOTDATA("Total Sales",$V$4,"Platform","Toko Ungu")</f>
        <v>25860650</v>
      </c>
      <c r="AC8" s="39" t="s">
        <v>314</v>
      </c>
      <c r="AD8" s="12">
        <v>824800</v>
      </c>
      <c r="AE8" t="str">
        <f t="shared" si="1"/>
        <v>Dewi Hidayat</v>
      </c>
      <c r="AF8">
        <f t="shared" si="1"/>
        <v>824800</v>
      </c>
      <c r="AH8" s="39" t="s">
        <v>29</v>
      </c>
      <c r="AI8" s="44">
        <v>33855300</v>
      </c>
      <c r="AJ8" t="str">
        <f>AH8</f>
        <v>Transfer Bank</v>
      </c>
      <c r="AK8" s="43">
        <f>AL8/$AL$4</f>
        <v>0.26349192389427573</v>
      </c>
      <c r="AL8">
        <f>AI8</f>
        <v>33855300</v>
      </c>
    </row>
    <row r="9" spans="1:41" x14ac:dyDescent="0.25">
      <c r="G9" s="39" t="s">
        <v>2405</v>
      </c>
      <c r="H9" s="12">
        <v>11359600</v>
      </c>
      <c r="I9" t="str">
        <f t="shared" si="0"/>
        <v>May</v>
      </c>
      <c r="J9" s="42">
        <f t="shared" si="0"/>
        <v>11359600</v>
      </c>
      <c r="L9" s="39" t="s">
        <v>2400</v>
      </c>
      <c r="M9" s="44">
        <v>667</v>
      </c>
      <c r="V9" s="39" t="s">
        <v>46</v>
      </c>
      <c r="W9" s="40">
        <v>26660800</v>
      </c>
      <c r="X9" t="s">
        <v>46</v>
      </c>
      <c r="Y9" s="43">
        <f>Z9/$Z$4</f>
        <v>0.20749795407397087</v>
      </c>
      <c r="Z9" s="40">
        <f>GETPIVOTDATA("Total Sales",$V$4,"Platform","TokTok")</f>
        <v>26660800</v>
      </c>
      <c r="AC9" s="39" t="s">
        <v>128</v>
      </c>
      <c r="AD9" s="12">
        <v>846100</v>
      </c>
      <c r="AE9" t="str">
        <f t="shared" si="1"/>
        <v>Nanda Iskandar</v>
      </c>
      <c r="AF9">
        <f t="shared" si="1"/>
        <v>846100</v>
      </c>
    </row>
    <row r="10" spans="1:41" x14ac:dyDescent="0.25">
      <c r="G10" s="39" t="s">
        <v>2406</v>
      </c>
      <c r="H10" s="12">
        <v>11708650</v>
      </c>
      <c r="I10" t="str">
        <f t="shared" si="0"/>
        <v>June</v>
      </c>
      <c r="J10" s="42">
        <f t="shared" si="0"/>
        <v>11708650</v>
      </c>
      <c r="L10" s="39" t="s">
        <v>2396</v>
      </c>
      <c r="M10" s="44">
        <v>664</v>
      </c>
      <c r="AC10" s="39" t="s">
        <v>19</v>
      </c>
      <c r="AD10" s="12">
        <v>859250</v>
      </c>
      <c r="AE10" t="str">
        <f t="shared" si="1"/>
        <v>Zahra Kurniawan</v>
      </c>
      <c r="AF10">
        <f t="shared" si="1"/>
        <v>859250</v>
      </c>
    </row>
    <row r="11" spans="1:41" x14ac:dyDescent="0.25">
      <c r="G11" s="39" t="s">
        <v>2407</v>
      </c>
      <c r="H11" s="12">
        <v>12385950</v>
      </c>
      <c r="I11" t="str">
        <f t="shared" si="0"/>
        <v>July</v>
      </c>
      <c r="J11" s="42">
        <f t="shared" si="0"/>
        <v>12385950</v>
      </c>
      <c r="L11" s="39" t="s">
        <v>2397</v>
      </c>
      <c r="M11" s="44">
        <v>634</v>
      </c>
      <c r="AC11" s="39" t="s">
        <v>261</v>
      </c>
      <c r="AD11" s="12">
        <v>895900</v>
      </c>
      <c r="AE11" t="str">
        <f t="shared" si="1"/>
        <v>Clara Utami</v>
      </c>
      <c r="AF11">
        <f t="shared" si="1"/>
        <v>895900</v>
      </c>
    </row>
    <row r="12" spans="1:41" x14ac:dyDescent="0.25">
      <c r="G12" s="39" t="s">
        <v>2408</v>
      </c>
      <c r="H12" s="12">
        <v>11002900</v>
      </c>
      <c r="I12" t="str">
        <f t="shared" si="0"/>
        <v>August</v>
      </c>
      <c r="J12" s="42">
        <f t="shared" si="0"/>
        <v>11002900</v>
      </c>
      <c r="L12" s="39" t="s">
        <v>2393</v>
      </c>
      <c r="M12" s="44">
        <v>624</v>
      </c>
      <c r="AC12" s="39" t="s">
        <v>79</v>
      </c>
      <c r="AD12" s="12">
        <v>897600</v>
      </c>
      <c r="AE12" t="str">
        <f t="shared" si="1"/>
        <v>Aulia Iskandar</v>
      </c>
      <c r="AF12">
        <f t="shared" si="1"/>
        <v>897600</v>
      </c>
    </row>
    <row r="13" spans="1:41" x14ac:dyDescent="0.25">
      <c r="G13" s="39" t="s">
        <v>2409</v>
      </c>
      <c r="H13" s="12">
        <v>11962750</v>
      </c>
      <c r="I13" t="str">
        <f t="shared" si="0"/>
        <v>September</v>
      </c>
      <c r="J13" s="42">
        <f t="shared" si="0"/>
        <v>11962750</v>
      </c>
      <c r="L13" s="39" t="s">
        <v>2392</v>
      </c>
      <c r="M13" s="44">
        <v>555</v>
      </c>
      <c r="AC13" s="39" t="s">
        <v>557</v>
      </c>
      <c r="AD13" s="12">
        <v>947300</v>
      </c>
      <c r="AE13" t="str">
        <f t="shared" si="1"/>
        <v>Zahra Budiman</v>
      </c>
      <c r="AF13">
        <f t="shared" si="1"/>
        <v>947300</v>
      </c>
    </row>
    <row r="14" spans="1:41" x14ac:dyDescent="0.25">
      <c r="G14" s="39" t="s">
        <v>2410</v>
      </c>
      <c r="H14" s="12">
        <v>10583650</v>
      </c>
      <c r="I14" t="str">
        <f t="shared" si="0"/>
        <v>October</v>
      </c>
      <c r="J14" s="42">
        <f t="shared" si="0"/>
        <v>10583650</v>
      </c>
      <c r="AC14" s="39" t="s">
        <v>201</v>
      </c>
      <c r="AD14" s="12">
        <v>967300</v>
      </c>
      <c r="AE14" t="str">
        <f t="shared" si="1"/>
        <v>Ani Fauziah</v>
      </c>
      <c r="AF14">
        <f t="shared" si="1"/>
        <v>967300</v>
      </c>
    </row>
    <row r="15" spans="1:41" x14ac:dyDescent="0.25">
      <c r="G15" s="39" t="s">
        <v>2411</v>
      </c>
      <c r="H15" s="12">
        <v>10883500</v>
      </c>
      <c r="I15" t="str">
        <f t="shared" si="0"/>
        <v>November</v>
      </c>
      <c r="J15" s="42">
        <f t="shared" si="0"/>
        <v>10883500</v>
      </c>
      <c r="AC15" s="39" t="s">
        <v>488</v>
      </c>
      <c r="AD15" s="12">
        <v>1006300</v>
      </c>
      <c r="AE15" t="str">
        <f t="shared" si="1"/>
        <v>Ani Hidayat</v>
      </c>
      <c r="AF15">
        <f t="shared" si="1"/>
        <v>1006300</v>
      </c>
    </row>
    <row r="16" spans="1:41" x14ac:dyDescent="0.25">
      <c r="G16" s="39" t="s">
        <v>2412</v>
      </c>
      <c r="H16" s="12">
        <v>8355350</v>
      </c>
      <c r="I16" t="str">
        <f t="shared" si="0"/>
        <v>December</v>
      </c>
      <c r="J16" s="42">
        <f t="shared" si="0"/>
        <v>8355350</v>
      </c>
      <c r="AC16" s="39" t="s">
        <v>570</v>
      </c>
      <c r="AD16" s="12">
        <v>1067200</v>
      </c>
      <c r="AE16" t="str">
        <f t="shared" si="1"/>
        <v>Hana Nugroho</v>
      </c>
      <c r="AF16">
        <f t="shared" si="1"/>
        <v>1067200</v>
      </c>
    </row>
    <row r="17" spans="29:32" x14ac:dyDescent="0.25">
      <c r="AC17" s="39" t="s">
        <v>649</v>
      </c>
      <c r="AD17" s="12">
        <v>1136350</v>
      </c>
      <c r="AE17" t="str">
        <f t="shared" si="1"/>
        <v>Yani Ananda</v>
      </c>
      <c r="AF17">
        <f t="shared" si="1"/>
        <v>1136350</v>
      </c>
    </row>
    <row r="18" spans="29:32" x14ac:dyDescent="0.25">
      <c r="AC18" s="39" t="s">
        <v>192</v>
      </c>
      <c r="AD18" s="12">
        <v>1197750</v>
      </c>
      <c r="AE18" t="str">
        <f t="shared" si="1"/>
        <v>Sari Puspita</v>
      </c>
      <c r="AF18">
        <f t="shared" si="1"/>
        <v>1197750</v>
      </c>
    </row>
    <row r="19" spans="29:32" x14ac:dyDescent="0.25">
      <c r="AC19" s="39" t="s">
        <v>311</v>
      </c>
      <c r="AD19" s="12">
        <v>1206200</v>
      </c>
      <c r="AE19" t="str">
        <f t="shared" si="1"/>
        <v>Citra Maulana</v>
      </c>
      <c r="AF19">
        <f t="shared" si="1"/>
        <v>1206200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Status</vt:lpstr>
      <vt:lpstr>Tugas</vt:lpstr>
      <vt:lpstr>Jawab</vt:lpstr>
      <vt:lpstr>Master Data</vt:lpstr>
      <vt:lpstr>Dashboard Disa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Samsir Ania</dc:creator>
  <cp:lastModifiedBy>rn516012024</cp:lastModifiedBy>
  <dcterms:created xsi:type="dcterms:W3CDTF">2026-02-18T10:22:07Z</dcterms:created>
  <dcterms:modified xsi:type="dcterms:W3CDTF">2026-02-19T03:18:13Z</dcterms:modified>
</cp:coreProperties>
</file>